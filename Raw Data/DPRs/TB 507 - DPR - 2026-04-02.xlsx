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ink/ink1.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327"/>
  <workbookPr/>
  <mc:AlternateContent xmlns:mc="http://schemas.openxmlformats.org/markup-compatibility/2006">
    <mc:Choice Requires="x15">
      <x15ac:absPath xmlns:x15ac="http://schemas.microsoft.com/office/spreadsheetml/2010/11/ac" url="C:\Users\ANIMESH\Desktop\KEC TB-507 PROJECT\Planing\765 Planning KV\"/>
    </mc:Choice>
  </mc:AlternateContent>
  <xr:revisionPtr revIDLastSave="0" documentId="13_ncr:1_{03ED4751-CCF8-4F07-886B-DBA297082AEA}" xr6:coauthVersionLast="47" xr6:coauthVersionMax="47" xr10:uidLastSave="{00000000-0000-0000-0000-000000000000}"/>
  <bookViews>
    <workbookView xWindow="-108" yWindow="-108" windowWidth="23256" windowHeight="12456" tabRatio="822" xr2:uid="{00000000-000D-0000-FFFF-FFFF00000000}"/>
  </bookViews>
  <sheets>
    <sheet name="765kV Summery" sheetId="62" r:id="rId1"/>
    <sheet name="Check Survey " sheetId="56" r:id="rId2"/>
    <sheet name="Check Survey Status" sheetId="55" state="hidden" r:id="rId3"/>
    <sheet name="Check Survey" sheetId="22" state="hidden" r:id="rId4"/>
    <sheet name="Sheet8" sheetId="48" state="hidden" r:id="rId5"/>
    <sheet name="Sheet2" sheetId="65" state="hidden" r:id="rId6"/>
    <sheet name="Sheet1" sheetId="41" state="hidden" r:id="rId7"/>
    <sheet name="VC 51-96" sheetId="40" state="hidden" r:id="rId8"/>
    <sheet name="VC" sheetId="31" state="hidden" r:id="rId9"/>
    <sheet name="ROW" sheetId="38" state="hidden" r:id="rId10"/>
    <sheet name="June" sheetId="60" state="hidden" r:id="rId11"/>
    <sheet name="Foundation" sheetId="26" r:id="rId12"/>
    <sheet name="Royalty" sheetId="58" state="hidden" r:id="rId13"/>
    <sheet name="Sheet14" sheetId="64" state="hidden" r:id="rId14"/>
    <sheet name="Sheet7" sheetId="66" state="hidden" r:id="rId15"/>
    <sheet name="Project Details" sheetId="68" r:id="rId16"/>
    <sheet name="Erection " sheetId="52" state="hidden" r:id="rId17"/>
    <sheet name="Completion date" sheetId="71" state="hidden" r:id="rId18"/>
    <sheet name="Erection Compiled " sheetId="72" r:id="rId19"/>
    <sheet name="Earthing" sheetId="37" r:id="rId20"/>
    <sheet name="Stringing Compiled " sheetId="73" r:id="rId21"/>
    <sheet name="Soil Investigation" sheetId="25" r:id="rId22"/>
    <sheet name="Sheet9" sheetId="67" state="hidden" r:id="rId23"/>
    <sheet name="VC " sheetId="46" state="hidden" r:id="rId24"/>
    <sheet name="Sheet6" sheetId="45" state="hidden" r:id="rId25"/>
    <sheet name="VC 51-121" sheetId="42" state="hidden" r:id="rId26"/>
    <sheet name="Sheet5" sheetId="44" state="hidden" r:id="rId27"/>
    <sheet name="Sheet3" sheetId="43" state="hidden" r:id="rId28"/>
    <sheet name="Tower Schedule" sheetId="24" state="hidden" r:id="rId29"/>
    <sheet name="Visual Chart" sheetId="74" r:id="rId30"/>
    <sheet name="L2 Vs Actual Progress Chart (2)" sheetId="51" state="hidden" r:id="rId31"/>
    <sheet name="Sheet4" sheetId="36" state="hidden" r:id="rId32"/>
  </sheets>
  <externalReferences>
    <externalReference r:id="rId33"/>
    <externalReference r:id="rId34"/>
    <externalReference r:id="rId35"/>
    <externalReference r:id="rId36"/>
    <externalReference r:id="rId37"/>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1" hidden="1">'Check Survey '!#REF!</definedName>
    <definedName name="_xlnm._FilterDatabase" localSheetId="17" hidden="1">'Completion date'!$A$1:$F$509</definedName>
    <definedName name="_xlnm._FilterDatabase" localSheetId="19" hidden="1">Earthing!$A$5:$H$6</definedName>
    <definedName name="_xlnm._FilterDatabase" localSheetId="16" hidden="1">'Erection '!$A$5:$AD$157</definedName>
    <definedName name="_xlnm._FilterDatabase" localSheetId="18" hidden="1">'Erection Compiled '!$A$1:$AV$2</definedName>
    <definedName name="_xlnm._FilterDatabase" localSheetId="11" hidden="1">Foundation!$A$7:$WVN$8</definedName>
    <definedName name="_xlnm._FilterDatabase" localSheetId="9" hidden="1">ROW!$A$7:$G$36</definedName>
    <definedName name="_xlnm._FilterDatabase" localSheetId="12" hidden="1">Royalty!$C$14:$D$28</definedName>
    <definedName name="_xlnm._FilterDatabase" localSheetId="27" hidden="1">Sheet5!$B$3:$J$38</definedName>
    <definedName name="_xlnm._FilterDatabase" localSheetId="24" hidden="1">Sheet6!$B$4:$E$41</definedName>
    <definedName name="_xlnm._FilterDatabase" localSheetId="21" hidden="1">'Soil Investigation'!#REF!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'765kV Summery'!$A$1:$M$23</definedName>
    <definedName name="_xlnm.Print_Area" localSheetId="3">'Check Survey'!$A$1:$O$120</definedName>
    <definedName name="_xlnm.Print_Area" localSheetId="19">Earthing!$A$1:$H$10</definedName>
    <definedName name="_xlnm.Print_Area" localSheetId="11">Foundation!$A$1:$Q$8</definedName>
    <definedName name="_xlnm.Print_Area" localSheetId="27">Sheet3!$A$1:$V$219</definedName>
    <definedName name="_xlnm.Print_Area" localSheetId="7">'VC 51-96'!$A$1:$W$212</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9" i="26" l="1"/>
  <c r="A10" i="26" s="1"/>
  <c r="A11" i="26" s="1"/>
  <c r="A12" i="26" s="1"/>
  <c r="A13" i="26" s="1"/>
  <c r="A14" i="26" s="1"/>
  <c r="A15" i="26" s="1"/>
  <c r="A16" i="26" s="1"/>
  <c r="A17" i="26" s="1"/>
  <c r="A18" i="26" s="1"/>
  <c r="A19" i="26" s="1"/>
  <c r="A20" i="26" s="1"/>
  <c r="A21" i="26" s="1"/>
  <c r="A22" i="26" s="1"/>
  <c r="A24" i="26" s="1"/>
  <c r="A25" i="26" s="1"/>
  <c r="A23" i="26" s="1"/>
  <c r="W4" i="74"/>
  <c r="J11" i="74"/>
  <c r="R17" i="74" l="1"/>
  <c r="P17" i="74"/>
  <c r="J17" i="74"/>
  <c r="A17" i="74"/>
  <c r="R16" i="74"/>
  <c r="P16" i="74"/>
  <c r="J16" i="74"/>
  <c r="R15" i="74"/>
  <c r="P15" i="74"/>
  <c r="J15" i="74"/>
  <c r="R14" i="74"/>
  <c r="P14" i="74"/>
  <c r="J14" i="74"/>
  <c r="R13" i="74"/>
  <c r="P13" i="74"/>
  <c r="J13" i="74"/>
  <c r="R12" i="74"/>
  <c r="P12" i="74"/>
  <c r="J12" i="74"/>
  <c r="P11" i="74"/>
  <c r="T11" i="74" s="1"/>
  <c r="R10" i="74"/>
  <c r="P10" i="74"/>
  <c r="J10" i="74"/>
  <c r="R9" i="74"/>
  <c r="P9" i="74"/>
  <c r="J9" i="74"/>
  <c r="A9" i="74"/>
  <c r="R8" i="74"/>
  <c r="P8" i="74"/>
  <c r="J8" i="74"/>
  <c r="T14" i="74" l="1"/>
  <c r="T10" i="74"/>
  <c r="T12" i="74"/>
  <c r="T9" i="74"/>
  <c r="T17" i="74"/>
  <c r="T15" i="74"/>
  <c r="T8" i="74"/>
  <c r="T16" i="74"/>
  <c r="T13" i="74"/>
  <c r="J16" i="62"/>
  <c r="J17" i="62" l="1"/>
  <c r="J15" i="62"/>
  <c r="M3" i="62" l="1"/>
  <c r="E3" i="71" l="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A150" i="52" l="1"/>
  <c r="A151" i="52"/>
  <c r="A152" i="52" s="1"/>
  <c r="A153" i="52" s="1"/>
  <c r="A154" i="52" s="1"/>
  <c r="A155" i="52" s="1"/>
  <c r="A156" i="52" s="1"/>
  <c r="A157" i="52" s="1"/>
  <c r="A158" i="52" s="1"/>
  <c r="A159" i="52" s="1"/>
  <c r="A160" i="52" s="1"/>
  <c r="A161" i="52" s="1"/>
  <c r="A162" i="52" s="1"/>
  <c r="F3" i="71" l="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G6" i="36"/>
  <c r="F25" i="51"/>
  <c r="E25" i="51"/>
  <c r="F24" i="51"/>
  <c r="F23" i="51"/>
  <c r="F22" i="51"/>
  <c r="E22" i="51"/>
  <c r="D22" i="51"/>
  <c r="F20" i="51"/>
  <c r="F10" i="51"/>
  <c r="E10" i="51"/>
  <c r="F9" i="51"/>
  <c r="M8" i="51"/>
  <c r="F8" i="51"/>
  <c r="F7" i="51"/>
  <c r="E7" i="51"/>
  <c r="D7" i="51"/>
  <c r="F5" i="51"/>
  <c r="L137" i="24"/>
  <c r="G137" i="24"/>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V187" i="43"/>
  <c r="T187" i="43"/>
  <c r="R187" i="43"/>
  <c r="P187" i="43"/>
  <c r="N187" i="43"/>
  <c r="L187" i="43"/>
  <c r="J187" i="43"/>
  <c r="H187" i="43"/>
  <c r="F187" i="43"/>
  <c r="D187" i="43"/>
  <c r="B187" i="43"/>
  <c r="V180" i="43"/>
  <c r="T180" i="43"/>
  <c r="R180" i="43"/>
  <c r="P180" i="43"/>
  <c r="N180" i="43"/>
  <c r="L180" i="43"/>
  <c r="J180" i="43"/>
  <c r="H180" i="43"/>
  <c r="F180" i="43"/>
  <c r="D180" i="43"/>
  <c r="B180" i="43"/>
  <c r="V173" i="43"/>
  <c r="T173" i="43"/>
  <c r="R173" i="43"/>
  <c r="P173" i="43"/>
  <c r="N173" i="43"/>
  <c r="L173" i="43"/>
  <c r="J173" i="43"/>
  <c r="H173" i="43"/>
  <c r="F173" i="43"/>
  <c r="D173" i="43"/>
  <c r="B173" i="43"/>
  <c r="V166" i="43"/>
  <c r="T166" i="43"/>
  <c r="R166" i="43"/>
  <c r="P166" i="43"/>
  <c r="N166" i="43"/>
  <c r="L166" i="43"/>
  <c r="J166" i="43"/>
  <c r="H166" i="43"/>
  <c r="F166" i="43"/>
  <c r="D166" i="43"/>
  <c r="B166" i="43"/>
  <c r="V158" i="43"/>
  <c r="T158" i="43"/>
  <c r="R158" i="43"/>
  <c r="P158" i="43"/>
  <c r="N158" i="43"/>
  <c r="L158" i="43"/>
  <c r="J158" i="43"/>
  <c r="H158" i="43"/>
  <c r="F158" i="43"/>
  <c r="D158" i="43"/>
  <c r="B158" i="43"/>
  <c r="V150" i="43"/>
  <c r="T150" i="43"/>
  <c r="R150" i="43"/>
  <c r="P150" i="43"/>
  <c r="N150" i="43"/>
  <c r="L150" i="43"/>
  <c r="J150" i="43"/>
  <c r="H150" i="43"/>
  <c r="F150" i="43"/>
  <c r="D150" i="43"/>
  <c r="B150" i="43"/>
  <c r="V141" i="43"/>
  <c r="T141" i="43"/>
  <c r="R141" i="43"/>
  <c r="P141" i="43"/>
  <c r="N141" i="43"/>
  <c r="L141" i="43"/>
  <c r="J141" i="43"/>
  <c r="H141" i="43"/>
  <c r="F141" i="43"/>
  <c r="D141" i="43"/>
  <c r="B141" i="43"/>
  <c r="V132" i="43"/>
  <c r="T132" i="43"/>
  <c r="R132" i="43"/>
  <c r="P132" i="43"/>
  <c r="N132" i="43"/>
  <c r="L132" i="43"/>
  <c r="J132" i="43"/>
  <c r="H132" i="43"/>
  <c r="F132" i="43"/>
  <c r="D132" i="43"/>
  <c r="B132" i="43"/>
  <c r="V123" i="43"/>
  <c r="T123" i="43"/>
  <c r="R123" i="43"/>
  <c r="P123" i="43"/>
  <c r="N123" i="43"/>
  <c r="L123" i="43"/>
  <c r="J123" i="43"/>
  <c r="H123" i="43"/>
  <c r="F123" i="43"/>
  <c r="D123" i="43"/>
  <c r="B123" i="43"/>
  <c r="T115" i="43"/>
  <c r="R115" i="43"/>
  <c r="P115" i="43"/>
  <c r="N115" i="43"/>
  <c r="L115" i="43"/>
  <c r="J115" i="43"/>
  <c r="H115" i="43"/>
  <c r="F115" i="43"/>
  <c r="D115" i="43"/>
  <c r="B115" i="43"/>
  <c r="V109" i="43"/>
  <c r="T108" i="43"/>
  <c r="R108" i="43"/>
  <c r="P108" i="43"/>
  <c r="N108" i="43"/>
  <c r="L108" i="43"/>
  <c r="J108" i="43"/>
  <c r="H108" i="43"/>
  <c r="F108" i="43"/>
  <c r="D108" i="43"/>
  <c r="B108" i="43"/>
  <c r="D101" i="43"/>
  <c r="V100" i="43"/>
  <c r="T99" i="43"/>
  <c r="R99" i="43"/>
  <c r="P99" i="43"/>
  <c r="N99" i="43"/>
  <c r="L99" i="43"/>
  <c r="J99" i="43"/>
  <c r="H99" i="43"/>
  <c r="F99" i="43"/>
  <c r="D99" i="43"/>
  <c r="B99" i="43"/>
  <c r="V92" i="43"/>
  <c r="T91" i="43"/>
  <c r="R91" i="43"/>
  <c r="P91" i="43"/>
  <c r="N91" i="43"/>
  <c r="L91" i="43"/>
  <c r="J91" i="43"/>
  <c r="H91" i="43"/>
  <c r="F91" i="43"/>
  <c r="D91" i="43"/>
  <c r="B91" i="43"/>
  <c r="T83" i="43"/>
  <c r="R83" i="43"/>
  <c r="P83" i="43"/>
  <c r="N83" i="43"/>
  <c r="L83" i="43"/>
  <c r="J83" i="43"/>
  <c r="H83" i="43"/>
  <c r="F83" i="43"/>
  <c r="D83" i="43"/>
  <c r="B83" i="43"/>
  <c r="T75" i="43"/>
  <c r="R75" i="43"/>
  <c r="P75" i="43"/>
  <c r="N75" i="43"/>
  <c r="L75" i="43"/>
  <c r="J75" i="43"/>
  <c r="H75" i="43"/>
  <c r="F75" i="43"/>
  <c r="D75" i="43"/>
  <c r="B75" i="43"/>
  <c r="T67" i="43"/>
  <c r="R67" i="43"/>
  <c r="P67" i="43"/>
  <c r="N67" i="43"/>
  <c r="L67" i="43"/>
  <c r="J67" i="43"/>
  <c r="H67" i="43"/>
  <c r="F67" i="43"/>
  <c r="D67" i="43"/>
  <c r="B67" i="43"/>
  <c r="V66" i="43"/>
  <c r="T59" i="43"/>
  <c r="R59" i="43"/>
  <c r="P59" i="43"/>
  <c r="N59" i="43"/>
  <c r="L59" i="43"/>
  <c r="J59" i="43"/>
  <c r="H59" i="43"/>
  <c r="F59" i="43"/>
  <c r="D59" i="43"/>
  <c r="B59" i="43"/>
  <c r="V58" i="43"/>
  <c r="V51" i="43"/>
  <c r="T51" i="43"/>
  <c r="R51" i="43"/>
  <c r="P51" i="43"/>
  <c r="N51" i="43"/>
  <c r="L51" i="43"/>
  <c r="J51" i="43"/>
  <c r="H51" i="43"/>
  <c r="F51" i="43"/>
  <c r="D51" i="43"/>
  <c r="B51" i="43"/>
  <c r="V49" i="43"/>
  <c r="T43" i="43"/>
  <c r="R43" i="43"/>
  <c r="P43" i="43"/>
  <c r="N43" i="43"/>
  <c r="L43" i="43"/>
  <c r="J43" i="43"/>
  <c r="H43" i="43"/>
  <c r="F43" i="43"/>
  <c r="D43" i="43"/>
  <c r="B43" i="43"/>
  <c r="V37" i="43"/>
  <c r="T35" i="43"/>
  <c r="R35" i="43"/>
  <c r="P35" i="43"/>
  <c r="N35" i="43"/>
  <c r="L35" i="43"/>
  <c r="J35" i="43"/>
  <c r="H35" i="43"/>
  <c r="F35" i="43"/>
  <c r="D35" i="43"/>
  <c r="B35" i="43"/>
  <c r="V28" i="43"/>
  <c r="T26" i="43"/>
  <c r="R26" i="43"/>
  <c r="P26" i="43"/>
  <c r="N26" i="43"/>
  <c r="L26" i="43"/>
  <c r="J26" i="43"/>
  <c r="H26" i="43"/>
  <c r="F26" i="43"/>
  <c r="D26" i="43"/>
  <c r="B26" i="43"/>
  <c r="V19" i="43"/>
  <c r="T17" i="43"/>
  <c r="R17" i="43"/>
  <c r="P17" i="43"/>
  <c r="N17" i="43"/>
  <c r="L17" i="43"/>
  <c r="J17" i="43"/>
  <c r="H17" i="43"/>
  <c r="F17" i="43"/>
  <c r="D17" i="43"/>
  <c r="B17" i="43"/>
  <c r="U10" i="43"/>
  <c r="S8" i="43"/>
  <c r="Q8" i="43"/>
  <c r="O8" i="43"/>
  <c r="M8" i="43"/>
  <c r="K8" i="43"/>
  <c r="I8" i="43"/>
  <c r="G8" i="43"/>
  <c r="E8" i="43"/>
  <c r="C8" i="43"/>
  <c r="Q6" i="43"/>
  <c r="N6" i="43"/>
  <c r="J6" i="43"/>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11" i="44"/>
  <c r="B10" i="44"/>
  <c r="B9" i="44"/>
  <c r="B8" i="44"/>
  <c r="B7" i="44"/>
  <c r="B6" i="44"/>
  <c r="AE195" i="42"/>
  <c r="AR188" i="42"/>
  <c r="AQ188" i="42"/>
  <c r="AP188" i="42"/>
  <c r="AO188" i="42"/>
  <c r="AN188" i="42"/>
  <c r="AM188" i="42"/>
  <c r="AL188" i="42"/>
  <c r="AK188" i="42"/>
  <c r="AJ188" i="42"/>
  <c r="AI188" i="42"/>
  <c r="AH188" i="42"/>
  <c r="AG188" i="42"/>
  <c r="AF188" i="42"/>
  <c r="AE188" i="42"/>
  <c r="AD188" i="42"/>
  <c r="AB188" i="42"/>
  <c r="AA188" i="42"/>
  <c r="Z188" i="42"/>
  <c r="Y188" i="42"/>
  <c r="X188" i="42"/>
  <c r="V187" i="42"/>
  <c r="T187" i="42"/>
  <c r="R187" i="42"/>
  <c r="P187" i="42"/>
  <c r="N187" i="42"/>
  <c r="L187" i="42"/>
  <c r="J187" i="42"/>
  <c r="H187" i="42"/>
  <c r="F187" i="42"/>
  <c r="D187" i="42"/>
  <c r="B187" i="42"/>
  <c r="AQ185" i="42"/>
  <c r="AP185" i="42"/>
  <c r="AO185" i="42"/>
  <c r="AN185" i="42"/>
  <c r="AL185" i="42"/>
  <c r="AK185" i="42"/>
  <c r="AJ185" i="42"/>
  <c r="AI185" i="42"/>
  <c r="AG185" i="42"/>
  <c r="AF185" i="42"/>
  <c r="AE185" i="42"/>
  <c r="AD185" i="42"/>
  <c r="AA185" i="42"/>
  <c r="Z185" i="42"/>
  <c r="Y185" i="42"/>
  <c r="X185" i="42"/>
  <c r="V180" i="42"/>
  <c r="T180" i="42"/>
  <c r="R180" i="42"/>
  <c r="P180" i="42"/>
  <c r="N180" i="42"/>
  <c r="L180" i="42"/>
  <c r="J180" i="42"/>
  <c r="H180" i="42"/>
  <c r="F180" i="42"/>
  <c r="D180" i="42"/>
  <c r="B180" i="42"/>
  <c r="AQ177" i="42"/>
  <c r="AP177" i="42"/>
  <c r="AO177" i="42"/>
  <c r="AN177" i="42"/>
  <c r="AL177" i="42"/>
  <c r="AK177" i="42"/>
  <c r="AJ177" i="42"/>
  <c r="AI177" i="42"/>
  <c r="AG177" i="42"/>
  <c r="AF177" i="42"/>
  <c r="AE177" i="42"/>
  <c r="AD177" i="42"/>
  <c r="AA177" i="42"/>
  <c r="Z177" i="42"/>
  <c r="Y177" i="42"/>
  <c r="X177" i="42"/>
  <c r="V173" i="42"/>
  <c r="T173" i="42"/>
  <c r="R173" i="42"/>
  <c r="P173" i="42"/>
  <c r="N173" i="42"/>
  <c r="L173" i="42"/>
  <c r="J173" i="42"/>
  <c r="H173" i="42"/>
  <c r="F173" i="42"/>
  <c r="D173" i="42"/>
  <c r="B173" i="42"/>
  <c r="AQ172" i="42"/>
  <c r="AP172" i="42"/>
  <c r="AO172" i="42"/>
  <c r="AN172" i="42"/>
  <c r="AL172" i="42"/>
  <c r="AK172" i="42"/>
  <c r="AJ172" i="42"/>
  <c r="AI172" i="42"/>
  <c r="AG172" i="42"/>
  <c r="AF172" i="42"/>
  <c r="AE172" i="42"/>
  <c r="AD172" i="42"/>
  <c r="AA172" i="42"/>
  <c r="Z172" i="42"/>
  <c r="Y172" i="42"/>
  <c r="X172" i="42"/>
  <c r="V166" i="42"/>
  <c r="T166" i="42"/>
  <c r="R166" i="42"/>
  <c r="P166" i="42"/>
  <c r="N166" i="42"/>
  <c r="L166" i="42"/>
  <c r="J166" i="42"/>
  <c r="H166" i="42"/>
  <c r="F166" i="42"/>
  <c r="D166" i="42"/>
  <c r="B166" i="42"/>
  <c r="AQ164" i="42"/>
  <c r="AP164" i="42"/>
  <c r="AO164" i="42"/>
  <c r="AN164" i="42"/>
  <c r="AL164" i="42"/>
  <c r="AK164" i="42"/>
  <c r="AJ164" i="42"/>
  <c r="AI164" i="42"/>
  <c r="AG164" i="42"/>
  <c r="AF164" i="42"/>
  <c r="AE164" i="42"/>
  <c r="AD164" i="42"/>
  <c r="AA164" i="42"/>
  <c r="Z164" i="42"/>
  <c r="Y164" i="42"/>
  <c r="X164" i="42"/>
  <c r="V158" i="42"/>
  <c r="T158" i="42"/>
  <c r="R158" i="42"/>
  <c r="P158" i="42"/>
  <c r="N158" i="42"/>
  <c r="L158" i="42"/>
  <c r="J158" i="42"/>
  <c r="H158" i="42"/>
  <c r="F158" i="42"/>
  <c r="D158" i="42"/>
  <c r="B158" i="42"/>
  <c r="AQ156" i="42"/>
  <c r="AP156" i="42"/>
  <c r="AO156" i="42"/>
  <c r="AN156" i="42"/>
  <c r="AL156" i="42"/>
  <c r="AK156" i="42"/>
  <c r="AJ156" i="42"/>
  <c r="AI156" i="42"/>
  <c r="AG156" i="42"/>
  <c r="AF156" i="42"/>
  <c r="AE156" i="42"/>
  <c r="AD156" i="42"/>
  <c r="AA156" i="42"/>
  <c r="Z156" i="42"/>
  <c r="Y156" i="42"/>
  <c r="X156" i="42"/>
  <c r="V150" i="42"/>
  <c r="T150" i="42"/>
  <c r="R150" i="42"/>
  <c r="P150" i="42"/>
  <c r="N150" i="42"/>
  <c r="L150" i="42"/>
  <c r="J150" i="42"/>
  <c r="H150" i="42"/>
  <c r="F150" i="42"/>
  <c r="D150" i="42"/>
  <c r="B150" i="42"/>
  <c r="AQ147" i="42"/>
  <c r="AP147" i="42"/>
  <c r="AO147" i="42"/>
  <c r="AN147" i="42"/>
  <c r="AL147" i="42"/>
  <c r="AK147" i="42"/>
  <c r="AJ147" i="42"/>
  <c r="AI147" i="42"/>
  <c r="AG147" i="42"/>
  <c r="AF147" i="42"/>
  <c r="AE147" i="42"/>
  <c r="AD147" i="42"/>
  <c r="AA147" i="42"/>
  <c r="Z147" i="42"/>
  <c r="Y147" i="42"/>
  <c r="X147" i="42"/>
  <c r="V141" i="42"/>
  <c r="T141" i="42"/>
  <c r="R141" i="42"/>
  <c r="P141" i="42"/>
  <c r="N141" i="42"/>
  <c r="L141" i="42"/>
  <c r="J141" i="42"/>
  <c r="H141" i="42"/>
  <c r="F141" i="42"/>
  <c r="D141" i="42"/>
  <c r="B141" i="42"/>
  <c r="AQ138" i="42"/>
  <c r="AP138" i="42"/>
  <c r="AO138" i="42"/>
  <c r="AN138" i="42"/>
  <c r="AL138" i="42"/>
  <c r="AK138" i="42"/>
  <c r="AJ138" i="42"/>
  <c r="AI138" i="42"/>
  <c r="AG138" i="42"/>
  <c r="AF138" i="42"/>
  <c r="AE138" i="42"/>
  <c r="AD138" i="42"/>
  <c r="AA138" i="42"/>
  <c r="Z138" i="42"/>
  <c r="Y138" i="42"/>
  <c r="X138" i="42"/>
  <c r="V132" i="42"/>
  <c r="T132" i="42"/>
  <c r="R132" i="42"/>
  <c r="P132" i="42"/>
  <c r="N132" i="42"/>
  <c r="L132" i="42"/>
  <c r="J132" i="42"/>
  <c r="H132" i="42"/>
  <c r="F132" i="42"/>
  <c r="D132" i="42"/>
  <c r="B132" i="42"/>
  <c r="AQ129" i="42"/>
  <c r="AP129" i="42"/>
  <c r="AO129" i="42"/>
  <c r="AN129" i="42"/>
  <c r="AL129" i="42"/>
  <c r="AK129" i="42"/>
  <c r="AJ129" i="42"/>
  <c r="AI129" i="42"/>
  <c r="AG129" i="42"/>
  <c r="AF129" i="42"/>
  <c r="AE129" i="42"/>
  <c r="AD129" i="42"/>
  <c r="AA129" i="42"/>
  <c r="Z129" i="42"/>
  <c r="Y129" i="42"/>
  <c r="X129" i="42"/>
  <c r="V123" i="42"/>
  <c r="T123" i="42"/>
  <c r="R123" i="42"/>
  <c r="P123" i="42"/>
  <c r="N123" i="42"/>
  <c r="L123" i="42"/>
  <c r="J123" i="42"/>
  <c r="H123" i="42"/>
  <c r="F123" i="42"/>
  <c r="D123" i="42"/>
  <c r="B123" i="42"/>
  <c r="AQ121" i="42"/>
  <c r="AP121" i="42"/>
  <c r="AO121" i="42"/>
  <c r="AN121" i="42"/>
  <c r="AL121" i="42"/>
  <c r="AK121" i="42"/>
  <c r="AJ121" i="42"/>
  <c r="AI121" i="42"/>
  <c r="AG121" i="42"/>
  <c r="AF121" i="42"/>
  <c r="AE121" i="42"/>
  <c r="AD121" i="42"/>
  <c r="AA121" i="42"/>
  <c r="Z121" i="42"/>
  <c r="Y121" i="42"/>
  <c r="X121" i="42"/>
  <c r="T115" i="42"/>
  <c r="R115" i="42"/>
  <c r="P115" i="42"/>
  <c r="N115" i="42"/>
  <c r="L115" i="42"/>
  <c r="J115" i="42"/>
  <c r="H115" i="42"/>
  <c r="F115" i="42"/>
  <c r="D115" i="42"/>
  <c r="B115" i="42"/>
  <c r="AQ114" i="42"/>
  <c r="AP114" i="42"/>
  <c r="AO114" i="42"/>
  <c r="AN114" i="42"/>
  <c r="AL114" i="42"/>
  <c r="AK114" i="42"/>
  <c r="AJ114" i="42"/>
  <c r="AI114" i="42"/>
  <c r="AG114" i="42"/>
  <c r="AF114" i="42"/>
  <c r="AE114" i="42"/>
  <c r="AD114" i="42"/>
  <c r="AA114" i="42"/>
  <c r="Z114" i="42"/>
  <c r="Y114" i="42"/>
  <c r="X114" i="42"/>
  <c r="V109" i="42"/>
  <c r="T108" i="42"/>
  <c r="R108" i="42"/>
  <c r="P108" i="42"/>
  <c r="N108" i="42"/>
  <c r="L108" i="42"/>
  <c r="J108" i="42"/>
  <c r="H108" i="42"/>
  <c r="F108" i="42"/>
  <c r="D108" i="42"/>
  <c r="B108" i="42"/>
  <c r="AQ105" i="42"/>
  <c r="AP105" i="42"/>
  <c r="AO105" i="42"/>
  <c r="AN105" i="42"/>
  <c r="AL105" i="42"/>
  <c r="AK105" i="42"/>
  <c r="AJ105" i="42"/>
  <c r="AI105" i="42"/>
  <c r="AG105" i="42"/>
  <c r="AF105" i="42"/>
  <c r="AE105" i="42"/>
  <c r="AD105" i="42"/>
  <c r="AA105" i="42"/>
  <c r="Z105" i="42"/>
  <c r="Y105" i="42"/>
  <c r="X105" i="42"/>
  <c r="D101" i="42"/>
  <c r="V100" i="42"/>
  <c r="T99" i="42"/>
  <c r="R99" i="42"/>
  <c r="P99" i="42"/>
  <c r="N99" i="42"/>
  <c r="L99" i="42"/>
  <c r="J99" i="42"/>
  <c r="H99" i="42"/>
  <c r="F99" i="42"/>
  <c r="D99" i="42"/>
  <c r="B99" i="42"/>
  <c r="AQ97" i="42"/>
  <c r="AP97" i="42"/>
  <c r="AO97" i="42"/>
  <c r="AN97" i="42"/>
  <c r="AL97" i="42"/>
  <c r="AK97" i="42"/>
  <c r="AJ97" i="42"/>
  <c r="AI97" i="42"/>
  <c r="AG97" i="42"/>
  <c r="AF97" i="42"/>
  <c r="AE97" i="42"/>
  <c r="AD97" i="42"/>
  <c r="AA97" i="42"/>
  <c r="Z97" i="42"/>
  <c r="Y97" i="42"/>
  <c r="X97" i="42"/>
  <c r="V92" i="42"/>
  <c r="T91" i="42"/>
  <c r="R91" i="42"/>
  <c r="P91" i="42"/>
  <c r="N91" i="42"/>
  <c r="L91" i="42"/>
  <c r="J91" i="42"/>
  <c r="H91" i="42"/>
  <c r="F91" i="42"/>
  <c r="D91" i="42"/>
  <c r="B91" i="42"/>
  <c r="AQ89" i="42"/>
  <c r="AP89" i="42"/>
  <c r="AO89" i="42"/>
  <c r="AN89" i="42"/>
  <c r="AL89" i="42"/>
  <c r="AK89" i="42"/>
  <c r="AJ89" i="42"/>
  <c r="AI89" i="42"/>
  <c r="AG89" i="42"/>
  <c r="AF89" i="42"/>
  <c r="AE89" i="42"/>
  <c r="AD89" i="42"/>
  <c r="AA89" i="42"/>
  <c r="Z89" i="42"/>
  <c r="Y89" i="42"/>
  <c r="X89" i="42"/>
  <c r="T83" i="42"/>
  <c r="R83" i="42"/>
  <c r="P83" i="42"/>
  <c r="N83" i="42"/>
  <c r="L83" i="42"/>
  <c r="J83" i="42"/>
  <c r="H83" i="42"/>
  <c r="F83" i="42"/>
  <c r="D83" i="42"/>
  <c r="B83" i="42"/>
  <c r="AQ81" i="42"/>
  <c r="AP81" i="42"/>
  <c r="AO81" i="42"/>
  <c r="AN81" i="42"/>
  <c r="AL81" i="42"/>
  <c r="AK81" i="42"/>
  <c r="AJ81" i="42"/>
  <c r="AI81" i="42"/>
  <c r="AG81" i="42"/>
  <c r="AF81" i="42"/>
  <c r="AE81" i="42"/>
  <c r="AD81" i="42"/>
  <c r="AA81" i="42"/>
  <c r="Z81" i="42"/>
  <c r="Y81" i="42"/>
  <c r="X81" i="42"/>
  <c r="T75" i="42"/>
  <c r="R75" i="42"/>
  <c r="P75" i="42"/>
  <c r="N75" i="42"/>
  <c r="L75" i="42"/>
  <c r="J75" i="42"/>
  <c r="H75" i="42"/>
  <c r="F75" i="42"/>
  <c r="D75" i="42"/>
  <c r="B75" i="42"/>
  <c r="AQ73" i="42"/>
  <c r="AP73" i="42"/>
  <c r="AO73" i="42"/>
  <c r="AN73" i="42"/>
  <c r="AL73" i="42"/>
  <c r="AK73" i="42"/>
  <c r="AJ73" i="42"/>
  <c r="AI73" i="42"/>
  <c r="AG73" i="42"/>
  <c r="AF73" i="42"/>
  <c r="AE73" i="42"/>
  <c r="AD73" i="42"/>
  <c r="AA73" i="42"/>
  <c r="Z73" i="42"/>
  <c r="Y73" i="42"/>
  <c r="X73" i="42"/>
  <c r="T67" i="42"/>
  <c r="R67" i="42"/>
  <c r="P67" i="42"/>
  <c r="N67" i="42"/>
  <c r="L67" i="42"/>
  <c r="J67" i="42"/>
  <c r="H67" i="42"/>
  <c r="F67" i="42"/>
  <c r="D67" i="42"/>
  <c r="B67" i="42"/>
  <c r="V66" i="42"/>
  <c r="AQ65" i="42"/>
  <c r="AP65" i="42"/>
  <c r="AO65" i="42"/>
  <c r="AN65" i="42"/>
  <c r="AL65" i="42"/>
  <c r="AK65" i="42"/>
  <c r="AJ65" i="42"/>
  <c r="AI65" i="42"/>
  <c r="AG65" i="42"/>
  <c r="AF65" i="42"/>
  <c r="AE65" i="42"/>
  <c r="AD65" i="42"/>
  <c r="AA65" i="42"/>
  <c r="Z65" i="42"/>
  <c r="Y65" i="42"/>
  <c r="X65" i="42"/>
  <c r="T59" i="42"/>
  <c r="R59" i="42"/>
  <c r="P59" i="42"/>
  <c r="N59" i="42"/>
  <c r="L59" i="42"/>
  <c r="J59" i="42"/>
  <c r="H59" i="42"/>
  <c r="F59" i="42"/>
  <c r="D59" i="42"/>
  <c r="B59" i="42"/>
  <c r="V58" i="42"/>
  <c r="AQ57" i="42"/>
  <c r="AP57" i="42"/>
  <c r="AO57" i="42"/>
  <c r="AN57" i="42"/>
  <c r="AL57" i="42"/>
  <c r="AK57" i="42"/>
  <c r="AJ57" i="42"/>
  <c r="AI57" i="42"/>
  <c r="AG57" i="42"/>
  <c r="AF57" i="42"/>
  <c r="AE57" i="42"/>
  <c r="AD57" i="42"/>
  <c r="AA57" i="42"/>
  <c r="Z57" i="42"/>
  <c r="Y57" i="42"/>
  <c r="X57" i="42"/>
  <c r="V51" i="42"/>
  <c r="T51" i="42"/>
  <c r="R51" i="42"/>
  <c r="P51" i="42"/>
  <c r="N51" i="42"/>
  <c r="L51" i="42"/>
  <c r="J51" i="42"/>
  <c r="H51" i="42"/>
  <c r="F51" i="42"/>
  <c r="D51" i="42"/>
  <c r="B51" i="42"/>
  <c r="AQ49" i="42"/>
  <c r="AP49" i="42"/>
  <c r="AO49" i="42"/>
  <c r="AN49" i="42"/>
  <c r="AL49" i="42"/>
  <c r="AK49" i="42"/>
  <c r="AJ49" i="42"/>
  <c r="AI49" i="42"/>
  <c r="AG49" i="42"/>
  <c r="AF49" i="42"/>
  <c r="AE49" i="42"/>
  <c r="AD49" i="42"/>
  <c r="AA49" i="42"/>
  <c r="Z49" i="42"/>
  <c r="Y49" i="42"/>
  <c r="X49" i="42"/>
  <c r="V49" i="42"/>
  <c r="T43" i="42"/>
  <c r="R43" i="42"/>
  <c r="P43" i="42"/>
  <c r="N43" i="42"/>
  <c r="L43" i="42"/>
  <c r="J43" i="42"/>
  <c r="H43" i="42"/>
  <c r="F43" i="42"/>
  <c r="D43" i="42"/>
  <c r="B43" i="42"/>
  <c r="AQ41" i="42"/>
  <c r="AP41" i="42"/>
  <c r="AO41" i="42"/>
  <c r="AN41" i="42"/>
  <c r="AL41" i="42"/>
  <c r="AK41" i="42"/>
  <c r="AJ41" i="42"/>
  <c r="AI41" i="42"/>
  <c r="AG41" i="42"/>
  <c r="AF41" i="42"/>
  <c r="AE41" i="42"/>
  <c r="AD41" i="42"/>
  <c r="AA41" i="42"/>
  <c r="Z41" i="42"/>
  <c r="Y41" i="42"/>
  <c r="X41" i="42"/>
  <c r="V37" i="42"/>
  <c r="T35" i="42"/>
  <c r="R35" i="42"/>
  <c r="P35" i="42"/>
  <c r="N35" i="42"/>
  <c r="L35" i="42"/>
  <c r="J35" i="42"/>
  <c r="H35" i="42"/>
  <c r="F35" i="42"/>
  <c r="D35" i="42"/>
  <c r="B35" i="42"/>
  <c r="AQ32" i="42"/>
  <c r="AP32" i="42"/>
  <c r="AO32" i="42"/>
  <c r="AN32" i="42"/>
  <c r="AL32" i="42"/>
  <c r="AK32" i="42"/>
  <c r="AJ32" i="42"/>
  <c r="AI32" i="42"/>
  <c r="AG32" i="42"/>
  <c r="AF32" i="42"/>
  <c r="AE32" i="42"/>
  <c r="AD32" i="42"/>
  <c r="AA32" i="42"/>
  <c r="Z32" i="42"/>
  <c r="Y32" i="42"/>
  <c r="X32" i="42"/>
  <c r="V28" i="42"/>
  <c r="T26" i="42"/>
  <c r="R26" i="42"/>
  <c r="P26" i="42"/>
  <c r="N26" i="42"/>
  <c r="L26" i="42"/>
  <c r="J26" i="42"/>
  <c r="H26" i="42"/>
  <c r="F26" i="42"/>
  <c r="D26" i="42"/>
  <c r="B26" i="42"/>
  <c r="AQ22" i="42"/>
  <c r="AP22" i="42"/>
  <c r="AO22" i="42"/>
  <c r="AN22" i="42"/>
  <c r="AL22" i="42"/>
  <c r="AK22" i="42"/>
  <c r="AJ22" i="42"/>
  <c r="AI22" i="42"/>
  <c r="AG22" i="42"/>
  <c r="AF22" i="42"/>
  <c r="AE22" i="42"/>
  <c r="AD22" i="42"/>
  <c r="AA22" i="42"/>
  <c r="Z22" i="42"/>
  <c r="Y22" i="42"/>
  <c r="X22" i="42"/>
  <c r="V19" i="42"/>
  <c r="T17" i="42"/>
  <c r="R17" i="42"/>
  <c r="P17" i="42"/>
  <c r="N17" i="42"/>
  <c r="L17" i="42"/>
  <c r="J17" i="42"/>
  <c r="H17" i="42"/>
  <c r="F17" i="42"/>
  <c r="D17" i="42"/>
  <c r="B17" i="42"/>
  <c r="AQ12" i="42"/>
  <c r="AP12" i="42"/>
  <c r="AO12" i="42"/>
  <c r="AN12" i="42"/>
  <c r="AL12" i="42"/>
  <c r="AK12" i="42"/>
  <c r="AJ12" i="42"/>
  <c r="AI12" i="42"/>
  <c r="AG12" i="42"/>
  <c r="AF12" i="42"/>
  <c r="AE12" i="42"/>
  <c r="AD12" i="42"/>
  <c r="AA12" i="42"/>
  <c r="Z12" i="42"/>
  <c r="Y12" i="42"/>
  <c r="X12" i="42"/>
  <c r="U10" i="42"/>
  <c r="S8" i="42"/>
  <c r="Q8" i="42"/>
  <c r="O8" i="42"/>
  <c r="M8" i="42"/>
  <c r="K8" i="42"/>
  <c r="I8" i="42"/>
  <c r="G8" i="42"/>
  <c r="E8" i="42"/>
  <c r="C8" i="42"/>
  <c r="Q6" i="42"/>
  <c r="N6" i="42"/>
  <c r="J6" i="42"/>
  <c r="H42" i="45"/>
  <c r="G42" i="45"/>
  <c r="F42" i="45"/>
  <c r="B41" i="45"/>
  <c r="B40" i="45"/>
  <c r="B39" i="45"/>
  <c r="B38" i="45"/>
  <c r="B37" i="45"/>
  <c r="B36" i="45"/>
  <c r="B35" i="45"/>
  <c r="B34" i="45"/>
  <c r="B33" i="45"/>
  <c r="B32" i="45"/>
  <c r="B31" i="45"/>
  <c r="B30" i="45"/>
  <c r="B29" i="45"/>
  <c r="B28" i="45"/>
  <c r="B27" i="45"/>
  <c r="B26" i="45"/>
  <c r="B25" i="45"/>
  <c r="B24" i="45"/>
  <c r="B23" i="45"/>
  <c r="B22" i="45"/>
  <c r="B21" i="45"/>
  <c r="B20" i="45"/>
  <c r="B19" i="45"/>
  <c r="B18" i="45"/>
  <c r="B17" i="45"/>
  <c r="B16" i="45"/>
  <c r="B15" i="45"/>
  <c r="B14" i="45"/>
  <c r="B13" i="45"/>
  <c r="B12" i="45"/>
  <c r="B11" i="45"/>
  <c r="B10" i="45"/>
  <c r="B9" i="45"/>
  <c r="B8" i="45"/>
  <c r="B7" i="45"/>
  <c r="B6" i="45"/>
  <c r="B5" i="45"/>
  <c r="AH314" i="46"/>
  <c r="AG314" i="46"/>
  <c r="AF314" i="46"/>
  <c r="N16" i="46"/>
  <c r="A16" i="46"/>
  <c r="N15" i="46"/>
  <c r="A15" i="46"/>
  <c r="N14" i="46"/>
  <c r="A14" i="46"/>
  <c r="N13" i="46"/>
  <c r="A13" i="46"/>
  <c r="N12" i="46"/>
  <c r="A12" i="46"/>
  <c r="N11" i="46"/>
  <c r="A11" i="46"/>
  <c r="N10" i="46"/>
  <c r="A10" i="46"/>
  <c r="N9" i="46"/>
  <c r="A9" i="46"/>
  <c r="N8" i="46"/>
  <c r="A2" i="46"/>
  <c r="AO309" i="67"/>
  <c r="AN309" i="67"/>
  <c r="AM309" i="67"/>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N20" i="67"/>
  <c r="AM20" i="67"/>
  <c r="A16" i="67"/>
  <c r="A15" i="67"/>
  <c r="N14" i="67"/>
  <c r="A14" i="67"/>
  <c r="N13" i="67"/>
  <c r="A13" i="67"/>
  <c r="N12" i="67"/>
  <c r="A12" i="67"/>
  <c r="N11" i="67"/>
  <c r="A11" i="67"/>
  <c r="N10" i="67"/>
  <c r="A10" i="67"/>
  <c r="N9" i="67"/>
  <c r="A9" i="67"/>
  <c r="N8" i="67"/>
  <c r="A8" i="67"/>
  <c r="N7" i="67"/>
  <c r="AB2" i="67"/>
  <c r="D128" i="52"/>
  <c r="D101" i="52"/>
  <c r="D99" i="52"/>
  <c r="D74" i="52"/>
  <c r="Z73" i="52"/>
  <c r="Y73" i="52"/>
  <c r="D73" i="52"/>
  <c r="Y72" i="52"/>
  <c r="Y77" i="52" s="1"/>
  <c r="Y80" i="52" s="1"/>
  <c r="D66" i="52"/>
  <c r="D34" i="66"/>
  <c r="D33" i="66"/>
  <c r="D32" i="66"/>
  <c r="D31" i="66"/>
  <c r="D30" i="66"/>
  <c r="D29" i="66"/>
  <c r="D28" i="66"/>
  <c r="D27" i="66"/>
  <c r="D26" i="66"/>
  <c r="D25" i="66"/>
  <c r="D24" i="66"/>
  <c r="D23" i="66"/>
  <c r="D22" i="66"/>
  <c r="D21" i="66"/>
  <c r="D20" i="66"/>
  <c r="D19" i="66"/>
  <c r="D18" i="66"/>
  <c r="D17" i="66"/>
  <c r="D16" i="66"/>
  <c r="D15" i="66"/>
  <c r="D14" i="66"/>
  <c r="D13" i="66"/>
  <c r="D12" i="66"/>
  <c r="D11" i="66"/>
  <c r="D10" i="66"/>
  <c r="D9" i="66"/>
  <c r="D8" i="66"/>
  <c r="D7" i="66"/>
  <c r="D6" i="66"/>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A5" i="64"/>
  <c r="A4" i="64"/>
  <c r="A3" i="64"/>
  <c r="G33" i="58"/>
  <c r="G32" i="58"/>
  <c r="G31" i="58"/>
  <c r="F31" i="58"/>
  <c r="E31" i="58"/>
  <c r="U30" i="58"/>
  <c r="T30" i="58"/>
  <c r="G30" i="58"/>
  <c r="F30" i="58"/>
  <c r="E30" i="58"/>
  <c r="F29" i="58"/>
  <c r="E29" i="58"/>
  <c r="T28" i="58"/>
  <c r="T27" i="58"/>
  <c r="T26" i="58"/>
  <c r="S26" i="58"/>
  <c r="R26" i="58"/>
  <c r="T25" i="58"/>
  <c r="S25" i="58"/>
  <c r="R25" i="58"/>
  <c r="S24" i="58"/>
  <c r="R24" i="58"/>
  <c r="S15" i="58"/>
  <c r="S14" i="58"/>
  <c r="S13" i="58"/>
  <c r="R13" i="58"/>
  <c r="Q13" i="58"/>
  <c r="S12" i="58"/>
  <c r="R12" i="58"/>
  <c r="Q12" i="58"/>
  <c r="R11" i="58"/>
  <c r="Q11" i="58"/>
  <c r="J11" i="58"/>
  <c r="G11" i="58"/>
  <c r="G10" i="58"/>
  <c r="G9" i="58"/>
  <c r="F9" i="58"/>
  <c r="E9" i="58"/>
  <c r="G8" i="58"/>
  <c r="F8" i="58"/>
  <c r="E8" i="58"/>
  <c r="F7" i="58"/>
  <c r="E7" i="58"/>
  <c r="B26" i="60"/>
  <c r="B25" i="60"/>
  <c r="B24" i="60"/>
  <c r="B23" i="60"/>
  <c r="B22" i="60"/>
  <c r="B21" i="60"/>
  <c r="B20" i="60"/>
  <c r="B19" i="60"/>
  <c r="B18" i="60"/>
  <c r="B17" i="60"/>
  <c r="B16" i="60"/>
  <c r="B15" i="60"/>
  <c r="B14" i="60"/>
  <c r="B13" i="60"/>
  <c r="B12" i="60"/>
  <c r="B11" i="60"/>
  <c r="B10" i="60"/>
  <c r="B9" i="60"/>
  <c r="B8" i="60"/>
  <c r="B7" i="60"/>
  <c r="B6" i="60"/>
  <c r="B5" i="60"/>
  <c r="B4" i="60"/>
  <c r="B3" i="60"/>
  <c r="A40" i="38"/>
  <c r="A39" i="38"/>
  <c r="A38" i="38"/>
  <c r="A37" i="38"/>
  <c r="A36" i="38"/>
  <c r="A35" i="38"/>
  <c r="A34" i="38"/>
  <c r="A33" i="38"/>
  <c r="A32" i="38"/>
  <c r="A31" i="38"/>
  <c r="A30" i="38"/>
  <c r="A29" i="38"/>
  <c r="A28" i="38"/>
  <c r="A27" i="38"/>
  <c r="A26" i="38"/>
  <c r="A25" i="38"/>
  <c r="A24" i="38"/>
  <c r="A23" i="38"/>
  <c r="A22" i="38"/>
  <c r="A21" i="38"/>
  <c r="A20" i="38"/>
  <c r="A19" i="38"/>
  <c r="A18" i="38"/>
  <c r="A17" i="38"/>
  <c r="A16" i="38"/>
  <c r="A15" i="38"/>
  <c r="A14" i="38"/>
  <c r="A13" i="38"/>
  <c r="A12" i="38"/>
  <c r="A11" i="38"/>
  <c r="A10" i="38"/>
  <c r="N424" i="31"/>
  <c r="M424" i="31"/>
  <c r="L424" i="31"/>
  <c r="K424" i="31"/>
  <c r="J424" i="31"/>
  <c r="I424" i="31"/>
  <c r="H424" i="31"/>
  <c r="G424" i="31"/>
  <c r="N422" i="31"/>
  <c r="X421" i="31"/>
  <c r="X420" i="31"/>
  <c r="AF419" i="31"/>
  <c r="AE419" i="31"/>
  <c r="AE418" i="31"/>
  <c r="X416" i="31"/>
  <c r="X415" i="31"/>
  <c r="Z414" i="31"/>
  <c r="Y414" i="31"/>
  <c r="X414" i="31"/>
  <c r="A414" i="31"/>
  <c r="AE413" i="31"/>
  <c r="W413" i="31"/>
  <c r="K411" i="31"/>
  <c r="I411" i="31"/>
  <c r="G411" i="31"/>
  <c r="E411" i="31"/>
  <c r="C411" i="31"/>
  <c r="X408" i="31"/>
  <c r="X407" i="31"/>
  <c r="Z406" i="31"/>
  <c r="Y406" i="31"/>
  <c r="X406" i="31"/>
  <c r="A406" i="31"/>
  <c r="AE405" i="31"/>
  <c r="W405" i="31"/>
  <c r="U403" i="31"/>
  <c r="S403" i="31"/>
  <c r="Q403" i="31"/>
  <c r="O403" i="31"/>
  <c r="M403" i="31"/>
  <c r="K403" i="31"/>
  <c r="I403" i="31"/>
  <c r="G403" i="31"/>
  <c r="E403" i="31"/>
  <c r="C403" i="31"/>
  <c r="X399" i="31"/>
  <c r="X398" i="31"/>
  <c r="Z397" i="31"/>
  <c r="Y397" i="31"/>
  <c r="X397" i="31"/>
  <c r="A397" i="31"/>
  <c r="AE396" i="31"/>
  <c r="W396" i="31"/>
  <c r="U394" i="31"/>
  <c r="S394" i="31"/>
  <c r="Q394" i="31"/>
  <c r="O394" i="31"/>
  <c r="M394" i="31"/>
  <c r="K394" i="31"/>
  <c r="I394" i="31"/>
  <c r="G394" i="31"/>
  <c r="E394" i="31"/>
  <c r="C394" i="31"/>
  <c r="X391" i="31"/>
  <c r="X390" i="31"/>
  <c r="Z389" i="31"/>
  <c r="Y389" i="31"/>
  <c r="X389" i="31"/>
  <c r="A389" i="31"/>
  <c r="AE388" i="31"/>
  <c r="W388" i="31"/>
  <c r="U386" i="31"/>
  <c r="S386" i="31"/>
  <c r="Q386" i="31"/>
  <c r="O386" i="31"/>
  <c r="M386" i="31"/>
  <c r="K386" i="31"/>
  <c r="I386" i="31"/>
  <c r="G386" i="31"/>
  <c r="E386" i="31"/>
  <c r="C386" i="31"/>
  <c r="X382" i="31"/>
  <c r="X381" i="31"/>
  <c r="Z380" i="31"/>
  <c r="Y380" i="31"/>
  <c r="X380" i="31"/>
  <c r="A380" i="31"/>
  <c r="AE379" i="31"/>
  <c r="W379" i="31"/>
  <c r="U377" i="31"/>
  <c r="S377" i="31"/>
  <c r="Q377" i="31"/>
  <c r="O377" i="31"/>
  <c r="M377" i="31"/>
  <c r="K377" i="31"/>
  <c r="I377" i="31"/>
  <c r="G377" i="31"/>
  <c r="E377" i="31"/>
  <c r="C377" i="31"/>
  <c r="X374" i="31"/>
  <c r="X373" i="31"/>
  <c r="Z372" i="31"/>
  <c r="Y372" i="31"/>
  <c r="X372" i="31"/>
  <c r="A372" i="31"/>
  <c r="AE371" i="31"/>
  <c r="W371" i="31"/>
  <c r="U369" i="31"/>
  <c r="S369" i="31"/>
  <c r="Q369" i="31"/>
  <c r="O369" i="31"/>
  <c r="M369" i="31"/>
  <c r="K369" i="31"/>
  <c r="I369" i="31"/>
  <c r="G369" i="31"/>
  <c r="E369" i="31"/>
  <c r="C369" i="31"/>
  <c r="X365" i="31"/>
  <c r="X364" i="31"/>
  <c r="Z363" i="31"/>
  <c r="Y363" i="31"/>
  <c r="X363" i="31"/>
  <c r="A363" i="31"/>
  <c r="AE362" i="31"/>
  <c r="W362" i="31"/>
  <c r="U360" i="31"/>
  <c r="S360" i="31"/>
  <c r="Q360" i="31"/>
  <c r="O360" i="31"/>
  <c r="M360" i="31"/>
  <c r="K360" i="31"/>
  <c r="I360" i="31"/>
  <c r="G360" i="31"/>
  <c r="E360" i="31"/>
  <c r="C360" i="31"/>
  <c r="X357" i="31"/>
  <c r="X356" i="31"/>
  <c r="Z355" i="31"/>
  <c r="Y355" i="31"/>
  <c r="X355" i="31"/>
  <c r="A355" i="31"/>
  <c r="AE354" i="31"/>
  <c r="W354" i="31"/>
  <c r="U352" i="31"/>
  <c r="S352" i="31"/>
  <c r="Q352" i="31"/>
  <c r="O352" i="31"/>
  <c r="M352" i="31"/>
  <c r="K352" i="31"/>
  <c r="I352" i="31"/>
  <c r="G352" i="31"/>
  <c r="E352" i="31"/>
  <c r="C352" i="31"/>
  <c r="X349" i="31"/>
  <c r="X348" i="31"/>
  <c r="Z347" i="31"/>
  <c r="Y347" i="31"/>
  <c r="X347" i="31"/>
  <c r="A347" i="31"/>
  <c r="AE346" i="31"/>
  <c r="W346" i="31"/>
  <c r="U344" i="31"/>
  <c r="S344" i="31"/>
  <c r="Q344" i="31"/>
  <c r="O344" i="31"/>
  <c r="M344" i="31"/>
  <c r="K344" i="31"/>
  <c r="I344" i="31"/>
  <c r="G344" i="31"/>
  <c r="E344" i="31"/>
  <c r="C344" i="31"/>
  <c r="X341" i="31"/>
  <c r="X340" i="31"/>
  <c r="Z339" i="31"/>
  <c r="Y339" i="31"/>
  <c r="X339" i="31"/>
  <c r="A339" i="31"/>
  <c r="AE338" i="31"/>
  <c r="W338" i="31"/>
  <c r="U336" i="31"/>
  <c r="S336" i="31"/>
  <c r="Q336" i="31"/>
  <c r="O336" i="31"/>
  <c r="M336" i="31"/>
  <c r="K336" i="31"/>
  <c r="I336" i="31"/>
  <c r="G336" i="31"/>
  <c r="E336" i="31"/>
  <c r="C336" i="31"/>
  <c r="X332" i="31"/>
  <c r="X331" i="31"/>
  <c r="Z330" i="31"/>
  <c r="Y330" i="31"/>
  <c r="X330" i="31"/>
  <c r="A330" i="31"/>
  <c r="AE329" i="31"/>
  <c r="W329" i="31"/>
  <c r="U327" i="31"/>
  <c r="S327" i="31"/>
  <c r="Q327" i="31"/>
  <c r="O327" i="31"/>
  <c r="M327" i="31"/>
  <c r="K327" i="31"/>
  <c r="I327" i="31"/>
  <c r="G327" i="31"/>
  <c r="E327" i="31"/>
  <c r="C327" i="31"/>
  <c r="X324" i="31"/>
  <c r="X323" i="31"/>
  <c r="Z322" i="31"/>
  <c r="Y322" i="31"/>
  <c r="X322" i="31"/>
  <c r="A322" i="31"/>
  <c r="AE321" i="31"/>
  <c r="W321" i="31"/>
  <c r="U319" i="31"/>
  <c r="S319" i="31"/>
  <c r="Q319" i="31"/>
  <c r="O319" i="31"/>
  <c r="M319" i="31"/>
  <c r="K319" i="31"/>
  <c r="I319" i="31"/>
  <c r="G319" i="31"/>
  <c r="E319" i="31"/>
  <c r="C319" i="31"/>
  <c r="X316" i="31"/>
  <c r="X315" i="31"/>
  <c r="Z314" i="31"/>
  <c r="Y314" i="31"/>
  <c r="X314" i="31"/>
  <c r="A314" i="31"/>
  <c r="AE313" i="31"/>
  <c r="W313" i="31"/>
  <c r="U311" i="31"/>
  <c r="S311" i="31"/>
  <c r="Q311" i="31"/>
  <c r="O311" i="31"/>
  <c r="M311" i="31"/>
  <c r="K311" i="31"/>
  <c r="I311" i="31"/>
  <c r="G311" i="31"/>
  <c r="E311" i="31"/>
  <c r="C311" i="31"/>
  <c r="X308" i="31"/>
  <c r="X307" i="31"/>
  <c r="Z306" i="31"/>
  <c r="Y306" i="31"/>
  <c r="X306" i="31"/>
  <c r="A306" i="31"/>
  <c r="AE305" i="31"/>
  <c r="W305" i="31"/>
  <c r="U303" i="31"/>
  <c r="S303" i="31"/>
  <c r="Q303" i="31"/>
  <c r="O303" i="31"/>
  <c r="M303" i="31"/>
  <c r="K303" i="31"/>
  <c r="I303" i="31"/>
  <c r="G303" i="31"/>
  <c r="E303" i="31"/>
  <c r="C303" i="31"/>
  <c r="X300" i="31"/>
  <c r="X299" i="31"/>
  <c r="Z298" i="31"/>
  <c r="Y298" i="31"/>
  <c r="X298" i="31"/>
  <c r="A298" i="31"/>
  <c r="AE297" i="31"/>
  <c r="U295" i="31"/>
  <c r="S295" i="31"/>
  <c r="Q295" i="31"/>
  <c r="O295" i="31"/>
  <c r="M295" i="31"/>
  <c r="K295" i="31"/>
  <c r="I295" i="31"/>
  <c r="G295" i="31"/>
  <c r="E295" i="31"/>
  <c r="C295" i="31"/>
  <c r="X292" i="31"/>
  <c r="X291" i="31"/>
  <c r="Z290" i="31"/>
  <c r="Y290" i="31"/>
  <c r="X290" i="31"/>
  <c r="A290" i="31"/>
  <c r="AE289" i="31"/>
  <c r="W289" i="31"/>
  <c r="U287" i="31"/>
  <c r="S287" i="31"/>
  <c r="Q287" i="31"/>
  <c r="O287" i="31"/>
  <c r="M287" i="31"/>
  <c r="K287" i="31"/>
  <c r="I287" i="31"/>
  <c r="G287" i="31"/>
  <c r="E287" i="31"/>
  <c r="C287" i="31"/>
  <c r="X284" i="31"/>
  <c r="X283" i="31"/>
  <c r="Z282" i="31"/>
  <c r="Y282" i="31"/>
  <c r="X282" i="31"/>
  <c r="A282" i="31"/>
  <c r="AE281" i="31"/>
  <c r="W281" i="31"/>
  <c r="U279" i="31"/>
  <c r="S279" i="31"/>
  <c r="Q279" i="31"/>
  <c r="O279" i="31"/>
  <c r="M279" i="31"/>
  <c r="K279" i="31"/>
  <c r="I279" i="31"/>
  <c r="G279" i="31"/>
  <c r="E279" i="31"/>
  <c r="C279" i="31"/>
  <c r="X276" i="31"/>
  <c r="X275" i="31"/>
  <c r="Z274" i="31"/>
  <c r="Y274" i="31"/>
  <c r="X274" i="31"/>
  <c r="A274" i="31"/>
  <c r="AE273" i="31"/>
  <c r="U272" i="31"/>
  <c r="S272" i="31"/>
  <c r="Q272" i="31"/>
  <c r="O272" i="31"/>
  <c r="M272" i="31"/>
  <c r="K272" i="31"/>
  <c r="I272" i="31"/>
  <c r="G272" i="31"/>
  <c r="E272" i="31"/>
  <c r="C272" i="31"/>
  <c r="X268" i="31"/>
  <c r="X267" i="31"/>
  <c r="Z266" i="31"/>
  <c r="Y266" i="31"/>
  <c r="X266" i="31"/>
  <c r="A266" i="31"/>
  <c r="AE265" i="31"/>
  <c r="U264" i="31"/>
  <c r="S264" i="31"/>
  <c r="Q264" i="31"/>
  <c r="O264" i="31"/>
  <c r="M264" i="31"/>
  <c r="K264" i="31"/>
  <c r="I264" i="31"/>
  <c r="G264" i="31"/>
  <c r="E264" i="31"/>
  <c r="C264" i="31"/>
  <c r="X260" i="31"/>
  <c r="X259" i="31"/>
  <c r="Z258" i="31"/>
  <c r="Y258" i="31"/>
  <c r="X258" i="31"/>
  <c r="A258" i="31"/>
  <c r="AE257" i="31"/>
  <c r="U256" i="31"/>
  <c r="S256" i="31"/>
  <c r="Q256" i="31"/>
  <c r="O256" i="31"/>
  <c r="M256" i="31"/>
  <c r="K256" i="31"/>
  <c r="I256" i="31"/>
  <c r="G256" i="31"/>
  <c r="E256" i="31"/>
  <c r="C256" i="31"/>
  <c r="X251" i="31"/>
  <c r="X250" i="31"/>
  <c r="Z249" i="31"/>
  <c r="Y249" i="31"/>
  <c r="X249" i="31"/>
  <c r="A249" i="31"/>
  <c r="AE248" i="31"/>
  <c r="U247" i="31"/>
  <c r="S247" i="31"/>
  <c r="Q247" i="31"/>
  <c r="O247" i="31"/>
  <c r="M247" i="31"/>
  <c r="K247" i="31"/>
  <c r="I247" i="31"/>
  <c r="G247" i="31"/>
  <c r="E247" i="31"/>
  <c r="C247" i="31"/>
  <c r="X243" i="31"/>
  <c r="X242" i="31"/>
  <c r="Z241" i="31"/>
  <c r="Y241" i="31"/>
  <c r="X241" i="31"/>
  <c r="A241" i="31"/>
  <c r="AE240" i="31"/>
  <c r="U239" i="31"/>
  <c r="S239" i="31"/>
  <c r="Q239" i="31"/>
  <c r="O239" i="31"/>
  <c r="M239" i="31"/>
  <c r="K239" i="31"/>
  <c r="I239" i="31"/>
  <c r="G239" i="31"/>
  <c r="E239" i="31"/>
  <c r="C239" i="31"/>
  <c r="X234" i="31"/>
  <c r="X233" i="31"/>
  <c r="Z232" i="31"/>
  <c r="Y232" i="31"/>
  <c r="X232" i="31"/>
  <c r="A232" i="31"/>
  <c r="AE231" i="31"/>
  <c r="U230" i="31"/>
  <c r="S230" i="31"/>
  <c r="Q230" i="31"/>
  <c r="O230" i="31"/>
  <c r="M230" i="31"/>
  <c r="K230" i="31"/>
  <c r="I230" i="31"/>
  <c r="G230" i="31"/>
  <c r="E230" i="31"/>
  <c r="C230" i="31"/>
  <c r="X226" i="31"/>
  <c r="X225" i="31"/>
  <c r="Z224" i="31"/>
  <c r="Y224" i="31"/>
  <c r="X224" i="31"/>
  <c r="A224" i="31"/>
  <c r="AE223" i="31"/>
  <c r="U222" i="31"/>
  <c r="S222" i="31"/>
  <c r="Q222" i="31"/>
  <c r="O222" i="31"/>
  <c r="M222" i="31"/>
  <c r="K222" i="31"/>
  <c r="I222" i="31"/>
  <c r="G222" i="31"/>
  <c r="E222" i="31"/>
  <c r="C222" i="31"/>
  <c r="X218" i="31"/>
  <c r="X217" i="31"/>
  <c r="Z216" i="31"/>
  <c r="Y216" i="31"/>
  <c r="X216" i="31"/>
  <c r="A216" i="31"/>
  <c r="AE215" i="31"/>
  <c r="U214" i="31"/>
  <c r="S214" i="31"/>
  <c r="Q214" i="31"/>
  <c r="O214" i="31"/>
  <c r="M214" i="31"/>
  <c r="K214" i="31"/>
  <c r="I214" i="31"/>
  <c r="G214" i="31"/>
  <c r="E214" i="31"/>
  <c r="C214" i="31"/>
  <c r="X210" i="31"/>
  <c r="X209" i="31"/>
  <c r="Z208" i="31"/>
  <c r="Y208" i="31"/>
  <c r="X208" i="31"/>
  <c r="A208" i="31"/>
  <c r="AE207" i="31"/>
  <c r="U206" i="31"/>
  <c r="S206" i="31"/>
  <c r="Q206" i="31"/>
  <c r="O206" i="31"/>
  <c r="M206" i="31"/>
  <c r="K206" i="31"/>
  <c r="I206" i="31"/>
  <c r="G206" i="31"/>
  <c r="E206" i="31"/>
  <c r="C206" i="31"/>
  <c r="X201" i="31"/>
  <c r="X200" i="31"/>
  <c r="Z199" i="31"/>
  <c r="Y199" i="31"/>
  <c r="X199" i="31"/>
  <c r="A199" i="31"/>
  <c r="AE198" i="31"/>
  <c r="U197" i="31"/>
  <c r="S197" i="31"/>
  <c r="Q197" i="31"/>
  <c r="O197" i="31"/>
  <c r="M197" i="31"/>
  <c r="K197" i="31"/>
  <c r="I197" i="31"/>
  <c r="G197" i="31"/>
  <c r="E197" i="31"/>
  <c r="C197" i="31"/>
  <c r="X193" i="31"/>
  <c r="X192" i="31"/>
  <c r="Z191" i="31"/>
  <c r="Y191" i="31"/>
  <c r="X191" i="31"/>
  <c r="A191" i="31"/>
  <c r="AE190" i="31"/>
  <c r="U189" i="31"/>
  <c r="S189" i="31"/>
  <c r="Q189" i="31"/>
  <c r="O189" i="31"/>
  <c r="M189" i="31"/>
  <c r="K189" i="31"/>
  <c r="I189" i="31"/>
  <c r="G189" i="31"/>
  <c r="E189" i="31"/>
  <c r="C189" i="31"/>
  <c r="X184" i="31"/>
  <c r="X183" i="31"/>
  <c r="Z182" i="31"/>
  <c r="Y182" i="31"/>
  <c r="X182" i="31"/>
  <c r="A182" i="31"/>
  <c r="AE181" i="31"/>
  <c r="U180" i="31"/>
  <c r="S180" i="31"/>
  <c r="Q180" i="31"/>
  <c r="O180" i="31"/>
  <c r="M180" i="31"/>
  <c r="K180" i="31"/>
  <c r="I180" i="31"/>
  <c r="G180" i="31"/>
  <c r="E180" i="31"/>
  <c r="C180" i="31"/>
  <c r="X175" i="31"/>
  <c r="X174" i="31"/>
  <c r="Z173" i="31"/>
  <c r="Y173" i="31"/>
  <c r="X173" i="31"/>
  <c r="A173" i="31"/>
  <c r="AE172" i="31"/>
  <c r="U171" i="31"/>
  <c r="S171" i="31"/>
  <c r="Q171" i="31"/>
  <c r="O171" i="31"/>
  <c r="M171" i="31"/>
  <c r="K171" i="31"/>
  <c r="I171" i="31"/>
  <c r="G171" i="31"/>
  <c r="E171" i="31"/>
  <c r="C171" i="31"/>
  <c r="X166" i="31"/>
  <c r="X165" i="31"/>
  <c r="Z164" i="31"/>
  <c r="Y164" i="31"/>
  <c r="X164" i="31"/>
  <c r="A164" i="31"/>
  <c r="AE163" i="31"/>
  <c r="U162" i="31"/>
  <c r="S162" i="31"/>
  <c r="Q162" i="31"/>
  <c r="O162" i="31"/>
  <c r="M162" i="31"/>
  <c r="K162" i="31"/>
  <c r="I162" i="31"/>
  <c r="G162" i="31"/>
  <c r="E162" i="31"/>
  <c r="C162" i="31"/>
  <c r="X158" i="31"/>
  <c r="X157" i="31"/>
  <c r="Z156" i="31"/>
  <c r="Y156" i="31"/>
  <c r="X156" i="31"/>
  <c r="A156" i="31"/>
  <c r="AE155" i="31"/>
  <c r="W155" i="31"/>
  <c r="U153" i="31"/>
  <c r="S153" i="31"/>
  <c r="Q153" i="31"/>
  <c r="O153" i="31"/>
  <c r="M153" i="31"/>
  <c r="K153" i="31"/>
  <c r="I153" i="31"/>
  <c r="G153" i="31"/>
  <c r="E153" i="31"/>
  <c r="C153" i="31"/>
  <c r="X150" i="31"/>
  <c r="X149" i="31"/>
  <c r="Z148" i="31"/>
  <c r="Y148" i="31"/>
  <c r="X148" i="31"/>
  <c r="A148" i="31"/>
  <c r="AE147" i="31"/>
  <c r="W147" i="31"/>
  <c r="U145" i="31"/>
  <c r="S145" i="31"/>
  <c r="Q145" i="31"/>
  <c r="O145" i="31"/>
  <c r="M145" i="31"/>
  <c r="K145" i="31"/>
  <c r="I145" i="31"/>
  <c r="G145" i="31"/>
  <c r="E145" i="31"/>
  <c r="C145" i="31"/>
  <c r="X142" i="31"/>
  <c r="X141" i="31"/>
  <c r="Z140" i="31"/>
  <c r="Y140" i="31"/>
  <c r="X140" i="31"/>
  <c r="A140" i="31"/>
  <c r="AE139" i="31"/>
  <c r="W139" i="31"/>
  <c r="U137" i="31"/>
  <c r="S137" i="31"/>
  <c r="Q137" i="31"/>
  <c r="O137" i="31"/>
  <c r="M137" i="31"/>
  <c r="K137" i="31"/>
  <c r="I137" i="31"/>
  <c r="G137" i="31"/>
  <c r="E137" i="31"/>
  <c r="C137" i="31"/>
  <c r="X134" i="31"/>
  <c r="X133" i="31"/>
  <c r="Z132" i="31"/>
  <c r="Y132" i="31"/>
  <c r="X132" i="31"/>
  <c r="A132" i="31"/>
  <c r="AE131" i="31"/>
  <c r="W131" i="31"/>
  <c r="U129" i="31"/>
  <c r="S129" i="31"/>
  <c r="Q129" i="31"/>
  <c r="O129" i="31"/>
  <c r="M129" i="31"/>
  <c r="K129" i="31"/>
  <c r="I129" i="31"/>
  <c r="G129" i="31"/>
  <c r="E129" i="31"/>
  <c r="C129" i="31"/>
  <c r="X125" i="31"/>
  <c r="X124" i="31"/>
  <c r="Z123" i="31"/>
  <c r="Y123" i="31"/>
  <c r="X123" i="31"/>
  <c r="A123" i="31"/>
  <c r="AE122" i="31"/>
  <c r="W122" i="31"/>
  <c r="U120" i="31"/>
  <c r="S120" i="31"/>
  <c r="Q120" i="31"/>
  <c r="O120" i="31"/>
  <c r="M120" i="31"/>
  <c r="K120" i="31"/>
  <c r="I120" i="31"/>
  <c r="G120" i="31"/>
  <c r="E120" i="31"/>
  <c r="C120" i="31"/>
  <c r="X116" i="31"/>
  <c r="X115" i="31"/>
  <c r="Z114" i="31"/>
  <c r="Y114" i="31"/>
  <c r="X114" i="31"/>
  <c r="A114" i="31"/>
  <c r="AE113" i="31"/>
  <c r="W113" i="31"/>
  <c r="U111" i="31"/>
  <c r="S111" i="31"/>
  <c r="Q111" i="31"/>
  <c r="O111" i="31"/>
  <c r="M111" i="31"/>
  <c r="K111" i="31"/>
  <c r="I111" i="31"/>
  <c r="G111" i="31"/>
  <c r="E111" i="31"/>
  <c r="C111" i="31"/>
  <c r="X107" i="31"/>
  <c r="X106" i="31"/>
  <c r="Z105" i="31"/>
  <c r="Y105" i="31"/>
  <c r="X105" i="31"/>
  <c r="A105" i="31"/>
  <c r="AE104" i="31"/>
  <c r="W104" i="31"/>
  <c r="U102" i="31"/>
  <c r="S102" i="31"/>
  <c r="Q102" i="31"/>
  <c r="O102" i="31"/>
  <c r="M102" i="31"/>
  <c r="K102" i="31"/>
  <c r="I102" i="31"/>
  <c r="G102" i="31"/>
  <c r="E102" i="31"/>
  <c r="C102" i="31"/>
  <c r="X98" i="31"/>
  <c r="X97" i="31"/>
  <c r="Z96" i="31"/>
  <c r="Y96" i="31"/>
  <c r="X96" i="31"/>
  <c r="A96" i="31"/>
  <c r="AE95" i="31"/>
  <c r="W95" i="31"/>
  <c r="U93" i="31"/>
  <c r="S93" i="31"/>
  <c r="Q93" i="31"/>
  <c r="O93" i="31"/>
  <c r="M93" i="31"/>
  <c r="K93" i="31"/>
  <c r="I93" i="31"/>
  <c r="G93" i="31"/>
  <c r="E93" i="31"/>
  <c r="C93" i="31"/>
  <c r="X89" i="31"/>
  <c r="X88" i="31"/>
  <c r="Z87" i="31"/>
  <c r="Y87" i="31"/>
  <c r="X87" i="31"/>
  <c r="A87" i="31"/>
  <c r="AE86" i="31"/>
  <c r="W86" i="31"/>
  <c r="U84" i="31"/>
  <c r="S84" i="31"/>
  <c r="Q84" i="31"/>
  <c r="O84" i="31"/>
  <c r="M84" i="31"/>
  <c r="K84" i="31"/>
  <c r="I84" i="31"/>
  <c r="G84" i="31"/>
  <c r="E84" i="31"/>
  <c r="C84" i="31"/>
  <c r="X80" i="31"/>
  <c r="X79" i="31"/>
  <c r="Z78" i="31"/>
  <c r="Y78" i="31"/>
  <c r="X78" i="31"/>
  <c r="A78" i="31"/>
  <c r="AE77" i="31"/>
  <c r="W77" i="31"/>
  <c r="U75" i="31"/>
  <c r="S75" i="31"/>
  <c r="Q75" i="31"/>
  <c r="O75" i="31"/>
  <c r="M75" i="31"/>
  <c r="K75" i="31"/>
  <c r="I75" i="31"/>
  <c r="G75" i="31"/>
  <c r="E75" i="31"/>
  <c r="C75" i="31"/>
  <c r="X71" i="31"/>
  <c r="X70" i="31"/>
  <c r="Z69" i="31"/>
  <c r="Y69" i="31"/>
  <c r="X69" i="31"/>
  <c r="A69" i="31"/>
  <c r="AE68" i="31"/>
  <c r="W68" i="31"/>
  <c r="U66" i="31"/>
  <c r="S66" i="31"/>
  <c r="Q66" i="31"/>
  <c r="O66" i="31"/>
  <c r="M66" i="31"/>
  <c r="K66" i="31"/>
  <c r="I66" i="31"/>
  <c r="G66" i="31"/>
  <c r="E66" i="31"/>
  <c r="C66" i="31"/>
  <c r="X62" i="31"/>
  <c r="X61" i="31"/>
  <c r="Z60" i="31"/>
  <c r="Y60" i="31"/>
  <c r="X60" i="31"/>
  <c r="A60" i="31"/>
  <c r="AE59" i="31"/>
  <c r="W59" i="31"/>
  <c r="U57" i="31"/>
  <c r="S57" i="31"/>
  <c r="Q57" i="31"/>
  <c r="O57" i="31"/>
  <c r="M57" i="31"/>
  <c r="K57" i="31"/>
  <c r="I57" i="31"/>
  <c r="G57" i="31"/>
  <c r="E57" i="31"/>
  <c r="C57" i="31"/>
  <c r="X54" i="31"/>
  <c r="X53" i="31"/>
  <c r="Z52" i="31"/>
  <c r="Y52" i="31"/>
  <c r="X52" i="31"/>
  <c r="A52" i="31"/>
  <c r="AE51" i="31"/>
  <c r="W51" i="31"/>
  <c r="U49" i="31"/>
  <c r="S49" i="31"/>
  <c r="Q49" i="31"/>
  <c r="O49" i="31"/>
  <c r="M49" i="31"/>
  <c r="K49" i="31"/>
  <c r="I49" i="31"/>
  <c r="G49" i="31"/>
  <c r="E49" i="31"/>
  <c r="C49" i="31"/>
  <c r="X46" i="31"/>
  <c r="X45" i="31"/>
  <c r="Z44" i="31"/>
  <c r="Y44" i="31"/>
  <c r="X44" i="31"/>
  <c r="A44" i="31"/>
  <c r="AE43" i="31"/>
  <c r="W43" i="31"/>
  <c r="U41" i="31"/>
  <c r="S41" i="31"/>
  <c r="Q41" i="31"/>
  <c r="O41" i="31"/>
  <c r="M41" i="31"/>
  <c r="K41" i="31"/>
  <c r="I41" i="31"/>
  <c r="G41" i="31"/>
  <c r="E41" i="31"/>
  <c r="C41" i="31"/>
  <c r="X38" i="31"/>
  <c r="X37" i="31"/>
  <c r="Z36" i="31"/>
  <c r="Y36" i="31"/>
  <c r="X36" i="31"/>
  <c r="A36" i="31"/>
  <c r="AE35" i="31"/>
  <c r="W35" i="31"/>
  <c r="U33" i="31"/>
  <c r="S33" i="31"/>
  <c r="Q33" i="31"/>
  <c r="O33" i="31"/>
  <c r="M33" i="31"/>
  <c r="K33" i="31"/>
  <c r="I33" i="31"/>
  <c r="G33" i="31"/>
  <c r="E33" i="31"/>
  <c r="C33" i="31"/>
  <c r="X30" i="31"/>
  <c r="X29" i="31"/>
  <c r="Z28" i="31"/>
  <c r="Y28" i="31"/>
  <c r="X28" i="31"/>
  <c r="A28" i="31"/>
  <c r="AE27" i="31"/>
  <c r="W27" i="31"/>
  <c r="U25" i="31"/>
  <c r="S25" i="31"/>
  <c r="Q25" i="31"/>
  <c r="O25" i="31"/>
  <c r="M25" i="31"/>
  <c r="K25" i="31"/>
  <c r="I25" i="31"/>
  <c r="G25" i="31"/>
  <c r="E25" i="31"/>
  <c r="C25" i="31"/>
  <c r="X22" i="31"/>
  <c r="X21" i="31"/>
  <c r="Z20" i="31"/>
  <c r="Y20" i="31"/>
  <c r="X20" i="31"/>
  <c r="A20" i="31"/>
  <c r="AE19" i="31"/>
  <c r="W19" i="31"/>
  <c r="U17" i="31"/>
  <c r="S17" i="31"/>
  <c r="Q17" i="31"/>
  <c r="O17" i="31"/>
  <c r="M17" i="31"/>
  <c r="K17" i="31"/>
  <c r="I17" i="31"/>
  <c r="G17" i="31"/>
  <c r="E17" i="31"/>
  <c r="C17" i="31"/>
  <c r="X14" i="31"/>
  <c r="X13" i="31"/>
  <c r="Z12" i="31"/>
  <c r="Y12" i="31"/>
  <c r="X12" i="31"/>
  <c r="AE11" i="31"/>
  <c r="W11" i="31"/>
  <c r="U9" i="31"/>
  <c r="S9" i="31"/>
  <c r="Q9" i="31"/>
  <c r="O9" i="31"/>
  <c r="M9" i="31"/>
  <c r="K9" i="31"/>
  <c r="I9" i="31"/>
  <c r="G9" i="31"/>
  <c r="E9" i="31"/>
  <c r="S7" i="31"/>
  <c r="P7" i="31"/>
  <c r="L7" i="31"/>
  <c r="B174" i="40"/>
  <c r="V166" i="40"/>
  <c r="T166" i="40"/>
  <c r="R166" i="40"/>
  <c r="P166" i="40"/>
  <c r="N166" i="40"/>
  <c r="L166" i="40"/>
  <c r="J166" i="40"/>
  <c r="H166" i="40"/>
  <c r="F166" i="40"/>
  <c r="D166" i="40"/>
  <c r="B166" i="40"/>
  <c r="V158" i="40"/>
  <c r="T158" i="40"/>
  <c r="R158" i="40"/>
  <c r="P158" i="40"/>
  <c r="N158" i="40"/>
  <c r="L158" i="40"/>
  <c r="J158" i="40"/>
  <c r="H158" i="40"/>
  <c r="F158" i="40"/>
  <c r="D158" i="40"/>
  <c r="B158" i="40"/>
  <c r="V150" i="40"/>
  <c r="T150" i="40"/>
  <c r="R150" i="40"/>
  <c r="P150" i="40"/>
  <c r="N150" i="40"/>
  <c r="L150" i="40"/>
  <c r="J150" i="40"/>
  <c r="H150" i="40"/>
  <c r="F150" i="40"/>
  <c r="D150" i="40"/>
  <c r="B150" i="40"/>
  <c r="V141" i="40"/>
  <c r="T141" i="40"/>
  <c r="R141" i="40"/>
  <c r="P141" i="40"/>
  <c r="N141" i="40"/>
  <c r="L141" i="40"/>
  <c r="J141" i="40"/>
  <c r="H141" i="40"/>
  <c r="F141" i="40"/>
  <c r="D141" i="40"/>
  <c r="B141" i="40"/>
  <c r="V132" i="40"/>
  <c r="T132" i="40"/>
  <c r="R132" i="40"/>
  <c r="P132" i="40"/>
  <c r="N132" i="40"/>
  <c r="L132" i="40"/>
  <c r="J132" i="40"/>
  <c r="H132" i="40"/>
  <c r="F132" i="40"/>
  <c r="D132" i="40"/>
  <c r="B132" i="40"/>
  <c r="V123" i="40"/>
  <c r="T123" i="40"/>
  <c r="R123" i="40"/>
  <c r="P123" i="40"/>
  <c r="N123" i="40"/>
  <c r="L123" i="40"/>
  <c r="J123" i="40"/>
  <c r="H123" i="40"/>
  <c r="F123" i="40"/>
  <c r="D123" i="40"/>
  <c r="B123" i="40"/>
  <c r="T115" i="40"/>
  <c r="R115" i="40"/>
  <c r="P115" i="40"/>
  <c r="N115" i="40"/>
  <c r="L115" i="40"/>
  <c r="J115" i="40"/>
  <c r="H115" i="40"/>
  <c r="F115" i="40"/>
  <c r="D115" i="40"/>
  <c r="B115" i="40"/>
  <c r="V109" i="40"/>
  <c r="T108" i="40"/>
  <c r="R108" i="40"/>
  <c r="P108" i="40"/>
  <c r="N108" i="40"/>
  <c r="L108" i="40"/>
  <c r="J108" i="40"/>
  <c r="H108" i="40"/>
  <c r="F108" i="40"/>
  <c r="D108" i="40"/>
  <c r="B108" i="40"/>
  <c r="D101" i="40"/>
  <c r="V100" i="40"/>
  <c r="T99" i="40"/>
  <c r="R99" i="40"/>
  <c r="P99" i="40"/>
  <c r="N99" i="40"/>
  <c r="L99" i="40"/>
  <c r="J99" i="40"/>
  <c r="H99" i="40"/>
  <c r="F99" i="40"/>
  <c r="D99" i="40"/>
  <c r="B99" i="40"/>
  <c r="V92" i="40"/>
  <c r="T91" i="40"/>
  <c r="R91" i="40"/>
  <c r="P91" i="40"/>
  <c r="N91" i="40"/>
  <c r="L91" i="40"/>
  <c r="J91" i="40"/>
  <c r="H91" i="40"/>
  <c r="F91" i="40"/>
  <c r="D91" i="40"/>
  <c r="B91" i="40"/>
  <c r="T83" i="40"/>
  <c r="R83" i="40"/>
  <c r="P83" i="40"/>
  <c r="N83" i="40"/>
  <c r="L83" i="40"/>
  <c r="J83" i="40"/>
  <c r="H83" i="40"/>
  <c r="F83" i="40"/>
  <c r="D83" i="40"/>
  <c r="B83" i="40"/>
  <c r="T75" i="40"/>
  <c r="R75" i="40"/>
  <c r="P75" i="40"/>
  <c r="N75" i="40"/>
  <c r="L75" i="40"/>
  <c r="J75" i="40"/>
  <c r="H75" i="40"/>
  <c r="F75" i="40"/>
  <c r="D75" i="40"/>
  <c r="B75" i="40"/>
  <c r="T67" i="40"/>
  <c r="R67" i="40"/>
  <c r="P67" i="40"/>
  <c r="N67" i="40"/>
  <c r="L67" i="40"/>
  <c r="J67" i="40"/>
  <c r="H67" i="40"/>
  <c r="F67" i="40"/>
  <c r="D67" i="40"/>
  <c r="B67" i="40"/>
  <c r="V66" i="40"/>
  <c r="T59" i="40"/>
  <c r="R59" i="40"/>
  <c r="P59" i="40"/>
  <c r="N59" i="40"/>
  <c r="L59" i="40"/>
  <c r="J59" i="40"/>
  <c r="H59" i="40"/>
  <c r="F59" i="40"/>
  <c r="D59" i="40"/>
  <c r="B59" i="40"/>
  <c r="V58" i="40"/>
  <c r="T51" i="40"/>
  <c r="R51" i="40"/>
  <c r="P51" i="40"/>
  <c r="N51" i="40"/>
  <c r="L51" i="40"/>
  <c r="J51" i="40"/>
  <c r="H51" i="40"/>
  <c r="F51" i="40"/>
  <c r="D51" i="40"/>
  <c r="B51" i="40"/>
  <c r="V49" i="40"/>
  <c r="T43" i="40"/>
  <c r="R43" i="40"/>
  <c r="P43" i="40"/>
  <c r="N43" i="40"/>
  <c r="L43" i="40"/>
  <c r="J43" i="40"/>
  <c r="H43" i="40"/>
  <c r="F43" i="40"/>
  <c r="D43" i="40"/>
  <c r="B43" i="40"/>
  <c r="V37" i="40"/>
  <c r="T35" i="40"/>
  <c r="R35" i="40"/>
  <c r="P35" i="40"/>
  <c r="N35" i="40"/>
  <c r="L35" i="40"/>
  <c r="J35" i="40"/>
  <c r="H35" i="40"/>
  <c r="F35" i="40"/>
  <c r="D35" i="40"/>
  <c r="B35" i="40"/>
  <c r="V28" i="40"/>
  <c r="T26" i="40"/>
  <c r="R26" i="40"/>
  <c r="P26" i="40"/>
  <c r="N26" i="40"/>
  <c r="L26" i="40"/>
  <c r="J26" i="40"/>
  <c r="H26" i="40"/>
  <c r="F26" i="40"/>
  <c r="D26" i="40"/>
  <c r="B26" i="40"/>
  <c r="V19" i="40"/>
  <c r="T17" i="40"/>
  <c r="R17" i="40"/>
  <c r="P17" i="40"/>
  <c r="N17" i="40"/>
  <c r="L17" i="40"/>
  <c r="J17" i="40"/>
  <c r="H17" i="40"/>
  <c r="F17" i="40"/>
  <c r="D17" i="40"/>
  <c r="B17" i="40"/>
  <c r="U10" i="40"/>
  <c r="S8" i="40"/>
  <c r="Q8" i="40"/>
  <c r="O8" i="40"/>
  <c r="M8" i="40"/>
  <c r="K8" i="40"/>
  <c r="I8" i="40"/>
  <c r="G8" i="40"/>
  <c r="E8" i="40"/>
  <c r="C8" i="40"/>
  <c r="Q6" i="40"/>
  <c r="N6" i="40"/>
  <c r="J6" i="40"/>
  <c r="B29" i="41"/>
  <c r="B28" i="41"/>
  <c r="B27" i="41"/>
  <c r="B26" i="41"/>
  <c r="B25" i="41"/>
  <c r="B24" i="41"/>
  <c r="B23" i="41"/>
  <c r="B22" i="41"/>
  <c r="B21" i="41"/>
  <c r="B20" i="41"/>
  <c r="B19" i="41"/>
  <c r="B18" i="41"/>
  <c r="B17" i="41"/>
  <c r="B16" i="41"/>
  <c r="B15" i="41"/>
  <c r="B14" i="41"/>
  <c r="B13" i="41"/>
  <c r="B12" i="41"/>
  <c r="B11" i="41"/>
  <c r="B10" i="41"/>
  <c r="B9" i="41"/>
  <c r="B8" i="41"/>
  <c r="B7" i="41"/>
  <c r="B6" i="41"/>
  <c r="B5" i="41"/>
  <c r="J1" i="41"/>
  <c r="E19" i="65"/>
  <c r="E18" i="65"/>
  <c r="E17" i="65"/>
  <c r="E12" i="65"/>
  <c r="C11" i="65"/>
  <c r="C10" i="65"/>
  <c r="C9" i="65"/>
  <c r="C8" i="65"/>
  <c r="C7" i="65"/>
  <c r="C6" i="65"/>
  <c r="E93" i="22"/>
  <c r="E92" i="22"/>
  <c r="E91" i="22"/>
  <c r="E89" i="22"/>
  <c r="D87" i="22"/>
  <c r="B86" i="22"/>
  <c r="B85" i="22"/>
  <c r="B84" i="22"/>
  <c r="B83" i="22"/>
  <c r="B82" i="22"/>
  <c r="B81" i="22"/>
  <c r="B80" i="22"/>
  <c r="B79" i="22"/>
  <c r="B78" i="22"/>
  <c r="B77" i="22"/>
  <c r="B76" i="22"/>
  <c r="B75" i="22"/>
  <c r="B74" i="22"/>
  <c r="B73" i="22"/>
  <c r="B72" i="22"/>
  <c r="B71" i="22"/>
  <c r="B70" i="22"/>
  <c r="B69" i="22"/>
  <c r="G63" i="22"/>
  <c r="D63" i="22"/>
  <c r="A61" i="22"/>
  <c r="A60" i="22"/>
  <c r="A59" i="22"/>
  <c r="A58" i="22"/>
  <c r="A57" i="22"/>
  <c r="A56" i="22"/>
  <c r="A55" i="22"/>
  <c r="A54" i="22"/>
  <c r="A53" i="22"/>
  <c r="A52" i="22"/>
  <c r="A51" i="22"/>
  <c r="A50" i="22"/>
  <c r="A49" i="22"/>
  <c r="A48" i="22"/>
  <c r="A47" i="22"/>
  <c r="A46" i="22"/>
  <c r="C39" i="22"/>
  <c r="I36" i="22"/>
  <c r="A36" i="22"/>
  <c r="A35" i="22"/>
  <c r="A34" i="22"/>
  <c r="A32" i="22"/>
  <c r="A31" i="22"/>
  <c r="A30" i="22"/>
  <c r="A29" i="22"/>
  <c r="A28" i="22"/>
  <c r="A27" i="22"/>
  <c r="A26" i="22"/>
  <c r="A25" i="22"/>
  <c r="A24" i="22"/>
  <c r="N23" i="22"/>
  <c r="A23" i="22"/>
  <c r="A22" i="22"/>
  <c r="A21" i="22"/>
  <c r="A20" i="22"/>
  <c r="A19" i="22"/>
  <c r="A18" i="22"/>
  <c r="A17" i="22"/>
  <c r="A16" i="22"/>
  <c r="A15" i="22"/>
  <c r="A14" i="22"/>
  <c r="A13" i="22"/>
  <c r="A12" i="22"/>
  <c r="A11" i="22"/>
  <c r="I10" i="22"/>
  <c r="A10" i="22"/>
  <c r="A9" i="22"/>
  <c r="I8" i="22"/>
  <c r="A8" i="22"/>
  <c r="A7" i="22"/>
  <c r="E94" i="55"/>
  <c r="E93" i="55"/>
  <c r="E92" i="55"/>
  <c r="D89" i="55"/>
  <c r="A85" i="55"/>
  <c r="A84" i="55"/>
  <c r="A83" i="55"/>
  <c r="A82" i="55"/>
  <c r="A81" i="55"/>
  <c r="A80" i="55"/>
  <c r="A79" i="55"/>
  <c r="A78" i="55"/>
  <c r="A77" i="55"/>
  <c r="A76" i="55"/>
  <c r="A75" i="55"/>
  <c r="A74" i="55"/>
  <c r="A73" i="55"/>
  <c r="A72" i="55"/>
  <c r="A71" i="55"/>
  <c r="A70" i="55"/>
  <c r="A69" i="55"/>
  <c r="G63" i="55"/>
  <c r="D63" i="55"/>
  <c r="A61" i="55"/>
  <c r="A60" i="55"/>
  <c r="A59" i="55"/>
  <c r="A58" i="55"/>
  <c r="A57" i="55"/>
  <c r="A56" i="55"/>
  <c r="A55" i="55"/>
  <c r="A54" i="55"/>
  <c r="A53" i="55"/>
  <c r="A52" i="55"/>
  <c r="A51" i="55"/>
  <c r="A50" i="55"/>
  <c r="A49" i="55"/>
  <c r="A48" i="55"/>
  <c r="A47" i="55"/>
  <c r="A46" i="55"/>
  <c r="C39" i="55"/>
  <c r="A36" i="55"/>
  <c r="A35" i="55"/>
  <c r="A34" i="55"/>
  <c r="A32" i="55"/>
  <c r="A31" i="55"/>
  <c r="A30" i="55"/>
  <c r="A29" i="55"/>
  <c r="A28" i="55"/>
  <c r="A27" i="55"/>
  <c r="A26" i="55"/>
  <c r="A25" i="55"/>
  <c r="A24" i="55"/>
  <c r="A23" i="55"/>
  <c r="A22" i="55"/>
  <c r="A21" i="55"/>
  <c r="A20" i="55"/>
  <c r="A19" i="55"/>
  <c r="A18" i="55"/>
  <c r="A17" i="55"/>
  <c r="A16" i="55"/>
  <c r="A15" i="55"/>
  <c r="A14" i="55"/>
  <c r="A13" i="55"/>
  <c r="A12" i="55"/>
  <c r="A11" i="55"/>
  <c r="A10" i="55"/>
  <c r="A9" i="55"/>
  <c r="A8" i="55"/>
  <c r="A7" i="55"/>
  <c r="C121" i="56"/>
  <c r="A102" i="56"/>
  <c r="A103" i="56" s="1"/>
  <c r="A104" i="56" s="1"/>
  <c r="A105" i="56" s="1"/>
  <c r="A106" i="56" s="1"/>
  <c r="A107" i="56" s="1"/>
  <c r="A108" i="56" s="1"/>
  <c r="A109" i="56" s="1"/>
  <c r="A110" i="56" s="1"/>
  <c r="A111" i="56" s="1"/>
  <c r="A112" i="56" s="1"/>
  <c r="A113" i="56" s="1"/>
  <c r="A114" i="56" s="1"/>
  <c r="A115" i="56" s="1"/>
  <c r="A116" i="56" s="1"/>
  <c r="A117" i="56" s="1"/>
  <c r="A118" i="56" s="1"/>
  <c r="A119" i="56" s="1"/>
  <c r="A120" i="56" s="1"/>
  <c r="K23" i="62"/>
  <c r="J22" i="62"/>
  <c r="K22" i="62" s="1"/>
  <c r="J21" i="62"/>
  <c r="K21" i="62" s="1"/>
  <c r="J20" i="62"/>
  <c r="K20" i="62" s="1"/>
  <c r="K19" i="62"/>
  <c r="J18" i="62"/>
  <c r="K18" i="62" s="1"/>
  <c r="K17" i="62"/>
  <c r="K16" i="62"/>
  <c r="K15" i="62"/>
  <c r="K13" i="62"/>
  <c r="K12" i="62"/>
  <c r="G12" i="62"/>
  <c r="K11" i="62"/>
  <c r="L10" i="62"/>
  <c r="Y81" i="52" l="1"/>
  <c r="Y83" i="52"/>
  <c r="Y84" i="52"/>
  <c r="Y78" i="52"/>
  <c r="Y79" i="52"/>
  <c r="M9" i="62"/>
</calcChain>
</file>

<file path=xl/sharedStrings.xml><?xml version="1.0" encoding="utf-8"?>
<sst xmlns="http://schemas.openxmlformats.org/spreadsheetml/2006/main" count="9976" uniqueCount="1864">
  <si>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</si>
  <si>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</si>
  <si>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</si>
  <si>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</si>
  <si>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</si>
  <si>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</si>
  <si>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</si>
  <si>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</si>
  <si>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</si>
  <si>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</si>
  <si>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</si>
  <si>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</si>
  <si>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</si>
  <si>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</si>
  <si>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</si>
  <si>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</si>
  <si>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</si>
  <si>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</si>
  <si>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</si>
  <si>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</si>
  <si>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</si>
  <si>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</si>
  <si>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</si>
  <si>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In the Scope of Rajasthan IV A Power Transmission Ltd</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</si>
  <si>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</si>
  <si>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</si>
  <si>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</si>
  <si>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</si>
  <si>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</si>
  <si>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</si>
  <si>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</si>
  <si>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</si>
  <si>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</si>
  <si>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</si>
  <si>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</si>
  <si>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</si>
  <si>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</si>
  <si>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</si>
  <si>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</si>
  <si>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</si>
  <si>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</si>
  <si>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</si>
  <si>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A</t>
  </si>
  <si>
    <t>400kV</t>
  </si>
  <si>
    <t>B</t>
  </si>
  <si>
    <t>River Crossing</t>
  </si>
  <si>
    <t>C</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</si>
  <si>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</si>
  <si>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</si>
  <si>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</si>
  <si>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</si>
  <si>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</si>
  <si>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</si>
  <si>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</si>
  <si>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</si>
  <si>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</si>
  <si>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</si>
  <si>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</si>
  <si>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</si>
  <si>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</si>
  <si>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</si>
  <si>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</si>
  <si>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</si>
  <si>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</si>
  <si>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</si>
  <si>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</si>
  <si>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</si>
  <si>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</si>
  <si>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</si>
  <si>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</si>
  <si>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</si>
  <si>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</si>
  <si>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</si>
  <si>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</si>
  <si>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</si>
  <si>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</si>
  <si>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Tower Type</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</si>
  <si>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</si>
  <si>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</si>
  <si>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</si>
  <si>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</si>
  <si>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</si>
  <si>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</si>
  <si>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</si>
  <si>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</si>
  <si>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</si>
  <si>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</si>
  <si>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</si>
  <si>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</si>
  <si>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</si>
  <si>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</si>
  <si>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</si>
  <si>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</si>
  <si>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</si>
  <si>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</si>
  <si>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</si>
  <si>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</si>
  <si>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</si>
  <si>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</si>
  <si>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</si>
  <si>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</si>
  <si>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</si>
  <si>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</si>
  <si>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</si>
  <si>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</si>
  <si>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</si>
  <si>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</si>
  <si>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</si>
  <si>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</si>
  <si>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</si>
  <si>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</si>
  <si>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</si>
  <si>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</si>
  <si>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</si>
  <si>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</si>
  <si>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</si>
  <si>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</si>
  <si>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</si>
  <si>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</si>
  <si>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</si>
  <si>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</si>
  <si>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</si>
  <si>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</si>
  <si>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</si>
  <si>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</si>
  <si>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</si>
  <si>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</si>
  <si>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</si>
  <si>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</si>
  <si>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</si>
  <si>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</si>
  <si>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</si>
  <si>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</si>
  <si>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</si>
  <si>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</si>
  <si>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</si>
  <si>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</si>
  <si>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</si>
  <si>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</si>
  <si>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</si>
  <si>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</si>
  <si>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</si>
  <si>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</si>
  <si>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</si>
  <si>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</si>
  <si>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</si>
  <si>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</si>
  <si>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</si>
  <si>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</si>
  <si>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</si>
  <si>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</si>
  <si>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</si>
  <si>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</si>
  <si>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</si>
  <si>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</si>
  <si>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</si>
  <si>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</si>
  <si>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</si>
  <si>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</si>
  <si>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</si>
  <si>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</si>
  <si>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</si>
  <si>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</si>
  <si>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</si>
  <si>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</si>
  <si>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</si>
  <si>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</si>
  <si>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</si>
  <si>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</si>
  <si>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</si>
  <si>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</si>
  <si>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</si>
  <si>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</si>
  <si>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</si>
  <si>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</si>
  <si>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</si>
  <si>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</si>
  <si>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</si>
  <si>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</si>
  <si>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</si>
  <si>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</si>
  <si>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</si>
  <si>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</si>
  <si>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</si>
  <si>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</si>
  <si>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</si>
  <si>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</si>
  <si>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</si>
  <si>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</si>
  <si>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</si>
  <si>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</si>
  <si>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</si>
  <si>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</si>
  <si>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</si>
  <si>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</si>
  <si>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</si>
  <si>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</si>
  <si>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</si>
  <si>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</si>
  <si>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</si>
  <si>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</si>
  <si>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</si>
  <si>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</si>
  <si>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</si>
  <si>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</si>
  <si>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</si>
  <si>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</si>
  <si>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</si>
  <si>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</si>
  <si>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</si>
  <si>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</si>
  <si>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</si>
  <si>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</si>
  <si>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</si>
  <si>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</si>
  <si>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</si>
  <si>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</si>
  <si>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</si>
  <si>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</si>
  <si>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</si>
  <si>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</si>
  <si>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</si>
  <si>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</si>
  <si>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</si>
  <si>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</si>
  <si>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</si>
  <si>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</si>
  <si>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</si>
  <si>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</si>
  <si>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</si>
  <si>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</si>
  <si>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</si>
  <si>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</si>
  <si>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</si>
  <si>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</si>
  <si>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</si>
  <si>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</si>
  <si>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</si>
  <si>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</si>
  <si>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</si>
  <si>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</si>
  <si>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</si>
  <si>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</si>
  <si>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</si>
  <si>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</si>
  <si>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</si>
  <si>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</si>
  <si>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</si>
  <si>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</si>
  <si>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</si>
  <si>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</si>
  <si>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</si>
  <si>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</si>
  <si>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</si>
  <si>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</si>
  <si>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</si>
  <si>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</si>
  <si>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</si>
  <si>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</si>
  <si>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</si>
  <si>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</si>
  <si>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</si>
  <si>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</si>
  <si>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</si>
  <si>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</si>
  <si>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</si>
  <si>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</si>
  <si>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</si>
  <si>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</si>
  <si>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</si>
  <si>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</si>
  <si>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</si>
  <si>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</si>
  <si>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</si>
  <si>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</si>
  <si>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</si>
  <si>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</si>
  <si>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</si>
  <si>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</si>
  <si>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</si>
  <si>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</si>
  <si>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</si>
  <si>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</si>
  <si>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</si>
  <si>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</si>
  <si>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</si>
  <si>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</si>
  <si>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</si>
  <si>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</si>
  <si>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</si>
  <si>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</si>
  <si>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</si>
  <si>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</si>
  <si>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</si>
  <si>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</si>
  <si>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</si>
  <si>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</si>
  <si>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</si>
  <si>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</si>
  <si>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</si>
  <si>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</si>
  <si>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</si>
  <si>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</si>
  <si>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</si>
  <si>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</si>
  <si>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</si>
  <si>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</si>
  <si>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</si>
  <si>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</si>
  <si>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</si>
  <si>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</si>
  <si>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</si>
  <si>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</si>
  <si>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</si>
  <si>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</si>
  <si>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</si>
  <si>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</si>
  <si>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</si>
  <si>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</si>
  <si>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</si>
  <si>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</si>
  <si>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</si>
  <si>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</si>
  <si>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</si>
  <si>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</si>
  <si>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</si>
  <si>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</si>
  <si>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</si>
  <si>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</si>
  <si>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</si>
  <si>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</si>
  <si>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</si>
  <si>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</si>
  <si>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</si>
  <si>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</si>
  <si>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</si>
  <si>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</si>
  <si>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</si>
  <si>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</si>
  <si>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</si>
  <si>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</si>
  <si>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</si>
  <si>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</si>
  <si>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</si>
  <si>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</si>
  <si>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</si>
  <si>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</si>
  <si>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</si>
  <si>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</si>
  <si>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</si>
  <si>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</si>
  <si>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</si>
  <si>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</si>
  <si>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</si>
  <si>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</si>
  <si>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</si>
  <si>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</si>
  <si>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</si>
  <si>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</si>
  <si>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</si>
  <si>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</si>
  <si>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</si>
  <si>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</si>
  <si>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</si>
  <si>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</si>
  <si>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</si>
  <si>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</si>
  <si>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</si>
  <si>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</si>
  <si>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</si>
  <si>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</si>
  <si>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</si>
  <si>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</si>
  <si>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</si>
  <si>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</si>
  <si>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</si>
  <si>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</si>
  <si>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</si>
  <si>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</si>
  <si>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</si>
  <si>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</si>
  <si>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</si>
  <si>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</si>
  <si>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</si>
  <si>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</si>
  <si>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</si>
  <si>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</si>
  <si>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</si>
  <si>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</si>
  <si>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</si>
  <si>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</si>
  <si>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</si>
  <si>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</si>
  <si>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</si>
  <si>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</si>
  <si>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</si>
  <si>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</si>
  <si>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</si>
  <si>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</si>
  <si>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</si>
  <si>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</si>
  <si>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</si>
  <si>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</si>
  <si>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</si>
  <si>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</si>
  <si>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</si>
  <si>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</si>
  <si>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</si>
  <si>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</si>
  <si>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</si>
  <si>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</si>
  <si>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</si>
  <si>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</si>
  <si>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</si>
  <si>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</si>
  <si>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</si>
  <si>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</si>
  <si>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</si>
  <si>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</si>
  <si>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</si>
  <si>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</si>
  <si>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</si>
  <si>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</si>
  <si>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</si>
  <si>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</si>
  <si>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</si>
  <si>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</si>
  <si>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</si>
  <si>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</si>
  <si>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</si>
  <si>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</si>
  <si>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</si>
  <si>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</si>
  <si>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</si>
  <si>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</si>
  <si>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</si>
  <si>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</si>
  <si>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</si>
  <si>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</si>
  <si>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</si>
  <si>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</si>
  <si>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</si>
  <si>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</si>
  <si>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</si>
  <si>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</si>
  <si>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</si>
  <si>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</si>
  <si>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</si>
  <si>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</si>
  <si>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</si>
  <si>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</si>
  <si>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</si>
  <si>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</si>
  <si>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</si>
  <si>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</si>
  <si>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</si>
  <si>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</si>
  <si>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</si>
  <si>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</si>
  <si>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</si>
  <si>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</si>
  <si>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</si>
  <si>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</si>
  <si>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</si>
  <si>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</si>
  <si>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</si>
  <si>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</si>
  <si>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</si>
  <si>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</si>
  <si>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</si>
  <si>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</si>
  <si>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</si>
  <si>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</si>
  <si>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</si>
  <si>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</si>
  <si>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</si>
  <si>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</si>
  <si>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</si>
  <si>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</si>
  <si>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</si>
  <si>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</si>
  <si>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</si>
  <si>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</si>
  <si>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</si>
  <si>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</si>
  <si>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</si>
  <si>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</si>
  <si>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</si>
  <si>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</si>
  <si>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</si>
  <si>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</si>
  <si>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</si>
  <si>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</si>
  <si>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</si>
  <si>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</si>
  <si>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</si>
  <si>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</si>
  <si>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</si>
  <si>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</si>
  <si>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</si>
  <si>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</si>
  <si>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</si>
  <si>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</si>
  <si>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</si>
  <si>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</si>
  <si>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</si>
  <si>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</si>
  <si>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</si>
  <si>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</si>
  <si>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</si>
  <si>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</si>
  <si>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</si>
  <si>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</si>
  <si>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</si>
  <si>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</si>
  <si>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</si>
  <si>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</si>
  <si>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</si>
  <si>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</si>
  <si>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</si>
  <si>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</si>
  <si>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</si>
  <si>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</si>
  <si>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</si>
  <si>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</si>
  <si>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</si>
  <si>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</si>
  <si>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</si>
  <si>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</si>
  <si>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</si>
  <si>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</si>
  <si>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</si>
  <si>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</si>
  <si>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</si>
  <si>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</si>
  <si>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</si>
  <si>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</si>
  <si>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</si>
  <si>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</si>
  <si>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</si>
  <si>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</si>
  <si>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</si>
  <si>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</si>
  <si>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</si>
  <si>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</si>
  <si>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</si>
  <si>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</si>
  <si>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</si>
  <si>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</si>
  <si>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</si>
  <si>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</si>
  <si>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</si>
  <si>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</si>
  <si>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</si>
  <si>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</si>
  <si>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</si>
  <si>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</si>
  <si>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</si>
  <si>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</si>
  <si>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</si>
  <si>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</si>
  <si>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</si>
  <si>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</si>
  <si>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</si>
  <si>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</si>
  <si>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</si>
  <si>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</si>
  <si>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</si>
  <si>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</si>
  <si>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</si>
  <si>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</si>
  <si>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</si>
  <si>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</si>
  <si>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</si>
  <si>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</si>
  <si>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</si>
  <si>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</si>
  <si>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</si>
  <si>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</si>
  <si>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</si>
  <si>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</si>
  <si>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</si>
  <si>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</si>
  <si>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</si>
  <si>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</si>
  <si>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</si>
  <si>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</si>
  <si>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</si>
  <si>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</si>
  <si>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</si>
  <si>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</si>
  <si>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</si>
  <si>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</si>
  <si>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</si>
  <si>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</si>
  <si>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</si>
  <si>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</si>
  <si>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</si>
  <si>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</si>
  <si>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</si>
  <si>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</si>
  <si>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</si>
  <si>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</si>
  <si>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</si>
  <si>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</si>
  <si>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</si>
  <si>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</si>
  <si>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</si>
  <si>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</si>
  <si>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</si>
  <si>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</si>
  <si>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</si>
  <si>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</si>
  <si>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</si>
  <si>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</si>
  <si>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</si>
  <si>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</si>
  <si>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</si>
  <si>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</si>
  <si>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</si>
  <si>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</si>
  <si>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</si>
  <si>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</si>
  <si>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</si>
  <si>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</si>
  <si>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</si>
  <si>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</si>
  <si>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</si>
  <si>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</si>
  <si>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</si>
  <si>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</si>
  <si>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</si>
  <si>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</si>
  <si>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</si>
  <si>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</si>
  <si>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</si>
  <si>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</si>
  <si>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</si>
  <si>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</si>
  <si>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</si>
  <si>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</si>
  <si>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</si>
  <si>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</si>
  <si>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</si>
  <si>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</si>
  <si>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</si>
  <si>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</si>
  <si>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</si>
  <si>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</si>
  <si>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</si>
  <si>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</si>
  <si>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</si>
  <si>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</si>
  <si>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</si>
  <si>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</si>
  <si>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</si>
  <si>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</si>
  <si>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</si>
  <si>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</si>
  <si>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</si>
  <si>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</si>
  <si>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</si>
  <si>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</si>
  <si>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</si>
  <si>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</si>
  <si>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</si>
  <si>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</si>
  <si>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</si>
  <si>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</si>
  <si>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</si>
  <si>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</si>
  <si>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</si>
  <si>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</si>
  <si>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</si>
  <si>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</si>
  <si>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</si>
  <si>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</si>
  <si>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</si>
  <si>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</si>
  <si>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</si>
  <si>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</si>
  <si>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</si>
  <si>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</si>
  <si>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</si>
  <si>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</si>
  <si>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</si>
  <si>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</si>
  <si>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</si>
  <si>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</si>
  <si>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</si>
  <si>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</si>
  <si>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</si>
  <si>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</si>
  <si>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</si>
  <si>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</si>
  <si>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</si>
  <si>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</si>
  <si>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</si>
  <si>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</si>
  <si>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</si>
  <si>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</si>
  <si>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</si>
  <si>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</si>
  <si>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</si>
  <si>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</si>
  <si>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</si>
  <si>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</si>
  <si>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</si>
  <si>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</si>
  <si>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</si>
  <si>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</si>
  <si>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</si>
  <si>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</si>
  <si>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</si>
  <si>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</si>
  <si>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</si>
  <si>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</si>
  <si>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</si>
  <si>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</si>
  <si>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</si>
  <si>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</si>
  <si>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</si>
  <si>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</si>
  <si>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</si>
  <si>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</si>
  <si>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</si>
  <si>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</si>
  <si>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</si>
  <si>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</si>
  <si>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</si>
  <si>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</si>
  <si>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</si>
  <si>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</si>
  <si>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</si>
  <si>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</si>
  <si>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</si>
  <si>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</si>
  <si>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</si>
  <si>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</si>
  <si>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</si>
  <si>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</si>
  <si>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</si>
  <si>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</si>
  <si>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</si>
  <si>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</si>
  <si>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</si>
  <si>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</si>
  <si>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</si>
  <si>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</si>
  <si>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</si>
  <si>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</si>
  <si>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</si>
  <si>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</si>
  <si>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</si>
  <si>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</si>
  <si>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</si>
  <si>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</si>
  <si>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</si>
  <si>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</si>
  <si>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</si>
  <si>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</si>
  <si>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</si>
  <si>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</si>
  <si>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</si>
  <si>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</si>
  <si>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</si>
  <si>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</si>
  <si>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</si>
  <si>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</si>
  <si>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</si>
  <si>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</si>
  <si>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</si>
  <si>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</si>
  <si>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</si>
  <si>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</si>
  <si>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</si>
  <si>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</si>
  <si>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</si>
  <si>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</si>
  <si>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</si>
  <si>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</si>
  <si>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</si>
  <si>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</si>
  <si>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</si>
  <si>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</si>
  <si>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</si>
  <si>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</si>
  <si>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</si>
  <si>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</si>
  <si>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</si>
  <si>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</si>
  <si>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</si>
  <si>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</si>
  <si>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</si>
  <si>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</si>
  <si>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</si>
  <si>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</si>
  <si>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</si>
  <si>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</si>
  <si>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</si>
  <si>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</si>
  <si>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</si>
  <si>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</si>
  <si>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</si>
  <si>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</si>
  <si>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</si>
  <si>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</si>
  <si>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</si>
  <si>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</si>
  <si>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</si>
  <si>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</si>
  <si>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</si>
  <si>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</si>
  <si>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</si>
  <si>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</si>
  <si>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</si>
  <si>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</si>
  <si>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</si>
  <si>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</si>
  <si>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</si>
  <si>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</si>
  <si>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</si>
  <si>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</si>
  <si>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</si>
  <si>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</si>
  <si>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</si>
  <si>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</si>
  <si>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</si>
  <si>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</si>
  <si>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</si>
  <si>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</si>
  <si>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</si>
  <si>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</si>
  <si>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</si>
  <si>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</si>
  <si>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</si>
  <si>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</si>
  <si>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</si>
  <si>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</si>
  <si>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</si>
  <si>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</si>
  <si>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</si>
  <si>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</si>
  <si>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</si>
  <si>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</si>
  <si>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</si>
  <si>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</si>
  <si>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</si>
  <si>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</si>
  <si>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</si>
  <si>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</si>
  <si>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</si>
  <si>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</si>
  <si>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</si>
  <si>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</si>
  <si>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</si>
  <si>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</si>
  <si>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</si>
  <si>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</si>
  <si>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</si>
  <si>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</si>
  <si>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</si>
  <si>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</si>
  <si>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</si>
  <si>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</si>
  <si>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</si>
  <si>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</si>
  <si>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</si>
  <si>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</si>
  <si>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</si>
  <si>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</si>
  <si>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</si>
  <si>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</si>
  <si>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</si>
  <si>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</si>
  <si>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</si>
  <si>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</si>
  <si>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</si>
  <si>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</si>
  <si>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</si>
  <si>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</si>
  <si>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</si>
  <si>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</si>
  <si>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</si>
  <si>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</si>
  <si>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</si>
  <si>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</si>
  <si>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</si>
  <si>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</si>
  <si>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</si>
  <si>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</si>
  <si>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</si>
  <si>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</si>
  <si>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</si>
  <si>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</si>
  <si>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</si>
  <si>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</si>
  <si>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</si>
  <si>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</si>
  <si>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</si>
  <si>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</si>
  <si>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</si>
  <si>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</si>
  <si>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</si>
  <si>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</si>
  <si>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</si>
  <si>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</si>
  <si>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</si>
  <si>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</si>
  <si>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</si>
  <si>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</si>
  <si>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</si>
  <si>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</si>
  <si>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</si>
  <si>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</si>
  <si>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</si>
  <si>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</si>
  <si>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</si>
  <si>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</si>
  <si>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</si>
  <si>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</si>
  <si>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</si>
  <si>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</si>
  <si>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</si>
  <si>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</si>
  <si>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</si>
  <si>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</si>
  <si>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</si>
  <si>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</si>
  <si>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</si>
  <si>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</si>
  <si>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</si>
  <si>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</si>
  <si>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</si>
  <si>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</si>
  <si>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</si>
  <si>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</si>
  <si>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</si>
  <si>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</si>
  <si>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</si>
  <si>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</si>
  <si>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</si>
  <si>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</si>
  <si>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</si>
  <si>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</si>
  <si>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</si>
  <si>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</si>
  <si>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</si>
  <si>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</si>
  <si>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</si>
  <si>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</si>
  <si>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</si>
  <si>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</si>
  <si>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</si>
  <si>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</si>
  <si>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</si>
  <si>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</si>
  <si>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</si>
  <si>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</si>
  <si>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</si>
  <si>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</si>
  <si>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</si>
  <si>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</si>
  <si>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</si>
  <si>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</si>
  <si>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</si>
  <si>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</si>
  <si>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</si>
  <si>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</si>
  <si>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</si>
  <si>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</si>
  <si>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</si>
  <si>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</si>
  <si>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</si>
  <si>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</si>
  <si>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</si>
  <si>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</si>
  <si>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</si>
  <si>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</si>
  <si>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</si>
  <si>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</si>
  <si>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</si>
  <si>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</si>
  <si>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</si>
  <si>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</si>
  <si>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</si>
  <si>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</si>
  <si>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</si>
  <si>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</si>
  <si>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</si>
  <si>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</si>
  <si>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</si>
  <si>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</si>
  <si>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</si>
  <si>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</si>
  <si>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</si>
  <si>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</si>
  <si>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</si>
  <si>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</si>
  <si>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</si>
  <si>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</si>
  <si>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</si>
  <si>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</si>
  <si>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</si>
  <si>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</si>
  <si>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</si>
  <si>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</si>
  <si>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</si>
  <si>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</si>
  <si>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</si>
  <si>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</si>
  <si>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</si>
  <si>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</si>
  <si>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</si>
  <si>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</si>
  <si>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</si>
  <si>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</si>
  <si>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</si>
  <si>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</si>
  <si>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</si>
  <si>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</si>
  <si>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</si>
  <si>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</si>
  <si>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</si>
  <si>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</si>
  <si>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</si>
  <si>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</si>
  <si>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</si>
  <si>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</si>
  <si>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</si>
  <si>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</si>
  <si>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</si>
  <si>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</si>
  <si>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</si>
  <si>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</si>
  <si>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</si>
  <si>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</si>
  <si>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</si>
  <si>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</si>
  <si>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</si>
  <si>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</si>
  <si>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</si>
  <si>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</si>
  <si>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</si>
  <si>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</si>
  <si>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</si>
  <si>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</si>
  <si>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</si>
  <si>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</si>
  <si>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</si>
  <si>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</si>
  <si>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</si>
  <si>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</si>
  <si>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</si>
  <si>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</si>
  <si>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</si>
  <si>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</si>
  <si>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</si>
  <si>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</si>
  <si>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</si>
  <si>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</si>
  <si>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</si>
  <si>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</si>
  <si>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</si>
  <si>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</si>
  <si>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</si>
  <si>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</si>
  <si>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</si>
  <si>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</si>
  <si>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</si>
  <si>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</si>
  <si>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</si>
  <si>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</si>
  <si>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</si>
  <si>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</si>
  <si>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</si>
  <si>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</si>
  <si>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</si>
  <si>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</si>
  <si>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</si>
  <si>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</si>
  <si>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</si>
  <si>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</si>
  <si>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</si>
  <si>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</si>
  <si>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</si>
  <si>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</si>
  <si>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</si>
  <si>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</si>
  <si>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</si>
  <si>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</si>
  <si>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</si>
  <si>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</si>
  <si>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</si>
  <si>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</si>
  <si>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</si>
  <si>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</si>
  <si>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</si>
  <si>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</si>
  <si>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</si>
  <si>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</si>
  <si>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</si>
  <si>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</si>
  <si>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</si>
  <si>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</si>
  <si>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</si>
  <si>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</si>
  <si>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</si>
  <si>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</si>
  <si>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</si>
  <si>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</si>
  <si>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</si>
  <si>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</si>
  <si>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</si>
  <si>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</si>
  <si>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</si>
  <si>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</si>
  <si>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</si>
  <si>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</si>
  <si>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</si>
  <si>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</si>
  <si>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</si>
  <si>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</si>
  <si>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</si>
  <si>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</si>
  <si>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</si>
  <si>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</si>
  <si>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</si>
  <si>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</si>
  <si>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</si>
  <si>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</si>
  <si>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</si>
  <si>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</si>
  <si>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</si>
  <si>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</si>
  <si>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</si>
  <si>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</si>
  <si>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</si>
  <si>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</si>
  <si>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</si>
  <si>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</si>
  <si>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</si>
  <si>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</si>
  <si>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</si>
  <si>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</si>
  <si>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</si>
  <si>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</si>
  <si>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</si>
  <si>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</si>
  <si>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</si>
  <si>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</si>
  <si>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</si>
  <si>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</si>
  <si>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</si>
  <si>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</si>
  <si>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</si>
  <si>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</si>
  <si>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</si>
  <si>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</si>
  <si>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</si>
  <si>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</si>
  <si>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</si>
  <si>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</si>
  <si>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</si>
  <si>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</si>
  <si>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</si>
  <si>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</si>
  <si>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</si>
  <si>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</si>
  <si>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</si>
  <si>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</si>
  <si>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</si>
  <si>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</si>
  <si>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</si>
  <si>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</si>
  <si>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</si>
  <si>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</si>
  <si>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</si>
  <si>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</si>
  <si>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</si>
  <si>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</si>
  <si>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</si>
  <si>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</si>
  <si>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</si>
  <si>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</si>
  <si>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</si>
  <si>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</si>
  <si>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</si>
  <si>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</si>
  <si>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</si>
  <si>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</si>
  <si>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</si>
  <si>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</si>
  <si>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</si>
  <si>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</si>
  <si>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</si>
  <si>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</si>
  <si>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</si>
  <si>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</si>
  <si>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</si>
  <si>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</si>
  <si>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</si>
  <si>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</si>
  <si>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</si>
  <si>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</si>
  <si>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</si>
  <si>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</si>
  <si>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</si>
  <si>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</si>
  <si>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</si>
  <si>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</si>
  <si>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</si>
  <si>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</si>
  <si>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</si>
  <si>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</si>
  <si>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</si>
  <si>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</si>
  <si>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</si>
  <si>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</si>
  <si>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</si>
  <si>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</si>
  <si>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</si>
  <si>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</si>
  <si>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</si>
  <si>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</si>
  <si>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</si>
  <si>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</si>
  <si>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</si>
  <si>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</si>
  <si>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</si>
  <si>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</si>
  <si>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</si>
  <si>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</si>
  <si>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</si>
  <si>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</si>
  <si>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</si>
  <si>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</si>
  <si>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</si>
  <si>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</si>
  <si>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</si>
  <si>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</si>
  <si>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</si>
  <si>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</si>
  <si>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</si>
  <si>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</si>
  <si>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</si>
  <si>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</si>
  <si>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</si>
  <si>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</si>
  <si>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</si>
  <si>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</si>
  <si>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</si>
  <si>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</si>
  <si>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</si>
  <si>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</si>
  <si>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</si>
  <si>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</si>
  <si>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</si>
  <si>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</si>
  <si>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</si>
  <si>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</si>
  <si>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</si>
  <si>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</si>
  <si>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86/0</t>
  </si>
  <si>
    <t>84/0</t>
  </si>
  <si>
    <t>85/0</t>
  </si>
  <si>
    <t>KEC/FBTL/RPTL/TB507/0043 ,0050,0061</t>
  </si>
  <si>
    <t>21/0-24/0</t>
  </si>
  <si>
    <t>Anjana Const</t>
  </si>
  <si>
    <t>Previous Loc Done 99/2 on 25/4/2025</t>
  </si>
  <si>
    <t>97/0</t>
  </si>
  <si>
    <t>AP131-AP 133</t>
  </si>
  <si>
    <t>KEC/FBTL/RPTL/TB507/0077</t>
  </si>
  <si>
    <t>113A/0</t>
  </si>
  <si>
    <t>06-04-2025 &amp; 16.05.2025</t>
  </si>
  <si>
    <t>Resubmission on dated  16/05/2025</t>
  </si>
  <si>
    <t>AP 99-AP 100</t>
  </si>
  <si>
    <t>KEC/FBTL/RPTL/TB507/82</t>
  </si>
  <si>
    <t>KEC/FBTL/RPTL/TB507/79</t>
  </si>
  <si>
    <t>99B/0</t>
  </si>
  <si>
    <t>AP99C/0</t>
  </si>
  <si>
    <t>99C/1</t>
  </si>
  <si>
    <t>99C/2</t>
  </si>
  <si>
    <t>Re Submitted</t>
  </si>
  <si>
    <t>AP 10- AP 21</t>
  </si>
  <si>
    <t>96/0</t>
  </si>
  <si>
    <t>98/0</t>
  </si>
  <si>
    <t>24/0-40/0</t>
  </si>
  <si>
    <t>16-04-2025 &amp; 16.05.2025</t>
  </si>
  <si>
    <t>26-03-2025 Resubmission    4-04-2025 &amp;28-04-25</t>
  </si>
  <si>
    <t>26-03-2025 Resubmission    4-04-2025 &amp;   28-04-25</t>
  </si>
  <si>
    <t>AP 148-AP 149B</t>
  </si>
  <si>
    <t>Resubmission on dated  25/05/2025</t>
  </si>
  <si>
    <t>AP148/0 - AP 149B</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</si>
  <si>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</si>
  <si>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</si>
  <si>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</si>
  <si>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</si>
  <si>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</si>
  <si>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</si>
  <si>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</si>
  <si>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</si>
  <si>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</si>
  <si>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</si>
  <si>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</si>
  <si>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</si>
  <si>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</si>
  <si>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</si>
  <si>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</si>
  <si>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</si>
  <si>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</si>
  <si>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119/0</t>
  </si>
  <si>
    <t xml:space="preserve">79/0 </t>
  </si>
  <si>
    <t>114/0</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</si>
  <si>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</si>
  <si>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</si>
  <si>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</si>
  <si>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</si>
  <si>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</si>
  <si>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</si>
  <si>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</si>
  <si>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</si>
  <si>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</si>
  <si>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</si>
  <si>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</si>
  <si>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</si>
  <si>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</si>
  <si>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</si>
  <si>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</si>
  <si>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</si>
  <si>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</si>
  <si>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</si>
  <si>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</si>
  <si>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</si>
  <si>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</si>
  <si>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</si>
  <si>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</si>
  <si>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</si>
  <si>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</si>
  <si>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</si>
  <si>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</si>
  <si>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</si>
  <si>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</si>
  <si>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</si>
  <si>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</si>
  <si>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</si>
  <si>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</si>
  <si>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</si>
  <si>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</si>
  <si>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</si>
  <si>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</si>
  <si>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</si>
  <si>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</si>
  <si>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</si>
  <si>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</si>
  <si>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</si>
  <si>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</si>
  <si>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</si>
  <si>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</si>
  <si>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</si>
  <si>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</si>
  <si>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</si>
  <si>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</si>
  <si>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</si>
  <si>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</si>
  <si>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</si>
  <si>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</si>
  <si>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</si>
  <si>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</si>
  <si>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</si>
  <si>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</si>
  <si>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</si>
  <si>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</si>
  <si>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</si>
  <si>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</si>
  <si>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</si>
  <si>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</si>
  <si>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</si>
  <si>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</si>
  <si>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</si>
  <si>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</si>
  <si>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</si>
  <si>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</si>
  <si>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</si>
  <si>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</si>
  <si>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</si>
  <si>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</si>
  <si>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</si>
  <si>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</si>
  <si>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</si>
  <si>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</si>
  <si>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</si>
  <si>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</si>
  <si>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</si>
  <si>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</si>
  <si>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</si>
  <si>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</si>
  <si>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</si>
  <si>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</si>
  <si>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</si>
  <si>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</si>
  <si>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</si>
  <si>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</si>
  <si>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</si>
  <si>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</si>
  <si>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</si>
  <si>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</si>
  <si>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</si>
  <si>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</si>
  <si>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</si>
  <si>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</si>
  <si>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</si>
  <si>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</si>
  <si>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</si>
  <si>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</si>
  <si>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</si>
  <si>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</si>
  <si>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</si>
  <si>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</si>
  <si>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</si>
  <si>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</si>
  <si>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</si>
  <si>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</si>
  <si>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</si>
  <si>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</si>
  <si>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</si>
  <si>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</si>
  <si>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</si>
  <si>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</si>
  <si>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</si>
  <si>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</si>
  <si>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</si>
  <si>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</si>
  <si>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</si>
  <si>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</si>
  <si>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</si>
  <si>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</si>
  <si>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</si>
  <si>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</si>
  <si>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</si>
  <si>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</si>
  <si>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</si>
  <si>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</si>
  <si>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</si>
  <si>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</si>
  <si>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</si>
  <si>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</si>
  <si>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</si>
  <si>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</si>
  <si>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</si>
  <si>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</si>
  <si>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</si>
  <si>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</si>
  <si>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</si>
  <si>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</si>
  <si>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</si>
  <si>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</si>
  <si>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</si>
  <si>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</si>
  <si>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</si>
  <si>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</si>
  <si>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</si>
  <si>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</si>
  <si>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</si>
  <si>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</si>
  <si>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</si>
  <si>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</si>
  <si>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</si>
  <si>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</si>
  <si>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</si>
  <si>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</si>
  <si>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</si>
  <si>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</si>
  <si>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</si>
  <si>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</si>
  <si>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</si>
  <si>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</si>
  <si>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</si>
  <si>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</si>
  <si>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</si>
  <si>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</si>
  <si>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</si>
  <si>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</si>
  <si>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</si>
  <si>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</si>
  <si>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</si>
  <si>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</si>
  <si>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</si>
  <si>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</si>
  <si>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</si>
  <si>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</si>
  <si>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</si>
  <si>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</si>
  <si>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</si>
  <si>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</si>
  <si>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</si>
  <si>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</si>
  <si>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</si>
  <si>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</si>
  <si>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</si>
  <si>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</si>
  <si>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</si>
  <si>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</si>
  <si>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</si>
  <si>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</si>
  <si>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109A/0</t>
  </si>
  <si>
    <t xml:space="preserve">85/0 </t>
  </si>
  <si>
    <t>Mundhan Construction</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</si>
  <si>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</si>
  <si>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</si>
  <si>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</si>
  <si>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</si>
  <si>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</si>
  <si>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</si>
  <si>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</si>
  <si>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</si>
  <si>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</si>
  <si>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</si>
  <si>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</si>
  <si>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</si>
  <si>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</si>
  <si>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</si>
  <si>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</si>
  <si>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</si>
  <si>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</si>
  <si>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</si>
  <si>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</si>
  <si>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</si>
  <si>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</si>
  <si>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</si>
  <si>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</si>
  <si>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</si>
  <si>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</si>
  <si>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</si>
  <si>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</si>
  <si>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</si>
  <si>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</si>
  <si>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</si>
  <si>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</si>
  <si>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</si>
  <si>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</si>
  <si>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</si>
  <si>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</si>
  <si>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</si>
  <si>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</si>
  <si>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</si>
  <si>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</si>
  <si>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</si>
  <si>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</si>
  <si>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</si>
  <si>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</si>
  <si>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</si>
  <si>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</si>
  <si>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</si>
  <si>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</si>
  <si>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</si>
  <si>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 xml:space="preserve">149B/1 </t>
  </si>
  <si>
    <t>AP-24/0 To AP-27/0</t>
  </si>
  <si>
    <t>AP-27/0 To AP-40/0</t>
  </si>
  <si>
    <t>Anajana Construction</t>
  </si>
  <si>
    <t>116/0</t>
  </si>
  <si>
    <t>Details Survey</t>
  </si>
  <si>
    <t xml:space="preserve">Details Survey Completed. Profile &amp; Tower Schedule Submitted with Apraava Engg. </t>
  </si>
  <si>
    <t xml:space="preserve">Check Survey Completed. Profile &amp; Tower Schedule Submitted with Apraava Engg. </t>
  </si>
  <si>
    <t>AP-153/0 To S/S Gantry</t>
  </si>
  <si>
    <t>112/0</t>
  </si>
  <si>
    <t>Baba Ramdev Construction</t>
  </si>
  <si>
    <t>Ahmed Construction</t>
  </si>
  <si>
    <t>149B/0</t>
  </si>
  <si>
    <t>79/0</t>
  </si>
  <si>
    <t>135/0</t>
  </si>
  <si>
    <t>149/0</t>
  </si>
  <si>
    <t>82/0</t>
  </si>
  <si>
    <t>A&amp;D 3MRC</t>
  </si>
  <si>
    <t>Ajay Kumar</t>
  </si>
  <si>
    <t xml:space="preserve"> 1 MRC -4 Leg</t>
  </si>
  <si>
    <t>Pit C,B 1MRC</t>
  </si>
  <si>
    <t>2MRC ??</t>
  </si>
  <si>
    <t>2MRC??</t>
  </si>
  <si>
    <t>B &amp; RC??</t>
  </si>
  <si>
    <t>Bench A &amp; B, Pit C 1MRC &amp; Pit D 3M RC</t>
  </si>
  <si>
    <t>1MRC-4 Leg??</t>
  </si>
  <si>
    <t>ROW(P)</t>
  </si>
  <si>
    <t>(P)</t>
  </si>
  <si>
    <t>C(P)</t>
  </si>
  <si>
    <t>Gokul Sarkar</t>
  </si>
  <si>
    <t>Ayansh Const</t>
  </si>
  <si>
    <t>Windbridge Energy</t>
  </si>
  <si>
    <t>R</t>
  </si>
  <si>
    <t>139/0</t>
  </si>
  <si>
    <t>Ajay Kumar1</t>
  </si>
  <si>
    <t>Ajay Kumar2</t>
  </si>
  <si>
    <t>REVISED DETAIL SURVEY REPORT  SUBMITTED</t>
  </si>
  <si>
    <t>WORK FRONT TO BE CLEARED</t>
  </si>
  <si>
    <t>WORK  FRONT TO BE CLEARED</t>
  </si>
  <si>
    <t>REVISED CHECK SURVEY TO BE SUBMITTED</t>
  </si>
  <si>
    <t>REVISED C/S TO BE SUBMITTED</t>
  </si>
  <si>
    <t>136/0</t>
  </si>
  <si>
    <t xml:space="preserve">148/1 </t>
  </si>
  <si>
    <t>HOLD</t>
  </si>
  <si>
    <t>58/0</t>
  </si>
  <si>
    <t>113/0,DC+0</t>
  </si>
  <si>
    <t>Prayag Saw1</t>
  </si>
  <si>
    <t>Prayag Saw2</t>
  </si>
  <si>
    <t>48/0</t>
  </si>
  <si>
    <t>115/0,116/1,114/0,112/1,111/0</t>
  </si>
  <si>
    <t>153A/0</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</si>
  <si>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</si>
  <si>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</si>
  <si>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</si>
  <si>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</si>
  <si>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</si>
  <si>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</si>
  <si>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</si>
  <si>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</si>
  <si>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</si>
  <si>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</si>
  <si>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</si>
  <si>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</si>
  <si>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</si>
  <si>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</si>
  <si>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</si>
  <si>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C.</t>
  </si>
  <si>
    <t xml:space="preserve">F. </t>
  </si>
  <si>
    <t>G.</t>
  </si>
  <si>
    <t>Namechand Mahto</t>
  </si>
  <si>
    <t xml:space="preserve"> Strong ROW. Landowner stopped work not allowing to enter at location  and Tower material left without watchmen.</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</si>
  <si>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</si>
  <si>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</si>
  <si>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</si>
  <si>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</si>
  <si>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</si>
  <si>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</si>
  <si>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</si>
  <si>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</si>
  <si>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</si>
  <si>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</si>
  <si>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</si>
  <si>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</si>
  <si>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</si>
  <si>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</si>
  <si>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</si>
  <si>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</si>
  <si>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</si>
  <si>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</si>
  <si>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</si>
  <si>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</si>
  <si>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27B/0</t>
  </si>
  <si>
    <t>28/0</t>
  </si>
  <si>
    <t>30/0</t>
  </si>
  <si>
    <t>36/0</t>
  </si>
  <si>
    <t>37/0</t>
  </si>
  <si>
    <t>39/0</t>
  </si>
  <si>
    <t>Amartya sarkar</t>
  </si>
  <si>
    <t>Sanjay Kr Gupta</t>
  </si>
  <si>
    <t>ALOK SINHA</t>
  </si>
  <si>
    <t>10.11.2025</t>
  </si>
  <si>
    <t>11.11.2025</t>
  </si>
  <si>
    <t>90/0</t>
  </si>
  <si>
    <t>12.11.2025</t>
  </si>
  <si>
    <t>Pritam Enterprises</t>
  </si>
  <si>
    <t xml:space="preserve"> Bhoi Enterprises </t>
  </si>
  <si>
    <t>140/0</t>
  </si>
  <si>
    <t>42/0</t>
  </si>
  <si>
    <t>Approach Road</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</si>
  <si>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</si>
  <si>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</si>
  <si>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</si>
  <si>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</si>
  <si>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</si>
  <si>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</si>
  <si>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</si>
  <si>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</si>
  <si>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</si>
  <si>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</si>
  <si>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</si>
  <si>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</si>
  <si>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</si>
  <si>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</si>
  <si>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</si>
  <si>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</si>
  <si>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</si>
  <si>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</si>
  <si>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</si>
  <si>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</si>
  <si>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</si>
  <si>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</si>
  <si>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</si>
  <si>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</si>
  <si>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</si>
  <si>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</si>
  <si>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</si>
  <si>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</si>
  <si>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</si>
  <si>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</si>
  <si>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</si>
  <si>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</si>
  <si>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</si>
  <si>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</si>
  <si>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</si>
  <si>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</si>
  <si>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</si>
  <si>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</si>
  <si>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</si>
  <si>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</si>
  <si>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</si>
  <si>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</si>
  <si>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</si>
  <si>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</si>
  <si>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</si>
  <si>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</si>
  <si>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</si>
  <si>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</si>
  <si>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</si>
  <si>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</si>
  <si>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</si>
  <si>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</si>
  <si>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</si>
  <si>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</si>
  <si>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</si>
  <si>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</si>
  <si>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</si>
  <si>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</si>
  <si>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</si>
  <si>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</si>
  <si>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</si>
  <si>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</si>
  <si>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</si>
  <si>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</si>
  <si>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</si>
  <si>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</si>
  <si>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</si>
  <si>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</si>
  <si>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</si>
  <si>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</si>
  <si>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</si>
  <si>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</si>
  <si>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</si>
  <si>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</si>
  <si>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</si>
  <si>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</si>
  <si>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</si>
  <si>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</si>
  <si>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</si>
  <si>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</si>
  <si>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</si>
  <si>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</si>
  <si>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</si>
  <si>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</si>
  <si>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</si>
  <si>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</si>
  <si>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</si>
  <si>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</si>
  <si>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</si>
  <si>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</si>
  <si>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</si>
  <si>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</si>
  <si>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</si>
  <si>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</si>
  <si>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</si>
  <si>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</si>
  <si>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</si>
  <si>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</si>
  <si>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</si>
  <si>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</si>
  <si>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</si>
  <si>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</si>
  <si>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</si>
  <si>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</si>
  <si>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</si>
  <si>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</si>
  <si>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</si>
  <si>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</si>
  <si>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</si>
  <si>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</si>
  <si>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</si>
  <si>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</si>
  <si>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</si>
  <si>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</si>
  <si>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</si>
  <si>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</si>
  <si>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Namechand Mahto 2</t>
  </si>
  <si>
    <t>Balaji Tour &amp; Travels</t>
  </si>
  <si>
    <t>Balaji Tour &amp; Travels 2</t>
  </si>
  <si>
    <t>Prayag Saw</t>
  </si>
  <si>
    <t>Material Shifting</t>
  </si>
  <si>
    <t>Namechand Mahto2</t>
  </si>
  <si>
    <t>Status</t>
  </si>
  <si>
    <t>Gang Strength</t>
  </si>
  <si>
    <t xml:space="preserve">  </t>
  </si>
  <si>
    <t>ALOK JANA   VARUN TYAGI</t>
  </si>
  <si>
    <t>Number of TSE</t>
  </si>
  <si>
    <t>S.no</t>
  </si>
  <si>
    <t>Sec</t>
  </si>
  <si>
    <t>From AP</t>
  </si>
  <si>
    <t>To AP</t>
  </si>
  <si>
    <t>Span (M)</t>
  </si>
  <si>
    <t>Method</t>
  </si>
  <si>
    <t>Section Readiness</t>
  </si>
  <si>
    <t>P/O Starting Date</t>
  </si>
  <si>
    <t>P/O Completion Date</t>
  </si>
  <si>
    <t>P/O</t>
  </si>
  <si>
    <t>F/S Starting Date</t>
  </si>
  <si>
    <t>F/S/ Completion Date</t>
  </si>
  <si>
    <t>Hindrance</t>
  </si>
  <si>
    <t>NAME OF PROJECT :  FATEGARH III-BEAWAR  765KV D/C TRANSMISSION  LILO LINE</t>
  </si>
  <si>
    <t>AGENCY  : KEC INTERNATIONAL LIMITED</t>
  </si>
  <si>
    <t>LOOP IN</t>
  </si>
  <si>
    <t>Existing 10/4</t>
  </si>
  <si>
    <t>2A/0</t>
  </si>
  <si>
    <t>3A/1</t>
  </si>
  <si>
    <t>DD60+0</t>
  </si>
  <si>
    <t>DD45+0</t>
  </si>
  <si>
    <t>DD45+3</t>
  </si>
  <si>
    <t>DB1+6</t>
  </si>
  <si>
    <t>DC2+3</t>
  </si>
  <si>
    <t>DC2+0</t>
  </si>
  <si>
    <t xml:space="preserve">DE+9 (Aux. X-arm) </t>
  </si>
  <si>
    <t>LOOP OUT</t>
  </si>
  <si>
    <t>Gantry</t>
  </si>
  <si>
    <t>1/1</t>
  </si>
  <si>
    <t>1/2</t>
  </si>
  <si>
    <t>2/2</t>
  </si>
  <si>
    <t>2/3</t>
  </si>
  <si>
    <t>2/4</t>
  </si>
  <si>
    <t>2/5</t>
  </si>
  <si>
    <t>DE+3</t>
  </si>
  <si>
    <t>DA-3</t>
  </si>
  <si>
    <t>DC1+0</t>
  </si>
  <si>
    <t>Existing 10/6</t>
  </si>
  <si>
    <t>Total Quantity</t>
  </si>
  <si>
    <t>Total Balanced</t>
  </si>
  <si>
    <t>Final Quantity</t>
  </si>
  <si>
    <t>Balanced</t>
  </si>
  <si>
    <t xml:space="preserve">Foundation </t>
  </si>
  <si>
    <t xml:space="preserve">Earthing </t>
  </si>
  <si>
    <t xml:space="preserve">Erection </t>
  </si>
  <si>
    <t xml:space="preserve">Stringing(P/0) </t>
  </si>
  <si>
    <t xml:space="preserve">Stringing (F/S) </t>
  </si>
  <si>
    <t>Stringing Complete</t>
  </si>
  <si>
    <t>Erection Complete</t>
  </si>
  <si>
    <t>Foundation Complete</t>
  </si>
  <si>
    <t>Foundation WIP</t>
  </si>
  <si>
    <t>Taping point SPTL</t>
  </si>
  <si>
    <t>3B/0</t>
  </si>
  <si>
    <t>3A/0</t>
  </si>
  <si>
    <t>Karni Mata Construction Company</t>
  </si>
  <si>
    <t>LOOP IN WIP</t>
  </si>
  <si>
    <t>LOOP OUT WIP</t>
  </si>
  <si>
    <t>LI / LO</t>
  </si>
  <si>
    <t xml:space="preserve">                                  PROGRESS AT A GLANCE</t>
  </si>
  <si>
    <t>Li</t>
  </si>
  <si>
    <t>FATEGARH III-BEAWAR  765KV D/C TRANSMISSION  LILO LINE</t>
  </si>
  <si>
    <t>Progress in MAR'25</t>
  </si>
  <si>
    <t>Plan For MAR'25</t>
  </si>
  <si>
    <t>08-03-226</t>
  </si>
  <si>
    <t xml:space="preserve">DE+3 (Aux. X-arm) </t>
  </si>
  <si>
    <t xml:space="preserve">DD60+0 (Aux. X-arm) </t>
  </si>
  <si>
    <t>C step Box , B Frustum Next: C,B Chimney Work resume after clear ROW</t>
  </si>
  <si>
    <t>FDN WIP LO : 7/0, 3/1</t>
  </si>
  <si>
    <t>Ere WIP LO: 1/1</t>
  </si>
  <si>
    <t>Priyanka Dbi</t>
  </si>
  <si>
    <t xml:space="preserve">FDN WIP LI :  </t>
  </si>
  <si>
    <t>Prop 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</si>
</sst>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0.0000"/>
    <numFmt numFmtId="175" formatCode="dd/mm/yyyy;@"/>
  </numFmts>
  <fonts count="232">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sz val="11"/>
      <color theme="1"/>
      <name val="Calibri Light"/>
      <family val="2"/>
    </font>
    <font>
      <sz val="10"/>
      <color theme="1"/>
      <name val="Calibri"/>
      <family val="2"/>
      <scheme val="minor"/>
    </font>
    <font>
      <sz val="12"/>
      <color theme="1"/>
      <name val="Calibri"/>
      <family val="2"/>
      <scheme val="minor"/>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12"/>
      <color theme="1"/>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sz val="12"/>
      <name val="Calibri"/>
      <family val="2"/>
    </font>
    <font>
      <b/>
      <sz val="26"/>
      <color theme="0"/>
      <name val="Calibri"/>
      <family val="2"/>
      <scheme val="minor"/>
    </font>
    <font>
      <sz val="14"/>
      <color theme="1"/>
      <name val="Calibri"/>
      <family val="2"/>
      <scheme val="minor"/>
    </font>
    <font>
      <sz val="16"/>
      <name val="Swis721 Cn BT"/>
      <family val="2"/>
    </font>
    <font>
      <sz val="16"/>
      <color theme="1"/>
      <name val="Swis721 Cn BT"/>
      <family val="2"/>
    </font>
    <font>
      <b/>
      <sz val="16"/>
      <name val="Swis721 Cn BT"/>
      <family val="2"/>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sz val="10"/>
      <color rgb="FF000000"/>
      <name val="Calibri"/>
      <family val="2"/>
      <scheme val="minor"/>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22"/>
      <name val="Arial"/>
      <family val="2"/>
    </font>
    <font>
      <b/>
      <sz val="22"/>
      <color rgb="FFFF0000"/>
      <name val="Arial"/>
      <family val="2"/>
    </font>
    <font>
      <b/>
      <sz val="12"/>
      <color rgb="FF00CC00"/>
      <name val="Calibri"/>
      <family val="2"/>
      <scheme val="minor"/>
    </font>
    <font>
      <sz val="10"/>
      <name val="Tahoma"/>
      <family val="2"/>
    </font>
    <font>
      <sz val="22"/>
      <color rgb="FFFF0000"/>
      <name val="Calibri"/>
      <family val="2"/>
      <scheme val="minor"/>
    </font>
    <font>
      <b/>
      <sz val="24"/>
      <color rgb="FFFF0000"/>
      <name val="Arial"/>
      <family val="2"/>
    </font>
    <font>
      <b/>
      <sz val="26"/>
      <color rgb="FFFF0000"/>
      <name val="Arial"/>
      <family val="2"/>
    </font>
    <font>
      <b/>
      <sz val="18"/>
      <color theme="1"/>
      <name val="Calibri"/>
      <family val="2"/>
      <scheme val="minor"/>
    </font>
    <font>
      <b/>
      <sz val="18"/>
      <name val="Arial"/>
      <family val="2"/>
    </font>
    <font>
      <sz val="14"/>
      <name val="Swis721 Cn BT"/>
      <family val="2"/>
    </font>
    <font>
      <sz val="8"/>
      <name val="Calibri"/>
      <family val="2"/>
      <scheme val="minor"/>
    </font>
    <font>
      <b/>
      <sz val="36"/>
      <name val="Arial"/>
      <family val="2"/>
    </font>
    <font>
      <b/>
      <sz val="26"/>
      <color theme="1"/>
      <name val="Arial"/>
      <family val="2"/>
    </font>
    <font>
      <b/>
      <sz val="24"/>
      <name val="Arial"/>
      <family val="2"/>
    </font>
    <font>
      <b/>
      <sz val="26"/>
      <name val="Arial"/>
      <family val="2"/>
    </font>
    <font>
      <b/>
      <sz val="28"/>
      <name val="Calibri"/>
      <family val="2"/>
      <scheme val="minor"/>
    </font>
    <font>
      <b/>
      <sz val="28"/>
      <name val="Arial"/>
      <family val="2"/>
    </font>
    <font>
      <b/>
      <sz val="30"/>
      <name val="Calibri"/>
      <family val="2"/>
      <scheme val="minor"/>
    </font>
    <font>
      <b/>
      <sz val="30"/>
      <name val="Arial"/>
      <family val="2"/>
    </font>
    <font>
      <b/>
      <sz val="24"/>
      <name val="Arial Black"/>
      <family val="2"/>
    </font>
    <font>
      <b/>
      <sz val="9"/>
      <name val="Arial"/>
      <family val="2"/>
    </font>
    <font>
      <sz val="9"/>
      <name val="Arial"/>
      <family val="2"/>
    </font>
    <font>
      <b/>
      <sz val="24"/>
      <name val="Calibri"/>
      <family val="2"/>
      <scheme val="minor"/>
    </font>
    <font>
      <b/>
      <sz val="18"/>
      <color rgb="FFFF0000"/>
      <name val="Arial"/>
      <family val="2"/>
    </font>
    <font>
      <b/>
      <sz val="11"/>
      <color rgb="FF4E515E"/>
      <name val="Calibri Light"/>
      <family val="1"/>
      <scheme val="major"/>
    </font>
    <font>
      <b/>
      <sz val="11"/>
      <color rgb="FF00CC00"/>
      <name val="Calibri"/>
      <family val="2"/>
      <scheme val="minor"/>
    </font>
  </fonts>
  <fills count="39">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E6B9B8"/>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3" tint="0.59999389629810485"/>
        <bgColor indexed="64"/>
      </patternFill>
    </fill>
    <fill>
      <patternFill patternType="solid">
        <fgColor rgb="FFF4BAC6"/>
        <bgColor indexed="64"/>
      </patternFill>
    </fill>
    <fill>
      <patternFill patternType="solid">
        <fgColor theme="0" tint="-4.9989318521683403E-2"/>
        <bgColor indexed="64"/>
      </patternFill>
    </fill>
  </fills>
  <borders count="81">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right/>
      <top style="thin">
        <color rgb="FF000000"/>
      </top>
      <bottom style="thin">
        <color rgb="FF000000"/>
      </bottom>
      <diagonal/>
    </border>
    <border>
      <left style="thin">
        <color indexed="64"/>
      </left>
      <right/>
      <top style="thin">
        <color indexed="64"/>
      </top>
      <bottom style="medium">
        <color indexed="64"/>
      </bottom>
      <diagonal/>
    </border>
    <border>
      <left/>
      <right style="thin">
        <color auto="1"/>
      </right>
      <top/>
      <bottom style="medium">
        <color auto="1"/>
      </bottom>
      <diagonal/>
    </border>
    <border>
      <left style="medium">
        <color auto="1"/>
      </left>
      <right/>
      <top style="thin">
        <color auto="1"/>
      </top>
      <bottom/>
      <diagonal/>
    </border>
    <border>
      <left style="medium">
        <color auto="1"/>
      </left>
      <right/>
      <top/>
      <bottom style="thin">
        <color indexed="64"/>
      </bottom>
      <diagonal/>
    </border>
    <border>
      <left/>
      <right style="medium">
        <color auto="1"/>
      </right>
      <top/>
      <bottom style="thin">
        <color indexed="64"/>
      </bottom>
      <diagonal/>
    </border>
    <border>
      <left/>
      <right style="medium">
        <color auto="1"/>
      </right>
      <top style="thin">
        <color indexed="64"/>
      </top>
      <bottom/>
      <diagonal/>
    </border>
  </borders>
  <cellStyleXfs count="222">
    <xf numFmtId="0" fontId="0" fillId="0" borderId="0"/>
    <xf numFmtId="43" fontId="128" fillId="0" borderId="0" applyFont="0" applyFill="0" applyBorder="0" applyAlignment="0" applyProtection="0"/>
    <xf numFmtId="44" fontId="128" fillId="0" borderId="0" applyFont="0" applyFill="0" applyBorder="0" applyAlignment="0" applyProtection="0"/>
    <xf numFmtId="9" fontId="128" fillId="0" borderId="0" applyFont="0" applyFill="0" applyBorder="0" applyAlignment="0" applyProtection="0"/>
    <xf numFmtId="0" fontId="129" fillId="25" borderId="54" applyNumberFormat="0" applyAlignment="0" applyProtection="0"/>
    <xf numFmtId="0" fontId="130" fillId="15" borderId="0" applyNumberFormat="0" applyBorder="0" applyAlignment="0" applyProtection="0"/>
    <xf numFmtId="0" fontId="128" fillId="16" borderId="0" applyNumberFormat="0" applyBorder="0" applyAlignment="0" applyProtection="0"/>
    <xf numFmtId="43" fontId="105" fillId="0" borderId="0" applyFont="0" applyFill="0" applyBorder="0" applyAlignment="0" applyProtection="0"/>
    <xf numFmtId="164" fontId="105" fillId="0" borderId="0" applyFont="0" applyFill="0" applyBorder="0" applyAlignment="0" applyProtection="0"/>
    <xf numFmtId="164" fontId="128" fillId="0" borderId="0" applyFont="0" applyFill="0" applyBorder="0" applyAlignment="0" applyProtection="0"/>
    <xf numFmtId="0" fontId="105" fillId="0" borderId="0"/>
    <xf numFmtId="0" fontId="105" fillId="0" borderId="0"/>
    <xf numFmtId="0" fontId="105" fillId="0" borderId="0"/>
    <xf numFmtId="0" fontId="105" fillId="0" borderId="0" applyNumberFormat="0" applyFont="0" applyFill="0" applyBorder="0" applyAlignment="0" applyProtection="0">
      <alignment vertical="top"/>
    </xf>
    <xf numFmtId="0" fontId="128" fillId="0" borderId="0"/>
    <xf numFmtId="0" fontId="131" fillId="0" borderId="0" applyNumberFormat="0" applyFill="0" applyBorder="0" applyProtection="0">
      <alignment vertical="top" wrapText="1"/>
    </xf>
    <xf numFmtId="0" fontId="105" fillId="0" borderId="0"/>
    <xf numFmtId="0" fontId="105" fillId="0" borderId="0"/>
    <xf numFmtId="0" fontId="105" fillId="0" borderId="0"/>
    <xf numFmtId="0" fontId="105" fillId="0" borderId="0"/>
    <xf numFmtId="0" fontId="128" fillId="0" borderId="0"/>
    <xf numFmtId="0" fontId="105" fillId="0" borderId="0"/>
    <xf numFmtId="0" fontId="128" fillId="0" borderId="0"/>
    <xf numFmtId="0" fontId="105" fillId="0" borderId="0"/>
    <xf numFmtId="0" fontId="105" fillId="0" borderId="0"/>
    <xf numFmtId="0" fontId="105" fillId="0" borderId="0"/>
    <xf numFmtId="0" fontId="105" fillId="0" borderId="0"/>
    <xf numFmtId="0" fontId="105" fillId="0" borderId="0"/>
    <xf numFmtId="0" fontId="105" fillId="0" borderId="0"/>
    <xf numFmtId="9" fontId="105"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105" fillId="0" borderId="0"/>
    <xf numFmtId="0" fontId="190" fillId="0" borderId="0"/>
    <xf numFmtId="0" fontId="38" fillId="0" borderId="0"/>
    <xf numFmtId="0" fontId="190" fillId="0" borderId="0"/>
    <xf numFmtId="0" fontId="38" fillId="0" borderId="0"/>
    <xf numFmtId="0" fontId="38" fillId="0" borderId="0"/>
    <xf numFmtId="0" fontId="38" fillId="0" borderId="0"/>
    <xf numFmtId="0" fontId="38" fillId="0" borderId="0"/>
    <xf numFmtId="0" fontId="38" fillId="0" borderId="0"/>
    <xf numFmtId="0" fontId="105" fillId="0" borderId="0"/>
    <xf numFmtId="0" fontId="105" fillId="0" borderId="0" applyNumberFormat="0" applyFill="0" applyBorder="0" applyAlignment="0" applyProtection="0"/>
    <xf numFmtId="0" fontId="191" fillId="31" borderId="73" applyNumberFormat="0" applyAlignment="0" applyProtection="0"/>
    <xf numFmtId="43" fontId="105" fillId="0" borderId="0" applyFont="0" applyFill="0" applyBorder="0" applyAlignment="0" applyProtection="0"/>
    <xf numFmtId="0" fontId="105" fillId="0" borderId="0"/>
    <xf numFmtId="0" fontId="105" fillId="0" borderId="0"/>
    <xf numFmtId="0" fontId="192" fillId="0" borderId="0" applyNumberFormat="0" applyFill="0" applyBorder="0" applyAlignment="0" applyProtection="0"/>
    <xf numFmtId="0" fontId="28" fillId="0" borderId="0"/>
    <xf numFmtId="43" fontId="27" fillId="0" borderId="0" applyFont="0" applyFill="0" applyBorder="0" applyAlignment="0" applyProtection="0"/>
    <xf numFmtId="44" fontId="27" fillId="0" borderId="0" applyFont="0" applyFill="0" applyBorder="0" applyAlignment="0" applyProtection="0"/>
    <xf numFmtId="9" fontId="27" fillId="0" borderId="0" applyFont="0" applyFill="0" applyBorder="0" applyAlignment="0" applyProtection="0"/>
    <xf numFmtId="0" fontId="27" fillId="16" borderId="0" applyNumberFormat="0" applyBorder="0" applyAlignment="0" applyProtection="0"/>
    <xf numFmtId="43" fontId="105" fillId="0" borderId="0" applyFont="0" applyFill="0" applyBorder="0" applyAlignment="0" applyProtection="0"/>
    <xf numFmtId="43" fontId="105" fillId="0" borderId="0" applyFont="0" applyFill="0" applyBorder="0" applyAlignment="0" applyProtection="0"/>
    <xf numFmtId="43" fontId="27" fillId="0" borderId="0" applyFont="0" applyFill="0" applyBorder="0" applyAlignment="0" applyProtection="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43" fontId="105" fillId="0" borderId="0" applyFont="0" applyFill="0" applyBorder="0" applyAlignment="0" applyProtection="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44" fontId="7" fillId="0" borderId="0" applyFont="0" applyFill="0" applyBorder="0" applyAlignment="0" applyProtection="0"/>
    <xf numFmtId="0" fontId="6" fillId="0" borderId="0"/>
    <xf numFmtId="43" fontId="6" fillId="0" borderId="0" applyFont="0" applyFill="0" applyBorder="0" applyAlignment="0" applyProtection="0"/>
    <xf numFmtId="44" fontId="6" fillId="0" borderId="0" applyFont="0" applyFill="0" applyBorder="0" applyAlignment="0" applyProtection="0"/>
    <xf numFmtId="9" fontId="6" fillId="0" borderId="0" applyFont="0" applyFill="0" applyBorder="0" applyAlignment="0" applyProtection="0"/>
    <xf numFmtId="0" fontId="6" fillId="16" borderId="0" applyNumberFormat="0" applyBorder="0" applyAlignment="0" applyProtection="0"/>
    <xf numFmtId="43" fontId="105" fillId="0" borderId="0" applyFont="0" applyFill="0" applyBorder="0" applyAlignment="0" applyProtection="0"/>
    <xf numFmtId="43"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3" fontId="105" fillId="0" borderId="0" applyFont="0" applyFill="0" applyBorder="0" applyAlignment="0" applyProtection="0"/>
    <xf numFmtId="0" fontId="6" fillId="0" borderId="0"/>
    <xf numFmtId="43" fontId="6" fillId="0" borderId="0" applyFont="0" applyFill="0" applyBorder="0" applyAlignment="0" applyProtection="0"/>
    <xf numFmtId="44" fontId="6" fillId="0" borderId="0" applyFont="0" applyFill="0" applyBorder="0" applyAlignment="0" applyProtection="0"/>
    <xf numFmtId="9" fontId="6" fillId="0" borderId="0" applyFont="0" applyFill="0" applyBorder="0" applyAlignment="0" applyProtection="0"/>
    <xf numFmtId="0" fontId="6" fillId="16" borderId="0" applyNumberFormat="0" applyBorder="0" applyAlignment="0" applyProtection="0"/>
    <xf numFmtId="43" fontId="105" fillId="0" borderId="0" applyFont="0" applyFill="0" applyBorder="0" applyAlignment="0" applyProtection="0"/>
    <xf numFmtId="43" fontId="105" fillId="0" borderId="0" applyFont="0" applyFill="0" applyBorder="0" applyAlignment="0" applyProtection="0"/>
    <xf numFmtId="43"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3" fontId="105"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3" fontId="6" fillId="0" borderId="0" applyFont="0" applyFill="0" applyBorder="0" applyAlignment="0" applyProtection="0"/>
    <xf numFmtId="44" fontId="6" fillId="0" borderId="0" applyFont="0" applyFill="0" applyBorder="0" applyAlignment="0" applyProtection="0"/>
    <xf numFmtId="9" fontId="6" fillId="0" borderId="0" applyFont="0" applyFill="0" applyBorder="0" applyAlignment="0" applyProtection="0"/>
    <xf numFmtId="0" fontId="6" fillId="16" borderId="0" applyNumberFormat="0" applyBorder="0" applyAlignment="0" applyProtection="0"/>
    <xf numFmtId="43" fontId="105" fillId="0" borderId="0" applyFont="0" applyFill="0" applyBorder="0" applyAlignment="0" applyProtection="0"/>
    <xf numFmtId="43"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3" fontId="105" fillId="0" borderId="0" applyFont="0" applyFill="0" applyBorder="0" applyAlignment="0" applyProtection="0"/>
    <xf numFmtId="0" fontId="6" fillId="0" borderId="0"/>
    <xf numFmtId="43" fontId="6" fillId="0" borderId="0" applyFont="0" applyFill="0" applyBorder="0" applyAlignment="0" applyProtection="0"/>
    <xf numFmtId="44" fontId="6" fillId="0" borderId="0" applyFont="0" applyFill="0" applyBorder="0" applyAlignment="0" applyProtection="0"/>
    <xf numFmtId="9" fontId="6" fillId="0" borderId="0" applyFont="0" applyFill="0" applyBorder="0" applyAlignment="0" applyProtection="0"/>
    <xf numFmtId="0" fontId="6" fillId="16" borderId="0" applyNumberFormat="0" applyBorder="0" applyAlignment="0" applyProtection="0"/>
    <xf numFmtId="43" fontId="105" fillId="0" borderId="0" applyFont="0" applyFill="0" applyBorder="0" applyAlignment="0" applyProtection="0"/>
    <xf numFmtId="43" fontId="105" fillId="0" borderId="0" applyFont="0" applyFill="0" applyBorder="0" applyAlignment="0" applyProtection="0"/>
    <xf numFmtId="43"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3" fontId="105"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cellStyleXfs>
  <cellXfs count="1696">
    <xf numFmtId="0" fontId="0" fillId="0" borderId="0" xfId="0"/>
    <xf numFmtId="0" fontId="74" fillId="2" borderId="1" xfId="0" applyFont="1" applyFill="1" applyBorder="1" applyAlignment="1" applyProtection="1">
      <alignment horizontal="center" vertical="center" wrapText="1"/>
      <protection hidden="1"/>
    </xf>
    <xf numFmtId="0" fontId="74" fillId="3" borderId="1" xfId="0" applyFont="1" applyFill="1" applyBorder="1" applyAlignment="1" applyProtection="1">
      <alignment horizontal="center" vertical="center" wrapText="1"/>
      <protection hidden="1"/>
    </xf>
    <xf numFmtId="165" fontId="75" fillId="4" borderId="2" xfId="0" applyNumberFormat="1" applyFont="1" applyFill="1" applyBorder="1" applyAlignment="1">
      <alignment horizontal="center" vertical="center"/>
    </xf>
    <xf numFmtId="0" fontId="76" fillId="0" borderId="2" xfId="0" applyFont="1" applyBorder="1" applyAlignment="1" applyProtection="1">
      <alignment vertical="center" wrapText="1"/>
      <protection hidden="1"/>
    </xf>
    <xf numFmtId="0" fontId="77" fillId="3" borderId="2" xfId="0" applyFont="1" applyFill="1" applyBorder="1" applyAlignment="1">
      <alignment horizontal="right" vertical="top" wrapText="1"/>
    </xf>
    <xf numFmtId="0" fontId="77" fillId="3" borderId="2" xfId="0" applyFont="1" applyFill="1" applyBorder="1" applyAlignment="1">
      <alignment horizontal="left" vertical="top" wrapText="1"/>
    </xf>
    <xf numFmtId="0" fontId="77" fillId="3" borderId="2" xfId="0" applyFont="1" applyFill="1" applyBorder="1" applyAlignment="1">
      <alignment horizontal="center" vertical="top" wrapText="1"/>
    </xf>
    <xf numFmtId="0" fontId="76" fillId="5" borderId="2" xfId="0" applyFont="1" applyFill="1" applyBorder="1" applyAlignment="1" applyProtection="1">
      <alignment vertical="center" wrapText="1"/>
      <protection hidden="1"/>
    </xf>
    <xf numFmtId="0" fontId="77" fillId="3" borderId="2" xfId="0" applyFont="1" applyFill="1" applyBorder="1" applyAlignment="1">
      <alignment horizontal="center" vertical="top"/>
    </xf>
    <xf numFmtId="0" fontId="78" fillId="0" borderId="0" xfId="0" applyFont="1"/>
    <xf numFmtId="1" fontId="75" fillId="4" borderId="3" xfId="0" applyNumberFormat="1" applyFont="1" applyFill="1" applyBorder="1" applyAlignment="1">
      <alignment horizontal="center" vertical="center" wrapText="1"/>
    </xf>
    <xf numFmtId="1" fontId="77" fillId="4" borderId="4" xfId="0" applyNumberFormat="1" applyFont="1" applyFill="1" applyBorder="1"/>
    <xf numFmtId="0" fontId="75" fillId="3" borderId="2" xfId="0" applyFont="1" applyFill="1" applyBorder="1" applyAlignment="1">
      <alignment horizontal="center" vertical="center" wrapText="1"/>
    </xf>
    <xf numFmtId="1" fontId="75" fillId="3" borderId="2" xfId="0" applyNumberFormat="1" applyFont="1" applyFill="1" applyBorder="1" applyAlignment="1">
      <alignment horizontal="left" vertical="center" wrapText="1"/>
    </xf>
    <xf numFmtId="1" fontId="78" fillId="3" borderId="2" xfId="0" applyNumberFormat="1" applyFont="1" applyFill="1" applyBorder="1" applyAlignment="1">
      <alignment horizontal="left" vertical="center" wrapText="1"/>
    </xf>
    <xf numFmtId="166" fontId="77" fillId="3" borderId="2" xfId="0" applyNumberFormat="1" applyFont="1" applyFill="1" applyBorder="1" applyAlignment="1">
      <alignment horizontal="center" vertical="center" wrapText="1"/>
    </xf>
    <xf numFmtId="1" fontId="77" fillId="3" borderId="2" xfId="0" applyNumberFormat="1" applyFont="1" applyFill="1" applyBorder="1" applyAlignment="1">
      <alignment horizontal="center" vertical="center" wrapText="1"/>
    </xf>
    <xf numFmtId="0" fontId="77" fillId="3" borderId="2" xfId="0" applyFont="1" applyFill="1" applyBorder="1" applyAlignment="1">
      <alignment horizontal="center" vertical="center" wrapText="1"/>
    </xf>
    <xf numFmtId="2" fontId="79" fillId="3" borderId="2" xfId="0" applyNumberFormat="1" applyFont="1" applyFill="1" applyBorder="1" applyAlignment="1">
      <alignment horizontal="center" vertical="center" wrapText="1"/>
    </xf>
    <xf numFmtId="0" fontId="79" fillId="3" borderId="2" xfId="0" applyFont="1" applyFill="1" applyBorder="1" applyAlignment="1">
      <alignment horizontal="left" vertical="center" wrapText="1"/>
    </xf>
    <xf numFmtId="0" fontId="78" fillId="3" borderId="2" xfId="0" applyFont="1" applyFill="1" applyBorder="1" applyAlignment="1">
      <alignment horizontal="left" vertical="center" wrapText="1"/>
    </xf>
    <xf numFmtId="2" fontId="78" fillId="3" borderId="2" xfId="0" applyNumberFormat="1" applyFont="1" applyFill="1" applyBorder="1" applyAlignment="1">
      <alignment horizontal="center" vertical="center" wrapText="1"/>
    </xf>
    <xf numFmtId="0" fontId="78" fillId="3" borderId="2" xfId="0" applyFont="1" applyFill="1" applyBorder="1" applyAlignment="1">
      <alignment horizontal="center" vertical="center" wrapText="1"/>
    </xf>
    <xf numFmtId="2" fontId="77" fillId="3" borderId="2" xfId="0" applyNumberFormat="1" applyFont="1" applyFill="1" applyBorder="1" applyAlignment="1">
      <alignment horizontal="left" vertical="center" wrapText="1"/>
    </xf>
    <xf numFmtId="166" fontId="77" fillId="3" borderId="2" xfId="16" applyNumberFormat="1" applyFont="1" applyFill="1" applyBorder="1" applyAlignment="1">
      <alignment horizontal="center" vertical="center" wrapText="1"/>
    </xf>
    <xf numFmtId="2" fontId="77" fillId="3" borderId="2" xfId="0" applyNumberFormat="1" applyFont="1" applyFill="1" applyBorder="1" applyAlignment="1">
      <alignment horizontal="center" vertical="top" wrapText="1"/>
    </xf>
    <xf numFmtId="2" fontId="77" fillId="3" borderId="2" xfId="16" applyNumberFormat="1" applyFont="1" applyFill="1" applyBorder="1" applyAlignment="1">
      <alignment horizontal="left" vertical="center" wrapText="1"/>
    </xf>
    <xf numFmtId="2" fontId="77" fillId="3" borderId="2" xfId="0" applyNumberFormat="1" applyFont="1" applyFill="1" applyBorder="1" applyAlignment="1">
      <alignment horizontal="center" vertical="center" wrapText="1"/>
    </xf>
    <xf numFmtId="2" fontId="77" fillId="3" borderId="2" xfId="16" applyNumberFormat="1" applyFont="1" applyFill="1" applyBorder="1" applyAlignment="1">
      <alignment horizontal="left" vertical="center"/>
    </xf>
    <xf numFmtId="0" fontId="78" fillId="3" borderId="0" xfId="0" applyFont="1" applyFill="1" applyAlignment="1">
      <alignment vertical="center"/>
    </xf>
    <xf numFmtId="1" fontId="78" fillId="3" borderId="0" xfId="0" applyNumberFormat="1" applyFont="1" applyFill="1" applyAlignment="1">
      <alignment vertical="center"/>
    </xf>
    <xf numFmtId="0" fontId="78" fillId="3" borderId="0" xfId="0" applyFont="1" applyFill="1" applyAlignment="1">
      <alignment horizontal="center" vertical="center"/>
    </xf>
    <xf numFmtId="0" fontId="80" fillId="0" borderId="0" xfId="0" applyFont="1" applyAlignment="1">
      <alignment horizontal="left" vertical="center" indent="1"/>
    </xf>
    <xf numFmtId="0" fontId="79" fillId="0" borderId="0" xfId="0" applyFont="1"/>
    <xf numFmtId="0" fontId="81" fillId="3" borderId="0" xfId="0" applyFont="1" applyFill="1" applyAlignment="1">
      <alignment horizontal="left" vertical="center"/>
    </xf>
    <xf numFmtId="0" fontId="77" fillId="3" borderId="2" xfId="0" applyFont="1" applyFill="1" applyBorder="1" applyAlignment="1">
      <alignment horizontal="left"/>
    </xf>
    <xf numFmtId="17" fontId="77" fillId="3" borderId="2" xfId="0" applyNumberFormat="1" applyFont="1" applyFill="1" applyBorder="1" applyAlignment="1">
      <alignment horizontal="center" vertical="center"/>
    </xf>
    <xf numFmtId="9" fontId="78" fillId="3" borderId="2" xfId="0" applyNumberFormat="1" applyFont="1" applyFill="1" applyBorder="1" applyAlignment="1">
      <alignment horizontal="center" vertical="center"/>
    </xf>
    <xf numFmtId="9" fontId="78" fillId="3" borderId="2" xfId="0" applyNumberFormat="1" applyFont="1" applyFill="1" applyBorder="1" applyAlignment="1">
      <alignment vertical="center" wrapText="1"/>
    </xf>
    <xf numFmtId="9" fontId="78" fillId="3" borderId="2" xfId="0" applyNumberFormat="1" applyFont="1" applyFill="1" applyBorder="1" applyAlignment="1">
      <alignment horizontal="center" vertical="center" wrapText="1"/>
    </xf>
    <xf numFmtId="0" fontId="78" fillId="3" borderId="2" xfId="0" applyFont="1" applyFill="1" applyBorder="1" applyAlignment="1">
      <alignment vertical="center" wrapText="1"/>
    </xf>
    <xf numFmtId="0" fontId="82" fillId="3" borderId="0" xfId="0" applyFont="1" applyFill="1" applyAlignment="1">
      <alignment horizontal="center" vertical="center"/>
    </xf>
    <xf numFmtId="0" fontId="82" fillId="3" borderId="0" xfId="0" applyFont="1" applyFill="1" applyAlignment="1">
      <alignment vertical="center"/>
    </xf>
    <xf numFmtId="9" fontId="77" fillId="3" borderId="2" xfId="0" applyNumberFormat="1" applyFont="1" applyFill="1" applyBorder="1" applyAlignment="1">
      <alignment horizontal="center" vertical="top" wrapText="1"/>
    </xf>
    <xf numFmtId="0" fontId="77" fillId="3" borderId="0" xfId="0" applyFont="1" applyFill="1" applyAlignment="1">
      <alignment vertical="center"/>
    </xf>
    <xf numFmtId="0" fontId="0" fillId="0" borderId="0" xfId="0" applyAlignment="1">
      <alignment horizontal="left" vertical="top"/>
    </xf>
    <xf numFmtId="1" fontId="87" fillId="9" borderId="6" xfId="0" applyNumberFormat="1" applyFont="1" applyFill="1" applyBorder="1" applyAlignment="1">
      <alignment horizontal="center" vertical="center" shrinkToFit="1"/>
    </xf>
    <xf numFmtId="0" fontId="88"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87"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89"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87" fillId="0" borderId="8" xfId="0" applyNumberFormat="1" applyFont="1" applyBorder="1" applyAlignment="1">
      <alignment horizontal="center" vertical="center" shrinkToFit="1"/>
    </xf>
    <xf numFmtId="0" fontId="88" fillId="0" borderId="2" xfId="0" applyFont="1" applyBorder="1" applyAlignment="1">
      <alignment horizontal="center" vertical="center" wrapText="1"/>
    </xf>
    <xf numFmtId="1" fontId="87" fillId="0" borderId="2" xfId="0" applyNumberFormat="1" applyFont="1" applyBorder="1" applyAlignment="1">
      <alignment horizontal="center" vertical="center" shrinkToFit="1"/>
    </xf>
    <xf numFmtId="1" fontId="87" fillId="9" borderId="8" xfId="0" applyNumberFormat="1" applyFont="1" applyFill="1" applyBorder="1" applyAlignment="1">
      <alignment horizontal="center" vertical="center" shrinkToFit="1"/>
    </xf>
    <xf numFmtId="0" fontId="88"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87" fillId="9" borderId="2" xfId="0" applyNumberFormat="1" applyFont="1" applyFill="1" applyBorder="1" applyAlignment="1">
      <alignment horizontal="center" vertical="center" shrinkToFit="1"/>
    </xf>
    <xf numFmtId="168" fontId="89" fillId="0" borderId="2" xfId="1" applyNumberFormat="1" applyFont="1" applyBorder="1" applyAlignment="1">
      <alignment horizontal="center" vertical="center" shrinkToFit="1"/>
    </xf>
    <xf numFmtId="168" fontId="89" fillId="9" borderId="2" xfId="1" applyNumberFormat="1" applyFont="1" applyFill="1" applyBorder="1" applyAlignment="1">
      <alignment horizontal="center" vertical="center" shrinkToFit="1"/>
    </xf>
    <xf numFmtId="1" fontId="86"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91" fillId="9" borderId="7" xfId="0" applyFont="1" applyFill="1" applyBorder="1" applyAlignment="1">
      <alignment horizontal="center" vertical="top" wrapText="1"/>
    </xf>
    <xf numFmtId="0" fontId="92" fillId="9" borderId="7" xfId="0" applyFont="1" applyFill="1" applyBorder="1" applyAlignment="1">
      <alignment horizontal="center" vertical="center" wrapText="1"/>
    </xf>
    <xf numFmtId="2" fontId="87"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91" fillId="0" borderId="2" xfId="0" applyFont="1" applyBorder="1" applyAlignment="1">
      <alignment horizontal="left" wrapText="1"/>
    </xf>
    <xf numFmtId="2" fontId="87"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87" fillId="9" borderId="2" xfId="0" applyNumberFormat="1" applyFont="1" applyFill="1" applyBorder="1" applyAlignment="1">
      <alignment horizontal="center" vertical="top" shrinkToFit="1"/>
    </xf>
    <xf numFmtId="0" fontId="91" fillId="3" borderId="2" xfId="0" applyFont="1" applyFill="1" applyBorder="1" applyAlignment="1">
      <alignment horizontal="center" vertical="top" wrapText="1"/>
    </xf>
    <xf numFmtId="167" fontId="89" fillId="9" borderId="7" xfId="0" applyNumberFormat="1" applyFont="1" applyFill="1" applyBorder="1" applyAlignment="1">
      <alignment horizontal="center" vertical="top" shrinkToFit="1"/>
    </xf>
    <xf numFmtId="1" fontId="89" fillId="9" borderId="7" xfId="0" applyNumberFormat="1" applyFont="1" applyFill="1" applyBorder="1" applyAlignment="1">
      <alignment horizontal="center" vertical="top" shrinkToFit="1"/>
    </xf>
    <xf numFmtId="1" fontId="87" fillId="9" borderId="7" xfId="0" applyNumberFormat="1" applyFont="1" applyFill="1" applyBorder="1" applyAlignment="1">
      <alignment horizontal="center" vertical="top" shrinkToFit="1"/>
    </xf>
    <xf numFmtId="167" fontId="89" fillId="0" borderId="2" xfId="0" applyNumberFormat="1" applyFont="1" applyBorder="1" applyAlignment="1">
      <alignment horizontal="center" vertical="top" shrinkToFit="1"/>
    </xf>
    <xf numFmtId="1" fontId="89" fillId="0" borderId="2" xfId="0" applyNumberFormat="1" applyFont="1" applyBorder="1" applyAlignment="1">
      <alignment horizontal="center" vertical="top" shrinkToFit="1"/>
    </xf>
    <xf numFmtId="1" fontId="87" fillId="0" borderId="2" xfId="0" applyNumberFormat="1" applyFont="1" applyBorder="1" applyAlignment="1">
      <alignment horizontal="center" vertical="top" shrinkToFit="1"/>
    </xf>
    <xf numFmtId="167" fontId="89" fillId="9" borderId="2" xfId="0" applyNumberFormat="1" applyFont="1" applyFill="1" applyBorder="1" applyAlignment="1">
      <alignment horizontal="center" vertical="top" shrinkToFit="1"/>
    </xf>
    <xf numFmtId="1" fontId="89" fillId="9" borderId="2" xfId="0" applyNumberFormat="1" applyFont="1" applyFill="1" applyBorder="1" applyAlignment="1">
      <alignment horizontal="center" vertical="top" shrinkToFit="1"/>
    </xf>
    <xf numFmtId="1" fontId="87"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86" fillId="8" borderId="11" xfId="0" applyNumberFormat="1" applyFont="1" applyFill="1" applyBorder="1" applyAlignment="1">
      <alignment horizontal="center" vertical="center"/>
    </xf>
    <xf numFmtId="169" fontId="86" fillId="8" borderId="16" xfId="0" applyNumberFormat="1" applyFont="1" applyFill="1" applyBorder="1" applyAlignment="1">
      <alignment horizontal="center" vertical="center"/>
    </xf>
    <xf numFmtId="0" fontId="91" fillId="9" borderId="7" xfId="0" applyFont="1" applyFill="1" applyBorder="1" applyAlignment="1">
      <alignment horizontal="left" wrapText="1"/>
    </xf>
    <xf numFmtId="169" fontId="93" fillId="9" borderId="7" xfId="0" applyNumberFormat="1" applyFont="1" applyFill="1" applyBorder="1" applyAlignment="1">
      <alignment horizontal="center" vertical="top" shrinkToFit="1"/>
    </xf>
    <xf numFmtId="169" fontId="89" fillId="9" borderId="13" xfId="0" applyNumberFormat="1" applyFont="1" applyFill="1" applyBorder="1" applyAlignment="1">
      <alignment horizontal="center" vertical="top" shrinkToFit="1"/>
    </xf>
    <xf numFmtId="0" fontId="88" fillId="0" borderId="2" xfId="0" applyFont="1" applyBorder="1" applyAlignment="1">
      <alignment horizontal="center" vertical="top" wrapText="1"/>
    </xf>
    <xf numFmtId="0" fontId="94" fillId="0" borderId="2" xfId="0" applyFont="1" applyBorder="1" applyAlignment="1">
      <alignment horizontal="left" wrapText="1"/>
    </xf>
    <xf numFmtId="0" fontId="91" fillId="0" borderId="14" xfId="0" applyFont="1" applyBorder="1" applyAlignment="1">
      <alignment horizontal="left" wrapText="1"/>
    </xf>
    <xf numFmtId="169" fontId="93" fillId="0" borderId="2" xfId="0" applyNumberFormat="1" applyFont="1" applyBorder="1" applyAlignment="1">
      <alignment horizontal="center" vertical="top" shrinkToFit="1"/>
    </xf>
    <xf numFmtId="169" fontId="89" fillId="0" borderId="14" xfId="0" applyNumberFormat="1" applyFont="1" applyBorder="1" applyAlignment="1">
      <alignment horizontal="center" vertical="top" shrinkToFit="1"/>
    </xf>
    <xf numFmtId="0" fontId="91" fillId="9" borderId="2" xfId="0" applyFont="1" applyFill="1" applyBorder="1" applyAlignment="1">
      <alignment horizontal="left" wrapText="1"/>
    </xf>
    <xf numFmtId="169" fontId="93" fillId="9" borderId="2" xfId="0" applyNumberFormat="1" applyFont="1" applyFill="1" applyBorder="1" applyAlignment="1">
      <alignment horizontal="center" vertical="top" shrinkToFit="1"/>
    </xf>
    <xf numFmtId="169" fontId="89"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87" fillId="9" borderId="10" xfId="0" applyNumberFormat="1" applyFont="1" applyFill="1" applyBorder="1" applyAlignment="1">
      <alignment horizontal="center" vertical="center" shrinkToFit="1"/>
    </xf>
    <xf numFmtId="0" fontId="88"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87" fillId="9" borderId="11" xfId="0" applyNumberFormat="1" applyFont="1" applyFill="1" applyBorder="1" applyAlignment="1">
      <alignment horizontal="center" vertical="center" shrinkToFit="1"/>
    </xf>
    <xf numFmtId="0" fontId="95" fillId="0" borderId="0" xfId="0" applyFont="1" applyAlignment="1">
      <alignment horizontal="left" vertical="top"/>
    </xf>
    <xf numFmtId="168" fontId="0" fillId="9" borderId="11" xfId="1" applyNumberFormat="1" applyFont="1" applyFill="1" applyBorder="1" applyAlignment="1">
      <alignment horizontal="center" vertical="center"/>
    </xf>
    <xf numFmtId="0" fontId="92" fillId="9" borderId="11" xfId="0" applyFont="1" applyFill="1" applyBorder="1" applyAlignment="1">
      <alignment horizontal="center" vertical="center" wrapText="1"/>
    </xf>
    <xf numFmtId="2" fontId="87" fillId="9" borderId="11" xfId="0" applyNumberFormat="1" applyFont="1" applyFill="1" applyBorder="1" applyAlignment="1">
      <alignment horizontal="center" vertical="top" shrinkToFit="1"/>
    </xf>
    <xf numFmtId="167" fontId="89" fillId="9" borderId="11" xfId="0" applyNumberFormat="1" applyFont="1" applyFill="1" applyBorder="1" applyAlignment="1">
      <alignment horizontal="center" vertical="top" shrinkToFit="1"/>
    </xf>
    <xf numFmtId="1" fontId="89" fillId="9" borderId="11" xfId="0" applyNumberFormat="1" applyFont="1" applyFill="1" applyBorder="1" applyAlignment="1">
      <alignment horizontal="center" vertical="top" shrinkToFit="1"/>
    </xf>
    <xf numFmtId="1" fontId="87" fillId="9" borderId="11" xfId="0" applyNumberFormat="1" applyFont="1" applyFill="1" applyBorder="1" applyAlignment="1">
      <alignment horizontal="center" vertical="top" shrinkToFit="1"/>
    </xf>
    <xf numFmtId="0" fontId="91" fillId="0" borderId="2" xfId="0" applyFont="1" applyBorder="1" applyAlignment="1">
      <alignment horizontal="center" vertical="top" wrapText="1"/>
    </xf>
    <xf numFmtId="0" fontId="91" fillId="9" borderId="11" xfId="0" applyFont="1" applyFill="1" applyBorder="1" applyAlignment="1">
      <alignment horizontal="left" wrapText="1"/>
    </xf>
    <xf numFmtId="169" fontId="93" fillId="9" borderId="11" xfId="0" applyNumberFormat="1" applyFont="1" applyFill="1" applyBorder="1" applyAlignment="1">
      <alignment horizontal="center" vertical="top" shrinkToFit="1"/>
    </xf>
    <xf numFmtId="169" fontId="89" fillId="9" borderId="16" xfId="0" applyNumberFormat="1" applyFont="1" applyFill="1" applyBorder="1" applyAlignment="1">
      <alignment horizontal="center" vertical="top" shrinkToFit="1"/>
    </xf>
    <xf numFmtId="0" fontId="99" fillId="0" borderId="21" xfId="0" applyFont="1" applyBorder="1" applyAlignment="1">
      <alignment horizontal="center" vertical="center"/>
    </xf>
    <xf numFmtId="0" fontId="99" fillId="0" borderId="22" xfId="0" applyFont="1" applyBorder="1" applyAlignment="1">
      <alignment horizontal="center" vertical="center"/>
    </xf>
    <xf numFmtId="0" fontId="99" fillId="0" borderId="0" xfId="0" applyFont="1" applyAlignment="1">
      <alignment horizontal="center" vertical="center"/>
    </xf>
    <xf numFmtId="0" fontId="99" fillId="10" borderId="2" xfId="0" applyFont="1" applyFill="1" applyBorder="1" applyAlignment="1">
      <alignment horizontal="center" vertical="center"/>
    </xf>
    <xf numFmtId="0" fontId="99" fillId="0" borderId="20" xfId="0" applyFont="1" applyBorder="1" applyAlignment="1">
      <alignment horizontal="center" vertical="center"/>
    </xf>
    <xf numFmtId="0" fontId="99" fillId="0" borderId="2" xfId="0" applyFont="1" applyBorder="1" applyAlignment="1">
      <alignment horizontal="center" vertical="center"/>
    </xf>
    <xf numFmtId="167" fontId="99" fillId="0" borderId="2" xfId="0" applyNumberFormat="1" applyFont="1" applyBorder="1" applyAlignment="1">
      <alignment horizontal="center" vertical="center"/>
    </xf>
    <xf numFmtId="0" fontId="101" fillId="0" borderId="20" xfId="0" applyFont="1" applyBorder="1" applyAlignment="1">
      <alignment horizontal="center" vertical="center"/>
    </xf>
    <xf numFmtId="0" fontId="101" fillId="0" borderId="0" xfId="0" applyFont="1" applyAlignment="1">
      <alignment horizontal="center" vertical="center"/>
    </xf>
    <xf numFmtId="2" fontId="101" fillId="0" borderId="20" xfId="0" applyNumberFormat="1" applyFont="1" applyBorder="1" applyAlignment="1">
      <alignment horizontal="center" vertical="center"/>
    </xf>
    <xf numFmtId="2" fontId="101" fillId="0" borderId="0" xfId="0" applyNumberFormat="1" applyFont="1" applyAlignment="1">
      <alignment horizontal="center" vertical="center"/>
    </xf>
    <xf numFmtId="0" fontId="102" fillId="0" borderId="20" xfId="0" applyFont="1" applyBorder="1" applyAlignment="1">
      <alignment horizontal="center" vertical="center"/>
    </xf>
    <xf numFmtId="0" fontId="101" fillId="0" borderId="29" xfId="0" applyFont="1" applyBorder="1" applyAlignment="1">
      <alignment horizontal="center" vertical="center"/>
    </xf>
    <xf numFmtId="0" fontId="103" fillId="0" borderId="30" xfId="0" applyFont="1" applyBorder="1" applyAlignment="1">
      <alignment horizontal="center" vertical="center"/>
    </xf>
    <xf numFmtId="0" fontId="101" fillId="0" borderId="31" xfId="0" applyFont="1" applyBorder="1" applyAlignment="1">
      <alignment horizontal="center" vertical="center"/>
    </xf>
    <xf numFmtId="0" fontId="102" fillId="0" borderId="30" xfId="0" applyFont="1" applyBorder="1" applyAlignment="1">
      <alignment horizontal="center" vertical="center"/>
    </xf>
    <xf numFmtId="0" fontId="101" fillId="0" borderId="30" xfId="0" applyFont="1" applyBorder="1" applyAlignment="1">
      <alignment horizontal="center" vertical="center"/>
    </xf>
    <xf numFmtId="0" fontId="103" fillId="0" borderId="20" xfId="0" applyFont="1" applyBorder="1" applyAlignment="1">
      <alignment horizontal="center" vertical="center"/>
    </xf>
    <xf numFmtId="0" fontId="104" fillId="0" borderId="0" xfId="0" applyFont="1"/>
    <xf numFmtId="0" fontId="103" fillId="0" borderId="0" xfId="0" applyFont="1" applyAlignment="1">
      <alignment horizontal="center" vertical="center"/>
    </xf>
    <xf numFmtId="44" fontId="101" fillId="0" borderId="0" xfId="2" applyFont="1" applyFill="1" applyBorder="1" applyAlignment="1">
      <alignment horizontal="center" vertical="center"/>
    </xf>
    <xf numFmtId="0" fontId="103" fillId="3" borderId="20" xfId="0" applyFont="1" applyFill="1" applyBorder="1" applyAlignment="1">
      <alignment horizontal="center" vertical="center"/>
    </xf>
    <xf numFmtId="0" fontId="103" fillId="3" borderId="0" xfId="0" applyFont="1" applyFill="1" applyAlignment="1">
      <alignment horizontal="center" vertical="center"/>
    </xf>
    <xf numFmtId="44" fontId="101" fillId="3" borderId="0" xfId="2" applyFont="1" applyFill="1" applyBorder="1" applyAlignment="1">
      <alignment horizontal="center" vertical="center"/>
    </xf>
    <xf numFmtId="0" fontId="101" fillId="3" borderId="0" xfId="0" applyFont="1" applyFill="1" applyAlignment="1">
      <alignment horizontal="center" vertical="center"/>
    </xf>
    <xf numFmtId="0" fontId="101" fillId="3" borderId="26" xfId="0" applyFont="1" applyFill="1" applyBorder="1" applyAlignment="1">
      <alignment horizontal="center" vertical="center"/>
    </xf>
    <xf numFmtId="0" fontId="101" fillId="3" borderId="32" xfId="0" applyFont="1" applyFill="1" applyBorder="1" applyAlignment="1">
      <alignment horizontal="center" vertical="center"/>
    </xf>
    <xf numFmtId="0" fontId="101" fillId="0" borderId="23" xfId="0" applyFont="1" applyBorder="1" applyAlignment="1">
      <alignment horizontal="center" vertical="center"/>
    </xf>
    <xf numFmtId="0" fontId="101" fillId="3" borderId="5" xfId="0" applyFont="1" applyFill="1" applyBorder="1" applyAlignment="1">
      <alignment horizontal="center" vertical="center"/>
    </xf>
    <xf numFmtId="0" fontId="103" fillId="0" borderId="0" xfId="0" applyFont="1" applyAlignment="1">
      <alignment vertical="center"/>
    </xf>
    <xf numFmtId="0" fontId="101" fillId="0" borderId="0" xfId="0" applyFont="1" applyAlignment="1">
      <alignment vertical="center"/>
    </xf>
    <xf numFmtId="2" fontId="101" fillId="3" borderId="0" xfId="0" applyNumberFormat="1" applyFont="1" applyFill="1" applyAlignment="1">
      <alignment horizontal="center" vertical="center"/>
    </xf>
    <xf numFmtId="0" fontId="105" fillId="11" borderId="30" xfId="0" applyFont="1" applyFill="1" applyBorder="1" applyAlignment="1">
      <alignment horizontal="center" vertical="center"/>
    </xf>
    <xf numFmtId="0" fontId="101" fillId="11" borderId="30" xfId="0" applyFont="1" applyFill="1" applyBorder="1" applyAlignment="1">
      <alignment horizontal="center" vertical="center"/>
    </xf>
    <xf numFmtId="0" fontId="103" fillId="0" borderId="32" xfId="0" applyFont="1" applyBorder="1" applyAlignment="1">
      <alignment horizontal="center" vertical="center"/>
    </xf>
    <xf numFmtId="0" fontId="106" fillId="0" borderId="0" xfId="0" applyFont="1" applyAlignment="1">
      <alignment horizontal="center" vertical="center"/>
    </xf>
    <xf numFmtId="0" fontId="101" fillId="0" borderId="0" xfId="0" applyFont="1" applyAlignment="1">
      <alignment horizontal="center" vertical="top"/>
    </xf>
    <xf numFmtId="0" fontId="101" fillId="0" borderId="34" xfId="0" applyFont="1" applyBorder="1" applyAlignment="1">
      <alignment horizontal="center" vertical="center"/>
    </xf>
    <xf numFmtId="0" fontId="107" fillId="3" borderId="22" xfId="0" applyFont="1" applyFill="1" applyBorder="1" applyAlignment="1">
      <alignment horizontal="center" vertical="center"/>
    </xf>
    <xf numFmtId="0" fontId="0" fillId="0" borderId="24" xfId="0" applyBorder="1"/>
    <xf numFmtId="0" fontId="99" fillId="3" borderId="0" xfId="0" applyFont="1" applyFill="1" applyAlignment="1">
      <alignment horizontal="center" vertical="center"/>
    </xf>
    <xf numFmtId="0" fontId="107" fillId="3" borderId="0" xfId="0" applyFont="1" applyFill="1" applyAlignment="1">
      <alignment horizontal="center" vertical="center"/>
    </xf>
    <xf numFmtId="0" fontId="0" fillId="0" borderId="35" xfId="0" applyBorder="1"/>
    <xf numFmtId="1" fontId="99" fillId="0" borderId="2" xfId="0" applyNumberFormat="1" applyFont="1" applyBorder="1" applyAlignment="1">
      <alignment horizontal="center" vertical="center"/>
    </xf>
    <xf numFmtId="1" fontId="99" fillId="3" borderId="0" xfId="0" applyNumberFormat="1" applyFont="1" applyFill="1" applyAlignment="1">
      <alignment horizontal="center" vertical="center"/>
    </xf>
    <xf numFmtId="0" fontId="108" fillId="3" borderId="0" xfId="0" applyFont="1" applyFill="1" applyAlignment="1">
      <alignment horizontal="center" vertical="center"/>
    </xf>
    <xf numFmtId="2" fontId="108" fillId="3" borderId="0" xfId="0" applyNumberFormat="1" applyFont="1" applyFill="1" applyAlignment="1">
      <alignment horizontal="center" vertical="center"/>
    </xf>
    <xf numFmtId="0" fontId="101" fillId="0" borderId="32" xfId="0" applyFont="1" applyBorder="1" applyAlignment="1">
      <alignment horizontal="center" vertical="center"/>
    </xf>
    <xf numFmtId="0" fontId="108" fillId="3" borderId="32" xfId="0" applyFont="1" applyFill="1" applyBorder="1" applyAlignment="1">
      <alignment horizontal="center" vertical="center"/>
    </xf>
    <xf numFmtId="0" fontId="0" fillId="0" borderId="27" xfId="0" applyBorder="1"/>
    <xf numFmtId="0" fontId="101" fillId="0" borderId="5" xfId="0" applyFont="1" applyBorder="1" applyAlignment="1">
      <alignment horizontal="center" vertical="center"/>
    </xf>
    <xf numFmtId="0" fontId="108" fillId="3" borderId="24" xfId="0" applyFont="1" applyFill="1" applyBorder="1" applyAlignment="1">
      <alignment horizontal="center" vertical="center"/>
    </xf>
    <xf numFmtId="0" fontId="108" fillId="3" borderId="35" xfId="0" applyFont="1" applyFill="1" applyBorder="1" applyAlignment="1">
      <alignment horizontal="center" vertical="center"/>
    </xf>
    <xf numFmtId="2" fontId="108" fillId="3" borderId="35" xfId="0" applyNumberFormat="1" applyFont="1" applyFill="1" applyBorder="1" applyAlignment="1">
      <alignment horizontal="center" vertical="center"/>
    </xf>
    <xf numFmtId="0" fontId="103" fillId="0" borderId="35" xfId="0" applyFont="1" applyBorder="1" applyAlignment="1">
      <alignment horizontal="center" vertical="center"/>
    </xf>
    <xf numFmtId="44" fontId="101" fillId="0" borderId="35" xfId="2" applyFont="1" applyFill="1" applyBorder="1" applyAlignment="1">
      <alignment horizontal="center" vertical="center"/>
    </xf>
    <xf numFmtId="0" fontId="102" fillId="0" borderId="36" xfId="0" applyFont="1" applyBorder="1" applyAlignment="1">
      <alignment horizontal="center" vertical="center"/>
    </xf>
    <xf numFmtId="0" fontId="101" fillId="0" borderId="37" xfId="0" applyFont="1" applyBorder="1" applyAlignment="1">
      <alignment horizontal="center" vertical="center"/>
    </xf>
    <xf numFmtId="0" fontId="103" fillId="3" borderId="35" xfId="0" applyFont="1" applyFill="1" applyBorder="1" applyAlignment="1">
      <alignment horizontal="center" vertical="center"/>
    </xf>
    <xf numFmtId="44" fontId="109" fillId="3" borderId="0" xfId="2" applyFont="1" applyFill="1" applyBorder="1" applyAlignment="1">
      <alignment horizontal="center" vertical="center"/>
    </xf>
    <xf numFmtId="0" fontId="101" fillId="11" borderId="38" xfId="0" applyFont="1" applyFill="1" applyBorder="1" applyAlignment="1">
      <alignment horizontal="center" vertical="center"/>
    </xf>
    <xf numFmtId="0" fontId="101"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101" fillId="0" borderId="39" xfId="0" applyFont="1" applyBorder="1" applyAlignment="1">
      <alignment horizontal="center" vertical="center"/>
    </xf>
    <xf numFmtId="0" fontId="103" fillId="9" borderId="30" xfId="0" applyFont="1" applyFill="1" applyBorder="1" applyAlignment="1">
      <alignment horizontal="center" vertical="center"/>
    </xf>
    <xf numFmtId="0" fontId="110" fillId="0" borderId="0" xfId="0" applyFont="1" applyAlignment="1">
      <alignment horizontal="center"/>
    </xf>
    <xf numFmtId="0" fontId="101" fillId="3" borderId="0" xfId="0" applyFont="1" applyFill="1" applyAlignment="1">
      <alignment vertical="center"/>
    </xf>
    <xf numFmtId="44" fontId="101" fillId="0" borderId="0" xfId="2" applyFont="1" applyFill="1" applyBorder="1" applyAlignment="1">
      <alignment vertical="center"/>
    </xf>
    <xf numFmtId="0" fontId="105" fillId="3" borderId="35" xfId="0" applyFont="1" applyFill="1" applyBorder="1" applyAlignment="1">
      <alignment horizontal="center" vertical="center"/>
    </xf>
    <xf numFmtId="0" fontId="101" fillId="0" borderId="35" xfId="0" applyFont="1" applyBorder="1" applyAlignment="1">
      <alignment horizontal="center" vertical="center"/>
    </xf>
    <xf numFmtId="2" fontId="101" fillId="0" borderId="35" xfId="0" applyNumberFormat="1" applyFont="1" applyBorder="1" applyAlignment="1">
      <alignment horizontal="center" vertical="center"/>
    </xf>
    <xf numFmtId="0" fontId="102" fillId="0" borderId="40" xfId="0" applyFont="1" applyBorder="1" applyAlignment="1">
      <alignment horizontal="center" vertical="center"/>
    </xf>
    <xf numFmtId="0" fontId="101" fillId="0" borderId="40" xfId="0" applyFont="1" applyBorder="1" applyAlignment="1">
      <alignment horizontal="center" vertical="center"/>
    </xf>
    <xf numFmtId="44" fontId="101" fillId="3" borderId="35" xfId="2" applyFont="1" applyFill="1" applyBorder="1" applyAlignment="1">
      <alignment horizontal="center" vertical="center"/>
    </xf>
    <xf numFmtId="0" fontId="101" fillId="0" borderId="35" xfId="0" applyFont="1" applyBorder="1" applyAlignment="1">
      <alignment horizontal="center" vertical="top"/>
    </xf>
    <xf numFmtId="44" fontId="103" fillId="3" borderId="0" xfId="2" applyFont="1" applyFill="1" applyBorder="1" applyAlignment="1">
      <alignment horizontal="center" vertical="center"/>
    </xf>
    <xf numFmtId="0" fontId="102" fillId="0" borderId="41" xfId="0" applyFont="1" applyBorder="1" applyAlignment="1">
      <alignment horizontal="center" vertical="center"/>
    </xf>
    <xf numFmtId="0" fontId="101" fillId="0" borderId="42" xfId="0" applyFont="1" applyBorder="1" applyAlignment="1">
      <alignment horizontal="center" vertical="center"/>
    </xf>
    <xf numFmtId="44" fontId="103" fillId="3" borderId="35" xfId="2" applyFont="1" applyFill="1" applyBorder="1" applyAlignment="1">
      <alignment horizontal="center" vertical="center"/>
    </xf>
    <xf numFmtId="0" fontId="109" fillId="0" borderId="2" xfId="0" applyFont="1" applyBorder="1" applyAlignment="1">
      <alignment horizontal="center" vertical="center"/>
    </xf>
    <xf numFmtId="0" fontId="101" fillId="0" borderId="2" xfId="0" applyFont="1" applyBorder="1" applyAlignment="1">
      <alignment horizontal="center" vertical="center"/>
    </xf>
    <xf numFmtId="0" fontId="110" fillId="12" borderId="26" xfId="0" applyFont="1" applyFill="1" applyBorder="1" applyAlignment="1">
      <alignment horizontal="center"/>
    </xf>
    <xf numFmtId="0" fontId="110" fillId="12" borderId="32" xfId="0" applyFont="1" applyFill="1" applyBorder="1" applyAlignment="1">
      <alignment horizontal="center"/>
    </xf>
    <xf numFmtId="0" fontId="101" fillId="0" borderId="43" xfId="0" applyFont="1" applyBorder="1" applyAlignment="1">
      <alignment horizontal="center" vertical="center"/>
    </xf>
    <xf numFmtId="0" fontId="101" fillId="0" borderId="0" xfId="0" applyFont="1"/>
    <xf numFmtId="0" fontId="101" fillId="0" borderId="0" xfId="0" applyFont="1" applyAlignment="1">
      <alignment horizontal="left" vertical="center"/>
    </xf>
    <xf numFmtId="0" fontId="101" fillId="9" borderId="30" xfId="0" applyFont="1" applyFill="1" applyBorder="1" applyAlignment="1">
      <alignment horizontal="center" vertical="center"/>
    </xf>
    <xf numFmtId="0" fontId="101" fillId="13" borderId="30" xfId="0" applyFont="1" applyFill="1" applyBorder="1" applyAlignment="1">
      <alignment horizontal="center" vertical="center"/>
    </xf>
    <xf numFmtId="0" fontId="105" fillId="3" borderId="30" xfId="0" applyFont="1" applyFill="1" applyBorder="1" applyAlignment="1">
      <alignment horizontal="center" vertical="center"/>
    </xf>
    <xf numFmtId="0" fontId="104" fillId="0" borderId="0" xfId="0" applyFont="1" applyAlignment="1">
      <alignment horizontal="center"/>
    </xf>
    <xf numFmtId="0" fontId="104" fillId="0" borderId="0" xfId="0" applyFont="1" applyAlignment="1">
      <alignment horizontal="left"/>
    </xf>
    <xf numFmtId="0" fontId="104" fillId="0" borderId="0" xfId="0" applyFont="1" applyAlignment="1">
      <alignment horizontal="center" vertical="center"/>
    </xf>
    <xf numFmtId="0" fontId="108" fillId="14" borderId="30" xfId="0" applyFont="1" applyFill="1" applyBorder="1" applyAlignment="1">
      <alignment horizontal="center" vertical="center"/>
    </xf>
    <xf numFmtId="0" fontId="104" fillId="0" borderId="0" xfId="0" applyFont="1" applyAlignment="1">
      <alignment horizontal="right"/>
    </xf>
    <xf numFmtId="49" fontId="104" fillId="0" borderId="0" xfId="0" applyNumberFormat="1" applyFont="1"/>
    <xf numFmtId="0" fontId="105" fillId="0" borderId="0" xfId="12"/>
    <xf numFmtId="0" fontId="105" fillId="0" borderId="0" xfId="27" applyAlignment="1">
      <alignment horizontal="left"/>
    </xf>
    <xf numFmtId="0" fontId="101" fillId="0" borderId="44" xfId="0" applyFont="1" applyBorder="1" applyAlignment="1">
      <alignment horizontal="center" vertical="center"/>
    </xf>
    <xf numFmtId="0" fontId="101" fillId="0" borderId="45" xfId="0" applyFont="1" applyBorder="1" applyAlignment="1">
      <alignment horizontal="center" vertical="center"/>
    </xf>
    <xf numFmtId="0" fontId="104" fillId="0" borderId="45" xfId="0" applyFont="1" applyBorder="1"/>
    <xf numFmtId="0" fontId="104" fillId="0" borderId="45" xfId="0" applyFont="1" applyBorder="1" applyAlignment="1">
      <alignment horizontal="left"/>
    </xf>
    <xf numFmtId="0" fontId="104" fillId="0" borderId="45" xfId="0" applyFont="1" applyBorder="1" applyAlignment="1">
      <alignment horizontal="center" vertical="center"/>
    </xf>
    <xf numFmtId="169" fontId="101" fillId="0" borderId="2" xfId="0" applyNumberFormat="1" applyFont="1" applyBorder="1" applyAlignment="1">
      <alignment horizontal="center" vertical="center"/>
    </xf>
    <xf numFmtId="169" fontId="101" fillId="0" borderId="0" xfId="0" applyNumberFormat="1" applyFont="1" applyAlignment="1">
      <alignment horizontal="center" vertical="center"/>
    </xf>
    <xf numFmtId="0" fontId="105" fillId="0" borderId="0" xfId="21" applyAlignment="1">
      <alignment horizontal="center"/>
    </xf>
    <xf numFmtId="0" fontId="111" fillId="15" borderId="0" xfId="5" applyFont="1" applyBorder="1"/>
    <xf numFmtId="0" fontId="105" fillId="0" borderId="0" xfId="10" applyAlignment="1">
      <alignment horizontal="left" vertical="center"/>
    </xf>
    <xf numFmtId="0" fontId="105" fillId="0" borderId="0" xfId="28" applyAlignment="1">
      <alignment horizontal="left"/>
    </xf>
    <xf numFmtId="0" fontId="104" fillId="0" borderId="45" xfId="0" applyFont="1" applyBorder="1" applyAlignment="1">
      <alignment horizontal="center"/>
    </xf>
    <xf numFmtId="0" fontId="110" fillId="12" borderId="27" xfId="0" applyFont="1" applyFill="1" applyBorder="1" applyAlignment="1">
      <alignment horizontal="center"/>
    </xf>
    <xf numFmtId="0" fontId="108" fillId="3" borderId="47" xfId="0" applyFont="1" applyFill="1" applyBorder="1" applyAlignment="1">
      <alignment horizontal="center" vertical="center"/>
    </xf>
    <xf numFmtId="0" fontId="109" fillId="0" borderId="0" xfId="0" applyFont="1" applyAlignment="1">
      <alignment horizontal="left" vertical="center"/>
    </xf>
    <xf numFmtId="0" fontId="105" fillId="0" borderId="0" xfId="26"/>
    <xf numFmtId="0" fontId="105" fillId="0" borderId="0" xfId="23" applyAlignment="1">
      <alignment horizontal="left"/>
    </xf>
    <xf numFmtId="0" fontId="105" fillId="0" borderId="0" xfId="24" applyAlignment="1">
      <alignment horizontal="left"/>
    </xf>
    <xf numFmtId="0" fontId="105" fillId="0" borderId="0" xfId="26" applyAlignment="1">
      <alignment horizontal="center"/>
    </xf>
    <xf numFmtId="0" fontId="104" fillId="16" borderId="0" xfId="6" applyFont="1" applyBorder="1" applyAlignment="1">
      <alignment horizontal="center"/>
    </xf>
    <xf numFmtId="0" fontId="105" fillId="0" borderId="0" xfId="11" applyAlignment="1">
      <alignment horizontal="left" vertical="center"/>
    </xf>
    <xf numFmtId="0" fontId="108" fillId="3" borderId="48" xfId="0" applyFont="1" applyFill="1" applyBorder="1" applyAlignment="1">
      <alignment horizontal="center" vertical="center"/>
    </xf>
    <xf numFmtId="0" fontId="110" fillId="0" borderId="49" xfId="0" applyFont="1" applyBorder="1" applyAlignment="1">
      <alignment horizontal="center" vertical="center"/>
    </xf>
    <xf numFmtId="0" fontId="110" fillId="0" borderId="22" xfId="0" applyFont="1" applyBorder="1" applyAlignment="1">
      <alignment horizontal="center" vertical="center"/>
    </xf>
    <xf numFmtId="0" fontId="110" fillId="0" borderId="43" xfId="0" applyFont="1" applyBorder="1" applyAlignment="1">
      <alignment horizontal="center" vertical="center"/>
    </xf>
    <xf numFmtId="0" fontId="112" fillId="0" borderId="0" xfId="0" applyFont="1" applyAlignment="1">
      <alignment horizontal="center" vertical="center"/>
    </xf>
    <xf numFmtId="0" fontId="102" fillId="3" borderId="30" xfId="0" applyFont="1" applyFill="1" applyBorder="1" applyAlignment="1">
      <alignment horizontal="center" vertical="center"/>
    </xf>
    <xf numFmtId="0" fontId="101" fillId="3" borderId="31" xfId="0" applyFont="1" applyFill="1" applyBorder="1" applyAlignment="1">
      <alignment horizontal="center" vertical="center"/>
    </xf>
    <xf numFmtId="0" fontId="101" fillId="3" borderId="30" xfId="0" applyFont="1" applyFill="1" applyBorder="1" applyAlignment="1">
      <alignment horizontal="center" vertical="center"/>
    </xf>
    <xf numFmtId="0" fontId="109" fillId="0" borderId="0" xfId="0" applyFont="1" applyAlignment="1">
      <alignment horizontal="center" vertical="center"/>
    </xf>
    <xf numFmtId="0" fontId="102" fillId="0" borderId="2" xfId="0" applyFont="1" applyBorder="1" applyAlignment="1">
      <alignment horizontal="center" vertical="center"/>
    </xf>
    <xf numFmtId="0" fontId="111" fillId="0" borderId="0" xfId="5" applyFont="1" applyFill="1" applyBorder="1"/>
    <xf numFmtId="0" fontId="101" fillId="3" borderId="45" xfId="0" applyFont="1" applyFill="1" applyBorder="1" applyAlignment="1">
      <alignment horizontal="center" vertical="center"/>
    </xf>
    <xf numFmtId="0" fontId="101" fillId="0" borderId="49" xfId="0" applyFont="1" applyBorder="1" applyAlignment="1">
      <alignment horizontal="center" vertical="center"/>
    </xf>
    <xf numFmtId="0" fontId="101" fillId="0" borderId="22" xfId="0" applyFont="1" applyBorder="1" applyAlignment="1">
      <alignment horizontal="center" vertical="center"/>
    </xf>
    <xf numFmtId="49" fontId="101" fillId="3" borderId="0" xfId="0" applyNumberFormat="1" applyFont="1" applyFill="1" applyAlignment="1">
      <alignment horizontal="center" vertical="center"/>
    </xf>
    <xf numFmtId="0" fontId="105" fillId="0" borderId="0" xfId="0" applyFont="1" applyAlignment="1">
      <alignment horizontal="center" vertical="center"/>
    </xf>
    <xf numFmtId="0" fontId="109" fillId="3" borderId="0" xfId="0" applyFont="1" applyFill="1" applyAlignment="1">
      <alignment horizontal="center" vertical="center"/>
    </xf>
    <xf numFmtId="0" fontId="113" fillId="0" borderId="31" xfId="0" applyFont="1" applyBorder="1" applyAlignment="1">
      <alignment horizontal="center" vertical="center"/>
    </xf>
    <xf numFmtId="0" fontId="107" fillId="3" borderId="50" xfId="0" applyFont="1" applyFill="1" applyBorder="1" applyAlignment="1">
      <alignment horizontal="center" vertical="center"/>
    </xf>
    <xf numFmtId="0" fontId="104" fillId="0" borderId="22" xfId="0" applyFont="1" applyBorder="1" applyAlignment="1">
      <alignment horizontal="center" vertical="center"/>
    </xf>
    <xf numFmtId="0" fontId="107" fillId="3" borderId="47" xfId="0" applyFont="1" applyFill="1" applyBorder="1" applyAlignment="1">
      <alignment horizontal="center" vertical="center"/>
    </xf>
    <xf numFmtId="2" fontId="108" fillId="3" borderId="47" xfId="0" applyNumberFormat="1" applyFont="1" applyFill="1" applyBorder="1" applyAlignment="1">
      <alignment horizontal="center" vertical="center"/>
    </xf>
    <xf numFmtId="0" fontId="101" fillId="0" borderId="22" xfId="0" applyFont="1" applyBorder="1" applyAlignment="1">
      <alignment horizontal="center" vertical="top"/>
    </xf>
    <xf numFmtId="0" fontId="108" fillId="3" borderId="50" xfId="0" applyFont="1" applyFill="1" applyBorder="1" applyAlignment="1">
      <alignment horizontal="center" vertical="center"/>
    </xf>
    <xf numFmtId="0" fontId="108" fillId="3" borderId="30" xfId="0" applyFont="1" applyFill="1" applyBorder="1" applyAlignment="1">
      <alignment horizontal="center" vertical="center"/>
    </xf>
    <xf numFmtId="0" fontId="101" fillId="3" borderId="34" xfId="0" applyFont="1" applyFill="1" applyBorder="1" applyAlignment="1">
      <alignment horizontal="center" vertical="center"/>
    </xf>
    <xf numFmtId="9" fontId="101" fillId="0" borderId="0" xfId="3" applyFont="1" applyAlignment="1">
      <alignment horizontal="center" vertical="center"/>
    </xf>
    <xf numFmtId="0" fontId="108" fillId="0" borderId="30" xfId="0" applyFont="1" applyBorder="1" applyAlignment="1">
      <alignment horizontal="center" vertical="center"/>
    </xf>
    <xf numFmtId="0" fontId="101" fillId="0" borderId="26" xfId="0" applyFont="1" applyBorder="1" applyAlignment="1">
      <alignment horizontal="center" vertical="center"/>
    </xf>
    <xf numFmtId="0" fontId="101" fillId="0" borderId="41" xfId="0" applyFont="1" applyBorder="1" applyAlignment="1">
      <alignment horizontal="center" vertical="center"/>
    </xf>
    <xf numFmtId="0" fontId="108" fillId="3" borderId="27" xfId="0" applyFont="1" applyFill="1" applyBorder="1" applyAlignment="1">
      <alignment horizontal="center" vertical="center"/>
    </xf>
    <xf numFmtId="0" fontId="103" fillId="17" borderId="0" xfId="0" applyFont="1" applyFill="1" applyAlignment="1">
      <alignment horizontal="center" vertical="center"/>
    </xf>
    <xf numFmtId="0" fontId="101" fillId="17" borderId="0" xfId="0" applyFont="1" applyFill="1" applyAlignment="1">
      <alignment horizontal="center" vertical="center"/>
    </xf>
    <xf numFmtId="44" fontId="101" fillId="17" borderId="0" xfId="2" applyFont="1" applyFill="1" applyBorder="1" applyAlignment="1">
      <alignment horizontal="center" vertical="center"/>
    </xf>
    <xf numFmtId="0" fontId="106" fillId="17" borderId="0" xfId="0" applyFont="1" applyFill="1" applyAlignment="1">
      <alignment horizontal="center" vertical="center"/>
    </xf>
    <xf numFmtId="0" fontId="101" fillId="0" borderId="5" xfId="0" applyFont="1" applyBorder="1" applyAlignment="1">
      <alignment horizontal="center" vertical="top"/>
    </xf>
    <xf numFmtId="0" fontId="108" fillId="0" borderId="35" xfId="0" applyFont="1" applyBorder="1" applyAlignment="1">
      <alignment horizontal="center" vertical="center"/>
    </xf>
    <xf numFmtId="2" fontId="108" fillId="0" borderId="35" xfId="0" applyNumberFormat="1" applyFont="1" applyBorder="1" applyAlignment="1">
      <alignment horizontal="center" vertical="center"/>
    </xf>
    <xf numFmtId="44" fontId="109" fillId="0" borderId="0" xfId="2" applyFont="1" applyFill="1" applyBorder="1" applyAlignment="1">
      <alignment horizontal="center" vertical="center"/>
    </xf>
    <xf numFmtId="44" fontId="101" fillId="3" borderId="0" xfId="2" applyFont="1" applyFill="1" applyAlignment="1">
      <alignment horizontal="center" vertical="center"/>
    </xf>
    <xf numFmtId="0" fontId="86" fillId="18" borderId="2" xfId="0" applyFont="1" applyFill="1" applyBorder="1" applyAlignment="1">
      <alignment horizontal="center" vertical="center" wrapText="1"/>
    </xf>
    <xf numFmtId="0" fontId="86" fillId="18" borderId="2" xfId="0" applyFont="1" applyFill="1" applyBorder="1" applyAlignment="1">
      <alignment horizontal="center" vertical="center"/>
    </xf>
    <xf numFmtId="0" fontId="114" fillId="0" borderId="2" xfId="0" applyFont="1" applyBorder="1" applyAlignment="1">
      <alignment horizontal="left" vertical="center" wrapText="1"/>
    </xf>
    <xf numFmtId="0" fontId="109" fillId="18" borderId="2" xfId="0" applyFont="1" applyFill="1" applyBorder="1" applyAlignment="1">
      <alignment horizontal="center" vertical="center"/>
    </xf>
    <xf numFmtId="0" fontId="110" fillId="12" borderId="43" xfId="0" applyFont="1" applyFill="1" applyBorder="1" applyAlignment="1">
      <alignment horizontal="center"/>
    </xf>
    <xf numFmtId="0" fontId="110" fillId="12" borderId="0" xfId="0" applyFont="1" applyFill="1" applyAlignment="1">
      <alignment horizontal="center"/>
    </xf>
    <xf numFmtId="0" fontId="102" fillId="0" borderId="0" xfId="0" applyFont="1" applyAlignment="1">
      <alignment horizontal="center" vertical="center"/>
    </xf>
    <xf numFmtId="0" fontId="101" fillId="9" borderId="28" xfId="0" applyFont="1" applyFill="1" applyBorder="1" applyAlignment="1">
      <alignment horizontal="center" vertical="center"/>
    </xf>
    <xf numFmtId="0" fontId="110" fillId="12" borderId="47" xfId="0" applyFont="1" applyFill="1" applyBorder="1" applyAlignment="1">
      <alignment horizontal="center"/>
    </xf>
    <xf numFmtId="1" fontId="101" fillId="0" borderId="0" xfId="0" applyNumberFormat="1" applyFont="1" applyAlignment="1">
      <alignment horizontal="center" vertical="center"/>
    </xf>
    <xf numFmtId="0" fontId="101" fillId="9" borderId="2" xfId="0" applyFont="1" applyFill="1" applyBorder="1" applyAlignment="1">
      <alignment horizontal="center" vertical="center"/>
    </xf>
    <xf numFmtId="0" fontId="101" fillId="0" borderId="2" xfId="0" applyFont="1" applyBorder="1" applyAlignment="1">
      <alignment vertical="center"/>
    </xf>
    <xf numFmtId="0" fontId="99" fillId="0" borderId="49" xfId="0" applyFont="1" applyBorder="1" applyAlignment="1">
      <alignment horizontal="center" vertical="center"/>
    </xf>
    <xf numFmtId="0" fontId="99" fillId="0" borderId="43" xfId="0" applyFont="1" applyBorder="1" applyAlignment="1">
      <alignment horizontal="center" vertical="center"/>
    </xf>
    <xf numFmtId="2" fontId="101" fillId="0" borderId="43" xfId="0" applyNumberFormat="1" applyFont="1" applyBorder="1" applyAlignment="1">
      <alignment horizontal="center" vertical="center"/>
    </xf>
    <xf numFmtId="0" fontId="102" fillId="0" borderId="43" xfId="0" applyFont="1" applyBorder="1" applyAlignment="1">
      <alignment horizontal="center" vertical="center"/>
    </xf>
    <xf numFmtId="0" fontId="103" fillId="0" borderId="43" xfId="0" applyFont="1" applyBorder="1" applyAlignment="1">
      <alignment horizontal="center" vertical="center"/>
    </xf>
    <xf numFmtId="0" fontId="103" fillId="3" borderId="43" xfId="0" applyFont="1" applyFill="1" applyBorder="1" applyAlignment="1">
      <alignment horizontal="center" vertical="center"/>
    </xf>
    <xf numFmtId="0" fontId="101" fillId="3" borderId="44" xfId="0" applyFont="1" applyFill="1" applyBorder="1" applyAlignment="1">
      <alignment horizontal="center" vertical="center"/>
    </xf>
    <xf numFmtId="0" fontId="101" fillId="0" borderId="21" xfId="0" applyFont="1" applyBorder="1" applyAlignment="1">
      <alignment horizontal="center" vertical="center"/>
    </xf>
    <xf numFmtId="44" fontId="101" fillId="0" borderId="0" xfId="2" applyFont="1" applyFill="1" applyAlignment="1">
      <alignment horizontal="center" vertical="center"/>
    </xf>
    <xf numFmtId="0" fontId="105" fillId="0" borderId="30" xfId="0" applyFont="1" applyBorder="1" applyAlignment="1">
      <alignment horizontal="center" vertical="center"/>
    </xf>
    <xf numFmtId="0" fontId="103" fillId="0" borderId="45" xfId="0" applyFont="1" applyBorder="1" applyAlignment="1">
      <alignment horizontal="center" vertical="center"/>
    </xf>
    <xf numFmtId="0" fontId="105" fillId="3" borderId="0" xfId="0" applyFont="1" applyFill="1" applyAlignment="1">
      <alignment horizontal="center" vertical="center"/>
    </xf>
    <xf numFmtId="12" fontId="101" fillId="3" borderId="0" xfId="2" applyNumberFormat="1" applyFont="1" applyFill="1" applyAlignment="1">
      <alignment horizontal="center" vertical="center"/>
    </xf>
    <xf numFmtId="0" fontId="116" fillId="0" borderId="2" xfId="0" applyFont="1" applyBorder="1" applyAlignment="1">
      <alignment horizontal="center" vertical="center" wrapText="1"/>
    </xf>
    <xf numFmtId="0" fontId="0" fillId="0" borderId="2" xfId="0" applyBorder="1"/>
    <xf numFmtId="0" fontId="116" fillId="0" borderId="3" xfId="0" applyFont="1" applyBorder="1" applyAlignment="1">
      <alignment horizontal="center" vertical="center" wrapText="1"/>
    </xf>
    <xf numFmtId="171" fontId="116"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117" fillId="0" borderId="2" xfId="0" applyFont="1" applyBorder="1" applyAlignment="1">
      <alignment horizontal="center"/>
    </xf>
    <xf numFmtId="0" fontId="117" fillId="0" borderId="0" xfId="0" applyFont="1"/>
    <xf numFmtId="0" fontId="117" fillId="0" borderId="0" xfId="0" applyFont="1" applyAlignment="1">
      <alignment horizontal="center"/>
    </xf>
    <xf numFmtId="0" fontId="119"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117" fillId="0" borderId="2" xfId="0" applyFont="1" applyBorder="1" applyAlignment="1">
      <alignment horizontal="center" vertical="center"/>
    </xf>
    <xf numFmtId="0" fontId="115" fillId="0" borderId="2" xfId="0" applyFont="1" applyBorder="1" applyAlignment="1">
      <alignment horizontal="center" vertical="center"/>
    </xf>
    <xf numFmtId="0" fontId="117" fillId="0" borderId="2" xfId="0" applyFont="1" applyBorder="1"/>
    <xf numFmtId="0" fontId="115" fillId="9" borderId="3" xfId="0" applyFont="1" applyFill="1" applyBorder="1" applyAlignment="1">
      <alignment horizontal="center" vertical="center"/>
    </xf>
    <xf numFmtId="0" fontId="115" fillId="9" borderId="2" xfId="0" applyFont="1" applyFill="1" applyBorder="1" applyAlignment="1">
      <alignment horizontal="center" vertical="center"/>
    </xf>
    <xf numFmtId="0" fontId="115" fillId="3" borderId="2" xfId="0" applyFont="1" applyFill="1" applyBorder="1" applyAlignment="1">
      <alignment horizontal="center" vertical="center"/>
    </xf>
    <xf numFmtId="0" fontId="115" fillId="0" borderId="3" xfId="0" applyFont="1" applyBorder="1" applyAlignment="1">
      <alignment horizontal="center" vertical="center"/>
    </xf>
    <xf numFmtId="0" fontId="115" fillId="3" borderId="3" xfId="0" applyFont="1" applyFill="1" applyBorder="1" applyAlignment="1">
      <alignment horizontal="center" vertical="center"/>
    </xf>
    <xf numFmtId="14" fontId="116" fillId="0" borderId="2" xfId="0" applyNumberFormat="1" applyFont="1" applyBorder="1" applyAlignment="1">
      <alignment horizontal="center" vertical="center" wrapText="1"/>
    </xf>
    <xf numFmtId="0" fontId="83" fillId="3" borderId="0" xfId="0" applyFont="1" applyFill="1" applyAlignment="1">
      <alignment horizontal="left" vertical="center" wrapText="1"/>
    </xf>
    <xf numFmtId="0" fontId="120" fillId="0" borderId="0" xfId="0" applyFont="1" applyAlignment="1">
      <alignment horizontal="justify" vertical="center"/>
    </xf>
    <xf numFmtId="0" fontId="119" fillId="0" borderId="2" xfId="0" applyFont="1" applyBorder="1" applyAlignment="1">
      <alignment horizontal="left" vertical="center"/>
    </xf>
    <xf numFmtId="0" fontId="115" fillId="19" borderId="2" xfId="0" applyFont="1" applyFill="1" applyBorder="1" applyAlignment="1">
      <alignment horizontal="center" vertical="center"/>
    </xf>
    <xf numFmtId="0" fontId="117" fillId="19" borderId="2" xfId="0" applyFont="1" applyFill="1" applyBorder="1"/>
    <xf numFmtId="0" fontId="116" fillId="19" borderId="2" xfId="0" applyFont="1" applyFill="1" applyBorder="1" applyAlignment="1">
      <alignment horizontal="center" vertical="center" wrapText="1"/>
    </xf>
    <xf numFmtId="14" fontId="116" fillId="19" borderId="2" xfId="0" applyNumberFormat="1" applyFont="1" applyFill="1" applyBorder="1" applyAlignment="1">
      <alignment horizontal="center" vertical="center" wrapText="1"/>
    </xf>
    <xf numFmtId="0" fontId="117" fillId="19" borderId="2" xfId="0" applyFont="1" applyFill="1" applyBorder="1" applyAlignment="1">
      <alignment horizontal="center" vertical="center"/>
    </xf>
    <xf numFmtId="0" fontId="117" fillId="19" borderId="2" xfId="0" applyFont="1" applyFill="1" applyBorder="1" applyAlignment="1">
      <alignment horizontal="center"/>
    </xf>
    <xf numFmtId="171" fontId="116" fillId="0" borderId="2" xfId="0" applyNumberFormat="1" applyFont="1" applyBorder="1" applyAlignment="1">
      <alignment horizontal="center" vertical="center" wrapText="1"/>
    </xf>
    <xf numFmtId="0" fontId="117" fillId="11" borderId="2" xfId="0" applyFont="1" applyFill="1" applyBorder="1"/>
    <xf numFmtId="171" fontId="119" fillId="0" borderId="2" xfId="0" applyNumberFormat="1" applyFont="1" applyBorder="1" applyAlignment="1">
      <alignment vertical="center"/>
    </xf>
    <xf numFmtId="0" fontId="119" fillId="0" borderId="2" xfId="0" applyFont="1" applyBorder="1" applyAlignment="1">
      <alignment vertical="center"/>
    </xf>
    <xf numFmtId="0" fontId="117" fillId="9" borderId="2" xfId="0" applyFont="1" applyFill="1" applyBorder="1"/>
    <xf numFmtId="0" fontId="0" fillId="19" borderId="2" xfId="0" applyFill="1" applyBorder="1"/>
    <xf numFmtId="0" fontId="0" fillId="19" borderId="0" xfId="0" applyFill="1"/>
    <xf numFmtId="0" fontId="86" fillId="23" borderId="2" xfId="0" applyFont="1" applyFill="1" applyBorder="1" applyAlignment="1">
      <alignment horizontal="center" vertical="center" wrapText="1"/>
    </xf>
    <xf numFmtId="0" fontId="90" fillId="0" borderId="2" xfId="0" applyFont="1" applyBorder="1" applyAlignment="1">
      <alignment horizontal="center" vertical="center"/>
    </xf>
    <xf numFmtId="0" fontId="90" fillId="0" borderId="2" xfId="0" applyFont="1" applyBorder="1" applyAlignment="1">
      <alignment horizontal="center"/>
    </xf>
    <xf numFmtId="0" fontId="90" fillId="0" borderId="0" xfId="0" applyFont="1" applyAlignment="1">
      <alignment horizontal="left" vertical="top"/>
    </xf>
    <xf numFmtId="0" fontId="90" fillId="0" borderId="2" xfId="0" applyFont="1" applyBorder="1" applyAlignment="1">
      <alignment horizontal="left" vertical="top"/>
    </xf>
    <xf numFmtId="167" fontId="121" fillId="2" borderId="2" xfId="4" applyNumberFormat="1" applyFont="1" applyFill="1" applyBorder="1" applyAlignment="1" applyProtection="1">
      <alignment vertical="center"/>
      <protection hidden="1"/>
    </xf>
    <xf numFmtId="167" fontId="121" fillId="2" borderId="2" xfId="4" applyNumberFormat="1" applyFont="1" applyFill="1" applyBorder="1" applyAlignment="1" applyProtection="1">
      <alignment horizontal="left" vertical="center"/>
      <protection hidden="1"/>
    </xf>
    <xf numFmtId="15" fontId="121" fillId="2" borderId="2" xfId="4" applyNumberFormat="1" applyFont="1" applyFill="1" applyBorder="1" applyAlignment="1" applyProtection="1">
      <alignment horizontal="center" vertical="center"/>
      <protection hidden="1"/>
    </xf>
    <xf numFmtId="1" fontId="121" fillId="2" borderId="2" xfId="4" applyNumberFormat="1" applyFont="1" applyFill="1" applyBorder="1" applyAlignment="1" applyProtection="1">
      <alignment horizontal="center" vertical="center"/>
      <protection hidden="1"/>
    </xf>
    <xf numFmtId="0" fontId="119" fillId="0" borderId="2" xfId="0" applyFont="1" applyBorder="1"/>
    <xf numFmtId="15" fontId="127" fillId="2" borderId="2" xfId="0" applyNumberFormat="1" applyFont="1" applyFill="1" applyBorder="1" applyAlignment="1" applyProtection="1">
      <alignment horizontal="center" vertical="center"/>
      <protection hidden="1"/>
    </xf>
    <xf numFmtId="15" fontId="126" fillId="5" borderId="2" xfId="0" applyNumberFormat="1" applyFont="1" applyFill="1" applyBorder="1" applyAlignment="1" applyProtection="1">
      <alignment horizontal="center" vertical="center" wrapText="1"/>
      <protection hidden="1"/>
    </xf>
    <xf numFmtId="0" fontId="115" fillId="0" borderId="0" xfId="0" applyFont="1" applyAlignment="1">
      <alignment horizontal="center" vertical="center"/>
    </xf>
    <xf numFmtId="44" fontId="101" fillId="0" borderId="0" xfId="2" quotePrefix="1" applyFont="1" applyFill="1" applyBorder="1" applyAlignment="1">
      <alignment horizontal="center" vertical="center"/>
    </xf>
    <xf numFmtId="44" fontId="101" fillId="0" borderId="0" xfId="2" quotePrefix="1" applyFont="1" applyFill="1" applyAlignment="1">
      <alignment horizontal="center" vertical="center"/>
    </xf>
    <xf numFmtId="44" fontId="101" fillId="3" borderId="0" xfId="2" quotePrefix="1" applyFont="1" applyFill="1" applyAlignment="1">
      <alignment horizontal="center" vertical="center"/>
    </xf>
    <xf numFmtId="12" fontId="101" fillId="3" borderId="0" xfId="2" quotePrefix="1" applyNumberFormat="1" applyFont="1" applyFill="1" applyAlignment="1">
      <alignment horizontal="center" vertical="center"/>
    </xf>
    <xf numFmtId="16" fontId="105" fillId="0" borderId="0" xfId="0" quotePrefix="1" applyNumberFormat="1" applyFont="1" applyAlignment="1">
      <alignment horizontal="center" vertical="center"/>
    </xf>
    <xf numFmtId="0" fontId="105" fillId="0" borderId="0" xfId="0" quotePrefix="1" applyFont="1" applyAlignment="1">
      <alignment horizontal="center" vertical="center"/>
    </xf>
    <xf numFmtId="16" fontId="101" fillId="0" borderId="0" xfId="0" quotePrefix="1" applyNumberFormat="1" applyFont="1" applyAlignment="1">
      <alignment horizontal="center" vertical="center"/>
    </xf>
    <xf numFmtId="16" fontId="103" fillId="3" borderId="0" xfId="0" quotePrefix="1" applyNumberFormat="1" applyFont="1" applyFill="1" applyAlignment="1">
      <alignment horizontal="center" vertical="center"/>
    </xf>
    <xf numFmtId="0" fontId="101" fillId="3" borderId="0" xfId="0" quotePrefix="1" applyFont="1" applyFill="1" applyAlignment="1">
      <alignment horizontal="center" vertical="center"/>
    </xf>
    <xf numFmtId="16" fontId="101" fillId="3" borderId="0" xfId="0" quotePrefix="1" applyNumberFormat="1" applyFont="1" applyFill="1" applyAlignment="1">
      <alignment horizontal="center" vertical="center"/>
    </xf>
    <xf numFmtId="0" fontId="101" fillId="0" borderId="0" xfId="0" quotePrefix="1" applyFont="1" applyAlignment="1">
      <alignment horizontal="center" vertical="center"/>
    </xf>
    <xf numFmtId="44" fontId="101" fillId="3" borderId="0" xfId="2" quotePrefix="1" applyFont="1" applyFill="1" applyBorder="1" applyAlignment="1">
      <alignment horizontal="center" vertical="center"/>
    </xf>
    <xf numFmtId="44" fontId="101" fillId="3" borderId="35" xfId="2" quotePrefix="1" applyFont="1" applyFill="1" applyBorder="1" applyAlignment="1">
      <alignment horizontal="center" vertical="center"/>
    </xf>
    <xf numFmtId="12" fontId="101" fillId="3" borderId="0" xfId="2" quotePrefix="1" applyNumberFormat="1" applyFont="1" applyFill="1" applyBorder="1" applyAlignment="1">
      <alignment horizontal="center" vertical="center"/>
    </xf>
    <xf numFmtId="12" fontId="101" fillId="3" borderId="35" xfId="2" quotePrefix="1" applyNumberFormat="1" applyFont="1" applyFill="1" applyBorder="1" applyAlignment="1">
      <alignment horizontal="center" vertical="center"/>
    </xf>
    <xf numFmtId="0" fontId="75" fillId="6" borderId="2" xfId="0" quotePrefix="1" applyFont="1" applyFill="1" applyBorder="1" applyAlignment="1">
      <alignment horizontal="center" vertical="center"/>
    </xf>
    <xf numFmtId="44" fontId="134" fillId="0" borderId="0" xfId="2" quotePrefix="1" applyFont="1" applyFill="1" applyBorder="1" applyAlignment="1">
      <alignment horizontal="center" vertical="center"/>
    </xf>
    <xf numFmtId="44" fontId="134" fillId="0" borderId="0" xfId="2" applyFont="1" applyFill="1" applyBorder="1" applyAlignment="1">
      <alignment horizontal="center" vertical="center"/>
    </xf>
    <xf numFmtId="0" fontId="73" fillId="0" borderId="0" xfId="0" applyFont="1"/>
    <xf numFmtId="0" fontId="108" fillId="0" borderId="0" xfId="0" applyFont="1" applyAlignment="1">
      <alignment horizontal="center" vertical="center"/>
    </xf>
    <xf numFmtId="2" fontId="108" fillId="0" borderId="0" xfId="0" applyNumberFormat="1" applyFont="1" applyAlignment="1">
      <alignment horizontal="center" vertical="center"/>
    </xf>
    <xf numFmtId="0" fontId="108" fillId="0" borderId="32" xfId="0" applyFont="1" applyBorder="1" applyAlignment="1">
      <alignment horizontal="center" vertical="center"/>
    </xf>
    <xf numFmtId="0" fontId="108" fillId="0" borderId="24" xfId="0" applyFont="1" applyBorder="1" applyAlignment="1">
      <alignment horizontal="center" vertical="center"/>
    </xf>
    <xf numFmtId="0" fontId="105" fillId="0" borderId="35" xfId="0" applyFont="1" applyBorder="1" applyAlignment="1">
      <alignment horizontal="center" vertical="center"/>
    </xf>
    <xf numFmtId="44" fontId="101" fillId="0" borderId="35" xfId="2" quotePrefix="1" applyFont="1" applyFill="1" applyBorder="1" applyAlignment="1">
      <alignment horizontal="center" vertical="center"/>
    </xf>
    <xf numFmtId="44" fontId="103" fillId="0" borderId="0" xfId="2" applyFont="1" applyFill="1" applyBorder="1" applyAlignment="1">
      <alignment horizontal="center" vertical="center"/>
    </xf>
    <xf numFmtId="12" fontId="101" fillId="0" borderId="0" xfId="2" quotePrefix="1" applyNumberFormat="1" applyFont="1" applyFill="1" applyBorder="1" applyAlignment="1">
      <alignment horizontal="center" vertical="center"/>
    </xf>
    <xf numFmtId="44" fontId="103" fillId="0" borderId="35" xfId="2" applyFont="1" applyFill="1" applyBorder="1" applyAlignment="1">
      <alignment horizontal="center" vertical="center"/>
    </xf>
    <xf numFmtId="12" fontId="101" fillId="0" borderId="35" xfId="2" quotePrefix="1" applyNumberFormat="1" applyFont="1" applyFill="1" applyBorder="1" applyAlignment="1">
      <alignment horizontal="center" vertical="center"/>
    </xf>
    <xf numFmtId="0" fontId="73" fillId="0" borderId="2" xfId="0" applyFont="1" applyBorder="1"/>
    <xf numFmtId="0" fontId="73" fillId="26" borderId="2" xfId="0" applyFont="1" applyFill="1" applyBorder="1"/>
    <xf numFmtId="0" fontId="73" fillId="26" borderId="25" xfId="0" applyFont="1" applyFill="1" applyBorder="1"/>
    <xf numFmtId="0" fontId="0" fillId="9" borderId="2" xfId="0" applyFill="1" applyBorder="1"/>
    <xf numFmtId="0" fontId="0" fillId="27" borderId="0" xfId="0" applyFill="1"/>
    <xf numFmtId="0" fontId="0" fillId="11" borderId="0" xfId="0" applyFill="1"/>
    <xf numFmtId="0" fontId="73" fillId="0" borderId="2" xfId="0" quotePrefix="1" applyFont="1" applyBorder="1"/>
    <xf numFmtId="0" fontId="90" fillId="0" borderId="2" xfId="0" applyFont="1" applyBorder="1" applyAlignment="1">
      <alignment horizontal="left" vertical="center"/>
    </xf>
    <xf numFmtId="0" fontId="0" fillId="0" borderId="2" xfId="0" applyBorder="1" applyAlignment="1">
      <alignment horizontal="left" vertical="center"/>
    </xf>
    <xf numFmtId="0" fontId="136" fillId="0" borderId="2" xfId="0" applyFont="1" applyBorder="1" applyAlignment="1">
      <alignment horizontal="center" vertical="center"/>
    </xf>
    <xf numFmtId="0" fontId="136" fillId="0" borderId="2" xfId="0" applyFont="1" applyBorder="1" applyAlignment="1">
      <alignment horizontal="left" vertical="center"/>
    </xf>
    <xf numFmtId="0" fontId="136" fillId="0" borderId="2" xfId="0" quotePrefix="1" applyFont="1" applyBorder="1" applyAlignment="1">
      <alignment horizontal="center" vertical="center"/>
    </xf>
    <xf numFmtId="0" fontId="73" fillId="26" borderId="0" xfId="0" applyFont="1" applyFill="1"/>
    <xf numFmtId="0" fontId="0" fillId="0" borderId="46" xfId="0" applyBorder="1"/>
    <xf numFmtId="0" fontId="70" fillId="0" borderId="0" xfId="0" applyFont="1" applyAlignment="1">
      <alignment horizontal="left" vertical="top"/>
    </xf>
    <xf numFmtId="0" fontId="69"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117" fillId="0" borderId="25" xfId="0" applyFont="1" applyBorder="1" applyAlignment="1">
      <alignment horizontal="center"/>
    </xf>
    <xf numFmtId="0" fontId="69" fillId="0" borderId="2" xfId="0" applyFont="1" applyBorder="1"/>
    <xf numFmtId="0" fontId="0" fillId="27" borderId="2" xfId="0" applyFill="1" applyBorder="1"/>
    <xf numFmtId="0" fontId="90"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138" fillId="3" borderId="0" xfId="24" applyFont="1" applyFill="1"/>
    <xf numFmtId="0" fontId="138" fillId="3" borderId="0" xfId="24" applyFont="1" applyFill="1" applyAlignment="1">
      <alignment vertical="center"/>
    </xf>
    <xf numFmtId="49" fontId="139" fillId="0" borderId="0" xfId="0" applyNumberFormat="1" applyFont="1" applyAlignment="1">
      <alignment horizontal="center" vertical="center" wrapText="1"/>
    </xf>
    <xf numFmtId="43" fontId="139" fillId="0" borderId="0" xfId="1" applyFont="1" applyFill="1" applyBorder="1" applyAlignment="1">
      <alignment horizontal="center" vertical="center"/>
    </xf>
    <xf numFmtId="1" fontId="139" fillId="14" borderId="42" xfId="1" applyNumberFormat="1" applyFont="1" applyFill="1" applyBorder="1" applyAlignment="1">
      <alignment horizontal="center" vertical="center"/>
    </xf>
    <xf numFmtId="1" fontId="139" fillId="0" borderId="42" xfId="1" applyNumberFormat="1" applyFont="1" applyFill="1" applyBorder="1" applyAlignment="1">
      <alignment horizontal="center" vertical="center"/>
    </xf>
    <xf numFmtId="1" fontId="139" fillId="20" borderId="42" xfId="1" applyNumberFormat="1" applyFont="1" applyFill="1" applyBorder="1" applyAlignment="1">
      <alignment horizontal="center" vertical="center"/>
    </xf>
    <xf numFmtId="49" fontId="139" fillId="0" borderId="22" xfId="0" applyNumberFormat="1" applyFont="1" applyBorder="1" applyAlignment="1">
      <alignment horizontal="center" vertical="center" wrapText="1"/>
    </xf>
    <xf numFmtId="49" fontId="139" fillId="0" borderId="0" xfId="0" applyNumberFormat="1" applyFont="1" applyAlignment="1">
      <alignment horizontal="center" vertical="center"/>
    </xf>
    <xf numFmtId="0" fontId="138" fillId="0" borderId="0" xfId="0" applyFont="1"/>
    <xf numFmtId="1" fontId="139" fillId="19" borderId="42" xfId="1" applyNumberFormat="1" applyFont="1" applyFill="1" applyBorder="1" applyAlignment="1">
      <alignment horizontal="center" vertical="center"/>
    </xf>
    <xf numFmtId="1" fontId="139" fillId="0" borderId="0" xfId="1" applyNumberFormat="1" applyFont="1" applyFill="1" applyBorder="1" applyAlignment="1">
      <alignment horizontal="center" vertical="center"/>
    </xf>
    <xf numFmtId="0" fontId="140" fillId="0" borderId="22" xfId="0" applyFont="1" applyBorder="1"/>
    <xf numFmtId="0" fontId="140" fillId="0" borderId="50" xfId="0" applyFont="1" applyBorder="1"/>
    <xf numFmtId="0" fontId="140" fillId="0" borderId="0" xfId="0" applyFont="1"/>
    <xf numFmtId="0" fontId="138" fillId="3" borderId="56" xfId="0" applyFont="1" applyFill="1" applyBorder="1" applyAlignment="1">
      <alignment horizontal="left" vertical="center"/>
    </xf>
    <xf numFmtId="0" fontId="140" fillId="0" borderId="47" xfId="0" applyFont="1" applyBorder="1"/>
    <xf numFmtId="0" fontId="138" fillId="3" borderId="0" xfId="24" applyFont="1" applyFill="1" applyAlignment="1">
      <alignment vertical="center" wrapText="1"/>
    </xf>
    <xf numFmtId="0" fontId="139" fillId="3" borderId="0" xfId="0" applyFont="1" applyFill="1"/>
    <xf numFmtId="0" fontId="139" fillId="3" borderId="0" xfId="0" applyFont="1" applyFill="1" applyAlignment="1">
      <alignment horizontal="center"/>
    </xf>
    <xf numFmtId="0" fontId="139" fillId="3" borderId="35" xfId="0" applyFont="1" applyFill="1" applyBorder="1" applyAlignment="1">
      <alignment horizontal="center"/>
    </xf>
    <xf numFmtId="0" fontId="139" fillId="3" borderId="0" xfId="0" applyFont="1" applyFill="1" applyAlignment="1">
      <alignment horizontal="center" vertical="center"/>
    </xf>
    <xf numFmtId="0" fontId="139" fillId="3" borderId="35" xfId="0" applyFont="1" applyFill="1" applyBorder="1" applyAlignment="1">
      <alignment horizontal="left"/>
    </xf>
    <xf numFmtId="0" fontId="138" fillId="3" borderId="0" xfId="24" applyFont="1" applyFill="1" applyAlignment="1">
      <alignment horizontal="left" vertical="center"/>
    </xf>
    <xf numFmtId="0" fontId="138" fillId="3" borderId="32" xfId="24" applyFont="1" applyFill="1" applyBorder="1" applyAlignment="1">
      <alignment vertical="center" wrapText="1"/>
    </xf>
    <xf numFmtId="0" fontId="139" fillId="3" borderId="32" xfId="0" applyFont="1" applyFill="1" applyBorder="1" applyAlignment="1">
      <alignment horizontal="center"/>
    </xf>
    <xf numFmtId="0" fontId="140" fillId="0" borderId="43" xfId="0" applyFont="1" applyBorder="1"/>
    <xf numFmtId="49" fontId="138" fillId="0" borderId="0" xfId="0" applyNumberFormat="1" applyFont="1" applyAlignment="1">
      <alignment horizontal="center" vertical="center" wrapText="1"/>
    </xf>
    <xf numFmtId="49" fontId="138" fillId="0" borderId="0" xfId="0" quotePrefix="1" applyNumberFormat="1" applyFont="1" applyAlignment="1">
      <alignment horizontal="center" vertical="center" wrapText="1"/>
    </xf>
    <xf numFmtId="0" fontId="141" fillId="0" borderId="2" xfId="0" applyFont="1" applyBorder="1" applyAlignment="1">
      <alignment horizontal="center" vertical="center"/>
    </xf>
    <xf numFmtId="0" fontId="141" fillId="0" borderId="14" xfId="0" applyFont="1" applyBorder="1" applyAlignment="1">
      <alignment horizontal="center" vertical="center"/>
    </xf>
    <xf numFmtId="0" fontId="139" fillId="0" borderId="0" xfId="0" applyFont="1" applyAlignment="1">
      <alignment horizontal="center" vertical="center"/>
    </xf>
    <xf numFmtId="0" fontId="139" fillId="0" borderId="0" xfId="0" applyFont="1"/>
    <xf numFmtId="0" fontId="141" fillId="0" borderId="20" xfId="0" applyFont="1" applyBorder="1" applyAlignment="1">
      <alignment horizontal="center" vertical="center"/>
    </xf>
    <xf numFmtId="0" fontId="141" fillId="0" borderId="0" xfId="0" applyFont="1" applyAlignment="1">
      <alignment horizontal="center" vertical="center"/>
    </xf>
    <xf numFmtId="0" fontId="141" fillId="0" borderId="47" xfId="0" applyFont="1" applyBorder="1" applyAlignment="1">
      <alignment horizontal="center" vertical="center"/>
    </xf>
    <xf numFmtId="0" fontId="138" fillId="0" borderId="0" xfId="0" applyFont="1" applyAlignment="1">
      <alignment horizontal="center"/>
    </xf>
    <xf numFmtId="0" fontId="139" fillId="14" borderId="42" xfId="0" applyFont="1" applyFill="1" applyBorder="1" applyAlignment="1">
      <alignment horizontal="center" vertical="center"/>
    </xf>
    <xf numFmtId="0" fontId="139" fillId="0" borderId="42" xfId="0" applyFont="1" applyBorder="1" applyAlignment="1">
      <alignment horizontal="center" vertical="center"/>
    </xf>
    <xf numFmtId="1" fontId="138" fillId="0" borderId="0" xfId="0" quotePrefix="1" applyNumberFormat="1" applyFont="1" applyAlignment="1">
      <alignment horizontal="center" vertical="center" wrapText="1"/>
    </xf>
    <xf numFmtId="0" fontId="138" fillId="0" borderId="0" xfId="0" applyFont="1" applyAlignment="1">
      <alignment vertical="center"/>
    </xf>
    <xf numFmtId="1" fontId="138" fillId="0" borderId="0" xfId="0" applyNumberFormat="1" applyFont="1" applyAlignment="1">
      <alignment horizontal="center"/>
    </xf>
    <xf numFmtId="0" fontId="141" fillId="0" borderId="0" xfId="0" applyFont="1"/>
    <xf numFmtId="0" fontId="139" fillId="0" borderId="0" xfId="0" applyFont="1" applyAlignment="1">
      <alignment horizontal="center"/>
    </xf>
    <xf numFmtId="0" fontId="140" fillId="0" borderId="44" xfId="0" applyFont="1" applyBorder="1"/>
    <xf numFmtId="0" fontId="141" fillId="0" borderId="45" xfId="0" applyFont="1" applyBorder="1"/>
    <xf numFmtId="0" fontId="139" fillId="0" borderId="45" xfId="0" applyFont="1" applyBorder="1"/>
    <xf numFmtId="0" fontId="140" fillId="0" borderId="45" xfId="0" applyFont="1" applyBorder="1"/>
    <xf numFmtId="0" fontId="141" fillId="0" borderId="62" xfId="0" applyFont="1" applyBorder="1" applyAlignment="1">
      <alignment horizontal="center" vertical="center"/>
    </xf>
    <xf numFmtId="0" fontId="141" fillId="0" borderId="45" xfId="0" applyFont="1" applyBorder="1" applyAlignment="1">
      <alignment horizontal="center" vertical="center"/>
    </xf>
    <xf numFmtId="0" fontId="141" fillId="0" borderId="48" xfId="0" applyFont="1" applyBorder="1" applyAlignment="1">
      <alignment horizontal="center" vertical="center"/>
    </xf>
    <xf numFmtId="0" fontId="140" fillId="0" borderId="49" xfId="0" applyFont="1" applyBorder="1"/>
    <xf numFmtId="49" fontId="138" fillId="0" borderId="22" xfId="0" applyNumberFormat="1" applyFont="1" applyBorder="1" applyAlignment="1">
      <alignment horizontal="center" vertical="center" wrapText="1"/>
    </xf>
    <xf numFmtId="0" fontId="139" fillId="0" borderId="22" xfId="0" applyFont="1" applyBorder="1"/>
    <xf numFmtId="0" fontId="141" fillId="0" borderId="21" xfId="0" applyFont="1" applyBorder="1" applyAlignment="1">
      <alignment horizontal="center" vertical="center"/>
    </xf>
    <xf numFmtId="0" fontId="141" fillId="0" borderId="22" xfId="0" applyFont="1" applyBorder="1" applyAlignment="1">
      <alignment horizontal="center" vertical="center"/>
    </xf>
    <xf numFmtId="0" fontId="141" fillId="0" borderId="50" xfId="0" applyFont="1" applyBorder="1" applyAlignment="1">
      <alignment horizontal="center" vertical="center"/>
    </xf>
    <xf numFmtId="0" fontId="138" fillId="0" borderId="0" xfId="0" applyFont="1" applyAlignment="1">
      <alignment horizontal="center" vertical="center"/>
    </xf>
    <xf numFmtId="0" fontId="138" fillId="0" borderId="0" xfId="0" applyFont="1" applyAlignment="1">
      <alignment horizontal="right"/>
    </xf>
    <xf numFmtId="1" fontId="138" fillId="0" borderId="0" xfId="0" applyNumberFormat="1" applyFont="1" applyAlignment="1">
      <alignment horizontal="left"/>
    </xf>
    <xf numFmtId="49" fontId="138" fillId="0" borderId="0" xfId="0" applyNumberFormat="1" applyFont="1" applyAlignment="1">
      <alignment horizontal="center" vertical="center"/>
    </xf>
    <xf numFmtId="0" fontId="138" fillId="0" borderId="0" xfId="0" applyFont="1" applyAlignment="1">
      <alignment horizontal="left"/>
    </xf>
    <xf numFmtId="0" fontId="141" fillId="0" borderId="0" xfId="0" applyFont="1" applyAlignment="1">
      <alignment horizontal="center"/>
    </xf>
    <xf numFmtId="0" fontId="138" fillId="0" borderId="0" xfId="16" applyFont="1" applyAlignment="1">
      <alignment horizontal="center" vertical="center"/>
    </xf>
    <xf numFmtId="0" fontId="142" fillId="0" borderId="0" xfId="0" applyFont="1"/>
    <xf numFmtId="0" fontId="141" fillId="0" borderId="23" xfId="0" applyFont="1" applyBorder="1" applyAlignment="1">
      <alignment horizontal="center" vertical="center"/>
    </xf>
    <xf numFmtId="0" fontId="140" fillId="0" borderId="20" xfId="0" applyFont="1" applyBorder="1"/>
    <xf numFmtId="0" fontId="141"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67" fillId="0" borderId="0" xfId="0" applyFont="1" applyAlignment="1">
      <alignment horizontal="left" vertical="top"/>
    </xf>
    <xf numFmtId="0" fontId="73" fillId="0" borderId="2" xfId="0" applyFont="1" applyBorder="1" applyAlignment="1">
      <alignment horizontal="left" vertical="top"/>
    </xf>
    <xf numFmtId="0" fontId="68" fillId="0" borderId="2" xfId="0" applyFont="1" applyBorder="1" applyAlignment="1">
      <alignment horizontal="left" vertical="top"/>
    </xf>
    <xf numFmtId="0" fontId="72" fillId="0" borderId="2" xfId="0" applyFont="1" applyBorder="1" applyAlignment="1">
      <alignment horizontal="left" vertical="top"/>
    </xf>
    <xf numFmtId="0" fontId="71" fillId="0" borderId="2" xfId="0" applyFont="1" applyBorder="1" applyAlignment="1">
      <alignment horizontal="left" vertical="top"/>
    </xf>
    <xf numFmtId="14" fontId="117" fillId="19" borderId="2" xfId="0" applyNumberFormat="1" applyFont="1" applyFill="1" applyBorder="1" applyAlignment="1">
      <alignment horizontal="center" vertical="center"/>
    </xf>
    <xf numFmtId="0" fontId="66" fillId="0" borderId="2" xfId="0" applyFont="1" applyBorder="1" applyAlignment="1">
      <alignment horizontal="left" vertical="top"/>
    </xf>
    <xf numFmtId="0" fontId="65" fillId="0" borderId="2" xfId="0" applyFont="1" applyBorder="1" applyAlignment="1">
      <alignment horizontal="center"/>
    </xf>
    <xf numFmtId="0" fontId="83" fillId="0" borderId="0" xfId="0" applyFont="1" applyAlignment="1">
      <alignment horizontal="left" vertical="center" wrapText="1"/>
    </xf>
    <xf numFmtId="173" fontId="0" fillId="0" borderId="2" xfId="0" applyNumberFormat="1" applyBorder="1" applyAlignment="1">
      <alignment horizontal="left" vertical="top"/>
    </xf>
    <xf numFmtId="14" fontId="64" fillId="0" borderId="2" xfId="0" applyNumberFormat="1" applyFont="1" applyBorder="1"/>
    <xf numFmtId="0" fontId="90"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63" fillId="19" borderId="2" xfId="0" applyFont="1" applyFill="1" applyBorder="1" applyAlignment="1">
      <alignment horizontal="left" vertical="top"/>
    </xf>
    <xf numFmtId="14" fontId="62" fillId="0" borderId="2" xfId="0" applyNumberFormat="1" applyFont="1" applyBorder="1" applyAlignment="1">
      <alignment wrapText="1"/>
    </xf>
    <xf numFmtId="0" fontId="62" fillId="0" borderId="2" xfId="0" applyFont="1" applyBorder="1" applyAlignment="1">
      <alignment horizontal="left" vertical="top"/>
    </xf>
    <xf numFmtId="14" fontId="62" fillId="0" borderId="2" xfId="0" applyNumberFormat="1" applyFont="1" applyBorder="1"/>
    <xf numFmtId="0" fontId="61" fillId="0" borderId="2" xfId="0" applyFont="1" applyBorder="1" applyAlignment="1">
      <alignment horizontal="left" vertical="top"/>
    </xf>
    <xf numFmtId="14" fontId="0" fillId="0" borderId="2" xfId="0" applyNumberFormat="1" applyBorder="1" applyAlignment="1">
      <alignment vertical="center"/>
    </xf>
    <xf numFmtId="14" fontId="0" fillId="19" borderId="2" xfId="0" applyNumberFormat="1" applyFill="1" applyBorder="1" applyAlignment="1">
      <alignment vertical="center"/>
    </xf>
    <xf numFmtId="0" fontId="117" fillId="0" borderId="2" xfId="0" applyFont="1" applyBorder="1" applyAlignment="1">
      <alignment vertical="center"/>
    </xf>
    <xf numFmtId="0" fontId="115" fillId="0" borderId="2" xfId="0" applyFont="1" applyBorder="1" applyAlignment="1">
      <alignment vertical="center"/>
    </xf>
    <xf numFmtId="0" fontId="115" fillId="0" borderId="3" xfId="0" applyFont="1" applyBorder="1" applyAlignment="1">
      <alignment vertical="center"/>
    </xf>
    <xf numFmtId="14" fontId="117" fillId="0" borderId="2" xfId="0" applyNumberFormat="1" applyFont="1" applyBorder="1"/>
    <xf numFmtId="0" fontId="70" fillId="9" borderId="2" xfId="0" applyFont="1" applyFill="1" applyBorder="1" applyAlignment="1">
      <alignment horizontal="left" vertical="top"/>
    </xf>
    <xf numFmtId="0" fontId="60" fillId="0" borderId="2" xfId="0" applyFont="1" applyBorder="1"/>
    <xf numFmtId="0" fontId="60" fillId="0" borderId="2" xfId="0" applyFont="1" applyBorder="1" applyAlignment="1">
      <alignment horizontal="center"/>
    </xf>
    <xf numFmtId="0" fontId="117" fillId="0" borderId="2" xfId="0" applyFont="1" applyBorder="1" applyAlignment="1">
      <alignment horizontal="left"/>
    </xf>
    <xf numFmtId="0" fontId="60" fillId="9" borderId="2" xfId="0" applyFont="1" applyFill="1" applyBorder="1" applyAlignment="1">
      <alignment horizontal="left" vertical="top"/>
    </xf>
    <xf numFmtId="0" fontId="60" fillId="0" borderId="2" xfId="0" applyFont="1" applyBorder="1" applyAlignment="1">
      <alignment horizontal="left" vertical="top"/>
    </xf>
    <xf numFmtId="14" fontId="60" fillId="0" borderId="2" xfId="0" applyNumberFormat="1" applyFont="1" applyBorder="1" applyAlignment="1">
      <alignment horizontal="left" vertical="top" wrapText="1"/>
    </xf>
    <xf numFmtId="0" fontId="59" fillId="19" borderId="2" xfId="0" applyFont="1" applyFill="1" applyBorder="1" applyAlignment="1">
      <alignment horizontal="left" vertical="top"/>
    </xf>
    <xf numFmtId="0" fontId="59" fillId="0" borderId="2" xfId="0" applyFont="1" applyBorder="1" applyAlignment="1">
      <alignment horizontal="left" vertical="top"/>
    </xf>
    <xf numFmtId="0" fontId="120" fillId="0" borderId="2" xfId="0" applyFont="1" applyBorder="1" applyAlignment="1">
      <alignment horizontal="left" vertical="center"/>
    </xf>
    <xf numFmtId="0" fontId="119" fillId="0" borderId="2" xfId="0" applyFont="1" applyBorder="1" applyAlignment="1">
      <alignment horizontal="center" vertical="center"/>
    </xf>
    <xf numFmtId="0" fontId="138" fillId="19" borderId="0" xfId="0" applyFont="1" applyFill="1"/>
    <xf numFmtId="0" fontId="58" fillId="0" borderId="2" xfId="0" applyFont="1" applyBorder="1"/>
    <xf numFmtId="0" fontId="141" fillId="9" borderId="0" xfId="0" applyFont="1" applyFill="1"/>
    <xf numFmtId="0" fontId="141" fillId="19" borderId="0" xfId="0" applyFont="1" applyFill="1"/>
    <xf numFmtId="1" fontId="146" fillId="0" borderId="42" xfId="1" applyNumberFormat="1" applyFont="1" applyFill="1" applyBorder="1" applyAlignment="1">
      <alignment horizontal="center" vertical="center"/>
    </xf>
    <xf numFmtId="1" fontId="147" fillId="0" borderId="42" xfId="1" applyNumberFormat="1" applyFont="1" applyFill="1" applyBorder="1" applyAlignment="1">
      <alignment horizontal="center" vertical="center"/>
    </xf>
    <xf numFmtId="0" fontId="119" fillId="19" borderId="2" xfId="0" applyFont="1" applyFill="1" applyBorder="1"/>
    <xf numFmtId="0" fontId="148" fillId="0" borderId="42" xfId="0" applyFont="1" applyBorder="1" applyAlignment="1">
      <alignment horizontal="center" vertical="center"/>
    </xf>
    <xf numFmtId="0" fontId="119" fillId="19" borderId="2" xfId="0" applyFont="1" applyFill="1" applyBorder="1" applyAlignment="1">
      <alignment horizontal="center" vertical="center"/>
    </xf>
    <xf numFmtId="14" fontId="119" fillId="0" borderId="2" xfId="0" applyNumberFormat="1" applyFont="1" applyBorder="1" applyAlignment="1">
      <alignment horizontal="center" vertical="center"/>
    </xf>
    <xf numFmtId="0" fontId="119" fillId="19" borderId="2" xfId="0" applyFont="1" applyFill="1" applyBorder="1" applyAlignment="1">
      <alignment horizontal="left" vertical="center" wrapText="1"/>
    </xf>
    <xf numFmtId="0" fontId="119" fillId="9" borderId="2" xfId="0" applyFont="1" applyFill="1" applyBorder="1" applyAlignment="1">
      <alignment horizontal="left" vertical="center" wrapText="1"/>
    </xf>
    <xf numFmtId="0" fontId="0" fillId="0" borderId="2" xfId="0" applyBorder="1" applyAlignment="1">
      <alignment horizontal="left" wrapText="1"/>
    </xf>
    <xf numFmtId="0" fontId="119" fillId="19" borderId="46" xfId="0" applyFont="1" applyFill="1" applyBorder="1" applyAlignment="1">
      <alignment horizontal="left" vertical="center" wrapText="1"/>
    </xf>
    <xf numFmtId="0" fontId="78"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116" fillId="0" borderId="2" xfId="0" applyFont="1" applyBorder="1" applyAlignment="1">
      <alignment horizontal="center" vertical="center"/>
    </xf>
    <xf numFmtId="0" fontId="138" fillId="9" borderId="0" xfId="0" applyFont="1" applyFill="1"/>
    <xf numFmtId="0" fontId="140" fillId="9" borderId="0" xfId="0" applyFont="1" applyFill="1"/>
    <xf numFmtId="0" fontId="139" fillId="9" borderId="0" xfId="0" applyFont="1" applyFill="1"/>
    <xf numFmtId="0" fontId="116" fillId="9" borderId="2" xfId="0" applyFont="1" applyFill="1" applyBorder="1" applyAlignment="1">
      <alignment horizontal="center" vertical="center"/>
    </xf>
    <xf numFmtId="0" fontId="0" fillId="0" borderId="0" xfId="0" applyAlignment="1">
      <alignment horizontal="left"/>
    </xf>
    <xf numFmtId="0" fontId="119" fillId="11" borderId="2" xfId="0" applyFont="1" applyFill="1" applyBorder="1" applyAlignment="1">
      <alignment horizontal="center" vertical="center"/>
    </xf>
    <xf numFmtId="0" fontId="78" fillId="11" borderId="2" xfId="0" applyFont="1" applyFill="1" applyBorder="1" applyAlignment="1">
      <alignment horizontal="center" vertical="center"/>
    </xf>
    <xf numFmtId="0" fontId="116" fillId="0" borderId="28" xfId="0" applyFont="1" applyBorder="1" applyAlignment="1">
      <alignment horizontal="left" vertical="center"/>
    </xf>
    <xf numFmtId="0" fontId="90" fillId="0" borderId="2" xfId="0" applyFont="1" applyBorder="1" applyAlignment="1">
      <alignment horizontal="center" vertical="top"/>
    </xf>
    <xf numFmtId="0" fontId="151" fillId="24" borderId="42" xfId="0" applyFont="1" applyFill="1" applyBorder="1" applyAlignment="1">
      <alignment horizontal="center" vertical="center" wrapText="1"/>
    </xf>
    <xf numFmtId="0" fontId="151" fillId="24" borderId="53" xfId="0" applyFont="1" applyFill="1" applyBorder="1" applyAlignment="1">
      <alignment horizontal="center" vertical="center" wrapText="1"/>
    </xf>
    <xf numFmtId="0" fontId="152" fillId="24" borderId="63" xfId="0" applyFont="1" applyFill="1" applyBorder="1" applyAlignment="1">
      <alignment horizontal="center" vertical="center" wrapText="1"/>
    </xf>
    <xf numFmtId="0" fontId="152" fillId="24" borderId="48" xfId="0" applyFont="1" applyFill="1" applyBorder="1" applyAlignment="1">
      <alignment vertical="center" wrapText="1"/>
    </xf>
    <xf numFmtId="0" fontId="152" fillId="24" borderId="48" xfId="0" applyFont="1" applyFill="1" applyBorder="1" applyAlignment="1">
      <alignment horizontal="center" vertical="center" wrapText="1"/>
    </xf>
    <xf numFmtId="0" fontId="153" fillId="24" borderId="48" xfId="0" applyFont="1" applyFill="1" applyBorder="1" applyAlignment="1">
      <alignment horizontal="center" vertical="center" wrapText="1"/>
    </xf>
    <xf numFmtId="0" fontId="145" fillId="24" borderId="48" xfId="0" applyFont="1" applyFill="1" applyBorder="1" applyAlignment="1">
      <alignment vertical="center" wrapText="1"/>
    </xf>
    <xf numFmtId="14" fontId="152" fillId="24" borderId="48" xfId="0" applyNumberFormat="1" applyFont="1" applyFill="1" applyBorder="1" applyAlignment="1">
      <alignment horizontal="center" vertical="center" wrapText="1"/>
    </xf>
    <xf numFmtId="0" fontId="150" fillId="24" borderId="0" xfId="0" applyFont="1" applyFill="1" applyAlignment="1">
      <alignment wrapText="1"/>
    </xf>
    <xf numFmtId="0" fontId="152" fillId="24" borderId="65" xfId="0" applyFont="1" applyFill="1" applyBorder="1" applyAlignment="1">
      <alignment vertical="center" wrapText="1"/>
    </xf>
    <xf numFmtId="0" fontId="145" fillId="9" borderId="0" xfId="0" applyFont="1" applyFill="1" applyAlignment="1">
      <alignment horizontal="right" vertical="center" wrapText="1"/>
    </xf>
    <xf numFmtId="0" fontId="155" fillId="24" borderId="42" xfId="0" applyFont="1" applyFill="1" applyBorder="1" applyAlignment="1">
      <alignment horizontal="center" vertical="center" wrapText="1"/>
    </xf>
    <xf numFmtId="0" fontId="155" fillId="24" borderId="53" xfId="0" applyFont="1" applyFill="1" applyBorder="1" applyAlignment="1">
      <alignment horizontal="center" vertical="center" wrapText="1"/>
    </xf>
    <xf numFmtId="0" fontId="155" fillId="9" borderId="53" xfId="0" applyFont="1" applyFill="1" applyBorder="1" applyAlignment="1">
      <alignment horizontal="center" vertical="center" wrapText="1"/>
    </xf>
    <xf numFmtId="0" fontId="145" fillId="24" borderId="63" xfId="0" applyFont="1" applyFill="1" applyBorder="1" applyAlignment="1">
      <alignment horizontal="center" vertical="center" wrapText="1"/>
    </xf>
    <xf numFmtId="0" fontId="151" fillId="24" borderId="48" xfId="0" applyFont="1" applyFill="1" applyBorder="1" applyAlignment="1">
      <alignment vertical="center" wrapText="1"/>
    </xf>
    <xf numFmtId="0" fontId="145" fillId="24" borderId="48" xfId="0" applyFont="1" applyFill="1" applyBorder="1" applyAlignment="1">
      <alignment horizontal="center" vertical="center" wrapText="1"/>
    </xf>
    <xf numFmtId="15" fontId="145" fillId="24" borderId="48" xfId="0" applyNumberFormat="1" applyFont="1" applyFill="1" applyBorder="1" applyAlignment="1">
      <alignment horizontal="center" vertical="center" wrapText="1"/>
    </xf>
    <xf numFmtId="0" fontId="145" fillId="19" borderId="63" xfId="0" applyFont="1" applyFill="1" applyBorder="1" applyAlignment="1">
      <alignment horizontal="center" vertical="center" wrapText="1"/>
    </xf>
    <xf numFmtId="0" fontId="145" fillId="19" borderId="48" xfId="0" applyFont="1" applyFill="1" applyBorder="1" applyAlignment="1">
      <alignment vertical="center" wrapText="1"/>
    </xf>
    <xf numFmtId="15" fontId="145" fillId="19" borderId="48" xfId="0" applyNumberFormat="1" applyFont="1" applyFill="1" applyBorder="1" applyAlignment="1">
      <alignment horizontal="center" vertical="center" wrapText="1"/>
    </xf>
    <xf numFmtId="0" fontId="145" fillId="19" borderId="48" xfId="0" applyFont="1" applyFill="1" applyBorder="1" applyAlignment="1">
      <alignment horizontal="center" vertical="center" wrapText="1"/>
    </xf>
    <xf numFmtId="0" fontId="119" fillId="27" borderId="2" xfId="0" applyFont="1" applyFill="1" applyBorder="1" applyAlignment="1">
      <alignment horizontal="center" vertical="center"/>
    </xf>
    <xf numFmtId="0" fontId="0" fillId="19" borderId="2" xfId="0" applyFill="1" applyBorder="1" applyAlignment="1">
      <alignment horizontal="center"/>
    </xf>
    <xf numFmtId="0" fontId="58" fillId="19" borderId="2" xfId="0" applyFont="1" applyFill="1" applyBorder="1" applyAlignment="1">
      <alignment horizontal="center"/>
    </xf>
    <xf numFmtId="0" fontId="60" fillId="19" borderId="2" xfId="0" applyFont="1" applyFill="1" applyBorder="1" applyAlignment="1">
      <alignment horizontal="center"/>
    </xf>
    <xf numFmtId="0" fontId="117" fillId="0" borderId="2" xfId="0" applyFont="1" applyBorder="1" applyAlignment="1">
      <alignment horizontal="left" vertical="center"/>
    </xf>
    <xf numFmtId="0" fontId="119" fillId="19" borderId="2" xfId="0" applyFont="1" applyFill="1" applyBorder="1" applyAlignment="1">
      <alignment horizontal="left" vertical="center"/>
    </xf>
    <xf numFmtId="1" fontId="77" fillId="3" borderId="5" xfId="0" applyNumberFormat="1" applyFont="1" applyFill="1" applyBorder="1" applyAlignment="1">
      <alignment horizontal="center" vertical="center" wrapText="1"/>
    </xf>
    <xf numFmtId="2" fontId="77" fillId="3" borderId="0" xfId="0" applyNumberFormat="1" applyFont="1" applyFill="1" applyAlignment="1">
      <alignment horizontal="left" vertical="center" wrapText="1"/>
    </xf>
    <xf numFmtId="166" fontId="77" fillId="3" borderId="0" xfId="0" applyNumberFormat="1" applyFont="1" applyFill="1" applyAlignment="1">
      <alignment horizontal="center" vertical="center" wrapText="1"/>
    </xf>
    <xf numFmtId="1" fontId="77" fillId="3" borderId="0" xfId="0" applyNumberFormat="1" applyFont="1" applyFill="1" applyAlignment="1">
      <alignment horizontal="center" vertical="center" wrapText="1"/>
    </xf>
    <xf numFmtId="2" fontId="77" fillId="3" borderId="0" xfId="0" applyNumberFormat="1" applyFont="1" applyFill="1" applyAlignment="1">
      <alignment horizontal="center" vertical="center" wrapText="1"/>
    </xf>
    <xf numFmtId="0" fontId="77" fillId="3" borderId="0" xfId="0" applyFont="1" applyFill="1" applyAlignment="1">
      <alignment horizontal="center" vertical="center" wrapText="1"/>
    </xf>
    <xf numFmtId="0" fontId="77" fillId="3" borderId="0" xfId="0" applyFont="1" applyFill="1" applyAlignment="1">
      <alignment horizontal="right" vertical="top" wrapText="1"/>
    </xf>
    <xf numFmtId="0" fontId="77" fillId="3" borderId="0" xfId="0" applyFont="1" applyFill="1" applyAlignment="1">
      <alignment horizontal="center" vertical="top" wrapText="1"/>
    </xf>
    <xf numFmtId="0" fontId="77" fillId="3" borderId="0" xfId="0" applyFont="1" applyFill="1" applyAlignment="1">
      <alignment horizontal="center" vertical="top"/>
    </xf>
    <xf numFmtId="0" fontId="117" fillId="0" borderId="2" xfId="0" applyFont="1" applyBorder="1" applyAlignment="1">
      <alignment horizontal="left" vertical="top"/>
    </xf>
    <xf numFmtId="0" fontId="117" fillId="3" borderId="2" xfId="0" applyFont="1" applyFill="1" applyBorder="1" applyAlignment="1">
      <alignment vertical="center"/>
    </xf>
    <xf numFmtId="0" fontId="117" fillId="3" borderId="2" xfId="0" applyFont="1" applyFill="1" applyBorder="1"/>
    <xf numFmtId="0" fontId="117" fillId="3" borderId="2" xfId="0" applyFont="1" applyFill="1" applyBorder="1" applyAlignment="1">
      <alignment horizontal="left"/>
    </xf>
    <xf numFmtId="0" fontId="117" fillId="3" borderId="2" xfId="0" applyFont="1" applyFill="1" applyBorder="1" applyAlignment="1">
      <alignment horizontal="left" vertical="center"/>
    </xf>
    <xf numFmtId="14" fontId="117" fillId="3" borderId="2" xfId="0" applyNumberFormat="1" applyFont="1" applyFill="1" applyBorder="1"/>
    <xf numFmtId="14" fontId="117" fillId="3" borderId="2" xfId="0" applyNumberFormat="1" applyFont="1" applyFill="1" applyBorder="1" applyAlignment="1">
      <alignment horizontal="right"/>
    </xf>
    <xf numFmtId="0" fontId="117" fillId="3" borderId="2" xfId="0" applyFont="1" applyFill="1" applyBorder="1" applyAlignment="1">
      <alignment horizontal="center"/>
    </xf>
    <xf numFmtId="0" fontId="117" fillId="3" borderId="2" xfId="0" applyFont="1" applyFill="1" applyBorder="1" applyAlignment="1">
      <alignment horizontal="center" vertical="center"/>
    </xf>
    <xf numFmtId="14" fontId="117" fillId="3" borderId="2" xfId="0" applyNumberFormat="1" applyFont="1" applyFill="1" applyBorder="1" applyAlignment="1">
      <alignment vertical="center"/>
    </xf>
    <xf numFmtId="0" fontId="119" fillId="0" borderId="2" xfId="0" applyFont="1" applyBorder="1" applyAlignment="1">
      <alignment horizontal="left" vertical="center" wrapText="1"/>
    </xf>
    <xf numFmtId="0" fontId="117" fillId="9" borderId="2" xfId="0" applyFont="1" applyFill="1" applyBorder="1" applyAlignment="1">
      <alignment horizontal="left" vertical="top"/>
    </xf>
    <xf numFmtId="0" fontId="117" fillId="9" borderId="2" xfId="0" applyFont="1" applyFill="1" applyBorder="1" applyAlignment="1">
      <alignment horizontal="left"/>
    </xf>
    <xf numFmtId="14" fontId="117" fillId="0" borderId="2" xfId="0" applyNumberFormat="1" applyFont="1" applyBorder="1" applyAlignment="1">
      <alignment vertical="center"/>
    </xf>
    <xf numFmtId="14" fontId="117" fillId="0" borderId="2" xfId="0" applyNumberFormat="1" applyFont="1" applyBorder="1" applyAlignment="1">
      <alignment vertical="top"/>
    </xf>
    <xf numFmtId="0" fontId="117" fillId="0" borderId="2" xfId="0" applyFont="1" applyBorder="1" applyAlignment="1">
      <alignment vertical="top"/>
    </xf>
    <xf numFmtId="14" fontId="117" fillId="0" borderId="2" xfId="0" applyNumberFormat="1" applyFont="1" applyBorder="1" applyAlignment="1">
      <alignment horizontal="right" vertical="center"/>
    </xf>
    <xf numFmtId="0" fontId="117" fillId="0" borderId="3" xfId="0" applyFont="1" applyBorder="1" applyAlignment="1">
      <alignment horizontal="left" vertical="center"/>
    </xf>
    <xf numFmtId="14" fontId="117" fillId="0" borderId="3" xfId="0" applyNumberFormat="1" applyFont="1" applyBorder="1" applyAlignment="1">
      <alignment horizontal="right" vertical="center"/>
    </xf>
    <xf numFmtId="14" fontId="117" fillId="0" borderId="2" xfId="0" applyNumberFormat="1" applyFont="1" applyBorder="1" applyAlignment="1">
      <alignment horizontal="right"/>
    </xf>
    <xf numFmtId="0" fontId="157" fillId="3" borderId="0" xfId="24" applyFont="1" applyFill="1" applyAlignment="1">
      <alignment vertical="center" wrapText="1"/>
    </xf>
    <xf numFmtId="0" fontId="157" fillId="3" borderId="0" xfId="0" applyFont="1" applyFill="1"/>
    <xf numFmtId="0" fontId="157" fillId="3" borderId="0" xfId="0" applyFont="1" applyFill="1" applyAlignment="1">
      <alignment horizontal="center"/>
    </xf>
    <xf numFmtId="0" fontId="159" fillId="3" borderId="0" xfId="0" applyFont="1" applyFill="1" applyAlignment="1">
      <alignment horizontal="center"/>
    </xf>
    <xf numFmtId="0" fontId="158" fillId="3" borderId="0" xfId="0" applyFont="1" applyFill="1" applyAlignment="1">
      <alignment horizontal="center"/>
    </xf>
    <xf numFmtId="0" fontId="159" fillId="3" borderId="0" xfId="24" applyFont="1" applyFill="1" applyAlignment="1">
      <alignment vertical="center" wrapText="1"/>
    </xf>
    <xf numFmtId="0" fontId="161" fillId="3" borderId="0" xfId="0" applyFont="1" applyFill="1" applyAlignment="1">
      <alignment horizontal="center"/>
    </xf>
    <xf numFmtId="0" fontId="159" fillId="3" borderId="0" xfId="24" applyFont="1" applyFill="1"/>
    <xf numFmtId="0" fontId="157" fillId="3" borderId="0" xfId="24" applyFont="1" applyFill="1"/>
    <xf numFmtId="0" fontId="160" fillId="3" borderId="0" xfId="24" applyFont="1" applyFill="1" applyAlignment="1">
      <alignment vertical="center"/>
    </xf>
    <xf numFmtId="0" fontId="160" fillId="3" borderId="0" xfId="24" applyFont="1" applyFill="1"/>
    <xf numFmtId="0" fontId="158" fillId="3" borderId="0" xfId="24" applyFont="1" applyFill="1" applyAlignment="1">
      <alignment vertical="center" wrapText="1"/>
    </xf>
    <xf numFmtId="0" fontId="158" fillId="3" borderId="0" xfId="0" applyFont="1" applyFill="1" applyAlignment="1">
      <alignment horizontal="center" vertical="center"/>
    </xf>
    <xf numFmtId="0" fontId="157" fillId="3" borderId="0" xfId="24" applyFont="1" applyFill="1" applyAlignment="1">
      <alignment vertical="center"/>
    </xf>
    <xf numFmtId="0" fontId="157" fillId="3" borderId="0" xfId="24" applyFont="1" applyFill="1" applyAlignment="1">
      <alignment horizontal="left" vertical="center"/>
    </xf>
    <xf numFmtId="169" fontId="164" fillId="0" borderId="0" xfId="0" applyNumberFormat="1" applyFont="1"/>
    <xf numFmtId="0" fontId="157" fillId="3" borderId="32" xfId="24" applyFont="1" applyFill="1" applyBorder="1" applyAlignment="1">
      <alignment vertical="center" wrapText="1"/>
    </xf>
    <xf numFmtId="0" fontId="157" fillId="3" borderId="32" xfId="0" applyFont="1" applyFill="1" applyBorder="1" applyAlignment="1">
      <alignment horizontal="center"/>
    </xf>
    <xf numFmtId="0" fontId="159" fillId="3" borderId="32" xfId="0" applyFont="1" applyFill="1" applyBorder="1" applyAlignment="1">
      <alignment horizontal="center"/>
    </xf>
    <xf numFmtId="0" fontId="165" fillId="3" borderId="32" xfId="0" applyFont="1" applyFill="1" applyBorder="1" applyAlignment="1">
      <alignment horizontal="left" vertical="center"/>
    </xf>
    <xf numFmtId="0" fontId="165" fillId="3" borderId="32" xfId="0" applyFont="1" applyFill="1" applyBorder="1" applyAlignment="1">
      <alignment horizontal="center" vertical="center"/>
    </xf>
    <xf numFmtId="49" fontId="166" fillId="0" borderId="0" xfId="0" quotePrefix="1" applyNumberFormat="1" applyFont="1" applyAlignment="1">
      <alignment horizontal="center" vertical="center" wrapText="1"/>
    </xf>
    <xf numFmtId="49" fontId="167" fillId="0" borderId="0" xfId="0" applyNumberFormat="1" applyFont="1" applyAlignment="1">
      <alignment horizontal="center" vertical="center" wrapText="1"/>
    </xf>
    <xf numFmtId="49" fontId="166" fillId="0" borderId="0" xfId="0" applyNumberFormat="1" applyFont="1" applyAlignment="1">
      <alignment horizontal="center" vertical="center" wrapText="1"/>
    </xf>
    <xf numFmtId="0" fontId="168" fillId="0" borderId="0" xfId="0" applyFont="1" applyAlignment="1">
      <alignment horizontal="center" vertical="center"/>
    </xf>
    <xf numFmtId="0" fontId="57" fillId="0" borderId="0" xfId="0" applyFont="1"/>
    <xf numFmtId="0" fontId="115" fillId="0" borderId="0" xfId="0" applyFont="1"/>
    <xf numFmtId="43" fontId="115" fillId="0" borderId="0" xfId="1" applyFont="1" applyFill="1" applyBorder="1" applyAlignment="1">
      <alignment horizontal="center" vertical="center"/>
    </xf>
    <xf numFmtId="1" fontId="115" fillId="28" borderId="42" xfId="1" applyNumberFormat="1" applyFont="1" applyFill="1" applyBorder="1" applyAlignment="1">
      <alignment horizontal="center" vertical="center"/>
    </xf>
    <xf numFmtId="1" fontId="166" fillId="0" borderId="0" xfId="0" applyNumberFormat="1" applyFont="1" applyAlignment="1">
      <alignment horizontal="center"/>
    </xf>
    <xf numFmtId="1" fontId="167" fillId="0" borderId="42" xfId="1" applyNumberFormat="1" applyFont="1" applyFill="1" applyBorder="1" applyAlignment="1">
      <alignment horizontal="center" vertical="center"/>
    </xf>
    <xf numFmtId="1" fontId="169" fillId="0" borderId="0" xfId="0" applyNumberFormat="1" applyFont="1" applyAlignment="1">
      <alignment horizontal="center"/>
    </xf>
    <xf numFmtId="0" fontId="115" fillId="28" borderId="42" xfId="0" applyFont="1" applyFill="1" applyBorder="1" applyAlignment="1">
      <alignment horizontal="center" vertical="center"/>
    </xf>
    <xf numFmtId="0" fontId="115" fillId="0" borderId="42" xfId="0" applyFont="1" applyBorder="1" applyAlignment="1">
      <alignment horizontal="center" vertical="center"/>
    </xf>
    <xf numFmtId="0" fontId="90" fillId="0" borderId="20" xfId="0" applyFont="1" applyBorder="1" applyAlignment="1">
      <alignment horizontal="center" vertical="center"/>
    </xf>
    <xf numFmtId="0" fontId="90" fillId="0" borderId="0" xfId="0" applyFont="1" applyAlignment="1">
      <alignment horizontal="center" vertical="center"/>
    </xf>
    <xf numFmtId="0" fontId="170" fillId="0" borderId="43" xfId="0" applyFont="1" applyBorder="1"/>
    <xf numFmtId="0" fontId="166" fillId="0" borderId="0" xfId="0" applyFont="1"/>
    <xf numFmtId="0" fontId="168" fillId="9" borderId="0" xfId="0" applyFont="1" applyFill="1" applyAlignment="1">
      <alignment horizontal="center" vertical="center"/>
    </xf>
    <xf numFmtId="0" fontId="168" fillId="3" borderId="0" xfId="0" applyFont="1" applyFill="1" applyAlignment="1">
      <alignment horizontal="center" vertical="center"/>
    </xf>
    <xf numFmtId="0" fontId="171" fillId="3" borderId="0" xfId="0" applyFont="1" applyFill="1" applyAlignment="1">
      <alignment horizontal="center" vertical="center"/>
    </xf>
    <xf numFmtId="0" fontId="167" fillId="0" borderId="0" xfId="0" applyFont="1"/>
    <xf numFmtId="0" fontId="173" fillId="0" borderId="0" xfId="0" applyFont="1"/>
    <xf numFmtId="0" fontId="146" fillId="0" borderId="0" xfId="0" applyFont="1" applyAlignment="1">
      <alignment horizontal="center" vertical="center"/>
    </xf>
    <xf numFmtId="0" fontId="146" fillId="0" borderId="0" xfId="0" applyFont="1"/>
    <xf numFmtId="43" fontId="146" fillId="0" borderId="0" xfId="1" applyFont="1" applyFill="1" applyBorder="1" applyAlignment="1">
      <alignment horizontal="center" vertical="center"/>
    </xf>
    <xf numFmtId="0" fontId="166" fillId="0" borderId="0" xfId="0" applyFont="1" applyAlignment="1">
      <alignment horizontal="center"/>
    </xf>
    <xf numFmtId="0" fontId="169" fillId="0" borderId="0" xfId="0" applyFont="1" applyAlignment="1">
      <alignment horizontal="center"/>
    </xf>
    <xf numFmtId="0" fontId="146" fillId="0" borderId="42" xfId="0" applyFont="1" applyBorder="1" applyAlignment="1">
      <alignment horizontal="center" vertical="center"/>
    </xf>
    <xf numFmtId="0" fontId="167" fillId="0" borderId="42" xfId="0" applyFont="1" applyBorder="1" applyAlignment="1">
      <alignment horizontal="center" vertical="center"/>
    </xf>
    <xf numFmtId="1" fontId="166" fillId="0" borderId="0" xfId="0" quotePrefix="1" applyNumberFormat="1" applyFont="1" applyAlignment="1">
      <alignment horizontal="center" vertical="center" wrapText="1"/>
    </xf>
    <xf numFmtId="0" fontId="167" fillId="0" borderId="0" xfId="0" applyFont="1" applyAlignment="1">
      <alignment horizontal="center" vertical="center"/>
    </xf>
    <xf numFmtId="0" fontId="166" fillId="0" borderId="0" xfId="0" applyFont="1" applyAlignment="1">
      <alignment vertical="center"/>
    </xf>
    <xf numFmtId="43" fontId="167" fillId="0" borderId="0" xfId="1" applyFont="1" applyFill="1" applyBorder="1" applyAlignment="1">
      <alignment horizontal="center" vertical="center"/>
    </xf>
    <xf numFmtId="0" fontId="171" fillId="0" borderId="0" xfId="0" applyFont="1"/>
    <xf numFmtId="0" fontId="169" fillId="0" borderId="0" xfId="0" applyFont="1"/>
    <xf numFmtId="0" fontId="174" fillId="22" borderId="0" xfId="0" applyFont="1" applyFill="1"/>
    <xf numFmtId="0" fontId="175" fillId="3" borderId="43" xfId="0" applyFont="1" applyFill="1" applyBorder="1" applyAlignment="1">
      <alignment horizontal="center" vertical="center"/>
    </xf>
    <xf numFmtId="0" fontId="175" fillId="3" borderId="0" xfId="0" applyFont="1" applyFill="1" applyAlignment="1">
      <alignment horizontal="center" vertical="center"/>
    </xf>
    <xf numFmtId="0" fontId="170" fillId="0" borderId="0" xfId="0" applyFont="1"/>
    <xf numFmtId="0" fontId="167" fillId="0" borderId="0" xfId="0" applyFont="1" applyAlignment="1">
      <alignment horizontal="center"/>
    </xf>
    <xf numFmtId="0" fontId="171" fillId="0" borderId="20" xfId="0" applyFont="1" applyBorder="1" applyAlignment="1">
      <alignment horizontal="center" vertical="center"/>
    </xf>
    <xf numFmtId="0" fontId="171" fillId="0" borderId="0" xfId="0" applyFont="1" applyAlignment="1">
      <alignment horizontal="center" vertical="center"/>
    </xf>
    <xf numFmtId="0" fontId="171" fillId="0" borderId="2" xfId="0" applyFont="1" applyBorder="1" applyAlignment="1">
      <alignment horizontal="center" vertical="center"/>
    </xf>
    <xf numFmtId="0" fontId="140" fillId="3" borderId="43" xfId="0" applyFont="1" applyFill="1" applyBorder="1"/>
    <xf numFmtId="0" fontId="169" fillId="3" borderId="0" xfId="0" applyFont="1" applyFill="1"/>
    <xf numFmtId="0" fontId="176" fillId="3" borderId="0" xfId="0" applyFont="1" applyFill="1" applyAlignment="1">
      <alignment horizontal="center" vertical="center"/>
    </xf>
    <xf numFmtId="0" fontId="168" fillId="19" borderId="0" xfId="0" applyFont="1" applyFill="1" applyAlignment="1">
      <alignment horizontal="center" vertical="center"/>
    </xf>
    <xf numFmtId="0" fontId="168" fillId="0" borderId="0" xfId="0" applyFont="1"/>
    <xf numFmtId="0" fontId="177" fillId="0" borderId="0" xfId="0" applyFont="1"/>
    <xf numFmtId="49" fontId="168" fillId="0" borderId="0" xfId="0" applyNumberFormat="1" applyFont="1" applyAlignment="1">
      <alignment horizontal="center" vertical="center" wrapText="1"/>
    </xf>
    <xf numFmtId="1" fontId="166" fillId="0" borderId="42" xfId="1" applyNumberFormat="1" applyFont="1" applyFill="1" applyBorder="1" applyAlignment="1">
      <alignment horizontal="center" vertical="center"/>
    </xf>
    <xf numFmtId="1" fontId="167" fillId="20" borderId="42" xfId="1" applyNumberFormat="1" applyFont="1" applyFill="1" applyBorder="1" applyAlignment="1">
      <alignment horizontal="center" vertical="center"/>
    </xf>
    <xf numFmtId="0" fontId="168" fillId="22" borderId="0" xfId="0" applyFont="1" applyFill="1"/>
    <xf numFmtId="0" fontId="178" fillId="3" borderId="0" xfId="0" applyFont="1" applyFill="1" applyAlignment="1">
      <alignment vertical="center"/>
    </xf>
    <xf numFmtId="0" fontId="179" fillId="0" borderId="0" xfId="0" applyFont="1"/>
    <xf numFmtId="0" fontId="166" fillId="0" borderId="0" xfId="0" applyFont="1" applyAlignment="1">
      <alignment horizontal="center" vertical="center"/>
    </xf>
    <xf numFmtId="0" fontId="166" fillId="0" borderId="0" xfId="0" applyFont="1" applyAlignment="1">
      <alignment horizontal="right"/>
    </xf>
    <xf numFmtId="1" fontId="166" fillId="0" borderId="0" xfId="0" applyNumberFormat="1" applyFont="1" applyAlignment="1">
      <alignment horizontal="left"/>
    </xf>
    <xf numFmtId="49" fontId="167" fillId="0" borderId="0" xfId="0" applyNumberFormat="1" applyFont="1" applyAlignment="1">
      <alignment horizontal="center" vertical="center"/>
    </xf>
    <xf numFmtId="49" fontId="166" fillId="0" borderId="0" xfId="0" applyNumberFormat="1" applyFont="1" applyAlignment="1">
      <alignment horizontal="center" vertical="center"/>
    </xf>
    <xf numFmtId="0" fontId="166" fillId="0" borderId="0" xfId="0" applyFont="1" applyAlignment="1">
      <alignment horizontal="left"/>
    </xf>
    <xf numFmtId="0" fontId="167" fillId="0" borderId="63" xfId="0" applyFont="1" applyBorder="1" applyAlignment="1">
      <alignment horizontal="center" vertical="center"/>
    </xf>
    <xf numFmtId="0" fontId="171" fillId="0" borderId="0" xfId="0" applyFont="1" applyAlignment="1">
      <alignment horizontal="center"/>
    </xf>
    <xf numFmtId="0" fontId="168" fillId="0" borderId="0" xfId="0" applyFont="1" applyAlignment="1">
      <alignment horizontal="center"/>
    </xf>
    <xf numFmtId="0" fontId="179" fillId="0" borderId="0" xfId="0" applyFont="1" applyAlignment="1">
      <alignment horizontal="center"/>
    </xf>
    <xf numFmtId="0" fontId="178" fillId="3" borderId="43" xfId="0" applyFont="1" applyFill="1" applyBorder="1" applyAlignment="1">
      <alignment vertical="center"/>
    </xf>
    <xf numFmtId="0" fontId="178" fillId="29" borderId="0" xfId="0" applyFont="1" applyFill="1" applyAlignment="1">
      <alignment vertical="center"/>
    </xf>
    <xf numFmtId="0" fontId="166" fillId="0" borderId="0" xfId="16" applyFont="1" applyAlignment="1">
      <alignment horizontal="center" vertical="center"/>
    </xf>
    <xf numFmtId="0" fontId="180" fillId="0" borderId="0" xfId="0" applyFont="1"/>
    <xf numFmtId="0" fontId="181" fillId="0" borderId="0" xfId="0" applyFont="1"/>
    <xf numFmtId="0" fontId="168" fillId="0" borderId="0" xfId="0" applyFont="1" applyAlignment="1">
      <alignment vertical="center"/>
    </xf>
    <xf numFmtId="0" fontId="169" fillId="0" borderId="0" xfId="0" applyFont="1" applyAlignment="1">
      <alignment vertical="center"/>
    </xf>
    <xf numFmtId="0" fontId="169" fillId="3" borderId="0" xfId="0" applyFont="1" applyFill="1" applyAlignment="1">
      <alignment vertical="center"/>
    </xf>
    <xf numFmtId="0" fontId="146" fillId="3" borderId="0" xfId="0" applyFont="1" applyFill="1" applyAlignment="1">
      <alignment vertical="center"/>
    </xf>
    <xf numFmtId="0" fontId="173" fillId="3" borderId="0" xfId="0" applyFont="1" applyFill="1" applyAlignment="1">
      <alignment vertical="center"/>
    </xf>
    <xf numFmtId="0" fontId="140" fillId="0" borderId="0" xfId="0" applyFont="1" applyAlignment="1">
      <alignment vertical="center"/>
    </xf>
    <xf numFmtId="0" fontId="176" fillId="0" borderId="0" xfId="0" applyFont="1" applyAlignment="1">
      <alignment wrapText="1"/>
    </xf>
    <xf numFmtId="0" fontId="176" fillId="0" borderId="0" xfId="0" applyFont="1" applyAlignment="1">
      <alignment vertical="center"/>
    </xf>
    <xf numFmtId="0" fontId="172" fillId="3" borderId="43" xfId="0" applyFont="1" applyFill="1" applyBorder="1" applyAlignment="1">
      <alignment vertical="center"/>
    </xf>
    <xf numFmtId="0" fontId="172" fillId="29" borderId="0" xfId="0" applyFont="1" applyFill="1" applyAlignment="1">
      <alignment vertical="center"/>
    </xf>
    <xf numFmtId="0" fontId="172" fillId="3" borderId="0" xfId="0" applyFont="1" applyFill="1" applyAlignment="1">
      <alignment vertical="center"/>
    </xf>
    <xf numFmtId="1" fontId="167" fillId="19" borderId="42" xfId="1" applyNumberFormat="1" applyFont="1" applyFill="1" applyBorder="1" applyAlignment="1">
      <alignment horizontal="center" vertical="center"/>
    </xf>
    <xf numFmtId="0" fontId="176" fillId="9" borderId="0" xfId="0" applyFont="1" applyFill="1" applyAlignment="1">
      <alignment horizontal="center" vertical="center"/>
    </xf>
    <xf numFmtId="0" fontId="174" fillId="29" borderId="0" xfId="0" applyFont="1" applyFill="1"/>
    <xf numFmtId="0" fontId="176" fillId="29" borderId="0" xfId="0" applyFont="1" applyFill="1"/>
    <xf numFmtId="1" fontId="180" fillId="0" borderId="42" xfId="1" applyNumberFormat="1" applyFont="1" applyFill="1" applyBorder="1" applyAlignment="1">
      <alignment horizontal="center" vertical="center"/>
    </xf>
    <xf numFmtId="0" fontId="168" fillId="29" borderId="0" xfId="0" applyFont="1" applyFill="1" applyAlignment="1">
      <alignment vertical="center"/>
    </xf>
    <xf numFmtId="1" fontId="166" fillId="0" borderId="0" xfId="0" applyNumberFormat="1" applyFont="1" applyAlignment="1">
      <alignment horizontal="center" vertical="top"/>
    </xf>
    <xf numFmtId="0" fontId="166" fillId="0" borderId="0" xfId="0" applyFont="1" applyAlignment="1">
      <alignment horizontal="center" vertical="top"/>
    </xf>
    <xf numFmtId="0" fontId="147" fillId="9" borderId="0" xfId="0" applyFont="1" applyFill="1" applyAlignment="1">
      <alignment horizontal="center" vertical="center"/>
    </xf>
    <xf numFmtId="0" fontId="147" fillId="0" borderId="43" xfId="0" applyFont="1" applyBorder="1" applyAlignment="1">
      <alignment horizontal="center" vertical="center"/>
    </xf>
    <xf numFmtId="0" fontId="168" fillId="9" borderId="0" xfId="0" applyFont="1" applyFill="1" applyAlignment="1">
      <alignment horizontal="center"/>
    </xf>
    <xf numFmtId="49" fontId="166" fillId="0" borderId="0" xfId="0" applyNumberFormat="1" applyFont="1" applyAlignment="1">
      <alignment horizontal="center"/>
    </xf>
    <xf numFmtId="0" fontId="168" fillId="3" borderId="42" xfId="0" applyFont="1" applyFill="1" applyBorder="1" applyAlignment="1">
      <alignment horizontal="center" vertical="center"/>
    </xf>
    <xf numFmtId="0" fontId="176" fillId="29" borderId="0" xfId="0" applyFont="1" applyFill="1" applyAlignment="1">
      <alignment horizontal="center" vertical="center"/>
    </xf>
    <xf numFmtId="1" fontId="170" fillId="0" borderId="42" xfId="1" applyNumberFormat="1" applyFont="1" applyFill="1" applyBorder="1" applyAlignment="1">
      <alignment horizontal="center" vertical="center"/>
    </xf>
    <xf numFmtId="0" fontId="170" fillId="0" borderId="0" xfId="0" applyFont="1" applyAlignment="1">
      <alignment vertical="center"/>
    </xf>
    <xf numFmtId="49" fontId="182" fillId="0" borderId="0" xfId="0" applyNumberFormat="1" applyFont="1" applyAlignment="1">
      <alignment horizontal="center" vertical="center" wrapText="1"/>
    </xf>
    <xf numFmtId="0" fontId="168" fillId="29" borderId="0" xfId="0" applyFont="1" applyFill="1"/>
    <xf numFmtId="0" fontId="57" fillId="0" borderId="20" xfId="0" applyFont="1" applyBorder="1"/>
    <xf numFmtId="0" fontId="168" fillId="29" borderId="0" xfId="0" applyFont="1" applyFill="1" applyAlignment="1">
      <alignment horizontal="center" vertical="center"/>
    </xf>
    <xf numFmtId="0" fontId="170" fillId="0" borderId="0" xfId="0" applyFont="1" applyAlignment="1">
      <alignment horizontal="left"/>
    </xf>
    <xf numFmtId="0" fontId="168" fillId="0" borderId="42" xfId="0" applyFont="1" applyBorder="1" applyAlignment="1">
      <alignment horizontal="center" vertical="center"/>
    </xf>
    <xf numFmtId="0" fontId="170" fillId="0" borderId="42" xfId="0" applyFont="1" applyBorder="1" applyAlignment="1">
      <alignment horizontal="center" vertical="center"/>
    </xf>
    <xf numFmtId="0" fontId="171" fillId="0" borderId="0" xfId="0" applyFont="1" applyAlignment="1">
      <alignment vertical="center"/>
    </xf>
    <xf numFmtId="0" fontId="171" fillId="0" borderId="0" xfId="0" applyFont="1" applyAlignment="1">
      <alignment horizontal="left"/>
    </xf>
    <xf numFmtId="0" fontId="166" fillId="0" borderId="42" xfId="0" applyFont="1" applyBorder="1" applyAlignment="1">
      <alignment horizontal="center" vertical="center"/>
    </xf>
    <xf numFmtId="0" fontId="168" fillId="9" borderId="0" xfId="0" applyFont="1" applyFill="1"/>
    <xf numFmtId="0" fontId="167" fillId="3" borderId="0" xfId="0" applyFont="1" applyFill="1" applyAlignment="1">
      <alignment horizontal="center" vertical="center"/>
    </xf>
    <xf numFmtId="0" fontId="57" fillId="0" borderId="2" xfId="0" applyFont="1" applyBorder="1"/>
    <xf numFmtId="0" fontId="166" fillId="0" borderId="2" xfId="0" applyFont="1" applyBorder="1" applyAlignment="1">
      <alignment horizontal="center" vertical="center"/>
    </xf>
    <xf numFmtId="1" fontId="166" fillId="0" borderId="2" xfId="1" applyNumberFormat="1" applyFont="1" applyFill="1" applyBorder="1" applyAlignment="1">
      <alignment horizontal="center" vertical="center"/>
    </xf>
    <xf numFmtId="1" fontId="167" fillId="28" borderId="42" xfId="1" applyNumberFormat="1" applyFont="1" applyFill="1" applyBorder="1" applyAlignment="1">
      <alignment horizontal="center" vertical="center"/>
    </xf>
    <xf numFmtId="1" fontId="167" fillId="0" borderId="0" xfId="1" applyNumberFormat="1" applyFont="1" applyFill="1" applyBorder="1" applyAlignment="1">
      <alignment horizontal="center" vertical="center"/>
    </xf>
    <xf numFmtId="0" fontId="167" fillId="28" borderId="42" xfId="0" applyFont="1" applyFill="1" applyBorder="1" applyAlignment="1">
      <alignment horizontal="center" vertical="center"/>
    </xf>
    <xf numFmtId="0" fontId="171" fillId="3" borderId="2" xfId="0" applyFont="1" applyFill="1" applyBorder="1" applyAlignment="1">
      <alignment horizontal="center" vertical="center"/>
    </xf>
    <xf numFmtId="0" fontId="57" fillId="0" borderId="0" xfId="0" applyFont="1" applyAlignment="1">
      <alignment horizontal="left" vertical="top"/>
    </xf>
    <xf numFmtId="0" fontId="57" fillId="0" borderId="2" xfId="0" applyFont="1" applyBorder="1" applyAlignment="1">
      <alignment horizontal="left" vertical="top"/>
    </xf>
    <xf numFmtId="0" fontId="57" fillId="9" borderId="2" xfId="0" applyFont="1" applyFill="1" applyBorder="1" applyAlignment="1">
      <alignment horizontal="left" vertical="top"/>
    </xf>
    <xf numFmtId="14" fontId="57" fillId="0" borderId="2" xfId="0" applyNumberFormat="1" applyFont="1" applyBorder="1" applyAlignment="1">
      <alignment horizontal="left" vertical="top" wrapText="1"/>
    </xf>
    <xf numFmtId="0" fontId="57" fillId="19" borderId="2" xfId="0" applyFont="1" applyFill="1" applyBorder="1" applyAlignment="1">
      <alignment horizontal="left" vertical="top"/>
    </xf>
    <xf numFmtId="14" fontId="57" fillId="0" borderId="2" xfId="0" applyNumberFormat="1" applyFont="1" applyBorder="1"/>
    <xf numFmtId="14" fontId="57" fillId="0" borderId="2" xfId="0" applyNumberFormat="1" applyFont="1" applyBorder="1" applyAlignment="1">
      <alignment wrapText="1"/>
    </xf>
    <xf numFmtId="0" fontId="57" fillId="19" borderId="2" xfId="0" applyFont="1" applyFill="1" applyBorder="1" applyAlignment="1">
      <alignment horizontal="center"/>
    </xf>
    <xf numFmtId="0" fontId="57" fillId="0" borderId="2" xfId="0" applyFont="1" applyBorder="1" applyAlignment="1">
      <alignment horizontal="center"/>
    </xf>
    <xf numFmtId="0" fontId="0" fillId="3" borderId="2" xfId="0" applyFill="1" applyBorder="1"/>
    <xf numFmtId="0" fontId="90" fillId="3" borderId="2" xfId="0" applyFont="1" applyFill="1" applyBorder="1" applyAlignment="1">
      <alignment horizontal="center" vertical="center"/>
    </xf>
    <xf numFmtId="0" fontId="90" fillId="3" borderId="2" xfId="0" applyFont="1" applyFill="1" applyBorder="1" applyAlignment="1">
      <alignment horizontal="center" vertical="center" wrapText="1"/>
    </xf>
    <xf numFmtId="0" fontId="119" fillId="3" borderId="2" xfId="0" applyFont="1" applyFill="1" applyBorder="1" applyAlignment="1">
      <alignment horizontal="center" vertical="center"/>
    </xf>
    <xf numFmtId="0" fontId="116" fillId="3" borderId="2" xfId="0" applyFont="1" applyFill="1" applyBorder="1" applyAlignment="1">
      <alignment horizontal="left" vertical="center"/>
    </xf>
    <xf numFmtId="169" fontId="116" fillId="3" borderId="2" xfId="0" applyNumberFormat="1" applyFont="1" applyFill="1" applyBorder="1" applyAlignment="1">
      <alignment horizontal="center" vertical="center" wrapText="1"/>
    </xf>
    <xf numFmtId="0" fontId="116" fillId="3" borderId="2" xfId="0" applyFont="1" applyFill="1" applyBorder="1" applyAlignment="1">
      <alignment horizontal="center" vertical="center" wrapText="1"/>
    </xf>
    <xf numFmtId="0" fontId="116" fillId="3" borderId="2" xfId="0" applyFont="1" applyFill="1" applyBorder="1" applyAlignment="1">
      <alignment horizontal="left" vertical="center" wrapText="1"/>
    </xf>
    <xf numFmtId="0" fontId="119" fillId="3" borderId="2" xfId="0" applyFont="1" applyFill="1" applyBorder="1" applyAlignment="1">
      <alignment horizontal="left" vertical="center"/>
    </xf>
    <xf numFmtId="0" fontId="119" fillId="3" borderId="2" xfId="0" applyFont="1" applyFill="1" applyBorder="1" applyAlignment="1">
      <alignment horizontal="center" vertical="center" wrapText="1"/>
    </xf>
    <xf numFmtId="0" fontId="119" fillId="3" borderId="2" xfId="0" applyFont="1" applyFill="1" applyBorder="1" applyAlignment="1">
      <alignment horizontal="left" vertical="center" wrapText="1"/>
    </xf>
    <xf numFmtId="169" fontId="119" fillId="3" borderId="2" xfId="0" applyNumberFormat="1" applyFont="1" applyFill="1" applyBorder="1" applyAlignment="1">
      <alignment horizontal="center" vertical="center"/>
    </xf>
    <xf numFmtId="14" fontId="119"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116" fillId="3" borderId="2" xfId="0" applyFont="1" applyFill="1" applyBorder="1" applyAlignment="1">
      <alignment horizontal="center" vertical="center"/>
    </xf>
    <xf numFmtId="14" fontId="116" fillId="3" borderId="2" xfId="0" applyNumberFormat="1" applyFont="1" applyFill="1" applyBorder="1" applyAlignment="1">
      <alignment horizontal="center" vertical="center"/>
    </xf>
    <xf numFmtId="0" fontId="119" fillId="3" borderId="46" xfId="0" applyFont="1" applyFill="1" applyBorder="1" applyAlignment="1">
      <alignment horizontal="left" vertical="center" wrapText="1"/>
    </xf>
    <xf numFmtId="169" fontId="79" fillId="3" borderId="2" xfId="0" applyNumberFormat="1" applyFont="1" applyFill="1" applyBorder="1" applyAlignment="1">
      <alignment horizontal="center" vertical="center"/>
    </xf>
    <xf numFmtId="0" fontId="78"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116" fillId="0" borderId="2" xfId="0" applyNumberFormat="1" applyFont="1" applyBorder="1" applyAlignment="1">
      <alignment horizontal="center" vertical="center"/>
    </xf>
    <xf numFmtId="14" fontId="90"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119"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116" fillId="3" borderId="3" xfId="0" applyFont="1" applyFill="1" applyBorder="1" applyAlignment="1">
      <alignment horizontal="left" vertical="center"/>
    </xf>
    <xf numFmtId="0" fontId="116" fillId="3" borderId="3" xfId="0" applyFont="1" applyFill="1" applyBorder="1" applyAlignment="1">
      <alignment horizontal="center" vertical="center"/>
    </xf>
    <xf numFmtId="0" fontId="116" fillId="3" borderId="28" xfId="0" applyFont="1" applyFill="1" applyBorder="1" applyAlignment="1">
      <alignment horizontal="left" vertical="center"/>
    </xf>
    <xf numFmtId="0" fontId="84" fillId="3" borderId="2" xfId="0" applyFont="1" applyFill="1" applyBorder="1" applyAlignment="1">
      <alignment horizontal="center"/>
    </xf>
    <xf numFmtId="173" fontId="84" fillId="3" borderId="2" xfId="0" applyNumberFormat="1" applyFont="1" applyFill="1" applyBorder="1" applyAlignment="1">
      <alignment horizontal="center" vertical="center"/>
    </xf>
    <xf numFmtId="173" fontId="84" fillId="3" borderId="2" xfId="0" applyNumberFormat="1" applyFont="1" applyFill="1" applyBorder="1" applyAlignment="1">
      <alignment horizontal="center"/>
    </xf>
    <xf numFmtId="0" fontId="84" fillId="3" borderId="2" xfId="0" applyFont="1" applyFill="1" applyBorder="1" applyAlignment="1">
      <alignment horizontal="center" vertical="center"/>
    </xf>
    <xf numFmtId="0" fontId="172" fillId="29" borderId="2" xfId="0" applyFont="1" applyFill="1" applyBorder="1" applyAlignment="1">
      <alignment vertical="center"/>
    </xf>
    <xf numFmtId="0" fontId="172" fillId="0" borderId="0" xfId="0" applyFont="1" applyAlignment="1">
      <alignment vertical="center"/>
    </xf>
    <xf numFmtId="0" fontId="168" fillId="0" borderId="0" xfId="0" applyFont="1" applyAlignment="1">
      <alignment vertical="center" wrapText="1"/>
    </xf>
    <xf numFmtId="14" fontId="117" fillId="0" borderId="2" xfId="0" applyNumberFormat="1" applyFont="1" applyBorder="1" applyAlignment="1">
      <alignment horizontal="right" vertical="top"/>
    </xf>
    <xf numFmtId="0" fontId="117" fillId="0" borderId="3" xfId="0" applyFont="1" applyBorder="1" applyAlignment="1">
      <alignment horizontal="left" vertical="top"/>
    </xf>
    <xf numFmtId="0" fontId="117" fillId="0" borderId="3" xfId="0" applyFont="1" applyBorder="1" applyAlignment="1">
      <alignment horizontal="left"/>
    </xf>
    <xf numFmtId="14" fontId="117" fillId="0" borderId="3" xfId="0" applyNumberFormat="1" applyFont="1" applyBorder="1"/>
    <xf numFmtId="0" fontId="56" fillId="0" borderId="2" xfId="0" applyFont="1" applyBorder="1" applyAlignment="1">
      <alignment horizontal="center"/>
    </xf>
    <xf numFmtId="14" fontId="56" fillId="0" borderId="2" xfId="0" applyNumberFormat="1" applyFont="1" applyBorder="1" applyAlignment="1">
      <alignment horizontal="center" vertical="center"/>
    </xf>
    <xf numFmtId="169" fontId="183" fillId="0" borderId="2" xfId="14" applyNumberFormat="1" applyFont="1" applyBorder="1" applyAlignment="1">
      <alignment horizontal="center" vertical="center" wrapText="1"/>
    </xf>
    <xf numFmtId="0" fontId="117" fillId="0" borderId="2" xfId="0" applyFont="1" applyBorder="1" applyAlignment="1">
      <alignment horizontal="center" vertical="top"/>
    </xf>
    <xf numFmtId="0" fontId="117" fillId="0" borderId="3" xfId="0" applyFont="1" applyBorder="1" applyAlignment="1">
      <alignment horizontal="center" vertical="center"/>
    </xf>
    <xf numFmtId="0" fontId="117" fillId="0" borderId="3" xfId="0" applyFont="1" applyBorder="1" applyAlignment="1">
      <alignment horizontal="center"/>
    </xf>
    <xf numFmtId="0" fontId="117" fillId="3" borderId="0" xfId="0" applyFont="1" applyFill="1" applyAlignment="1">
      <alignment horizontal="center" vertical="center"/>
    </xf>
    <xf numFmtId="0" fontId="119" fillId="0" borderId="2" xfId="0" applyFont="1" applyBorder="1" applyAlignment="1">
      <alignment vertical="top"/>
    </xf>
    <xf numFmtId="0" fontId="119" fillId="0" borderId="2" xfId="0" applyFont="1" applyBorder="1" applyAlignment="1">
      <alignment horizontal="left" vertical="top"/>
    </xf>
    <xf numFmtId="0" fontId="184" fillId="3" borderId="2" xfId="0" applyFont="1" applyFill="1" applyBorder="1" applyAlignment="1">
      <alignment horizontal="center" vertical="center"/>
    </xf>
    <xf numFmtId="0" fontId="55" fillId="0" borderId="0" xfId="0" applyFont="1"/>
    <xf numFmtId="0" fontId="117" fillId="3" borderId="3" xfId="0" applyFont="1" applyFill="1" applyBorder="1" applyAlignment="1">
      <alignment horizontal="left"/>
    </xf>
    <xf numFmtId="0" fontId="55" fillId="0" borderId="2" xfId="0" applyFont="1" applyBorder="1"/>
    <xf numFmtId="0" fontId="54" fillId="0" borderId="0" xfId="0" applyFont="1"/>
    <xf numFmtId="0" fontId="54" fillId="0" borderId="2" xfId="0" applyFont="1" applyBorder="1"/>
    <xf numFmtId="0" fontId="172" fillId="29" borderId="25" xfId="0" applyFont="1" applyFill="1" applyBorder="1" applyAlignment="1">
      <alignment vertical="center"/>
    </xf>
    <xf numFmtId="0" fontId="162" fillId="0" borderId="0" xfId="0" applyFont="1" applyAlignment="1">
      <alignment vertical="center"/>
    </xf>
    <xf numFmtId="0" fontId="185" fillId="0" borderId="0" xfId="0" applyFont="1"/>
    <xf numFmtId="0" fontId="53" fillId="0" borderId="0" xfId="0" applyFont="1"/>
    <xf numFmtId="1" fontId="166" fillId="19" borderId="42" xfId="1" applyNumberFormat="1" applyFont="1" applyFill="1" applyBorder="1" applyAlignment="1">
      <alignment horizontal="center" vertical="center"/>
    </xf>
    <xf numFmtId="0" fontId="52" fillId="0" borderId="0" xfId="0" applyFont="1"/>
    <xf numFmtId="0" fontId="180" fillId="0" borderId="42" xfId="0" applyFont="1" applyBorder="1" applyAlignment="1">
      <alignment horizontal="center" vertical="center"/>
    </xf>
    <xf numFmtId="168" fontId="156" fillId="0" borderId="0" xfId="0" applyNumberFormat="1" applyFont="1" applyAlignment="1">
      <alignment horizontal="center" vertical="center"/>
    </xf>
    <xf numFmtId="168" fontId="156" fillId="19" borderId="0" xfId="0" applyNumberFormat="1" applyFont="1" applyFill="1" applyAlignment="1">
      <alignment horizontal="center" vertical="center"/>
    </xf>
    <xf numFmtId="0" fontId="172" fillId="29" borderId="0" xfId="0" applyFont="1" applyFill="1" applyAlignment="1">
      <alignment horizontal="center" vertical="center"/>
    </xf>
    <xf numFmtId="0" fontId="172" fillId="3" borderId="0" xfId="0" applyFont="1" applyFill="1" applyAlignment="1">
      <alignment horizontal="center" vertical="center"/>
    </xf>
    <xf numFmtId="0" fontId="176" fillId="0" borderId="0" xfId="0" applyFont="1" applyAlignment="1">
      <alignment horizontal="left" vertical="center" wrapText="1"/>
    </xf>
    <xf numFmtId="0" fontId="172" fillId="17" borderId="0" xfId="0" applyFont="1" applyFill="1" applyAlignment="1">
      <alignment horizontal="center" vertical="center"/>
    </xf>
    <xf numFmtId="0" fontId="51" fillId="0" borderId="2" xfId="0" applyFont="1" applyBorder="1"/>
    <xf numFmtId="0" fontId="173" fillId="0" borderId="0" xfId="0" applyFont="1" applyAlignment="1">
      <alignment horizontal="center"/>
    </xf>
    <xf numFmtId="14" fontId="117" fillId="9" borderId="2" xfId="0" applyNumberFormat="1" applyFont="1" applyFill="1" applyBorder="1"/>
    <xf numFmtId="14" fontId="117" fillId="9" borderId="2" xfId="0" applyNumberFormat="1" applyFont="1" applyFill="1" applyBorder="1" applyAlignment="1">
      <alignment horizontal="right"/>
    </xf>
    <xf numFmtId="14" fontId="117" fillId="9" borderId="3" xfId="0" applyNumberFormat="1" applyFont="1" applyFill="1" applyBorder="1" applyAlignment="1">
      <alignment vertical="center"/>
    </xf>
    <xf numFmtId="14" fontId="117" fillId="9" borderId="2" xfId="0" applyNumberFormat="1" applyFont="1" applyFill="1" applyBorder="1" applyAlignment="1">
      <alignment horizontal="right" vertical="top"/>
    </xf>
    <xf numFmtId="0" fontId="50" fillId="0" borderId="2" xfId="0" applyFont="1" applyBorder="1" applyAlignment="1">
      <alignment horizontal="center"/>
    </xf>
    <xf numFmtId="0" fontId="119" fillId="0" borderId="2" xfId="0" applyFont="1" applyBorder="1" applyAlignment="1">
      <alignment horizontal="left"/>
    </xf>
    <xf numFmtId="14" fontId="117" fillId="0" borderId="3" xfId="0" applyNumberFormat="1" applyFont="1" applyBorder="1" applyAlignment="1">
      <alignment horizontal="right" vertical="top"/>
    </xf>
    <xf numFmtId="0" fontId="119" fillId="0" borderId="3" xfId="0" applyFont="1" applyBorder="1" applyAlignment="1">
      <alignment horizontal="left" vertical="top"/>
    </xf>
    <xf numFmtId="0" fontId="117" fillId="0" borderId="2" xfId="0" applyFont="1" applyBorder="1" applyAlignment="1">
      <alignment horizontal="left" vertical="top" wrapText="1"/>
    </xf>
    <xf numFmtId="0" fontId="96" fillId="9" borderId="69" xfId="0" applyFont="1" applyFill="1" applyBorder="1" applyAlignment="1">
      <alignment horizontal="center" vertical="center"/>
    </xf>
    <xf numFmtId="0" fontId="96" fillId="9" borderId="70" xfId="0" applyFont="1" applyFill="1" applyBorder="1" applyAlignment="1">
      <alignment horizontal="center" vertical="center" wrapText="1"/>
    </xf>
    <xf numFmtId="0" fontId="96" fillId="9" borderId="71" xfId="0" applyFont="1" applyFill="1" applyBorder="1" applyAlignment="1">
      <alignment horizontal="center" vertical="center"/>
    </xf>
    <xf numFmtId="0" fontId="119" fillId="3" borderId="6" xfId="0" applyFont="1" applyFill="1" applyBorder="1" applyAlignment="1">
      <alignment horizontal="center" vertical="center"/>
    </xf>
    <xf numFmtId="0" fontId="119" fillId="3" borderId="7" xfId="0" applyFont="1" applyFill="1" applyBorder="1" applyAlignment="1">
      <alignment horizontal="left" vertical="center"/>
    </xf>
    <xf numFmtId="169" fontId="119" fillId="3" borderId="7" xfId="0" applyNumberFormat="1" applyFont="1" applyFill="1" applyBorder="1" applyAlignment="1">
      <alignment horizontal="center" vertical="center" wrapText="1"/>
    </xf>
    <xf numFmtId="14" fontId="119" fillId="3" borderId="7" xfId="0" applyNumberFormat="1" applyFont="1" applyFill="1" applyBorder="1" applyAlignment="1">
      <alignment horizontal="center" vertical="center"/>
    </xf>
    <xf numFmtId="0" fontId="119" fillId="3" borderId="13" xfId="0" applyFont="1" applyFill="1" applyBorder="1" applyAlignment="1">
      <alignment horizontal="left" vertical="center" wrapText="1"/>
    </xf>
    <xf numFmtId="0" fontId="119" fillId="3" borderId="8" xfId="0" applyFont="1" applyFill="1" applyBorder="1" applyAlignment="1">
      <alignment horizontal="center" vertical="center"/>
    </xf>
    <xf numFmtId="0" fontId="119" fillId="3" borderId="14" xfId="0" applyFont="1" applyFill="1" applyBorder="1" applyAlignment="1">
      <alignment horizontal="left" vertical="center" wrapText="1"/>
    </xf>
    <xf numFmtId="14" fontId="119" fillId="3" borderId="2" xfId="0" applyNumberFormat="1" applyFont="1" applyFill="1" applyBorder="1" applyAlignment="1">
      <alignment horizontal="left" vertical="center"/>
    </xf>
    <xf numFmtId="0" fontId="0" fillId="0" borderId="0" xfId="0" applyAlignment="1">
      <alignment horizontal="left" vertical="center"/>
    </xf>
    <xf numFmtId="14" fontId="116" fillId="3" borderId="2" xfId="0" applyNumberFormat="1" applyFont="1" applyFill="1" applyBorder="1" applyAlignment="1">
      <alignment horizontal="left" vertical="center"/>
    </xf>
    <xf numFmtId="169" fontId="78" fillId="3" borderId="2" xfId="0" applyNumberFormat="1" applyFont="1" applyFill="1" applyBorder="1" applyAlignment="1">
      <alignment horizontal="center" vertical="center"/>
    </xf>
    <xf numFmtId="0" fontId="119" fillId="3" borderId="10" xfId="0" applyFont="1" applyFill="1" applyBorder="1" applyAlignment="1">
      <alignment horizontal="center" vertical="center"/>
    </xf>
    <xf numFmtId="0" fontId="119" fillId="3" borderId="11" xfId="0" applyFont="1" applyFill="1" applyBorder="1" applyAlignment="1">
      <alignment horizontal="left" vertical="center"/>
    </xf>
    <xf numFmtId="169" fontId="119" fillId="0" borderId="11" xfId="0" applyNumberFormat="1" applyFont="1" applyBorder="1" applyAlignment="1">
      <alignment horizontal="center" vertical="center"/>
    </xf>
    <xf numFmtId="14" fontId="119" fillId="3" borderId="11" xfId="0" applyNumberFormat="1" applyFont="1" applyFill="1" applyBorder="1" applyAlignment="1">
      <alignment horizontal="center" vertical="center"/>
    </xf>
    <xf numFmtId="14" fontId="0" fillId="3" borderId="11" xfId="0" applyNumberFormat="1" applyFill="1" applyBorder="1" applyAlignment="1">
      <alignment horizontal="left" vertical="center"/>
    </xf>
    <xf numFmtId="0" fontId="119" fillId="3" borderId="16" xfId="0" applyFont="1" applyFill="1" applyBorder="1" applyAlignment="1">
      <alignment horizontal="left" vertical="center" wrapText="1"/>
    </xf>
    <xf numFmtId="0" fontId="0" fillId="3" borderId="51" xfId="0" applyFill="1" applyBorder="1" applyAlignment="1">
      <alignment horizontal="center" vertical="top"/>
    </xf>
    <xf numFmtId="0" fontId="90" fillId="3" borderId="70" xfId="0" applyFont="1" applyFill="1" applyBorder="1" applyAlignment="1">
      <alignment horizontal="center" vertical="center"/>
    </xf>
    <xf numFmtId="14" fontId="117" fillId="0" borderId="3" xfId="0" applyNumberFormat="1" applyFont="1" applyBorder="1" applyAlignment="1">
      <alignment horizontal="right"/>
    </xf>
    <xf numFmtId="0" fontId="119" fillId="0" borderId="3" xfId="0" applyFont="1" applyBorder="1" applyAlignment="1">
      <alignment horizontal="left"/>
    </xf>
    <xf numFmtId="0" fontId="49" fillId="0" borderId="0" xfId="0" applyFont="1"/>
    <xf numFmtId="0" fontId="119" fillId="9" borderId="2" xfId="0" applyFont="1" applyFill="1" applyBorder="1" applyAlignment="1">
      <alignment horizontal="left" vertical="top"/>
    </xf>
    <xf numFmtId="0" fontId="117" fillId="9" borderId="3" xfId="0" applyFont="1" applyFill="1" applyBorder="1" applyAlignment="1">
      <alignment horizontal="left"/>
    </xf>
    <xf numFmtId="0" fontId="186" fillId="0" borderId="2" xfId="0" applyFont="1" applyBorder="1" applyAlignment="1" applyProtection="1">
      <alignment horizontal="center" vertical="center" wrapText="1"/>
      <protection hidden="1"/>
    </xf>
    <xf numFmtId="0" fontId="186" fillId="0" borderId="2" xfId="0" applyFont="1" applyBorder="1" applyAlignment="1" applyProtection="1">
      <alignment vertical="center" wrapText="1"/>
      <protection hidden="1"/>
    </xf>
    <xf numFmtId="169" fontId="186" fillId="0" borderId="2" xfId="0" applyNumberFormat="1" applyFont="1" applyBorder="1" applyAlignment="1" applyProtection="1">
      <alignment horizontal="center" vertical="center"/>
      <protection hidden="1"/>
    </xf>
    <xf numFmtId="169" fontId="186" fillId="0" borderId="2" xfId="0" applyNumberFormat="1" applyFont="1" applyBorder="1" applyAlignment="1" applyProtection="1">
      <alignment vertical="center"/>
      <protection hidden="1"/>
    </xf>
    <xf numFmtId="169" fontId="186" fillId="0" borderId="2" xfId="0" applyNumberFormat="1" applyFont="1" applyBorder="1" applyAlignment="1" applyProtection="1">
      <alignment horizontal="center" vertical="center" wrapText="1"/>
      <protection hidden="1"/>
    </xf>
    <xf numFmtId="1" fontId="186" fillId="0" borderId="2" xfId="0" applyNumberFormat="1" applyFont="1" applyBorder="1" applyAlignment="1" applyProtection="1">
      <alignment horizontal="center" vertical="center"/>
      <protection hidden="1"/>
    </xf>
    <xf numFmtId="1" fontId="186" fillId="0" borderId="2" xfId="0" applyNumberFormat="1" applyFont="1" applyBorder="1" applyAlignment="1" applyProtection="1">
      <alignment horizontal="left" vertical="center" wrapText="1"/>
      <protection hidden="1"/>
    </xf>
    <xf numFmtId="0" fontId="186" fillId="5" borderId="2" xfId="0" applyFont="1" applyFill="1" applyBorder="1" applyAlignment="1" applyProtection="1">
      <alignment horizontal="center" vertical="center" wrapText="1"/>
      <protection hidden="1"/>
    </xf>
    <xf numFmtId="0" fontId="186" fillId="5" borderId="2" xfId="0" applyFont="1" applyFill="1" applyBorder="1" applyAlignment="1" applyProtection="1">
      <alignment vertical="center" wrapText="1"/>
      <protection hidden="1"/>
    </xf>
    <xf numFmtId="1" fontId="186" fillId="5" borderId="2" xfId="0" applyNumberFormat="1" applyFont="1" applyFill="1" applyBorder="1" applyAlignment="1" applyProtection="1">
      <alignment horizontal="center" vertical="center"/>
      <protection hidden="1"/>
    </xf>
    <xf numFmtId="1" fontId="186" fillId="5" borderId="2" xfId="0" applyNumberFormat="1" applyFont="1" applyFill="1" applyBorder="1" applyAlignment="1" applyProtection="1">
      <alignment horizontal="center" vertical="center" wrapText="1"/>
      <protection hidden="1"/>
    </xf>
    <xf numFmtId="1" fontId="186" fillId="3" borderId="2" xfId="0" applyNumberFormat="1" applyFont="1" applyFill="1" applyBorder="1" applyAlignment="1" applyProtection="1">
      <alignment horizontal="center" vertical="center"/>
      <protection hidden="1"/>
    </xf>
    <xf numFmtId="0" fontId="187" fillId="0" borderId="2" xfId="0" applyFont="1" applyBorder="1" applyAlignment="1" applyProtection="1">
      <alignment horizontal="center" vertical="center"/>
      <protection hidden="1"/>
    </xf>
    <xf numFmtId="169" fontId="186" fillId="5" borderId="2" xfId="0" applyNumberFormat="1" applyFont="1" applyFill="1" applyBorder="1" applyAlignment="1" applyProtection="1">
      <alignment horizontal="center" vertical="center"/>
      <protection hidden="1"/>
    </xf>
    <xf numFmtId="169" fontId="186" fillId="5" borderId="2" xfId="0" applyNumberFormat="1" applyFont="1" applyFill="1" applyBorder="1" applyAlignment="1" applyProtection="1">
      <alignment horizontal="center" vertical="center" wrapText="1"/>
      <protection hidden="1"/>
    </xf>
    <xf numFmtId="169" fontId="186" fillId="3" borderId="2" xfId="0" applyNumberFormat="1" applyFont="1" applyFill="1" applyBorder="1" applyAlignment="1" applyProtection="1">
      <alignment horizontal="center" vertical="center"/>
      <protection hidden="1"/>
    </xf>
    <xf numFmtId="169" fontId="187" fillId="0" borderId="2" xfId="0" applyNumberFormat="1" applyFont="1" applyBorder="1" applyAlignment="1" applyProtection="1">
      <alignment horizontal="left" vertical="center" wrapText="1"/>
      <protection hidden="1"/>
    </xf>
    <xf numFmtId="0" fontId="119" fillId="0" borderId="0" xfId="0" applyFont="1"/>
    <xf numFmtId="0" fontId="168" fillId="22" borderId="0" xfId="0" applyFont="1" applyFill="1" applyAlignment="1">
      <alignment wrapText="1"/>
    </xf>
    <xf numFmtId="1" fontId="167" fillId="14" borderId="42" xfId="1" applyNumberFormat="1" applyFont="1" applyFill="1" applyBorder="1" applyAlignment="1">
      <alignment horizontal="center" vertical="center"/>
    </xf>
    <xf numFmtId="1" fontId="170" fillId="14" borderId="42" xfId="1" applyNumberFormat="1" applyFont="1" applyFill="1" applyBorder="1" applyAlignment="1">
      <alignment horizontal="center" vertical="center"/>
    </xf>
    <xf numFmtId="0" fontId="172" fillId="29" borderId="33" xfId="0" applyFont="1" applyFill="1" applyBorder="1" applyAlignment="1">
      <alignment horizontal="center" vertical="center"/>
    </xf>
    <xf numFmtId="1" fontId="170" fillId="0" borderId="2" xfId="1" applyNumberFormat="1" applyFont="1" applyFill="1" applyBorder="1" applyAlignment="1">
      <alignment horizontal="center" vertical="center"/>
    </xf>
    <xf numFmtId="0" fontId="167" fillId="0" borderId="2" xfId="0" applyFont="1" applyBorder="1" applyAlignment="1">
      <alignment horizontal="center" vertical="center"/>
    </xf>
    <xf numFmtId="0" fontId="172" fillId="17" borderId="0" xfId="0" applyFont="1" applyFill="1" applyAlignment="1">
      <alignment vertical="center"/>
    </xf>
    <xf numFmtId="0" fontId="178" fillId="0" borderId="0" xfId="0" applyFont="1" applyAlignment="1">
      <alignment vertical="center"/>
    </xf>
    <xf numFmtId="0" fontId="172" fillId="29" borderId="33" xfId="0" applyFont="1" applyFill="1" applyBorder="1" applyAlignment="1">
      <alignment vertical="center"/>
    </xf>
    <xf numFmtId="0" fontId="172" fillId="0" borderId="43" xfId="0" applyFont="1" applyBorder="1" applyAlignment="1">
      <alignment vertical="center"/>
    </xf>
    <xf numFmtId="0" fontId="172" fillId="29" borderId="46" xfId="0" applyFont="1" applyFill="1" applyBorder="1" applyAlignment="1">
      <alignment vertical="center"/>
    </xf>
    <xf numFmtId="0" fontId="172" fillId="3" borderId="46" xfId="0" applyFont="1" applyFill="1" applyBorder="1" applyAlignment="1">
      <alignment vertical="center"/>
    </xf>
    <xf numFmtId="0" fontId="172" fillId="3" borderId="35" xfId="0" applyFont="1" applyFill="1" applyBorder="1" applyAlignment="1">
      <alignment vertical="center"/>
    </xf>
    <xf numFmtId="0" fontId="172" fillId="29" borderId="35" xfId="0" applyFont="1" applyFill="1" applyBorder="1" applyAlignment="1">
      <alignment vertical="center"/>
    </xf>
    <xf numFmtId="0" fontId="172" fillId="3" borderId="20" xfId="0" applyFont="1" applyFill="1" applyBorder="1" applyAlignment="1">
      <alignment vertical="center"/>
    </xf>
    <xf numFmtId="0" fontId="171" fillId="0" borderId="4" xfId="0" applyFont="1" applyBorder="1" applyAlignment="1">
      <alignment horizontal="center" vertical="center"/>
    </xf>
    <xf numFmtId="1" fontId="167" fillId="0" borderId="42" xfId="1" applyNumberFormat="1" applyFont="1" applyFill="1" applyBorder="1" applyAlignment="1">
      <alignment horizontal="center" vertical="center" wrapText="1"/>
    </xf>
    <xf numFmtId="0" fontId="172" fillId="0" borderId="2" xfId="0" applyFont="1" applyBorder="1" applyAlignment="1">
      <alignment vertical="center"/>
    </xf>
    <xf numFmtId="0" fontId="37" fillId="0" borderId="0" xfId="0" applyFont="1"/>
    <xf numFmtId="0" fontId="37" fillId="0" borderId="2" xfId="0" applyFont="1" applyBorder="1"/>
    <xf numFmtId="0" fontId="90" fillId="0" borderId="0" xfId="0" applyFont="1"/>
    <xf numFmtId="0" fontId="90" fillId="0" borderId="2" xfId="0" applyFont="1" applyBorder="1"/>
    <xf numFmtId="169" fontId="78" fillId="0" borderId="2" xfId="0" applyNumberFormat="1" applyFont="1" applyBorder="1" applyAlignment="1">
      <alignment horizontal="center" vertical="center"/>
    </xf>
    <xf numFmtId="0" fontId="37" fillId="0" borderId="0" xfId="0" applyFont="1" applyAlignment="1">
      <alignment horizontal="center"/>
    </xf>
    <xf numFmtId="0" fontId="90" fillId="0" borderId="2" xfId="0" applyFont="1" applyBorder="1" applyAlignment="1">
      <alignment vertical="center"/>
    </xf>
    <xf numFmtId="0" fontId="172" fillId="29" borderId="28" xfId="0" applyFont="1" applyFill="1" applyBorder="1" applyAlignment="1">
      <alignment vertical="center"/>
    </xf>
    <xf numFmtId="1" fontId="195" fillId="0" borderId="2" xfId="0" applyNumberFormat="1" applyFont="1" applyBorder="1" applyAlignment="1" applyProtection="1">
      <alignment horizontal="left" vertical="center" wrapText="1"/>
      <protection hidden="1"/>
    </xf>
    <xf numFmtId="1" fontId="181" fillId="0" borderId="42" xfId="1" applyNumberFormat="1" applyFont="1" applyFill="1" applyBorder="1" applyAlignment="1">
      <alignment horizontal="center" vertical="center"/>
    </xf>
    <xf numFmtId="0" fontId="196" fillId="32" borderId="2" xfId="0" applyFont="1" applyFill="1" applyBorder="1" applyAlignment="1">
      <alignment horizontal="center" vertical="center"/>
    </xf>
    <xf numFmtId="0" fontId="196" fillId="0" borderId="0" xfId="0" applyFont="1" applyAlignment="1">
      <alignment vertical="top"/>
    </xf>
    <xf numFmtId="0" fontId="196" fillId="0" borderId="0" xfId="0" applyFont="1" applyAlignment="1">
      <alignment horizontal="left" vertical="top"/>
    </xf>
    <xf numFmtId="14" fontId="196" fillId="0" borderId="0" xfId="0" applyNumberFormat="1" applyFont="1" applyAlignment="1">
      <alignment vertical="top"/>
    </xf>
    <xf numFmtId="14" fontId="0" fillId="19" borderId="2" xfId="0" applyNumberFormat="1" applyFill="1" applyBorder="1" applyAlignment="1">
      <alignment horizontal="center" vertical="center"/>
    </xf>
    <xf numFmtId="0" fontId="56" fillId="0" borderId="2" xfId="0" applyFont="1" applyBorder="1" applyAlignment="1">
      <alignment horizontal="center" vertical="center"/>
    </xf>
    <xf numFmtId="0" fontId="83" fillId="0" borderId="0" xfId="0" applyFont="1" applyAlignment="1">
      <alignment horizontal="center" vertical="center"/>
    </xf>
    <xf numFmtId="0" fontId="83" fillId="3" borderId="0" xfId="0" applyFont="1" applyFill="1" applyAlignment="1">
      <alignment horizontal="center" vertical="center" wrapText="1"/>
    </xf>
    <xf numFmtId="3" fontId="118"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48" fillId="0" borderId="2" xfId="0" applyFont="1" applyBorder="1" applyAlignment="1">
      <alignment horizontal="center" vertical="center"/>
    </xf>
    <xf numFmtId="0" fontId="47" fillId="0" borderId="2" xfId="0" applyFont="1" applyBorder="1" applyAlignment="1">
      <alignment horizontal="center" vertical="center"/>
    </xf>
    <xf numFmtId="0" fontId="46" fillId="0" borderId="2" xfId="0" applyFont="1" applyBorder="1" applyAlignment="1">
      <alignment horizontal="center" vertical="center"/>
    </xf>
    <xf numFmtId="0" fontId="45" fillId="0" borderId="0" xfId="0" applyFont="1" applyAlignment="1">
      <alignment horizontal="center" vertical="center"/>
    </xf>
    <xf numFmtId="0" fontId="44" fillId="19" borderId="0" xfId="0" applyFont="1" applyFill="1" applyAlignment="1">
      <alignment horizontal="center" vertical="center"/>
    </xf>
    <xf numFmtId="0" fontId="43" fillId="0" borderId="0" xfId="0" applyFont="1" applyAlignment="1">
      <alignment horizontal="center" vertical="center"/>
    </xf>
    <xf numFmtId="14" fontId="42" fillId="0" borderId="0" xfId="0" applyNumberFormat="1" applyFont="1" applyAlignment="1">
      <alignment horizontal="center" vertical="center"/>
    </xf>
    <xf numFmtId="0" fontId="42" fillId="0" borderId="0" xfId="0" applyFont="1" applyAlignment="1">
      <alignment horizontal="center" vertical="center"/>
    </xf>
    <xf numFmtId="0" fontId="41" fillId="19" borderId="0" xfId="0" applyFont="1" applyFill="1" applyAlignment="1">
      <alignment horizontal="center" vertical="center"/>
    </xf>
    <xf numFmtId="0" fontId="40" fillId="9" borderId="0" xfId="0" applyFont="1" applyFill="1" applyAlignment="1">
      <alignment horizontal="center" vertical="center"/>
    </xf>
    <xf numFmtId="0" fontId="40" fillId="0" borderId="0" xfId="0" applyFont="1" applyAlignment="1">
      <alignment horizontal="center" vertical="center"/>
    </xf>
    <xf numFmtId="0" fontId="40" fillId="19" borderId="0" xfId="0" applyFont="1" applyFill="1" applyAlignment="1">
      <alignment horizontal="center" vertical="center"/>
    </xf>
    <xf numFmtId="14" fontId="0" fillId="0" borderId="0" xfId="0" applyNumberFormat="1" applyAlignment="1">
      <alignment horizontal="center" vertical="center"/>
    </xf>
    <xf numFmtId="0" fontId="41" fillId="9" borderId="0" xfId="0" applyFont="1" applyFill="1" applyAlignment="1">
      <alignment horizontal="center" vertical="center"/>
    </xf>
    <xf numFmtId="14" fontId="41" fillId="0" borderId="0" xfId="0" applyNumberFormat="1" applyFont="1" applyAlignment="1">
      <alignment horizontal="center" vertical="center"/>
    </xf>
    <xf numFmtId="0" fontId="39" fillId="19" borderId="0" xfId="0" applyFont="1" applyFill="1" applyAlignment="1">
      <alignment horizontal="center" vertical="center"/>
    </xf>
    <xf numFmtId="14" fontId="0" fillId="14" borderId="0" xfId="0" applyNumberFormat="1" applyFill="1" applyAlignment="1">
      <alignment horizontal="center" vertical="center"/>
    </xf>
    <xf numFmtId="0" fontId="0" fillId="19" borderId="0" xfId="0" applyFill="1" applyAlignment="1">
      <alignment horizontal="center" vertical="center"/>
    </xf>
    <xf numFmtId="0" fontId="36" fillId="0" borderId="0" xfId="0" applyFont="1" applyAlignment="1">
      <alignment horizontal="center" vertical="center"/>
    </xf>
    <xf numFmtId="0" fontId="36" fillId="9" borderId="0" xfId="0" applyFont="1" applyFill="1" applyAlignment="1">
      <alignment horizontal="center" vertical="center"/>
    </xf>
    <xf numFmtId="14" fontId="36" fillId="0" borderId="0" xfId="0" applyNumberFormat="1" applyFont="1" applyAlignment="1">
      <alignment horizontal="center" vertical="center"/>
    </xf>
    <xf numFmtId="0" fontId="192" fillId="0" borderId="0" xfId="50" applyAlignment="1">
      <alignment horizontal="center" vertical="center"/>
    </xf>
    <xf numFmtId="0" fontId="136" fillId="0" borderId="2" xfId="0" applyFont="1" applyBorder="1" applyAlignment="1">
      <alignment horizontal="center" vertical="center" wrapText="1"/>
    </xf>
    <xf numFmtId="0" fontId="47" fillId="0" borderId="0" xfId="0" applyFont="1" applyAlignment="1">
      <alignment horizontal="center" vertical="center"/>
    </xf>
    <xf numFmtId="0" fontId="48" fillId="0" borderId="0" xfId="0" applyFont="1" applyAlignment="1">
      <alignment horizontal="center" vertical="center"/>
    </xf>
    <xf numFmtId="0" fontId="193" fillId="0" borderId="0" xfId="0" applyFont="1" applyAlignment="1">
      <alignment horizontal="center" vertical="center"/>
    </xf>
    <xf numFmtId="43" fontId="193" fillId="0" borderId="0" xfId="0" applyNumberFormat="1" applyFont="1" applyAlignment="1">
      <alignment horizontal="center" vertical="center"/>
    </xf>
    <xf numFmtId="0" fontId="35" fillId="0" borderId="0" xfId="0" applyFont="1" applyAlignment="1">
      <alignment horizontal="center" vertical="center"/>
    </xf>
    <xf numFmtId="0" fontId="36" fillId="0" borderId="0" xfId="0" applyFont="1" applyAlignment="1">
      <alignment horizontal="center" vertical="center" wrapText="1"/>
    </xf>
    <xf numFmtId="0" fontId="194" fillId="0" borderId="0" xfId="0" applyFont="1" applyAlignment="1">
      <alignment horizontal="center" vertical="center"/>
    </xf>
    <xf numFmtId="43" fontId="194" fillId="0" borderId="0" xfId="0" applyNumberFormat="1" applyFont="1" applyAlignment="1">
      <alignment horizontal="center" vertical="center"/>
    </xf>
    <xf numFmtId="0" fontId="33" fillId="0" borderId="0" xfId="0" applyFont="1" applyAlignment="1">
      <alignment horizontal="center" vertical="center"/>
    </xf>
    <xf numFmtId="0" fontId="34" fillId="0" borderId="0" xfId="0" applyFont="1" applyAlignment="1">
      <alignment horizontal="center" vertical="center"/>
    </xf>
    <xf numFmtId="0" fontId="32" fillId="0" borderId="0" xfId="0" applyFont="1" applyAlignment="1">
      <alignment horizontal="center" vertical="center"/>
    </xf>
    <xf numFmtId="0" fontId="31" fillId="0" borderId="0" xfId="0" applyFont="1" applyAlignment="1">
      <alignment horizontal="center" vertical="center"/>
    </xf>
    <xf numFmtId="0" fontId="30" fillId="0" borderId="0" xfId="0" applyFont="1" applyAlignment="1">
      <alignment horizontal="center" vertical="center"/>
    </xf>
    <xf numFmtId="0" fontId="29" fillId="0" borderId="0" xfId="0" applyFont="1" applyAlignment="1">
      <alignment horizontal="center" vertical="center"/>
    </xf>
    <xf numFmtId="0" fontId="196" fillId="0" borderId="0" xfId="0" applyFont="1" applyAlignment="1">
      <alignment horizontal="left" vertical="top" wrapText="1"/>
    </xf>
    <xf numFmtId="0" fontId="193" fillId="0" borderId="28" xfId="0" applyFont="1" applyBorder="1" applyAlignment="1">
      <alignment horizontal="center" vertical="center" wrapText="1"/>
    </xf>
    <xf numFmtId="0" fontId="116" fillId="0" borderId="9" xfId="0" applyFont="1" applyBorder="1" applyAlignment="1">
      <alignment horizontal="center" vertical="center" wrapText="1"/>
    </xf>
    <xf numFmtId="0" fontId="90"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90" fillId="0" borderId="2" xfId="0" applyNumberFormat="1" applyFont="1" applyBorder="1" applyAlignment="1">
      <alignment horizontal="center" vertical="center"/>
    </xf>
    <xf numFmtId="0" fontId="193" fillId="9" borderId="0" xfId="0" applyFont="1" applyFill="1" applyAlignment="1">
      <alignment horizontal="center" vertical="center"/>
    </xf>
    <xf numFmtId="0" fontId="26" fillId="0" borderId="0" xfId="0" applyFont="1" applyAlignment="1">
      <alignment horizontal="center" vertical="center"/>
    </xf>
    <xf numFmtId="14" fontId="25" fillId="0" borderId="2" xfId="0" applyNumberFormat="1" applyFont="1" applyBorder="1" applyAlignment="1">
      <alignment horizontal="center" vertical="center"/>
    </xf>
    <xf numFmtId="0" fontId="25" fillId="0" borderId="0" xfId="0" applyFont="1" applyAlignment="1">
      <alignment horizontal="center" vertical="center"/>
    </xf>
    <xf numFmtId="0" fontId="24" fillId="0" borderId="8" xfId="0" applyFont="1" applyBorder="1" applyAlignment="1">
      <alignment horizontal="center" vertical="center"/>
    </xf>
    <xf numFmtId="0" fontId="24" fillId="0" borderId="2" xfId="0" applyFont="1" applyBorder="1" applyAlignment="1">
      <alignment horizontal="center" vertical="center"/>
    </xf>
    <xf numFmtId="14" fontId="24" fillId="0" borderId="2" xfId="0" applyNumberFormat="1" applyFont="1" applyBorder="1" applyAlignment="1">
      <alignment horizontal="center" vertical="center"/>
    </xf>
    <xf numFmtId="14" fontId="24" fillId="0" borderId="14" xfId="0" applyNumberFormat="1" applyFont="1" applyBorder="1" applyAlignment="1">
      <alignment horizontal="center" vertical="center"/>
    </xf>
    <xf numFmtId="0" fontId="115" fillId="0" borderId="2" xfId="0" applyFont="1" applyBorder="1" applyAlignment="1">
      <alignment horizontal="center" vertical="center" wrapText="1"/>
    </xf>
    <xf numFmtId="0" fontId="24" fillId="0" borderId="14" xfId="0" applyFont="1" applyBorder="1" applyAlignment="1">
      <alignment horizontal="center" vertical="center"/>
    </xf>
    <xf numFmtId="14" fontId="24" fillId="9" borderId="2" xfId="0" applyNumberFormat="1" applyFont="1" applyFill="1" applyBorder="1" applyAlignment="1">
      <alignment horizontal="center" vertical="center"/>
    </xf>
    <xf numFmtId="0" fontId="24" fillId="19" borderId="2" xfId="0" applyFont="1" applyFill="1" applyBorder="1" applyAlignment="1">
      <alignment horizontal="center" vertical="center"/>
    </xf>
    <xf numFmtId="14" fontId="24" fillId="19" borderId="2" xfId="0" applyNumberFormat="1" applyFont="1" applyFill="1" applyBorder="1" applyAlignment="1">
      <alignment horizontal="center" vertical="center"/>
    </xf>
    <xf numFmtId="0" fontId="24" fillId="0" borderId="0" xfId="0" applyFont="1" applyAlignment="1">
      <alignment horizontal="center" vertical="center"/>
    </xf>
    <xf numFmtId="0" fontId="24" fillId="9" borderId="2" xfId="0" applyFont="1" applyFill="1" applyBorder="1" applyAlignment="1">
      <alignment horizontal="center" vertical="center"/>
    </xf>
    <xf numFmtId="0" fontId="24" fillId="0" borderId="33" xfId="0" applyFont="1" applyBorder="1" applyAlignment="1">
      <alignment horizontal="center" vertical="center"/>
    </xf>
    <xf numFmtId="14" fontId="24" fillId="0" borderId="33" xfId="0" applyNumberFormat="1" applyFont="1" applyBorder="1" applyAlignment="1">
      <alignment horizontal="center" vertical="center"/>
    </xf>
    <xf numFmtId="0" fontId="24" fillId="9" borderId="28" xfId="0" applyFont="1" applyFill="1" applyBorder="1" applyAlignment="1">
      <alignment horizontal="center" vertical="center"/>
    </xf>
    <xf numFmtId="0" fontId="24" fillId="3" borderId="2" xfId="0" applyFont="1" applyFill="1" applyBorder="1" applyAlignment="1">
      <alignment horizontal="center" vertical="center"/>
    </xf>
    <xf numFmtId="0" fontId="23" fillId="0" borderId="2" xfId="0" applyFont="1" applyBorder="1" applyAlignment="1">
      <alignment horizontal="center" vertical="center"/>
    </xf>
    <xf numFmtId="14" fontId="0" fillId="0" borderId="0" xfId="0" applyNumberFormat="1"/>
    <xf numFmtId="0" fontId="22" fillId="0" borderId="2" xfId="0" applyFont="1" applyBorder="1" applyAlignment="1">
      <alignment horizontal="center" vertical="center"/>
    </xf>
    <xf numFmtId="0" fontId="21" fillId="0" borderId="2" xfId="0" applyFont="1" applyBorder="1" applyAlignment="1">
      <alignment horizontal="center" vertical="center"/>
    </xf>
    <xf numFmtId="0" fontId="20" fillId="0" borderId="2" xfId="0" applyFont="1" applyBorder="1" applyAlignment="1">
      <alignment horizontal="center" vertical="center"/>
    </xf>
    <xf numFmtId="0" fontId="19" fillId="0" borderId="2" xfId="0" applyFont="1" applyBorder="1" applyAlignment="1">
      <alignment horizontal="center" vertical="center"/>
    </xf>
    <xf numFmtId="0" fontId="197" fillId="3" borderId="2" xfId="0" applyFont="1" applyFill="1" applyBorder="1" applyAlignment="1">
      <alignment horizontal="center" vertical="center"/>
    </xf>
    <xf numFmtId="0" fontId="198" fillId="3" borderId="2" xfId="22" applyFont="1" applyFill="1" applyBorder="1" applyAlignment="1">
      <alignment horizontal="center" vertical="center"/>
    </xf>
    <xf numFmtId="0" fontId="132" fillId="3" borderId="2" xfId="0" applyFont="1" applyFill="1" applyBorder="1" applyAlignment="1">
      <alignment horizontal="center" vertical="center"/>
    </xf>
    <xf numFmtId="0" fontId="132" fillId="3" borderId="2" xfId="0" applyFont="1" applyFill="1" applyBorder="1" applyAlignment="1">
      <alignment horizontal="center" vertical="center" wrapText="1"/>
    </xf>
    <xf numFmtId="0" fontId="139" fillId="3" borderId="2" xfId="0" applyFont="1" applyFill="1" applyBorder="1" applyAlignment="1">
      <alignment horizontal="center" vertical="center"/>
    </xf>
    <xf numFmtId="0" fontId="199" fillId="3" borderId="2" xfId="0" applyFont="1" applyFill="1" applyBorder="1" applyAlignment="1">
      <alignment horizontal="center" vertical="center" wrapText="1"/>
    </xf>
    <xf numFmtId="0" fontId="137" fillId="3" borderId="2" xfId="0" applyFont="1" applyFill="1" applyBorder="1" applyAlignment="1">
      <alignment horizontal="center" vertical="center" wrapText="1"/>
    </xf>
    <xf numFmtId="0" fontId="200" fillId="3" borderId="2" xfId="0" applyFont="1" applyFill="1" applyBorder="1" applyAlignment="1">
      <alignment horizontal="center" vertical="center" wrapText="1"/>
    </xf>
    <xf numFmtId="0" fontId="90" fillId="3" borderId="2" xfId="0" applyFont="1" applyFill="1" applyBorder="1"/>
    <xf numFmtId="14" fontId="90" fillId="0" borderId="2" xfId="0" applyNumberFormat="1" applyFont="1" applyBorder="1"/>
    <xf numFmtId="0" fontId="201" fillId="3" borderId="2" xfId="0" applyFont="1" applyFill="1" applyBorder="1" applyAlignment="1">
      <alignment horizontal="center" vertical="center"/>
    </xf>
    <xf numFmtId="0" fontId="202" fillId="3" borderId="2" xfId="0" applyFont="1" applyFill="1" applyBorder="1" applyAlignment="1">
      <alignment horizontal="center" vertical="center"/>
    </xf>
    <xf numFmtId="49" fontId="202" fillId="3" borderId="2" xfId="0" applyNumberFormat="1" applyFont="1" applyFill="1" applyBorder="1" applyAlignment="1">
      <alignment horizontal="center" vertical="center"/>
    </xf>
    <xf numFmtId="0" fontId="203" fillId="3" borderId="2" xfId="0" applyFont="1" applyFill="1" applyBorder="1" applyAlignment="1">
      <alignment horizontal="center" vertical="center"/>
    </xf>
    <xf numFmtId="0" fontId="138" fillId="3" borderId="2" xfId="0" applyFont="1" applyFill="1" applyBorder="1" applyAlignment="1">
      <alignment horizontal="center" vertical="center"/>
    </xf>
    <xf numFmtId="0" fontId="204" fillId="3" borderId="2" xfId="0" applyFont="1" applyFill="1" applyBorder="1" applyAlignment="1">
      <alignment horizontal="center" vertical="center" wrapText="1"/>
    </xf>
    <xf numFmtId="0" fontId="202" fillId="3" borderId="2" xfId="0" applyFont="1" applyFill="1" applyBorder="1" applyAlignment="1">
      <alignment horizontal="center" vertical="center" wrapText="1"/>
    </xf>
    <xf numFmtId="49" fontId="138" fillId="3" borderId="2" xfId="0" applyNumberFormat="1" applyFont="1" applyFill="1" applyBorder="1" applyAlignment="1">
      <alignment horizontal="center" vertical="center"/>
    </xf>
    <xf numFmtId="0" fontId="90" fillId="3" borderId="0" xfId="0" applyFont="1" applyFill="1"/>
    <xf numFmtId="0" fontId="18" fillId="0" borderId="2" xfId="0" applyFont="1" applyBorder="1" applyAlignment="1">
      <alignment horizontal="center" vertical="center"/>
    </xf>
    <xf numFmtId="0" fontId="17" fillId="0" borderId="2" xfId="0" applyFont="1" applyBorder="1" applyAlignment="1">
      <alignment horizontal="center" vertical="center"/>
    </xf>
    <xf numFmtId="0" fontId="16" fillId="0" borderId="2" xfId="0" applyFont="1" applyBorder="1" applyAlignment="1">
      <alignment horizontal="center" vertical="center"/>
    </xf>
    <xf numFmtId="0" fontId="15" fillId="0" borderId="0" xfId="0" applyFont="1" applyAlignment="1">
      <alignment horizontal="center" vertical="center"/>
    </xf>
    <xf numFmtId="0" fontId="15" fillId="0" borderId="2" xfId="0" applyFont="1" applyBorder="1" applyAlignment="1">
      <alignment horizontal="center" vertical="center"/>
    </xf>
    <xf numFmtId="0" fontId="14" fillId="0" borderId="2" xfId="0" applyFont="1" applyBorder="1" applyAlignment="1">
      <alignment horizontal="center" vertical="center"/>
    </xf>
    <xf numFmtId="0" fontId="13" fillId="3" borderId="2" xfId="0" applyFont="1" applyFill="1" applyBorder="1" applyAlignment="1">
      <alignment horizontal="center" vertical="center"/>
    </xf>
    <xf numFmtId="0" fontId="12" fillId="0" borderId="2" xfId="0" applyFont="1" applyBorder="1" applyAlignment="1">
      <alignment horizontal="center" vertical="center" wrapText="1"/>
    </xf>
    <xf numFmtId="0" fontId="12" fillId="0" borderId="2" xfId="0" applyFont="1" applyBorder="1" applyAlignment="1">
      <alignment horizontal="center" vertical="center"/>
    </xf>
    <xf numFmtId="0" fontId="12" fillId="0" borderId="0" xfId="0" applyFont="1"/>
    <xf numFmtId="0" fontId="11" fillId="0" borderId="2" xfId="0" applyFont="1" applyBorder="1" applyAlignment="1">
      <alignment horizontal="center" vertical="center"/>
    </xf>
    <xf numFmtId="0" fontId="10" fillId="0" borderId="2" xfId="0" applyFont="1" applyBorder="1" applyAlignment="1">
      <alignment horizontal="center" vertical="center"/>
    </xf>
    <xf numFmtId="16" fontId="9" fillId="3" borderId="0" xfId="0" quotePrefix="1" applyNumberFormat="1" applyFont="1" applyFill="1" applyAlignment="1">
      <alignment horizontal="center" vertical="center"/>
    </xf>
    <xf numFmtId="14" fontId="117" fillId="3" borderId="0" xfId="16" applyNumberFormat="1" applyFont="1" applyFill="1" applyAlignment="1">
      <alignment horizontal="center" vertical="center" wrapText="1"/>
    </xf>
    <xf numFmtId="0" fontId="9" fillId="0" borderId="0" xfId="0" applyFont="1" applyAlignment="1">
      <alignment horizontal="center" vertical="center"/>
    </xf>
    <xf numFmtId="0" fontId="9" fillId="3" borderId="0" xfId="0" applyFont="1" applyFill="1" applyAlignment="1">
      <alignment horizontal="center" vertical="center"/>
    </xf>
    <xf numFmtId="2" fontId="9" fillId="0" borderId="0" xfId="0" applyNumberFormat="1" applyFont="1" applyAlignment="1">
      <alignment horizontal="center" vertical="center"/>
    </xf>
    <xf numFmtId="168" fontId="209" fillId="3" borderId="0" xfId="16" applyNumberFormat="1" applyFont="1" applyFill="1" applyAlignment="1">
      <alignment horizontal="center" vertical="center"/>
    </xf>
    <xf numFmtId="0" fontId="9" fillId="0" borderId="0" xfId="0" applyFont="1" applyAlignment="1">
      <alignment horizontal="left" vertical="center" wrapText="1"/>
    </xf>
    <xf numFmtId="0" fontId="9" fillId="0" borderId="0" xfId="0" applyFont="1"/>
    <xf numFmtId="0" fontId="209" fillId="3" borderId="0" xfId="16" applyFont="1" applyFill="1" applyAlignment="1">
      <alignment horizontal="center"/>
    </xf>
    <xf numFmtId="14" fontId="9" fillId="3" borderId="0" xfId="0" applyNumberFormat="1" applyFont="1" applyFill="1" applyAlignment="1">
      <alignment horizontal="center" vertical="center"/>
    </xf>
    <xf numFmtId="17" fontId="117" fillId="3" borderId="0" xfId="16" quotePrefix="1" applyNumberFormat="1" applyFont="1" applyFill="1" applyAlignment="1">
      <alignment horizontal="center" vertical="center" wrapText="1"/>
    </xf>
    <xf numFmtId="0" fontId="115" fillId="3" borderId="0" xfId="16" applyFont="1" applyFill="1" applyAlignment="1">
      <alignment horizontal="center" vertical="center" wrapText="1"/>
    </xf>
    <xf numFmtId="0" fontId="117" fillId="3" borderId="0" xfId="16" applyFont="1" applyFill="1" applyAlignment="1">
      <alignment horizontal="center" vertical="center" wrapText="1"/>
    </xf>
    <xf numFmtId="169" fontId="9" fillId="0" borderId="0" xfId="0" applyNumberFormat="1" applyFont="1" applyAlignment="1">
      <alignment horizontal="center" vertical="center"/>
    </xf>
    <xf numFmtId="1" fontId="9" fillId="0" borderId="0" xfId="0" applyNumberFormat="1" applyFont="1" applyAlignment="1">
      <alignment horizontal="center" vertical="center"/>
    </xf>
    <xf numFmtId="14" fontId="210" fillId="3" borderId="0" xfId="0" applyNumberFormat="1" applyFont="1" applyFill="1" applyAlignment="1">
      <alignment horizontal="center" vertical="center"/>
    </xf>
    <xf numFmtId="0" fontId="9" fillId="0" borderId="4" xfId="0" applyFont="1" applyBorder="1" applyAlignment="1">
      <alignment horizontal="center" vertical="center"/>
    </xf>
    <xf numFmtId="16" fontId="9" fillId="3" borderId="4" xfId="0" quotePrefix="1" applyNumberFormat="1" applyFont="1" applyFill="1" applyBorder="1" applyAlignment="1">
      <alignment horizontal="center" vertical="center"/>
    </xf>
    <xf numFmtId="0" fontId="9" fillId="3" borderId="4" xfId="0" applyFont="1" applyFill="1" applyBorder="1" applyAlignment="1">
      <alignment horizontal="center" vertical="center"/>
    </xf>
    <xf numFmtId="14" fontId="9" fillId="3" borderId="4" xfId="0" applyNumberFormat="1" applyFont="1" applyFill="1" applyBorder="1" applyAlignment="1">
      <alignment horizontal="center" vertical="center"/>
    </xf>
    <xf numFmtId="1" fontId="9" fillId="0" borderId="4" xfId="0" applyNumberFormat="1" applyFont="1" applyBorder="1" applyAlignment="1">
      <alignment horizontal="center" vertical="center"/>
    </xf>
    <xf numFmtId="14" fontId="210" fillId="3" borderId="4" xfId="0" applyNumberFormat="1" applyFont="1" applyFill="1" applyBorder="1" applyAlignment="1">
      <alignment horizontal="center" vertical="center"/>
    </xf>
    <xf numFmtId="0" fontId="9" fillId="0" borderId="26" xfId="0" applyFont="1" applyBorder="1" applyAlignment="1">
      <alignment horizontal="left" vertical="center" wrapText="1"/>
    </xf>
    <xf numFmtId="0" fontId="9" fillId="0" borderId="32" xfId="0" applyFont="1" applyBorder="1" applyAlignment="1">
      <alignment horizontal="left" vertical="center" wrapText="1"/>
    </xf>
    <xf numFmtId="0" fontId="9" fillId="3" borderId="0" xfId="0" applyFont="1" applyFill="1"/>
    <xf numFmtId="0" fontId="0" fillId="30" borderId="2" xfId="0" applyFill="1" applyBorder="1"/>
    <xf numFmtId="0" fontId="125" fillId="2" borderId="2" xfId="0" applyFont="1" applyFill="1" applyBorder="1" applyProtection="1">
      <protection hidden="1"/>
    </xf>
    <xf numFmtId="0" fontId="124" fillId="2" borderId="2" xfId="0" applyFont="1" applyFill="1" applyBorder="1" applyAlignment="1" applyProtection="1">
      <alignment horizontal="left" indent="3"/>
      <protection hidden="1"/>
    </xf>
    <xf numFmtId="0" fontId="124" fillId="2" borderId="2" xfId="0" applyFont="1" applyFill="1" applyBorder="1" applyProtection="1">
      <protection hidden="1"/>
    </xf>
    <xf numFmtId="0" fontId="74" fillId="2" borderId="2" xfId="0" applyFont="1" applyFill="1" applyBorder="1" applyAlignment="1" applyProtection="1">
      <alignment horizontal="center" vertical="center" wrapText="1"/>
      <protection hidden="1"/>
    </xf>
    <xf numFmtId="49" fontId="74" fillId="2" borderId="2" xfId="0" applyNumberFormat="1" applyFont="1" applyFill="1" applyBorder="1" applyAlignment="1" applyProtection="1">
      <alignment horizontal="center" vertical="center" wrapText="1"/>
      <protection hidden="1"/>
    </xf>
    <xf numFmtId="0" fontId="74" fillId="2" borderId="2" xfId="0" applyFont="1" applyFill="1" applyBorder="1" applyAlignment="1" applyProtection="1">
      <alignment horizontal="center" vertical="center"/>
      <protection hidden="1"/>
    </xf>
    <xf numFmtId="169" fontId="186" fillId="0" borderId="2" xfId="0" applyNumberFormat="1" applyFont="1" applyBorder="1" applyAlignment="1" applyProtection="1">
      <alignment horizontal="left" vertical="center" wrapText="1"/>
      <protection hidden="1"/>
    </xf>
    <xf numFmtId="0" fontId="187" fillId="3" borderId="2" xfId="0" applyFont="1" applyFill="1" applyBorder="1" applyProtection="1">
      <protection hidden="1"/>
    </xf>
    <xf numFmtId="1" fontId="188" fillId="3" borderId="2" xfId="0" applyNumberFormat="1" applyFont="1" applyFill="1" applyBorder="1" applyAlignment="1" applyProtection="1">
      <alignment horizontal="center" vertical="center"/>
      <protection hidden="1"/>
    </xf>
    <xf numFmtId="0" fontId="83" fillId="0" borderId="0" xfId="0" applyFont="1" applyAlignment="1">
      <alignment horizontal="center" vertical="center" wrapText="1"/>
    </xf>
    <xf numFmtId="0" fontId="83" fillId="0" borderId="26" xfId="0" applyFont="1" applyBorder="1" applyAlignment="1">
      <alignment horizontal="center" vertical="center" wrapText="1"/>
    </xf>
    <xf numFmtId="0" fontId="83" fillId="0" borderId="32" xfId="0" applyFont="1" applyBorder="1" applyAlignment="1">
      <alignment horizontal="center" vertical="center"/>
    </xf>
    <xf numFmtId="0" fontId="83" fillId="0" borderId="27" xfId="0" applyFont="1" applyBorder="1" applyAlignment="1">
      <alignment horizontal="center" vertical="center"/>
    </xf>
    <xf numFmtId="0" fontId="117" fillId="0" borderId="0" xfId="0" applyFont="1" applyAlignment="1">
      <alignment horizontal="center" vertical="center"/>
    </xf>
    <xf numFmtId="0" fontId="120" fillId="0" borderId="0" xfId="0" applyFont="1" applyAlignment="1">
      <alignment horizontal="center" vertical="center"/>
    </xf>
    <xf numFmtId="0" fontId="0" fillId="0" borderId="4" xfId="0" applyBorder="1" applyAlignment="1">
      <alignment horizontal="left" vertical="center"/>
    </xf>
    <xf numFmtId="0" fontId="96" fillId="0" borderId="0" xfId="0" applyFont="1" applyAlignment="1">
      <alignment vertical="center"/>
    </xf>
    <xf numFmtId="0" fontId="96" fillId="0" borderId="0" xfId="0" applyFont="1" applyAlignment="1">
      <alignment horizontal="center" vertical="center"/>
    </xf>
    <xf numFmtId="169" fontId="96" fillId="0" borderId="0" xfId="0" applyNumberFormat="1" applyFont="1" applyAlignment="1">
      <alignment horizontal="center" vertical="center"/>
    </xf>
    <xf numFmtId="0" fontId="96" fillId="0" borderId="0" xfId="0" applyFont="1" applyAlignment="1">
      <alignment horizontal="left" vertical="center" wrapText="1"/>
    </xf>
    <xf numFmtId="0" fontId="90" fillId="6" borderId="69" xfId="0" applyFont="1" applyFill="1" applyBorder="1" applyAlignment="1">
      <alignment horizontal="center" vertical="center"/>
    </xf>
    <xf numFmtId="0" fontId="90" fillId="6" borderId="70" xfId="0" applyFont="1" applyFill="1" applyBorder="1" applyAlignment="1">
      <alignment horizontal="center" vertical="center"/>
    </xf>
    <xf numFmtId="0" fontId="90" fillId="6" borderId="70" xfId="0" applyFont="1" applyFill="1" applyBorder="1" applyAlignment="1">
      <alignment horizontal="center" vertical="center" wrapText="1"/>
    </xf>
    <xf numFmtId="0" fontId="90" fillId="6" borderId="70" xfId="27" applyFont="1" applyFill="1" applyBorder="1" applyAlignment="1">
      <alignment horizontal="center" vertical="center" wrapText="1"/>
    </xf>
    <xf numFmtId="0" fontId="90" fillId="6" borderId="71" xfId="0" applyFont="1" applyFill="1" applyBorder="1" applyAlignment="1">
      <alignment horizontal="center" vertical="center" wrapText="1"/>
    </xf>
    <xf numFmtId="0" fontId="0" fillId="0" borderId="4" xfId="0" applyBorder="1" applyAlignment="1">
      <alignment horizontal="center" vertical="center"/>
    </xf>
    <xf numFmtId="0" fontId="0" fillId="11" borderId="4" xfId="0" applyFill="1" applyBorder="1" applyAlignment="1">
      <alignment horizontal="center" vertical="center"/>
    </xf>
    <xf numFmtId="0" fontId="119" fillId="0" borderId="74" xfId="0" applyFont="1" applyBorder="1" applyAlignment="1">
      <alignment horizontal="center" vertical="center"/>
    </xf>
    <xf numFmtId="0" fontId="0" fillId="3" borderId="4" xfId="0" applyFill="1" applyBorder="1" applyAlignment="1">
      <alignment horizontal="center" vertical="center"/>
    </xf>
    <xf numFmtId="169" fontId="0" fillId="0" borderId="4" xfId="0" applyNumberFormat="1" applyBorder="1" applyAlignment="1">
      <alignment horizontal="center" vertical="center"/>
    </xf>
    <xf numFmtId="0" fontId="90" fillId="21" borderId="4" xfId="27" applyFont="1" applyFill="1" applyBorder="1" applyAlignment="1">
      <alignment horizontal="center" vertical="center" wrapText="1"/>
    </xf>
    <xf numFmtId="14" fontId="0" fillId="0" borderId="4" xfId="0" applyNumberFormat="1" applyBorder="1" applyAlignment="1">
      <alignment horizontal="center" vertical="center"/>
    </xf>
    <xf numFmtId="0" fontId="90" fillId="9" borderId="2" xfId="0" applyFont="1" applyFill="1" applyBorder="1" applyAlignment="1">
      <alignment horizontal="center" vertical="center"/>
    </xf>
    <xf numFmtId="174" fontId="90" fillId="9" borderId="2" xfId="0" applyNumberFormat="1" applyFont="1" applyFill="1" applyBorder="1" applyAlignment="1">
      <alignment horizontal="center" vertical="center"/>
    </xf>
    <xf numFmtId="2" fontId="90" fillId="9" borderId="2" xfId="0" applyNumberFormat="1" applyFont="1" applyFill="1" applyBorder="1" applyAlignment="1">
      <alignment horizontal="center" vertical="center"/>
    </xf>
    <xf numFmtId="2" fontId="90" fillId="9" borderId="2" xfId="0" applyNumberFormat="1" applyFont="1" applyFill="1" applyBorder="1" applyAlignment="1">
      <alignment horizontal="left" vertical="center"/>
    </xf>
    <xf numFmtId="0" fontId="0" fillId="0" borderId="0" xfId="0" applyAlignment="1">
      <alignment horizontal="left" wrapText="1"/>
    </xf>
    <xf numFmtId="1" fontId="186" fillId="0" borderId="2" xfId="0" applyNumberFormat="1" applyFont="1" applyBorder="1" applyAlignment="1" applyProtection="1">
      <alignment horizontal="center" vertical="center" wrapText="1"/>
      <protection hidden="1"/>
    </xf>
    <xf numFmtId="0" fontId="163" fillId="3" borderId="0" xfId="0" applyFont="1" applyFill="1" applyAlignment="1">
      <alignment horizontal="center"/>
    </xf>
    <xf numFmtId="0" fontId="163" fillId="3" borderId="0" xfId="24" applyFont="1" applyFill="1" applyAlignment="1">
      <alignment vertical="center"/>
    </xf>
    <xf numFmtId="0" fontId="163" fillId="3" borderId="0" xfId="24" applyFont="1" applyFill="1"/>
    <xf numFmtId="0" fontId="163" fillId="3" borderId="0" xfId="0" applyFont="1" applyFill="1"/>
    <xf numFmtId="0" fontId="163" fillId="3" borderId="0" xfId="24" applyFont="1" applyFill="1" applyAlignment="1">
      <alignment horizontal="left" vertical="center"/>
    </xf>
    <xf numFmtId="2" fontId="9" fillId="0" borderId="0" xfId="0" applyNumberFormat="1" applyFont="1"/>
    <xf numFmtId="1" fontId="215" fillId="0" borderId="2" xfId="0" applyNumberFormat="1" applyFont="1" applyBorder="1" applyAlignment="1" applyProtection="1">
      <alignment horizontal="center" vertical="center" wrapText="1"/>
      <protection hidden="1"/>
    </xf>
    <xf numFmtId="0" fontId="214" fillId="0" borderId="0" xfId="0" applyFont="1"/>
    <xf numFmtId="0" fontId="214" fillId="0" borderId="47" xfId="0" applyFont="1" applyBorder="1"/>
    <xf numFmtId="0" fontId="214" fillId="0" borderId="48" xfId="0" applyFont="1" applyBorder="1"/>
    <xf numFmtId="0" fontId="214" fillId="3" borderId="0" xfId="0" applyFont="1" applyFill="1"/>
    <xf numFmtId="0" fontId="218" fillId="0" borderId="22" xfId="51" applyFont="1" applyBorder="1" applyAlignment="1">
      <alignment horizontal="center" vertical="center"/>
    </xf>
    <xf numFmtId="0" fontId="212" fillId="3" borderId="22" xfId="51" applyFont="1" applyFill="1" applyBorder="1" applyAlignment="1">
      <alignment horizontal="center" vertical="center"/>
    </xf>
    <xf numFmtId="16" fontId="218" fillId="0" borderId="22" xfId="51" quotePrefix="1" applyNumberFormat="1" applyFont="1" applyBorder="1" applyAlignment="1">
      <alignment horizontal="center" vertical="center"/>
    </xf>
    <xf numFmtId="0" fontId="218" fillId="0" borderId="22" xfId="51" quotePrefix="1" applyFont="1" applyBorder="1" applyAlignment="1">
      <alignment horizontal="center" vertical="center"/>
    </xf>
    <xf numFmtId="0" fontId="219" fillId="0" borderId="0" xfId="0" applyFont="1"/>
    <xf numFmtId="0" fontId="220" fillId="0" borderId="0" xfId="0" applyFont="1" applyAlignment="1">
      <alignment horizontal="center" vertical="center" wrapText="1"/>
    </xf>
    <xf numFmtId="0" fontId="218" fillId="0" borderId="43" xfId="51" applyFont="1" applyBorder="1" applyAlignment="1">
      <alignment horizontal="center" vertical="center"/>
    </xf>
    <xf numFmtId="164" fontId="220" fillId="0" borderId="0" xfId="8" applyFont="1" applyFill="1" applyBorder="1" applyAlignment="1">
      <alignment horizontal="center" vertical="center"/>
    </xf>
    <xf numFmtId="0" fontId="218" fillId="0" borderId="42" xfId="51" applyFont="1" applyBorder="1" applyAlignment="1">
      <alignment horizontal="center" vertical="center"/>
    </xf>
    <xf numFmtId="1" fontId="220" fillId="0" borderId="42" xfId="8" applyNumberFormat="1" applyFont="1" applyFill="1" applyBorder="1" applyAlignment="1">
      <alignment horizontal="center" vertical="center"/>
    </xf>
    <xf numFmtId="0" fontId="220" fillId="0" borderId="66" xfId="21" applyFont="1" applyBorder="1" applyAlignment="1">
      <alignment horizontal="center" vertical="center"/>
    </xf>
    <xf numFmtId="0" fontId="220" fillId="0" borderId="42" xfId="0" applyFont="1" applyBorder="1" applyAlignment="1">
      <alignment horizontal="center" vertical="center"/>
    </xf>
    <xf numFmtId="0" fontId="220" fillId="3" borderId="42" xfId="21" applyFont="1" applyFill="1" applyBorder="1" applyAlignment="1">
      <alignment horizontal="center" vertical="center"/>
    </xf>
    <xf numFmtId="0" fontId="219" fillId="0" borderId="0" xfId="0" applyFont="1" applyAlignment="1">
      <alignment horizontal="center" vertical="center" wrapText="1"/>
    </xf>
    <xf numFmtId="0" fontId="218" fillId="3" borderId="45" xfId="51" applyFont="1" applyFill="1" applyBorder="1" applyAlignment="1">
      <alignment horizontal="center" vertical="center"/>
    </xf>
    <xf numFmtId="0" fontId="218" fillId="0" borderId="43" xfId="51" quotePrefix="1" applyFont="1" applyBorder="1" applyAlignment="1">
      <alignment horizontal="center" vertical="center"/>
    </xf>
    <xf numFmtId="0" fontId="220" fillId="0" borderId="43" xfId="0" applyFont="1" applyBorder="1" applyAlignment="1">
      <alignment horizontal="center" vertical="center"/>
    </xf>
    <xf numFmtId="164" fontId="220" fillId="0" borderId="43" xfId="8" applyFont="1" applyFill="1" applyBorder="1" applyAlignment="1">
      <alignment horizontal="center" vertical="center"/>
    </xf>
    <xf numFmtId="1" fontId="220" fillId="0" borderId="0" xfId="8" applyNumberFormat="1" applyFont="1" applyFill="1" applyBorder="1" applyAlignment="1">
      <alignment horizontal="center" vertical="center"/>
    </xf>
    <xf numFmtId="0" fontId="220" fillId="0" borderId="43" xfId="0" applyFont="1" applyBorder="1" applyAlignment="1">
      <alignment horizontal="center" vertical="center" wrapText="1"/>
    </xf>
    <xf numFmtId="0" fontId="220" fillId="3" borderId="43" xfId="0" applyFont="1" applyFill="1" applyBorder="1" applyAlignment="1">
      <alignment horizontal="center" vertical="center"/>
    </xf>
    <xf numFmtId="0" fontId="212" fillId="3" borderId="45" xfId="0" applyFont="1" applyFill="1" applyBorder="1" applyAlignment="1">
      <alignment vertical="center"/>
    </xf>
    <xf numFmtId="0" fontId="219" fillId="3" borderId="0" xfId="0" applyFont="1" applyFill="1"/>
    <xf numFmtId="0" fontId="212" fillId="3" borderId="43" xfId="51" applyFont="1" applyFill="1" applyBorder="1" applyAlignment="1">
      <alignment horizontal="center" vertical="center" wrapText="1"/>
    </xf>
    <xf numFmtId="0" fontId="218" fillId="0" borderId="44" xfId="51" applyFont="1" applyBorder="1" applyAlignment="1">
      <alignment horizontal="center" vertical="center"/>
    </xf>
    <xf numFmtId="0" fontId="218" fillId="0" borderId="45" xfId="51" applyFont="1" applyBorder="1" applyAlignment="1">
      <alignment horizontal="center" vertical="center"/>
    </xf>
    <xf numFmtId="1" fontId="220" fillId="0" borderId="66" xfId="8" applyNumberFormat="1" applyFont="1" applyFill="1" applyBorder="1" applyAlignment="1">
      <alignment horizontal="center" vertical="center"/>
    </xf>
    <xf numFmtId="0" fontId="214" fillId="0" borderId="43" xfId="0" applyFont="1" applyBorder="1"/>
    <xf numFmtId="0" fontId="214" fillId="0" borderId="42" xfId="0" applyFont="1" applyBorder="1"/>
    <xf numFmtId="0" fontId="214" fillId="0" borderId="45" xfId="0" applyFont="1" applyBorder="1"/>
    <xf numFmtId="0" fontId="219" fillId="0" borderId="45" xfId="0" applyFont="1" applyBorder="1" applyAlignment="1">
      <alignment horizontal="center" vertical="center" wrapText="1"/>
    </xf>
    <xf numFmtId="44" fontId="90" fillId="9" borderId="2" xfId="97" applyFont="1" applyFill="1" applyBorder="1" applyAlignment="1">
      <alignment horizontal="center" vertical="center"/>
    </xf>
    <xf numFmtId="0" fontId="96" fillId="29" borderId="69" xfId="0" applyFont="1" applyFill="1" applyBorder="1" applyAlignment="1">
      <alignment vertical="center"/>
    </xf>
    <xf numFmtId="0" fontId="96" fillId="29" borderId="71" xfId="0" applyFont="1" applyFill="1" applyBorder="1" applyAlignment="1">
      <alignment vertical="center"/>
    </xf>
    <xf numFmtId="0" fontId="220" fillId="3" borderId="45" xfId="0" applyFont="1" applyFill="1" applyBorder="1" applyAlignment="1">
      <alignment horizontal="center" vertical="center"/>
    </xf>
    <xf numFmtId="0" fontId="223" fillId="3" borderId="8" xfId="24" applyFont="1" applyFill="1" applyBorder="1" applyAlignment="1">
      <alignment horizontal="center" vertical="center"/>
    </xf>
    <xf numFmtId="0" fontId="223" fillId="3" borderId="2" xfId="24" applyFont="1" applyFill="1" applyBorder="1" applyAlignment="1">
      <alignment horizontal="center" vertical="center" wrapText="1"/>
    </xf>
    <xf numFmtId="0" fontId="223" fillId="3" borderId="25" xfId="24" applyFont="1" applyFill="1" applyBorder="1" applyAlignment="1">
      <alignment horizontal="center" vertical="center" wrapText="1"/>
    </xf>
    <xf numFmtId="0" fontId="223" fillId="3" borderId="10" xfId="24" applyFont="1" applyFill="1" applyBorder="1" applyAlignment="1">
      <alignment horizontal="center" vertical="center"/>
    </xf>
    <xf numFmtId="0" fontId="223" fillId="3" borderId="75" xfId="24" applyFont="1" applyFill="1" applyBorder="1" applyAlignment="1">
      <alignment horizontal="center" vertical="center" wrapText="1"/>
    </xf>
    <xf numFmtId="0" fontId="223" fillId="3" borderId="60" xfId="24" applyFont="1" applyFill="1" applyBorder="1" applyAlignment="1">
      <alignment horizontal="center" vertical="center"/>
    </xf>
    <xf numFmtId="0" fontId="223" fillId="3" borderId="4" xfId="24" applyFont="1" applyFill="1" applyBorder="1" applyAlignment="1">
      <alignment horizontal="center" vertical="center" wrapText="1"/>
    </xf>
    <xf numFmtId="0" fontId="214" fillId="0" borderId="49" xfId="0" applyFont="1" applyBorder="1"/>
    <xf numFmtId="0" fontId="214" fillId="0" borderId="22" xfId="0" applyFont="1" applyBorder="1"/>
    <xf numFmtId="0" fontId="214" fillId="0" borderId="50" xfId="0" applyFont="1" applyBorder="1"/>
    <xf numFmtId="0" fontId="214" fillId="0" borderId="44" xfId="0" applyFont="1" applyBorder="1"/>
    <xf numFmtId="0" fontId="220" fillId="0" borderId="42" xfId="21" applyFont="1" applyBorder="1" applyAlignment="1">
      <alignment horizontal="center" vertical="center"/>
    </xf>
    <xf numFmtId="0" fontId="219" fillId="0" borderId="22" xfId="0" applyFont="1" applyBorder="1" applyAlignment="1">
      <alignment horizontal="center" vertical="center" wrapText="1"/>
    </xf>
    <xf numFmtId="1" fontId="220" fillId="11" borderId="42" xfId="8" applyNumberFormat="1" applyFont="1" applyFill="1" applyBorder="1" applyAlignment="1">
      <alignment horizontal="center" vertical="center"/>
    </xf>
    <xf numFmtId="1" fontId="220" fillId="37" borderId="42" xfId="8" applyNumberFormat="1" applyFont="1" applyFill="1" applyBorder="1" applyAlignment="1">
      <alignment horizontal="center" vertical="center"/>
    </xf>
    <xf numFmtId="0" fontId="206" fillId="0" borderId="0" xfId="0" applyFont="1" applyAlignment="1">
      <alignment horizontal="center" vertical="center"/>
    </xf>
    <xf numFmtId="0" fontId="214" fillId="0" borderId="0" xfId="0" applyFont="1" applyAlignment="1">
      <alignment horizontal="center" vertical="center"/>
    </xf>
    <xf numFmtId="0" fontId="214" fillId="0" borderId="0" xfId="0" applyFont="1" applyAlignment="1">
      <alignment horizontal="center"/>
    </xf>
    <xf numFmtId="0" fontId="214" fillId="0" borderId="45" xfId="0" applyFont="1" applyBorder="1" applyAlignment="1">
      <alignment horizontal="center" vertical="center"/>
    </xf>
    <xf numFmtId="0" fontId="206" fillId="0" borderId="45" xfId="0" applyFont="1" applyBorder="1" applyAlignment="1">
      <alignment horizontal="center" vertical="center"/>
    </xf>
    <xf numFmtId="0" fontId="214" fillId="11" borderId="42" xfId="0" applyFont="1" applyFill="1" applyBorder="1"/>
    <xf numFmtId="0" fontId="220" fillId="3" borderId="22" xfId="0" applyFont="1" applyFill="1" applyBorder="1" applyAlignment="1">
      <alignment horizontal="center" vertical="center"/>
    </xf>
    <xf numFmtId="0" fontId="211" fillId="3" borderId="22" xfId="0" applyFont="1" applyFill="1" applyBorder="1" applyAlignment="1">
      <alignment horizontal="center" vertical="center" wrapText="1"/>
    </xf>
    <xf numFmtId="0" fontId="218" fillId="0" borderId="0" xfId="51" applyFont="1" applyAlignment="1">
      <alignment horizontal="center" vertical="center"/>
    </xf>
    <xf numFmtId="0" fontId="220" fillId="0" borderId="0" xfId="0" applyFont="1" applyAlignment="1">
      <alignment horizontal="center" vertical="center"/>
    </xf>
    <xf numFmtId="0" fontId="220" fillId="3" borderId="0" xfId="0" applyFont="1" applyFill="1" applyAlignment="1">
      <alignment horizontal="center" vertical="center"/>
    </xf>
    <xf numFmtId="0" fontId="211" fillId="3" borderId="0" xfId="0" applyFont="1" applyFill="1" applyAlignment="1">
      <alignment horizontal="center" vertical="center" wrapText="1"/>
    </xf>
    <xf numFmtId="0" fontId="218" fillId="3" borderId="45" xfId="0" applyFont="1" applyFill="1" applyBorder="1" applyAlignment="1">
      <alignment vertical="center"/>
    </xf>
    <xf numFmtId="0" fontId="211" fillId="9" borderId="45" xfId="0" applyFont="1" applyFill="1" applyBorder="1" applyAlignment="1">
      <alignment horizontal="center" vertical="center" wrapText="1"/>
    </xf>
    <xf numFmtId="0" fontId="211" fillId="9" borderId="0" xfId="0" applyFont="1" applyFill="1" applyAlignment="1">
      <alignment horizontal="center" vertical="center" wrapText="1"/>
    </xf>
    <xf numFmtId="0" fontId="218" fillId="3" borderId="0" xfId="51" applyFont="1" applyFill="1" applyAlignment="1">
      <alignment vertical="center" wrapText="1"/>
    </xf>
    <xf numFmtId="0" fontId="213" fillId="0" borderId="0" xfId="51" applyFont="1" applyAlignment="1">
      <alignment horizontal="center" vertical="center"/>
    </xf>
    <xf numFmtId="169" fontId="213" fillId="0" borderId="0" xfId="51" applyNumberFormat="1" applyFont="1" applyAlignment="1">
      <alignment horizontal="center" vertical="center"/>
    </xf>
    <xf numFmtId="0" fontId="220" fillId="0" borderId="0" xfId="21" applyFont="1" applyAlignment="1">
      <alignment horizontal="center" vertical="center"/>
    </xf>
    <xf numFmtId="0" fontId="220" fillId="3" borderId="0" xfId="21" applyFont="1" applyFill="1" applyAlignment="1">
      <alignment horizontal="center" vertical="center"/>
    </xf>
    <xf numFmtId="0" fontId="212" fillId="9" borderId="0" xfId="0" applyFont="1" applyFill="1" applyAlignment="1">
      <alignment horizontal="center" vertical="top" wrapText="1"/>
    </xf>
    <xf numFmtId="0" fontId="207" fillId="3" borderId="0" xfId="0" applyFont="1" applyFill="1" applyAlignment="1">
      <alignment vertical="top" wrapText="1"/>
    </xf>
    <xf numFmtId="0" fontId="218" fillId="3" borderId="0" xfId="0" applyFont="1" applyFill="1" applyAlignment="1">
      <alignment horizontal="center" vertical="top"/>
    </xf>
    <xf numFmtId="0" fontId="220" fillId="3" borderId="0" xfId="0" applyFont="1" applyFill="1" applyAlignment="1">
      <alignment horizontal="center" vertical="top"/>
    </xf>
    <xf numFmtId="0" fontId="220" fillId="0" borderId="0" xfId="0" applyFont="1"/>
    <xf numFmtId="0" fontId="218" fillId="0" borderId="0" xfId="51" quotePrefix="1" applyFont="1" applyAlignment="1">
      <alignment horizontal="center" vertical="center"/>
    </xf>
    <xf numFmtId="0" fontId="212" fillId="3" borderId="0" xfId="51" applyFont="1" applyFill="1" applyAlignment="1">
      <alignment horizontal="center" vertical="center"/>
    </xf>
    <xf numFmtId="0" fontId="212" fillId="9" borderId="0" xfId="0" applyFont="1" applyFill="1" applyAlignment="1">
      <alignment horizontal="center" vertical="center"/>
    </xf>
    <xf numFmtId="0" fontId="212" fillId="3" borderId="0" xfId="0" applyFont="1" applyFill="1" applyAlignment="1">
      <alignment vertical="center"/>
    </xf>
    <xf numFmtId="0" fontId="212" fillId="3" borderId="0" xfId="0" applyFont="1" applyFill="1" applyAlignment="1">
      <alignment horizontal="center" vertical="center"/>
    </xf>
    <xf numFmtId="0" fontId="218" fillId="3" borderId="0" xfId="51" applyFont="1" applyFill="1" applyAlignment="1">
      <alignment horizontal="center" vertical="center"/>
    </xf>
    <xf numFmtId="0" fontId="212" fillId="3" borderId="0" xfId="51" applyFont="1" applyFill="1" applyAlignment="1">
      <alignment horizontal="center" vertical="center" wrapText="1"/>
    </xf>
    <xf numFmtId="16" fontId="218" fillId="0" borderId="0" xfId="51" quotePrefix="1" applyNumberFormat="1" applyFont="1" applyAlignment="1">
      <alignment horizontal="center" vertical="center"/>
    </xf>
    <xf numFmtId="0" fontId="219" fillId="3" borderId="44" xfId="0" applyFont="1" applyFill="1" applyBorder="1" applyAlignment="1">
      <alignment horizontal="center" vertical="center" wrapText="1"/>
    </xf>
    <xf numFmtId="0" fontId="219" fillId="3" borderId="43" xfId="0" applyFont="1" applyFill="1" applyBorder="1" applyAlignment="1">
      <alignment horizontal="center" vertical="center" wrapText="1"/>
    </xf>
    <xf numFmtId="0" fontId="218" fillId="3" borderId="0" xfId="0" applyFont="1" applyFill="1" applyAlignment="1">
      <alignment vertical="center"/>
    </xf>
    <xf numFmtId="0" fontId="220" fillId="0" borderId="0" xfId="51" applyFont="1" applyAlignment="1">
      <alignment horizontal="center" vertical="center"/>
    </xf>
    <xf numFmtId="0" fontId="175" fillId="3" borderId="0" xfId="24" applyFont="1" applyFill="1" applyAlignment="1">
      <alignment vertical="center" wrapText="1"/>
    </xf>
    <xf numFmtId="0" fontId="163" fillId="3" borderId="0" xfId="24" applyFont="1" applyFill="1" applyAlignment="1">
      <alignment vertical="center" textRotation="45" wrapText="1"/>
    </xf>
    <xf numFmtId="0" fontId="214" fillId="3" borderId="0" xfId="0" applyFont="1" applyFill="1" applyAlignment="1">
      <alignment vertical="center"/>
    </xf>
    <xf numFmtId="0" fontId="214" fillId="3" borderId="47" xfId="0" applyFont="1" applyFill="1" applyBorder="1" applyAlignment="1">
      <alignment vertical="center"/>
    </xf>
    <xf numFmtId="0" fontId="226" fillId="3" borderId="2" xfId="0" applyFont="1" applyFill="1" applyBorder="1" applyAlignment="1">
      <alignment vertical="center" wrapText="1"/>
    </xf>
    <xf numFmtId="14" fontId="5" fillId="0" borderId="2" xfId="0" applyNumberFormat="1" applyFont="1" applyBorder="1" applyAlignment="1">
      <alignment horizontal="center" vertical="center"/>
    </xf>
    <xf numFmtId="0" fontId="5" fillId="0" borderId="2" xfId="0" applyFont="1" applyBorder="1" applyAlignment="1">
      <alignment horizontal="center" vertical="center"/>
    </xf>
    <xf numFmtId="0" fontId="116" fillId="0" borderId="33" xfId="0" applyFont="1" applyBorder="1" applyAlignment="1">
      <alignment horizontal="center" vertical="center" wrapText="1"/>
    </xf>
    <xf numFmtId="0" fontId="116" fillId="0" borderId="5" xfId="0" applyFont="1" applyBorder="1" applyAlignment="1">
      <alignment horizontal="center" vertical="center" wrapText="1"/>
    </xf>
    <xf numFmtId="14" fontId="4" fillId="0" borderId="2" xfId="0" applyNumberFormat="1" applyFont="1" applyBorder="1" applyAlignment="1">
      <alignment horizontal="center" vertical="center"/>
    </xf>
    <xf numFmtId="16" fontId="117" fillId="3" borderId="2" xfId="0" quotePrefix="1" applyNumberFormat="1" applyFont="1" applyFill="1" applyBorder="1" applyAlignment="1">
      <alignment horizontal="center" vertical="center"/>
    </xf>
    <xf numFmtId="14" fontId="115" fillId="0" borderId="2" xfId="0" applyNumberFormat="1" applyFont="1" applyBorder="1" applyAlignment="1">
      <alignment horizontal="center" vertical="center"/>
    </xf>
    <xf numFmtId="0" fontId="83" fillId="0" borderId="0" xfId="0" applyFont="1" applyAlignment="1">
      <alignment vertical="center"/>
    </xf>
    <xf numFmtId="0" fontId="83" fillId="3" borderId="0" xfId="0" applyFont="1" applyFill="1" applyAlignment="1">
      <alignment vertical="center" wrapText="1"/>
    </xf>
    <xf numFmtId="0" fontId="0" fillId="0" borderId="8" xfId="0" applyBorder="1" applyAlignment="1">
      <alignment horizontal="center"/>
    </xf>
    <xf numFmtId="0" fontId="0" fillId="0" borderId="14" xfId="0" applyBorder="1" applyAlignment="1">
      <alignment horizontal="center"/>
    </xf>
    <xf numFmtId="0" fontId="212" fillId="9" borderId="0" xfId="0" applyFont="1" applyFill="1" applyAlignment="1">
      <alignment horizontal="center" vertical="center" wrapText="1"/>
    </xf>
    <xf numFmtId="0" fontId="212" fillId="9" borderId="0" xfId="0" applyFont="1" applyFill="1" applyAlignment="1">
      <alignment horizontal="center" vertical="top"/>
    </xf>
    <xf numFmtId="0" fontId="227" fillId="3" borderId="2" xfId="0" applyFont="1" applyFill="1" applyBorder="1" applyAlignment="1">
      <alignment horizontal="center" vertical="center" wrapText="1"/>
    </xf>
    <xf numFmtId="0" fontId="212" fillId="19" borderId="0" xfId="0" applyFont="1" applyFill="1" applyAlignment="1">
      <alignment horizontal="center" vertical="center"/>
    </xf>
    <xf numFmtId="0" fontId="206" fillId="0" borderId="47" xfId="0" applyFont="1" applyBorder="1" applyAlignment="1">
      <alignment vertical="top"/>
    </xf>
    <xf numFmtId="14" fontId="0" fillId="0" borderId="2" xfId="0" applyNumberFormat="1" applyBorder="1" applyAlignment="1">
      <alignment horizontal="center"/>
    </xf>
    <xf numFmtId="2" fontId="0" fillId="0" borderId="0" xfId="0" quotePrefix="1" applyNumberFormat="1" applyAlignment="1">
      <alignment horizontal="center" vertical="center"/>
    </xf>
    <xf numFmtId="0" fontId="117" fillId="3" borderId="3" xfId="0" applyFont="1" applyFill="1" applyBorder="1" applyAlignment="1">
      <alignment horizontal="center" vertical="center"/>
    </xf>
    <xf numFmtId="14" fontId="5" fillId="0" borderId="3" xfId="0" applyNumberFormat="1" applyFont="1" applyBorder="1" applyAlignment="1">
      <alignment horizontal="center" vertical="center"/>
    </xf>
    <xf numFmtId="14" fontId="115" fillId="0" borderId="3" xfId="0" applyNumberFormat="1" applyFont="1" applyBorder="1" applyAlignment="1">
      <alignment horizontal="center" vertical="center"/>
    </xf>
    <xf numFmtId="0" fontId="5" fillId="0" borderId="3" xfId="0" applyFont="1" applyBorder="1" applyAlignment="1">
      <alignment horizontal="center" vertical="center"/>
    </xf>
    <xf numFmtId="0" fontId="117" fillId="0" borderId="25" xfId="0" applyFont="1" applyBorder="1" applyAlignment="1">
      <alignment horizontal="center" vertical="center"/>
    </xf>
    <xf numFmtId="0" fontId="117" fillId="3" borderId="2" xfId="0" quotePrefix="1" applyFont="1" applyFill="1" applyBorder="1" applyAlignment="1">
      <alignment horizontal="center" vertical="center"/>
    </xf>
    <xf numFmtId="14" fontId="115" fillId="0" borderId="0" xfId="0" applyNumberFormat="1" applyFont="1" applyAlignment="1">
      <alignment horizontal="center" vertical="center"/>
    </xf>
    <xf numFmtId="0" fontId="117" fillId="0" borderId="0" xfId="0" applyFont="1" applyAlignment="1">
      <alignment horizontal="center" vertical="center" wrapText="1"/>
    </xf>
    <xf numFmtId="16" fontId="117" fillId="3" borderId="3" xfId="0" quotePrefix="1" applyNumberFormat="1" applyFont="1" applyFill="1" applyBorder="1" applyAlignment="1">
      <alignment horizontal="center" vertical="center"/>
    </xf>
    <xf numFmtId="0" fontId="207" fillId="9" borderId="22" xfId="0" applyFont="1" applyFill="1" applyBorder="1" applyAlignment="1">
      <alignment horizontal="center" vertical="top" wrapText="1"/>
    </xf>
    <xf numFmtId="0" fontId="212" fillId="38" borderId="0" xfId="0" applyFont="1" applyFill="1" applyAlignment="1">
      <alignment horizontal="center" vertical="center"/>
    </xf>
    <xf numFmtId="0" fontId="3" fillId="0" borderId="2" xfId="0" applyFont="1" applyBorder="1" applyAlignment="1">
      <alignment wrapText="1"/>
    </xf>
    <xf numFmtId="0" fontId="166" fillId="3" borderId="43" xfId="24" applyFont="1" applyFill="1" applyBorder="1" applyAlignment="1">
      <alignment vertical="top" wrapText="1"/>
    </xf>
    <xf numFmtId="0" fontId="166" fillId="3" borderId="0" xfId="24" applyFont="1" applyFill="1" applyAlignment="1">
      <alignment vertical="top" wrapText="1"/>
    </xf>
    <xf numFmtId="0" fontId="166" fillId="3" borderId="47" xfId="24" applyFont="1" applyFill="1" applyBorder="1" applyAlignment="1">
      <alignment vertical="top" wrapText="1"/>
    </xf>
    <xf numFmtId="0" fontId="166" fillId="3" borderId="44" xfId="24" applyFont="1" applyFill="1" applyBorder="1" applyAlignment="1">
      <alignment vertical="top" wrapText="1"/>
    </xf>
    <xf numFmtId="0" fontId="166" fillId="3" borderId="45" xfId="24" applyFont="1" applyFill="1" applyBorder="1" applyAlignment="1">
      <alignment vertical="top" wrapText="1"/>
    </xf>
    <xf numFmtId="0" fontId="166" fillId="3" borderId="48" xfId="24" applyFont="1" applyFill="1" applyBorder="1" applyAlignment="1">
      <alignment vertical="top" wrapText="1"/>
    </xf>
    <xf numFmtId="16" fontId="2" fillId="3" borderId="2" xfId="0" quotePrefix="1" applyNumberFormat="1" applyFont="1" applyFill="1" applyBorder="1" applyAlignment="1">
      <alignment horizontal="center" vertical="center"/>
    </xf>
    <xf numFmtId="0" fontId="2" fillId="3" borderId="2" xfId="0" applyFont="1" applyFill="1" applyBorder="1" applyAlignment="1">
      <alignment horizontal="center" vertical="center"/>
    </xf>
    <xf numFmtId="14" fontId="2" fillId="3" borderId="2" xfId="0" applyNumberFormat="1" applyFont="1" applyFill="1" applyBorder="1" applyAlignment="1">
      <alignment horizontal="center" vertical="center"/>
    </xf>
    <xf numFmtId="0" fontId="2" fillId="0" borderId="2" xfId="0" applyFont="1" applyBorder="1" applyAlignment="1">
      <alignment horizontal="center" vertical="center"/>
    </xf>
    <xf numFmtId="0" fontId="230" fillId="33" borderId="2" xfId="0" applyFont="1" applyFill="1" applyBorder="1" applyAlignment="1">
      <alignment horizontal="center" vertical="center" wrapText="1"/>
    </xf>
    <xf numFmtId="2" fontId="2" fillId="0" borderId="2" xfId="0" quotePrefix="1" applyNumberFormat="1" applyFont="1" applyBorder="1" applyAlignment="1">
      <alignment horizontal="center" vertical="center"/>
    </xf>
    <xf numFmtId="14" fontId="115" fillId="9" borderId="2" xfId="0" applyNumberFormat="1" applyFont="1" applyFill="1" applyBorder="1" applyAlignment="1">
      <alignment horizontal="center" vertical="center"/>
    </xf>
    <xf numFmtId="14" fontId="25" fillId="9" borderId="2" xfId="0" applyNumberFormat="1" applyFont="1" applyFill="1" applyBorder="1" applyAlignment="1">
      <alignment horizontal="center" vertical="center"/>
    </xf>
    <xf numFmtId="0" fontId="125" fillId="2" borderId="2" xfId="0" applyFont="1" applyFill="1" applyBorder="1" applyAlignment="1" applyProtection="1">
      <alignment horizontal="center"/>
      <protection hidden="1"/>
    </xf>
    <xf numFmtId="167" fontId="74" fillId="2" borderId="2" xfId="4" applyNumberFormat="1" applyFont="1" applyFill="1" applyBorder="1" applyAlignment="1" applyProtection="1">
      <alignment horizontal="center" vertical="center"/>
      <protection hidden="1"/>
    </xf>
    <xf numFmtId="0" fontId="122" fillId="2" borderId="2" xfId="0" applyFont="1" applyFill="1" applyBorder="1" applyAlignment="1" applyProtection="1">
      <alignment horizontal="center" vertical="center"/>
      <protection hidden="1"/>
    </xf>
    <xf numFmtId="167" fontId="123" fillId="2" borderId="2" xfId="17" applyNumberFormat="1" applyFont="1" applyFill="1" applyBorder="1" applyAlignment="1" applyProtection="1">
      <alignment horizontal="left" vertical="center" indent="3"/>
      <protection hidden="1"/>
    </xf>
    <xf numFmtId="0" fontId="126" fillId="5" borderId="2" xfId="0" applyFont="1" applyFill="1" applyBorder="1" applyAlignment="1" applyProtection="1">
      <alignment horizontal="center" vertical="center" wrapText="1"/>
      <protection hidden="1"/>
    </xf>
    <xf numFmtId="0" fontId="0" fillId="3" borderId="72" xfId="0" applyFill="1" applyBorder="1" applyAlignment="1">
      <alignment horizontal="center"/>
    </xf>
    <xf numFmtId="0" fontId="0" fillId="3" borderId="52" xfId="0" applyFill="1" applyBorder="1" applyAlignment="1">
      <alignment horizontal="center"/>
    </xf>
    <xf numFmtId="0" fontId="0" fillId="3" borderId="53" xfId="0" applyFill="1" applyBorder="1" applyAlignment="1">
      <alignment horizontal="center"/>
    </xf>
    <xf numFmtId="0" fontId="49" fillId="3" borderId="0" xfId="0" applyFont="1" applyFill="1" applyAlignment="1">
      <alignment horizontal="center" vertical="top"/>
    </xf>
    <xf numFmtId="0" fontId="151" fillId="9" borderId="44" xfId="0" applyFont="1" applyFill="1" applyBorder="1" applyAlignment="1">
      <alignment horizontal="center" vertical="center" wrapText="1"/>
    </xf>
    <xf numFmtId="0" fontId="151" fillId="9" borderId="45" xfId="0" applyFont="1" applyFill="1" applyBorder="1" applyAlignment="1">
      <alignment horizontal="center" vertical="center" wrapText="1"/>
    </xf>
    <xf numFmtId="0" fontId="152" fillId="24" borderId="66" xfId="0" applyFont="1" applyFill="1" applyBorder="1" applyAlignment="1">
      <alignment horizontal="center" vertical="center" wrapText="1"/>
    </xf>
    <xf numFmtId="0" fontId="152" fillId="24" borderId="64" xfId="0" applyFont="1" applyFill="1" applyBorder="1" applyAlignment="1">
      <alignment horizontal="center" vertical="center" wrapText="1"/>
    </xf>
    <xf numFmtId="0" fontId="154" fillId="24" borderId="66" xfId="0" applyFont="1" applyFill="1" applyBorder="1" applyAlignment="1">
      <alignment horizontal="center" vertical="center" wrapText="1"/>
    </xf>
    <xf numFmtId="0" fontId="154" fillId="24" borderId="63" xfId="0" applyFont="1" applyFill="1" applyBorder="1" applyAlignment="1">
      <alignment horizontal="center" vertical="center" wrapText="1"/>
    </xf>
    <xf numFmtId="0" fontId="0" fillId="3" borderId="5" xfId="0" applyFill="1" applyBorder="1" applyAlignment="1">
      <alignment horizontal="center" vertical="top"/>
    </xf>
    <xf numFmtId="0" fontId="84" fillId="3" borderId="2" xfId="0" applyFont="1" applyFill="1" applyBorder="1" applyAlignment="1">
      <alignment horizontal="left" vertical="center"/>
    </xf>
    <xf numFmtId="0" fontId="84" fillId="3" borderId="2" xfId="0" applyFont="1" applyFill="1" applyBorder="1" applyAlignment="1">
      <alignment horizontal="left" vertical="center" wrapText="1"/>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83" fillId="0" borderId="6" xfId="0" applyFont="1" applyBorder="1" applyAlignment="1">
      <alignment horizontal="left" vertical="center"/>
    </xf>
    <xf numFmtId="0" fontId="83" fillId="0" borderId="7" xfId="0" applyFont="1" applyBorder="1" applyAlignment="1">
      <alignment horizontal="left" vertical="center"/>
    </xf>
    <xf numFmtId="0" fontId="83" fillId="0" borderId="13" xfId="0" applyFont="1" applyBorder="1" applyAlignment="1">
      <alignment horizontal="left" vertical="center"/>
    </xf>
    <xf numFmtId="0" fontId="83" fillId="3" borderId="8" xfId="0" applyFont="1" applyFill="1" applyBorder="1" applyAlignment="1">
      <alignment horizontal="left" vertical="center" wrapText="1"/>
    </xf>
    <xf numFmtId="0" fontId="83" fillId="3" borderId="2" xfId="0" applyFont="1" applyFill="1" applyBorder="1" applyAlignment="1">
      <alignment horizontal="left" vertical="center" wrapText="1"/>
    </xf>
    <xf numFmtId="0" fontId="83" fillId="3" borderId="14" xfId="0" applyFont="1" applyFill="1" applyBorder="1" applyAlignment="1">
      <alignment horizontal="left" vertical="center" wrapText="1"/>
    </xf>
    <xf numFmtId="0" fontId="84" fillId="0" borderId="8" xfId="0" applyFont="1" applyBorder="1" applyAlignment="1">
      <alignment horizontal="left" wrapText="1"/>
    </xf>
    <xf numFmtId="0" fontId="84" fillId="0" borderId="2" xfId="0" applyFont="1" applyBorder="1" applyAlignment="1">
      <alignment horizontal="left" wrapText="1"/>
    </xf>
    <xf numFmtId="0" fontId="84"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90" fillId="0" borderId="2" xfId="0" applyFont="1" applyBorder="1" applyAlignment="1">
      <alignment horizontal="center" vertical="center" wrapText="1"/>
    </xf>
    <xf numFmtId="0" fontId="90" fillId="0" borderId="25" xfId="0" applyFont="1" applyBorder="1" applyAlignment="1">
      <alignment horizontal="center" vertical="center" wrapText="1"/>
    </xf>
    <xf numFmtId="0" fontId="90" fillId="0" borderId="33" xfId="0" applyFont="1" applyBorder="1" applyAlignment="1">
      <alignment horizontal="center" vertical="center" wrapText="1"/>
    </xf>
    <xf numFmtId="0" fontId="90" fillId="0" borderId="28" xfId="0" applyFont="1" applyBorder="1" applyAlignment="1">
      <alignment horizontal="center" vertical="center" wrapText="1"/>
    </xf>
    <xf numFmtId="0" fontId="96" fillId="3" borderId="2" xfId="0" applyFont="1" applyFill="1" applyBorder="1" applyAlignment="1">
      <alignment horizontal="center" vertical="center"/>
    </xf>
    <xf numFmtId="0" fontId="119" fillId="3" borderId="3" xfId="0" applyFont="1" applyFill="1" applyBorder="1" applyAlignment="1">
      <alignment horizontal="left" vertical="center" wrapText="1"/>
    </xf>
    <xf numFmtId="0" fontId="119" fillId="3" borderId="46" xfId="0" applyFont="1" applyFill="1" applyBorder="1" applyAlignment="1">
      <alignment horizontal="left" vertical="center" wrapText="1"/>
    </xf>
    <xf numFmtId="0" fontId="119" fillId="3" borderId="4" xfId="0" applyFont="1" applyFill="1" applyBorder="1" applyAlignment="1">
      <alignment horizontal="left" vertical="center" wrapText="1"/>
    </xf>
    <xf numFmtId="0" fontId="83" fillId="0" borderId="17" xfId="0" applyFont="1" applyBorder="1" applyAlignment="1">
      <alignment horizontal="left" vertical="center"/>
    </xf>
    <xf numFmtId="0" fontId="83" fillId="0" borderId="18" xfId="0" applyFont="1" applyBorder="1" applyAlignment="1">
      <alignment horizontal="left" vertical="center"/>
    </xf>
    <xf numFmtId="0" fontId="83" fillId="0" borderId="19" xfId="0" applyFont="1" applyBorder="1" applyAlignment="1">
      <alignment horizontal="left" vertical="center"/>
    </xf>
    <xf numFmtId="0" fontId="133" fillId="3" borderId="67" xfId="0" applyFont="1" applyFill="1" applyBorder="1" applyAlignment="1">
      <alignment horizontal="left" vertical="center" wrapText="1"/>
    </xf>
    <xf numFmtId="0" fontId="133" fillId="3" borderId="33" xfId="0" applyFont="1" applyFill="1" applyBorder="1" applyAlignment="1">
      <alignment horizontal="left" vertical="center" wrapText="1"/>
    </xf>
    <xf numFmtId="0" fontId="133" fillId="3" borderId="68" xfId="0" applyFont="1" applyFill="1" applyBorder="1" applyAlignment="1">
      <alignment horizontal="left" vertical="center" wrapText="1"/>
    </xf>
    <xf numFmtId="0" fontId="83" fillId="3" borderId="67" xfId="0" applyFont="1" applyFill="1" applyBorder="1" applyAlignment="1">
      <alignment horizontal="left" vertical="center" wrapText="1"/>
    </xf>
    <xf numFmtId="0" fontId="83" fillId="3" borderId="33" xfId="0" applyFont="1" applyFill="1" applyBorder="1" applyAlignment="1">
      <alignment horizontal="left" vertical="center" wrapText="1"/>
    </xf>
    <xf numFmtId="0" fontId="83" fillId="3" borderId="68" xfId="0" applyFont="1" applyFill="1" applyBorder="1" applyAlignment="1">
      <alignment horizontal="left" vertical="center" wrapText="1"/>
    </xf>
    <xf numFmtId="0" fontId="84" fillId="0" borderId="67" xfId="0" applyFont="1" applyBorder="1" applyAlignment="1">
      <alignment horizontal="left" wrapText="1"/>
    </xf>
    <xf numFmtId="0" fontId="84" fillId="0" borderId="33" xfId="0" applyFont="1" applyBorder="1" applyAlignment="1">
      <alignment horizontal="left" wrapText="1"/>
    </xf>
    <xf numFmtId="0" fontId="84" fillId="0" borderId="68" xfId="0" applyFont="1" applyBorder="1" applyAlignment="1">
      <alignment horizontal="left" wrapText="1"/>
    </xf>
    <xf numFmtId="0" fontId="90" fillId="0" borderId="0" xfId="0" applyFont="1" applyAlignment="1">
      <alignment horizontal="center" vertical="top"/>
    </xf>
    <xf numFmtId="0" fontId="119" fillId="0" borderId="3" xfId="0" applyFont="1" applyBorder="1" applyAlignment="1">
      <alignment horizontal="left" vertical="center" wrapText="1"/>
    </xf>
    <xf numFmtId="0" fontId="119" fillId="0" borderId="46" xfId="0" applyFont="1" applyBorder="1" applyAlignment="1">
      <alignment horizontal="left" vertical="center" wrapText="1"/>
    </xf>
    <xf numFmtId="0" fontId="119" fillId="0" borderId="4" xfId="0" applyFont="1" applyBorder="1" applyAlignment="1">
      <alignment horizontal="left" vertical="center" wrapText="1"/>
    </xf>
    <xf numFmtId="0" fontId="90" fillId="9" borderId="25" xfId="0" applyFont="1" applyFill="1" applyBorder="1" applyAlignment="1">
      <alignment horizontal="center"/>
    </xf>
    <xf numFmtId="0" fontId="90" fillId="9" borderId="33" xfId="0" applyFont="1" applyFill="1" applyBorder="1" applyAlignment="1">
      <alignment horizontal="center"/>
    </xf>
    <xf numFmtId="0" fontId="90" fillId="9" borderId="28" xfId="0" applyFont="1" applyFill="1" applyBorder="1" applyAlignment="1">
      <alignment horizontal="center"/>
    </xf>
    <xf numFmtId="0" fontId="90" fillId="0" borderId="2" xfId="0" applyFont="1" applyBorder="1" applyAlignment="1">
      <alignment horizontal="center" wrapText="1"/>
    </xf>
    <xf numFmtId="0" fontId="116" fillId="0" borderId="2" xfId="0" applyFont="1" applyBorder="1" applyAlignment="1">
      <alignment horizontal="center" vertical="center" wrapText="1"/>
    </xf>
    <xf numFmtId="0" fontId="116" fillId="0" borderId="3" xfId="0" applyFont="1" applyBorder="1" applyAlignment="1">
      <alignment horizontal="center" vertical="center" wrapText="1"/>
    </xf>
    <xf numFmtId="0" fontId="116" fillId="0" borderId="33" xfId="0" applyFont="1" applyBorder="1" applyAlignment="1">
      <alignment horizontal="center" vertical="center" wrapText="1"/>
    </xf>
    <xf numFmtId="0" fontId="116" fillId="0" borderId="4" xfId="0" applyFont="1" applyBorder="1" applyAlignment="1">
      <alignment horizontal="center" vertical="center" wrapText="1"/>
    </xf>
    <xf numFmtId="0" fontId="99" fillId="0" borderId="25" xfId="0" applyFont="1" applyBorder="1" applyAlignment="1">
      <alignment horizontal="center" vertical="center"/>
    </xf>
    <xf numFmtId="0" fontId="99" fillId="0" borderId="28" xfId="0" applyFont="1" applyBorder="1" applyAlignment="1">
      <alignment horizontal="center" vertical="center"/>
    </xf>
    <xf numFmtId="0" fontId="99" fillId="10" borderId="2" xfId="0" applyFont="1" applyFill="1" applyBorder="1" applyAlignment="1">
      <alignment horizontal="center" vertical="center" wrapText="1"/>
    </xf>
    <xf numFmtId="0" fontId="99" fillId="10" borderId="2" xfId="0" applyFont="1" applyFill="1" applyBorder="1" applyAlignment="1">
      <alignment horizontal="center" vertical="center"/>
    </xf>
    <xf numFmtId="0" fontId="101" fillId="0" borderId="3" xfId="0" applyFont="1" applyBorder="1" applyAlignment="1">
      <alignment horizontal="center" vertical="center"/>
    </xf>
    <xf numFmtId="0" fontId="101" fillId="0" borderId="46" xfId="0" applyFont="1" applyBorder="1" applyAlignment="1">
      <alignment horizontal="center" vertical="center"/>
    </xf>
    <xf numFmtId="0" fontId="101" fillId="0" borderId="4" xfId="0" applyFont="1" applyBorder="1" applyAlignment="1">
      <alignment horizontal="center" vertical="center"/>
    </xf>
    <xf numFmtId="170" fontId="100" fillId="10" borderId="43" xfId="0" applyNumberFormat="1" applyFont="1" applyFill="1" applyBorder="1" applyAlignment="1">
      <alignment horizontal="center" vertical="center"/>
    </xf>
    <xf numFmtId="170" fontId="100" fillId="10" borderId="0" xfId="0" applyNumberFormat="1" applyFont="1" applyFill="1" applyAlignment="1">
      <alignment horizontal="center" vertical="center"/>
    </xf>
    <xf numFmtId="0" fontId="99" fillId="10" borderId="23" xfId="0" applyFont="1" applyFill="1" applyBorder="1" applyAlignment="1">
      <alignment horizontal="center" vertical="center"/>
    </xf>
    <xf numFmtId="0" fontId="99" fillId="10" borderId="24" xfId="0" applyFont="1" applyFill="1" applyBorder="1" applyAlignment="1">
      <alignment horizontal="center" vertical="center"/>
    </xf>
    <xf numFmtId="0" fontId="99" fillId="10" borderId="26" xfId="0" applyFont="1" applyFill="1" applyBorder="1" applyAlignment="1">
      <alignment horizontal="center" vertical="center"/>
    </xf>
    <xf numFmtId="0" fontId="99" fillId="10" borderId="27" xfId="0" applyFont="1" applyFill="1" applyBorder="1" applyAlignment="1">
      <alignment horizontal="center" vertical="center"/>
    </xf>
    <xf numFmtId="0" fontId="97" fillId="0" borderId="49" xfId="18" applyFont="1" applyBorder="1" applyAlignment="1">
      <alignment horizontal="center" vertical="center"/>
    </xf>
    <xf numFmtId="0" fontId="97" fillId="0" borderId="22" xfId="18" applyFont="1" applyBorder="1" applyAlignment="1">
      <alignment horizontal="center" vertical="center"/>
    </xf>
    <xf numFmtId="0" fontId="97" fillId="0" borderId="50" xfId="18" applyFont="1" applyBorder="1" applyAlignment="1">
      <alignment horizontal="center" vertical="center"/>
    </xf>
    <xf numFmtId="0" fontId="98" fillId="0" borderId="43" xfId="0" applyFont="1" applyBorder="1" applyAlignment="1">
      <alignment horizontal="center" vertical="center"/>
    </xf>
    <xf numFmtId="0" fontId="98" fillId="0" borderId="0" xfId="0" applyFont="1" applyAlignment="1">
      <alignment horizontal="center" vertical="center"/>
    </xf>
    <xf numFmtId="0" fontId="98" fillId="0" borderId="47" xfId="0" applyFont="1" applyBorder="1" applyAlignment="1">
      <alignment horizontal="center" vertical="center"/>
    </xf>
    <xf numFmtId="0" fontId="99" fillId="10" borderId="25" xfId="0" applyFont="1" applyFill="1" applyBorder="1" applyAlignment="1">
      <alignment horizontal="center" vertical="center"/>
    </xf>
    <xf numFmtId="0" fontId="99" fillId="10" borderId="33" xfId="0" applyFont="1" applyFill="1" applyBorder="1" applyAlignment="1">
      <alignment horizontal="center" vertical="center"/>
    </xf>
    <xf numFmtId="0" fontId="99" fillId="10" borderId="28" xfId="0" applyFont="1" applyFill="1" applyBorder="1" applyAlignment="1">
      <alignment horizontal="center" vertical="center"/>
    </xf>
    <xf numFmtId="0" fontId="99" fillId="3" borderId="0" xfId="0" applyFont="1" applyFill="1" applyAlignment="1">
      <alignment horizontal="center" vertical="center"/>
    </xf>
    <xf numFmtId="0" fontId="101" fillId="0" borderId="17" xfId="0" applyFont="1" applyBorder="1" applyAlignment="1">
      <alignment horizontal="center" vertical="center"/>
    </xf>
    <xf numFmtId="0" fontId="101" fillId="0" borderId="18" xfId="0" applyFont="1" applyBorder="1" applyAlignment="1">
      <alignment horizontal="center" vertical="center"/>
    </xf>
    <xf numFmtId="0" fontId="101" fillId="0" borderId="19" xfId="0" applyFont="1" applyBorder="1" applyAlignment="1">
      <alignment horizontal="center" vertical="center"/>
    </xf>
    <xf numFmtId="0" fontId="101" fillId="0" borderId="51" xfId="0" applyFont="1" applyBorder="1" applyAlignment="1">
      <alignment horizontal="center" vertical="center"/>
    </xf>
    <xf numFmtId="0" fontId="101" fillId="0" borderId="52" xfId="0" applyFont="1" applyBorder="1" applyAlignment="1">
      <alignment horizontal="center" vertical="center"/>
    </xf>
    <xf numFmtId="44" fontId="101" fillId="0" borderId="51" xfId="2" applyFont="1" applyFill="1" applyBorder="1" applyAlignment="1">
      <alignment horizontal="center" vertical="center"/>
    </xf>
    <xf numFmtId="44" fontId="101" fillId="0" borderId="52" xfId="2" applyFont="1" applyFill="1" applyBorder="1" applyAlignment="1">
      <alignment horizontal="center" vertical="center"/>
    </xf>
    <xf numFmtId="44" fontId="101" fillId="0" borderId="53" xfId="2" applyFont="1" applyFill="1" applyBorder="1" applyAlignment="1">
      <alignment horizontal="center" vertical="center"/>
    </xf>
    <xf numFmtId="0" fontId="110" fillId="12" borderId="43" xfId="0" applyFont="1" applyFill="1" applyBorder="1" applyAlignment="1">
      <alignment horizontal="center"/>
    </xf>
    <xf numFmtId="0" fontId="110" fillId="12" borderId="0" xfId="0" applyFont="1" applyFill="1" applyAlignment="1">
      <alignment horizontal="center"/>
    </xf>
    <xf numFmtId="0" fontId="110" fillId="12" borderId="47" xfId="0" applyFont="1" applyFill="1" applyBorder="1" applyAlignment="1">
      <alignment horizontal="center"/>
    </xf>
    <xf numFmtId="0" fontId="115" fillId="0" borderId="2" xfId="0" applyFont="1" applyBorder="1" applyAlignment="1">
      <alignment horizontal="left" vertical="center" wrapText="1"/>
    </xf>
    <xf numFmtId="0" fontId="115" fillId="0" borderId="2" xfId="0" applyFont="1" applyBorder="1" applyAlignment="1">
      <alignment horizontal="left" vertical="center"/>
    </xf>
    <xf numFmtId="0" fontId="101" fillId="0" borderId="53" xfId="0" applyFont="1" applyBorder="1" applyAlignment="1">
      <alignment horizontal="center" vertical="center"/>
    </xf>
    <xf numFmtId="0" fontId="98" fillId="0" borderId="44" xfId="0" applyFont="1" applyBorder="1" applyAlignment="1">
      <alignment horizontal="center" vertical="center"/>
    </xf>
    <xf numFmtId="0" fontId="98" fillId="0" borderId="45" xfId="0" applyFont="1" applyBorder="1" applyAlignment="1">
      <alignment horizontal="center" vertical="center"/>
    </xf>
    <xf numFmtId="0" fontId="98" fillId="0" borderId="48" xfId="0" applyFont="1" applyBorder="1" applyAlignment="1">
      <alignment horizontal="center" vertical="center"/>
    </xf>
    <xf numFmtId="0" fontId="83" fillId="0" borderId="6" xfId="0" applyFont="1" applyBorder="1" applyAlignment="1">
      <alignment horizontal="center" vertical="center"/>
    </xf>
    <xf numFmtId="0" fontId="83" fillId="0" borderId="7" xfId="0" applyFont="1" applyBorder="1" applyAlignment="1">
      <alignment horizontal="center" vertical="center"/>
    </xf>
    <xf numFmtId="0" fontId="83" fillId="0" borderId="13" xfId="0" applyFont="1" applyBorder="1" applyAlignment="1">
      <alignment horizontal="center" vertical="center"/>
    </xf>
    <xf numFmtId="0" fontId="83" fillId="3" borderId="8" xfId="0" applyFont="1" applyFill="1" applyBorder="1" applyAlignment="1">
      <alignment horizontal="center" vertical="center" wrapText="1"/>
    </xf>
    <xf numFmtId="0" fontId="83" fillId="3" borderId="2" xfId="0" applyFont="1" applyFill="1" applyBorder="1" applyAlignment="1">
      <alignment horizontal="center" vertical="center" wrapText="1"/>
    </xf>
    <xf numFmtId="0" fontId="83" fillId="3" borderId="14" xfId="0" applyFont="1" applyFill="1" applyBorder="1" applyAlignment="1">
      <alignment horizontal="center" vertical="center" wrapText="1"/>
    </xf>
    <xf numFmtId="0" fontId="116" fillId="3" borderId="2" xfId="0" applyFont="1" applyFill="1" applyBorder="1" applyAlignment="1">
      <alignment horizontal="center" vertical="center" wrapText="1"/>
    </xf>
    <xf numFmtId="0" fontId="116" fillId="3" borderId="3" xfId="0" applyFont="1" applyFill="1" applyBorder="1" applyAlignment="1">
      <alignment horizontal="center" vertical="center" wrapText="1"/>
    </xf>
    <xf numFmtId="0" fontId="116" fillId="0" borderId="46" xfId="0" applyFont="1" applyBorder="1" applyAlignment="1">
      <alignment horizontal="center" vertical="center" wrapText="1"/>
    </xf>
    <xf numFmtId="0" fontId="230" fillId="33" borderId="2" xfId="0" applyFont="1" applyFill="1" applyBorder="1" applyAlignment="1">
      <alignment horizontal="center" vertical="center" wrapText="1"/>
    </xf>
    <xf numFmtId="0" fontId="231" fillId="0" borderId="2" xfId="0" applyFont="1" applyBorder="1" applyAlignment="1">
      <alignment horizontal="center" vertical="center" wrapText="1"/>
    </xf>
    <xf numFmtId="0" fontId="1" fillId="0" borderId="25" xfId="0" applyFont="1" applyBorder="1" applyAlignment="1">
      <alignment horizontal="center" vertical="center" wrapText="1"/>
    </xf>
    <xf numFmtId="0" fontId="2" fillId="0" borderId="33" xfId="0" applyFont="1" applyBorder="1" applyAlignment="1">
      <alignment horizontal="center" vertical="center" wrapText="1"/>
    </xf>
    <xf numFmtId="0" fontId="2" fillId="0" borderId="28" xfId="0" applyFont="1" applyBorder="1" applyAlignment="1">
      <alignment horizontal="center" vertical="center" wrapText="1"/>
    </xf>
    <xf numFmtId="0" fontId="208" fillId="0" borderId="0" xfId="0" applyFont="1" applyAlignment="1">
      <alignment horizontal="center" vertical="center" wrapText="1"/>
    </xf>
    <xf numFmtId="0" fontId="90" fillId="0" borderId="14" xfId="0" applyFont="1" applyBorder="1" applyAlignment="1">
      <alignment horizontal="center" vertical="center"/>
    </xf>
    <xf numFmtId="0" fontId="90" fillId="0" borderId="15" xfId="0" applyFont="1" applyBorder="1" applyAlignment="1">
      <alignment horizontal="center" vertical="center"/>
    </xf>
    <xf numFmtId="0" fontId="116" fillId="0" borderId="8" xfId="0" applyFont="1" applyBorder="1" applyAlignment="1">
      <alignment horizontal="center" vertical="center" wrapText="1"/>
    </xf>
    <xf numFmtId="0" fontId="116" fillId="0" borderId="9" xfId="0" applyFont="1" applyBorder="1" applyAlignment="1">
      <alignment horizontal="center" vertical="center" wrapText="1"/>
    </xf>
    <xf numFmtId="171" fontId="116" fillId="0" borderId="2" xfId="0" applyNumberFormat="1" applyFont="1" applyBorder="1" applyAlignment="1">
      <alignment horizontal="center" vertical="center" wrapText="1"/>
    </xf>
    <xf numFmtId="171" fontId="116" fillId="0" borderId="3" xfId="0" applyNumberFormat="1" applyFont="1" applyBorder="1" applyAlignment="1">
      <alignment horizontal="center" vertical="center" wrapText="1"/>
    </xf>
    <xf numFmtId="0" fontId="189" fillId="0" borderId="51" xfId="0" applyFont="1" applyBorder="1" applyAlignment="1">
      <alignment horizontal="center" vertical="center"/>
    </xf>
    <xf numFmtId="0" fontId="189" fillId="0" borderId="52" xfId="0" applyFont="1" applyBorder="1" applyAlignment="1">
      <alignment horizontal="center" vertical="center"/>
    </xf>
    <xf numFmtId="0" fontId="189" fillId="0" borderId="22" xfId="0" applyFont="1" applyBorder="1" applyAlignment="1">
      <alignment horizontal="center" vertical="center"/>
    </xf>
    <xf numFmtId="0" fontId="175" fillId="3" borderId="51" xfId="24" applyFont="1" applyFill="1" applyBorder="1" applyAlignment="1">
      <alignment horizontal="center" vertical="center"/>
    </xf>
    <xf numFmtId="0" fontId="175" fillId="3" borderId="52" xfId="24" applyFont="1" applyFill="1" applyBorder="1" applyAlignment="1">
      <alignment horizontal="center" vertical="center"/>
    </xf>
    <xf numFmtId="172" fontId="175" fillId="3" borderId="2" xfId="24" applyNumberFormat="1" applyFont="1" applyFill="1" applyBorder="1" applyAlignment="1">
      <alignment horizontal="center" vertical="center"/>
    </xf>
    <xf numFmtId="0" fontId="175" fillId="3" borderId="60" xfId="24" applyFont="1" applyFill="1" applyBorder="1" applyAlignment="1">
      <alignment horizontal="left" vertical="center" wrapText="1"/>
    </xf>
    <xf numFmtId="0" fontId="175" fillId="3" borderId="4" xfId="24" applyFont="1" applyFill="1" applyBorder="1" applyAlignment="1">
      <alignment horizontal="left" vertical="center" wrapText="1"/>
    </xf>
    <xf numFmtId="0" fontId="175" fillId="3" borderId="61" xfId="24" applyFont="1" applyFill="1" applyBorder="1" applyAlignment="1">
      <alignment horizontal="left" vertical="center" wrapText="1"/>
    </xf>
    <xf numFmtId="0" fontId="175" fillId="3" borderId="8" xfId="24" applyFont="1" applyFill="1" applyBorder="1" applyAlignment="1">
      <alignment horizontal="left" vertical="center" wrapText="1"/>
    </xf>
    <xf numFmtId="0" fontId="175" fillId="3" borderId="2" xfId="24" applyFont="1" applyFill="1" applyBorder="1" applyAlignment="1">
      <alignment horizontal="left" vertical="center" wrapText="1"/>
    </xf>
    <xf numFmtId="0" fontId="175" fillId="3" borderId="14" xfId="24" applyFont="1" applyFill="1" applyBorder="1" applyAlignment="1">
      <alignment horizontal="left" vertical="center" wrapText="1"/>
    </xf>
    <xf numFmtId="0" fontId="157" fillId="3" borderId="22" xfId="24" applyFont="1" applyFill="1" applyBorder="1" applyAlignment="1">
      <alignment horizontal="center" vertical="center" wrapText="1"/>
    </xf>
    <xf numFmtId="0" fontId="157" fillId="3" borderId="22" xfId="0" applyFont="1" applyFill="1" applyBorder="1" applyAlignment="1">
      <alignment horizontal="center"/>
    </xf>
    <xf numFmtId="0" fontId="157" fillId="3" borderId="0" xfId="0" applyFont="1" applyFill="1" applyAlignment="1">
      <alignment horizontal="center"/>
    </xf>
    <xf numFmtId="0" fontId="158" fillId="3" borderId="0" xfId="24" applyFont="1" applyFill="1" applyAlignment="1">
      <alignment horizontal="center" vertical="center" wrapText="1"/>
    </xf>
    <xf numFmtId="0" fontId="158" fillId="3" borderId="0" xfId="0" applyFont="1" applyFill="1" applyAlignment="1">
      <alignment horizontal="center"/>
    </xf>
    <xf numFmtId="0" fontId="160" fillId="3" borderId="0" xfId="0" applyFont="1" applyFill="1" applyAlignment="1">
      <alignment horizontal="center"/>
    </xf>
    <xf numFmtId="0" fontId="175" fillId="3" borderId="8" xfId="24" applyFont="1" applyFill="1" applyBorder="1" applyAlignment="1">
      <alignment horizontal="center" vertical="center" wrapText="1"/>
    </xf>
    <xf numFmtId="0" fontId="175" fillId="3" borderId="2" xfId="24" applyFont="1" applyFill="1" applyBorder="1" applyAlignment="1">
      <alignment horizontal="center" vertical="center" wrapText="1"/>
    </xf>
    <xf numFmtId="169" fontId="175" fillId="3" borderId="2" xfId="24" applyNumberFormat="1" applyFont="1" applyFill="1" applyBorder="1" applyAlignment="1">
      <alignment horizontal="center" vertical="center" wrapText="1"/>
    </xf>
    <xf numFmtId="169" fontId="175" fillId="3" borderId="25" xfId="24" applyNumberFormat="1" applyFont="1" applyFill="1" applyBorder="1" applyAlignment="1">
      <alignment horizontal="center" vertical="center" wrapText="1"/>
    </xf>
    <xf numFmtId="169" fontId="175" fillId="3" borderId="33" xfId="24" applyNumberFormat="1" applyFont="1" applyFill="1" applyBorder="1" applyAlignment="1">
      <alignment horizontal="center" vertical="center" wrapText="1"/>
    </xf>
    <xf numFmtId="169" fontId="175" fillId="3" borderId="28" xfId="24" applyNumberFormat="1" applyFont="1" applyFill="1" applyBorder="1" applyAlignment="1">
      <alignment horizontal="center" vertical="center" wrapText="1"/>
    </xf>
    <xf numFmtId="169" fontId="175" fillId="3" borderId="14" xfId="24" applyNumberFormat="1" applyFont="1" applyFill="1" applyBorder="1" applyAlignment="1">
      <alignment horizontal="center" vertical="center" wrapText="1"/>
    </xf>
    <xf numFmtId="0" fontId="175" fillId="3" borderId="14" xfId="24" applyFont="1" applyFill="1" applyBorder="1" applyAlignment="1">
      <alignment horizontal="center" vertical="center" wrapText="1"/>
    </xf>
    <xf numFmtId="0" fontId="175" fillId="3" borderId="25" xfId="24" applyFont="1" applyFill="1" applyBorder="1" applyAlignment="1">
      <alignment horizontal="center" vertical="center" wrapText="1"/>
    </xf>
    <xf numFmtId="0" fontId="175" fillId="3" borderId="28" xfId="24" applyFont="1" applyFill="1" applyBorder="1" applyAlignment="1">
      <alignment horizontal="center" vertical="center" wrapText="1"/>
    </xf>
    <xf numFmtId="0" fontId="189" fillId="0" borderId="25" xfId="0" applyFont="1" applyBorder="1" applyAlignment="1">
      <alignment horizontal="center" vertical="center"/>
    </xf>
    <xf numFmtId="0" fontId="189" fillId="0" borderId="33" xfId="0" applyFont="1" applyBorder="1" applyAlignment="1">
      <alignment horizontal="center" vertical="center"/>
    </xf>
    <xf numFmtId="0" fontId="189" fillId="0" borderId="28" xfId="0" applyFont="1" applyBorder="1" applyAlignment="1">
      <alignment horizontal="center" vertical="center"/>
    </xf>
    <xf numFmtId="0" fontId="189" fillId="0" borderId="2" xfId="0" applyFont="1" applyBorder="1" applyAlignment="1">
      <alignment horizontal="center" vertical="center"/>
    </xf>
    <xf numFmtId="1" fontId="175" fillId="3" borderId="2" xfId="24" applyNumberFormat="1" applyFont="1" applyFill="1" applyBorder="1" applyAlignment="1">
      <alignment horizontal="center" vertical="center" wrapText="1"/>
    </xf>
    <xf numFmtId="1" fontId="175" fillId="3" borderId="14" xfId="24" applyNumberFormat="1" applyFont="1" applyFill="1" applyBorder="1" applyAlignment="1">
      <alignment horizontal="center" vertical="center" wrapText="1"/>
    </xf>
    <xf numFmtId="0" fontId="163" fillId="3" borderId="0" xfId="0" applyFont="1" applyFill="1" applyAlignment="1">
      <alignment horizontal="center" vertical="center"/>
    </xf>
    <xf numFmtId="0" fontId="157" fillId="21" borderId="0" xfId="24" applyFont="1" applyFill="1" applyAlignment="1">
      <alignment horizontal="center"/>
    </xf>
    <xf numFmtId="0" fontId="160" fillId="3" borderId="0" xfId="24" applyFont="1" applyFill="1" applyAlignment="1">
      <alignment horizontal="center" vertical="center" wrapText="1"/>
    </xf>
    <xf numFmtId="0" fontId="175" fillId="3" borderId="2" xfId="24" applyFont="1" applyFill="1" applyBorder="1" applyAlignment="1">
      <alignment horizontal="left" vertical="center"/>
    </xf>
    <xf numFmtId="0" fontId="172" fillId="29" borderId="25" xfId="0" applyFont="1" applyFill="1" applyBorder="1" applyAlignment="1">
      <alignment horizontal="center" vertical="center"/>
    </xf>
    <xf numFmtId="0" fontId="172" fillId="29" borderId="33" xfId="0" applyFont="1" applyFill="1" applyBorder="1" applyAlignment="1">
      <alignment horizontal="center" vertical="center"/>
    </xf>
    <xf numFmtId="49" fontId="166" fillId="0" borderId="5" xfId="0" applyNumberFormat="1" applyFont="1" applyBorder="1" applyAlignment="1">
      <alignment horizontal="left" vertical="center" wrapText="1"/>
    </xf>
    <xf numFmtId="0" fontId="160" fillId="3" borderId="32" xfId="0" applyFont="1" applyFill="1" applyBorder="1" applyAlignment="1">
      <alignment horizontal="center" vertical="center"/>
    </xf>
    <xf numFmtId="49" fontId="166" fillId="0" borderId="43" xfId="0" quotePrefix="1" applyNumberFormat="1" applyFont="1" applyBorder="1" applyAlignment="1">
      <alignment horizontal="center" vertical="center" wrapText="1"/>
    </xf>
    <xf numFmtId="49" fontId="166" fillId="0" borderId="0" xfId="0" quotePrefix="1" applyNumberFormat="1" applyFont="1" applyAlignment="1">
      <alignment horizontal="center" vertical="center" wrapText="1"/>
    </xf>
    <xf numFmtId="49" fontId="166" fillId="0" borderId="5" xfId="0" applyNumberFormat="1" applyFont="1" applyBorder="1" applyAlignment="1">
      <alignment horizontal="center" vertical="center" wrapText="1"/>
    </xf>
    <xf numFmtId="0" fontId="172" fillId="17" borderId="43" xfId="0" applyFont="1" applyFill="1" applyBorder="1" applyAlignment="1">
      <alignment horizontal="center" vertical="center"/>
    </xf>
    <xf numFmtId="0" fontId="172" fillId="17" borderId="0" xfId="0" applyFont="1" applyFill="1" applyAlignment="1">
      <alignment horizontal="center" vertical="center"/>
    </xf>
    <xf numFmtId="0" fontId="172" fillId="29" borderId="43" xfId="0" applyFont="1" applyFill="1" applyBorder="1" applyAlignment="1">
      <alignment horizontal="center" vertical="center"/>
    </xf>
    <xf numFmtId="0" fontId="172" fillId="29" borderId="0" xfId="0" applyFont="1" applyFill="1" applyAlignment="1">
      <alignment horizontal="center" vertical="center"/>
    </xf>
    <xf numFmtId="0" fontId="168" fillId="22" borderId="0" xfId="0" applyFont="1" applyFill="1" applyAlignment="1">
      <alignment horizontal="right" vertical="center" wrapText="1"/>
    </xf>
    <xf numFmtId="0" fontId="168" fillId="22" borderId="0" xfId="0" applyFont="1" applyFill="1" applyAlignment="1">
      <alignment horizontal="left" vertical="center" wrapText="1"/>
    </xf>
    <xf numFmtId="49" fontId="166" fillId="0" borderId="0" xfId="0" applyNumberFormat="1" applyFont="1" applyAlignment="1">
      <alignment horizontal="left" vertical="center" wrapText="1"/>
    </xf>
    <xf numFmtId="0" fontId="168" fillId="0" borderId="0" xfId="0" applyFont="1" applyAlignment="1">
      <alignment horizontal="center" wrapText="1"/>
    </xf>
    <xf numFmtId="0" fontId="172" fillId="29" borderId="2" xfId="0" applyFont="1" applyFill="1" applyBorder="1" applyAlignment="1">
      <alignment horizontal="center" vertical="center"/>
    </xf>
    <xf numFmtId="0" fontId="178" fillId="29" borderId="0" xfId="0" applyFont="1" applyFill="1" applyAlignment="1">
      <alignment horizontal="center" vertical="center"/>
    </xf>
    <xf numFmtId="49" fontId="166" fillId="0" borderId="0" xfId="0" applyNumberFormat="1" applyFont="1" applyAlignment="1">
      <alignment horizontal="right" vertical="center" wrapText="1"/>
    </xf>
    <xf numFmtId="0" fontId="172" fillId="17" borderId="25" xfId="0" applyFont="1" applyFill="1" applyBorder="1" applyAlignment="1">
      <alignment horizontal="center" vertical="center"/>
    </xf>
    <xf numFmtId="0" fontId="172" fillId="17" borderId="33" xfId="0" applyFont="1" applyFill="1" applyBorder="1" applyAlignment="1">
      <alignment horizontal="center" vertical="center"/>
    </xf>
    <xf numFmtId="0" fontId="172" fillId="17" borderId="28" xfId="0" applyFont="1" applyFill="1" applyBorder="1" applyAlignment="1">
      <alignment horizontal="center" vertical="center"/>
    </xf>
    <xf numFmtId="0" fontId="172" fillId="29" borderId="28" xfId="0" applyFont="1" applyFill="1" applyBorder="1" applyAlignment="1">
      <alignment horizontal="center" vertical="center"/>
    </xf>
    <xf numFmtId="0" fontId="176" fillId="0" borderId="0" xfId="0" applyFont="1" applyAlignment="1">
      <alignment horizontal="left" vertical="center" wrapText="1"/>
    </xf>
    <xf numFmtId="0" fontId="168" fillId="0" borderId="0" xfId="0" applyFont="1" applyAlignment="1">
      <alignment horizontal="center" vertical="center" wrapText="1"/>
    </xf>
    <xf numFmtId="0" fontId="168" fillId="29" borderId="43" xfId="0" applyFont="1" applyFill="1" applyBorder="1" applyAlignment="1">
      <alignment horizontal="center" wrapText="1"/>
    </xf>
    <xf numFmtId="0" fontId="168" fillId="29" borderId="0" xfId="0" applyFont="1" applyFill="1" applyAlignment="1">
      <alignment horizontal="center" wrapText="1"/>
    </xf>
    <xf numFmtId="0" fontId="172" fillId="0" borderId="0" xfId="0" applyFont="1" applyAlignment="1">
      <alignment horizontal="center" vertical="center"/>
    </xf>
    <xf numFmtId="49" fontId="166" fillId="0" borderId="0" xfId="0" applyNumberFormat="1" applyFont="1" applyAlignment="1">
      <alignment horizontal="center" vertical="center" wrapText="1"/>
    </xf>
    <xf numFmtId="0" fontId="174" fillId="29" borderId="0" xfId="0" applyFont="1" applyFill="1" applyAlignment="1">
      <alignment horizontal="left" vertical="center"/>
    </xf>
    <xf numFmtId="49" fontId="166" fillId="0" borderId="43" xfId="0" applyNumberFormat="1" applyFont="1" applyBorder="1" applyAlignment="1">
      <alignment horizontal="right" vertical="center" wrapText="1"/>
    </xf>
    <xf numFmtId="49" fontId="166" fillId="0" borderId="0" xfId="0" applyNumberFormat="1" applyFont="1" applyAlignment="1">
      <alignment vertical="center" wrapText="1"/>
    </xf>
    <xf numFmtId="0" fontId="178" fillId="3" borderId="0" xfId="0" applyFont="1" applyFill="1" applyAlignment="1">
      <alignment horizontal="center" vertical="center"/>
    </xf>
    <xf numFmtId="0" fontId="178" fillId="3" borderId="35" xfId="0" applyFont="1" applyFill="1" applyBorder="1" applyAlignment="1">
      <alignment horizontal="center" vertical="center"/>
    </xf>
    <xf numFmtId="0" fontId="172" fillId="3" borderId="0" xfId="0" applyFont="1" applyFill="1" applyAlignment="1">
      <alignment horizontal="center" vertical="center"/>
    </xf>
    <xf numFmtId="0" fontId="172" fillId="29" borderId="0" xfId="0" applyFont="1" applyFill="1" applyAlignment="1">
      <alignment horizontal="center"/>
    </xf>
    <xf numFmtId="0" fontId="172" fillId="29" borderId="25" xfId="0" applyFont="1" applyFill="1" applyBorder="1" applyAlignment="1">
      <alignment horizontal="center" vertical="center" wrapText="1"/>
    </xf>
    <xf numFmtId="0" fontId="172" fillId="29" borderId="33" xfId="0" applyFont="1" applyFill="1" applyBorder="1" applyAlignment="1">
      <alignment horizontal="center" vertical="center" wrapText="1"/>
    </xf>
    <xf numFmtId="0" fontId="172" fillId="29" borderId="28" xfId="0" applyFont="1" applyFill="1" applyBorder="1" applyAlignment="1">
      <alignment horizontal="center" vertical="center" wrapText="1"/>
    </xf>
    <xf numFmtId="0" fontId="172" fillId="3" borderId="20" xfId="0" applyFont="1" applyFill="1" applyBorder="1" applyAlignment="1">
      <alignment horizontal="center" vertical="center"/>
    </xf>
    <xf numFmtId="0" fontId="171" fillId="0" borderId="2" xfId="0" applyFont="1" applyBorder="1" applyAlignment="1">
      <alignment horizontal="left" vertical="center"/>
    </xf>
    <xf numFmtId="0" fontId="166" fillId="0" borderId="2" xfId="0" applyFont="1" applyBorder="1" applyAlignment="1">
      <alignment horizontal="center" vertical="center"/>
    </xf>
    <xf numFmtId="168" fontId="156" fillId="0" borderId="2" xfId="0" applyNumberFormat="1" applyFont="1" applyBorder="1" applyAlignment="1">
      <alignment horizontal="center" vertical="center"/>
    </xf>
    <xf numFmtId="0" fontId="171" fillId="0" borderId="2" xfId="0" applyFont="1" applyBorder="1" applyAlignment="1">
      <alignment horizontal="center" vertical="center"/>
    </xf>
    <xf numFmtId="0" fontId="184" fillId="0" borderId="2" xfId="0" applyFont="1" applyBorder="1" applyAlignment="1">
      <alignment horizontal="left" vertical="center"/>
    </xf>
    <xf numFmtId="0" fontId="184" fillId="0" borderId="2" xfId="0" applyFont="1" applyBorder="1" applyAlignment="1">
      <alignment horizontal="center" vertical="center"/>
    </xf>
    <xf numFmtId="0" fontId="171" fillId="0" borderId="0" xfId="0" applyFont="1" applyAlignment="1">
      <alignment horizontal="center"/>
    </xf>
    <xf numFmtId="0" fontId="171" fillId="0" borderId="4" xfId="0" applyFont="1" applyBorder="1" applyAlignment="1">
      <alignment horizontal="left" vertical="center"/>
    </xf>
    <xf numFmtId="0" fontId="173" fillId="0" borderId="25" xfId="0" applyFont="1" applyBorder="1" applyAlignment="1">
      <alignment horizontal="center"/>
    </xf>
    <xf numFmtId="0" fontId="173" fillId="0" borderId="33" xfId="0" applyFont="1" applyBorder="1" applyAlignment="1">
      <alignment horizontal="center"/>
    </xf>
    <xf numFmtId="168" fontId="156" fillId="19" borderId="2" xfId="0" applyNumberFormat="1" applyFont="1" applyFill="1" applyBorder="1" applyAlignment="1">
      <alignment horizontal="center" vertical="center"/>
    </xf>
    <xf numFmtId="43" fontId="166" fillId="0" borderId="25" xfId="1" applyFont="1" applyFill="1" applyBorder="1" applyAlignment="1">
      <alignment horizontal="left" vertical="center"/>
    </xf>
    <xf numFmtId="43" fontId="166" fillId="0" borderId="33" xfId="1" applyFont="1" applyFill="1" applyBorder="1" applyAlignment="1">
      <alignment horizontal="left" vertical="center"/>
    </xf>
    <xf numFmtId="43" fontId="166" fillId="0" borderId="28" xfId="1" applyFont="1" applyFill="1" applyBorder="1" applyAlignment="1">
      <alignment horizontal="left" vertical="center"/>
    </xf>
    <xf numFmtId="0" fontId="166" fillId="0" borderId="25" xfId="0" applyFont="1" applyBorder="1" applyAlignment="1">
      <alignment horizontal="center" vertical="center"/>
    </xf>
    <xf numFmtId="0" fontId="166" fillId="0" borderId="28" xfId="0" applyFont="1" applyBorder="1" applyAlignment="1">
      <alignment horizontal="center" vertical="center"/>
    </xf>
    <xf numFmtId="0" fontId="139" fillId="3" borderId="32" xfId="0" applyFont="1" applyFill="1" applyBorder="1" applyAlignment="1">
      <alignment horizontal="right" vertical="center"/>
    </xf>
    <xf numFmtId="0" fontId="139" fillId="3" borderId="32" xfId="0" applyFont="1" applyFill="1" applyBorder="1" applyAlignment="1">
      <alignment horizontal="center" vertical="center"/>
    </xf>
    <xf numFmtId="0" fontId="139" fillId="3" borderId="27" xfId="0" applyFont="1" applyFill="1" applyBorder="1" applyAlignment="1">
      <alignment horizontal="center" vertical="center"/>
    </xf>
    <xf numFmtId="0" fontId="138" fillId="3" borderId="8" xfId="24" applyFont="1" applyFill="1" applyBorder="1" applyAlignment="1">
      <alignment horizontal="center" vertical="center" wrapText="1"/>
    </xf>
    <xf numFmtId="0" fontId="138" fillId="3" borderId="2" xfId="24" applyFont="1" applyFill="1" applyBorder="1" applyAlignment="1">
      <alignment horizontal="center" vertical="center" wrapText="1"/>
    </xf>
    <xf numFmtId="0" fontId="138" fillId="3" borderId="2" xfId="24" applyFont="1" applyFill="1" applyBorder="1" applyAlignment="1">
      <alignment horizontal="left" vertical="center"/>
    </xf>
    <xf numFmtId="0" fontId="139" fillId="3" borderId="2" xfId="24" applyFont="1" applyFill="1" applyBorder="1" applyAlignment="1">
      <alignment horizontal="center" vertical="center" wrapText="1"/>
    </xf>
    <xf numFmtId="169" fontId="139" fillId="3" borderId="2" xfId="24" applyNumberFormat="1" applyFont="1" applyFill="1" applyBorder="1" applyAlignment="1">
      <alignment horizontal="center" vertical="center" wrapText="1"/>
    </xf>
    <xf numFmtId="0" fontId="139" fillId="3" borderId="14" xfId="24" applyFont="1" applyFill="1" applyBorder="1" applyAlignment="1">
      <alignment horizontal="center" vertical="center" wrapText="1"/>
    </xf>
    <xf numFmtId="0" fontId="138" fillId="3" borderId="2" xfId="24" applyFont="1" applyFill="1" applyBorder="1" applyAlignment="1">
      <alignment horizontal="left" vertical="center" wrapText="1"/>
    </xf>
    <xf numFmtId="0" fontId="139" fillId="3" borderId="25" xfId="24" applyFont="1" applyFill="1" applyBorder="1" applyAlignment="1">
      <alignment horizontal="center" vertical="center" wrapText="1"/>
    </xf>
    <xf numFmtId="0" fontId="139" fillId="3" borderId="28" xfId="24" applyFont="1" applyFill="1" applyBorder="1" applyAlignment="1">
      <alignment horizontal="center" vertical="center" wrapText="1"/>
    </xf>
    <xf numFmtId="0" fontId="140" fillId="0" borderId="25" xfId="0" applyFont="1" applyBorder="1" applyAlignment="1">
      <alignment horizontal="center" vertical="center"/>
    </xf>
    <xf numFmtId="0" fontId="140" fillId="0" borderId="33" xfId="0" applyFont="1" applyBorder="1" applyAlignment="1">
      <alignment horizontal="center" vertical="center"/>
    </xf>
    <xf numFmtId="0" fontId="140" fillId="0" borderId="28" xfId="0" applyFont="1" applyBorder="1" applyAlignment="1">
      <alignment horizontal="center" vertical="center"/>
    </xf>
    <xf numFmtId="0" fontId="140" fillId="0" borderId="2" xfId="0" applyFont="1" applyBorder="1" applyAlignment="1">
      <alignment horizontal="center" vertical="center"/>
    </xf>
    <xf numFmtId="0" fontId="139" fillId="3" borderId="0" xfId="0" applyFont="1" applyFill="1" applyAlignment="1">
      <alignment horizontal="center"/>
    </xf>
    <xf numFmtId="0" fontId="138" fillId="3" borderId="0" xfId="24" applyFont="1" applyFill="1" applyAlignment="1">
      <alignment horizontal="center" vertical="center"/>
    </xf>
    <xf numFmtId="0" fontId="138" fillId="21" borderId="0" xfId="24" applyFont="1" applyFill="1" applyAlignment="1">
      <alignment horizontal="center"/>
    </xf>
    <xf numFmtId="0" fontId="140" fillId="0" borderId="51" xfId="0" applyFont="1" applyBorder="1" applyAlignment="1">
      <alignment horizontal="center"/>
    </xf>
    <xf numFmtId="0" fontId="140" fillId="0" borderId="52" xfId="0" applyFont="1" applyBorder="1" applyAlignment="1">
      <alignment horizontal="center"/>
    </xf>
    <xf numFmtId="0" fontId="140" fillId="0" borderId="55" xfId="0" applyFont="1" applyBorder="1" applyAlignment="1">
      <alignment horizontal="center"/>
    </xf>
    <xf numFmtId="172" fontId="138" fillId="3" borderId="17" xfId="24" applyNumberFormat="1" applyFont="1" applyFill="1" applyBorder="1" applyAlignment="1">
      <alignment horizontal="right" vertical="center"/>
    </xf>
    <xf numFmtId="172" fontId="138" fillId="3" borderId="18" xfId="24" applyNumberFormat="1" applyFont="1" applyFill="1" applyBorder="1" applyAlignment="1">
      <alignment horizontal="right" vertical="center"/>
    </xf>
    <xf numFmtId="0" fontId="138" fillId="3" borderId="57" xfId="24" applyFont="1" applyFill="1" applyBorder="1" applyAlignment="1">
      <alignment horizontal="left" vertical="center"/>
    </xf>
    <xf numFmtId="0" fontId="139" fillId="3" borderId="58" xfId="0" applyFont="1" applyFill="1" applyBorder="1" applyAlignment="1">
      <alignment vertical="center"/>
    </xf>
    <xf numFmtId="0" fontId="139" fillId="3" borderId="59" xfId="0" applyFont="1" applyFill="1" applyBorder="1" applyAlignment="1">
      <alignment vertical="center"/>
    </xf>
    <xf numFmtId="0" fontId="138" fillId="3" borderId="60" xfId="24" applyFont="1" applyFill="1" applyBorder="1" applyAlignment="1">
      <alignment horizontal="left" vertical="center" wrapText="1"/>
    </xf>
    <xf numFmtId="0" fontId="138" fillId="3" borderId="4" xfId="24" applyFont="1" applyFill="1" applyBorder="1" applyAlignment="1">
      <alignment horizontal="left" vertical="center" wrapText="1"/>
    </xf>
    <xf numFmtId="0" fontId="138" fillId="3" borderId="61" xfId="24" applyFont="1" applyFill="1" applyBorder="1" applyAlignment="1">
      <alignment horizontal="left" vertical="center" wrapText="1"/>
    </xf>
    <xf numFmtId="0" fontId="138" fillId="3" borderId="8" xfId="24" applyFont="1" applyFill="1" applyBorder="1" applyAlignment="1">
      <alignment horizontal="left" vertical="center" wrapText="1"/>
    </xf>
    <xf numFmtId="0" fontId="138" fillId="3" borderId="14" xfId="24" applyFont="1" applyFill="1" applyBorder="1" applyAlignment="1">
      <alignment horizontal="left" vertical="center" wrapText="1"/>
    </xf>
    <xf numFmtId="0" fontId="139" fillId="3" borderId="22" xfId="24" applyFont="1" applyFill="1" applyBorder="1" applyAlignment="1">
      <alignment horizontal="center" vertical="center" wrapText="1"/>
    </xf>
    <xf numFmtId="0" fontId="139" fillId="3" borderId="22" xfId="0" applyFont="1" applyFill="1" applyBorder="1" applyAlignment="1">
      <alignment horizontal="center"/>
    </xf>
    <xf numFmtId="0" fontId="139" fillId="3" borderId="0" xfId="24" applyFont="1" applyFill="1" applyAlignment="1">
      <alignment horizontal="center" vertical="center" wrapText="1"/>
    </xf>
    <xf numFmtId="0" fontId="99" fillId="10" borderId="3" xfId="0" applyFont="1" applyFill="1" applyBorder="1" applyAlignment="1">
      <alignment horizontal="center" vertical="center" wrapText="1"/>
    </xf>
    <xf numFmtId="0" fontId="99" fillId="10" borderId="4" xfId="0" applyFont="1" applyFill="1" applyBorder="1" applyAlignment="1">
      <alignment horizontal="center" vertical="center" wrapText="1"/>
    </xf>
    <xf numFmtId="0" fontId="99" fillId="10" borderId="3" xfId="0" applyFont="1" applyFill="1" applyBorder="1" applyAlignment="1">
      <alignment horizontal="center" vertical="center"/>
    </xf>
    <xf numFmtId="0" fontId="99" fillId="10" borderId="4" xfId="0" applyFont="1" applyFill="1" applyBorder="1" applyAlignment="1">
      <alignment horizontal="center" vertical="center"/>
    </xf>
    <xf numFmtId="170" fontId="100" fillId="10" borderId="20" xfId="0" applyNumberFormat="1" applyFont="1" applyFill="1" applyBorder="1" applyAlignment="1">
      <alignment horizontal="center" vertical="center"/>
    </xf>
    <xf numFmtId="0" fontId="99" fillId="10" borderId="23" xfId="0" applyFont="1" applyFill="1" applyBorder="1" applyAlignment="1">
      <alignment horizontal="center" vertical="center" wrapText="1"/>
    </xf>
    <xf numFmtId="0" fontId="99" fillId="10" borderId="24" xfId="0" applyFont="1" applyFill="1" applyBorder="1" applyAlignment="1">
      <alignment horizontal="center" vertical="center" wrapText="1"/>
    </xf>
    <xf numFmtId="0" fontId="99" fillId="10" borderId="26" xfId="0" applyFont="1" applyFill="1" applyBorder="1" applyAlignment="1">
      <alignment horizontal="center" vertical="center" wrapText="1"/>
    </xf>
    <xf numFmtId="0" fontId="99" fillId="10" borderId="27" xfId="0" applyFont="1" applyFill="1" applyBorder="1" applyAlignment="1">
      <alignment horizontal="center" vertical="center" wrapText="1"/>
    </xf>
    <xf numFmtId="0" fontId="97" fillId="0" borderId="0" xfId="18" applyFont="1" applyAlignment="1">
      <alignment horizontal="center" vertical="center"/>
    </xf>
    <xf numFmtId="0" fontId="97" fillId="0" borderId="35" xfId="18" applyFont="1" applyBorder="1" applyAlignment="1">
      <alignment horizontal="center" vertical="center"/>
    </xf>
    <xf numFmtId="0" fontId="98" fillId="0" borderId="20" xfId="0" applyFont="1" applyBorder="1" applyAlignment="1">
      <alignment horizontal="center" vertical="center"/>
    </xf>
    <xf numFmtId="0" fontId="98" fillId="0" borderId="35" xfId="0" applyFont="1" applyBorder="1" applyAlignment="1">
      <alignment horizontal="center" vertical="center"/>
    </xf>
    <xf numFmtId="0" fontId="99" fillId="3" borderId="20" xfId="0" applyFont="1" applyFill="1" applyBorder="1" applyAlignment="1">
      <alignment horizontal="center" vertical="center"/>
    </xf>
    <xf numFmtId="0" fontId="90" fillId="0" borderId="2" xfId="0" applyFont="1" applyBorder="1" applyAlignment="1">
      <alignment horizontal="center" vertical="center"/>
    </xf>
    <xf numFmtId="0" fontId="0" fillId="0" borderId="0" xfId="0" applyAlignment="1">
      <alignment horizontal="center"/>
    </xf>
    <xf numFmtId="0" fontId="135" fillId="0" borderId="25" xfId="0" applyFont="1" applyBorder="1" applyAlignment="1">
      <alignment horizontal="center" vertical="center"/>
    </xf>
    <xf numFmtId="0" fontId="96" fillId="0" borderId="2" xfId="0" applyFont="1" applyBorder="1" applyAlignment="1">
      <alignment horizontal="center" wrapText="1"/>
    </xf>
    <xf numFmtId="0" fontId="96" fillId="0" borderId="2" xfId="0" applyFont="1" applyBorder="1" applyAlignment="1">
      <alignment horizontal="center"/>
    </xf>
    <xf numFmtId="0" fontId="0" fillId="0" borderId="2" xfId="0" applyBorder="1" applyAlignment="1">
      <alignment horizontal="center" vertical="center"/>
    </xf>
    <xf numFmtId="0" fontId="95" fillId="0" borderId="0" xfId="0" applyFont="1" applyAlignment="1">
      <alignment horizontal="center" vertical="top"/>
    </xf>
    <xf numFmtId="0" fontId="85" fillId="0" borderId="17" xfId="0" applyFont="1" applyBorder="1" applyAlignment="1">
      <alignment horizontal="center" vertical="center" wrapText="1"/>
    </xf>
    <xf numFmtId="0" fontId="85" fillId="0" borderId="18" xfId="0" applyFont="1" applyBorder="1" applyAlignment="1">
      <alignment horizontal="center" vertical="center" wrapText="1"/>
    </xf>
    <xf numFmtId="0" fontId="85" fillId="0" borderId="18" xfId="0" applyFont="1" applyBorder="1" applyAlignment="1">
      <alignment horizontal="center" vertical="center"/>
    </xf>
    <xf numFmtId="0" fontId="85" fillId="0" borderId="19" xfId="0" applyFont="1" applyBorder="1" applyAlignment="1">
      <alignment horizontal="center" vertical="center"/>
    </xf>
    <xf numFmtId="1" fontId="86" fillId="7" borderId="8" xfId="0" applyNumberFormat="1" applyFont="1" applyFill="1" applyBorder="1" applyAlignment="1">
      <alignment horizontal="center" vertical="center" wrapText="1"/>
    </xf>
    <xf numFmtId="1" fontId="86" fillId="7" borderId="10" xfId="0" applyNumberFormat="1" applyFont="1" applyFill="1" applyBorder="1" applyAlignment="1">
      <alignment horizontal="center" vertical="center" wrapText="1"/>
    </xf>
    <xf numFmtId="49" fontId="86" fillId="7" borderId="2" xfId="0" applyNumberFormat="1" applyFont="1" applyFill="1" applyBorder="1" applyAlignment="1">
      <alignment horizontal="center" vertical="center" wrapText="1"/>
    </xf>
    <xf numFmtId="49" fontId="86" fillId="7" borderId="11" xfId="0" applyNumberFormat="1" applyFont="1" applyFill="1" applyBorder="1" applyAlignment="1">
      <alignment horizontal="center" vertical="center" wrapText="1"/>
    </xf>
    <xf numFmtId="1" fontId="86" fillId="7" borderId="2" xfId="0" applyNumberFormat="1" applyFont="1" applyFill="1" applyBorder="1" applyAlignment="1">
      <alignment horizontal="center" vertical="center" wrapText="1"/>
    </xf>
    <xf numFmtId="1" fontId="86" fillId="7" borderId="11" xfId="0" applyNumberFormat="1" applyFont="1" applyFill="1" applyBorder="1" applyAlignment="1">
      <alignment horizontal="center" vertical="center" wrapText="1"/>
    </xf>
    <xf numFmtId="167" fontId="86" fillId="7" borderId="2" xfId="0" applyNumberFormat="1" applyFont="1" applyFill="1" applyBorder="1" applyAlignment="1">
      <alignment horizontal="center" vertical="center" wrapText="1"/>
    </xf>
    <xf numFmtId="167" fontId="86" fillId="7" borderId="11" xfId="0" applyNumberFormat="1" applyFont="1" applyFill="1" applyBorder="1" applyAlignment="1">
      <alignment horizontal="center" vertical="center" wrapText="1"/>
    </xf>
    <xf numFmtId="2" fontId="86" fillId="7" borderId="2" xfId="0" applyNumberFormat="1" applyFont="1" applyFill="1" applyBorder="1" applyAlignment="1">
      <alignment horizontal="center" vertical="center" wrapText="1"/>
    </xf>
    <xf numFmtId="2" fontId="86" fillId="7" borderId="11" xfId="0" applyNumberFormat="1" applyFont="1" applyFill="1" applyBorder="1" applyAlignment="1">
      <alignment horizontal="center" vertical="center" wrapText="1"/>
    </xf>
    <xf numFmtId="0" fontId="85" fillId="7" borderId="6" xfId="0" applyFont="1" applyFill="1" applyBorder="1" applyAlignment="1">
      <alignment horizontal="center" vertical="center" wrapText="1"/>
    </xf>
    <xf numFmtId="0" fontId="85" fillId="7" borderId="7" xfId="0" applyFont="1" applyFill="1" applyBorder="1" applyAlignment="1">
      <alignment horizontal="center" vertical="center" wrapText="1"/>
    </xf>
    <xf numFmtId="0" fontId="85" fillId="8" borderId="7" xfId="0" applyFont="1" applyFill="1" applyBorder="1" applyAlignment="1">
      <alignment horizontal="center" vertical="center"/>
    </xf>
    <xf numFmtId="0" fontId="85" fillId="8" borderId="12" xfId="0" applyFont="1" applyFill="1" applyBorder="1" applyAlignment="1">
      <alignment horizontal="center" vertical="center"/>
    </xf>
    <xf numFmtId="1" fontId="86" fillId="8" borderId="2" xfId="0" applyNumberFormat="1" applyFont="1" applyFill="1" applyBorder="1" applyAlignment="1">
      <alignment horizontal="center" vertical="center" wrapText="1"/>
    </xf>
    <xf numFmtId="1" fontId="86" fillId="8" borderId="2" xfId="0" applyNumberFormat="1" applyFont="1" applyFill="1" applyBorder="1" applyAlignment="1">
      <alignment horizontal="center" vertical="center"/>
    </xf>
    <xf numFmtId="169" fontId="86" fillId="8" borderId="2" xfId="0" applyNumberFormat="1" applyFont="1" applyFill="1" applyBorder="1" applyAlignment="1">
      <alignment horizontal="center" vertical="center"/>
    </xf>
    <xf numFmtId="169" fontId="86" fillId="8" borderId="14" xfId="0" applyNumberFormat="1" applyFont="1" applyFill="1" applyBorder="1" applyAlignment="1">
      <alignment horizontal="center" vertical="center"/>
    </xf>
    <xf numFmtId="1" fontId="86" fillId="8" borderId="11" xfId="0" applyNumberFormat="1" applyFont="1" applyFill="1" applyBorder="1" applyAlignment="1">
      <alignment horizontal="center" vertical="center" wrapText="1"/>
    </xf>
    <xf numFmtId="49" fontId="86" fillId="8" borderId="2" xfId="0" applyNumberFormat="1" applyFont="1" applyFill="1" applyBorder="1" applyAlignment="1">
      <alignment horizontal="center" vertical="center" wrapText="1"/>
    </xf>
    <xf numFmtId="49" fontId="86" fillId="8" borderId="11" xfId="0" applyNumberFormat="1" applyFont="1" applyFill="1" applyBorder="1" applyAlignment="1">
      <alignment horizontal="center" vertical="center" wrapText="1"/>
    </xf>
    <xf numFmtId="167" fontId="86" fillId="8" borderId="2" xfId="0" applyNumberFormat="1" applyFont="1" applyFill="1" applyBorder="1" applyAlignment="1">
      <alignment horizontal="center" vertical="center" wrapText="1"/>
    </xf>
    <xf numFmtId="167" fontId="86" fillId="8" borderId="11" xfId="0" applyNumberFormat="1" applyFont="1" applyFill="1" applyBorder="1" applyAlignment="1">
      <alignment horizontal="center" vertical="center" wrapText="1"/>
    </xf>
    <xf numFmtId="0" fontId="90" fillId="8" borderId="2" xfId="0" applyFont="1" applyFill="1" applyBorder="1" applyAlignment="1">
      <alignment horizontal="center" vertical="center" wrapText="1"/>
    </xf>
    <xf numFmtId="0" fontId="90" fillId="8" borderId="11" xfId="0" applyFont="1" applyFill="1" applyBorder="1" applyAlignment="1">
      <alignment horizontal="center" vertical="center" wrapText="1"/>
    </xf>
    <xf numFmtId="2" fontId="86" fillId="8" borderId="2" xfId="0" applyNumberFormat="1" applyFont="1" applyFill="1" applyBorder="1" applyAlignment="1">
      <alignment horizontal="center" vertical="center" wrapText="1"/>
    </xf>
    <xf numFmtId="2" fontId="86" fillId="8" borderId="11" xfId="0" applyNumberFormat="1" applyFont="1" applyFill="1" applyBorder="1" applyAlignment="1">
      <alignment horizontal="center" vertical="center" wrapText="1"/>
    </xf>
    <xf numFmtId="0" fontId="84" fillId="0" borderId="8" xfId="0" applyFont="1" applyBorder="1" applyAlignment="1">
      <alignment horizontal="center" wrapText="1"/>
    </xf>
    <xf numFmtId="0" fontId="84" fillId="0" borderId="2" xfId="0" applyFont="1" applyBorder="1" applyAlignment="1">
      <alignment horizontal="center" wrapText="1"/>
    </xf>
    <xf numFmtId="0" fontId="84" fillId="0" borderId="14" xfId="0" applyFont="1" applyBorder="1" applyAlignment="1">
      <alignment horizontal="center" wrapText="1"/>
    </xf>
    <xf numFmtId="0" fontId="83" fillId="3" borderId="9" xfId="0" applyFont="1" applyFill="1" applyBorder="1" applyAlignment="1">
      <alignment horizontal="center" vertical="center" wrapText="1"/>
    </xf>
    <xf numFmtId="0" fontId="83" fillId="3" borderId="3" xfId="0" applyFont="1" applyFill="1" applyBorder="1" applyAlignment="1">
      <alignment horizontal="center" vertical="center" wrapText="1"/>
    </xf>
    <xf numFmtId="0" fontId="83" fillId="3" borderId="15" xfId="0" applyFont="1" applyFill="1" applyBorder="1" applyAlignment="1">
      <alignment horizontal="center" vertical="center" wrapText="1"/>
    </xf>
    <xf numFmtId="0" fontId="223" fillId="3" borderId="2" xfId="24" applyFont="1" applyFill="1" applyBorder="1" applyAlignment="1">
      <alignment horizontal="left" vertical="center" wrapText="1"/>
    </xf>
    <xf numFmtId="0" fontId="166" fillId="3" borderId="49" xfId="24" applyFont="1" applyFill="1" applyBorder="1" applyAlignment="1">
      <alignment horizontal="center" vertical="center" wrapText="1"/>
    </xf>
    <xf numFmtId="0" fontId="166" fillId="3" borderId="22" xfId="24" applyFont="1" applyFill="1" applyBorder="1" applyAlignment="1">
      <alignment horizontal="center" vertical="center" wrapText="1"/>
    </xf>
    <xf numFmtId="0" fontId="166" fillId="3" borderId="50" xfId="24" applyFont="1" applyFill="1" applyBorder="1" applyAlignment="1">
      <alignment horizontal="center" vertical="center" wrapText="1"/>
    </xf>
    <xf numFmtId="0" fontId="166" fillId="3" borderId="43" xfId="24" applyFont="1" applyFill="1" applyBorder="1" applyAlignment="1">
      <alignment horizontal="center" vertical="center" wrapText="1"/>
    </xf>
    <xf numFmtId="0" fontId="166" fillId="3" borderId="0" xfId="24" applyFont="1" applyFill="1" applyAlignment="1">
      <alignment horizontal="center" vertical="center" wrapText="1"/>
    </xf>
    <xf numFmtId="0" fontId="166" fillId="3" borderId="47" xfId="24" applyFont="1" applyFill="1" applyBorder="1" applyAlignment="1">
      <alignment horizontal="center" vertical="center" wrapText="1"/>
    </xf>
    <xf numFmtId="0" fontId="166" fillId="3" borderId="78" xfId="24" applyFont="1" applyFill="1" applyBorder="1" applyAlignment="1">
      <alignment horizontal="center" vertical="center" wrapText="1"/>
    </xf>
    <xf numFmtId="0" fontId="166" fillId="3" borderId="32" xfId="24" applyFont="1" applyFill="1" applyBorder="1" applyAlignment="1">
      <alignment horizontal="center" vertical="center" wrapText="1"/>
    </xf>
    <xf numFmtId="0" fontId="166" fillId="3" borderId="79" xfId="24" applyFont="1" applyFill="1" applyBorder="1" applyAlignment="1">
      <alignment horizontal="center" vertical="center" wrapText="1"/>
    </xf>
    <xf numFmtId="0" fontId="166" fillId="3" borderId="77" xfId="24" applyFont="1" applyFill="1" applyBorder="1" applyAlignment="1">
      <alignment horizontal="center" vertical="top" wrapText="1"/>
    </xf>
    <xf numFmtId="0" fontId="166" fillId="3" borderId="5" xfId="24" applyFont="1" applyFill="1" applyBorder="1" applyAlignment="1">
      <alignment horizontal="center" vertical="top" wrapText="1"/>
    </xf>
    <xf numFmtId="0" fontId="166" fillId="3" borderId="80" xfId="24" applyFont="1" applyFill="1" applyBorder="1" applyAlignment="1">
      <alignment horizontal="center" vertical="top" wrapText="1"/>
    </xf>
    <xf numFmtId="0" fontId="166" fillId="3" borderId="44" xfId="24" applyFont="1" applyFill="1" applyBorder="1" applyAlignment="1">
      <alignment horizontal="center" vertical="top" wrapText="1"/>
    </xf>
    <xf numFmtId="0" fontId="166" fillId="3" borderId="45" xfId="24" applyFont="1" applyFill="1" applyBorder="1" applyAlignment="1">
      <alignment horizontal="center" vertical="top" wrapText="1"/>
    </xf>
    <xf numFmtId="0" fontId="166" fillId="3" borderId="48" xfId="24" applyFont="1" applyFill="1" applyBorder="1" applyAlignment="1">
      <alignment horizontal="center" vertical="top" wrapText="1"/>
    </xf>
    <xf numFmtId="0" fontId="166" fillId="3" borderId="49" xfId="24" applyFont="1" applyFill="1" applyBorder="1" applyAlignment="1">
      <alignment horizontal="center" vertical="top" wrapText="1"/>
    </xf>
    <xf numFmtId="0" fontId="166" fillId="3" borderId="22" xfId="24" applyFont="1" applyFill="1" applyBorder="1" applyAlignment="1">
      <alignment horizontal="center" vertical="top" wrapText="1"/>
    </xf>
    <xf numFmtId="0" fontId="166" fillId="3" borderId="50" xfId="24" applyFont="1" applyFill="1" applyBorder="1" applyAlignment="1">
      <alignment horizontal="center" vertical="top" wrapText="1"/>
    </xf>
    <xf numFmtId="0" fontId="166" fillId="3" borderId="78" xfId="24" applyFont="1" applyFill="1" applyBorder="1" applyAlignment="1">
      <alignment horizontal="center" vertical="top" wrapText="1"/>
    </xf>
    <xf numFmtId="0" fontId="166" fillId="3" borderId="32" xfId="24" applyFont="1" applyFill="1" applyBorder="1" applyAlignment="1">
      <alignment horizontal="center" vertical="top" wrapText="1"/>
    </xf>
    <xf numFmtId="0" fontId="166" fillId="3" borderId="79" xfId="24" applyFont="1" applyFill="1" applyBorder="1" applyAlignment="1">
      <alignment horizontal="center" vertical="top" wrapText="1"/>
    </xf>
    <xf numFmtId="0" fontId="223" fillId="3" borderId="4" xfId="24" applyFont="1" applyFill="1" applyBorder="1" applyAlignment="1">
      <alignment horizontal="left" vertical="center" wrapText="1"/>
    </xf>
    <xf numFmtId="0" fontId="223" fillId="26" borderId="6" xfId="24" applyFont="1" applyFill="1" applyBorder="1" applyAlignment="1">
      <alignment horizontal="center" vertical="center" wrapText="1"/>
    </xf>
    <xf numFmtId="0" fontId="223" fillId="26" borderId="7" xfId="24" applyFont="1" applyFill="1" applyBorder="1" applyAlignment="1">
      <alignment horizontal="center" vertical="center" wrapText="1"/>
    </xf>
    <xf numFmtId="0" fontId="223" fillId="26" borderId="13" xfId="24" applyFont="1" applyFill="1" applyBorder="1" applyAlignment="1">
      <alignment horizontal="center" vertical="center" wrapText="1"/>
    </xf>
    <xf numFmtId="0" fontId="223" fillId="26" borderId="10" xfId="24" applyFont="1" applyFill="1" applyBorder="1" applyAlignment="1">
      <alignment horizontal="center" vertical="center" wrapText="1"/>
    </xf>
    <xf numFmtId="0" fontId="223" fillId="26" borderId="11" xfId="24" applyFont="1" applyFill="1" applyBorder="1" applyAlignment="1">
      <alignment horizontal="center" vertical="center" wrapText="1"/>
    </xf>
    <xf numFmtId="0" fontId="223" fillId="26" borderId="16" xfId="24" applyFont="1" applyFill="1" applyBorder="1" applyAlignment="1">
      <alignment horizontal="center" vertical="center" wrapText="1"/>
    </xf>
    <xf numFmtId="0" fontId="225" fillId="3" borderId="26" xfId="24" applyFont="1" applyFill="1" applyBorder="1" applyAlignment="1">
      <alignment horizontal="center" vertical="center" wrapText="1"/>
    </xf>
    <xf numFmtId="0" fontId="225" fillId="3" borderId="27" xfId="24" applyFont="1" applyFill="1" applyBorder="1" applyAlignment="1">
      <alignment horizontal="center" vertical="center" wrapText="1"/>
    </xf>
    <xf numFmtId="0" fontId="225" fillId="3" borderId="32" xfId="24" applyFont="1" applyFill="1" applyBorder="1" applyAlignment="1">
      <alignment horizontal="center" vertical="center" wrapText="1"/>
    </xf>
    <xf numFmtId="0" fontId="225" fillId="3" borderId="25" xfId="24" applyFont="1" applyFill="1" applyBorder="1" applyAlignment="1">
      <alignment horizontal="center" vertical="center" wrapText="1"/>
    </xf>
    <xf numFmtId="0" fontId="225" fillId="3" borderId="28" xfId="24" applyFont="1" applyFill="1" applyBorder="1" applyAlignment="1">
      <alignment horizontal="center" vertical="center" wrapText="1"/>
    </xf>
    <xf numFmtId="0" fontId="225" fillId="3" borderId="33" xfId="24" applyFont="1" applyFill="1" applyBorder="1" applyAlignment="1">
      <alignment horizontal="center" vertical="center" wrapText="1"/>
    </xf>
    <xf numFmtId="0" fontId="221" fillId="3" borderId="25" xfId="24" applyFont="1" applyFill="1" applyBorder="1" applyAlignment="1">
      <alignment horizontal="center" vertical="center" wrapText="1"/>
    </xf>
    <xf numFmtId="0" fontId="221" fillId="3" borderId="33" xfId="24" applyFont="1" applyFill="1" applyBorder="1" applyAlignment="1">
      <alignment horizontal="center" vertical="center" wrapText="1"/>
    </xf>
    <xf numFmtId="169" fontId="221" fillId="3" borderId="25" xfId="24" applyNumberFormat="1" applyFont="1" applyFill="1" applyBorder="1" applyAlignment="1">
      <alignment horizontal="center" vertical="center" wrapText="1"/>
    </xf>
    <xf numFmtId="169" fontId="221" fillId="3" borderId="28" xfId="24" applyNumberFormat="1" applyFont="1" applyFill="1" applyBorder="1" applyAlignment="1">
      <alignment horizontal="center" vertical="center" wrapText="1"/>
    </xf>
    <xf numFmtId="0" fontId="222" fillId="0" borderId="25" xfId="0" applyFont="1" applyBorder="1" applyAlignment="1">
      <alignment horizontal="center"/>
    </xf>
    <xf numFmtId="0" fontId="222" fillId="0" borderId="28" xfId="0" applyFont="1" applyBorder="1" applyAlignment="1">
      <alignment horizontal="center"/>
    </xf>
    <xf numFmtId="0" fontId="221" fillId="3" borderId="28" xfId="24" applyFont="1" applyFill="1" applyBorder="1" applyAlignment="1">
      <alignment horizontal="center" vertical="center" wrapText="1"/>
    </xf>
    <xf numFmtId="169" fontId="221" fillId="3" borderId="26" xfId="24" applyNumberFormat="1" applyFont="1" applyFill="1" applyBorder="1" applyAlignment="1">
      <alignment horizontal="center" vertical="center" wrapText="1"/>
    </xf>
    <xf numFmtId="169" fontId="221" fillId="3" borderId="27" xfId="24" applyNumberFormat="1" applyFont="1" applyFill="1" applyBorder="1" applyAlignment="1">
      <alignment horizontal="center" vertical="center" wrapText="1"/>
    </xf>
    <xf numFmtId="0" fontId="156" fillId="0" borderId="25" xfId="0" applyFont="1" applyBorder="1" applyAlignment="1">
      <alignment horizontal="center" vertical="center"/>
    </xf>
    <xf numFmtId="0" fontId="156" fillId="0" borderId="28" xfId="0" applyFont="1" applyBorder="1" applyAlignment="1">
      <alignment horizontal="center" vertical="center"/>
    </xf>
    <xf numFmtId="0" fontId="222" fillId="0" borderId="5" xfId="0" applyFont="1" applyBorder="1" applyAlignment="1">
      <alignment horizontal="center"/>
    </xf>
    <xf numFmtId="0" fontId="222" fillId="0" borderId="24" xfId="0" applyFont="1" applyBorder="1" applyAlignment="1">
      <alignment horizontal="center"/>
    </xf>
    <xf numFmtId="0" fontId="217" fillId="0" borderId="6" xfId="0" applyFont="1" applyBorder="1" applyAlignment="1">
      <alignment horizontal="center" vertical="center"/>
    </xf>
    <xf numFmtId="0" fontId="217" fillId="0" borderId="7" xfId="0" applyFont="1" applyBorder="1" applyAlignment="1">
      <alignment horizontal="center" vertical="center"/>
    </xf>
    <xf numFmtId="0" fontId="217" fillId="0" borderId="13" xfId="0" applyFont="1" applyBorder="1" applyAlignment="1">
      <alignment horizontal="center" vertical="center"/>
    </xf>
    <xf numFmtId="0" fontId="217" fillId="3" borderId="8" xfId="0" applyFont="1" applyFill="1" applyBorder="1" applyAlignment="1">
      <alignment horizontal="center" vertical="center" wrapText="1"/>
    </xf>
    <xf numFmtId="0" fontId="217" fillId="3" borderId="2" xfId="0" applyFont="1" applyFill="1" applyBorder="1" applyAlignment="1">
      <alignment horizontal="center" vertical="center" wrapText="1"/>
    </xf>
    <xf numFmtId="0" fontId="217" fillId="3" borderId="14" xfId="0" applyFont="1" applyFill="1" applyBorder="1" applyAlignment="1">
      <alignment horizontal="center" vertical="center" wrapText="1"/>
    </xf>
    <xf numFmtId="0" fontId="217" fillId="3" borderId="3" xfId="0" applyFont="1" applyFill="1" applyBorder="1" applyAlignment="1">
      <alignment horizontal="center" vertical="center" wrapText="1"/>
    </xf>
    <xf numFmtId="0" fontId="217" fillId="3" borderId="15" xfId="0" applyFont="1" applyFill="1" applyBorder="1" applyAlignment="1">
      <alignment horizontal="center" vertical="center" wrapText="1"/>
    </xf>
    <xf numFmtId="0" fontId="223" fillId="26" borderId="66" xfId="24" applyFont="1" applyFill="1" applyBorder="1" applyAlignment="1">
      <alignment horizontal="center" vertical="center" wrapText="1"/>
    </xf>
    <xf numFmtId="0" fontId="223" fillId="26" borderId="63" xfId="24" applyFont="1" applyFill="1" applyBorder="1" applyAlignment="1">
      <alignment horizontal="center" vertical="center" wrapText="1"/>
    </xf>
    <xf numFmtId="0" fontId="223" fillId="21" borderId="51" xfId="24" applyFont="1" applyFill="1" applyBorder="1" applyAlignment="1">
      <alignment horizontal="center" vertical="center" wrapText="1"/>
    </xf>
    <xf numFmtId="0" fontId="223" fillId="21" borderId="52" xfId="24" applyFont="1" applyFill="1" applyBorder="1" applyAlignment="1">
      <alignment horizontal="center" vertical="center" wrapText="1"/>
    </xf>
    <xf numFmtId="0" fontId="223" fillId="21" borderId="53" xfId="24" applyFont="1" applyFill="1" applyBorder="1" applyAlignment="1">
      <alignment horizontal="center" vertical="center" wrapText="1"/>
    </xf>
    <xf numFmtId="0" fontId="223" fillId="34" borderId="69" xfId="24" applyFont="1" applyFill="1" applyBorder="1" applyAlignment="1">
      <alignment horizontal="center" vertical="center" wrapText="1"/>
    </xf>
    <xf numFmtId="0" fontId="223" fillId="34" borderId="70" xfId="24" applyFont="1" applyFill="1" applyBorder="1" applyAlignment="1">
      <alignment horizontal="center" vertical="center" wrapText="1"/>
    </xf>
    <xf numFmtId="0" fontId="223" fillId="34" borderId="71" xfId="24" applyFont="1" applyFill="1" applyBorder="1" applyAlignment="1">
      <alignment horizontal="center" vertical="center" wrapText="1"/>
    </xf>
    <xf numFmtId="0" fontId="175" fillId="35" borderId="49" xfId="24" applyFont="1" applyFill="1" applyBorder="1" applyAlignment="1">
      <alignment horizontal="center" vertical="center" wrapText="1"/>
    </xf>
    <xf numFmtId="0" fontId="175" fillId="35" borderId="50" xfId="24" applyFont="1" applyFill="1" applyBorder="1" applyAlignment="1">
      <alignment horizontal="center" vertical="center" wrapText="1"/>
    </xf>
    <xf numFmtId="0" fontId="175" fillId="35" borderId="44" xfId="24" applyFont="1" applyFill="1" applyBorder="1" applyAlignment="1">
      <alignment horizontal="center" vertical="center" wrapText="1"/>
    </xf>
    <xf numFmtId="0" fontId="175" fillId="35" borderId="48" xfId="24" applyFont="1" applyFill="1" applyBorder="1" applyAlignment="1">
      <alignment horizontal="center" vertical="center" wrapText="1"/>
    </xf>
    <xf numFmtId="0" fontId="175" fillId="35" borderId="45" xfId="24" applyFont="1" applyFill="1" applyBorder="1" applyAlignment="1">
      <alignment horizontal="center" vertical="center" wrapText="1"/>
    </xf>
    <xf numFmtId="0" fontId="224" fillId="29" borderId="44" xfId="0" applyFont="1" applyFill="1" applyBorder="1" applyAlignment="1">
      <alignment horizontal="center" vertical="center" wrapText="1"/>
    </xf>
    <xf numFmtId="0" fontId="224" fillId="29" borderId="45" xfId="0" applyFont="1" applyFill="1" applyBorder="1" applyAlignment="1">
      <alignment horizontal="center" vertical="center" wrapText="1"/>
    </xf>
    <xf numFmtId="0" fontId="224" fillId="29" borderId="51" xfId="0" applyFont="1" applyFill="1" applyBorder="1" applyAlignment="1">
      <alignment horizontal="center" vertical="center" wrapText="1"/>
    </xf>
    <xf numFmtId="0" fontId="224" fillId="29" borderId="53" xfId="0" applyFont="1" applyFill="1" applyBorder="1" applyAlignment="1">
      <alignment horizontal="center" vertical="center" wrapText="1"/>
    </xf>
    <xf numFmtId="0" fontId="224" fillId="36" borderId="44" xfId="0" applyFont="1" applyFill="1" applyBorder="1" applyAlignment="1">
      <alignment horizontal="center" vertical="center" wrapText="1"/>
    </xf>
    <xf numFmtId="0" fontId="224" fillId="36" borderId="48" xfId="0" applyFont="1" applyFill="1" applyBorder="1" applyAlignment="1">
      <alignment horizontal="center" vertical="center" wrapText="1"/>
    </xf>
    <xf numFmtId="0" fontId="175" fillId="3" borderId="49" xfId="24" applyFont="1" applyFill="1" applyBorder="1" applyAlignment="1">
      <alignment horizontal="center" vertical="center" wrapText="1"/>
    </xf>
    <xf numFmtId="0" fontId="175" fillId="3" borderId="52" xfId="24" applyFont="1" applyFill="1" applyBorder="1" applyAlignment="1">
      <alignment horizontal="center" vertical="center" wrapText="1"/>
    </xf>
    <xf numFmtId="0" fontId="175" fillId="3" borderId="53" xfId="24" applyFont="1" applyFill="1" applyBorder="1" applyAlignment="1">
      <alignment horizontal="center" vertical="center" wrapText="1"/>
    </xf>
    <xf numFmtId="0" fontId="224" fillId="36" borderId="51" xfId="0" applyFont="1" applyFill="1" applyBorder="1" applyAlignment="1">
      <alignment horizontal="center" vertical="center" wrapText="1"/>
    </xf>
    <xf numFmtId="0" fontId="224" fillId="36" borderId="53" xfId="0" applyFont="1" applyFill="1" applyBorder="1" applyAlignment="1">
      <alignment horizontal="center" vertical="center" wrapText="1"/>
    </xf>
    <xf numFmtId="0" fontId="221" fillId="3" borderId="51" xfId="24" applyFont="1" applyFill="1" applyBorder="1" applyAlignment="1">
      <alignment horizontal="center" vertical="center" wrapText="1"/>
    </xf>
    <xf numFmtId="0" fontId="221" fillId="3" borderId="52" xfId="24" applyFont="1" applyFill="1" applyBorder="1" applyAlignment="1">
      <alignment horizontal="center" vertical="center" wrapText="1"/>
    </xf>
    <xf numFmtId="0" fontId="221" fillId="3" borderId="53" xfId="24" applyFont="1" applyFill="1" applyBorder="1" applyAlignment="1">
      <alignment horizontal="center" vertical="center" wrapText="1"/>
    </xf>
    <xf numFmtId="172" fontId="175" fillId="3" borderId="49" xfId="24" applyNumberFormat="1" applyFont="1" applyFill="1" applyBorder="1" applyAlignment="1">
      <alignment horizontal="center" vertical="center"/>
    </xf>
    <xf numFmtId="172" fontId="175" fillId="3" borderId="50" xfId="24" applyNumberFormat="1" applyFont="1" applyFill="1" applyBorder="1" applyAlignment="1">
      <alignment horizontal="center" vertical="center"/>
    </xf>
    <xf numFmtId="172" fontId="175" fillId="3" borderId="44" xfId="24" applyNumberFormat="1" applyFont="1" applyFill="1" applyBorder="1" applyAlignment="1">
      <alignment horizontal="center" vertical="center"/>
    </xf>
    <xf numFmtId="172" fontId="175" fillId="3" borderId="48" xfId="24" applyNumberFormat="1" applyFont="1" applyFill="1" applyBorder="1" applyAlignment="1">
      <alignment horizontal="center" vertical="center"/>
    </xf>
    <xf numFmtId="175" fontId="228" fillId="3" borderId="22" xfId="24" applyNumberFormat="1" applyFont="1" applyFill="1" applyBorder="1" applyAlignment="1">
      <alignment horizontal="center" vertical="center" wrapText="1"/>
    </xf>
    <xf numFmtId="175" fontId="228" fillId="3" borderId="50" xfId="24" applyNumberFormat="1" applyFont="1" applyFill="1" applyBorder="1" applyAlignment="1">
      <alignment horizontal="center" vertical="center" wrapText="1"/>
    </xf>
    <xf numFmtId="175" fontId="228" fillId="3" borderId="45" xfId="24" applyNumberFormat="1" applyFont="1" applyFill="1" applyBorder="1" applyAlignment="1">
      <alignment horizontal="center" vertical="center" wrapText="1"/>
    </xf>
    <xf numFmtId="175" fontId="228" fillId="3" borderId="48" xfId="24" applyNumberFormat="1" applyFont="1" applyFill="1" applyBorder="1" applyAlignment="1">
      <alignment horizontal="center" vertical="center" wrapText="1"/>
    </xf>
    <xf numFmtId="0" fontId="175" fillId="3" borderId="77" xfId="24" applyFont="1" applyFill="1" applyBorder="1" applyAlignment="1">
      <alignment horizontal="center" vertical="center" wrapText="1"/>
    </xf>
    <xf numFmtId="0" fontId="175" fillId="3" borderId="5" xfId="24" applyFont="1" applyFill="1" applyBorder="1" applyAlignment="1">
      <alignment horizontal="center" vertical="center" wrapText="1"/>
    </xf>
    <xf numFmtId="0" fontId="175" fillId="3" borderId="24" xfId="24" applyFont="1" applyFill="1" applyBorder="1" applyAlignment="1">
      <alignment horizontal="center" vertical="center" wrapText="1"/>
    </xf>
    <xf numFmtId="0" fontId="175" fillId="3" borderId="44" xfId="24" applyFont="1" applyFill="1" applyBorder="1" applyAlignment="1">
      <alignment horizontal="center" vertical="center" wrapText="1"/>
    </xf>
    <xf numFmtId="0" fontId="175" fillId="3" borderId="45" xfId="24" applyFont="1" applyFill="1" applyBorder="1" applyAlignment="1">
      <alignment horizontal="center" vertical="center" wrapText="1"/>
    </xf>
    <xf numFmtId="0" fontId="175" fillId="3" borderId="76" xfId="24" applyFont="1" applyFill="1" applyBorder="1" applyAlignment="1">
      <alignment horizontal="center" vertical="center" wrapText="1"/>
    </xf>
    <xf numFmtId="0" fontId="214" fillId="0" borderId="0" xfId="0" applyFont="1" applyAlignment="1">
      <alignment horizontal="center"/>
    </xf>
    <xf numFmtId="0" fontId="221" fillId="3" borderId="75" xfId="24" applyFont="1" applyFill="1" applyBorder="1" applyAlignment="1">
      <alignment horizontal="center" vertical="center" wrapText="1"/>
    </xf>
    <xf numFmtId="0" fontId="221" fillId="3" borderId="58" xfId="24" applyFont="1" applyFill="1" applyBorder="1" applyAlignment="1">
      <alignment horizontal="center" vertical="center" wrapText="1"/>
    </xf>
    <xf numFmtId="0" fontId="225" fillId="3" borderId="75" xfId="24" applyFont="1" applyFill="1" applyBorder="1" applyAlignment="1">
      <alignment horizontal="center" vertical="center" wrapText="1"/>
    </xf>
    <xf numFmtId="0" fontId="225" fillId="3" borderId="59" xfId="24" applyFont="1" applyFill="1" applyBorder="1" applyAlignment="1">
      <alignment horizontal="center" vertical="center" wrapText="1"/>
    </xf>
    <xf numFmtId="0" fontId="225" fillId="3" borderId="58" xfId="24" applyFont="1" applyFill="1" applyBorder="1" applyAlignment="1">
      <alignment horizontal="center" vertical="center" wrapText="1"/>
    </xf>
    <xf numFmtId="0" fontId="214" fillId="3" borderId="22" xfId="0" applyFont="1" applyFill="1" applyBorder="1" applyAlignment="1">
      <alignment horizontal="center" vertical="center"/>
    </xf>
    <xf numFmtId="0" fontId="221" fillId="3" borderId="2" xfId="24" applyFont="1" applyFill="1" applyBorder="1" applyAlignment="1">
      <alignment horizontal="center" vertical="center" wrapText="1"/>
    </xf>
    <xf numFmtId="0" fontId="212" fillId="9" borderId="0" xfId="0" applyFont="1" applyFill="1" applyAlignment="1">
      <alignment horizontal="center" vertical="center"/>
    </xf>
    <xf numFmtId="0" fontId="212" fillId="9" borderId="45" xfId="0" applyFont="1" applyFill="1" applyBorder="1" applyAlignment="1">
      <alignment horizontal="center" vertical="center"/>
    </xf>
    <xf numFmtId="0" fontId="218" fillId="0" borderId="49" xfId="51" applyFont="1" applyBorder="1" applyAlignment="1">
      <alignment horizontal="center" vertical="center"/>
    </xf>
    <xf numFmtId="0" fontId="218" fillId="0" borderId="22" xfId="51" applyFont="1" applyBorder="1" applyAlignment="1">
      <alignment horizontal="center" vertical="center"/>
    </xf>
    <xf numFmtId="0" fontId="218" fillId="0" borderId="0" xfId="51" applyFont="1" applyAlignment="1">
      <alignment horizontal="center" vertical="center"/>
    </xf>
    <xf numFmtId="0" fontId="218" fillId="0" borderId="50" xfId="51" applyFont="1" applyBorder="1" applyAlignment="1">
      <alignment horizontal="center" vertical="center"/>
    </xf>
    <xf numFmtId="0" fontId="212" fillId="19" borderId="51" xfId="51" applyFont="1" applyFill="1" applyBorder="1" applyAlignment="1">
      <alignment horizontal="center" vertical="center" wrapText="1"/>
    </xf>
    <xf numFmtId="0" fontId="212" fillId="19" borderId="52" xfId="51" applyFont="1" applyFill="1" applyBorder="1" applyAlignment="1">
      <alignment horizontal="center" vertical="center" wrapText="1"/>
    </xf>
    <xf numFmtId="0" fontId="212" fillId="19" borderId="53" xfId="51" applyFont="1" applyFill="1" applyBorder="1" applyAlignment="1">
      <alignment horizontal="center" vertical="center" wrapText="1"/>
    </xf>
    <xf numFmtId="0" fontId="220" fillId="0" borderId="43" xfId="0" applyFont="1" applyBorder="1" applyAlignment="1">
      <alignment horizontal="left" vertical="center" wrapText="1"/>
    </xf>
    <xf numFmtId="0" fontId="220" fillId="0" borderId="0" xfId="0" applyFont="1" applyAlignment="1">
      <alignment horizontal="left" vertical="center" wrapText="1"/>
    </xf>
    <xf numFmtId="0" fontId="213" fillId="0" borderId="43" xfId="51" applyFont="1" applyBorder="1" applyAlignment="1">
      <alignment horizontal="left" vertical="center" wrapText="1"/>
    </xf>
    <xf numFmtId="0" fontId="213" fillId="0" borderId="0" xfId="51" applyFont="1" applyAlignment="1">
      <alignment horizontal="left" vertical="center" wrapText="1"/>
    </xf>
    <xf numFmtId="0" fontId="207" fillId="19" borderId="51" xfId="51" applyFont="1" applyFill="1" applyBorder="1" applyAlignment="1">
      <alignment horizontal="center" vertical="center" wrapText="1"/>
    </xf>
    <xf numFmtId="0" fontId="207" fillId="19" borderId="52" xfId="51" applyFont="1" applyFill="1" applyBorder="1" applyAlignment="1">
      <alignment horizontal="center" vertical="center" wrapText="1"/>
    </xf>
    <xf numFmtId="0" fontId="207" fillId="19" borderId="53" xfId="51" applyFont="1" applyFill="1" applyBorder="1" applyAlignment="1">
      <alignment horizontal="center" vertical="center" wrapText="1"/>
    </xf>
    <xf numFmtId="0" fontId="219" fillId="0" borderId="49" xfId="0" applyFont="1" applyBorder="1" applyAlignment="1">
      <alignment horizontal="center" vertical="center" wrapText="1"/>
    </xf>
    <xf numFmtId="0" fontId="219" fillId="0" borderId="22" xfId="0" applyFont="1" applyBorder="1" applyAlignment="1">
      <alignment horizontal="center" vertical="center" wrapText="1"/>
    </xf>
    <xf numFmtId="0" fontId="218" fillId="3" borderId="43" xfId="51" applyFont="1" applyFill="1" applyBorder="1" applyAlignment="1">
      <alignment horizontal="left" vertical="center" wrapText="1"/>
    </xf>
    <xf numFmtId="0" fontId="218" fillId="3" borderId="0" xfId="51" applyFont="1" applyFill="1" applyAlignment="1">
      <alignment horizontal="left" vertical="center" wrapText="1"/>
    </xf>
    <xf numFmtId="0" fontId="223" fillId="3" borderId="11" xfId="24" applyFont="1" applyFill="1" applyBorder="1" applyAlignment="1">
      <alignment horizontal="left" vertical="center" wrapText="1"/>
    </xf>
    <xf numFmtId="169" fontId="221" fillId="3" borderId="75" xfId="24" applyNumberFormat="1" applyFont="1" applyFill="1" applyBorder="1" applyAlignment="1">
      <alignment horizontal="center" vertical="center" wrapText="1"/>
    </xf>
    <xf numFmtId="169" fontId="221" fillId="3" borderId="59" xfId="24" applyNumberFormat="1" applyFont="1" applyFill="1" applyBorder="1" applyAlignment="1">
      <alignment horizontal="center" vertical="center" wrapText="1"/>
    </xf>
    <xf numFmtId="0" fontId="229" fillId="9" borderId="44" xfId="51" applyFont="1" applyFill="1" applyBorder="1" applyAlignment="1">
      <alignment horizontal="left" vertical="center"/>
    </xf>
    <xf numFmtId="0" fontId="229" fillId="9" borderId="45" xfId="51" applyFont="1" applyFill="1" applyBorder="1" applyAlignment="1">
      <alignment horizontal="left" vertical="center"/>
    </xf>
    <xf numFmtId="0" fontId="221" fillId="3" borderId="59" xfId="24" applyFont="1" applyFill="1" applyBorder="1" applyAlignment="1">
      <alignment horizontal="center" vertical="center" wrapText="1"/>
    </xf>
    <xf numFmtId="0" fontId="221" fillId="3" borderId="11" xfId="24" applyFont="1" applyFill="1" applyBorder="1" applyAlignment="1">
      <alignment horizontal="center" vertical="center" wrapText="1"/>
    </xf>
    <xf numFmtId="0" fontId="214" fillId="0" borderId="43" xfId="0" applyFont="1" applyBorder="1" applyAlignment="1">
      <alignment horizontal="center"/>
    </xf>
    <xf numFmtId="0" fontId="214" fillId="0" borderId="43" xfId="0" applyFont="1" applyBorder="1" applyAlignment="1">
      <alignment horizontal="right" vertical="top"/>
    </xf>
    <xf numFmtId="0" fontId="214" fillId="0" borderId="0" xfId="0" applyFont="1" applyAlignment="1">
      <alignment horizontal="right" vertical="top"/>
    </xf>
    <xf numFmtId="0" fontId="214" fillId="0" borderId="0" xfId="0" applyFont="1" applyAlignment="1">
      <alignment horizontal="center" vertical="top"/>
    </xf>
    <xf numFmtId="0" fontId="214" fillId="3" borderId="0" xfId="0" applyFont="1" applyFill="1" applyAlignment="1">
      <alignment horizontal="center" vertical="center"/>
    </xf>
    <xf numFmtId="0" fontId="221" fillId="3" borderId="69" xfId="24" applyFont="1" applyFill="1" applyBorder="1" applyAlignment="1">
      <alignment horizontal="center" vertical="center" wrapText="1"/>
    </xf>
    <xf numFmtId="0" fontId="221" fillId="3" borderId="70" xfId="24" applyFont="1" applyFill="1" applyBorder="1" applyAlignment="1">
      <alignment horizontal="center" vertical="center" wrapText="1"/>
    </xf>
    <xf numFmtId="0" fontId="221" fillId="3" borderId="71" xfId="24" applyFont="1" applyFill="1" applyBorder="1" applyAlignment="1">
      <alignment horizontal="center" vertical="center" wrapText="1"/>
    </xf>
    <xf numFmtId="0" fontId="222" fillId="0" borderId="26" xfId="0" applyFont="1" applyBorder="1" applyAlignment="1">
      <alignment horizontal="center"/>
    </xf>
    <xf numFmtId="0" fontId="222" fillId="0" borderId="27" xfId="0" applyFont="1" applyBorder="1" applyAlignment="1">
      <alignment horizontal="center"/>
    </xf>
    <xf numFmtId="0" fontId="221" fillId="3" borderId="26" xfId="24" applyFont="1" applyFill="1" applyBorder="1" applyAlignment="1">
      <alignment horizontal="center" vertical="center" wrapText="1"/>
    </xf>
    <xf numFmtId="0" fontId="221" fillId="3" borderId="27" xfId="24" applyFont="1" applyFill="1" applyBorder="1" applyAlignment="1">
      <alignment horizontal="center" vertical="center" wrapText="1"/>
    </xf>
    <xf numFmtId="0" fontId="221" fillId="3" borderId="32" xfId="24" applyFont="1" applyFill="1" applyBorder="1" applyAlignment="1">
      <alignment horizontal="center" vertical="center" wrapText="1"/>
    </xf>
    <xf numFmtId="0" fontId="75" fillId="4" borderId="3" xfId="0" applyFont="1" applyFill="1" applyBorder="1" applyAlignment="1">
      <alignment horizontal="center" vertical="center" wrapText="1"/>
    </xf>
    <xf numFmtId="0" fontId="77" fillId="4" borderId="4" xfId="0" applyFont="1" applyFill="1" applyBorder="1" applyAlignment="1">
      <alignment horizontal="center"/>
    </xf>
    <xf numFmtId="0" fontId="75" fillId="4" borderId="3" xfId="0" applyFont="1" applyFill="1" applyBorder="1" applyAlignment="1">
      <alignment horizontal="center" vertical="center" textRotation="90" wrapText="1"/>
    </xf>
    <xf numFmtId="0" fontId="77" fillId="4" borderId="4" xfId="0" applyFont="1" applyFill="1" applyBorder="1"/>
    <xf numFmtId="0" fontId="78" fillId="3" borderId="5" xfId="0" applyFont="1" applyFill="1" applyBorder="1" applyAlignment="1">
      <alignment horizontal="center" vertical="center"/>
    </xf>
    <xf numFmtId="0" fontId="78" fillId="3" borderId="0" xfId="0" applyFont="1" applyFill="1" applyAlignment="1">
      <alignment horizontal="center" vertical="center"/>
    </xf>
    <xf numFmtId="0" fontId="75" fillId="4" borderId="4" xfId="0" applyFont="1" applyFill="1" applyBorder="1" applyAlignment="1">
      <alignment horizontal="center" vertical="center" wrapText="1"/>
    </xf>
    <xf numFmtId="1" fontId="75" fillId="3" borderId="0" xfId="0" applyNumberFormat="1" applyFont="1" applyFill="1" applyAlignment="1">
      <alignment horizontal="left" vertical="center" wrapText="1"/>
    </xf>
    <xf numFmtId="0" fontId="75" fillId="3" borderId="0" xfId="0" applyFont="1" applyFill="1" applyAlignment="1">
      <alignment horizontal="left" vertical="center" wrapText="1"/>
    </xf>
  </cellXfs>
  <cellStyles count="222">
    <cellStyle name="=C:\WINNT\SYSTEM32\COMMAND.COM" xfId="45" xr:uid="{34BF4AEE-2937-498E-8EF3-8128A2F939B7}"/>
    <cellStyle name="20% - Accent1" xfId="6" builtinId="30"/>
    <cellStyle name="20% - Accent1 2" xfId="55" xr:uid="{93092C32-16DE-45B9-AE3B-90C97099BDB4}"/>
    <cellStyle name="20% - Accent1 2 2" xfId="191" xr:uid="{C3E51C6A-338F-4A57-8C3D-09016F306BF9}"/>
    <cellStyle name="20% - Accent1 2 3" xfId="124" xr:uid="{99E6DEF3-2343-4F4C-ACB4-810FB171ADFA}"/>
    <cellStyle name="20% - Accent1 3" xfId="169" xr:uid="{3E8112BB-4BB1-4ECB-917B-C129451B16F8}"/>
    <cellStyle name="20% - Accent1 4" xfId="102" xr:uid="{509E94D0-2C34-4755-812E-47CA77D1018B}"/>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92" xr:uid="{7C21BA6C-541B-4D1D-87C1-537FE15E2760}"/>
    <cellStyle name="Comma 2 2 2 2 3" xfId="125" xr:uid="{4AE958CB-001A-4BD0-AC83-CFF1717D8E2B}"/>
    <cellStyle name="Comma 2 2 2 3" xfId="170" xr:uid="{A904B436-2ACA-4615-AAB7-B10980F3B5B1}"/>
    <cellStyle name="Comma 2 2 2 4" xfId="103" xr:uid="{0E2018DC-4AF1-40E3-84B6-32E634F72987}"/>
    <cellStyle name="Comma 2 2 3" xfId="209" xr:uid="{4C99E08F-8ECC-4034-A61E-95BCDCB3BCFD}"/>
    <cellStyle name="Comma 2 2 4" xfId="142" xr:uid="{9E43DF21-AFE0-49F8-9AA0-E7E1CA9AD51D}"/>
    <cellStyle name="Comma 2 3" xfId="186" xr:uid="{78ADCB3E-8DF4-40E2-A127-16F2BC44ECA8}"/>
    <cellStyle name="Comma 2 3 2" xfId="8" xr:uid="{00000000-0005-0000-0000-000032000000}"/>
    <cellStyle name="Comma 2 3 2 2" xfId="57" xr:uid="{BA4062BD-6A62-4B70-8368-27FA5484004B}"/>
    <cellStyle name="Comma 2 3 2 2 2" xfId="193" xr:uid="{20B67957-38A2-4D78-9332-7643376C9680}"/>
    <cellStyle name="Comma 2 3 2 2 3" xfId="126" xr:uid="{C418D6C1-2652-40D4-86F0-7BB39A979C78}"/>
    <cellStyle name="Comma 2 4" xfId="119" xr:uid="{55906368-BA06-4407-A595-6163F6A2FC81}"/>
    <cellStyle name="Comma 29" xfId="9" xr:uid="{00000000-0005-0000-0000-000033000000}"/>
    <cellStyle name="Comma 29 2" xfId="58" xr:uid="{3284283F-D801-49B8-B106-C98D9501A877}"/>
    <cellStyle name="Comma 29 2 2" xfId="194" xr:uid="{9B997887-8D14-4F4B-AC15-CBA37E79A91B}"/>
    <cellStyle name="Comma 29 2 3" xfId="127" xr:uid="{3910DB3B-8FB8-41D8-813C-2318359D89D7}"/>
    <cellStyle name="Comma 29 3" xfId="171" xr:uid="{DC2E3911-24DF-4ED0-9F8B-0181DB332F39}"/>
    <cellStyle name="Comma 29 4" xfId="104" xr:uid="{D1E98715-D8C2-4068-937F-1A37C6F3CCB8}"/>
    <cellStyle name="Comma 3" xfId="52" xr:uid="{318257CA-6551-4121-8841-3128BD964E50}"/>
    <cellStyle name="Comma 3 2" xfId="188" xr:uid="{0DC979A0-40D2-491C-A650-2E2129BCA0BF}"/>
    <cellStyle name="Comma 3 3" xfId="121" xr:uid="{8C3E3ED7-944B-481F-8055-D3CA79DE07F0}"/>
    <cellStyle name="Comma 4" xfId="166" xr:uid="{44362C2A-2442-49EC-909F-9F19664C91F8}"/>
    <cellStyle name="Comma 5" xfId="99" xr:uid="{F0205B8C-963E-4552-9DAF-A04EF5434DCC}"/>
    <cellStyle name="Currency" xfId="2" builtinId="4"/>
    <cellStyle name="Currency 2" xfId="53" xr:uid="{5134FE78-97A0-423A-AE9C-64D9E12D3576}"/>
    <cellStyle name="Currency 2 2" xfId="97" xr:uid="{99117DCD-58FF-4F66-BCCA-D279DAF36B16}"/>
    <cellStyle name="Currency 2 2 2" xfId="189" xr:uid="{2B007348-B332-4A10-AE66-973A9D0035F4}"/>
    <cellStyle name="Currency 2 3" xfId="122" xr:uid="{95968B39-263A-4BAC-9C5E-807B36054F55}"/>
    <cellStyle name="Currency 3" xfId="167" xr:uid="{6C17C248-EC12-4654-A3E4-0D8D23357BE9}"/>
    <cellStyle name="Currency 4" xfId="100" xr:uid="{7B00EBD0-832D-4B8F-9E05-BD59402F5BD5}"/>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212" xr:uid="{3070DD80-48D1-4523-BEAD-03B6A0DBD65A}"/>
    <cellStyle name="Normal 10 3 3" xfId="145" xr:uid="{977DC746-1F28-4478-9528-6A8C2DDC7F75}"/>
    <cellStyle name="Normal 10 4" xfId="63" xr:uid="{D8F605EA-4C83-4F7A-8DAC-54EBE3138941}"/>
    <cellStyle name="Normal 10 4 2" xfId="199" xr:uid="{33ED2D61-0791-4984-AEF5-A759B5346861}"/>
    <cellStyle name="Normal 10 4 3" xfId="132" xr:uid="{8BC4806A-54F0-4261-913E-42E711C11CD6}"/>
    <cellStyle name="Normal 10 5" xfId="87" xr:uid="{1CE1468A-2517-4D80-81A5-A9A62B05EE27}"/>
    <cellStyle name="Normal 10 5 2" xfId="156" xr:uid="{01A6A219-D056-4FFD-9A8D-275CCE2B49B3}"/>
    <cellStyle name="Normal 10 6" xfId="176" xr:uid="{832625A4-1709-4BC1-8943-C14387F98DC8}"/>
    <cellStyle name="Normal 10 7" xfId="109" xr:uid="{7CE8E4D4-5F53-457F-8CEA-82A5EBE69C76}"/>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98" xr:uid="{943A8F2F-ED92-4082-AFBE-305B95EF0FC5}"/>
    <cellStyle name="Normal 12 2 3" xfId="131" xr:uid="{14CAA914-D821-4215-8CAF-4CDF3D96EB7A}"/>
    <cellStyle name="Normal 12 3" xfId="175" xr:uid="{3CF7448A-38DD-4BAA-B58D-D3257C5CA3C7}"/>
    <cellStyle name="Normal 12 4" xfId="108" xr:uid="{F57BD47D-4363-419D-8D3D-81970CBD42DB}"/>
    <cellStyle name="Normal 13" xfId="75" xr:uid="{CD6374DB-3C9D-4BDF-AF81-E1D136FC309E}"/>
    <cellStyle name="Normal 13 2" xfId="12" xr:uid="{00000000-0005-0000-0000-000036000000}"/>
    <cellStyle name="Normal 13 3" xfId="211" xr:uid="{BBDC3987-C568-4B5E-81DC-35D9BF3CD52A}"/>
    <cellStyle name="Normal 13 4" xfId="144" xr:uid="{04A6C70F-A9CC-4F22-860F-0EE5A6CEF194}"/>
    <cellStyle name="Normal 14" xfId="13" xr:uid="{00000000-0005-0000-0000-000037000000}"/>
    <cellStyle name="Normal 15" xfId="86" xr:uid="{6C1936A3-8B63-4861-872E-9AA784B3CCEE}"/>
    <cellStyle name="Normal 15 2" xfId="155" xr:uid="{0AF10D59-1C51-4F99-AAED-6D50B587234C}"/>
    <cellStyle name="Normal 16" xfId="98" xr:uid="{DC7E531B-02AA-4D42-AC0E-A6E9995F08BE}"/>
    <cellStyle name="Normal 17" xfId="32" xr:uid="{3A61A67E-AE39-428F-B759-757971D202D8}"/>
    <cellStyle name="Normal 17 2" xfId="77" xr:uid="{A2D97F82-240B-4FDC-A1F2-D3B699FD088D}"/>
    <cellStyle name="Normal 17 2 2" xfId="213" xr:uid="{E3512241-33A7-4EBD-BFDD-04E3CF8DD4C1}"/>
    <cellStyle name="Normal 17 2 3" xfId="146" xr:uid="{DCBE434A-F207-45A8-86A2-2796E1FFE96C}"/>
    <cellStyle name="Normal 17 3" xfId="64" xr:uid="{90E1E312-F31C-421A-B2FE-DD0650F65D00}"/>
    <cellStyle name="Normal 17 3 2" xfId="200" xr:uid="{B576B246-5E04-4653-A56E-183F8DD616D2}"/>
    <cellStyle name="Normal 17 3 3" xfId="133" xr:uid="{EEDDAC63-7E0A-4634-85D5-6C9F30ACBAEC}"/>
    <cellStyle name="Normal 17 4" xfId="88" xr:uid="{7CA04E38-ACF4-4790-8344-2B9E8424441E}"/>
    <cellStyle name="Normal 17 4 2" xfId="157" xr:uid="{EBD8FE46-5BFA-4799-948F-4F459F8FB789}"/>
    <cellStyle name="Normal 17 5" xfId="177" xr:uid="{E7947BEC-0A7D-4D24-84F9-AF657C3475AE}"/>
    <cellStyle name="Normal 17 6" xfId="110" xr:uid="{188788A8-000F-4B96-BF21-749DB4E5329C}"/>
    <cellStyle name="Normal 18" xfId="33" xr:uid="{FAA132D2-8184-4FF2-9622-E2DADA8473DA}"/>
    <cellStyle name="Normal 18 2" xfId="78" xr:uid="{B90A72C3-4D01-459F-8850-01BFCD94C908}"/>
    <cellStyle name="Normal 18 2 2" xfId="214" xr:uid="{FBAEC549-B78B-4527-B750-B31A6CB12C0E}"/>
    <cellStyle name="Normal 18 2 3" xfId="147" xr:uid="{3B527DE2-8662-4617-9F0A-BC40CB694135}"/>
    <cellStyle name="Normal 18 3" xfId="65" xr:uid="{48D33AC7-7F91-4BA7-95DC-62EB88F14EEA}"/>
    <cellStyle name="Normal 18 3 2" xfId="201" xr:uid="{BB1451BF-79DA-4BE3-B97F-4D6A8EEB270F}"/>
    <cellStyle name="Normal 18 3 3" xfId="134" xr:uid="{CA55994A-6B67-47D3-9193-099C5B101387}"/>
    <cellStyle name="Normal 18 4" xfId="89" xr:uid="{F930BC16-D692-45B7-BFF4-3D4855AF7B45}"/>
    <cellStyle name="Normal 18 4 2" xfId="158" xr:uid="{C7E7931D-41B9-4514-B8C0-93061764751B}"/>
    <cellStyle name="Normal 18 5" xfId="178" xr:uid="{357D40AE-2626-48BF-A804-246B8B231C57}"/>
    <cellStyle name="Normal 18 6" xfId="111" xr:uid="{3B78B231-7D0E-40C0-984A-3E96755E5111}"/>
    <cellStyle name="Normal 19" xfId="34" xr:uid="{0C2472A0-BD30-4547-9BF8-8343B710AC75}"/>
    <cellStyle name="Normal 19 2" xfId="79" xr:uid="{42401B9C-5226-4386-BEE4-E528ADC46A72}"/>
    <cellStyle name="Normal 19 2 2" xfId="215" xr:uid="{6CC451A3-7077-4806-BD3E-41EB392D33FC}"/>
    <cellStyle name="Normal 19 2 3" xfId="148" xr:uid="{F4ACE8A7-CE74-4EE6-804C-8B9A2A7EDCC0}"/>
    <cellStyle name="Normal 19 3" xfId="66" xr:uid="{9D92DA5D-B59B-4130-BB2D-69667ECBFCD6}"/>
    <cellStyle name="Normal 19 3 2" xfId="202" xr:uid="{3D5070DF-6ADC-4BFB-A9EE-81610DD34FA3}"/>
    <cellStyle name="Normal 19 3 3" xfId="135" xr:uid="{341E3E55-8076-494E-BC67-0F6FF607FC6C}"/>
    <cellStyle name="Normal 19 4" xfId="90" xr:uid="{AD9E052F-4CA8-493D-B72F-FA21DA49212A}"/>
    <cellStyle name="Normal 19 4 2" xfId="159" xr:uid="{A451F9C0-BF28-4AEA-9B85-F467A0E51787}"/>
    <cellStyle name="Normal 19 5" xfId="179" xr:uid="{EFB00371-C1B3-4749-B02A-FCE573B3B391}"/>
    <cellStyle name="Normal 19 6" xfId="112" xr:uid="{AFAB2EAE-F611-4C36-AAD2-41CAA9F49134}"/>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95" xr:uid="{9A27E888-B1D4-4BB0-B353-2EF5C7FDF2C4}"/>
    <cellStyle name="Normal 2 5 3" xfId="128" xr:uid="{7CAEE5D3-33AC-44B4-8525-A86BA1E9CC79}"/>
    <cellStyle name="Normal 2 6" xfId="172" xr:uid="{5663A04A-9CF1-435F-A3D4-C4EC11386314}"/>
    <cellStyle name="Normal 2 7" xfId="105" xr:uid="{E223874F-9581-49C5-83B5-77FE08632BAE}"/>
    <cellStyle name="Normal 23 3" xfId="20" xr:uid="{00000000-0005-0000-0000-00003E000000}"/>
    <cellStyle name="Normal 23 3 2" xfId="60" xr:uid="{87D05025-CCAD-47AD-A7DE-1A48CDF092EE}"/>
    <cellStyle name="Normal 23 3 2 2" xfId="196" xr:uid="{DA97A109-0D62-41CA-A677-7538FA951166}"/>
    <cellStyle name="Normal 23 3 2 3" xfId="129" xr:uid="{391B6F1F-1755-4F60-AB6C-7DF397EA539A}"/>
    <cellStyle name="Normal 23 3 3" xfId="173" xr:uid="{86537AF5-FDE1-48C8-8370-0DE20CABCD86}"/>
    <cellStyle name="Normal 23 3 4" xfId="106" xr:uid="{309E276B-D53C-4E64-8947-D5A35887A262}"/>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203" xr:uid="{609C4EDE-71B3-47FB-A372-D6244D30F2A0}"/>
    <cellStyle name="Normal 4 3 2 3" xfId="136" xr:uid="{845890B8-28D1-421E-A2AB-897B2416A498}"/>
    <cellStyle name="Normal 4 3 3" xfId="180" xr:uid="{1A3ADAE8-7F0E-49C7-A796-33E191A469AE}"/>
    <cellStyle name="Normal 4 3 4" xfId="113" xr:uid="{D67DDE1A-C9D0-45C8-97E7-C960E4DD3D37}"/>
    <cellStyle name="Normal 4 4" xfId="80" xr:uid="{9F30DF80-64E0-485E-9B77-142B91484013}"/>
    <cellStyle name="Normal 4 4 2" xfId="216" xr:uid="{4761A351-C289-48DB-B705-2C6D65C320B9}"/>
    <cellStyle name="Normal 4 4 3" xfId="149" xr:uid="{32F2CB31-8050-4216-8DDA-AEECA607E165}"/>
    <cellStyle name="Normal 4 5" xfId="61" xr:uid="{7C11C93E-74E6-46C8-8030-36AD6D08EEFC}"/>
    <cellStyle name="Normal 4 5 2" xfId="197" xr:uid="{D1A61F42-2A22-46F1-BE5A-AD42A3EC8647}"/>
    <cellStyle name="Normal 4 5 3" xfId="130" xr:uid="{F55D1DF7-C744-4E8E-A908-C6187E386E09}"/>
    <cellStyle name="Normal 4 6" xfId="91" xr:uid="{76C02D5F-48A1-417D-8A6A-BD8BCB370E77}"/>
    <cellStyle name="Normal 4 6 2" xfId="160" xr:uid="{B66714F1-B0A2-4757-B9C5-4629B9188A9E}"/>
    <cellStyle name="Normal 4 7" xfId="174" xr:uid="{35901AFB-4E18-495D-837F-7293ED801F90}"/>
    <cellStyle name="Normal 4 8" xfId="107" xr:uid="{DD870B53-769C-4005-9780-A0244114C0AB}"/>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204" xr:uid="{50F7B5B2-0852-4E59-BB71-8273CF005154}"/>
    <cellStyle name="Normal 6 3 2 3" xfId="137" xr:uid="{9FB51D79-FAB5-4908-AA82-0ABAEFA56889}"/>
    <cellStyle name="Normal 6 3 3" xfId="181" xr:uid="{E0F37EE5-BEC2-46F5-AF8B-F03E94C0162B}"/>
    <cellStyle name="Normal 6 3 4" xfId="114" xr:uid="{8E21D71C-8247-4F41-B22C-3CD717127F1B}"/>
    <cellStyle name="Normal 6 4" xfId="81" xr:uid="{E2552BA3-70D3-4821-9518-27B8343B34F0}"/>
    <cellStyle name="Normal 6 4 2" xfId="217" xr:uid="{515A5E73-36EA-4A9C-B494-0182ABB54ABB}"/>
    <cellStyle name="Normal 6 4 3" xfId="150" xr:uid="{400F004F-5890-4C46-9918-07B6EBEE8EF5}"/>
    <cellStyle name="Normal 6 5" xfId="92" xr:uid="{D3163134-D41D-47FD-840E-23C66891A268}"/>
    <cellStyle name="Normal 6 5 2" xfId="161" xr:uid="{9527D270-42F3-4E6F-ACB0-D50A289D87EB}"/>
    <cellStyle name="Normal 7" xfId="40" xr:uid="{830D6DEA-C205-4B2C-80A9-DCCA2BF98C6A}"/>
    <cellStyle name="Normal 7 2" xfId="82" xr:uid="{A62F0988-7CFF-40D7-BF9D-F359A77983F3}"/>
    <cellStyle name="Normal 7 2 2" xfId="218" xr:uid="{C43AD33E-1051-4433-9097-C86FE57B8FA2}"/>
    <cellStyle name="Normal 7 2 3" xfId="151" xr:uid="{2234816D-8A1F-4B6A-88F1-EEC33F11AC30}"/>
    <cellStyle name="Normal 7 3" xfId="51" xr:uid="{BEA6E505-4B0A-43C6-A758-6DA27B9288BD}"/>
    <cellStyle name="Normal 7 3 2" xfId="74" xr:uid="{E35044A5-3BD2-4254-81E2-417C597F15BF}"/>
    <cellStyle name="Normal 7 3 2 2" xfId="210" xr:uid="{9A81756B-778B-4031-A985-0BFC71A83049}"/>
    <cellStyle name="Normal 7 3 2 3" xfId="143" xr:uid="{AEAF3A60-4B05-4EE8-AA9D-F2AC19E4A43B}"/>
    <cellStyle name="Normal 7 3 3" xfId="187" xr:uid="{E1D1598A-F604-4E07-80DB-007EC2938B77}"/>
    <cellStyle name="Normal 7 3 4" xfId="120" xr:uid="{E904E43A-F902-4D23-80D9-3E4BD16D09DC}"/>
    <cellStyle name="Normal 7 4" xfId="69" xr:uid="{D994B090-3512-493E-8DA1-2CCF03084344}"/>
    <cellStyle name="Normal 7 4 2" xfId="205" xr:uid="{74866925-7CA4-423C-9586-4786CF021E3B}"/>
    <cellStyle name="Normal 7 4 3" xfId="138" xr:uid="{A260C4D1-15D7-4DDA-96EB-E2E7F4CDCF35}"/>
    <cellStyle name="Normal 7 5" xfId="93" xr:uid="{49D192B7-BD69-414A-BAF4-E5871236FB06}"/>
    <cellStyle name="Normal 7 5 2" xfId="162" xr:uid="{0AC3489E-8917-4D91-A7E1-354B7C9A6A1E}"/>
    <cellStyle name="Normal 7 6" xfId="182" xr:uid="{38C7BC55-C1C0-4D41-B88B-2B8109CDB64F}"/>
    <cellStyle name="Normal 7 7" xfId="115" xr:uid="{F5046F14-3E86-4630-B674-2B0E1297488A}"/>
    <cellStyle name="Normal 8" xfId="41" xr:uid="{1D0548D7-B338-44DC-A06B-FF5452568E1D}"/>
    <cellStyle name="Normal 8 2" xfId="27" xr:uid="{00000000-0005-0000-0000-000045000000}"/>
    <cellStyle name="Normal 8 3" xfId="83" xr:uid="{4704501A-514D-4FBC-8E3D-0C8A9E392359}"/>
    <cellStyle name="Normal 8 3 2" xfId="219" xr:uid="{D16FE1E8-86C1-4227-A23B-A75D515EDDCE}"/>
    <cellStyle name="Normal 8 3 3" xfId="152" xr:uid="{E430A03C-5222-4083-B09E-9F4AC7DD0756}"/>
    <cellStyle name="Normal 8 4" xfId="70" xr:uid="{37EC214B-741C-4C0A-A556-8ECD552063D7}"/>
    <cellStyle name="Normal 8 4 2" xfId="206" xr:uid="{08864964-63D7-4D23-A86B-51DAAEB36038}"/>
    <cellStyle name="Normal 8 4 3" xfId="139" xr:uid="{FED3CAE8-591B-4C6C-8EAD-FC45582CC9FE}"/>
    <cellStyle name="Normal 8 5" xfId="94" xr:uid="{052CE092-32CC-4434-82A7-7A88F454DF04}"/>
    <cellStyle name="Normal 8 5 2" xfId="163" xr:uid="{81EDB364-128F-47AD-A60A-49BECA7246FE}"/>
    <cellStyle name="Normal 8 6" xfId="183" xr:uid="{7624737D-3502-4F1E-9940-48626F93A1D0}"/>
    <cellStyle name="Normal 8 7" xfId="116" xr:uid="{82F70662-E6D5-4C57-812E-CC6AFB9C9E82}"/>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208" xr:uid="{A97F5782-934A-4FF4-B7BF-3129A4D8EBA1}"/>
    <cellStyle name="Normal 9 2 2 2 3" xfId="141" xr:uid="{00182F3F-B3A3-4CCA-B0DB-A2581EAE26F4}"/>
    <cellStyle name="Normal 9 2 2 3" xfId="185" xr:uid="{8CD5A5B8-664B-4615-8736-A2D9980ADA2E}"/>
    <cellStyle name="Normal 9 2 2 4" xfId="118" xr:uid="{30775651-C251-44CC-88CE-80F904A63406}"/>
    <cellStyle name="Normal 9 2 3" xfId="85" xr:uid="{EB40CAFA-C199-42BC-B367-E2CCDE56D197}"/>
    <cellStyle name="Normal 9 2 3 2" xfId="221" xr:uid="{1DA2F153-23E6-4F4B-8CDB-5457781993E5}"/>
    <cellStyle name="Normal 9 2 3 3" xfId="154" xr:uid="{4CEDED1A-6F5B-4A8E-8EDD-A41ED459EEBD}"/>
    <cellStyle name="Normal 9 2 4" xfId="96" xr:uid="{534D9504-A838-43D0-9E2F-2F42847AB20F}"/>
    <cellStyle name="Normal 9 2 4 2" xfId="165" xr:uid="{EB87FE2D-F9CD-456B-88C6-32FAA24B38CD}"/>
    <cellStyle name="Normal 9 3" xfId="84" xr:uid="{DB72956B-1B41-4BD8-8668-5B45C9ED0CE5}"/>
    <cellStyle name="Normal 9 3 2" xfId="220" xr:uid="{9D8DEE3A-3BEA-4359-B31D-FA2EA06D40A9}"/>
    <cellStyle name="Normal 9 3 3" xfId="153" xr:uid="{71C4B734-8F3C-4E04-A61A-6597486E94B0}"/>
    <cellStyle name="Normal 9 4" xfId="71" xr:uid="{E1C20C1A-659A-4049-8DB5-E2C9544F1855}"/>
    <cellStyle name="Normal 9 4 2" xfId="207" xr:uid="{AB2A17C2-2D3F-43EA-ACAF-334A3EED913C}"/>
    <cellStyle name="Normal 9 4 3" xfId="140" xr:uid="{DCC16984-6A44-4A69-80DA-3EE977D03A07}"/>
    <cellStyle name="Normal 9 5" xfId="95" xr:uid="{37DCDF09-7D60-4CAB-868B-F09BEF2B1BF1}"/>
    <cellStyle name="Normal 9 5 2" xfId="164" xr:uid="{9CB46217-BA1C-4765-8EFA-61A0F31421B9}"/>
    <cellStyle name="Normal 9 6" xfId="184" xr:uid="{F520D491-3E30-46A7-A020-91CC0CA33EB5}"/>
    <cellStyle name="Normal 9 7" xfId="117" xr:uid="{073CE013-6D80-4087-BC70-F69FC4C1C0FB}"/>
    <cellStyle name="Percent" xfId="3" builtinId="5"/>
    <cellStyle name="Percent 2" xfId="29" xr:uid="{00000000-0005-0000-0000-000047000000}"/>
    <cellStyle name="Percent 3" xfId="54" xr:uid="{35A8CD5D-03EC-4F65-9B6E-02954737441C}"/>
    <cellStyle name="Percent 3 2" xfId="190" xr:uid="{1D84C499-B6B2-4FE0-80C8-97F817C3E4F3}"/>
    <cellStyle name="Percent 3 3" xfId="123" xr:uid="{CACA413A-C3F3-4602-A884-AB830D6FF5CB}"/>
    <cellStyle name="Percent 4" xfId="168" xr:uid="{4986A46A-915D-4261-BE19-48A0A674B768}"/>
    <cellStyle name="Percent 5" xfId="101" xr:uid="{7E093CB6-CA06-4DE3-88A9-7C3319623126}"/>
  </cellStyles>
  <dxfs count="300">
    <dxf>
      <font>
        <color rgb="FF9C0006"/>
      </font>
      <fill>
        <patternFill>
          <bgColor rgb="FFFFC7CE"/>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FFF4BAC6"/>
      <color rgb="FFFF3300"/>
      <color rgb="FF009242"/>
      <color rgb="FF66FFFF"/>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3.jpeg"/></Relationships>
</file>

<file path=xl/drawings/_rels/drawing9.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customXml" Target="../ink/ink1.xml"/><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0</xdr:col>
      <xdr:colOff>116416</xdr:colOff>
      <xdr:row>0</xdr:row>
      <xdr:rowOff>57504</xdr:rowOff>
    </xdr:from>
    <xdr:to>
      <xdr:col>1</xdr:col>
      <xdr:colOff>174512</xdr:colOff>
      <xdr:row>2</xdr:row>
      <xdr:rowOff>240596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16416" y="57504"/>
          <a:ext cx="667696" cy="5513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7</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2" name="Rectangle 1441">
          <a:extLst>
            <a:ext uri="{FF2B5EF4-FFF2-40B4-BE49-F238E27FC236}">
              <a16:creationId xmlns:a16="http://schemas.microsoft.com/office/drawing/2014/main" id="{5E151B3D-4DF4-4CF3-AC46-10BA4AAA6F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3" name="Rectangle 11">
          <a:extLst>
            <a:ext uri="{FF2B5EF4-FFF2-40B4-BE49-F238E27FC236}">
              <a16:creationId xmlns:a16="http://schemas.microsoft.com/office/drawing/2014/main" id="{7219A503-4B7F-4E55-AA1D-729AA82FCA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4" name="Rectangle 1443">
          <a:extLst>
            <a:ext uri="{FF2B5EF4-FFF2-40B4-BE49-F238E27FC236}">
              <a16:creationId xmlns:a16="http://schemas.microsoft.com/office/drawing/2014/main" id="{0AF9E0D5-CD04-4685-8E23-743B2D9448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5" name="Rectangle 11">
          <a:extLst>
            <a:ext uri="{FF2B5EF4-FFF2-40B4-BE49-F238E27FC236}">
              <a16:creationId xmlns:a16="http://schemas.microsoft.com/office/drawing/2014/main" id="{9917A0E8-D5BF-4FEB-B19B-1723689E5B6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6" name="Rectangle 1445">
          <a:extLst>
            <a:ext uri="{FF2B5EF4-FFF2-40B4-BE49-F238E27FC236}">
              <a16:creationId xmlns:a16="http://schemas.microsoft.com/office/drawing/2014/main" id="{FFC0C52D-3C04-436C-A076-85B3F41B00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7" name="Rectangle 11">
          <a:extLst>
            <a:ext uri="{FF2B5EF4-FFF2-40B4-BE49-F238E27FC236}">
              <a16:creationId xmlns:a16="http://schemas.microsoft.com/office/drawing/2014/main" id="{E0DD2A61-A877-42D9-AB76-9682D739AB3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8" name="Rectangle 1447">
          <a:extLst>
            <a:ext uri="{FF2B5EF4-FFF2-40B4-BE49-F238E27FC236}">
              <a16:creationId xmlns:a16="http://schemas.microsoft.com/office/drawing/2014/main" id="{2489A3EA-3B08-4029-A1F3-7F8FEAFC48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9" name="Rectangle 1448">
          <a:extLst>
            <a:ext uri="{FF2B5EF4-FFF2-40B4-BE49-F238E27FC236}">
              <a16:creationId xmlns:a16="http://schemas.microsoft.com/office/drawing/2014/main" id="{59E03DD8-87F7-49FB-B57F-DAD19A1B3D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0" name="Rectangle 1449">
          <a:extLst>
            <a:ext uri="{FF2B5EF4-FFF2-40B4-BE49-F238E27FC236}">
              <a16:creationId xmlns:a16="http://schemas.microsoft.com/office/drawing/2014/main" id="{6EA6E9B9-4F90-4578-9C68-AF5759EC41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1" name="Rectangle 11">
          <a:extLst>
            <a:ext uri="{FF2B5EF4-FFF2-40B4-BE49-F238E27FC236}">
              <a16:creationId xmlns:a16="http://schemas.microsoft.com/office/drawing/2014/main" id="{8F90B935-6E39-41F5-A370-ED0CCBA16D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2" name="Rectangle 1451">
          <a:extLst>
            <a:ext uri="{FF2B5EF4-FFF2-40B4-BE49-F238E27FC236}">
              <a16:creationId xmlns:a16="http://schemas.microsoft.com/office/drawing/2014/main" id="{968FCC30-19F7-4D4E-BF65-F1AC5E9196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3" name="Rectangle 11">
          <a:extLst>
            <a:ext uri="{FF2B5EF4-FFF2-40B4-BE49-F238E27FC236}">
              <a16:creationId xmlns:a16="http://schemas.microsoft.com/office/drawing/2014/main" id="{58FFBDED-5779-46FA-A665-B477D7F48A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4" name="Rectangle 1453">
          <a:extLst>
            <a:ext uri="{FF2B5EF4-FFF2-40B4-BE49-F238E27FC236}">
              <a16:creationId xmlns:a16="http://schemas.microsoft.com/office/drawing/2014/main" id="{C72B307B-F3DA-4228-8BCF-101AD94C58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5" name="Rectangle 11">
          <a:extLst>
            <a:ext uri="{FF2B5EF4-FFF2-40B4-BE49-F238E27FC236}">
              <a16:creationId xmlns:a16="http://schemas.microsoft.com/office/drawing/2014/main" id="{6195CBC5-0F36-4C9F-B947-D01B3EEAC8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6" name="Rectangle 1455">
          <a:extLst>
            <a:ext uri="{FF2B5EF4-FFF2-40B4-BE49-F238E27FC236}">
              <a16:creationId xmlns:a16="http://schemas.microsoft.com/office/drawing/2014/main" id="{3F44A6E9-A9E1-463D-A654-4F2B4481383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7" name="Rectangle 11">
          <a:extLst>
            <a:ext uri="{FF2B5EF4-FFF2-40B4-BE49-F238E27FC236}">
              <a16:creationId xmlns:a16="http://schemas.microsoft.com/office/drawing/2014/main" id="{24B2E05E-B37C-45EA-945B-D9785F4BA28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8" name="Rectangle 1457">
          <a:extLst>
            <a:ext uri="{FF2B5EF4-FFF2-40B4-BE49-F238E27FC236}">
              <a16:creationId xmlns:a16="http://schemas.microsoft.com/office/drawing/2014/main" id="{76CBBFFA-26B5-4052-9F4B-6F4E36CCA70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9" name="Rectangle 11">
          <a:extLst>
            <a:ext uri="{FF2B5EF4-FFF2-40B4-BE49-F238E27FC236}">
              <a16:creationId xmlns:a16="http://schemas.microsoft.com/office/drawing/2014/main" id="{65659831-4379-48CD-B3D0-1638F01362C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0" name="Rectangle 1459">
          <a:extLst>
            <a:ext uri="{FF2B5EF4-FFF2-40B4-BE49-F238E27FC236}">
              <a16:creationId xmlns:a16="http://schemas.microsoft.com/office/drawing/2014/main" id="{A7C5CEE1-8CEF-4A62-B0EC-E4E8D54E03F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1" name="Rectangle 1460">
          <a:extLst>
            <a:ext uri="{FF2B5EF4-FFF2-40B4-BE49-F238E27FC236}">
              <a16:creationId xmlns:a16="http://schemas.microsoft.com/office/drawing/2014/main" id="{871DD1C6-5EF0-498B-9A3F-DECBA9C53BB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2" name="Rectangle 1461">
          <a:extLst>
            <a:ext uri="{FF2B5EF4-FFF2-40B4-BE49-F238E27FC236}">
              <a16:creationId xmlns:a16="http://schemas.microsoft.com/office/drawing/2014/main" id="{302E8AB4-9CCB-4E32-81ED-B9932B7F0C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3" name="Rectangle 11">
          <a:extLst>
            <a:ext uri="{FF2B5EF4-FFF2-40B4-BE49-F238E27FC236}">
              <a16:creationId xmlns:a16="http://schemas.microsoft.com/office/drawing/2014/main" id="{3F7632A4-70DF-4C23-A603-FD68ECD2F6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4" name="Rectangle 1463">
          <a:extLst>
            <a:ext uri="{FF2B5EF4-FFF2-40B4-BE49-F238E27FC236}">
              <a16:creationId xmlns:a16="http://schemas.microsoft.com/office/drawing/2014/main" id="{6A5F1BDC-7A2A-45E4-889B-4C8B064A9C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5" name="Rectangle 11">
          <a:extLst>
            <a:ext uri="{FF2B5EF4-FFF2-40B4-BE49-F238E27FC236}">
              <a16:creationId xmlns:a16="http://schemas.microsoft.com/office/drawing/2014/main" id="{BD29B3C0-2767-4FEF-94DB-7ACB3E54F21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6" name="Rectangle 1465">
          <a:extLst>
            <a:ext uri="{FF2B5EF4-FFF2-40B4-BE49-F238E27FC236}">
              <a16:creationId xmlns:a16="http://schemas.microsoft.com/office/drawing/2014/main" id="{F21D755D-3AC6-46C6-82A0-93C7CDC94A4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7" name="Rectangle 11">
          <a:extLst>
            <a:ext uri="{FF2B5EF4-FFF2-40B4-BE49-F238E27FC236}">
              <a16:creationId xmlns:a16="http://schemas.microsoft.com/office/drawing/2014/main" id="{E35355BD-2806-4B1F-8C5E-DF68360D19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8" name="Rectangle 1467">
          <a:extLst>
            <a:ext uri="{FF2B5EF4-FFF2-40B4-BE49-F238E27FC236}">
              <a16:creationId xmlns:a16="http://schemas.microsoft.com/office/drawing/2014/main" id="{54438D7A-4086-4FCE-8B9A-DEAD38636F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9" name="Rectangle 11">
          <a:extLst>
            <a:ext uri="{FF2B5EF4-FFF2-40B4-BE49-F238E27FC236}">
              <a16:creationId xmlns:a16="http://schemas.microsoft.com/office/drawing/2014/main" id="{1096CF66-092D-4728-ADDB-962297C5F0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0" name="Rectangle 1469">
          <a:extLst>
            <a:ext uri="{FF2B5EF4-FFF2-40B4-BE49-F238E27FC236}">
              <a16:creationId xmlns:a16="http://schemas.microsoft.com/office/drawing/2014/main" id="{1979D456-B523-4AE6-A58A-5884C4E2DEA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1" name="Rectangle 11">
          <a:extLst>
            <a:ext uri="{FF2B5EF4-FFF2-40B4-BE49-F238E27FC236}">
              <a16:creationId xmlns:a16="http://schemas.microsoft.com/office/drawing/2014/main" id="{4A17DAAE-EAED-40B3-94DA-B2CF56563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2" name="Rectangle 1471">
          <a:extLst>
            <a:ext uri="{FF2B5EF4-FFF2-40B4-BE49-F238E27FC236}">
              <a16:creationId xmlns:a16="http://schemas.microsoft.com/office/drawing/2014/main" id="{9CFE6BF2-FC1E-4D88-AD8B-1C48A8E2DD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3" name="Rectangle 1472">
          <a:extLst>
            <a:ext uri="{FF2B5EF4-FFF2-40B4-BE49-F238E27FC236}">
              <a16:creationId xmlns:a16="http://schemas.microsoft.com/office/drawing/2014/main" id="{BFF397C7-982D-473F-ACF1-2C0ACA2FFA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4" name="Rectangle 1473">
          <a:extLst>
            <a:ext uri="{FF2B5EF4-FFF2-40B4-BE49-F238E27FC236}">
              <a16:creationId xmlns:a16="http://schemas.microsoft.com/office/drawing/2014/main" id="{2FB7DC26-6BEA-4E2E-A695-2010A7A9504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5" name="Rectangle 11">
          <a:extLst>
            <a:ext uri="{FF2B5EF4-FFF2-40B4-BE49-F238E27FC236}">
              <a16:creationId xmlns:a16="http://schemas.microsoft.com/office/drawing/2014/main" id="{82632D7E-C728-4891-8AB5-475097196C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6" name="Rectangle 1475">
          <a:extLst>
            <a:ext uri="{FF2B5EF4-FFF2-40B4-BE49-F238E27FC236}">
              <a16:creationId xmlns:a16="http://schemas.microsoft.com/office/drawing/2014/main" id="{1D868002-3525-422C-AC56-F76AD3BDA68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7" name="Rectangle 11">
          <a:extLst>
            <a:ext uri="{FF2B5EF4-FFF2-40B4-BE49-F238E27FC236}">
              <a16:creationId xmlns:a16="http://schemas.microsoft.com/office/drawing/2014/main" id="{A3CE2B52-8C08-4638-BBAB-998F99B68B8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8" name="Rectangle 1477">
          <a:extLst>
            <a:ext uri="{FF2B5EF4-FFF2-40B4-BE49-F238E27FC236}">
              <a16:creationId xmlns:a16="http://schemas.microsoft.com/office/drawing/2014/main" id="{57DEF854-36D8-4668-8578-BBB58698F68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9" name="Rectangle 11">
          <a:extLst>
            <a:ext uri="{FF2B5EF4-FFF2-40B4-BE49-F238E27FC236}">
              <a16:creationId xmlns:a16="http://schemas.microsoft.com/office/drawing/2014/main" id="{CB09C868-0CD6-40C5-9A3B-DC48223A12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0" name="Rectangle 1479">
          <a:extLst>
            <a:ext uri="{FF2B5EF4-FFF2-40B4-BE49-F238E27FC236}">
              <a16:creationId xmlns:a16="http://schemas.microsoft.com/office/drawing/2014/main" id="{DB293522-AD33-4B7E-ACB9-E3AFA1DD75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1" name="Rectangle 11">
          <a:extLst>
            <a:ext uri="{FF2B5EF4-FFF2-40B4-BE49-F238E27FC236}">
              <a16:creationId xmlns:a16="http://schemas.microsoft.com/office/drawing/2014/main" id="{9CEAE5CC-6444-44E9-85D5-685B18D7E3D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2" name="Rectangle 1481">
          <a:extLst>
            <a:ext uri="{FF2B5EF4-FFF2-40B4-BE49-F238E27FC236}">
              <a16:creationId xmlns:a16="http://schemas.microsoft.com/office/drawing/2014/main" id="{67C3F8D2-BF51-48B9-B69A-D713A792E0A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3" name="Rectangle 11">
          <a:extLst>
            <a:ext uri="{FF2B5EF4-FFF2-40B4-BE49-F238E27FC236}">
              <a16:creationId xmlns:a16="http://schemas.microsoft.com/office/drawing/2014/main" id="{A69469B8-F88E-490C-9733-4B7B7AF5A9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4" name="Rectangle 1483">
          <a:extLst>
            <a:ext uri="{FF2B5EF4-FFF2-40B4-BE49-F238E27FC236}">
              <a16:creationId xmlns:a16="http://schemas.microsoft.com/office/drawing/2014/main" id="{ABE17236-0FDA-4FD4-A079-5D4136B1BF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5" name="Rectangle 1484">
          <a:extLst>
            <a:ext uri="{FF2B5EF4-FFF2-40B4-BE49-F238E27FC236}">
              <a16:creationId xmlns:a16="http://schemas.microsoft.com/office/drawing/2014/main" id="{70EBED71-7406-458D-9830-D166A97C861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6" name="Rectangle 1485">
          <a:extLst>
            <a:ext uri="{FF2B5EF4-FFF2-40B4-BE49-F238E27FC236}">
              <a16:creationId xmlns:a16="http://schemas.microsoft.com/office/drawing/2014/main" id="{06293272-CB11-41FE-B3A1-17E69F33F4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7" name="Rectangle 11">
          <a:extLst>
            <a:ext uri="{FF2B5EF4-FFF2-40B4-BE49-F238E27FC236}">
              <a16:creationId xmlns:a16="http://schemas.microsoft.com/office/drawing/2014/main" id="{8EEC53BC-28F7-41E3-B666-D87F8A6FAF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8" name="Rectangle 1487">
          <a:extLst>
            <a:ext uri="{FF2B5EF4-FFF2-40B4-BE49-F238E27FC236}">
              <a16:creationId xmlns:a16="http://schemas.microsoft.com/office/drawing/2014/main" id="{02817FB7-F364-4B0F-98CA-ADC322B1597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9" name="Rectangle 11">
          <a:extLst>
            <a:ext uri="{FF2B5EF4-FFF2-40B4-BE49-F238E27FC236}">
              <a16:creationId xmlns:a16="http://schemas.microsoft.com/office/drawing/2014/main" id="{DB0A6FD0-3AFC-4DC4-A5EB-4693833531C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0" name="Rectangle 1489">
          <a:extLst>
            <a:ext uri="{FF2B5EF4-FFF2-40B4-BE49-F238E27FC236}">
              <a16:creationId xmlns:a16="http://schemas.microsoft.com/office/drawing/2014/main" id="{D4B41B5E-8AA6-478F-8428-0557A37ADB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1" name="Rectangle 11">
          <a:extLst>
            <a:ext uri="{FF2B5EF4-FFF2-40B4-BE49-F238E27FC236}">
              <a16:creationId xmlns:a16="http://schemas.microsoft.com/office/drawing/2014/main" id="{F5D65787-08EA-4E14-9F2A-D545E9990B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2" name="Rectangle 1491">
          <a:extLst>
            <a:ext uri="{FF2B5EF4-FFF2-40B4-BE49-F238E27FC236}">
              <a16:creationId xmlns:a16="http://schemas.microsoft.com/office/drawing/2014/main" id="{D62F28A9-ABDA-465D-9648-DF4CEFE5DA3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3" name="Rectangle 11">
          <a:extLst>
            <a:ext uri="{FF2B5EF4-FFF2-40B4-BE49-F238E27FC236}">
              <a16:creationId xmlns:a16="http://schemas.microsoft.com/office/drawing/2014/main" id="{3EA2432A-1187-4684-AD9D-5335D70670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4" name="Rectangle 1493">
          <a:extLst>
            <a:ext uri="{FF2B5EF4-FFF2-40B4-BE49-F238E27FC236}">
              <a16:creationId xmlns:a16="http://schemas.microsoft.com/office/drawing/2014/main" id="{E26A6392-589A-4038-8E8C-422C04DF78A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5" name="Rectangle 11">
          <a:extLst>
            <a:ext uri="{FF2B5EF4-FFF2-40B4-BE49-F238E27FC236}">
              <a16:creationId xmlns:a16="http://schemas.microsoft.com/office/drawing/2014/main" id="{76F0247E-ECF0-42F1-B44A-32267CF65B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6" name="Rectangle 1495">
          <a:extLst>
            <a:ext uri="{FF2B5EF4-FFF2-40B4-BE49-F238E27FC236}">
              <a16:creationId xmlns:a16="http://schemas.microsoft.com/office/drawing/2014/main" id="{DC2252F6-5A79-4A25-96EC-476D38B79D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7" name="Rectangle 1496">
          <a:extLst>
            <a:ext uri="{FF2B5EF4-FFF2-40B4-BE49-F238E27FC236}">
              <a16:creationId xmlns:a16="http://schemas.microsoft.com/office/drawing/2014/main" id="{72865A72-2A6D-44DB-8E3D-A5240E60E40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8" name="Rectangle 1497">
          <a:extLst>
            <a:ext uri="{FF2B5EF4-FFF2-40B4-BE49-F238E27FC236}">
              <a16:creationId xmlns:a16="http://schemas.microsoft.com/office/drawing/2014/main" id="{BF062799-ED3A-4342-B7E3-3B6E06E369C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9" name="Rectangle 11">
          <a:extLst>
            <a:ext uri="{FF2B5EF4-FFF2-40B4-BE49-F238E27FC236}">
              <a16:creationId xmlns:a16="http://schemas.microsoft.com/office/drawing/2014/main" id="{530CEB5F-CFE5-476C-AEAF-421B955CDA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0" name="Rectangle 1499">
          <a:extLst>
            <a:ext uri="{FF2B5EF4-FFF2-40B4-BE49-F238E27FC236}">
              <a16:creationId xmlns:a16="http://schemas.microsoft.com/office/drawing/2014/main" id="{849CA9B4-93C2-4B3E-81A1-CB4E9BF893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1" name="Rectangle 11">
          <a:extLst>
            <a:ext uri="{FF2B5EF4-FFF2-40B4-BE49-F238E27FC236}">
              <a16:creationId xmlns:a16="http://schemas.microsoft.com/office/drawing/2014/main" id="{236BFEA6-0E9E-4E70-9FA0-1B8C0683B35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2" name="Rectangle 1501">
          <a:extLst>
            <a:ext uri="{FF2B5EF4-FFF2-40B4-BE49-F238E27FC236}">
              <a16:creationId xmlns:a16="http://schemas.microsoft.com/office/drawing/2014/main" id="{70EA5932-42FF-4724-92DA-A32B648319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3" name="Rectangle 11">
          <a:extLst>
            <a:ext uri="{FF2B5EF4-FFF2-40B4-BE49-F238E27FC236}">
              <a16:creationId xmlns:a16="http://schemas.microsoft.com/office/drawing/2014/main" id="{C26726C2-396F-49CD-A49C-B29E467F4E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4" name="Rectangle 1503">
          <a:extLst>
            <a:ext uri="{FF2B5EF4-FFF2-40B4-BE49-F238E27FC236}">
              <a16:creationId xmlns:a16="http://schemas.microsoft.com/office/drawing/2014/main" id="{D39D940B-1B0C-4028-94FA-9959986497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5" name="Rectangle 11">
          <a:extLst>
            <a:ext uri="{FF2B5EF4-FFF2-40B4-BE49-F238E27FC236}">
              <a16:creationId xmlns:a16="http://schemas.microsoft.com/office/drawing/2014/main" id="{4B6FBE49-839F-4A7A-BB13-470B3F2CA80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6" name="Rectangle 1505">
          <a:extLst>
            <a:ext uri="{FF2B5EF4-FFF2-40B4-BE49-F238E27FC236}">
              <a16:creationId xmlns:a16="http://schemas.microsoft.com/office/drawing/2014/main" id="{701F7B8D-4FA3-4484-ADD7-76B600A59D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7" name="Rectangle 11">
          <a:extLst>
            <a:ext uri="{FF2B5EF4-FFF2-40B4-BE49-F238E27FC236}">
              <a16:creationId xmlns:a16="http://schemas.microsoft.com/office/drawing/2014/main" id="{6F0922A8-FFA5-4336-9F7E-2E1BDC80D8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8" name="Rectangle 1507">
          <a:extLst>
            <a:ext uri="{FF2B5EF4-FFF2-40B4-BE49-F238E27FC236}">
              <a16:creationId xmlns:a16="http://schemas.microsoft.com/office/drawing/2014/main" id="{3B1DC672-DCF2-42D8-8AFD-1D048E2C58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9" name="Rectangle 1508">
          <a:extLst>
            <a:ext uri="{FF2B5EF4-FFF2-40B4-BE49-F238E27FC236}">
              <a16:creationId xmlns:a16="http://schemas.microsoft.com/office/drawing/2014/main" id="{F9CE39B2-6009-4DDA-84C3-C87B07659A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0" name="Rectangle 1509">
          <a:extLst>
            <a:ext uri="{FF2B5EF4-FFF2-40B4-BE49-F238E27FC236}">
              <a16:creationId xmlns:a16="http://schemas.microsoft.com/office/drawing/2014/main" id="{3520B09C-EF55-45A2-80C5-A9ACA947F50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1" name="Rectangle 11">
          <a:extLst>
            <a:ext uri="{FF2B5EF4-FFF2-40B4-BE49-F238E27FC236}">
              <a16:creationId xmlns:a16="http://schemas.microsoft.com/office/drawing/2014/main" id="{2E661575-4898-4F13-A954-2C4A70F1BB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2" name="Rectangle 1511">
          <a:extLst>
            <a:ext uri="{FF2B5EF4-FFF2-40B4-BE49-F238E27FC236}">
              <a16:creationId xmlns:a16="http://schemas.microsoft.com/office/drawing/2014/main" id="{63FB0262-1A92-4C54-B615-2E01649A100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3" name="Rectangle 11">
          <a:extLst>
            <a:ext uri="{FF2B5EF4-FFF2-40B4-BE49-F238E27FC236}">
              <a16:creationId xmlns:a16="http://schemas.microsoft.com/office/drawing/2014/main" id="{00A69403-4205-43D6-B3C1-30A75720BC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4" name="Rectangle 1513">
          <a:extLst>
            <a:ext uri="{FF2B5EF4-FFF2-40B4-BE49-F238E27FC236}">
              <a16:creationId xmlns:a16="http://schemas.microsoft.com/office/drawing/2014/main" id="{D1CDA9B1-F412-4F7B-9A16-2B21E9E502A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5" name="Rectangle 11">
          <a:extLst>
            <a:ext uri="{FF2B5EF4-FFF2-40B4-BE49-F238E27FC236}">
              <a16:creationId xmlns:a16="http://schemas.microsoft.com/office/drawing/2014/main" id="{EDD9EC7F-05E3-4695-8C93-23D1566C0C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6" name="Rectangle 1515">
          <a:extLst>
            <a:ext uri="{FF2B5EF4-FFF2-40B4-BE49-F238E27FC236}">
              <a16:creationId xmlns:a16="http://schemas.microsoft.com/office/drawing/2014/main" id="{38186BDA-62B7-4412-B7EB-E828050630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7" name="Rectangle 11">
          <a:extLst>
            <a:ext uri="{FF2B5EF4-FFF2-40B4-BE49-F238E27FC236}">
              <a16:creationId xmlns:a16="http://schemas.microsoft.com/office/drawing/2014/main" id="{CF85BCBA-5C7B-46E6-971E-BE9E352928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8" name="Rectangle 1517">
          <a:extLst>
            <a:ext uri="{FF2B5EF4-FFF2-40B4-BE49-F238E27FC236}">
              <a16:creationId xmlns:a16="http://schemas.microsoft.com/office/drawing/2014/main" id="{056AB043-7667-4C6C-9907-AB6BC49C16C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9" name="Rectangle 11">
          <a:extLst>
            <a:ext uri="{FF2B5EF4-FFF2-40B4-BE49-F238E27FC236}">
              <a16:creationId xmlns:a16="http://schemas.microsoft.com/office/drawing/2014/main" id="{BCE3D9E1-4F60-43BB-ABD2-EA258E8B37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0" name="Rectangle 1519">
          <a:extLst>
            <a:ext uri="{FF2B5EF4-FFF2-40B4-BE49-F238E27FC236}">
              <a16:creationId xmlns:a16="http://schemas.microsoft.com/office/drawing/2014/main" id="{1ED3DD4E-0C16-4E71-94BB-8E927344C5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1" name="Rectangle 1520">
          <a:extLst>
            <a:ext uri="{FF2B5EF4-FFF2-40B4-BE49-F238E27FC236}">
              <a16:creationId xmlns:a16="http://schemas.microsoft.com/office/drawing/2014/main" id="{B57A1EE0-BEEF-4427-ABA9-CC8E10B005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2" name="Rectangle 1521">
          <a:extLst>
            <a:ext uri="{FF2B5EF4-FFF2-40B4-BE49-F238E27FC236}">
              <a16:creationId xmlns:a16="http://schemas.microsoft.com/office/drawing/2014/main" id="{04C27541-F0BE-4E8B-BEAF-30F8317EA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3" name="Rectangle 11">
          <a:extLst>
            <a:ext uri="{FF2B5EF4-FFF2-40B4-BE49-F238E27FC236}">
              <a16:creationId xmlns:a16="http://schemas.microsoft.com/office/drawing/2014/main" id="{ED3F00E4-2249-4A77-8C08-9E90FD87263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4" name="Rectangle 1523">
          <a:extLst>
            <a:ext uri="{FF2B5EF4-FFF2-40B4-BE49-F238E27FC236}">
              <a16:creationId xmlns:a16="http://schemas.microsoft.com/office/drawing/2014/main" id="{850426F4-C5B5-4054-9A76-AE085939BF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5" name="Rectangle 11">
          <a:extLst>
            <a:ext uri="{FF2B5EF4-FFF2-40B4-BE49-F238E27FC236}">
              <a16:creationId xmlns:a16="http://schemas.microsoft.com/office/drawing/2014/main" id="{7D15C3FC-00EB-467A-B83D-B943FA2AC1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6" name="Rectangle 1525">
          <a:extLst>
            <a:ext uri="{FF2B5EF4-FFF2-40B4-BE49-F238E27FC236}">
              <a16:creationId xmlns:a16="http://schemas.microsoft.com/office/drawing/2014/main" id="{63BFF1D8-DBE1-415A-9E94-CF47F2F77D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7" name="Rectangle 11">
          <a:extLst>
            <a:ext uri="{FF2B5EF4-FFF2-40B4-BE49-F238E27FC236}">
              <a16:creationId xmlns:a16="http://schemas.microsoft.com/office/drawing/2014/main" id="{F030B6B8-58C7-4831-98C7-E26DEE160EE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8" name="Rectangle 1527">
          <a:extLst>
            <a:ext uri="{FF2B5EF4-FFF2-40B4-BE49-F238E27FC236}">
              <a16:creationId xmlns:a16="http://schemas.microsoft.com/office/drawing/2014/main" id="{54ED0180-268F-4AFB-9C9B-4ECDBE9682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9" name="Rectangle 11">
          <a:extLst>
            <a:ext uri="{FF2B5EF4-FFF2-40B4-BE49-F238E27FC236}">
              <a16:creationId xmlns:a16="http://schemas.microsoft.com/office/drawing/2014/main" id="{F9A0D798-028B-4C40-A42B-91F3F3812B9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0" name="Rectangle 1529">
          <a:extLst>
            <a:ext uri="{FF2B5EF4-FFF2-40B4-BE49-F238E27FC236}">
              <a16:creationId xmlns:a16="http://schemas.microsoft.com/office/drawing/2014/main" id="{B21FC484-3515-4277-952F-5E12EBA8E6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1" name="Rectangle 11">
          <a:extLst>
            <a:ext uri="{FF2B5EF4-FFF2-40B4-BE49-F238E27FC236}">
              <a16:creationId xmlns:a16="http://schemas.microsoft.com/office/drawing/2014/main" id="{82494528-FF91-477E-8007-0ACB4E2AB2B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2" name="Rectangle 1531">
          <a:extLst>
            <a:ext uri="{FF2B5EF4-FFF2-40B4-BE49-F238E27FC236}">
              <a16:creationId xmlns:a16="http://schemas.microsoft.com/office/drawing/2014/main" id="{E389BBDF-72A8-4E58-8D9F-CDD0E981B9D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3" name="Rectangle 1532">
          <a:extLst>
            <a:ext uri="{FF2B5EF4-FFF2-40B4-BE49-F238E27FC236}">
              <a16:creationId xmlns:a16="http://schemas.microsoft.com/office/drawing/2014/main" id="{817B2ED6-1C95-404A-A73B-8AB5BFA468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4" name="Rectangle 1533">
          <a:extLst>
            <a:ext uri="{FF2B5EF4-FFF2-40B4-BE49-F238E27FC236}">
              <a16:creationId xmlns:a16="http://schemas.microsoft.com/office/drawing/2014/main" id="{62161377-45ED-4622-B2D4-03C94D31023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5" name="Rectangle 11">
          <a:extLst>
            <a:ext uri="{FF2B5EF4-FFF2-40B4-BE49-F238E27FC236}">
              <a16:creationId xmlns:a16="http://schemas.microsoft.com/office/drawing/2014/main" id="{AC5184DD-F6FB-42E8-9AB1-40B578BA6C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6" name="Rectangle 1535">
          <a:extLst>
            <a:ext uri="{FF2B5EF4-FFF2-40B4-BE49-F238E27FC236}">
              <a16:creationId xmlns:a16="http://schemas.microsoft.com/office/drawing/2014/main" id="{C88C8FCD-36D1-4C85-A10A-DC332C1F9E2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7" name="Rectangle 11">
          <a:extLst>
            <a:ext uri="{FF2B5EF4-FFF2-40B4-BE49-F238E27FC236}">
              <a16:creationId xmlns:a16="http://schemas.microsoft.com/office/drawing/2014/main" id="{265B7938-5D3F-4679-AEC8-EF95BD856B6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8" name="Rectangle 1537">
          <a:extLst>
            <a:ext uri="{FF2B5EF4-FFF2-40B4-BE49-F238E27FC236}">
              <a16:creationId xmlns:a16="http://schemas.microsoft.com/office/drawing/2014/main" id="{E981ABA1-37DC-41AF-AF43-05D3C3686B7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9" name="Rectangle 11">
          <a:extLst>
            <a:ext uri="{FF2B5EF4-FFF2-40B4-BE49-F238E27FC236}">
              <a16:creationId xmlns:a16="http://schemas.microsoft.com/office/drawing/2014/main" id="{CB9028D6-19C6-48B6-AD69-62B328218C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0" name="Rectangle 1539">
          <a:extLst>
            <a:ext uri="{FF2B5EF4-FFF2-40B4-BE49-F238E27FC236}">
              <a16:creationId xmlns:a16="http://schemas.microsoft.com/office/drawing/2014/main" id="{C9F261AA-DAE7-4943-8E99-0FA833F213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1" name="Rectangle 11">
          <a:extLst>
            <a:ext uri="{FF2B5EF4-FFF2-40B4-BE49-F238E27FC236}">
              <a16:creationId xmlns:a16="http://schemas.microsoft.com/office/drawing/2014/main" id="{D6B4AE37-4D2B-4990-A521-3E30A6610A1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2" name="Rectangle 1541">
          <a:extLst>
            <a:ext uri="{FF2B5EF4-FFF2-40B4-BE49-F238E27FC236}">
              <a16:creationId xmlns:a16="http://schemas.microsoft.com/office/drawing/2014/main" id="{23C8C9D8-450E-4C86-BD03-95AFDE300F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3" name="Rectangle 11">
          <a:extLst>
            <a:ext uri="{FF2B5EF4-FFF2-40B4-BE49-F238E27FC236}">
              <a16:creationId xmlns:a16="http://schemas.microsoft.com/office/drawing/2014/main" id="{DDA28C44-B414-418D-9049-0C300DE428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4" name="Rectangle 1543">
          <a:extLst>
            <a:ext uri="{FF2B5EF4-FFF2-40B4-BE49-F238E27FC236}">
              <a16:creationId xmlns:a16="http://schemas.microsoft.com/office/drawing/2014/main" id="{BC84F578-DAC9-4B65-824D-F39CCF826C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5" name="Rectangle 1544">
          <a:extLst>
            <a:ext uri="{FF2B5EF4-FFF2-40B4-BE49-F238E27FC236}">
              <a16:creationId xmlns:a16="http://schemas.microsoft.com/office/drawing/2014/main" id="{1D3629BB-C430-45D5-94A1-C0EE49132A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6" name="Rectangle 1545">
          <a:extLst>
            <a:ext uri="{FF2B5EF4-FFF2-40B4-BE49-F238E27FC236}">
              <a16:creationId xmlns:a16="http://schemas.microsoft.com/office/drawing/2014/main" id="{83DB6C9E-2A1F-4BDF-A772-8364B2D4DF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7" name="Rectangle 11">
          <a:extLst>
            <a:ext uri="{FF2B5EF4-FFF2-40B4-BE49-F238E27FC236}">
              <a16:creationId xmlns:a16="http://schemas.microsoft.com/office/drawing/2014/main" id="{D027DE26-EF00-432A-9739-673322D5F92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8" name="Rectangle 1547">
          <a:extLst>
            <a:ext uri="{FF2B5EF4-FFF2-40B4-BE49-F238E27FC236}">
              <a16:creationId xmlns:a16="http://schemas.microsoft.com/office/drawing/2014/main" id="{76EB938E-392D-460B-8406-419BE7B2564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9" name="Rectangle 11">
          <a:extLst>
            <a:ext uri="{FF2B5EF4-FFF2-40B4-BE49-F238E27FC236}">
              <a16:creationId xmlns:a16="http://schemas.microsoft.com/office/drawing/2014/main" id="{06216544-FE76-45AE-901B-1A25D1C40D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0" name="Rectangle 1549">
          <a:extLst>
            <a:ext uri="{FF2B5EF4-FFF2-40B4-BE49-F238E27FC236}">
              <a16:creationId xmlns:a16="http://schemas.microsoft.com/office/drawing/2014/main" id="{93770A9A-767C-410C-ABAD-6F543830B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1" name="Rectangle 11">
          <a:extLst>
            <a:ext uri="{FF2B5EF4-FFF2-40B4-BE49-F238E27FC236}">
              <a16:creationId xmlns:a16="http://schemas.microsoft.com/office/drawing/2014/main" id="{A73FCAEF-DE63-4B9A-BA10-E16709E5AB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2" name="Rectangle 1551">
          <a:extLst>
            <a:ext uri="{FF2B5EF4-FFF2-40B4-BE49-F238E27FC236}">
              <a16:creationId xmlns:a16="http://schemas.microsoft.com/office/drawing/2014/main" id="{13F09922-D046-4CD8-881C-177FE6DD42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3" name="Rectangle 11">
          <a:extLst>
            <a:ext uri="{FF2B5EF4-FFF2-40B4-BE49-F238E27FC236}">
              <a16:creationId xmlns:a16="http://schemas.microsoft.com/office/drawing/2014/main" id="{1B1AD95F-D7B6-4112-98A2-5EA157ED2D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4" name="Rectangle 1553">
          <a:extLst>
            <a:ext uri="{FF2B5EF4-FFF2-40B4-BE49-F238E27FC236}">
              <a16:creationId xmlns:a16="http://schemas.microsoft.com/office/drawing/2014/main" id="{735FD113-2389-4280-A749-72665476AD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5" name="Rectangle 11">
          <a:extLst>
            <a:ext uri="{FF2B5EF4-FFF2-40B4-BE49-F238E27FC236}">
              <a16:creationId xmlns:a16="http://schemas.microsoft.com/office/drawing/2014/main" id="{B6E9B161-8170-44C8-BF67-923130A211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6" name="Rectangle 1555">
          <a:extLst>
            <a:ext uri="{FF2B5EF4-FFF2-40B4-BE49-F238E27FC236}">
              <a16:creationId xmlns:a16="http://schemas.microsoft.com/office/drawing/2014/main" id="{CFFAC824-7CAF-45AE-B12E-95F39A5A31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7" name="Rectangle 1556">
          <a:extLst>
            <a:ext uri="{FF2B5EF4-FFF2-40B4-BE49-F238E27FC236}">
              <a16:creationId xmlns:a16="http://schemas.microsoft.com/office/drawing/2014/main" id="{EF495869-DA05-4079-A9C6-EC549D35EE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8" name="Rectangle 1557">
          <a:extLst>
            <a:ext uri="{FF2B5EF4-FFF2-40B4-BE49-F238E27FC236}">
              <a16:creationId xmlns:a16="http://schemas.microsoft.com/office/drawing/2014/main" id="{E41EA85D-9D92-4EB3-A217-F39B10A1AB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9" name="Rectangle 11">
          <a:extLst>
            <a:ext uri="{FF2B5EF4-FFF2-40B4-BE49-F238E27FC236}">
              <a16:creationId xmlns:a16="http://schemas.microsoft.com/office/drawing/2014/main" id="{9D1AED4F-A56B-443F-ADAF-FE125C1CCEB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0" name="Rectangle 1559">
          <a:extLst>
            <a:ext uri="{FF2B5EF4-FFF2-40B4-BE49-F238E27FC236}">
              <a16:creationId xmlns:a16="http://schemas.microsoft.com/office/drawing/2014/main" id="{10A0719B-9BBB-4085-962D-87221A929D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1" name="Rectangle 11">
          <a:extLst>
            <a:ext uri="{FF2B5EF4-FFF2-40B4-BE49-F238E27FC236}">
              <a16:creationId xmlns:a16="http://schemas.microsoft.com/office/drawing/2014/main" id="{DA1EA9C1-897E-4C72-AEFA-0257978E84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2" name="Rectangle 1561">
          <a:extLst>
            <a:ext uri="{FF2B5EF4-FFF2-40B4-BE49-F238E27FC236}">
              <a16:creationId xmlns:a16="http://schemas.microsoft.com/office/drawing/2014/main" id="{97809365-1D50-4AE4-91F2-7144A5F360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3" name="Rectangle 11">
          <a:extLst>
            <a:ext uri="{FF2B5EF4-FFF2-40B4-BE49-F238E27FC236}">
              <a16:creationId xmlns:a16="http://schemas.microsoft.com/office/drawing/2014/main" id="{1D2663D8-43BB-41DD-9D41-C33E6BAB93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4" name="Rectangle 1563">
          <a:extLst>
            <a:ext uri="{FF2B5EF4-FFF2-40B4-BE49-F238E27FC236}">
              <a16:creationId xmlns:a16="http://schemas.microsoft.com/office/drawing/2014/main" id="{E0A13A46-7B02-4829-A94E-051E793AAA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5" name="Rectangle 11">
          <a:extLst>
            <a:ext uri="{FF2B5EF4-FFF2-40B4-BE49-F238E27FC236}">
              <a16:creationId xmlns:a16="http://schemas.microsoft.com/office/drawing/2014/main" id="{61FAEA15-BA41-4B3D-B33E-F0F74C72D2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6" name="Rectangle 1565">
          <a:extLst>
            <a:ext uri="{FF2B5EF4-FFF2-40B4-BE49-F238E27FC236}">
              <a16:creationId xmlns:a16="http://schemas.microsoft.com/office/drawing/2014/main" id="{EB6C7996-4A88-48D0-AA5D-E30BCA6892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7" name="Rectangle 11">
          <a:extLst>
            <a:ext uri="{FF2B5EF4-FFF2-40B4-BE49-F238E27FC236}">
              <a16:creationId xmlns:a16="http://schemas.microsoft.com/office/drawing/2014/main" id="{C185AA27-8E78-42A8-88A9-23AC12EC706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8" name="Rectangle 1567">
          <a:extLst>
            <a:ext uri="{FF2B5EF4-FFF2-40B4-BE49-F238E27FC236}">
              <a16:creationId xmlns:a16="http://schemas.microsoft.com/office/drawing/2014/main" id="{B078D517-233C-429F-B60E-95CC22032E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9" name="Rectangle 1568">
          <a:extLst>
            <a:ext uri="{FF2B5EF4-FFF2-40B4-BE49-F238E27FC236}">
              <a16:creationId xmlns:a16="http://schemas.microsoft.com/office/drawing/2014/main" id="{3482B084-EDA7-4BF4-AAE0-E7281281D6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0" name="Rectangle 1569">
          <a:extLst>
            <a:ext uri="{FF2B5EF4-FFF2-40B4-BE49-F238E27FC236}">
              <a16:creationId xmlns:a16="http://schemas.microsoft.com/office/drawing/2014/main" id="{305900D9-2BE9-40DC-925B-3A7E5A6E25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1" name="Rectangle 11">
          <a:extLst>
            <a:ext uri="{FF2B5EF4-FFF2-40B4-BE49-F238E27FC236}">
              <a16:creationId xmlns:a16="http://schemas.microsoft.com/office/drawing/2014/main" id="{3C3C0692-8561-4636-8E1E-9FB8024BA8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2" name="Rectangle 1571">
          <a:extLst>
            <a:ext uri="{FF2B5EF4-FFF2-40B4-BE49-F238E27FC236}">
              <a16:creationId xmlns:a16="http://schemas.microsoft.com/office/drawing/2014/main" id="{7F8A6FBB-6C94-40E7-886C-0C529A34F4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3" name="Rectangle 11">
          <a:extLst>
            <a:ext uri="{FF2B5EF4-FFF2-40B4-BE49-F238E27FC236}">
              <a16:creationId xmlns:a16="http://schemas.microsoft.com/office/drawing/2014/main" id="{5848D568-3913-4055-B32A-EF9D6BE9A3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4" name="Rectangle 1573">
          <a:extLst>
            <a:ext uri="{FF2B5EF4-FFF2-40B4-BE49-F238E27FC236}">
              <a16:creationId xmlns:a16="http://schemas.microsoft.com/office/drawing/2014/main" id="{D39B5143-D5A0-48D0-B354-84AF917AF8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5" name="Rectangle 11">
          <a:extLst>
            <a:ext uri="{FF2B5EF4-FFF2-40B4-BE49-F238E27FC236}">
              <a16:creationId xmlns:a16="http://schemas.microsoft.com/office/drawing/2014/main" id="{2791E8B6-51C0-4E5A-97BD-ED8B4E7760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6" name="Rectangle 1575">
          <a:extLst>
            <a:ext uri="{FF2B5EF4-FFF2-40B4-BE49-F238E27FC236}">
              <a16:creationId xmlns:a16="http://schemas.microsoft.com/office/drawing/2014/main" id="{4E1FBBE7-CB21-4764-B5C8-F4DE992CBF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7" name="Rectangle 11">
          <a:extLst>
            <a:ext uri="{FF2B5EF4-FFF2-40B4-BE49-F238E27FC236}">
              <a16:creationId xmlns:a16="http://schemas.microsoft.com/office/drawing/2014/main" id="{14EF2CAE-AB70-4E6B-85D8-0B1C98DA5EA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8" name="Rectangle 1577">
          <a:extLst>
            <a:ext uri="{FF2B5EF4-FFF2-40B4-BE49-F238E27FC236}">
              <a16:creationId xmlns:a16="http://schemas.microsoft.com/office/drawing/2014/main" id="{A720BC30-5F7E-45D0-934B-695B6AE6799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9" name="Rectangle 11">
          <a:extLst>
            <a:ext uri="{FF2B5EF4-FFF2-40B4-BE49-F238E27FC236}">
              <a16:creationId xmlns:a16="http://schemas.microsoft.com/office/drawing/2014/main" id="{24ED9BA9-8778-4432-B7AE-F268E339A12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0" name="Rectangle 1579">
          <a:extLst>
            <a:ext uri="{FF2B5EF4-FFF2-40B4-BE49-F238E27FC236}">
              <a16:creationId xmlns:a16="http://schemas.microsoft.com/office/drawing/2014/main" id="{EC326603-97A3-4350-88F1-1E52D2B184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1" name="Rectangle 1580">
          <a:extLst>
            <a:ext uri="{FF2B5EF4-FFF2-40B4-BE49-F238E27FC236}">
              <a16:creationId xmlns:a16="http://schemas.microsoft.com/office/drawing/2014/main" id="{9BB36BB9-40A5-4C76-84C3-012F1C6981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2" name="Rectangle 1581">
          <a:extLst>
            <a:ext uri="{FF2B5EF4-FFF2-40B4-BE49-F238E27FC236}">
              <a16:creationId xmlns:a16="http://schemas.microsoft.com/office/drawing/2014/main" id="{5258C04B-D241-4E47-81A5-7ACBA64859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3" name="Rectangle 11">
          <a:extLst>
            <a:ext uri="{FF2B5EF4-FFF2-40B4-BE49-F238E27FC236}">
              <a16:creationId xmlns:a16="http://schemas.microsoft.com/office/drawing/2014/main" id="{18384F67-8641-4D9F-9ABB-3069AB939D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4" name="Rectangle 1583">
          <a:extLst>
            <a:ext uri="{FF2B5EF4-FFF2-40B4-BE49-F238E27FC236}">
              <a16:creationId xmlns:a16="http://schemas.microsoft.com/office/drawing/2014/main" id="{E0170D28-D464-4C8F-B089-C69E8E611B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5" name="Rectangle 11">
          <a:extLst>
            <a:ext uri="{FF2B5EF4-FFF2-40B4-BE49-F238E27FC236}">
              <a16:creationId xmlns:a16="http://schemas.microsoft.com/office/drawing/2014/main" id="{78F0E760-9FBB-454A-80DA-C24D52F798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6" name="Rectangle 1585">
          <a:extLst>
            <a:ext uri="{FF2B5EF4-FFF2-40B4-BE49-F238E27FC236}">
              <a16:creationId xmlns:a16="http://schemas.microsoft.com/office/drawing/2014/main" id="{CE510B80-A93D-4393-990D-F78D45614BA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7" name="Rectangle 11">
          <a:extLst>
            <a:ext uri="{FF2B5EF4-FFF2-40B4-BE49-F238E27FC236}">
              <a16:creationId xmlns:a16="http://schemas.microsoft.com/office/drawing/2014/main" id="{5F456256-6A2F-42C0-91C7-3DD035ADE0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8" name="Rectangle 1587">
          <a:extLst>
            <a:ext uri="{FF2B5EF4-FFF2-40B4-BE49-F238E27FC236}">
              <a16:creationId xmlns:a16="http://schemas.microsoft.com/office/drawing/2014/main" id="{73BFEBB5-33AE-44FB-AE11-E258E73FBE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9" name="Rectangle 11">
          <a:extLst>
            <a:ext uri="{FF2B5EF4-FFF2-40B4-BE49-F238E27FC236}">
              <a16:creationId xmlns:a16="http://schemas.microsoft.com/office/drawing/2014/main" id="{A2EA5FD6-A8E9-45A5-B3C9-1D158B7F1A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0" name="Rectangle 1589">
          <a:extLst>
            <a:ext uri="{FF2B5EF4-FFF2-40B4-BE49-F238E27FC236}">
              <a16:creationId xmlns:a16="http://schemas.microsoft.com/office/drawing/2014/main" id="{DA435B7F-B78F-461F-B3B2-9475ADE162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1" name="Rectangle 11">
          <a:extLst>
            <a:ext uri="{FF2B5EF4-FFF2-40B4-BE49-F238E27FC236}">
              <a16:creationId xmlns:a16="http://schemas.microsoft.com/office/drawing/2014/main" id="{0441138E-2B97-4B3B-90E5-F5D4A972A0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2" name="Rectangle 1591">
          <a:extLst>
            <a:ext uri="{FF2B5EF4-FFF2-40B4-BE49-F238E27FC236}">
              <a16:creationId xmlns:a16="http://schemas.microsoft.com/office/drawing/2014/main" id="{0687147E-BD57-4EA2-BD26-404B8B820F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3" name="Rectangle 1592">
          <a:extLst>
            <a:ext uri="{FF2B5EF4-FFF2-40B4-BE49-F238E27FC236}">
              <a16:creationId xmlns:a16="http://schemas.microsoft.com/office/drawing/2014/main" id="{F02E5B27-C163-4976-AC2F-7D09A0DD46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4" name="Rectangle 1593">
          <a:extLst>
            <a:ext uri="{FF2B5EF4-FFF2-40B4-BE49-F238E27FC236}">
              <a16:creationId xmlns:a16="http://schemas.microsoft.com/office/drawing/2014/main" id="{5273DDDA-6668-4CCB-A422-907C48DCF4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5" name="Rectangle 11">
          <a:extLst>
            <a:ext uri="{FF2B5EF4-FFF2-40B4-BE49-F238E27FC236}">
              <a16:creationId xmlns:a16="http://schemas.microsoft.com/office/drawing/2014/main" id="{E4FC9D9D-8A3A-49AE-8BFD-074908C207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6" name="Rectangle 1595">
          <a:extLst>
            <a:ext uri="{FF2B5EF4-FFF2-40B4-BE49-F238E27FC236}">
              <a16:creationId xmlns:a16="http://schemas.microsoft.com/office/drawing/2014/main" id="{E8599BE0-F213-4CA1-9889-CC950E63AC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7" name="Rectangle 11">
          <a:extLst>
            <a:ext uri="{FF2B5EF4-FFF2-40B4-BE49-F238E27FC236}">
              <a16:creationId xmlns:a16="http://schemas.microsoft.com/office/drawing/2014/main" id="{DF158553-E0A3-42D5-9918-0D6B5BCE12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8" name="Rectangle 1597">
          <a:extLst>
            <a:ext uri="{FF2B5EF4-FFF2-40B4-BE49-F238E27FC236}">
              <a16:creationId xmlns:a16="http://schemas.microsoft.com/office/drawing/2014/main" id="{711C3379-B1D0-4DB9-993B-D6FF7AA63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9" name="Rectangle 11">
          <a:extLst>
            <a:ext uri="{FF2B5EF4-FFF2-40B4-BE49-F238E27FC236}">
              <a16:creationId xmlns:a16="http://schemas.microsoft.com/office/drawing/2014/main" id="{B981D917-4DF0-435B-AF10-E185CF181D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0" name="Rectangle 1599">
          <a:extLst>
            <a:ext uri="{FF2B5EF4-FFF2-40B4-BE49-F238E27FC236}">
              <a16:creationId xmlns:a16="http://schemas.microsoft.com/office/drawing/2014/main" id="{D18D5843-E076-4D74-B7CA-3A13219F3C9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1" name="Rectangle 11">
          <a:extLst>
            <a:ext uri="{FF2B5EF4-FFF2-40B4-BE49-F238E27FC236}">
              <a16:creationId xmlns:a16="http://schemas.microsoft.com/office/drawing/2014/main" id="{78A72988-AC4A-4F0D-A688-7BD7EB5F7F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2" name="Rectangle 1601">
          <a:extLst>
            <a:ext uri="{FF2B5EF4-FFF2-40B4-BE49-F238E27FC236}">
              <a16:creationId xmlns:a16="http://schemas.microsoft.com/office/drawing/2014/main" id="{D6A4608B-096C-42D3-964A-5916105C45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3" name="Rectangle 11">
          <a:extLst>
            <a:ext uri="{FF2B5EF4-FFF2-40B4-BE49-F238E27FC236}">
              <a16:creationId xmlns:a16="http://schemas.microsoft.com/office/drawing/2014/main" id="{01D0ECF1-41FF-425E-8746-703B868194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4" name="Rectangle 1603">
          <a:extLst>
            <a:ext uri="{FF2B5EF4-FFF2-40B4-BE49-F238E27FC236}">
              <a16:creationId xmlns:a16="http://schemas.microsoft.com/office/drawing/2014/main" id="{31B8FC50-204A-4019-8712-877987F4AC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5" name="Rectangle 1604">
          <a:extLst>
            <a:ext uri="{FF2B5EF4-FFF2-40B4-BE49-F238E27FC236}">
              <a16:creationId xmlns:a16="http://schemas.microsoft.com/office/drawing/2014/main" id="{309F00E7-D5E7-421E-A578-09D9AC8DAA1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6" name="Rectangle 1605">
          <a:extLst>
            <a:ext uri="{FF2B5EF4-FFF2-40B4-BE49-F238E27FC236}">
              <a16:creationId xmlns:a16="http://schemas.microsoft.com/office/drawing/2014/main" id="{56AC3F0B-93F0-490E-B68D-1C58D9EC71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7" name="Rectangle 11">
          <a:extLst>
            <a:ext uri="{FF2B5EF4-FFF2-40B4-BE49-F238E27FC236}">
              <a16:creationId xmlns:a16="http://schemas.microsoft.com/office/drawing/2014/main" id="{FAB2199C-DFB7-49F0-B07D-670AA8000D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8" name="Rectangle 1607">
          <a:extLst>
            <a:ext uri="{FF2B5EF4-FFF2-40B4-BE49-F238E27FC236}">
              <a16:creationId xmlns:a16="http://schemas.microsoft.com/office/drawing/2014/main" id="{C80A3FCB-0D37-4D4B-92D8-764CE62232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9" name="Rectangle 11">
          <a:extLst>
            <a:ext uri="{FF2B5EF4-FFF2-40B4-BE49-F238E27FC236}">
              <a16:creationId xmlns:a16="http://schemas.microsoft.com/office/drawing/2014/main" id="{3473871B-1E4F-43C1-A83D-D622A94EE8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0" name="Rectangle 1609">
          <a:extLst>
            <a:ext uri="{FF2B5EF4-FFF2-40B4-BE49-F238E27FC236}">
              <a16:creationId xmlns:a16="http://schemas.microsoft.com/office/drawing/2014/main" id="{A934B350-1281-400D-B9ED-3F858468CC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1" name="Rectangle 11">
          <a:extLst>
            <a:ext uri="{FF2B5EF4-FFF2-40B4-BE49-F238E27FC236}">
              <a16:creationId xmlns:a16="http://schemas.microsoft.com/office/drawing/2014/main" id="{5CC6F3EA-D5BC-46F2-84BA-BE671C47475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2" name="Rectangle 1611">
          <a:extLst>
            <a:ext uri="{FF2B5EF4-FFF2-40B4-BE49-F238E27FC236}">
              <a16:creationId xmlns:a16="http://schemas.microsoft.com/office/drawing/2014/main" id="{8C809537-98F6-48B8-BBD1-E16C8EF19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3" name="Rectangle 11">
          <a:extLst>
            <a:ext uri="{FF2B5EF4-FFF2-40B4-BE49-F238E27FC236}">
              <a16:creationId xmlns:a16="http://schemas.microsoft.com/office/drawing/2014/main" id="{9ADFFFA5-86AF-465C-9AA3-4939AD63AD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4" name="Rectangle 1613">
          <a:extLst>
            <a:ext uri="{FF2B5EF4-FFF2-40B4-BE49-F238E27FC236}">
              <a16:creationId xmlns:a16="http://schemas.microsoft.com/office/drawing/2014/main" id="{8BC0517F-66B4-438B-84DB-5625649A2B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5" name="Rectangle 11">
          <a:extLst>
            <a:ext uri="{FF2B5EF4-FFF2-40B4-BE49-F238E27FC236}">
              <a16:creationId xmlns:a16="http://schemas.microsoft.com/office/drawing/2014/main" id="{A8530042-12C2-4F74-A94F-D920040C44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6" name="Rectangle 1615">
          <a:extLst>
            <a:ext uri="{FF2B5EF4-FFF2-40B4-BE49-F238E27FC236}">
              <a16:creationId xmlns:a16="http://schemas.microsoft.com/office/drawing/2014/main" id="{91AC6C45-3678-43B7-A8D8-7817AFDC68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7" name="Rectangle 1616">
          <a:extLst>
            <a:ext uri="{FF2B5EF4-FFF2-40B4-BE49-F238E27FC236}">
              <a16:creationId xmlns:a16="http://schemas.microsoft.com/office/drawing/2014/main" id="{318FD297-1A94-48CD-82C5-66A52DAAB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8" name="Rectangle 1617">
          <a:extLst>
            <a:ext uri="{FF2B5EF4-FFF2-40B4-BE49-F238E27FC236}">
              <a16:creationId xmlns:a16="http://schemas.microsoft.com/office/drawing/2014/main" id="{089453E7-3C55-4B33-B56C-97876A783D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9" name="Rectangle 11">
          <a:extLst>
            <a:ext uri="{FF2B5EF4-FFF2-40B4-BE49-F238E27FC236}">
              <a16:creationId xmlns:a16="http://schemas.microsoft.com/office/drawing/2014/main" id="{AFDE667A-F705-4C2B-9698-91E34F1FDF5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0" name="Rectangle 1619">
          <a:extLst>
            <a:ext uri="{FF2B5EF4-FFF2-40B4-BE49-F238E27FC236}">
              <a16:creationId xmlns:a16="http://schemas.microsoft.com/office/drawing/2014/main" id="{23131F76-D90D-4996-9CFC-2939EEDC70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1" name="Rectangle 11">
          <a:extLst>
            <a:ext uri="{FF2B5EF4-FFF2-40B4-BE49-F238E27FC236}">
              <a16:creationId xmlns:a16="http://schemas.microsoft.com/office/drawing/2014/main" id="{6060624E-8515-4029-B592-DAB904700AC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2" name="Rectangle 1621">
          <a:extLst>
            <a:ext uri="{FF2B5EF4-FFF2-40B4-BE49-F238E27FC236}">
              <a16:creationId xmlns:a16="http://schemas.microsoft.com/office/drawing/2014/main" id="{D22FAAC0-69B6-4793-AD43-ADEAA710A2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3" name="Rectangle 11">
          <a:extLst>
            <a:ext uri="{FF2B5EF4-FFF2-40B4-BE49-F238E27FC236}">
              <a16:creationId xmlns:a16="http://schemas.microsoft.com/office/drawing/2014/main" id="{77F4B923-EC38-412F-8E22-6EB336D0D8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4" name="Rectangle 1623">
          <a:extLst>
            <a:ext uri="{FF2B5EF4-FFF2-40B4-BE49-F238E27FC236}">
              <a16:creationId xmlns:a16="http://schemas.microsoft.com/office/drawing/2014/main" id="{58F0DA04-47B6-4E0C-B744-3A5089BCF7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5" name="Rectangle 11">
          <a:extLst>
            <a:ext uri="{FF2B5EF4-FFF2-40B4-BE49-F238E27FC236}">
              <a16:creationId xmlns:a16="http://schemas.microsoft.com/office/drawing/2014/main" id="{CF095565-F0A8-495F-8E3A-233FBAFAC8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6" name="Rectangle 1625">
          <a:extLst>
            <a:ext uri="{FF2B5EF4-FFF2-40B4-BE49-F238E27FC236}">
              <a16:creationId xmlns:a16="http://schemas.microsoft.com/office/drawing/2014/main" id="{911A0D16-05FC-4495-B20E-23919A6A6E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7" name="Rectangle 11">
          <a:extLst>
            <a:ext uri="{FF2B5EF4-FFF2-40B4-BE49-F238E27FC236}">
              <a16:creationId xmlns:a16="http://schemas.microsoft.com/office/drawing/2014/main" id="{1C6A4ABC-7EFA-4411-B02E-9004E817CDB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8" name="Rectangle 1627">
          <a:extLst>
            <a:ext uri="{FF2B5EF4-FFF2-40B4-BE49-F238E27FC236}">
              <a16:creationId xmlns:a16="http://schemas.microsoft.com/office/drawing/2014/main" id="{07EFB27E-D104-4313-BC19-E5761E198A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9" name="Rectangle 1628">
          <a:extLst>
            <a:ext uri="{FF2B5EF4-FFF2-40B4-BE49-F238E27FC236}">
              <a16:creationId xmlns:a16="http://schemas.microsoft.com/office/drawing/2014/main" id="{6F483455-A29C-43B5-9C76-5BD9B3B7CA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0" name="Rectangle 1629">
          <a:extLst>
            <a:ext uri="{FF2B5EF4-FFF2-40B4-BE49-F238E27FC236}">
              <a16:creationId xmlns:a16="http://schemas.microsoft.com/office/drawing/2014/main" id="{5F3ECAA1-6C41-4A07-AF09-5696BD6EF1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1" name="Rectangle 11">
          <a:extLst>
            <a:ext uri="{FF2B5EF4-FFF2-40B4-BE49-F238E27FC236}">
              <a16:creationId xmlns:a16="http://schemas.microsoft.com/office/drawing/2014/main" id="{937CEA82-1BCD-450E-9375-195477BC8B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2" name="Rectangle 1631">
          <a:extLst>
            <a:ext uri="{FF2B5EF4-FFF2-40B4-BE49-F238E27FC236}">
              <a16:creationId xmlns:a16="http://schemas.microsoft.com/office/drawing/2014/main" id="{924DD1FD-4857-4A10-A5B6-589134E1E6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3" name="Rectangle 11">
          <a:extLst>
            <a:ext uri="{FF2B5EF4-FFF2-40B4-BE49-F238E27FC236}">
              <a16:creationId xmlns:a16="http://schemas.microsoft.com/office/drawing/2014/main" id="{242D64A1-91EC-451F-ACBC-B51CD8B445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4" name="Rectangle 1633">
          <a:extLst>
            <a:ext uri="{FF2B5EF4-FFF2-40B4-BE49-F238E27FC236}">
              <a16:creationId xmlns:a16="http://schemas.microsoft.com/office/drawing/2014/main" id="{A833017C-11A0-46EA-998F-08BA6AB2BD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5" name="Rectangle 11">
          <a:extLst>
            <a:ext uri="{FF2B5EF4-FFF2-40B4-BE49-F238E27FC236}">
              <a16:creationId xmlns:a16="http://schemas.microsoft.com/office/drawing/2014/main" id="{A3BEE303-DB85-442A-BB2D-4614516045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6" name="Rectangle 1635">
          <a:extLst>
            <a:ext uri="{FF2B5EF4-FFF2-40B4-BE49-F238E27FC236}">
              <a16:creationId xmlns:a16="http://schemas.microsoft.com/office/drawing/2014/main" id="{09D1F148-0690-4D7F-8F1C-64427E8E1B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7" name="Rectangle 11">
          <a:extLst>
            <a:ext uri="{FF2B5EF4-FFF2-40B4-BE49-F238E27FC236}">
              <a16:creationId xmlns:a16="http://schemas.microsoft.com/office/drawing/2014/main" id="{AA3FDC9D-FCA2-4050-AFDB-32E0F5E1D0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8" name="Rectangle 1637">
          <a:extLst>
            <a:ext uri="{FF2B5EF4-FFF2-40B4-BE49-F238E27FC236}">
              <a16:creationId xmlns:a16="http://schemas.microsoft.com/office/drawing/2014/main" id="{5EF8B1A4-C431-4C80-ACEB-43DB3407F3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9" name="Rectangle 11">
          <a:extLst>
            <a:ext uri="{FF2B5EF4-FFF2-40B4-BE49-F238E27FC236}">
              <a16:creationId xmlns:a16="http://schemas.microsoft.com/office/drawing/2014/main" id="{5EF3ED03-2374-4EB6-8D5A-3B80238306E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0" name="Rectangle 1639">
          <a:extLst>
            <a:ext uri="{FF2B5EF4-FFF2-40B4-BE49-F238E27FC236}">
              <a16:creationId xmlns:a16="http://schemas.microsoft.com/office/drawing/2014/main" id="{0DA4ECE3-6588-40D8-9F52-384D0836B4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1" name="Rectangle 1640">
          <a:extLst>
            <a:ext uri="{FF2B5EF4-FFF2-40B4-BE49-F238E27FC236}">
              <a16:creationId xmlns:a16="http://schemas.microsoft.com/office/drawing/2014/main" id="{0F8E4513-0D62-4ABA-BDDE-B68193FE17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2" name="Rectangle 1641">
          <a:extLst>
            <a:ext uri="{FF2B5EF4-FFF2-40B4-BE49-F238E27FC236}">
              <a16:creationId xmlns:a16="http://schemas.microsoft.com/office/drawing/2014/main" id="{A573D785-1CDC-4EDE-8602-380246525C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3" name="Rectangle 11">
          <a:extLst>
            <a:ext uri="{FF2B5EF4-FFF2-40B4-BE49-F238E27FC236}">
              <a16:creationId xmlns:a16="http://schemas.microsoft.com/office/drawing/2014/main" id="{2C9457B8-D671-4605-984F-2537B66412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4" name="Rectangle 1643">
          <a:extLst>
            <a:ext uri="{FF2B5EF4-FFF2-40B4-BE49-F238E27FC236}">
              <a16:creationId xmlns:a16="http://schemas.microsoft.com/office/drawing/2014/main" id="{C777211F-7885-4D56-9E8D-8C24AD3E88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5" name="Rectangle 11">
          <a:extLst>
            <a:ext uri="{FF2B5EF4-FFF2-40B4-BE49-F238E27FC236}">
              <a16:creationId xmlns:a16="http://schemas.microsoft.com/office/drawing/2014/main" id="{22F6F5BC-B4E7-4A69-A0F5-08E69A39ED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6" name="Rectangle 1645">
          <a:extLst>
            <a:ext uri="{FF2B5EF4-FFF2-40B4-BE49-F238E27FC236}">
              <a16:creationId xmlns:a16="http://schemas.microsoft.com/office/drawing/2014/main" id="{E373F73A-66B7-43FF-BA6C-FF2C6B0CEA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7" name="Rectangle 11">
          <a:extLst>
            <a:ext uri="{FF2B5EF4-FFF2-40B4-BE49-F238E27FC236}">
              <a16:creationId xmlns:a16="http://schemas.microsoft.com/office/drawing/2014/main" id="{E02DEF41-CBED-4A08-9EBE-F029D9D54E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8" name="Rectangle 1647">
          <a:extLst>
            <a:ext uri="{FF2B5EF4-FFF2-40B4-BE49-F238E27FC236}">
              <a16:creationId xmlns:a16="http://schemas.microsoft.com/office/drawing/2014/main" id="{32F15D55-1124-4B6A-8EDB-91DA191997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9" name="Rectangle 11">
          <a:extLst>
            <a:ext uri="{FF2B5EF4-FFF2-40B4-BE49-F238E27FC236}">
              <a16:creationId xmlns:a16="http://schemas.microsoft.com/office/drawing/2014/main" id="{1C916831-6856-4FDD-B189-877BFB988E5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0" name="Rectangle 1649">
          <a:extLst>
            <a:ext uri="{FF2B5EF4-FFF2-40B4-BE49-F238E27FC236}">
              <a16:creationId xmlns:a16="http://schemas.microsoft.com/office/drawing/2014/main" id="{9FF2B969-3B37-432D-AD7D-F20ABF0D833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1" name="Rectangle 11">
          <a:extLst>
            <a:ext uri="{FF2B5EF4-FFF2-40B4-BE49-F238E27FC236}">
              <a16:creationId xmlns:a16="http://schemas.microsoft.com/office/drawing/2014/main" id="{EBFEE59F-B570-4897-92D4-7FB366E46C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2" name="Rectangle 1651">
          <a:extLst>
            <a:ext uri="{FF2B5EF4-FFF2-40B4-BE49-F238E27FC236}">
              <a16:creationId xmlns:a16="http://schemas.microsoft.com/office/drawing/2014/main" id="{7F717AC7-0DA3-472D-A27A-6FC8C0D902A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3" name="Rectangle 1652">
          <a:extLst>
            <a:ext uri="{FF2B5EF4-FFF2-40B4-BE49-F238E27FC236}">
              <a16:creationId xmlns:a16="http://schemas.microsoft.com/office/drawing/2014/main" id="{084508DF-433C-4303-9C41-F4863CA3E8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4" name="Rectangle 1653">
          <a:extLst>
            <a:ext uri="{FF2B5EF4-FFF2-40B4-BE49-F238E27FC236}">
              <a16:creationId xmlns:a16="http://schemas.microsoft.com/office/drawing/2014/main" id="{98C89374-DF09-405F-8E8C-1F3D917293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5" name="Rectangle 11">
          <a:extLst>
            <a:ext uri="{FF2B5EF4-FFF2-40B4-BE49-F238E27FC236}">
              <a16:creationId xmlns:a16="http://schemas.microsoft.com/office/drawing/2014/main" id="{7E39C02B-9D73-4098-9E3C-DEDAE598E1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6" name="Rectangle 1655">
          <a:extLst>
            <a:ext uri="{FF2B5EF4-FFF2-40B4-BE49-F238E27FC236}">
              <a16:creationId xmlns:a16="http://schemas.microsoft.com/office/drawing/2014/main" id="{59F431F7-CB4C-4E55-9C61-5F29474CFB1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7" name="Rectangle 11">
          <a:extLst>
            <a:ext uri="{FF2B5EF4-FFF2-40B4-BE49-F238E27FC236}">
              <a16:creationId xmlns:a16="http://schemas.microsoft.com/office/drawing/2014/main" id="{5D06A95C-433A-464C-88A8-35A18360BA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8" name="Rectangle 1657">
          <a:extLst>
            <a:ext uri="{FF2B5EF4-FFF2-40B4-BE49-F238E27FC236}">
              <a16:creationId xmlns:a16="http://schemas.microsoft.com/office/drawing/2014/main" id="{6EC29E9E-EC99-487E-8605-7632293307B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9" name="Rectangle 11">
          <a:extLst>
            <a:ext uri="{FF2B5EF4-FFF2-40B4-BE49-F238E27FC236}">
              <a16:creationId xmlns:a16="http://schemas.microsoft.com/office/drawing/2014/main" id="{31E54FC4-075B-41E5-A12F-5E1CEFD1391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0" name="Rectangle 1659">
          <a:extLst>
            <a:ext uri="{FF2B5EF4-FFF2-40B4-BE49-F238E27FC236}">
              <a16:creationId xmlns:a16="http://schemas.microsoft.com/office/drawing/2014/main" id="{7D684F05-1BE2-47EB-9C87-12E7B472D5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1" name="Rectangle 11">
          <a:extLst>
            <a:ext uri="{FF2B5EF4-FFF2-40B4-BE49-F238E27FC236}">
              <a16:creationId xmlns:a16="http://schemas.microsoft.com/office/drawing/2014/main" id="{F8E17808-148D-404B-84D4-012B91FEF0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2" name="Rectangle 1661">
          <a:extLst>
            <a:ext uri="{FF2B5EF4-FFF2-40B4-BE49-F238E27FC236}">
              <a16:creationId xmlns:a16="http://schemas.microsoft.com/office/drawing/2014/main" id="{125231A5-D86D-4AEC-82A9-8140FDF7AB3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3" name="Rectangle 11">
          <a:extLst>
            <a:ext uri="{FF2B5EF4-FFF2-40B4-BE49-F238E27FC236}">
              <a16:creationId xmlns:a16="http://schemas.microsoft.com/office/drawing/2014/main" id="{CED5145C-ED12-45EF-A8DA-0FC90B3A004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4" name="Rectangle 1663">
          <a:extLst>
            <a:ext uri="{FF2B5EF4-FFF2-40B4-BE49-F238E27FC236}">
              <a16:creationId xmlns:a16="http://schemas.microsoft.com/office/drawing/2014/main" id="{1692E900-F5AF-40B9-B1AD-DA6C6FDED8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5" name="Rectangle 1664">
          <a:extLst>
            <a:ext uri="{FF2B5EF4-FFF2-40B4-BE49-F238E27FC236}">
              <a16:creationId xmlns:a16="http://schemas.microsoft.com/office/drawing/2014/main" id="{3A6B1589-0E4A-43EF-9F7E-F93B5BF736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6" name="Rectangle 1665">
          <a:extLst>
            <a:ext uri="{FF2B5EF4-FFF2-40B4-BE49-F238E27FC236}">
              <a16:creationId xmlns:a16="http://schemas.microsoft.com/office/drawing/2014/main" id="{AA1603D8-8DDB-4C20-92E1-8D0A08354C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7" name="Rectangle 11">
          <a:extLst>
            <a:ext uri="{FF2B5EF4-FFF2-40B4-BE49-F238E27FC236}">
              <a16:creationId xmlns:a16="http://schemas.microsoft.com/office/drawing/2014/main" id="{D3F99580-C784-472E-8792-28699928AA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8" name="Rectangle 1667">
          <a:extLst>
            <a:ext uri="{FF2B5EF4-FFF2-40B4-BE49-F238E27FC236}">
              <a16:creationId xmlns:a16="http://schemas.microsoft.com/office/drawing/2014/main" id="{FFB4A301-93BB-4A41-BE7D-E417863FD57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9" name="Rectangle 11">
          <a:extLst>
            <a:ext uri="{FF2B5EF4-FFF2-40B4-BE49-F238E27FC236}">
              <a16:creationId xmlns:a16="http://schemas.microsoft.com/office/drawing/2014/main" id="{6DC39E66-92E0-41C5-8BF8-279D1E717B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0" name="Rectangle 1669">
          <a:extLst>
            <a:ext uri="{FF2B5EF4-FFF2-40B4-BE49-F238E27FC236}">
              <a16:creationId xmlns:a16="http://schemas.microsoft.com/office/drawing/2014/main" id="{D58F4AC1-6537-4DE5-B24B-2E09A9C9604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1" name="Rectangle 11">
          <a:extLst>
            <a:ext uri="{FF2B5EF4-FFF2-40B4-BE49-F238E27FC236}">
              <a16:creationId xmlns:a16="http://schemas.microsoft.com/office/drawing/2014/main" id="{13F6C7E3-4B04-4306-891D-41802321036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2" name="Rectangle 1671">
          <a:extLst>
            <a:ext uri="{FF2B5EF4-FFF2-40B4-BE49-F238E27FC236}">
              <a16:creationId xmlns:a16="http://schemas.microsoft.com/office/drawing/2014/main" id="{A87D63AC-CB17-4AD8-BA27-BCCFAA327F4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3" name="Rectangle 11">
          <a:extLst>
            <a:ext uri="{FF2B5EF4-FFF2-40B4-BE49-F238E27FC236}">
              <a16:creationId xmlns:a16="http://schemas.microsoft.com/office/drawing/2014/main" id="{8213F790-ABC3-49C9-85D6-E92BA072A1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4" name="Rectangle 1673">
          <a:extLst>
            <a:ext uri="{FF2B5EF4-FFF2-40B4-BE49-F238E27FC236}">
              <a16:creationId xmlns:a16="http://schemas.microsoft.com/office/drawing/2014/main" id="{30E39280-16EE-4CDD-98A9-29293849F0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5" name="Rectangle 11">
          <a:extLst>
            <a:ext uri="{FF2B5EF4-FFF2-40B4-BE49-F238E27FC236}">
              <a16:creationId xmlns:a16="http://schemas.microsoft.com/office/drawing/2014/main" id="{B7657F7C-5507-482C-A833-9C42782B138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6" name="Rectangle 1675">
          <a:extLst>
            <a:ext uri="{FF2B5EF4-FFF2-40B4-BE49-F238E27FC236}">
              <a16:creationId xmlns:a16="http://schemas.microsoft.com/office/drawing/2014/main" id="{3ADB2943-4328-4F27-B630-66D79E5BFC2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7" name="Rectangle 1676">
          <a:extLst>
            <a:ext uri="{FF2B5EF4-FFF2-40B4-BE49-F238E27FC236}">
              <a16:creationId xmlns:a16="http://schemas.microsoft.com/office/drawing/2014/main" id="{82B3D99E-0E10-414F-9DFC-0DA6418D238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8" name="Rectangle 1677">
          <a:extLst>
            <a:ext uri="{FF2B5EF4-FFF2-40B4-BE49-F238E27FC236}">
              <a16:creationId xmlns:a16="http://schemas.microsoft.com/office/drawing/2014/main" id="{0DA9F270-574A-4AF3-8352-4236EA4AC55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9" name="Rectangle 11">
          <a:extLst>
            <a:ext uri="{FF2B5EF4-FFF2-40B4-BE49-F238E27FC236}">
              <a16:creationId xmlns:a16="http://schemas.microsoft.com/office/drawing/2014/main" id="{1B06A3F5-C554-4B89-AC38-0B490FEFA3F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0" name="Rectangle 1679">
          <a:extLst>
            <a:ext uri="{FF2B5EF4-FFF2-40B4-BE49-F238E27FC236}">
              <a16:creationId xmlns:a16="http://schemas.microsoft.com/office/drawing/2014/main" id="{08BB7A1E-0225-4804-AB0A-14E59174FC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1" name="Rectangle 11">
          <a:extLst>
            <a:ext uri="{FF2B5EF4-FFF2-40B4-BE49-F238E27FC236}">
              <a16:creationId xmlns:a16="http://schemas.microsoft.com/office/drawing/2014/main" id="{88ACC8F9-A266-4762-ACC0-FA3DC80D69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2" name="Rectangle 1681">
          <a:extLst>
            <a:ext uri="{FF2B5EF4-FFF2-40B4-BE49-F238E27FC236}">
              <a16:creationId xmlns:a16="http://schemas.microsoft.com/office/drawing/2014/main" id="{342E0EBE-F08C-4AA1-942E-A0F76B4BF48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3" name="Rectangle 11">
          <a:extLst>
            <a:ext uri="{FF2B5EF4-FFF2-40B4-BE49-F238E27FC236}">
              <a16:creationId xmlns:a16="http://schemas.microsoft.com/office/drawing/2014/main" id="{AC7AFF23-43B4-4C3A-A0D8-1686815F97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4" name="Rectangle 1683">
          <a:extLst>
            <a:ext uri="{FF2B5EF4-FFF2-40B4-BE49-F238E27FC236}">
              <a16:creationId xmlns:a16="http://schemas.microsoft.com/office/drawing/2014/main" id="{451D2BAD-2BF2-4057-B530-C464CCB89B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5" name="Rectangle 11">
          <a:extLst>
            <a:ext uri="{FF2B5EF4-FFF2-40B4-BE49-F238E27FC236}">
              <a16:creationId xmlns:a16="http://schemas.microsoft.com/office/drawing/2014/main" id="{F6C201C6-12FC-4384-BDBE-ED585D3BFF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6" name="Rectangle 1685">
          <a:extLst>
            <a:ext uri="{FF2B5EF4-FFF2-40B4-BE49-F238E27FC236}">
              <a16:creationId xmlns:a16="http://schemas.microsoft.com/office/drawing/2014/main" id="{8CE8B970-8FE8-4691-9AF9-781FA1302A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7" name="Rectangle 11">
          <a:extLst>
            <a:ext uri="{FF2B5EF4-FFF2-40B4-BE49-F238E27FC236}">
              <a16:creationId xmlns:a16="http://schemas.microsoft.com/office/drawing/2014/main" id="{5EAFE903-8BF1-4B82-B266-11D34B0449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8" name="Rectangle 1687">
          <a:extLst>
            <a:ext uri="{FF2B5EF4-FFF2-40B4-BE49-F238E27FC236}">
              <a16:creationId xmlns:a16="http://schemas.microsoft.com/office/drawing/2014/main" id="{E2B418CE-539E-4175-9623-B4766A04FE3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9" name="Rectangle 1688">
          <a:extLst>
            <a:ext uri="{FF2B5EF4-FFF2-40B4-BE49-F238E27FC236}">
              <a16:creationId xmlns:a16="http://schemas.microsoft.com/office/drawing/2014/main" id="{BD9F5C4E-BE1A-4917-986E-D85F0B305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0" name="Rectangle 1689">
          <a:extLst>
            <a:ext uri="{FF2B5EF4-FFF2-40B4-BE49-F238E27FC236}">
              <a16:creationId xmlns:a16="http://schemas.microsoft.com/office/drawing/2014/main" id="{40452C10-F943-469F-94F8-BBCE284ADA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1" name="Rectangle 11">
          <a:extLst>
            <a:ext uri="{FF2B5EF4-FFF2-40B4-BE49-F238E27FC236}">
              <a16:creationId xmlns:a16="http://schemas.microsoft.com/office/drawing/2014/main" id="{344B7F20-CA43-4916-B425-1B08BA189D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2" name="Rectangle 1691">
          <a:extLst>
            <a:ext uri="{FF2B5EF4-FFF2-40B4-BE49-F238E27FC236}">
              <a16:creationId xmlns:a16="http://schemas.microsoft.com/office/drawing/2014/main" id="{7ACC8359-354C-4E57-AA40-4A827D2F0E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3" name="Rectangle 11">
          <a:extLst>
            <a:ext uri="{FF2B5EF4-FFF2-40B4-BE49-F238E27FC236}">
              <a16:creationId xmlns:a16="http://schemas.microsoft.com/office/drawing/2014/main" id="{96E378A3-4E5B-4D9A-95D2-006EFB66A3F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4" name="Rectangle 1693">
          <a:extLst>
            <a:ext uri="{FF2B5EF4-FFF2-40B4-BE49-F238E27FC236}">
              <a16:creationId xmlns:a16="http://schemas.microsoft.com/office/drawing/2014/main" id="{269F6A67-3B71-4029-8A44-D89638F62C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5" name="Rectangle 11">
          <a:extLst>
            <a:ext uri="{FF2B5EF4-FFF2-40B4-BE49-F238E27FC236}">
              <a16:creationId xmlns:a16="http://schemas.microsoft.com/office/drawing/2014/main" id="{E13A2512-ED2A-4BC0-8933-614DB26D74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6" name="Rectangle 1695">
          <a:extLst>
            <a:ext uri="{FF2B5EF4-FFF2-40B4-BE49-F238E27FC236}">
              <a16:creationId xmlns:a16="http://schemas.microsoft.com/office/drawing/2014/main" id="{E7C5E9B7-97F4-4CC2-B7BD-D841BEC67E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7" name="Rectangle 11">
          <a:extLst>
            <a:ext uri="{FF2B5EF4-FFF2-40B4-BE49-F238E27FC236}">
              <a16:creationId xmlns:a16="http://schemas.microsoft.com/office/drawing/2014/main" id="{32975FA4-DB1F-4C6C-86E5-D4F679A7A78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8" name="Rectangle 1697">
          <a:extLst>
            <a:ext uri="{FF2B5EF4-FFF2-40B4-BE49-F238E27FC236}">
              <a16:creationId xmlns:a16="http://schemas.microsoft.com/office/drawing/2014/main" id="{6A2C2663-E97A-4CC6-B79B-9626A264598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9" name="Rectangle 11">
          <a:extLst>
            <a:ext uri="{FF2B5EF4-FFF2-40B4-BE49-F238E27FC236}">
              <a16:creationId xmlns:a16="http://schemas.microsoft.com/office/drawing/2014/main" id="{9AA76706-2F7A-4953-9C12-6C45C3D0B1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0" name="Rectangle 1699">
          <a:extLst>
            <a:ext uri="{FF2B5EF4-FFF2-40B4-BE49-F238E27FC236}">
              <a16:creationId xmlns:a16="http://schemas.microsoft.com/office/drawing/2014/main" id="{471699D7-03D4-484C-BB7F-4A979BFF59D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1" name="Rectangle 1700">
          <a:extLst>
            <a:ext uri="{FF2B5EF4-FFF2-40B4-BE49-F238E27FC236}">
              <a16:creationId xmlns:a16="http://schemas.microsoft.com/office/drawing/2014/main" id="{F659216F-ABFD-45E4-9AF4-D2FEE48E1B3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2" name="Rectangle 1701">
          <a:extLst>
            <a:ext uri="{FF2B5EF4-FFF2-40B4-BE49-F238E27FC236}">
              <a16:creationId xmlns:a16="http://schemas.microsoft.com/office/drawing/2014/main" id="{BF99FF5D-C963-4E98-AEC4-8DCF4FF108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3" name="Rectangle 11">
          <a:extLst>
            <a:ext uri="{FF2B5EF4-FFF2-40B4-BE49-F238E27FC236}">
              <a16:creationId xmlns:a16="http://schemas.microsoft.com/office/drawing/2014/main" id="{DC0FDA0D-3C02-440E-81C7-21DC3024185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4" name="Rectangle 1703">
          <a:extLst>
            <a:ext uri="{FF2B5EF4-FFF2-40B4-BE49-F238E27FC236}">
              <a16:creationId xmlns:a16="http://schemas.microsoft.com/office/drawing/2014/main" id="{F9741DC1-C7BF-4FE4-9DE6-807497D8FF7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5" name="Rectangle 11">
          <a:extLst>
            <a:ext uri="{FF2B5EF4-FFF2-40B4-BE49-F238E27FC236}">
              <a16:creationId xmlns:a16="http://schemas.microsoft.com/office/drawing/2014/main" id="{B70DFEDD-AFB0-448A-89C0-6AE3D9F5763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6" name="Rectangle 1705">
          <a:extLst>
            <a:ext uri="{FF2B5EF4-FFF2-40B4-BE49-F238E27FC236}">
              <a16:creationId xmlns:a16="http://schemas.microsoft.com/office/drawing/2014/main" id="{1D4BF00B-46C7-40EA-8FF3-F0CB1262C0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7" name="Rectangle 11">
          <a:extLst>
            <a:ext uri="{FF2B5EF4-FFF2-40B4-BE49-F238E27FC236}">
              <a16:creationId xmlns:a16="http://schemas.microsoft.com/office/drawing/2014/main" id="{1E964547-0052-4043-A562-35C6E4F2F0C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8" name="Rectangle 1707">
          <a:extLst>
            <a:ext uri="{FF2B5EF4-FFF2-40B4-BE49-F238E27FC236}">
              <a16:creationId xmlns:a16="http://schemas.microsoft.com/office/drawing/2014/main" id="{D32A56E8-F141-4B00-A2FD-F3E99BF2AF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9" name="Rectangle 11">
          <a:extLst>
            <a:ext uri="{FF2B5EF4-FFF2-40B4-BE49-F238E27FC236}">
              <a16:creationId xmlns:a16="http://schemas.microsoft.com/office/drawing/2014/main" id="{E1D58732-C3FF-4754-B0AF-D53EF5AD4E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0" name="Rectangle 1709">
          <a:extLst>
            <a:ext uri="{FF2B5EF4-FFF2-40B4-BE49-F238E27FC236}">
              <a16:creationId xmlns:a16="http://schemas.microsoft.com/office/drawing/2014/main" id="{1166BCED-2938-4A1C-B4A3-6084F7FF3F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1" name="Rectangle 11">
          <a:extLst>
            <a:ext uri="{FF2B5EF4-FFF2-40B4-BE49-F238E27FC236}">
              <a16:creationId xmlns:a16="http://schemas.microsoft.com/office/drawing/2014/main" id="{E2339632-A90A-41DB-887E-5929314C93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2" name="Rectangle 1711">
          <a:extLst>
            <a:ext uri="{FF2B5EF4-FFF2-40B4-BE49-F238E27FC236}">
              <a16:creationId xmlns:a16="http://schemas.microsoft.com/office/drawing/2014/main" id="{BD8B7EE6-BF65-4FDD-A1FA-6F0AAE4EDA1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3" name="Rectangle 1712">
          <a:extLst>
            <a:ext uri="{FF2B5EF4-FFF2-40B4-BE49-F238E27FC236}">
              <a16:creationId xmlns:a16="http://schemas.microsoft.com/office/drawing/2014/main" id="{9CA4F342-4A5D-47D0-8EDA-FAD3FE3EDF9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4" name="Rectangle 1713">
          <a:extLst>
            <a:ext uri="{FF2B5EF4-FFF2-40B4-BE49-F238E27FC236}">
              <a16:creationId xmlns:a16="http://schemas.microsoft.com/office/drawing/2014/main" id="{1D3BE83A-9413-4D1C-B04A-91FEABEDA02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5" name="Rectangle 11">
          <a:extLst>
            <a:ext uri="{FF2B5EF4-FFF2-40B4-BE49-F238E27FC236}">
              <a16:creationId xmlns:a16="http://schemas.microsoft.com/office/drawing/2014/main" id="{D9BEDBAF-9119-4108-BB36-C921FC7189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6" name="Rectangle 1715">
          <a:extLst>
            <a:ext uri="{FF2B5EF4-FFF2-40B4-BE49-F238E27FC236}">
              <a16:creationId xmlns:a16="http://schemas.microsoft.com/office/drawing/2014/main" id="{7149467C-777D-4FA1-BD92-993A3A35E0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7" name="Rectangle 11">
          <a:extLst>
            <a:ext uri="{FF2B5EF4-FFF2-40B4-BE49-F238E27FC236}">
              <a16:creationId xmlns:a16="http://schemas.microsoft.com/office/drawing/2014/main" id="{DE233C65-1055-4ACA-83F8-EB18E0FD50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8" name="Rectangle 1717">
          <a:extLst>
            <a:ext uri="{FF2B5EF4-FFF2-40B4-BE49-F238E27FC236}">
              <a16:creationId xmlns:a16="http://schemas.microsoft.com/office/drawing/2014/main" id="{154F6C36-C982-4BDA-89A5-5B5140D8CAF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9" name="Rectangle 11">
          <a:extLst>
            <a:ext uri="{FF2B5EF4-FFF2-40B4-BE49-F238E27FC236}">
              <a16:creationId xmlns:a16="http://schemas.microsoft.com/office/drawing/2014/main" id="{849BAA20-2544-4F1F-89E5-C59091FD76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0" name="Rectangle 1719">
          <a:extLst>
            <a:ext uri="{FF2B5EF4-FFF2-40B4-BE49-F238E27FC236}">
              <a16:creationId xmlns:a16="http://schemas.microsoft.com/office/drawing/2014/main" id="{C34524DF-18CB-4160-B7BC-4BE016888CA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1" name="Rectangle 11">
          <a:extLst>
            <a:ext uri="{FF2B5EF4-FFF2-40B4-BE49-F238E27FC236}">
              <a16:creationId xmlns:a16="http://schemas.microsoft.com/office/drawing/2014/main" id="{83FBFCD1-ABAC-4616-ACBF-0E5C8F5A1C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2" name="Rectangle 1721">
          <a:extLst>
            <a:ext uri="{FF2B5EF4-FFF2-40B4-BE49-F238E27FC236}">
              <a16:creationId xmlns:a16="http://schemas.microsoft.com/office/drawing/2014/main" id="{47BBC212-C74D-4DCC-A87C-2DF0FCA06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3" name="Rectangle 11">
          <a:extLst>
            <a:ext uri="{FF2B5EF4-FFF2-40B4-BE49-F238E27FC236}">
              <a16:creationId xmlns:a16="http://schemas.microsoft.com/office/drawing/2014/main" id="{4B72B73F-69D9-49A3-BB6F-96C822016E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4" name="Rectangle 1723">
          <a:extLst>
            <a:ext uri="{FF2B5EF4-FFF2-40B4-BE49-F238E27FC236}">
              <a16:creationId xmlns:a16="http://schemas.microsoft.com/office/drawing/2014/main" id="{38CAC137-1074-4A95-B63D-E3D32F8D9A8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5" name="Rectangle 1724">
          <a:extLst>
            <a:ext uri="{FF2B5EF4-FFF2-40B4-BE49-F238E27FC236}">
              <a16:creationId xmlns:a16="http://schemas.microsoft.com/office/drawing/2014/main" id="{FF6900F5-8B2A-4D76-956E-B36E5E443E5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6" name="Rectangle 1725">
          <a:extLst>
            <a:ext uri="{FF2B5EF4-FFF2-40B4-BE49-F238E27FC236}">
              <a16:creationId xmlns:a16="http://schemas.microsoft.com/office/drawing/2014/main" id="{952F701A-3F7E-4C94-909D-2B0DDCB1AE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7" name="Rectangle 11">
          <a:extLst>
            <a:ext uri="{FF2B5EF4-FFF2-40B4-BE49-F238E27FC236}">
              <a16:creationId xmlns:a16="http://schemas.microsoft.com/office/drawing/2014/main" id="{A404CE3D-794E-498D-A235-616351701C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8" name="Rectangle 1727">
          <a:extLst>
            <a:ext uri="{FF2B5EF4-FFF2-40B4-BE49-F238E27FC236}">
              <a16:creationId xmlns:a16="http://schemas.microsoft.com/office/drawing/2014/main" id="{2660B5A6-F24A-46E0-B823-C8D5645572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9" name="Rectangle 11">
          <a:extLst>
            <a:ext uri="{FF2B5EF4-FFF2-40B4-BE49-F238E27FC236}">
              <a16:creationId xmlns:a16="http://schemas.microsoft.com/office/drawing/2014/main" id="{42E65129-0825-4917-9C5A-8E94C396F6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0" name="Rectangle 1729">
          <a:extLst>
            <a:ext uri="{FF2B5EF4-FFF2-40B4-BE49-F238E27FC236}">
              <a16:creationId xmlns:a16="http://schemas.microsoft.com/office/drawing/2014/main" id="{4C03BC90-D690-427B-9612-93F6AEF72E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1" name="Rectangle 11">
          <a:extLst>
            <a:ext uri="{FF2B5EF4-FFF2-40B4-BE49-F238E27FC236}">
              <a16:creationId xmlns:a16="http://schemas.microsoft.com/office/drawing/2014/main" id="{C2655D0B-D2D7-4643-8F4A-46BECD8557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2" name="Rectangle 1731">
          <a:extLst>
            <a:ext uri="{FF2B5EF4-FFF2-40B4-BE49-F238E27FC236}">
              <a16:creationId xmlns:a16="http://schemas.microsoft.com/office/drawing/2014/main" id="{AEE57448-3BC0-4720-8B05-5FE422D089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3" name="Rectangle 11">
          <a:extLst>
            <a:ext uri="{FF2B5EF4-FFF2-40B4-BE49-F238E27FC236}">
              <a16:creationId xmlns:a16="http://schemas.microsoft.com/office/drawing/2014/main" id="{2D32AF86-4D82-4D7A-AFEC-0F11747BD9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4" name="Rectangle 1733">
          <a:extLst>
            <a:ext uri="{FF2B5EF4-FFF2-40B4-BE49-F238E27FC236}">
              <a16:creationId xmlns:a16="http://schemas.microsoft.com/office/drawing/2014/main" id="{3927DF28-90CC-45C9-948C-772E83A084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5" name="Rectangle 11">
          <a:extLst>
            <a:ext uri="{FF2B5EF4-FFF2-40B4-BE49-F238E27FC236}">
              <a16:creationId xmlns:a16="http://schemas.microsoft.com/office/drawing/2014/main" id="{51BD99D4-890B-4DB6-8AC0-9FBE612AB6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6" name="Rectangle 1735">
          <a:extLst>
            <a:ext uri="{FF2B5EF4-FFF2-40B4-BE49-F238E27FC236}">
              <a16:creationId xmlns:a16="http://schemas.microsoft.com/office/drawing/2014/main" id="{C89BFEA8-6818-40C5-B8BD-868D67C1A8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7" name="Rectangle 1736">
          <a:extLst>
            <a:ext uri="{FF2B5EF4-FFF2-40B4-BE49-F238E27FC236}">
              <a16:creationId xmlns:a16="http://schemas.microsoft.com/office/drawing/2014/main" id="{943659B9-3FDF-4B54-B32A-A57E0A2128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8" name="Rectangle 1737">
          <a:extLst>
            <a:ext uri="{FF2B5EF4-FFF2-40B4-BE49-F238E27FC236}">
              <a16:creationId xmlns:a16="http://schemas.microsoft.com/office/drawing/2014/main" id="{3C957944-C746-4341-B2F9-043E4F2BA8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9" name="Rectangle 11">
          <a:extLst>
            <a:ext uri="{FF2B5EF4-FFF2-40B4-BE49-F238E27FC236}">
              <a16:creationId xmlns:a16="http://schemas.microsoft.com/office/drawing/2014/main" id="{1230A4A3-F62A-40CE-A26D-F44CF12CD2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0" name="Rectangle 1739">
          <a:extLst>
            <a:ext uri="{FF2B5EF4-FFF2-40B4-BE49-F238E27FC236}">
              <a16:creationId xmlns:a16="http://schemas.microsoft.com/office/drawing/2014/main" id="{E849AA4D-BB06-407A-B474-53D957D850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1" name="Rectangle 11">
          <a:extLst>
            <a:ext uri="{FF2B5EF4-FFF2-40B4-BE49-F238E27FC236}">
              <a16:creationId xmlns:a16="http://schemas.microsoft.com/office/drawing/2014/main" id="{0FE107CE-6C79-45D5-8196-923E0E9319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2" name="Rectangle 1741">
          <a:extLst>
            <a:ext uri="{FF2B5EF4-FFF2-40B4-BE49-F238E27FC236}">
              <a16:creationId xmlns:a16="http://schemas.microsoft.com/office/drawing/2014/main" id="{7B0ECAB0-A5D3-4847-B937-3191530125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3" name="Rectangle 11">
          <a:extLst>
            <a:ext uri="{FF2B5EF4-FFF2-40B4-BE49-F238E27FC236}">
              <a16:creationId xmlns:a16="http://schemas.microsoft.com/office/drawing/2014/main" id="{6E1BE309-F598-40D3-99AC-1D1AABB4B5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4" name="Rectangle 1743">
          <a:extLst>
            <a:ext uri="{FF2B5EF4-FFF2-40B4-BE49-F238E27FC236}">
              <a16:creationId xmlns:a16="http://schemas.microsoft.com/office/drawing/2014/main" id="{F703CA24-3C77-4383-A7C1-B93EF22656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5" name="Rectangle 11">
          <a:extLst>
            <a:ext uri="{FF2B5EF4-FFF2-40B4-BE49-F238E27FC236}">
              <a16:creationId xmlns:a16="http://schemas.microsoft.com/office/drawing/2014/main" id="{DE4F4869-DF6A-47B5-A280-9F2F9FA1B2F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6" name="Rectangle 1745">
          <a:extLst>
            <a:ext uri="{FF2B5EF4-FFF2-40B4-BE49-F238E27FC236}">
              <a16:creationId xmlns:a16="http://schemas.microsoft.com/office/drawing/2014/main" id="{0AFD8FFE-16CD-46C9-AA42-C58C62C3FF2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7" name="Rectangle 11">
          <a:extLst>
            <a:ext uri="{FF2B5EF4-FFF2-40B4-BE49-F238E27FC236}">
              <a16:creationId xmlns:a16="http://schemas.microsoft.com/office/drawing/2014/main" id="{21ED05E3-B578-4009-834A-87B5C6C8C5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8" name="Rectangle 1747">
          <a:extLst>
            <a:ext uri="{FF2B5EF4-FFF2-40B4-BE49-F238E27FC236}">
              <a16:creationId xmlns:a16="http://schemas.microsoft.com/office/drawing/2014/main" id="{D245244E-8292-4E93-9EA5-728AD46019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9" name="Rectangle 1748">
          <a:extLst>
            <a:ext uri="{FF2B5EF4-FFF2-40B4-BE49-F238E27FC236}">
              <a16:creationId xmlns:a16="http://schemas.microsoft.com/office/drawing/2014/main" id="{B1AE4CFC-87C9-427D-8281-B77F8EBBB4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0" name="Rectangle 1749">
          <a:extLst>
            <a:ext uri="{FF2B5EF4-FFF2-40B4-BE49-F238E27FC236}">
              <a16:creationId xmlns:a16="http://schemas.microsoft.com/office/drawing/2014/main" id="{B31E870A-9BB2-462D-9A8D-54F01120A1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1" name="Rectangle 11">
          <a:extLst>
            <a:ext uri="{FF2B5EF4-FFF2-40B4-BE49-F238E27FC236}">
              <a16:creationId xmlns:a16="http://schemas.microsoft.com/office/drawing/2014/main" id="{66EE33B3-7779-49B0-B726-B8F8B5757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2" name="Rectangle 1751">
          <a:extLst>
            <a:ext uri="{FF2B5EF4-FFF2-40B4-BE49-F238E27FC236}">
              <a16:creationId xmlns:a16="http://schemas.microsoft.com/office/drawing/2014/main" id="{1DA9C256-0FC0-4674-B4D0-B1AF0010215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3" name="Rectangle 11">
          <a:extLst>
            <a:ext uri="{FF2B5EF4-FFF2-40B4-BE49-F238E27FC236}">
              <a16:creationId xmlns:a16="http://schemas.microsoft.com/office/drawing/2014/main" id="{9C126975-5519-425D-B010-6B2E3738FA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4" name="Rectangle 1753">
          <a:extLst>
            <a:ext uri="{FF2B5EF4-FFF2-40B4-BE49-F238E27FC236}">
              <a16:creationId xmlns:a16="http://schemas.microsoft.com/office/drawing/2014/main" id="{1275A1BE-CBFC-463C-A69A-73180ABA462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5" name="Rectangle 11">
          <a:extLst>
            <a:ext uri="{FF2B5EF4-FFF2-40B4-BE49-F238E27FC236}">
              <a16:creationId xmlns:a16="http://schemas.microsoft.com/office/drawing/2014/main" id="{18E5044E-00A9-40FA-A4C5-1E33845D37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6" name="Rectangle 1755">
          <a:extLst>
            <a:ext uri="{FF2B5EF4-FFF2-40B4-BE49-F238E27FC236}">
              <a16:creationId xmlns:a16="http://schemas.microsoft.com/office/drawing/2014/main" id="{0D2ECB12-CB04-4BC7-8976-43F4A7495A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7" name="Rectangle 11">
          <a:extLst>
            <a:ext uri="{FF2B5EF4-FFF2-40B4-BE49-F238E27FC236}">
              <a16:creationId xmlns:a16="http://schemas.microsoft.com/office/drawing/2014/main" id="{0C3A550A-4BA2-4EF5-AA8B-9B82C3125D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8" name="Rectangle 1757">
          <a:extLst>
            <a:ext uri="{FF2B5EF4-FFF2-40B4-BE49-F238E27FC236}">
              <a16:creationId xmlns:a16="http://schemas.microsoft.com/office/drawing/2014/main" id="{CAECF485-E4E8-457B-9A9B-10086CEBFF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9" name="Rectangle 11">
          <a:extLst>
            <a:ext uri="{FF2B5EF4-FFF2-40B4-BE49-F238E27FC236}">
              <a16:creationId xmlns:a16="http://schemas.microsoft.com/office/drawing/2014/main" id="{CE27F2D4-BDE9-4448-8B23-6337E63233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0" name="Rectangle 1759">
          <a:extLst>
            <a:ext uri="{FF2B5EF4-FFF2-40B4-BE49-F238E27FC236}">
              <a16:creationId xmlns:a16="http://schemas.microsoft.com/office/drawing/2014/main" id="{950751A2-764F-4BCA-A301-B194722DCB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1" name="Rectangle 1760">
          <a:extLst>
            <a:ext uri="{FF2B5EF4-FFF2-40B4-BE49-F238E27FC236}">
              <a16:creationId xmlns:a16="http://schemas.microsoft.com/office/drawing/2014/main" id="{BE61742D-A8CC-4754-BE88-C5BC281F8F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2" name="Rectangle 1761">
          <a:extLst>
            <a:ext uri="{FF2B5EF4-FFF2-40B4-BE49-F238E27FC236}">
              <a16:creationId xmlns:a16="http://schemas.microsoft.com/office/drawing/2014/main" id="{ED5A8460-C651-4002-ACD6-2D7C412390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3" name="Rectangle 11">
          <a:extLst>
            <a:ext uri="{FF2B5EF4-FFF2-40B4-BE49-F238E27FC236}">
              <a16:creationId xmlns:a16="http://schemas.microsoft.com/office/drawing/2014/main" id="{66D66C74-45D7-44CA-9BF3-098A39CF9BD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4" name="Rectangle 1763">
          <a:extLst>
            <a:ext uri="{FF2B5EF4-FFF2-40B4-BE49-F238E27FC236}">
              <a16:creationId xmlns:a16="http://schemas.microsoft.com/office/drawing/2014/main" id="{979415C4-72EC-4CE8-BE14-743736E805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5" name="Rectangle 11">
          <a:extLst>
            <a:ext uri="{FF2B5EF4-FFF2-40B4-BE49-F238E27FC236}">
              <a16:creationId xmlns:a16="http://schemas.microsoft.com/office/drawing/2014/main" id="{3A994223-3D17-4918-ADF9-0C04BF4371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6" name="Rectangle 1765">
          <a:extLst>
            <a:ext uri="{FF2B5EF4-FFF2-40B4-BE49-F238E27FC236}">
              <a16:creationId xmlns:a16="http://schemas.microsoft.com/office/drawing/2014/main" id="{FBB7FC3F-B6C9-4F9D-8B3F-986F8FCC91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7" name="Rectangle 11">
          <a:extLst>
            <a:ext uri="{FF2B5EF4-FFF2-40B4-BE49-F238E27FC236}">
              <a16:creationId xmlns:a16="http://schemas.microsoft.com/office/drawing/2014/main" id="{74A7A822-BEF0-477F-83B6-D6EA20513F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8" name="Rectangle 1767">
          <a:extLst>
            <a:ext uri="{FF2B5EF4-FFF2-40B4-BE49-F238E27FC236}">
              <a16:creationId xmlns:a16="http://schemas.microsoft.com/office/drawing/2014/main" id="{54446FD1-9A7D-485E-A2A9-538FD66CD7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9" name="Rectangle 11">
          <a:extLst>
            <a:ext uri="{FF2B5EF4-FFF2-40B4-BE49-F238E27FC236}">
              <a16:creationId xmlns:a16="http://schemas.microsoft.com/office/drawing/2014/main" id="{BABE1885-7059-4761-ACEC-C7308A4EF8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0" name="Rectangle 1769">
          <a:extLst>
            <a:ext uri="{FF2B5EF4-FFF2-40B4-BE49-F238E27FC236}">
              <a16:creationId xmlns:a16="http://schemas.microsoft.com/office/drawing/2014/main" id="{8EC087EF-328D-4091-A8BD-C6B409858D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1" name="Rectangle 11">
          <a:extLst>
            <a:ext uri="{FF2B5EF4-FFF2-40B4-BE49-F238E27FC236}">
              <a16:creationId xmlns:a16="http://schemas.microsoft.com/office/drawing/2014/main" id="{E0AEABC7-2374-4940-9D49-329E64B6B1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2" name="Rectangle 1771">
          <a:extLst>
            <a:ext uri="{FF2B5EF4-FFF2-40B4-BE49-F238E27FC236}">
              <a16:creationId xmlns:a16="http://schemas.microsoft.com/office/drawing/2014/main" id="{1F769740-F74C-446D-8E99-FB599D38BB1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3" name="Rectangle 1772">
          <a:extLst>
            <a:ext uri="{FF2B5EF4-FFF2-40B4-BE49-F238E27FC236}">
              <a16:creationId xmlns:a16="http://schemas.microsoft.com/office/drawing/2014/main" id="{6C68787C-5CB4-4545-BB08-674A2308A5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4" name="Rectangle 1773">
          <a:extLst>
            <a:ext uri="{FF2B5EF4-FFF2-40B4-BE49-F238E27FC236}">
              <a16:creationId xmlns:a16="http://schemas.microsoft.com/office/drawing/2014/main" id="{BDCEA8AB-9CA8-47B0-B7B1-7293BFD562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5" name="Rectangle 11">
          <a:extLst>
            <a:ext uri="{FF2B5EF4-FFF2-40B4-BE49-F238E27FC236}">
              <a16:creationId xmlns:a16="http://schemas.microsoft.com/office/drawing/2014/main" id="{B292F5F8-4AE2-4CB1-B8FB-A64601013F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6" name="Rectangle 1775">
          <a:extLst>
            <a:ext uri="{FF2B5EF4-FFF2-40B4-BE49-F238E27FC236}">
              <a16:creationId xmlns:a16="http://schemas.microsoft.com/office/drawing/2014/main" id="{879FE098-F67D-4B52-9BCC-7C9AF9CE85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7" name="Rectangle 11">
          <a:extLst>
            <a:ext uri="{FF2B5EF4-FFF2-40B4-BE49-F238E27FC236}">
              <a16:creationId xmlns:a16="http://schemas.microsoft.com/office/drawing/2014/main" id="{EBBF78BA-929E-4951-BF67-CE0975DDB4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8" name="Rectangle 1777">
          <a:extLst>
            <a:ext uri="{FF2B5EF4-FFF2-40B4-BE49-F238E27FC236}">
              <a16:creationId xmlns:a16="http://schemas.microsoft.com/office/drawing/2014/main" id="{40232144-6535-4C9B-9877-8840B905A4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9" name="Rectangle 11">
          <a:extLst>
            <a:ext uri="{FF2B5EF4-FFF2-40B4-BE49-F238E27FC236}">
              <a16:creationId xmlns:a16="http://schemas.microsoft.com/office/drawing/2014/main" id="{412B8F8E-384F-4F77-8194-CFD4727BFB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0" name="Rectangle 1779">
          <a:extLst>
            <a:ext uri="{FF2B5EF4-FFF2-40B4-BE49-F238E27FC236}">
              <a16:creationId xmlns:a16="http://schemas.microsoft.com/office/drawing/2014/main" id="{BE3DCC88-5AF3-47C2-9ABF-40AA917753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1" name="Rectangle 11">
          <a:extLst>
            <a:ext uri="{FF2B5EF4-FFF2-40B4-BE49-F238E27FC236}">
              <a16:creationId xmlns:a16="http://schemas.microsoft.com/office/drawing/2014/main" id="{E59F2B02-A236-42EC-984F-FBFC45615D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2" name="Rectangle 1781">
          <a:extLst>
            <a:ext uri="{FF2B5EF4-FFF2-40B4-BE49-F238E27FC236}">
              <a16:creationId xmlns:a16="http://schemas.microsoft.com/office/drawing/2014/main" id="{999D613F-32EB-4EB4-9821-0168B7308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3" name="Rectangle 11">
          <a:extLst>
            <a:ext uri="{FF2B5EF4-FFF2-40B4-BE49-F238E27FC236}">
              <a16:creationId xmlns:a16="http://schemas.microsoft.com/office/drawing/2014/main" id="{5B421DFC-CBCB-484E-8090-6FB11C3C13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4" name="Rectangle 1783">
          <a:extLst>
            <a:ext uri="{FF2B5EF4-FFF2-40B4-BE49-F238E27FC236}">
              <a16:creationId xmlns:a16="http://schemas.microsoft.com/office/drawing/2014/main" id="{DA67248C-2815-45A3-9091-36A4AB59AC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5" name="Rectangle 1784">
          <a:extLst>
            <a:ext uri="{FF2B5EF4-FFF2-40B4-BE49-F238E27FC236}">
              <a16:creationId xmlns:a16="http://schemas.microsoft.com/office/drawing/2014/main" id="{DF0FE653-67B2-4E4A-990E-024DFBC2501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6" name="Rectangle 1785">
          <a:extLst>
            <a:ext uri="{FF2B5EF4-FFF2-40B4-BE49-F238E27FC236}">
              <a16:creationId xmlns:a16="http://schemas.microsoft.com/office/drawing/2014/main" id="{D3D1B263-F171-4B3E-8E79-CAF793FB9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7" name="Rectangle 11">
          <a:extLst>
            <a:ext uri="{FF2B5EF4-FFF2-40B4-BE49-F238E27FC236}">
              <a16:creationId xmlns:a16="http://schemas.microsoft.com/office/drawing/2014/main" id="{EE27229C-70D0-4FEC-B4E3-57D0CA44D1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8" name="Rectangle 1787">
          <a:extLst>
            <a:ext uri="{FF2B5EF4-FFF2-40B4-BE49-F238E27FC236}">
              <a16:creationId xmlns:a16="http://schemas.microsoft.com/office/drawing/2014/main" id="{78CF842E-8165-4C92-ACEC-B7B3AA708E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9" name="Rectangle 11">
          <a:extLst>
            <a:ext uri="{FF2B5EF4-FFF2-40B4-BE49-F238E27FC236}">
              <a16:creationId xmlns:a16="http://schemas.microsoft.com/office/drawing/2014/main" id="{43B4744F-657E-4605-92A8-F9CE16624C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0" name="Rectangle 1789">
          <a:extLst>
            <a:ext uri="{FF2B5EF4-FFF2-40B4-BE49-F238E27FC236}">
              <a16:creationId xmlns:a16="http://schemas.microsoft.com/office/drawing/2014/main" id="{66679689-1876-4EA1-819F-4A170AE7DC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1" name="Rectangle 11">
          <a:extLst>
            <a:ext uri="{FF2B5EF4-FFF2-40B4-BE49-F238E27FC236}">
              <a16:creationId xmlns:a16="http://schemas.microsoft.com/office/drawing/2014/main" id="{932F5B0A-4058-4B14-B97E-8E40F4B918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2" name="Rectangle 1791">
          <a:extLst>
            <a:ext uri="{FF2B5EF4-FFF2-40B4-BE49-F238E27FC236}">
              <a16:creationId xmlns:a16="http://schemas.microsoft.com/office/drawing/2014/main" id="{B6760211-C217-43A9-8921-9EA708D51D8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3" name="Rectangle 11">
          <a:extLst>
            <a:ext uri="{FF2B5EF4-FFF2-40B4-BE49-F238E27FC236}">
              <a16:creationId xmlns:a16="http://schemas.microsoft.com/office/drawing/2014/main" id="{8D4DE261-5FC4-4FE1-9139-C76B318BBB6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4" name="Rectangle 1793">
          <a:extLst>
            <a:ext uri="{FF2B5EF4-FFF2-40B4-BE49-F238E27FC236}">
              <a16:creationId xmlns:a16="http://schemas.microsoft.com/office/drawing/2014/main" id="{707E4D60-8066-4CB0-BCBD-1F96F78F8B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5" name="Rectangle 11">
          <a:extLst>
            <a:ext uri="{FF2B5EF4-FFF2-40B4-BE49-F238E27FC236}">
              <a16:creationId xmlns:a16="http://schemas.microsoft.com/office/drawing/2014/main" id="{D40F1AFB-9063-4800-9915-C2105C17F1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6" name="Rectangle 1795">
          <a:extLst>
            <a:ext uri="{FF2B5EF4-FFF2-40B4-BE49-F238E27FC236}">
              <a16:creationId xmlns:a16="http://schemas.microsoft.com/office/drawing/2014/main" id="{0F373E02-CA1A-4D9C-9CF4-A83C3AA607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7" name="Rectangle 1796">
          <a:extLst>
            <a:ext uri="{FF2B5EF4-FFF2-40B4-BE49-F238E27FC236}">
              <a16:creationId xmlns:a16="http://schemas.microsoft.com/office/drawing/2014/main" id="{AD041560-691A-4073-86DC-2D41AC849A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8" name="Rectangle 1797">
          <a:extLst>
            <a:ext uri="{FF2B5EF4-FFF2-40B4-BE49-F238E27FC236}">
              <a16:creationId xmlns:a16="http://schemas.microsoft.com/office/drawing/2014/main" id="{3053AA74-5BFB-4DE7-85F1-60A09B3131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9" name="Rectangle 11">
          <a:extLst>
            <a:ext uri="{FF2B5EF4-FFF2-40B4-BE49-F238E27FC236}">
              <a16:creationId xmlns:a16="http://schemas.microsoft.com/office/drawing/2014/main" id="{1CA9B612-CE62-494F-82F3-11EE0BA368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0" name="Rectangle 1799">
          <a:extLst>
            <a:ext uri="{FF2B5EF4-FFF2-40B4-BE49-F238E27FC236}">
              <a16:creationId xmlns:a16="http://schemas.microsoft.com/office/drawing/2014/main" id="{E175B809-7F87-4126-B629-892EF79FE6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1" name="Rectangle 11">
          <a:extLst>
            <a:ext uri="{FF2B5EF4-FFF2-40B4-BE49-F238E27FC236}">
              <a16:creationId xmlns:a16="http://schemas.microsoft.com/office/drawing/2014/main" id="{14E2F92B-0607-49F8-81C0-BDDFCDFA83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2" name="Rectangle 1801">
          <a:extLst>
            <a:ext uri="{FF2B5EF4-FFF2-40B4-BE49-F238E27FC236}">
              <a16:creationId xmlns:a16="http://schemas.microsoft.com/office/drawing/2014/main" id="{1277C5C9-9F6D-43C5-9E76-9913DDCD62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3" name="Rectangle 11">
          <a:extLst>
            <a:ext uri="{FF2B5EF4-FFF2-40B4-BE49-F238E27FC236}">
              <a16:creationId xmlns:a16="http://schemas.microsoft.com/office/drawing/2014/main" id="{D28A887F-1E16-47CA-A39B-6925D9648A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4" name="Rectangle 1803">
          <a:extLst>
            <a:ext uri="{FF2B5EF4-FFF2-40B4-BE49-F238E27FC236}">
              <a16:creationId xmlns:a16="http://schemas.microsoft.com/office/drawing/2014/main" id="{05FEADC3-8946-43F2-8309-8CF525F26B0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5" name="Rectangle 11">
          <a:extLst>
            <a:ext uri="{FF2B5EF4-FFF2-40B4-BE49-F238E27FC236}">
              <a16:creationId xmlns:a16="http://schemas.microsoft.com/office/drawing/2014/main" id="{9DEB7E5D-9988-49FD-AA34-C02B6C958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6" name="Rectangle 1805">
          <a:extLst>
            <a:ext uri="{FF2B5EF4-FFF2-40B4-BE49-F238E27FC236}">
              <a16:creationId xmlns:a16="http://schemas.microsoft.com/office/drawing/2014/main" id="{D4257120-353F-484B-AF59-4DD74E7D0A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7" name="Rectangle 11">
          <a:extLst>
            <a:ext uri="{FF2B5EF4-FFF2-40B4-BE49-F238E27FC236}">
              <a16:creationId xmlns:a16="http://schemas.microsoft.com/office/drawing/2014/main" id="{00C9FDD4-1B99-4219-9413-0B0CD9BA70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8" name="Rectangle 1807">
          <a:extLst>
            <a:ext uri="{FF2B5EF4-FFF2-40B4-BE49-F238E27FC236}">
              <a16:creationId xmlns:a16="http://schemas.microsoft.com/office/drawing/2014/main" id="{7AD7EEEA-B4D7-4F4D-A772-DC720DEA66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9" name="Rectangle 1808">
          <a:extLst>
            <a:ext uri="{FF2B5EF4-FFF2-40B4-BE49-F238E27FC236}">
              <a16:creationId xmlns:a16="http://schemas.microsoft.com/office/drawing/2014/main" id="{7FDFA73F-E1D6-4CD8-A108-6637DD9F64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0" name="Rectangle 1809">
          <a:extLst>
            <a:ext uri="{FF2B5EF4-FFF2-40B4-BE49-F238E27FC236}">
              <a16:creationId xmlns:a16="http://schemas.microsoft.com/office/drawing/2014/main" id="{DA118022-D456-40B7-9099-08EB80C5EC4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1" name="Rectangle 11">
          <a:extLst>
            <a:ext uri="{FF2B5EF4-FFF2-40B4-BE49-F238E27FC236}">
              <a16:creationId xmlns:a16="http://schemas.microsoft.com/office/drawing/2014/main" id="{4C15B5C8-9515-4F2E-8681-DF03EDE2BB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2" name="Rectangle 1811">
          <a:extLst>
            <a:ext uri="{FF2B5EF4-FFF2-40B4-BE49-F238E27FC236}">
              <a16:creationId xmlns:a16="http://schemas.microsoft.com/office/drawing/2014/main" id="{23C1EE73-990F-48D5-8781-30CB5EE3F8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3" name="Rectangle 11">
          <a:extLst>
            <a:ext uri="{FF2B5EF4-FFF2-40B4-BE49-F238E27FC236}">
              <a16:creationId xmlns:a16="http://schemas.microsoft.com/office/drawing/2014/main" id="{779F94E8-8CBE-4E46-8FC0-7433DE60B6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4" name="Rectangle 1813">
          <a:extLst>
            <a:ext uri="{FF2B5EF4-FFF2-40B4-BE49-F238E27FC236}">
              <a16:creationId xmlns:a16="http://schemas.microsoft.com/office/drawing/2014/main" id="{B2DA6C4A-DCEE-4AFD-96CC-2A66EB6F1D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5" name="Rectangle 11">
          <a:extLst>
            <a:ext uri="{FF2B5EF4-FFF2-40B4-BE49-F238E27FC236}">
              <a16:creationId xmlns:a16="http://schemas.microsoft.com/office/drawing/2014/main" id="{816C7098-2706-4C7E-98BE-711CC175A21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6" name="Rectangle 1815">
          <a:extLst>
            <a:ext uri="{FF2B5EF4-FFF2-40B4-BE49-F238E27FC236}">
              <a16:creationId xmlns:a16="http://schemas.microsoft.com/office/drawing/2014/main" id="{5C89438E-67D8-4F13-AD83-12939374B5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7" name="Rectangle 11">
          <a:extLst>
            <a:ext uri="{FF2B5EF4-FFF2-40B4-BE49-F238E27FC236}">
              <a16:creationId xmlns:a16="http://schemas.microsoft.com/office/drawing/2014/main" id="{0B0022C1-D40E-4F19-AC18-A4528207EF6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8" name="Rectangle 1817">
          <a:extLst>
            <a:ext uri="{FF2B5EF4-FFF2-40B4-BE49-F238E27FC236}">
              <a16:creationId xmlns:a16="http://schemas.microsoft.com/office/drawing/2014/main" id="{CD4EB4CC-04E7-4781-B775-E48FECF881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9" name="Rectangle 11">
          <a:extLst>
            <a:ext uri="{FF2B5EF4-FFF2-40B4-BE49-F238E27FC236}">
              <a16:creationId xmlns:a16="http://schemas.microsoft.com/office/drawing/2014/main" id="{3302555F-24DE-4BB9-B764-D229F06271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0" name="Rectangle 1819">
          <a:extLst>
            <a:ext uri="{FF2B5EF4-FFF2-40B4-BE49-F238E27FC236}">
              <a16:creationId xmlns:a16="http://schemas.microsoft.com/office/drawing/2014/main" id="{023BEBBD-781D-4F10-B57B-785C1B99B7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1" name="Rectangle 1820">
          <a:extLst>
            <a:ext uri="{FF2B5EF4-FFF2-40B4-BE49-F238E27FC236}">
              <a16:creationId xmlns:a16="http://schemas.microsoft.com/office/drawing/2014/main" id="{43E194B4-BE3C-4A17-966D-4F7F8373A1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2" name="Rectangle 1821">
          <a:extLst>
            <a:ext uri="{FF2B5EF4-FFF2-40B4-BE49-F238E27FC236}">
              <a16:creationId xmlns:a16="http://schemas.microsoft.com/office/drawing/2014/main" id="{0E812E2B-79A9-483C-B8C7-F024C733978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3" name="Rectangle 11">
          <a:extLst>
            <a:ext uri="{FF2B5EF4-FFF2-40B4-BE49-F238E27FC236}">
              <a16:creationId xmlns:a16="http://schemas.microsoft.com/office/drawing/2014/main" id="{4A8A25E6-B5B2-4796-8BD7-B6674D40FF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4" name="Rectangle 1823">
          <a:extLst>
            <a:ext uri="{FF2B5EF4-FFF2-40B4-BE49-F238E27FC236}">
              <a16:creationId xmlns:a16="http://schemas.microsoft.com/office/drawing/2014/main" id="{EBA046C9-2FF6-49B5-A612-0EFD67845F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5" name="Rectangle 11">
          <a:extLst>
            <a:ext uri="{FF2B5EF4-FFF2-40B4-BE49-F238E27FC236}">
              <a16:creationId xmlns:a16="http://schemas.microsoft.com/office/drawing/2014/main" id="{6F61CF4E-75A0-438C-8A0D-85EB9A97C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6" name="Rectangle 1825">
          <a:extLst>
            <a:ext uri="{FF2B5EF4-FFF2-40B4-BE49-F238E27FC236}">
              <a16:creationId xmlns:a16="http://schemas.microsoft.com/office/drawing/2014/main" id="{61E78A40-3184-4B31-9C8D-2A93D6A2A7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7" name="Rectangle 11">
          <a:extLst>
            <a:ext uri="{FF2B5EF4-FFF2-40B4-BE49-F238E27FC236}">
              <a16:creationId xmlns:a16="http://schemas.microsoft.com/office/drawing/2014/main" id="{497C97E0-0075-4021-B438-4683C0F0B1C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8" name="Rectangle 1827">
          <a:extLst>
            <a:ext uri="{FF2B5EF4-FFF2-40B4-BE49-F238E27FC236}">
              <a16:creationId xmlns:a16="http://schemas.microsoft.com/office/drawing/2014/main" id="{F5B69A4E-09C8-4C06-8A12-D294C015F87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9" name="Rectangle 11">
          <a:extLst>
            <a:ext uri="{FF2B5EF4-FFF2-40B4-BE49-F238E27FC236}">
              <a16:creationId xmlns:a16="http://schemas.microsoft.com/office/drawing/2014/main" id="{2C23026C-7E98-4E3B-956B-6EDD0A046D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0" name="Rectangle 1829">
          <a:extLst>
            <a:ext uri="{FF2B5EF4-FFF2-40B4-BE49-F238E27FC236}">
              <a16:creationId xmlns:a16="http://schemas.microsoft.com/office/drawing/2014/main" id="{717841D5-CA7D-465C-968B-F54448FDEE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1" name="Rectangle 11">
          <a:extLst>
            <a:ext uri="{FF2B5EF4-FFF2-40B4-BE49-F238E27FC236}">
              <a16:creationId xmlns:a16="http://schemas.microsoft.com/office/drawing/2014/main" id="{6CE7BCA1-B636-4708-BE35-7EC156F1989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2" name="Rectangle 1831">
          <a:extLst>
            <a:ext uri="{FF2B5EF4-FFF2-40B4-BE49-F238E27FC236}">
              <a16:creationId xmlns:a16="http://schemas.microsoft.com/office/drawing/2014/main" id="{12CE2B2E-4674-46ED-ACDA-62EEC986AB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3" name="Rectangle 1832">
          <a:extLst>
            <a:ext uri="{FF2B5EF4-FFF2-40B4-BE49-F238E27FC236}">
              <a16:creationId xmlns:a16="http://schemas.microsoft.com/office/drawing/2014/main" id="{7B713BBF-F049-4C25-8F3B-D098BE4142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4" name="Rectangle 1833">
          <a:extLst>
            <a:ext uri="{FF2B5EF4-FFF2-40B4-BE49-F238E27FC236}">
              <a16:creationId xmlns:a16="http://schemas.microsoft.com/office/drawing/2014/main" id="{09AAA8AC-EAE5-47DD-A471-A633E40055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5" name="Rectangle 11">
          <a:extLst>
            <a:ext uri="{FF2B5EF4-FFF2-40B4-BE49-F238E27FC236}">
              <a16:creationId xmlns:a16="http://schemas.microsoft.com/office/drawing/2014/main" id="{D127F4DC-7705-4434-AFCB-02C05D017B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6" name="Rectangle 1835">
          <a:extLst>
            <a:ext uri="{FF2B5EF4-FFF2-40B4-BE49-F238E27FC236}">
              <a16:creationId xmlns:a16="http://schemas.microsoft.com/office/drawing/2014/main" id="{F371C546-A9CD-4A29-A0AB-FDC90EA9028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7" name="Rectangle 11">
          <a:extLst>
            <a:ext uri="{FF2B5EF4-FFF2-40B4-BE49-F238E27FC236}">
              <a16:creationId xmlns:a16="http://schemas.microsoft.com/office/drawing/2014/main" id="{1471A9DC-ECA4-48C8-8BA1-5409481FDB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8" name="Rectangle 1837">
          <a:extLst>
            <a:ext uri="{FF2B5EF4-FFF2-40B4-BE49-F238E27FC236}">
              <a16:creationId xmlns:a16="http://schemas.microsoft.com/office/drawing/2014/main" id="{A64F1E25-813F-4F7C-9E87-86835097CD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9" name="Rectangle 11">
          <a:extLst>
            <a:ext uri="{FF2B5EF4-FFF2-40B4-BE49-F238E27FC236}">
              <a16:creationId xmlns:a16="http://schemas.microsoft.com/office/drawing/2014/main" id="{FA38E199-3860-4EA9-B215-CE13A4EF38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0" name="Rectangle 1839">
          <a:extLst>
            <a:ext uri="{FF2B5EF4-FFF2-40B4-BE49-F238E27FC236}">
              <a16:creationId xmlns:a16="http://schemas.microsoft.com/office/drawing/2014/main" id="{D5487310-6D9D-4C59-946B-981C5E1C144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1" name="Rectangle 11">
          <a:extLst>
            <a:ext uri="{FF2B5EF4-FFF2-40B4-BE49-F238E27FC236}">
              <a16:creationId xmlns:a16="http://schemas.microsoft.com/office/drawing/2014/main" id="{47C65E6F-1FA4-435D-819F-A6764ACD0E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2" name="Rectangle 1841">
          <a:extLst>
            <a:ext uri="{FF2B5EF4-FFF2-40B4-BE49-F238E27FC236}">
              <a16:creationId xmlns:a16="http://schemas.microsoft.com/office/drawing/2014/main" id="{4D62BBB7-0630-431B-B842-AACF1CFEB0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3" name="Rectangle 11">
          <a:extLst>
            <a:ext uri="{FF2B5EF4-FFF2-40B4-BE49-F238E27FC236}">
              <a16:creationId xmlns:a16="http://schemas.microsoft.com/office/drawing/2014/main" id="{3DC76B74-4F0D-4887-9B69-D55728A196D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4" name="Rectangle 1843">
          <a:extLst>
            <a:ext uri="{FF2B5EF4-FFF2-40B4-BE49-F238E27FC236}">
              <a16:creationId xmlns:a16="http://schemas.microsoft.com/office/drawing/2014/main" id="{8D32C38E-56CB-41A0-9102-D9DD3C3828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5" name="Rectangle 1844">
          <a:extLst>
            <a:ext uri="{FF2B5EF4-FFF2-40B4-BE49-F238E27FC236}">
              <a16:creationId xmlns:a16="http://schemas.microsoft.com/office/drawing/2014/main" id="{7A943571-4288-4989-A97B-6676CC7AA76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6" name="Rectangle 1845">
          <a:extLst>
            <a:ext uri="{FF2B5EF4-FFF2-40B4-BE49-F238E27FC236}">
              <a16:creationId xmlns:a16="http://schemas.microsoft.com/office/drawing/2014/main" id="{62AEA286-B878-4B5C-9BB4-04C03301A3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7" name="Rectangle 11">
          <a:extLst>
            <a:ext uri="{FF2B5EF4-FFF2-40B4-BE49-F238E27FC236}">
              <a16:creationId xmlns:a16="http://schemas.microsoft.com/office/drawing/2014/main" id="{94B99EC3-996E-4ADF-9593-A615B08A02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8" name="Rectangle 1847">
          <a:extLst>
            <a:ext uri="{FF2B5EF4-FFF2-40B4-BE49-F238E27FC236}">
              <a16:creationId xmlns:a16="http://schemas.microsoft.com/office/drawing/2014/main" id="{52DD5BD7-BA19-405C-B81D-AF3302A7A0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9" name="Rectangle 11">
          <a:extLst>
            <a:ext uri="{FF2B5EF4-FFF2-40B4-BE49-F238E27FC236}">
              <a16:creationId xmlns:a16="http://schemas.microsoft.com/office/drawing/2014/main" id="{337A7593-7602-48AB-AF5A-C49964A5B4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0" name="Rectangle 1849">
          <a:extLst>
            <a:ext uri="{FF2B5EF4-FFF2-40B4-BE49-F238E27FC236}">
              <a16:creationId xmlns:a16="http://schemas.microsoft.com/office/drawing/2014/main" id="{0410889D-1B75-4234-A28A-9ADEED57AAD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1" name="Rectangle 11">
          <a:extLst>
            <a:ext uri="{FF2B5EF4-FFF2-40B4-BE49-F238E27FC236}">
              <a16:creationId xmlns:a16="http://schemas.microsoft.com/office/drawing/2014/main" id="{BB872918-ADC3-4F49-A768-4E24DE1C7F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2" name="Rectangle 1851">
          <a:extLst>
            <a:ext uri="{FF2B5EF4-FFF2-40B4-BE49-F238E27FC236}">
              <a16:creationId xmlns:a16="http://schemas.microsoft.com/office/drawing/2014/main" id="{266B6403-1E48-48D6-B438-BC7F4E7FE27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3" name="Rectangle 11">
          <a:extLst>
            <a:ext uri="{FF2B5EF4-FFF2-40B4-BE49-F238E27FC236}">
              <a16:creationId xmlns:a16="http://schemas.microsoft.com/office/drawing/2014/main" id="{C99BEE34-6316-406C-87AD-B8E5F16467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4" name="Rectangle 1853">
          <a:extLst>
            <a:ext uri="{FF2B5EF4-FFF2-40B4-BE49-F238E27FC236}">
              <a16:creationId xmlns:a16="http://schemas.microsoft.com/office/drawing/2014/main" id="{3DC14353-EC1A-4E10-BA9A-319325EE2E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5" name="Rectangle 11">
          <a:extLst>
            <a:ext uri="{FF2B5EF4-FFF2-40B4-BE49-F238E27FC236}">
              <a16:creationId xmlns:a16="http://schemas.microsoft.com/office/drawing/2014/main" id="{1BA6126E-FE37-438A-87A5-985C442A7A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6" name="Rectangle 1855">
          <a:extLst>
            <a:ext uri="{FF2B5EF4-FFF2-40B4-BE49-F238E27FC236}">
              <a16:creationId xmlns:a16="http://schemas.microsoft.com/office/drawing/2014/main" id="{8A8C75E6-392B-4CE3-A16B-AE5ADB0E36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7" name="Rectangle 1856">
          <a:extLst>
            <a:ext uri="{FF2B5EF4-FFF2-40B4-BE49-F238E27FC236}">
              <a16:creationId xmlns:a16="http://schemas.microsoft.com/office/drawing/2014/main" id="{CB50588D-8866-4B4C-A237-C812EA8F2CA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8" name="Rectangle 1857">
          <a:extLst>
            <a:ext uri="{FF2B5EF4-FFF2-40B4-BE49-F238E27FC236}">
              <a16:creationId xmlns:a16="http://schemas.microsoft.com/office/drawing/2014/main" id="{47CAC55A-B5FD-4141-849B-948B45D4D6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9" name="Rectangle 11">
          <a:extLst>
            <a:ext uri="{FF2B5EF4-FFF2-40B4-BE49-F238E27FC236}">
              <a16:creationId xmlns:a16="http://schemas.microsoft.com/office/drawing/2014/main" id="{CB16347E-0765-4C59-ACD0-C59E481333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0" name="Rectangle 1859">
          <a:extLst>
            <a:ext uri="{FF2B5EF4-FFF2-40B4-BE49-F238E27FC236}">
              <a16:creationId xmlns:a16="http://schemas.microsoft.com/office/drawing/2014/main" id="{B6DCA140-BF88-4E6A-90D6-FAD0827999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1" name="Rectangle 11">
          <a:extLst>
            <a:ext uri="{FF2B5EF4-FFF2-40B4-BE49-F238E27FC236}">
              <a16:creationId xmlns:a16="http://schemas.microsoft.com/office/drawing/2014/main" id="{F7E9BFF5-7A12-4B77-9C43-737BE071061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2" name="Rectangle 1861">
          <a:extLst>
            <a:ext uri="{FF2B5EF4-FFF2-40B4-BE49-F238E27FC236}">
              <a16:creationId xmlns:a16="http://schemas.microsoft.com/office/drawing/2014/main" id="{80FF73D3-5DD5-405C-AB53-1625065601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3" name="Rectangle 11">
          <a:extLst>
            <a:ext uri="{FF2B5EF4-FFF2-40B4-BE49-F238E27FC236}">
              <a16:creationId xmlns:a16="http://schemas.microsoft.com/office/drawing/2014/main" id="{93AA07C5-C60E-4A00-B341-8FED159880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4" name="Rectangle 1863">
          <a:extLst>
            <a:ext uri="{FF2B5EF4-FFF2-40B4-BE49-F238E27FC236}">
              <a16:creationId xmlns:a16="http://schemas.microsoft.com/office/drawing/2014/main" id="{9C1D4533-75FB-4B58-8719-D4476EB0E9E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5" name="Rectangle 11">
          <a:extLst>
            <a:ext uri="{FF2B5EF4-FFF2-40B4-BE49-F238E27FC236}">
              <a16:creationId xmlns:a16="http://schemas.microsoft.com/office/drawing/2014/main" id="{E320DBFB-E23B-4136-BE3D-618B79E98F9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6" name="Rectangle 1865">
          <a:extLst>
            <a:ext uri="{FF2B5EF4-FFF2-40B4-BE49-F238E27FC236}">
              <a16:creationId xmlns:a16="http://schemas.microsoft.com/office/drawing/2014/main" id="{9A5CC1F2-D3EB-4D45-B926-8936634DD0B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7" name="Rectangle 11">
          <a:extLst>
            <a:ext uri="{FF2B5EF4-FFF2-40B4-BE49-F238E27FC236}">
              <a16:creationId xmlns:a16="http://schemas.microsoft.com/office/drawing/2014/main" id="{830E7E2A-549F-4AFF-86B1-36D9E50A86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8" name="Rectangle 1867">
          <a:extLst>
            <a:ext uri="{FF2B5EF4-FFF2-40B4-BE49-F238E27FC236}">
              <a16:creationId xmlns:a16="http://schemas.microsoft.com/office/drawing/2014/main" id="{E4A9C89A-01AB-4510-B69B-728D170C0B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9" name="Rectangle 1868">
          <a:extLst>
            <a:ext uri="{FF2B5EF4-FFF2-40B4-BE49-F238E27FC236}">
              <a16:creationId xmlns:a16="http://schemas.microsoft.com/office/drawing/2014/main" id="{1AADCD68-A6DB-48BF-9A5E-5818A6A163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0" name="Rectangle 1869">
          <a:extLst>
            <a:ext uri="{FF2B5EF4-FFF2-40B4-BE49-F238E27FC236}">
              <a16:creationId xmlns:a16="http://schemas.microsoft.com/office/drawing/2014/main" id="{BB19155D-C0EA-4CDC-A079-C4FC9B63BC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1" name="Rectangle 11">
          <a:extLst>
            <a:ext uri="{FF2B5EF4-FFF2-40B4-BE49-F238E27FC236}">
              <a16:creationId xmlns:a16="http://schemas.microsoft.com/office/drawing/2014/main" id="{176A9DC5-D8AF-4937-9A6B-E6EA6BA46C0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2" name="Rectangle 1871">
          <a:extLst>
            <a:ext uri="{FF2B5EF4-FFF2-40B4-BE49-F238E27FC236}">
              <a16:creationId xmlns:a16="http://schemas.microsoft.com/office/drawing/2014/main" id="{9943F83A-9A30-4249-82C1-FB4819A980F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3" name="Rectangle 11">
          <a:extLst>
            <a:ext uri="{FF2B5EF4-FFF2-40B4-BE49-F238E27FC236}">
              <a16:creationId xmlns:a16="http://schemas.microsoft.com/office/drawing/2014/main" id="{DD947022-0CDA-454E-B02A-989CB5957A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4" name="Rectangle 1873">
          <a:extLst>
            <a:ext uri="{FF2B5EF4-FFF2-40B4-BE49-F238E27FC236}">
              <a16:creationId xmlns:a16="http://schemas.microsoft.com/office/drawing/2014/main" id="{B429E1D3-8829-4A39-841B-E8C5964DED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5" name="Rectangle 11">
          <a:extLst>
            <a:ext uri="{FF2B5EF4-FFF2-40B4-BE49-F238E27FC236}">
              <a16:creationId xmlns:a16="http://schemas.microsoft.com/office/drawing/2014/main" id="{8E4C4BC1-A811-4B3A-A9AA-562018A8AF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6" name="Rectangle 1875">
          <a:extLst>
            <a:ext uri="{FF2B5EF4-FFF2-40B4-BE49-F238E27FC236}">
              <a16:creationId xmlns:a16="http://schemas.microsoft.com/office/drawing/2014/main" id="{D48C2A68-1A4A-4D88-AB99-436C9EDD87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7" name="Rectangle 11">
          <a:extLst>
            <a:ext uri="{FF2B5EF4-FFF2-40B4-BE49-F238E27FC236}">
              <a16:creationId xmlns:a16="http://schemas.microsoft.com/office/drawing/2014/main" id="{2CBAE436-DAE5-4A4F-AAD1-1803E7DF064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8" name="Rectangle 1877">
          <a:extLst>
            <a:ext uri="{FF2B5EF4-FFF2-40B4-BE49-F238E27FC236}">
              <a16:creationId xmlns:a16="http://schemas.microsoft.com/office/drawing/2014/main" id="{1B251E7A-B17F-4979-BF28-81B93A940F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9" name="Rectangle 11">
          <a:extLst>
            <a:ext uri="{FF2B5EF4-FFF2-40B4-BE49-F238E27FC236}">
              <a16:creationId xmlns:a16="http://schemas.microsoft.com/office/drawing/2014/main" id="{50A36143-EBB8-4859-AE1B-3BDFA9F3BE3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0" name="Rectangle 1879">
          <a:extLst>
            <a:ext uri="{FF2B5EF4-FFF2-40B4-BE49-F238E27FC236}">
              <a16:creationId xmlns:a16="http://schemas.microsoft.com/office/drawing/2014/main" id="{4165B5EF-EBFC-4183-B6CA-3BE87EAA8C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1" name="Rectangle 1880">
          <a:extLst>
            <a:ext uri="{FF2B5EF4-FFF2-40B4-BE49-F238E27FC236}">
              <a16:creationId xmlns:a16="http://schemas.microsoft.com/office/drawing/2014/main" id="{9C351DD3-25A0-4920-B311-96744F07FA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2" name="Rectangle 1881">
          <a:extLst>
            <a:ext uri="{FF2B5EF4-FFF2-40B4-BE49-F238E27FC236}">
              <a16:creationId xmlns:a16="http://schemas.microsoft.com/office/drawing/2014/main" id="{C6D92EB1-826E-4733-94DE-8FAF9211D2A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3" name="Rectangle 11">
          <a:extLst>
            <a:ext uri="{FF2B5EF4-FFF2-40B4-BE49-F238E27FC236}">
              <a16:creationId xmlns:a16="http://schemas.microsoft.com/office/drawing/2014/main" id="{6997F6CE-D407-4379-B08F-71EBA1CFBFC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4" name="Rectangle 1883">
          <a:extLst>
            <a:ext uri="{FF2B5EF4-FFF2-40B4-BE49-F238E27FC236}">
              <a16:creationId xmlns:a16="http://schemas.microsoft.com/office/drawing/2014/main" id="{F7FFD4FA-D66C-439B-ADA9-4BB6A6DDA5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5" name="Rectangle 11">
          <a:extLst>
            <a:ext uri="{FF2B5EF4-FFF2-40B4-BE49-F238E27FC236}">
              <a16:creationId xmlns:a16="http://schemas.microsoft.com/office/drawing/2014/main" id="{03B3820D-53BA-4A71-BB90-EE378824CA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6" name="Rectangle 1885">
          <a:extLst>
            <a:ext uri="{FF2B5EF4-FFF2-40B4-BE49-F238E27FC236}">
              <a16:creationId xmlns:a16="http://schemas.microsoft.com/office/drawing/2014/main" id="{E9BBE54A-2D4F-43D0-8104-996A022A7A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7" name="Rectangle 11">
          <a:extLst>
            <a:ext uri="{FF2B5EF4-FFF2-40B4-BE49-F238E27FC236}">
              <a16:creationId xmlns:a16="http://schemas.microsoft.com/office/drawing/2014/main" id="{073A80CD-1FE9-4B5E-9A9D-53F0C0CF99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8" name="Rectangle 1887">
          <a:extLst>
            <a:ext uri="{FF2B5EF4-FFF2-40B4-BE49-F238E27FC236}">
              <a16:creationId xmlns:a16="http://schemas.microsoft.com/office/drawing/2014/main" id="{FA3548C0-3225-4949-8A33-37628C2E1CA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9" name="Rectangle 11">
          <a:extLst>
            <a:ext uri="{FF2B5EF4-FFF2-40B4-BE49-F238E27FC236}">
              <a16:creationId xmlns:a16="http://schemas.microsoft.com/office/drawing/2014/main" id="{87E6478F-201C-42C9-A070-43E0B9C12B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0" name="Rectangle 1889">
          <a:extLst>
            <a:ext uri="{FF2B5EF4-FFF2-40B4-BE49-F238E27FC236}">
              <a16:creationId xmlns:a16="http://schemas.microsoft.com/office/drawing/2014/main" id="{35FE88F0-3DD7-43BC-9C86-EB525CD159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1" name="Rectangle 11">
          <a:extLst>
            <a:ext uri="{FF2B5EF4-FFF2-40B4-BE49-F238E27FC236}">
              <a16:creationId xmlns:a16="http://schemas.microsoft.com/office/drawing/2014/main" id="{6D247B9A-99A9-4A28-96B9-230268BFE08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2" name="Rectangle 1891">
          <a:extLst>
            <a:ext uri="{FF2B5EF4-FFF2-40B4-BE49-F238E27FC236}">
              <a16:creationId xmlns:a16="http://schemas.microsoft.com/office/drawing/2014/main" id="{1E2A3BA2-63B0-486A-B7F2-B8FB66D596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3" name="Rectangle 1892">
          <a:extLst>
            <a:ext uri="{FF2B5EF4-FFF2-40B4-BE49-F238E27FC236}">
              <a16:creationId xmlns:a16="http://schemas.microsoft.com/office/drawing/2014/main" id="{F6015A99-5587-404D-BCD2-54AF9D9675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4" name="Rectangle 1893">
          <a:extLst>
            <a:ext uri="{FF2B5EF4-FFF2-40B4-BE49-F238E27FC236}">
              <a16:creationId xmlns:a16="http://schemas.microsoft.com/office/drawing/2014/main" id="{2D6BEC01-CC8A-44AF-B2E3-B0A6E29948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5" name="Rectangle 11">
          <a:extLst>
            <a:ext uri="{FF2B5EF4-FFF2-40B4-BE49-F238E27FC236}">
              <a16:creationId xmlns:a16="http://schemas.microsoft.com/office/drawing/2014/main" id="{F3C2DEA9-5B04-4148-9647-7A25EF7A2A4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6" name="Rectangle 1895">
          <a:extLst>
            <a:ext uri="{FF2B5EF4-FFF2-40B4-BE49-F238E27FC236}">
              <a16:creationId xmlns:a16="http://schemas.microsoft.com/office/drawing/2014/main" id="{843B19AE-7E9E-4351-8293-B8AA4D1C02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7" name="Rectangle 11">
          <a:extLst>
            <a:ext uri="{FF2B5EF4-FFF2-40B4-BE49-F238E27FC236}">
              <a16:creationId xmlns:a16="http://schemas.microsoft.com/office/drawing/2014/main" id="{D4204422-DB08-4E00-A3CF-027A606C91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8" name="Rectangle 1897">
          <a:extLst>
            <a:ext uri="{FF2B5EF4-FFF2-40B4-BE49-F238E27FC236}">
              <a16:creationId xmlns:a16="http://schemas.microsoft.com/office/drawing/2014/main" id="{B37878CF-0DA1-46F0-842F-AB4DF59184C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9" name="Rectangle 11">
          <a:extLst>
            <a:ext uri="{FF2B5EF4-FFF2-40B4-BE49-F238E27FC236}">
              <a16:creationId xmlns:a16="http://schemas.microsoft.com/office/drawing/2014/main" id="{1157479B-06B8-4757-82C0-D16280F715B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0" name="Rectangle 1899">
          <a:extLst>
            <a:ext uri="{FF2B5EF4-FFF2-40B4-BE49-F238E27FC236}">
              <a16:creationId xmlns:a16="http://schemas.microsoft.com/office/drawing/2014/main" id="{59370034-0BD0-47D8-9736-7369B53B02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1" name="Rectangle 11">
          <a:extLst>
            <a:ext uri="{FF2B5EF4-FFF2-40B4-BE49-F238E27FC236}">
              <a16:creationId xmlns:a16="http://schemas.microsoft.com/office/drawing/2014/main" id="{FE625044-A4E9-4324-9C56-BC8778CE73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2" name="Rectangle 1901">
          <a:extLst>
            <a:ext uri="{FF2B5EF4-FFF2-40B4-BE49-F238E27FC236}">
              <a16:creationId xmlns:a16="http://schemas.microsoft.com/office/drawing/2014/main" id="{1606B492-BAF5-4155-8B8C-8843F4D174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3" name="Rectangle 11">
          <a:extLst>
            <a:ext uri="{FF2B5EF4-FFF2-40B4-BE49-F238E27FC236}">
              <a16:creationId xmlns:a16="http://schemas.microsoft.com/office/drawing/2014/main" id="{903D8A60-47C7-4279-A3B0-CB7E3FA3052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4" name="Rectangle 1903">
          <a:extLst>
            <a:ext uri="{FF2B5EF4-FFF2-40B4-BE49-F238E27FC236}">
              <a16:creationId xmlns:a16="http://schemas.microsoft.com/office/drawing/2014/main" id="{68D4BA49-2CB6-40B5-A0D8-2DC1913F2F3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5" name="Rectangle 1904">
          <a:extLst>
            <a:ext uri="{FF2B5EF4-FFF2-40B4-BE49-F238E27FC236}">
              <a16:creationId xmlns:a16="http://schemas.microsoft.com/office/drawing/2014/main" id="{5AFC379A-1970-42CA-A378-95C92FBF0C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6" name="Rectangle 1905">
          <a:extLst>
            <a:ext uri="{FF2B5EF4-FFF2-40B4-BE49-F238E27FC236}">
              <a16:creationId xmlns:a16="http://schemas.microsoft.com/office/drawing/2014/main" id="{741D16AB-F58C-4962-A3FF-70C787279C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7" name="Rectangle 11">
          <a:extLst>
            <a:ext uri="{FF2B5EF4-FFF2-40B4-BE49-F238E27FC236}">
              <a16:creationId xmlns:a16="http://schemas.microsoft.com/office/drawing/2014/main" id="{6C31D5DC-6373-4B77-AF36-E6701209F3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8" name="Rectangle 1907">
          <a:extLst>
            <a:ext uri="{FF2B5EF4-FFF2-40B4-BE49-F238E27FC236}">
              <a16:creationId xmlns:a16="http://schemas.microsoft.com/office/drawing/2014/main" id="{7211AD3E-B2C8-4890-9E98-DC842269EB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9" name="Rectangle 11">
          <a:extLst>
            <a:ext uri="{FF2B5EF4-FFF2-40B4-BE49-F238E27FC236}">
              <a16:creationId xmlns:a16="http://schemas.microsoft.com/office/drawing/2014/main" id="{EB0A14F6-2CE1-4011-870A-D376957DC9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0" name="Rectangle 1909">
          <a:extLst>
            <a:ext uri="{FF2B5EF4-FFF2-40B4-BE49-F238E27FC236}">
              <a16:creationId xmlns:a16="http://schemas.microsoft.com/office/drawing/2014/main" id="{E6BE5A8E-F69A-43A3-9A84-5624F28A56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1" name="Rectangle 11">
          <a:extLst>
            <a:ext uri="{FF2B5EF4-FFF2-40B4-BE49-F238E27FC236}">
              <a16:creationId xmlns:a16="http://schemas.microsoft.com/office/drawing/2014/main" id="{9C95E61B-7BDC-4357-ABAD-06789C674A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2" name="Rectangle 1911">
          <a:extLst>
            <a:ext uri="{FF2B5EF4-FFF2-40B4-BE49-F238E27FC236}">
              <a16:creationId xmlns:a16="http://schemas.microsoft.com/office/drawing/2014/main" id="{D296E654-6D17-41DA-ABE5-2EAB168331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3" name="Rectangle 11">
          <a:extLst>
            <a:ext uri="{FF2B5EF4-FFF2-40B4-BE49-F238E27FC236}">
              <a16:creationId xmlns:a16="http://schemas.microsoft.com/office/drawing/2014/main" id="{17474AAD-5354-4BDB-87FD-917C7226B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4" name="Rectangle 1913">
          <a:extLst>
            <a:ext uri="{FF2B5EF4-FFF2-40B4-BE49-F238E27FC236}">
              <a16:creationId xmlns:a16="http://schemas.microsoft.com/office/drawing/2014/main" id="{9DF640A5-E5D5-41E8-8FCB-A4A666996E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5" name="Rectangle 11">
          <a:extLst>
            <a:ext uri="{FF2B5EF4-FFF2-40B4-BE49-F238E27FC236}">
              <a16:creationId xmlns:a16="http://schemas.microsoft.com/office/drawing/2014/main" id="{0961020F-5E05-4E65-88F9-1BCE0F613A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6" name="Rectangle 1915">
          <a:extLst>
            <a:ext uri="{FF2B5EF4-FFF2-40B4-BE49-F238E27FC236}">
              <a16:creationId xmlns:a16="http://schemas.microsoft.com/office/drawing/2014/main" id="{0544233E-EBAD-48E9-9393-AF68405CEDF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7" name="Rectangle 1916">
          <a:extLst>
            <a:ext uri="{FF2B5EF4-FFF2-40B4-BE49-F238E27FC236}">
              <a16:creationId xmlns:a16="http://schemas.microsoft.com/office/drawing/2014/main" id="{BA97069E-3547-41A5-A399-2BE8C860A4E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8" name="Rectangle 1917">
          <a:extLst>
            <a:ext uri="{FF2B5EF4-FFF2-40B4-BE49-F238E27FC236}">
              <a16:creationId xmlns:a16="http://schemas.microsoft.com/office/drawing/2014/main" id="{E776CB1C-781C-4592-842F-9F3F5A24C8B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9" name="Rectangle 11">
          <a:extLst>
            <a:ext uri="{FF2B5EF4-FFF2-40B4-BE49-F238E27FC236}">
              <a16:creationId xmlns:a16="http://schemas.microsoft.com/office/drawing/2014/main" id="{83CE5EEA-B559-4D76-A2FB-6BEF206DE8A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20" name="Rectangle 1919">
          <a:extLst>
            <a:ext uri="{FF2B5EF4-FFF2-40B4-BE49-F238E27FC236}">
              <a16:creationId xmlns:a16="http://schemas.microsoft.com/office/drawing/2014/main" id="{3ADB90A4-4BDE-461F-8516-4847943438D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21" name="Rectangle 11">
          <a:extLst>
            <a:ext uri="{FF2B5EF4-FFF2-40B4-BE49-F238E27FC236}">
              <a16:creationId xmlns:a16="http://schemas.microsoft.com/office/drawing/2014/main" id="{ED7CE906-F66D-434E-89F5-83803E130F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2" name="Rectangle 1921">
          <a:extLst>
            <a:ext uri="{FF2B5EF4-FFF2-40B4-BE49-F238E27FC236}">
              <a16:creationId xmlns:a16="http://schemas.microsoft.com/office/drawing/2014/main" id="{2AD2478F-E183-4216-B0E5-388ECC37AB9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3" name="Rectangle 11">
          <a:extLst>
            <a:ext uri="{FF2B5EF4-FFF2-40B4-BE49-F238E27FC236}">
              <a16:creationId xmlns:a16="http://schemas.microsoft.com/office/drawing/2014/main" id="{4B462AC9-89B9-41FA-98B1-76952B9CB2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4" name="Rectangle 1923">
          <a:extLst>
            <a:ext uri="{FF2B5EF4-FFF2-40B4-BE49-F238E27FC236}">
              <a16:creationId xmlns:a16="http://schemas.microsoft.com/office/drawing/2014/main" id="{EE473072-0C0D-4006-A493-9A984EB9E9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5" name="Rectangle 11">
          <a:extLst>
            <a:ext uri="{FF2B5EF4-FFF2-40B4-BE49-F238E27FC236}">
              <a16:creationId xmlns:a16="http://schemas.microsoft.com/office/drawing/2014/main" id="{1AF63070-CDAC-416C-9162-25E49146BD3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6" name="Rectangle 1925">
          <a:extLst>
            <a:ext uri="{FF2B5EF4-FFF2-40B4-BE49-F238E27FC236}">
              <a16:creationId xmlns:a16="http://schemas.microsoft.com/office/drawing/2014/main" id="{D06693DA-748A-42BA-B1F4-739DE5FACE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7" name="Rectangle 11">
          <a:extLst>
            <a:ext uri="{FF2B5EF4-FFF2-40B4-BE49-F238E27FC236}">
              <a16:creationId xmlns:a16="http://schemas.microsoft.com/office/drawing/2014/main" id="{35298425-F750-44ED-9490-1FE9AD18561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8" name="Rectangle 1927">
          <a:extLst>
            <a:ext uri="{FF2B5EF4-FFF2-40B4-BE49-F238E27FC236}">
              <a16:creationId xmlns:a16="http://schemas.microsoft.com/office/drawing/2014/main" id="{E52CFF1F-6F97-48CD-8131-BACFDBAE16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9" name="Rectangle 1928">
          <a:extLst>
            <a:ext uri="{FF2B5EF4-FFF2-40B4-BE49-F238E27FC236}">
              <a16:creationId xmlns:a16="http://schemas.microsoft.com/office/drawing/2014/main" id="{4B9EC991-74E9-42A5-B546-C64962736C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0" name="Rectangle 1929">
          <a:extLst>
            <a:ext uri="{FF2B5EF4-FFF2-40B4-BE49-F238E27FC236}">
              <a16:creationId xmlns:a16="http://schemas.microsoft.com/office/drawing/2014/main" id="{DE33052D-0C54-4BF6-B895-868C1AC6C9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1" name="Rectangle 11">
          <a:extLst>
            <a:ext uri="{FF2B5EF4-FFF2-40B4-BE49-F238E27FC236}">
              <a16:creationId xmlns:a16="http://schemas.microsoft.com/office/drawing/2014/main" id="{E1EE95BC-E41F-4072-AD4E-E7857A57F4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2" name="Rectangle 1931">
          <a:extLst>
            <a:ext uri="{FF2B5EF4-FFF2-40B4-BE49-F238E27FC236}">
              <a16:creationId xmlns:a16="http://schemas.microsoft.com/office/drawing/2014/main" id="{11037212-3C28-4B27-BA94-66495129B2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3" name="Rectangle 11">
          <a:extLst>
            <a:ext uri="{FF2B5EF4-FFF2-40B4-BE49-F238E27FC236}">
              <a16:creationId xmlns:a16="http://schemas.microsoft.com/office/drawing/2014/main" id="{067C989E-F2C8-447F-84FC-5705649AA5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4" name="Rectangle 1933">
          <a:extLst>
            <a:ext uri="{FF2B5EF4-FFF2-40B4-BE49-F238E27FC236}">
              <a16:creationId xmlns:a16="http://schemas.microsoft.com/office/drawing/2014/main" id="{6376E02E-8BDD-4B87-B933-4A9715E66A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5" name="Rectangle 11">
          <a:extLst>
            <a:ext uri="{FF2B5EF4-FFF2-40B4-BE49-F238E27FC236}">
              <a16:creationId xmlns:a16="http://schemas.microsoft.com/office/drawing/2014/main" id="{5A832842-4BE9-4301-8F68-427765564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6" name="Rectangle 1935">
          <a:extLst>
            <a:ext uri="{FF2B5EF4-FFF2-40B4-BE49-F238E27FC236}">
              <a16:creationId xmlns:a16="http://schemas.microsoft.com/office/drawing/2014/main" id="{1AB53ABD-4384-47D0-BEC3-8CE92053AF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7" name="Rectangle 11">
          <a:extLst>
            <a:ext uri="{FF2B5EF4-FFF2-40B4-BE49-F238E27FC236}">
              <a16:creationId xmlns:a16="http://schemas.microsoft.com/office/drawing/2014/main" id="{B4F8EDF7-F003-453F-9EF5-AE1D474A62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8" name="Rectangle 1937">
          <a:extLst>
            <a:ext uri="{FF2B5EF4-FFF2-40B4-BE49-F238E27FC236}">
              <a16:creationId xmlns:a16="http://schemas.microsoft.com/office/drawing/2014/main" id="{C1A23EA5-4C08-4AB4-9B06-F3C5A271B8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9" name="Rectangle 11">
          <a:extLst>
            <a:ext uri="{FF2B5EF4-FFF2-40B4-BE49-F238E27FC236}">
              <a16:creationId xmlns:a16="http://schemas.microsoft.com/office/drawing/2014/main" id="{76380DF7-8DE3-4285-92AA-5A7CAE0E51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0" name="Rectangle 1939">
          <a:extLst>
            <a:ext uri="{FF2B5EF4-FFF2-40B4-BE49-F238E27FC236}">
              <a16:creationId xmlns:a16="http://schemas.microsoft.com/office/drawing/2014/main" id="{1F211416-0086-4927-AC7C-717133D7C9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1" name="Rectangle 1940">
          <a:extLst>
            <a:ext uri="{FF2B5EF4-FFF2-40B4-BE49-F238E27FC236}">
              <a16:creationId xmlns:a16="http://schemas.microsoft.com/office/drawing/2014/main" id="{D2579AFC-4564-40A5-A277-0B8C7064A0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2" name="Rectangle 1941">
          <a:extLst>
            <a:ext uri="{FF2B5EF4-FFF2-40B4-BE49-F238E27FC236}">
              <a16:creationId xmlns:a16="http://schemas.microsoft.com/office/drawing/2014/main" id="{70F96404-547B-422B-A3D9-631684302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3" name="Rectangle 11">
          <a:extLst>
            <a:ext uri="{FF2B5EF4-FFF2-40B4-BE49-F238E27FC236}">
              <a16:creationId xmlns:a16="http://schemas.microsoft.com/office/drawing/2014/main" id="{15841B10-2AD8-46D7-B67A-11C74BA67E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4" name="Rectangle 1943">
          <a:extLst>
            <a:ext uri="{FF2B5EF4-FFF2-40B4-BE49-F238E27FC236}">
              <a16:creationId xmlns:a16="http://schemas.microsoft.com/office/drawing/2014/main" id="{9339822E-2870-49A9-8A97-9809EF023C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5" name="Rectangle 11">
          <a:extLst>
            <a:ext uri="{FF2B5EF4-FFF2-40B4-BE49-F238E27FC236}">
              <a16:creationId xmlns:a16="http://schemas.microsoft.com/office/drawing/2014/main" id="{A46FB2FC-B654-464B-B425-EBA25F4D75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6" name="Rectangle 1945">
          <a:extLst>
            <a:ext uri="{FF2B5EF4-FFF2-40B4-BE49-F238E27FC236}">
              <a16:creationId xmlns:a16="http://schemas.microsoft.com/office/drawing/2014/main" id="{D73B715E-3386-47B8-BF45-1B11CBCCC7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7" name="Rectangle 11">
          <a:extLst>
            <a:ext uri="{FF2B5EF4-FFF2-40B4-BE49-F238E27FC236}">
              <a16:creationId xmlns:a16="http://schemas.microsoft.com/office/drawing/2014/main" id="{B34C04C4-670E-4F73-AB6A-640B7509F2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8" name="Rectangle 1947">
          <a:extLst>
            <a:ext uri="{FF2B5EF4-FFF2-40B4-BE49-F238E27FC236}">
              <a16:creationId xmlns:a16="http://schemas.microsoft.com/office/drawing/2014/main" id="{C980B1E8-1C6F-4252-9D6F-E0D38B3830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9" name="Rectangle 11">
          <a:extLst>
            <a:ext uri="{FF2B5EF4-FFF2-40B4-BE49-F238E27FC236}">
              <a16:creationId xmlns:a16="http://schemas.microsoft.com/office/drawing/2014/main" id="{F77733D9-2824-4A1E-957A-1A191D64BF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0" name="Rectangle 1949">
          <a:extLst>
            <a:ext uri="{FF2B5EF4-FFF2-40B4-BE49-F238E27FC236}">
              <a16:creationId xmlns:a16="http://schemas.microsoft.com/office/drawing/2014/main" id="{8AD02E6D-847F-40FF-BE16-8BC167F5BBE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1" name="Rectangle 11">
          <a:extLst>
            <a:ext uri="{FF2B5EF4-FFF2-40B4-BE49-F238E27FC236}">
              <a16:creationId xmlns:a16="http://schemas.microsoft.com/office/drawing/2014/main" id="{949F6F14-5A8B-4AEE-B12F-6DC099BA8AB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2" name="Rectangle 1951">
          <a:extLst>
            <a:ext uri="{FF2B5EF4-FFF2-40B4-BE49-F238E27FC236}">
              <a16:creationId xmlns:a16="http://schemas.microsoft.com/office/drawing/2014/main" id="{887041BE-391F-4142-9602-8CF2C3696E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3" name="Rectangle 1952">
          <a:extLst>
            <a:ext uri="{FF2B5EF4-FFF2-40B4-BE49-F238E27FC236}">
              <a16:creationId xmlns:a16="http://schemas.microsoft.com/office/drawing/2014/main" id="{50B2BA53-689B-4AA5-A4D0-DC4D57E37C2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4" name="Rectangle 1953">
          <a:extLst>
            <a:ext uri="{FF2B5EF4-FFF2-40B4-BE49-F238E27FC236}">
              <a16:creationId xmlns:a16="http://schemas.microsoft.com/office/drawing/2014/main" id="{87840833-99E0-4788-BA8A-10E04C5BEB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5" name="Rectangle 11">
          <a:extLst>
            <a:ext uri="{FF2B5EF4-FFF2-40B4-BE49-F238E27FC236}">
              <a16:creationId xmlns:a16="http://schemas.microsoft.com/office/drawing/2014/main" id="{E7A98C70-38DC-49B9-9CDD-E40B6F6063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6" name="Rectangle 1955">
          <a:extLst>
            <a:ext uri="{FF2B5EF4-FFF2-40B4-BE49-F238E27FC236}">
              <a16:creationId xmlns:a16="http://schemas.microsoft.com/office/drawing/2014/main" id="{28F58DB0-3C38-49EA-8282-81020F3CE4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7" name="Rectangle 11">
          <a:extLst>
            <a:ext uri="{FF2B5EF4-FFF2-40B4-BE49-F238E27FC236}">
              <a16:creationId xmlns:a16="http://schemas.microsoft.com/office/drawing/2014/main" id="{A5FC4D7A-F6B5-4147-8573-D8DAC4F60D2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8" name="Rectangle 1957">
          <a:extLst>
            <a:ext uri="{FF2B5EF4-FFF2-40B4-BE49-F238E27FC236}">
              <a16:creationId xmlns:a16="http://schemas.microsoft.com/office/drawing/2014/main" id="{D7EDA0B1-585E-4E55-8B95-70D6FF374E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9" name="Rectangle 11">
          <a:extLst>
            <a:ext uri="{FF2B5EF4-FFF2-40B4-BE49-F238E27FC236}">
              <a16:creationId xmlns:a16="http://schemas.microsoft.com/office/drawing/2014/main" id="{EDCACA77-068F-45A9-8D6A-38E0C8ED06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0" name="Rectangle 1959">
          <a:extLst>
            <a:ext uri="{FF2B5EF4-FFF2-40B4-BE49-F238E27FC236}">
              <a16:creationId xmlns:a16="http://schemas.microsoft.com/office/drawing/2014/main" id="{9A835E56-F78B-411E-8973-F22BED12B6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1" name="Rectangle 11">
          <a:extLst>
            <a:ext uri="{FF2B5EF4-FFF2-40B4-BE49-F238E27FC236}">
              <a16:creationId xmlns:a16="http://schemas.microsoft.com/office/drawing/2014/main" id="{39FA9EC0-C4ED-45CB-B3D4-078447E472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2" name="Rectangle 1961">
          <a:extLst>
            <a:ext uri="{FF2B5EF4-FFF2-40B4-BE49-F238E27FC236}">
              <a16:creationId xmlns:a16="http://schemas.microsoft.com/office/drawing/2014/main" id="{900DC27A-DC84-4B37-A760-FDD13152058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3" name="Rectangle 11">
          <a:extLst>
            <a:ext uri="{FF2B5EF4-FFF2-40B4-BE49-F238E27FC236}">
              <a16:creationId xmlns:a16="http://schemas.microsoft.com/office/drawing/2014/main" id="{4416059D-4669-401C-B55C-56674A7C76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4" name="Rectangle 1963">
          <a:extLst>
            <a:ext uri="{FF2B5EF4-FFF2-40B4-BE49-F238E27FC236}">
              <a16:creationId xmlns:a16="http://schemas.microsoft.com/office/drawing/2014/main" id="{7E9FFC43-436E-480D-A365-DE544C23F7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5" name="Rectangle 1964">
          <a:extLst>
            <a:ext uri="{FF2B5EF4-FFF2-40B4-BE49-F238E27FC236}">
              <a16:creationId xmlns:a16="http://schemas.microsoft.com/office/drawing/2014/main" id="{F4DA7086-9B5B-4A31-816F-25A5E5D370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6" name="Rectangle 1965">
          <a:extLst>
            <a:ext uri="{FF2B5EF4-FFF2-40B4-BE49-F238E27FC236}">
              <a16:creationId xmlns:a16="http://schemas.microsoft.com/office/drawing/2014/main" id="{213D2E24-1222-47EE-9B23-F852DC22A7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7" name="Rectangle 11">
          <a:extLst>
            <a:ext uri="{FF2B5EF4-FFF2-40B4-BE49-F238E27FC236}">
              <a16:creationId xmlns:a16="http://schemas.microsoft.com/office/drawing/2014/main" id="{7DFE308A-A4AC-45E1-A9A4-DB2B10DCE01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8" name="Rectangle 1967">
          <a:extLst>
            <a:ext uri="{FF2B5EF4-FFF2-40B4-BE49-F238E27FC236}">
              <a16:creationId xmlns:a16="http://schemas.microsoft.com/office/drawing/2014/main" id="{EA215AE2-9FB7-430E-8754-30CD43C398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9" name="Rectangle 11">
          <a:extLst>
            <a:ext uri="{FF2B5EF4-FFF2-40B4-BE49-F238E27FC236}">
              <a16:creationId xmlns:a16="http://schemas.microsoft.com/office/drawing/2014/main" id="{C3EF5AC6-6F06-4746-A953-0A44C106AC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0" name="Rectangle 1969">
          <a:extLst>
            <a:ext uri="{FF2B5EF4-FFF2-40B4-BE49-F238E27FC236}">
              <a16:creationId xmlns:a16="http://schemas.microsoft.com/office/drawing/2014/main" id="{BDA49108-0B09-4BA4-9A84-504A7BC5BA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1" name="Rectangle 11">
          <a:extLst>
            <a:ext uri="{FF2B5EF4-FFF2-40B4-BE49-F238E27FC236}">
              <a16:creationId xmlns:a16="http://schemas.microsoft.com/office/drawing/2014/main" id="{E4BCEB1D-570B-4349-BF09-2FE1E19BA6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2" name="Rectangle 1971">
          <a:extLst>
            <a:ext uri="{FF2B5EF4-FFF2-40B4-BE49-F238E27FC236}">
              <a16:creationId xmlns:a16="http://schemas.microsoft.com/office/drawing/2014/main" id="{4229653A-D131-427E-A718-41EBFB70CF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3" name="Rectangle 11">
          <a:extLst>
            <a:ext uri="{FF2B5EF4-FFF2-40B4-BE49-F238E27FC236}">
              <a16:creationId xmlns:a16="http://schemas.microsoft.com/office/drawing/2014/main" id="{18B98810-A7C9-4BFE-92C5-C542AEC6E0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4" name="Rectangle 1973">
          <a:extLst>
            <a:ext uri="{FF2B5EF4-FFF2-40B4-BE49-F238E27FC236}">
              <a16:creationId xmlns:a16="http://schemas.microsoft.com/office/drawing/2014/main" id="{AD0FD3AF-72CA-4DCB-8CE7-674925558D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5" name="Rectangle 11">
          <a:extLst>
            <a:ext uri="{FF2B5EF4-FFF2-40B4-BE49-F238E27FC236}">
              <a16:creationId xmlns:a16="http://schemas.microsoft.com/office/drawing/2014/main" id="{D425203B-B855-40C1-A3A3-85A5719131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6" name="Rectangle 1975">
          <a:extLst>
            <a:ext uri="{FF2B5EF4-FFF2-40B4-BE49-F238E27FC236}">
              <a16:creationId xmlns:a16="http://schemas.microsoft.com/office/drawing/2014/main" id="{AE478468-F9CA-46DA-8D2E-DCE5F4A956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7" name="Rectangle 1976">
          <a:extLst>
            <a:ext uri="{FF2B5EF4-FFF2-40B4-BE49-F238E27FC236}">
              <a16:creationId xmlns:a16="http://schemas.microsoft.com/office/drawing/2014/main" id="{4CFA7861-9845-4B55-9A71-ECCBEDC724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8" name="Rectangle 1977">
          <a:extLst>
            <a:ext uri="{FF2B5EF4-FFF2-40B4-BE49-F238E27FC236}">
              <a16:creationId xmlns:a16="http://schemas.microsoft.com/office/drawing/2014/main" id="{E8C908FB-15E5-4849-9A8C-6A690CCD061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9" name="Rectangle 11">
          <a:extLst>
            <a:ext uri="{FF2B5EF4-FFF2-40B4-BE49-F238E27FC236}">
              <a16:creationId xmlns:a16="http://schemas.microsoft.com/office/drawing/2014/main" id="{A08160A7-6158-4DA0-9D88-C436057DA2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0" name="Rectangle 1979">
          <a:extLst>
            <a:ext uri="{FF2B5EF4-FFF2-40B4-BE49-F238E27FC236}">
              <a16:creationId xmlns:a16="http://schemas.microsoft.com/office/drawing/2014/main" id="{F7468C25-4194-4ED8-890E-2C9EA36175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1" name="Rectangle 11">
          <a:extLst>
            <a:ext uri="{FF2B5EF4-FFF2-40B4-BE49-F238E27FC236}">
              <a16:creationId xmlns:a16="http://schemas.microsoft.com/office/drawing/2014/main" id="{B0A6D875-E5C2-40DC-BC6F-2BB82E0A0C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2" name="Rectangle 1981">
          <a:extLst>
            <a:ext uri="{FF2B5EF4-FFF2-40B4-BE49-F238E27FC236}">
              <a16:creationId xmlns:a16="http://schemas.microsoft.com/office/drawing/2014/main" id="{2375A651-9598-40A5-B1A0-869BFD9293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3" name="Rectangle 11">
          <a:extLst>
            <a:ext uri="{FF2B5EF4-FFF2-40B4-BE49-F238E27FC236}">
              <a16:creationId xmlns:a16="http://schemas.microsoft.com/office/drawing/2014/main" id="{6887F7C8-6A51-4455-B800-8AAF2955BC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4" name="Rectangle 1983">
          <a:extLst>
            <a:ext uri="{FF2B5EF4-FFF2-40B4-BE49-F238E27FC236}">
              <a16:creationId xmlns:a16="http://schemas.microsoft.com/office/drawing/2014/main" id="{1E62209E-E460-4390-AC2C-4093107B00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5" name="Rectangle 11">
          <a:extLst>
            <a:ext uri="{FF2B5EF4-FFF2-40B4-BE49-F238E27FC236}">
              <a16:creationId xmlns:a16="http://schemas.microsoft.com/office/drawing/2014/main" id="{B75939D6-AE83-4716-93FB-A63F2018391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6" name="Rectangle 1985">
          <a:extLst>
            <a:ext uri="{FF2B5EF4-FFF2-40B4-BE49-F238E27FC236}">
              <a16:creationId xmlns:a16="http://schemas.microsoft.com/office/drawing/2014/main" id="{2B028272-3ABF-42ED-BF68-676D4675BE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7" name="Rectangle 11">
          <a:extLst>
            <a:ext uri="{FF2B5EF4-FFF2-40B4-BE49-F238E27FC236}">
              <a16:creationId xmlns:a16="http://schemas.microsoft.com/office/drawing/2014/main" id="{FEADCEAD-55A3-454B-A146-52C0294E6E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8" name="Rectangle 1987">
          <a:extLst>
            <a:ext uri="{FF2B5EF4-FFF2-40B4-BE49-F238E27FC236}">
              <a16:creationId xmlns:a16="http://schemas.microsoft.com/office/drawing/2014/main" id="{941F213C-0162-4389-BB8C-6978527B90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9" name="Rectangle 1988">
          <a:extLst>
            <a:ext uri="{FF2B5EF4-FFF2-40B4-BE49-F238E27FC236}">
              <a16:creationId xmlns:a16="http://schemas.microsoft.com/office/drawing/2014/main" id="{34F19903-C4A5-4E94-85DD-6C9D9F8587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0" name="Rectangle 1989">
          <a:extLst>
            <a:ext uri="{FF2B5EF4-FFF2-40B4-BE49-F238E27FC236}">
              <a16:creationId xmlns:a16="http://schemas.microsoft.com/office/drawing/2014/main" id="{390749C4-23C4-462B-8AD6-9FE720246C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1" name="Rectangle 11">
          <a:extLst>
            <a:ext uri="{FF2B5EF4-FFF2-40B4-BE49-F238E27FC236}">
              <a16:creationId xmlns:a16="http://schemas.microsoft.com/office/drawing/2014/main" id="{A9AA3599-A8D4-499F-ADFF-792FBD9CBA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2" name="Rectangle 1991">
          <a:extLst>
            <a:ext uri="{FF2B5EF4-FFF2-40B4-BE49-F238E27FC236}">
              <a16:creationId xmlns:a16="http://schemas.microsoft.com/office/drawing/2014/main" id="{A01ACD19-489E-4939-BDCE-2E22F68B388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3" name="Rectangle 11">
          <a:extLst>
            <a:ext uri="{FF2B5EF4-FFF2-40B4-BE49-F238E27FC236}">
              <a16:creationId xmlns:a16="http://schemas.microsoft.com/office/drawing/2014/main" id="{53EA7F67-AF7D-45ED-832F-DA744C75C7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4" name="Rectangle 1993">
          <a:extLst>
            <a:ext uri="{FF2B5EF4-FFF2-40B4-BE49-F238E27FC236}">
              <a16:creationId xmlns:a16="http://schemas.microsoft.com/office/drawing/2014/main" id="{7802C4E6-8415-43F0-8FF2-CEFC52DBEA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5" name="Rectangle 11">
          <a:extLst>
            <a:ext uri="{FF2B5EF4-FFF2-40B4-BE49-F238E27FC236}">
              <a16:creationId xmlns:a16="http://schemas.microsoft.com/office/drawing/2014/main" id="{2D0910A7-5A36-4E94-8BA1-B8E635620E6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6" name="Rectangle 1995">
          <a:extLst>
            <a:ext uri="{FF2B5EF4-FFF2-40B4-BE49-F238E27FC236}">
              <a16:creationId xmlns:a16="http://schemas.microsoft.com/office/drawing/2014/main" id="{D2604C8B-A20A-4B84-86D4-997070B2153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7" name="Rectangle 11">
          <a:extLst>
            <a:ext uri="{FF2B5EF4-FFF2-40B4-BE49-F238E27FC236}">
              <a16:creationId xmlns:a16="http://schemas.microsoft.com/office/drawing/2014/main" id="{FCD19F91-A6D7-47F4-8993-C60DE19B5A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8" name="Rectangle 1997">
          <a:extLst>
            <a:ext uri="{FF2B5EF4-FFF2-40B4-BE49-F238E27FC236}">
              <a16:creationId xmlns:a16="http://schemas.microsoft.com/office/drawing/2014/main" id="{A9164E52-31CB-4081-9417-666BE8D51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9" name="Rectangle 11">
          <a:extLst>
            <a:ext uri="{FF2B5EF4-FFF2-40B4-BE49-F238E27FC236}">
              <a16:creationId xmlns:a16="http://schemas.microsoft.com/office/drawing/2014/main" id="{90E28C9E-1B78-42D1-B71E-DBCEC6B930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0" name="Rectangle 1999">
          <a:extLst>
            <a:ext uri="{FF2B5EF4-FFF2-40B4-BE49-F238E27FC236}">
              <a16:creationId xmlns:a16="http://schemas.microsoft.com/office/drawing/2014/main" id="{CF237729-673F-4EFA-B318-F1BD2620E7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1" name="Rectangle 2000">
          <a:extLst>
            <a:ext uri="{FF2B5EF4-FFF2-40B4-BE49-F238E27FC236}">
              <a16:creationId xmlns:a16="http://schemas.microsoft.com/office/drawing/2014/main" id="{85B2054D-7441-4909-BFCD-AAE6577D09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2" name="Rectangle 2001">
          <a:extLst>
            <a:ext uri="{FF2B5EF4-FFF2-40B4-BE49-F238E27FC236}">
              <a16:creationId xmlns:a16="http://schemas.microsoft.com/office/drawing/2014/main" id="{9C56CC1B-AEC8-4095-B3AB-159EE9DD01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3" name="Rectangle 11">
          <a:extLst>
            <a:ext uri="{FF2B5EF4-FFF2-40B4-BE49-F238E27FC236}">
              <a16:creationId xmlns:a16="http://schemas.microsoft.com/office/drawing/2014/main" id="{596A8C46-E45E-46AE-86A8-4483AB90E67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4" name="Rectangle 2003">
          <a:extLst>
            <a:ext uri="{FF2B5EF4-FFF2-40B4-BE49-F238E27FC236}">
              <a16:creationId xmlns:a16="http://schemas.microsoft.com/office/drawing/2014/main" id="{B791AF68-164A-4B38-A8C5-8F33D277115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5" name="Rectangle 11">
          <a:extLst>
            <a:ext uri="{FF2B5EF4-FFF2-40B4-BE49-F238E27FC236}">
              <a16:creationId xmlns:a16="http://schemas.microsoft.com/office/drawing/2014/main" id="{7F4757DD-4FB2-4359-8BB9-9BDB6593AB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6" name="Rectangle 2005">
          <a:extLst>
            <a:ext uri="{FF2B5EF4-FFF2-40B4-BE49-F238E27FC236}">
              <a16:creationId xmlns:a16="http://schemas.microsoft.com/office/drawing/2014/main" id="{589A846D-A4B3-4371-B2D7-98EA23B3B8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7" name="Rectangle 11">
          <a:extLst>
            <a:ext uri="{FF2B5EF4-FFF2-40B4-BE49-F238E27FC236}">
              <a16:creationId xmlns:a16="http://schemas.microsoft.com/office/drawing/2014/main" id="{094F894A-DDA1-4109-80DC-171D8348336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8" name="Rectangle 2007">
          <a:extLst>
            <a:ext uri="{FF2B5EF4-FFF2-40B4-BE49-F238E27FC236}">
              <a16:creationId xmlns:a16="http://schemas.microsoft.com/office/drawing/2014/main" id="{08C275B9-4484-4F9F-83A2-911C2ABEF5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9" name="Rectangle 11">
          <a:extLst>
            <a:ext uri="{FF2B5EF4-FFF2-40B4-BE49-F238E27FC236}">
              <a16:creationId xmlns:a16="http://schemas.microsoft.com/office/drawing/2014/main" id="{82607782-31EC-4EB1-A1E4-D5DD85CF3F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0" name="Rectangle 2009">
          <a:extLst>
            <a:ext uri="{FF2B5EF4-FFF2-40B4-BE49-F238E27FC236}">
              <a16:creationId xmlns:a16="http://schemas.microsoft.com/office/drawing/2014/main" id="{EA3BB392-5221-4817-8E84-6B164465CE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1" name="Rectangle 11">
          <a:extLst>
            <a:ext uri="{FF2B5EF4-FFF2-40B4-BE49-F238E27FC236}">
              <a16:creationId xmlns:a16="http://schemas.microsoft.com/office/drawing/2014/main" id="{823CD39A-5403-4DC5-A992-B96B903550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2" name="Rectangle 2011">
          <a:extLst>
            <a:ext uri="{FF2B5EF4-FFF2-40B4-BE49-F238E27FC236}">
              <a16:creationId xmlns:a16="http://schemas.microsoft.com/office/drawing/2014/main" id="{2CBC645B-AC62-439A-B5F7-E4A2D75AF5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3" name="Rectangle 2012">
          <a:extLst>
            <a:ext uri="{FF2B5EF4-FFF2-40B4-BE49-F238E27FC236}">
              <a16:creationId xmlns:a16="http://schemas.microsoft.com/office/drawing/2014/main" id="{7C8C023D-C10B-4C16-AEB3-DF2CA34332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4" name="Rectangle 2013">
          <a:extLst>
            <a:ext uri="{FF2B5EF4-FFF2-40B4-BE49-F238E27FC236}">
              <a16:creationId xmlns:a16="http://schemas.microsoft.com/office/drawing/2014/main" id="{6047EE1F-DF59-4FE9-AD02-9FA1C9C4AB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5" name="Rectangle 11">
          <a:extLst>
            <a:ext uri="{FF2B5EF4-FFF2-40B4-BE49-F238E27FC236}">
              <a16:creationId xmlns:a16="http://schemas.microsoft.com/office/drawing/2014/main" id="{2AFCD4AA-977C-407D-9A1F-69363D8D05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6" name="Rectangle 2015">
          <a:extLst>
            <a:ext uri="{FF2B5EF4-FFF2-40B4-BE49-F238E27FC236}">
              <a16:creationId xmlns:a16="http://schemas.microsoft.com/office/drawing/2014/main" id="{B0DFB88B-3085-4338-BDC8-2BC00F824D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7" name="Rectangle 11">
          <a:extLst>
            <a:ext uri="{FF2B5EF4-FFF2-40B4-BE49-F238E27FC236}">
              <a16:creationId xmlns:a16="http://schemas.microsoft.com/office/drawing/2014/main" id="{E226724A-2763-4A99-B41A-A40675E356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8" name="Rectangle 2017">
          <a:extLst>
            <a:ext uri="{FF2B5EF4-FFF2-40B4-BE49-F238E27FC236}">
              <a16:creationId xmlns:a16="http://schemas.microsoft.com/office/drawing/2014/main" id="{7AD3BF4F-C810-45E5-B5CF-A11BD2DDF0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9" name="Rectangle 11">
          <a:extLst>
            <a:ext uri="{FF2B5EF4-FFF2-40B4-BE49-F238E27FC236}">
              <a16:creationId xmlns:a16="http://schemas.microsoft.com/office/drawing/2014/main" id="{984AC4F5-41A1-4E88-A587-F0E2117876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0" name="Rectangle 2019">
          <a:extLst>
            <a:ext uri="{FF2B5EF4-FFF2-40B4-BE49-F238E27FC236}">
              <a16:creationId xmlns:a16="http://schemas.microsoft.com/office/drawing/2014/main" id="{F2799F62-FFB8-4108-A490-CC78C4F356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1" name="Rectangle 11">
          <a:extLst>
            <a:ext uri="{FF2B5EF4-FFF2-40B4-BE49-F238E27FC236}">
              <a16:creationId xmlns:a16="http://schemas.microsoft.com/office/drawing/2014/main" id="{E02CE71B-1C31-426F-9D01-706DA0DEE5E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2" name="Rectangle 2021">
          <a:extLst>
            <a:ext uri="{FF2B5EF4-FFF2-40B4-BE49-F238E27FC236}">
              <a16:creationId xmlns:a16="http://schemas.microsoft.com/office/drawing/2014/main" id="{F2F14048-D221-4BFC-8815-272BAF9622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3" name="Rectangle 11">
          <a:extLst>
            <a:ext uri="{FF2B5EF4-FFF2-40B4-BE49-F238E27FC236}">
              <a16:creationId xmlns:a16="http://schemas.microsoft.com/office/drawing/2014/main" id="{6F94579E-25E2-4232-99E1-E1ED0F07D9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4" name="Rectangle 2023">
          <a:extLst>
            <a:ext uri="{FF2B5EF4-FFF2-40B4-BE49-F238E27FC236}">
              <a16:creationId xmlns:a16="http://schemas.microsoft.com/office/drawing/2014/main" id="{70D227FB-4BE5-4761-9954-9BAD0B763FB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5" name="Rectangle 2024">
          <a:extLst>
            <a:ext uri="{FF2B5EF4-FFF2-40B4-BE49-F238E27FC236}">
              <a16:creationId xmlns:a16="http://schemas.microsoft.com/office/drawing/2014/main" id="{A8566978-2D20-4679-80B0-1C478426D10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6" name="Rectangle 2025">
          <a:extLst>
            <a:ext uri="{FF2B5EF4-FFF2-40B4-BE49-F238E27FC236}">
              <a16:creationId xmlns:a16="http://schemas.microsoft.com/office/drawing/2014/main" id="{B4D1883E-1642-4F0D-960D-FB475EA026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7" name="Rectangle 11">
          <a:extLst>
            <a:ext uri="{FF2B5EF4-FFF2-40B4-BE49-F238E27FC236}">
              <a16:creationId xmlns:a16="http://schemas.microsoft.com/office/drawing/2014/main" id="{A273F267-9979-45FD-9837-7E0B10D949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8" name="Rectangle 2027">
          <a:extLst>
            <a:ext uri="{FF2B5EF4-FFF2-40B4-BE49-F238E27FC236}">
              <a16:creationId xmlns:a16="http://schemas.microsoft.com/office/drawing/2014/main" id="{47060D6E-6E46-4CF2-A34A-F5B345605C5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9" name="Rectangle 11">
          <a:extLst>
            <a:ext uri="{FF2B5EF4-FFF2-40B4-BE49-F238E27FC236}">
              <a16:creationId xmlns:a16="http://schemas.microsoft.com/office/drawing/2014/main" id="{21F90433-5F91-4FE4-BE2F-F43389A597C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0" name="Rectangle 2029">
          <a:extLst>
            <a:ext uri="{FF2B5EF4-FFF2-40B4-BE49-F238E27FC236}">
              <a16:creationId xmlns:a16="http://schemas.microsoft.com/office/drawing/2014/main" id="{13E5A6AB-6ADD-44D6-AD03-B29FF84A108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1" name="Rectangle 11">
          <a:extLst>
            <a:ext uri="{FF2B5EF4-FFF2-40B4-BE49-F238E27FC236}">
              <a16:creationId xmlns:a16="http://schemas.microsoft.com/office/drawing/2014/main" id="{48103B74-D91A-42BE-83D2-A931849FB1C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2" name="Rectangle 2031">
          <a:extLst>
            <a:ext uri="{FF2B5EF4-FFF2-40B4-BE49-F238E27FC236}">
              <a16:creationId xmlns:a16="http://schemas.microsoft.com/office/drawing/2014/main" id="{DD5AF04C-FF44-4B3B-91C4-4FFCB4E2F7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3" name="Rectangle 11">
          <a:extLst>
            <a:ext uri="{FF2B5EF4-FFF2-40B4-BE49-F238E27FC236}">
              <a16:creationId xmlns:a16="http://schemas.microsoft.com/office/drawing/2014/main" id="{DDF4C008-0FC7-43EA-B490-716ADDB9F10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4" name="Rectangle 2033">
          <a:extLst>
            <a:ext uri="{FF2B5EF4-FFF2-40B4-BE49-F238E27FC236}">
              <a16:creationId xmlns:a16="http://schemas.microsoft.com/office/drawing/2014/main" id="{E2E91358-99EC-4899-AF8D-97D3C9008D7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5" name="Rectangle 11">
          <a:extLst>
            <a:ext uri="{FF2B5EF4-FFF2-40B4-BE49-F238E27FC236}">
              <a16:creationId xmlns:a16="http://schemas.microsoft.com/office/drawing/2014/main" id="{1156F7BC-E676-421A-8D43-213A943C2AA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6" name="Rectangle 2035">
          <a:extLst>
            <a:ext uri="{FF2B5EF4-FFF2-40B4-BE49-F238E27FC236}">
              <a16:creationId xmlns:a16="http://schemas.microsoft.com/office/drawing/2014/main" id="{16AEE450-D65C-4904-A0FB-BE5D4800AF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7" name="Rectangle 2036">
          <a:extLst>
            <a:ext uri="{FF2B5EF4-FFF2-40B4-BE49-F238E27FC236}">
              <a16:creationId xmlns:a16="http://schemas.microsoft.com/office/drawing/2014/main" id="{1319901A-8496-47EE-A5D3-FAA1AE9890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8" name="Rectangle 2037">
          <a:extLst>
            <a:ext uri="{FF2B5EF4-FFF2-40B4-BE49-F238E27FC236}">
              <a16:creationId xmlns:a16="http://schemas.microsoft.com/office/drawing/2014/main" id="{325583E1-6917-4CFF-9940-B9D507D9B7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9" name="Rectangle 11">
          <a:extLst>
            <a:ext uri="{FF2B5EF4-FFF2-40B4-BE49-F238E27FC236}">
              <a16:creationId xmlns:a16="http://schemas.microsoft.com/office/drawing/2014/main" id="{BF0B5469-0E6D-454D-9AE9-EE4B580CFF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0" name="Rectangle 2039">
          <a:extLst>
            <a:ext uri="{FF2B5EF4-FFF2-40B4-BE49-F238E27FC236}">
              <a16:creationId xmlns:a16="http://schemas.microsoft.com/office/drawing/2014/main" id="{C5B90AA1-8BD2-4A95-B1A6-767235A5D3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1" name="Rectangle 11">
          <a:extLst>
            <a:ext uri="{FF2B5EF4-FFF2-40B4-BE49-F238E27FC236}">
              <a16:creationId xmlns:a16="http://schemas.microsoft.com/office/drawing/2014/main" id="{CFD87A2F-572C-4E63-806A-550D750A3B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2" name="Rectangle 2041">
          <a:extLst>
            <a:ext uri="{FF2B5EF4-FFF2-40B4-BE49-F238E27FC236}">
              <a16:creationId xmlns:a16="http://schemas.microsoft.com/office/drawing/2014/main" id="{1A29C185-9B0A-4589-A9ED-210C5B54173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3" name="Rectangle 11">
          <a:extLst>
            <a:ext uri="{FF2B5EF4-FFF2-40B4-BE49-F238E27FC236}">
              <a16:creationId xmlns:a16="http://schemas.microsoft.com/office/drawing/2014/main" id="{2E0B00B3-DA2B-44D4-BFB7-46CE80E23A3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4" name="Rectangle 2043">
          <a:extLst>
            <a:ext uri="{FF2B5EF4-FFF2-40B4-BE49-F238E27FC236}">
              <a16:creationId xmlns:a16="http://schemas.microsoft.com/office/drawing/2014/main" id="{77555E22-D1A5-4D45-AF36-D774C10F91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5" name="Rectangle 11">
          <a:extLst>
            <a:ext uri="{FF2B5EF4-FFF2-40B4-BE49-F238E27FC236}">
              <a16:creationId xmlns:a16="http://schemas.microsoft.com/office/drawing/2014/main" id="{B3BAC4BF-A7A3-4586-94D8-449781A533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6" name="Rectangle 2045">
          <a:extLst>
            <a:ext uri="{FF2B5EF4-FFF2-40B4-BE49-F238E27FC236}">
              <a16:creationId xmlns:a16="http://schemas.microsoft.com/office/drawing/2014/main" id="{91162384-946C-4E55-AFC1-8D311075AF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7" name="Rectangle 11">
          <a:extLst>
            <a:ext uri="{FF2B5EF4-FFF2-40B4-BE49-F238E27FC236}">
              <a16:creationId xmlns:a16="http://schemas.microsoft.com/office/drawing/2014/main" id="{027DBF1A-5103-4782-BF50-8C577760D9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8" name="Rectangle 2047">
          <a:extLst>
            <a:ext uri="{FF2B5EF4-FFF2-40B4-BE49-F238E27FC236}">
              <a16:creationId xmlns:a16="http://schemas.microsoft.com/office/drawing/2014/main" id="{415F2E58-44A1-4A18-8280-14E195B5CF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9" name="Rectangle 2048">
          <a:extLst>
            <a:ext uri="{FF2B5EF4-FFF2-40B4-BE49-F238E27FC236}">
              <a16:creationId xmlns:a16="http://schemas.microsoft.com/office/drawing/2014/main" id="{DEA84442-89AE-40D0-B3E9-3AC831CF335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0" name="Rectangle 2049">
          <a:extLst>
            <a:ext uri="{FF2B5EF4-FFF2-40B4-BE49-F238E27FC236}">
              <a16:creationId xmlns:a16="http://schemas.microsoft.com/office/drawing/2014/main" id="{0A60ED5A-FD16-47E6-B2FD-0898079C85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1" name="Rectangle 11">
          <a:extLst>
            <a:ext uri="{FF2B5EF4-FFF2-40B4-BE49-F238E27FC236}">
              <a16:creationId xmlns:a16="http://schemas.microsoft.com/office/drawing/2014/main" id="{122FC93D-A42F-4A13-9B53-B5C44CFBE5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2" name="Rectangle 2051">
          <a:extLst>
            <a:ext uri="{FF2B5EF4-FFF2-40B4-BE49-F238E27FC236}">
              <a16:creationId xmlns:a16="http://schemas.microsoft.com/office/drawing/2014/main" id="{83489542-C3C1-4FC1-9EA2-A210CCB53A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3" name="Rectangle 11">
          <a:extLst>
            <a:ext uri="{FF2B5EF4-FFF2-40B4-BE49-F238E27FC236}">
              <a16:creationId xmlns:a16="http://schemas.microsoft.com/office/drawing/2014/main" id="{3A24CCF5-24A1-482E-BA4F-D894FCE8F3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4" name="Rectangle 2053">
          <a:extLst>
            <a:ext uri="{FF2B5EF4-FFF2-40B4-BE49-F238E27FC236}">
              <a16:creationId xmlns:a16="http://schemas.microsoft.com/office/drawing/2014/main" id="{E9BB555B-F76D-44D4-8B03-E79EC44756C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5" name="Rectangle 11">
          <a:extLst>
            <a:ext uri="{FF2B5EF4-FFF2-40B4-BE49-F238E27FC236}">
              <a16:creationId xmlns:a16="http://schemas.microsoft.com/office/drawing/2014/main" id="{C631B7F8-DF0E-4854-B3E1-9CE928BC73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6" name="Rectangle 2055">
          <a:extLst>
            <a:ext uri="{FF2B5EF4-FFF2-40B4-BE49-F238E27FC236}">
              <a16:creationId xmlns:a16="http://schemas.microsoft.com/office/drawing/2014/main" id="{E46F0286-CC0D-4DFF-A963-ED7036038B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7" name="Rectangle 11">
          <a:extLst>
            <a:ext uri="{FF2B5EF4-FFF2-40B4-BE49-F238E27FC236}">
              <a16:creationId xmlns:a16="http://schemas.microsoft.com/office/drawing/2014/main" id="{F751B650-D683-4E67-9A5A-9B8F964DA6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8" name="Rectangle 2057">
          <a:extLst>
            <a:ext uri="{FF2B5EF4-FFF2-40B4-BE49-F238E27FC236}">
              <a16:creationId xmlns:a16="http://schemas.microsoft.com/office/drawing/2014/main" id="{26BDEDFE-B0AD-45CE-A7A3-7A5F903462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9" name="Rectangle 11">
          <a:extLst>
            <a:ext uri="{FF2B5EF4-FFF2-40B4-BE49-F238E27FC236}">
              <a16:creationId xmlns:a16="http://schemas.microsoft.com/office/drawing/2014/main" id="{5F6B0B87-94EB-4A9E-890D-ACFC4172BA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0" name="Rectangle 2059">
          <a:extLst>
            <a:ext uri="{FF2B5EF4-FFF2-40B4-BE49-F238E27FC236}">
              <a16:creationId xmlns:a16="http://schemas.microsoft.com/office/drawing/2014/main" id="{9FA1CFFC-1362-4B54-99A8-0821B17883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1" name="Rectangle 2060">
          <a:extLst>
            <a:ext uri="{FF2B5EF4-FFF2-40B4-BE49-F238E27FC236}">
              <a16:creationId xmlns:a16="http://schemas.microsoft.com/office/drawing/2014/main" id="{08344051-1511-492B-8A95-972F2D0DEE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2" name="Rectangle 2061">
          <a:extLst>
            <a:ext uri="{FF2B5EF4-FFF2-40B4-BE49-F238E27FC236}">
              <a16:creationId xmlns:a16="http://schemas.microsoft.com/office/drawing/2014/main" id="{35B55553-C658-456A-A0A2-F65AA4B495C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3" name="Rectangle 11">
          <a:extLst>
            <a:ext uri="{FF2B5EF4-FFF2-40B4-BE49-F238E27FC236}">
              <a16:creationId xmlns:a16="http://schemas.microsoft.com/office/drawing/2014/main" id="{0AC741E1-9010-49EB-B8CE-FA4838B995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4" name="Rectangle 2063">
          <a:extLst>
            <a:ext uri="{FF2B5EF4-FFF2-40B4-BE49-F238E27FC236}">
              <a16:creationId xmlns:a16="http://schemas.microsoft.com/office/drawing/2014/main" id="{68BD391F-B686-4565-8758-E2C2A71313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5" name="Rectangle 11">
          <a:extLst>
            <a:ext uri="{FF2B5EF4-FFF2-40B4-BE49-F238E27FC236}">
              <a16:creationId xmlns:a16="http://schemas.microsoft.com/office/drawing/2014/main" id="{D67ABD27-4BFF-4D37-A9CB-D83F76A375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6" name="Rectangle 2065">
          <a:extLst>
            <a:ext uri="{FF2B5EF4-FFF2-40B4-BE49-F238E27FC236}">
              <a16:creationId xmlns:a16="http://schemas.microsoft.com/office/drawing/2014/main" id="{67862B14-E97A-4FAE-B79D-A56C85E5807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7" name="Rectangle 11">
          <a:extLst>
            <a:ext uri="{FF2B5EF4-FFF2-40B4-BE49-F238E27FC236}">
              <a16:creationId xmlns:a16="http://schemas.microsoft.com/office/drawing/2014/main" id="{E26319AC-B34D-4B85-AA88-72F3075018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8" name="Rectangle 2067">
          <a:extLst>
            <a:ext uri="{FF2B5EF4-FFF2-40B4-BE49-F238E27FC236}">
              <a16:creationId xmlns:a16="http://schemas.microsoft.com/office/drawing/2014/main" id="{16AD5241-FC38-496E-B01A-D8716B7FEA6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9" name="Rectangle 11">
          <a:extLst>
            <a:ext uri="{FF2B5EF4-FFF2-40B4-BE49-F238E27FC236}">
              <a16:creationId xmlns:a16="http://schemas.microsoft.com/office/drawing/2014/main" id="{C7F25294-02B2-4BE6-B80E-9C5D130B5F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0" name="Rectangle 2069">
          <a:extLst>
            <a:ext uri="{FF2B5EF4-FFF2-40B4-BE49-F238E27FC236}">
              <a16:creationId xmlns:a16="http://schemas.microsoft.com/office/drawing/2014/main" id="{0BF58C0B-6A06-4A83-9792-C8699D6648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1" name="Rectangle 11">
          <a:extLst>
            <a:ext uri="{FF2B5EF4-FFF2-40B4-BE49-F238E27FC236}">
              <a16:creationId xmlns:a16="http://schemas.microsoft.com/office/drawing/2014/main" id="{5F8DF6D5-1879-4C96-ADDB-D2681BA8E04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2" name="Rectangle 2071">
          <a:extLst>
            <a:ext uri="{FF2B5EF4-FFF2-40B4-BE49-F238E27FC236}">
              <a16:creationId xmlns:a16="http://schemas.microsoft.com/office/drawing/2014/main" id="{F923D6E9-809D-447C-9AB1-9DD5B1BF4E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3" name="Rectangle 2072">
          <a:extLst>
            <a:ext uri="{FF2B5EF4-FFF2-40B4-BE49-F238E27FC236}">
              <a16:creationId xmlns:a16="http://schemas.microsoft.com/office/drawing/2014/main" id="{66AC6333-1DD3-451A-9F95-621E35805EB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4" name="Rectangle 2073">
          <a:extLst>
            <a:ext uri="{FF2B5EF4-FFF2-40B4-BE49-F238E27FC236}">
              <a16:creationId xmlns:a16="http://schemas.microsoft.com/office/drawing/2014/main" id="{78BF3F5C-B503-4663-8F21-75BC387A246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5" name="Rectangle 11">
          <a:extLst>
            <a:ext uri="{FF2B5EF4-FFF2-40B4-BE49-F238E27FC236}">
              <a16:creationId xmlns:a16="http://schemas.microsoft.com/office/drawing/2014/main" id="{398157C5-2ED0-419B-A86E-FAF3CA7FD3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6" name="Rectangle 2075">
          <a:extLst>
            <a:ext uri="{FF2B5EF4-FFF2-40B4-BE49-F238E27FC236}">
              <a16:creationId xmlns:a16="http://schemas.microsoft.com/office/drawing/2014/main" id="{B00C6C63-924E-4952-8EC3-CC0F70EF60A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7" name="Rectangle 11">
          <a:extLst>
            <a:ext uri="{FF2B5EF4-FFF2-40B4-BE49-F238E27FC236}">
              <a16:creationId xmlns:a16="http://schemas.microsoft.com/office/drawing/2014/main" id="{794A4C76-1B2D-48EA-8E6D-D9BABC1B15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8" name="Rectangle 2077">
          <a:extLst>
            <a:ext uri="{FF2B5EF4-FFF2-40B4-BE49-F238E27FC236}">
              <a16:creationId xmlns:a16="http://schemas.microsoft.com/office/drawing/2014/main" id="{29478AE0-7E19-4ED5-AB59-78AE721C9FB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9" name="Rectangle 11">
          <a:extLst>
            <a:ext uri="{FF2B5EF4-FFF2-40B4-BE49-F238E27FC236}">
              <a16:creationId xmlns:a16="http://schemas.microsoft.com/office/drawing/2014/main" id="{C58A2F6A-2645-4F82-82D8-0FAE69648E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0" name="Rectangle 2079">
          <a:extLst>
            <a:ext uri="{FF2B5EF4-FFF2-40B4-BE49-F238E27FC236}">
              <a16:creationId xmlns:a16="http://schemas.microsoft.com/office/drawing/2014/main" id="{698A1071-1A60-4A81-B10F-131AEE57CDF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1" name="Rectangle 11">
          <a:extLst>
            <a:ext uri="{FF2B5EF4-FFF2-40B4-BE49-F238E27FC236}">
              <a16:creationId xmlns:a16="http://schemas.microsoft.com/office/drawing/2014/main" id="{7F75DF14-8614-47B1-8492-02DE4D5C9A8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2" name="Rectangle 2081">
          <a:extLst>
            <a:ext uri="{FF2B5EF4-FFF2-40B4-BE49-F238E27FC236}">
              <a16:creationId xmlns:a16="http://schemas.microsoft.com/office/drawing/2014/main" id="{29D0DB62-C058-48AB-A315-5C93A223FB6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3" name="Rectangle 11">
          <a:extLst>
            <a:ext uri="{FF2B5EF4-FFF2-40B4-BE49-F238E27FC236}">
              <a16:creationId xmlns:a16="http://schemas.microsoft.com/office/drawing/2014/main" id="{BA9EF60C-F601-4873-9D3B-8140A6CF9D9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4" name="Rectangle 2083">
          <a:extLst>
            <a:ext uri="{FF2B5EF4-FFF2-40B4-BE49-F238E27FC236}">
              <a16:creationId xmlns:a16="http://schemas.microsoft.com/office/drawing/2014/main" id="{C5466C3B-01ED-4B0B-962B-BE2343589C4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5" name="Rectangle 2084">
          <a:extLst>
            <a:ext uri="{FF2B5EF4-FFF2-40B4-BE49-F238E27FC236}">
              <a16:creationId xmlns:a16="http://schemas.microsoft.com/office/drawing/2014/main" id="{C614EFE3-628D-4236-B6D8-69CF1A57CCA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6" name="Rectangle 2085">
          <a:extLst>
            <a:ext uri="{FF2B5EF4-FFF2-40B4-BE49-F238E27FC236}">
              <a16:creationId xmlns:a16="http://schemas.microsoft.com/office/drawing/2014/main" id="{7F9982E7-4587-4482-B455-6E070806B09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7" name="Rectangle 11">
          <a:extLst>
            <a:ext uri="{FF2B5EF4-FFF2-40B4-BE49-F238E27FC236}">
              <a16:creationId xmlns:a16="http://schemas.microsoft.com/office/drawing/2014/main" id="{3BE5C427-CD06-4976-A724-D6642A7C48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8" name="Rectangle 2087">
          <a:extLst>
            <a:ext uri="{FF2B5EF4-FFF2-40B4-BE49-F238E27FC236}">
              <a16:creationId xmlns:a16="http://schemas.microsoft.com/office/drawing/2014/main" id="{5581D3B6-17C2-46BC-BADE-BF32A37AAF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9" name="Rectangle 11">
          <a:extLst>
            <a:ext uri="{FF2B5EF4-FFF2-40B4-BE49-F238E27FC236}">
              <a16:creationId xmlns:a16="http://schemas.microsoft.com/office/drawing/2014/main" id="{162F260E-D169-4BAC-BD98-380D3AFB73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0" name="Rectangle 2089">
          <a:extLst>
            <a:ext uri="{FF2B5EF4-FFF2-40B4-BE49-F238E27FC236}">
              <a16:creationId xmlns:a16="http://schemas.microsoft.com/office/drawing/2014/main" id="{EDBBF1CA-E889-4A24-9206-DC4A3C0A0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1" name="Rectangle 11">
          <a:extLst>
            <a:ext uri="{FF2B5EF4-FFF2-40B4-BE49-F238E27FC236}">
              <a16:creationId xmlns:a16="http://schemas.microsoft.com/office/drawing/2014/main" id="{15BBE923-8669-45D8-815F-616ED08C26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2" name="Rectangle 2091">
          <a:extLst>
            <a:ext uri="{FF2B5EF4-FFF2-40B4-BE49-F238E27FC236}">
              <a16:creationId xmlns:a16="http://schemas.microsoft.com/office/drawing/2014/main" id="{B2676CB3-EA85-4283-918D-5E360631EB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3" name="Rectangle 11">
          <a:extLst>
            <a:ext uri="{FF2B5EF4-FFF2-40B4-BE49-F238E27FC236}">
              <a16:creationId xmlns:a16="http://schemas.microsoft.com/office/drawing/2014/main" id="{073FF353-3599-4368-B2B1-0AA5FDD2A2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4" name="Rectangle 2093">
          <a:extLst>
            <a:ext uri="{FF2B5EF4-FFF2-40B4-BE49-F238E27FC236}">
              <a16:creationId xmlns:a16="http://schemas.microsoft.com/office/drawing/2014/main" id="{79EDB68D-E925-4F29-A541-00D6BA3E76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5" name="Rectangle 11">
          <a:extLst>
            <a:ext uri="{FF2B5EF4-FFF2-40B4-BE49-F238E27FC236}">
              <a16:creationId xmlns:a16="http://schemas.microsoft.com/office/drawing/2014/main" id="{6EB7E8FB-0466-4309-BE08-F82E504BDF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6" name="Rectangle 2095">
          <a:extLst>
            <a:ext uri="{FF2B5EF4-FFF2-40B4-BE49-F238E27FC236}">
              <a16:creationId xmlns:a16="http://schemas.microsoft.com/office/drawing/2014/main" id="{EF6A466F-D4EA-4A29-89DA-704F51E3E4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7" name="Rectangle 2096">
          <a:extLst>
            <a:ext uri="{FF2B5EF4-FFF2-40B4-BE49-F238E27FC236}">
              <a16:creationId xmlns:a16="http://schemas.microsoft.com/office/drawing/2014/main" id="{B575AFA9-2BFE-4EF5-B633-8565A5B03D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8" name="Rectangle 2097">
          <a:extLst>
            <a:ext uri="{FF2B5EF4-FFF2-40B4-BE49-F238E27FC236}">
              <a16:creationId xmlns:a16="http://schemas.microsoft.com/office/drawing/2014/main" id="{92F73691-8791-403E-8BDC-EF08405B14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9" name="Rectangle 11">
          <a:extLst>
            <a:ext uri="{FF2B5EF4-FFF2-40B4-BE49-F238E27FC236}">
              <a16:creationId xmlns:a16="http://schemas.microsoft.com/office/drawing/2014/main" id="{62FD3347-49E4-45EA-BBFC-FDE7CE96C5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0" name="Rectangle 2099">
          <a:extLst>
            <a:ext uri="{FF2B5EF4-FFF2-40B4-BE49-F238E27FC236}">
              <a16:creationId xmlns:a16="http://schemas.microsoft.com/office/drawing/2014/main" id="{52F5736E-64FE-4564-8943-C103746834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1" name="Rectangle 11">
          <a:extLst>
            <a:ext uri="{FF2B5EF4-FFF2-40B4-BE49-F238E27FC236}">
              <a16:creationId xmlns:a16="http://schemas.microsoft.com/office/drawing/2014/main" id="{DADFDA65-6A92-491C-A898-3DE4CDC3AE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2" name="Rectangle 2101">
          <a:extLst>
            <a:ext uri="{FF2B5EF4-FFF2-40B4-BE49-F238E27FC236}">
              <a16:creationId xmlns:a16="http://schemas.microsoft.com/office/drawing/2014/main" id="{14E06F2E-FFDA-43D2-8312-AD5B702F70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3" name="Rectangle 11">
          <a:extLst>
            <a:ext uri="{FF2B5EF4-FFF2-40B4-BE49-F238E27FC236}">
              <a16:creationId xmlns:a16="http://schemas.microsoft.com/office/drawing/2014/main" id="{A6EEBD98-B91A-4A63-9107-5F0F95A727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4" name="Rectangle 2103">
          <a:extLst>
            <a:ext uri="{FF2B5EF4-FFF2-40B4-BE49-F238E27FC236}">
              <a16:creationId xmlns:a16="http://schemas.microsoft.com/office/drawing/2014/main" id="{2608FB8A-657E-4EE6-96A1-53BB339DB3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5" name="Rectangle 11">
          <a:extLst>
            <a:ext uri="{FF2B5EF4-FFF2-40B4-BE49-F238E27FC236}">
              <a16:creationId xmlns:a16="http://schemas.microsoft.com/office/drawing/2014/main" id="{06C70342-D288-4A29-AF78-820444FC02D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6" name="Rectangle 2105">
          <a:extLst>
            <a:ext uri="{FF2B5EF4-FFF2-40B4-BE49-F238E27FC236}">
              <a16:creationId xmlns:a16="http://schemas.microsoft.com/office/drawing/2014/main" id="{65FFF254-B6F7-47F8-A79E-B26B3E60883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7" name="Rectangle 11">
          <a:extLst>
            <a:ext uri="{FF2B5EF4-FFF2-40B4-BE49-F238E27FC236}">
              <a16:creationId xmlns:a16="http://schemas.microsoft.com/office/drawing/2014/main" id="{37439C71-ED27-47D9-A02B-8C0EF37D069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8" name="Rectangle 2107">
          <a:extLst>
            <a:ext uri="{FF2B5EF4-FFF2-40B4-BE49-F238E27FC236}">
              <a16:creationId xmlns:a16="http://schemas.microsoft.com/office/drawing/2014/main" id="{B26D29AF-9660-4E11-9611-2F36C337ED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9" name="Rectangle 2108">
          <a:extLst>
            <a:ext uri="{FF2B5EF4-FFF2-40B4-BE49-F238E27FC236}">
              <a16:creationId xmlns:a16="http://schemas.microsoft.com/office/drawing/2014/main" id="{6DBBBF52-4F65-4298-89AA-33D8AFBBAB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0" name="Rectangle 2109">
          <a:extLst>
            <a:ext uri="{FF2B5EF4-FFF2-40B4-BE49-F238E27FC236}">
              <a16:creationId xmlns:a16="http://schemas.microsoft.com/office/drawing/2014/main" id="{CAB933EA-97E6-47B3-8CF8-8D0C07C655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1" name="Rectangle 11">
          <a:extLst>
            <a:ext uri="{FF2B5EF4-FFF2-40B4-BE49-F238E27FC236}">
              <a16:creationId xmlns:a16="http://schemas.microsoft.com/office/drawing/2014/main" id="{76BD7BD5-BBE1-4FF8-B7B8-126235E0AFF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2" name="Rectangle 2111">
          <a:extLst>
            <a:ext uri="{FF2B5EF4-FFF2-40B4-BE49-F238E27FC236}">
              <a16:creationId xmlns:a16="http://schemas.microsoft.com/office/drawing/2014/main" id="{6E01CE2A-C7A0-4DFF-AF5D-410C2483EAF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3" name="Rectangle 11">
          <a:extLst>
            <a:ext uri="{FF2B5EF4-FFF2-40B4-BE49-F238E27FC236}">
              <a16:creationId xmlns:a16="http://schemas.microsoft.com/office/drawing/2014/main" id="{CAF8F464-FA13-4478-B66D-22819309B8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4" name="Rectangle 2113">
          <a:extLst>
            <a:ext uri="{FF2B5EF4-FFF2-40B4-BE49-F238E27FC236}">
              <a16:creationId xmlns:a16="http://schemas.microsoft.com/office/drawing/2014/main" id="{1BF25D96-C737-4978-8F27-078A7C10D06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5" name="Rectangle 11">
          <a:extLst>
            <a:ext uri="{FF2B5EF4-FFF2-40B4-BE49-F238E27FC236}">
              <a16:creationId xmlns:a16="http://schemas.microsoft.com/office/drawing/2014/main" id="{5DBB18E6-23B2-410B-B35A-3A768BCB662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6" name="Rectangle 2115">
          <a:extLst>
            <a:ext uri="{FF2B5EF4-FFF2-40B4-BE49-F238E27FC236}">
              <a16:creationId xmlns:a16="http://schemas.microsoft.com/office/drawing/2014/main" id="{EE3159DA-670F-4FB7-82CF-317E6312A7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7" name="Rectangle 11">
          <a:extLst>
            <a:ext uri="{FF2B5EF4-FFF2-40B4-BE49-F238E27FC236}">
              <a16:creationId xmlns:a16="http://schemas.microsoft.com/office/drawing/2014/main" id="{405FC3E8-BB00-4FFF-B2D7-E58002BC3D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8" name="Rectangle 2117">
          <a:extLst>
            <a:ext uri="{FF2B5EF4-FFF2-40B4-BE49-F238E27FC236}">
              <a16:creationId xmlns:a16="http://schemas.microsoft.com/office/drawing/2014/main" id="{3F4F8762-EE95-45FC-BE83-B83158C1BB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9" name="Rectangle 11">
          <a:extLst>
            <a:ext uri="{FF2B5EF4-FFF2-40B4-BE49-F238E27FC236}">
              <a16:creationId xmlns:a16="http://schemas.microsoft.com/office/drawing/2014/main" id="{985D9053-EAFC-4C10-9A45-8BC889B86F7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0" name="Rectangle 2119">
          <a:extLst>
            <a:ext uri="{FF2B5EF4-FFF2-40B4-BE49-F238E27FC236}">
              <a16:creationId xmlns:a16="http://schemas.microsoft.com/office/drawing/2014/main" id="{52DB7443-03E2-400B-9DBC-F0A174D2F4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1" name="Rectangle 2120">
          <a:extLst>
            <a:ext uri="{FF2B5EF4-FFF2-40B4-BE49-F238E27FC236}">
              <a16:creationId xmlns:a16="http://schemas.microsoft.com/office/drawing/2014/main" id="{58674503-5A7D-450D-B126-DE342EA68F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2" name="Rectangle 2121">
          <a:extLst>
            <a:ext uri="{FF2B5EF4-FFF2-40B4-BE49-F238E27FC236}">
              <a16:creationId xmlns:a16="http://schemas.microsoft.com/office/drawing/2014/main" id="{4DA4C9A3-73C8-4259-83A4-9DC6731EA5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3" name="Rectangle 11">
          <a:extLst>
            <a:ext uri="{FF2B5EF4-FFF2-40B4-BE49-F238E27FC236}">
              <a16:creationId xmlns:a16="http://schemas.microsoft.com/office/drawing/2014/main" id="{FC0216E4-EB2D-4835-A303-4FE8021D2E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4" name="Rectangle 2123">
          <a:extLst>
            <a:ext uri="{FF2B5EF4-FFF2-40B4-BE49-F238E27FC236}">
              <a16:creationId xmlns:a16="http://schemas.microsoft.com/office/drawing/2014/main" id="{684221C9-2C4E-4CD1-8DC3-475CDDDC79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5" name="Rectangle 11">
          <a:extLst>
            <a:ext uri="{FF2B5EF4-FFF2-40B4-BE49-F238E27FC236}">
              <a16:creationId xmlns:a16="http://schemas.microsoft.com/office/drawing/2014/main" id="{76AA988F-8C50-4828-925E-2A88BA3FB4B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6" name="Rectangle 2125">
          <a:extLst>
            <a:ext uri="{FF2B5EF4-FFF2-40B4-BE49-F238E27FC236}">
              <a16:creationId xmlns:a16="http://schemas.microsoft.com/office/drawing/2014/main" id="{86EC7F5E-DC31-4F85-9F46-CC5DD1DC39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7" name="Rectangle 11">
          <a:extLst>
            <a:ext uri="{FF2B5EF4-FFF2-40B4-BE49-F238E27FC236}">
              <a16:creationId xmlns:a16="http://schemas.microsoft.com/office/drawing/2014/main" id="{6C32845D-262B-4C3E-A228-697BEB3227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8" name="Rectangle 2127">
          <a:extLst>
            <a:ext uri="{FF2B5EF4-FFF2-40B4-BE49-F238E27FC236}">
              <a16:creationId xmlns:a16="http://schemas.microsoft.com/office/drawing/2014/main" id="{B38FD494-0A55-45C2-9412-1DCBBE0E69F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9" name="Rectangle 11">
          <a:extLst>
            <a:ext uri="{FF2B5EF4-FFF2-40B4-BE49-F238E27FC236}">
              <a16:creationId xmlns:a16="http://schemas.microsoft.com/office/drawing/2014/main" id="{F9D33AA6-9F0B-42FC-99D6-F07E8192650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0" name="Rectangle 2129">
          <a:extLst>
            <a:ext uri="{FF2B5EF4-FFF2-40B4-BE49-F238E27FC236}">
              <a16:creationId xmlns:a16="http://schemas.microsoft.com/office/drawing/2014/main" id="{51B3D6F6-0F36-4F89-8F91-843E5D39E3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1" name="Rectangle 11">
          <a:extLst>
            <a:ext uri="{FF2B5EF4-FFF2-40B4-BE49-F238E27FC236}">
              <a16:creationId xmlns:a16="http://schemas.microsoft.com/office/drawing/2014/main" id="{60808041-9AF8-42EF-B896-32B0FC8A7D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2" name="Rectangle 2131">
          <a:extLst>
            <a:ext uri="{FF2B5EF4-FFF2-40B4-BE49-F238E27FC236}">
              <a16:creationId xmlns:a16="http://schemas.microsoft.com/office/drawing/2014/main" id="{B4C98ADD-3CFF-4E81-844D-0F62BD264C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3" name="Rectangle 2132">
          <a:extLst>
            <a:ext uri="{FF2B5EF4-FFF2-40B4-BE49-F238E27FC236}">
              <a16:creationId xmlns:a16="http://schemas.microsoft.com/office/drawing/2014/main" id="{561D3ABD-3F63-46E8-ABD1-67EA29E173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4" name="Rectangle 2133">
          <a:extLst>
            <a:ext uri="{FF2B5EF4-FFF2-40B4-BE49-F238E27FC236}">
              <a16:creationId xmlns:a16="http://schemas.microsoft.com/office/drawing/2014/main" id="{0EBEE230-98A2-4378-BE6F-2DAEBFFDA8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5" name="Rectangle 11">
          <a:extLst>
            <a:ext uri="{FF2B5EF4-FFF2-40B4-BE49-F238E27FC236}">
              <a16:creationId xmlns:a16="http://schemas.microsoft.com/office/drawing/2014/main" id="{DBCC3880-526F-497B-9052-B7BB6C7AF0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6" name="Rectangle 2135">
          <a:extLst>
            <a:ext uri="{FF2B5EF4-FFF2-40B4-BE49-F238E27FC236}">
              <a16:creationId xmlns:a16="http://schemas.microsoft.com/office/drawing/2014/main" id="{249BE184-C059-41B9-B58D-7BDFDD74DFB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7" name="Rectangle 11">
          <a:extLst>
            <a:ext uri="{FF2B5EF4-FFF2-40B4-BE49-F238E27FC236}">
              <a16:creationId xmlns:a16="http://schemas.microsoft.com/office/drawing/2014/main" id="{3A0533FC-5CE3-4113-A310-7B4BFC7413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8" name="Rectangle 2137">
          <a:extLst>
            <a:ext uri="{FF2B5EF4-FFF2-40B4-BE49-F238E27FC236}">
              <a16:creationId xmlns:a16="http://schemas.microsoft.com/office/drawing/2014/main" id="{13901A31-2012-4898-BF2F-D8DCF4495B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9" name="Rectangle 11">
          <a:extLst>
            <a:ext uri="{FF2B5EF4-FFF2-40B4-BE49-F238E27FC236}">
              <a16:creationId xmlns:a16="http://schemas.microsoft.com/office/drawing/2014/main" id="{CA6624A6-1A6D-48BE-92B7-43E2DEB4A2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0" name="Rectangle 2139">
          <a:extLst>
            <a:ext uri="{FF2B5EF4-FFF2-40B4-BE49-F238E27FC236}">
              <a16:creationId xmlns:a16="http://schemas.microsoft.com/office/drawing/2014/main" id="{CD358311-42C0-4CA1-814F-4E78F445D66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1" name="Rectangle 11">
          <a:extLst>
            <a:ext uri="{FF2B5EF4-FFF2-40B4-BE49-F238E27FC236}">
              <a16:creationId xmlns:a16="http://schemas.microsoft.com/office/drawing/2014/main" id="{98B781D9-30B4-4251-9D58-76541955DC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2" name="Rectangle 2141">
          <a:extLst>
            <a:ext uri="{FF2B5EF4-FFF2-40B4-BE49-F238E27FC236}">
              <a16:creationId xmlns:a16="http://schemas.microsoft.com/office/drawing/2014/main" id="{549CB73B-C4F5-4699-85C9-E24D85480F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3" name="Rectangle 11">
          <a:extLst>
            <a:ext uri="{FF2B5EF4-FFF2-40B4-BE49-F238E27FC236}">
              <a16:creationId xmlns:a16="http://schemas.microsoft.com/office/drawing/2014/main" id="{435AE71B-F4ED-4713-8E39-27D756DAFC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4" name="Rectangle 2143">
          <a:extLst>
            <a:ext uri="{FF2B5EF4-FFF2-40B4-BE49-F238E27FC236}">
              <a16:creationId xmlns:a16="http://schemas.microsoft.com/office/drawing/2014/main" id="{F71CE986-5CBE-41FD-8C55-E3C7113092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5" name="Rectangle 2144">
          <a:extLst>
            <a:ext uri="{FF2B5EF4-FFF2-40B4-BE49-F238E27FC236}">
              <a16:creationId xmlns:a16="http://schemas.microsoft.com/office/drawing/2014/main" id="{BF83BE6E-2C69-47F1-A74B-65E621A9D5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6" name="Rectangle 2145">
          <a:extLst>
            <a:ext uri="{FF2B5EF4-FFF2-40B4-BE49-F238E27FC236}">
              <a16:creationId xmlns:a16="http://schemas.microsoft.com/office/drawing/2014/main" id="{C0F328C6-D7C1-4249-9A54-14029E6EC97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7" name="Rectangle 11">
          <a:extLst>
            <a:ext uri="{FF2B5EF4-FFF2-40B4-BE49-F238E27FC236}">
              <a16:creationId xmlns:a16="http://schemas.microsoft.com/office/drawing/2014/main" id="{D15F895F-938F-414C-B010-CCBA8BFE8A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8" name="Rectangle 2147">
          <a:extLst>
            <a:ext uri="{FF2B5EF4-FFF2-40B4-BE49-F238E27FC236}">
              <a16:creationId xmlns:a16="http://schemas.microsoft.com/office/drawing/2014/main" id="{779F1CDF-E350-487C-B0E2-3FE4CC8C58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9" name="Rectangle 11">
          <a:extLst>
            <a:ext uri="{FF2B5EF4-FFF2-40B4-BE49-F238E27FC236}">
              <a16:creationId xmlns:a16="http://schemas.microsoft.com/office/drawing/2014/main" id="{32F3FC9C-ACCC-4BC8-B056-63E74ED2C2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0" name="Rectangle 2149">
          <a:extLst>
            <a:ext uri="{FF2B5EF4-FFF2-40B4-BE49-F238E27FC236}">
              <a16:creationId xmlns:a16="http://schemas.microsoft.com/office/drawing/2014/main" id="{A9097B43-18B5-485F-ADF0-6C46A0FE9A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1" name="Rectangle 11">
          <a:extLst>
            <a:ext uri="{FF2B5EF4-FFF2-40B4-BE49-F238E27FC236}">
              <a16:creationId xmlns:a16="http://schemas.microsoft.com/office/drawing/2014/main" id="{EECFB369-6C2C-4B3F-8514-CE9B23994D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2" name="Rectangle 2151">
          <a:extLst>
            <a:ext uri="{FF2B5EF4-FFF2-40B4-BE49-F238E27FC236}">
              <a16:creationId xmlns:a16="http://schemas.microsoft.com/office/drawing/2014/main" id="{E1FAB3A1-E6E5-4339-8646-29F4669A2E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3" name="Rectangle 11">
          <a:extLst>
            <a:ext uri="{FF2B5EF4-FFF2-40B4-BE49-F238E27FC236}">
              <a16:creationId xmlns:a16="http://schemas.microsoft.com/office/drawing/2014/main" id="{90E559C3-CE61-44C9-BC18-561DACF5E47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4" name="Rectangle 2153">
          <a:extLst>
            <a:ext uri="{FF2B5EF4-FFF2-40B4-BE49-F238E27FC236}">
              <a16:creationId xmlns:a16="http://schemas.microsoft.com/office/drawing/2014/main" id="{A6BA3187-C5F6-4B95-B40D-476EB34247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5" name="Rectangle 11">
          <a:extLst>
            <a:ext uri="{FF2B5EF4-FFF2-40B4-BE49-F238E27FC236}">
              <a16:creationId xmlns:a16="http://schemas.microsoft.com/office/drawing/2014/main" id="{519777B7-3797-4779-9B44-F198DF866B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6" name="Rectangle 2155">
          <a:extLst>
            <a:ext uri="{FF2B5EF4-FFF2-40B4-BE49-F238E27FC236}">
              <a16:creationId xmlns:a16="http://schemas.microsoft.com/office/drawing/2014/main" id="{DA598C61-6C4D-4F3F-AAD7-7845C6D224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7" name="Rectangle 2156">
          <a:extLst>
            <a:ext uri="{FF2B5EF4-FFF2-40B4-BE49-F238E27FC236}">
              <a16:creationId xmlns:a16="http://schemas.microsoft.com/office/drawing/2014/main" id="{E93454E8-110A-46D0-81EB-760801CD0EC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8" name="Rectangle 2157">
          <a:extLst>
            <a:ext uri="{FF2B5EF4-FFF2-40B4-BE49-F238E27FC236}">
              <a16:creationId xmlns:a16="http://schemas.microsoft.com/office/drawing/2014/main" id="{5CAB9A41-B7E7-43C4-83A3-8BCF4E8B63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9" name="Rectangle 11">
          <a:extLst>
            <a:ext uri="{FF2B5EF4-FFF2-40B4-BE49-F238E27FC236}">
              <a16:creationId xmlns:a16="http://schemas.microsoft.com/office/drawing/2014/main" id="{3BC5A5AB-3D32-410A-B93B-E416A8B35F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0" name="Rectangle 2159">
          <a:extLst>
            <a:ext uri="{FF2B5EF4-FFF2-40B4-BE49-F238E27FC236}">
              <a16:creationId xmlns:a16="http://schemas.microsoft.com/office/drawing/2014/main" id="{0D111AFC-EF33-41FA-B77B-6463575036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1" name="Rectangle 11">
          <a:extLst>
            <a:ext uri="{FF2B5EF4-FFF2-40B4-BE49-F238E27FC236}">
              <a16:creationId xmlns:a16="http://schemas.microsoft.com/office/drawing/2014/main" id="{C46EA7DD-85C1-45BF-ADCC-BB688BE94EC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2" name="Rectangle 2161">
          <a:extLst>
            <a:ext uri="{FF2B5EF4-FFF2-40B4-BE49-F238E27FC236}">
              <a16:creationId xmlns:a16="http://schemas.microsoft.com/office/drawing/2014/main" id="{EA0BECF7-F42A-4C55-9E3B-81E04EEC84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3" name="Rectangle 11">
          <a:extLst>
            <a:ext uri="{FF2B5EF4-FFF2-40B4-BE49-F238E27FC236}">
              <a16:creationId xmlns:a16="http://schemas.microsoft.com/office/drawing/2014/main" id="{AD3C2B43-BDAA-4542-B637-14719C580E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4" name="Rectangle 2163">
          <a:extLst>
            <a:ext uri="{FF2B5EF4-FFF2-40B4-BE49-F238E27FC236}">
              <a16:creationId xmlns:a16="http://schemas.microsoft.com/office/drawing/2014/main" id="{A14BAA1E-17C4-43F4-98CB-20DBB52711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5" name="Rectangle 11">
          <a:extLst>
            <a:ext uri="{FF2B5EF4-FFF2-40B4-BE49-F238E27FC236}">
              <a16:creationId xmlns:a16="http://schemas.microsoft.com/office/drawing/2014/main" id="{1F42A0FC-D451-45B5-BBD7-4D84BAF5FB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6" name="Rectangle 2165">
          <a:extLst>
            <a:ext uri="{FF2B5EF4-FFF2-40B4-BE49-F238E27FC236}">
              <a16:creationId xmlns:a16="http://schemas.microsoft.com/office/drawing/2014/main" id="{3B286CD5-4FB7-45E0-B0A3-5903D77B8F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7" name="Rectangle 11">
          <a:extLst>
            <a:ext uri="{FF2B5EF4-FFF2-40B4-BE49-F238E27FC236}">
              <a16:creationId xmlns:a16="http://schemas.microsoft.com/office/drawing/2014/main" id="{B335AD4A-88F0-45BC-B880-11E26CB97F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8" name="Rectangle 2167">
          <a:extLst>
            <a:ext uri="{FF2B5EF4-FFF2-40B4-BE49-F238E27FC236}">
              <a16:creationId xmlns:a16="http://schemas.microsoft.com/office/drawing/2014/main" id="{A35B9760-24B7-4076-B4D0-B7FD83BDD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9" name="Rectangle 2168">
          <a:extLst>
            <a:ext uri="{FF2B5EF4-FFF2-40B4-BE49-F238E27FC236}">
              <a16:creationId xmlns:a16="http://schemas.microsoft.com/office/drawing/2014/main" id="{2A04DF4D-C529-4393-A8D3-AADFCD2062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0" name="Rectangle 2169">
          <a:extLst>
            <a:ext uri="{FF2B5EF4-FFF2-40B4-BE49-F238E27FC236}">
              <a16:creationId xmlns:a16="http://schemas.microsoft.com/office/drawing/2014/main" id="{5BF0D779-8487-4050-BCCF-40B156708A9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1" name="Rectangle 11">
          <a:extLst>
            <a:ext uri="{FF2B5EF4-FFF2-40B4-BE49-F238E27FC236}">
              <a16:creationId xmlns:a16="http://schemas.microsoft.com/office/drawing/2014/main" id="{91E161B7-E31B-42D2-80B4-61AA4756D1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2" name="Rectangle 2171">
          <a:extLst>
            <a:ext uri="{FF2B5EF4-FFF2-40B4-BE49-F238E27FC236}">
              <a16:creationId xmlns:a16="http://schemas.microsoft.com/office/drawing/2014/main" id="{5C3DE361-5191-4B11-BC94-5D9D898F5A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3" name="Rectangle 11">
          <a:extLst>
            <a:ext uri="{FF2B5EF4-FFF2-40B4-BE49-F238E27FC236}">
              <a16:creationId xmlns:a16="http://schemas.microsoft.com/office/drawing/2014/main" id="{DCCE4FEB-552E-4876-9CB3-0D43C6B79A7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4" name="Rectangle 2173">
          <a:extLst>
            <a:ext uri="{FF2B5EF4-FFF2-40B4-BE49-F238E27FC236}">
              <a16:creationId xmlns:a16="http://schemas.microsoft.com/office/drawing/2014/main" id="{3124109B-5B8B-4FCC-A1A3-590D64DF63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5" name="Rectangle 11">
          <a:extLst>
            <a:ext uri="{FF2B5EF4-FFF2-40B4-BE49-F238E27FC236}">
              <a16:creationId xmlns:a16="http://schemas.microsoft.com/office/drawing/2014/main" id="{78565B59-7399-47C9-BF7B-BE9F756EF65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6" name="Rectangle 2175">
          <a:extLst>
            <a:ext uri="{FF2B5EF4-FFF2-40B4-BE49-F238E27FC236}">
              <a16:creationId xmlns:a16="http://schemas.microsoft.com/office/drawing/2014/main" id="{A35D6AC0-131F-4DDD-A2AE-329133B7DE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7" name="Rectangle 11">
          <a:extLst>
            <a:ext uri="{FF2B5EF4-FFF2-40B4-BE49-F238E27FC236}">
              <a16:creationId xmlns:a16="http://schemas.microsoft.com/office/drawing/2014/main" id="{D5DB780D-9C7E-412A-BD9F-245223DD0C6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8" name="Rectangle 2177">
          <a:extLst>
            <a:ext uri="{FF2B5EF4-FFF2-40B4-BE49-F238E27FC236}">
              <a16:creationId xmlns:a16="http://schemas.microsoft.com/office/drawing/2014/main" id="{40106ABB-697A-4122-A5A3-E3EEE7B9ACC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9" name="Rectangle 11">
          <a:extLst>
            <a:ext uri="{FF2B5EF4-FFF2-40B4-BE49-F238E27FC236}">
              <a16:creationId xmlns:a16="http://schemas.microsoft.com/office/drawing/2014/main" id="{54B5FE42-C524-428A-9084-7CC61250782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0" name="Rectangle 2179">
          <a:extLst>
            <a:ext uri="{FF2B5EF4-FFF2-40B4-BE49-F238E27FC236}">
              <a16:creationId xmlns:a16="http://schemas.microsoft.com/office/drawing/2014/main" id="{8BFDEE60-154B-4448-96B5-9CA942EF89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1" name="Rectangle 2180">
          <a:extLst>
            <a:ext uri="{FF2B5EF4-FFF2-40B4-BE49-F238E27FC236}">
              <a16:creationId xmlns:a16="http://schemas.microsoft.com/office/drawing/2014/main" id="{FBDD4073-CF4E-44B1-8C9D-84D3D7E894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2" name="Rectangle 2181">
          <a:extLst>
            <a:ext uri="{FF2B5EF4-FFF2-40B4-BE49-F238E27FC236}">
              <a16:creationId xmlns:a16="http://schemas.microsoft.com/office/drawing/2014/main" id="{C89FCD55-FAB5-4C8B-929F-21EB2D8E58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3" name="Rectangle 11">
          <a:extLst>
            <a:ext uri="{FF2B5EF4-FFF2-40B4-BE49-F238E27FC236}">
              <a16:creationId xmlns:a16="http://schemas.microsoft.com/office/drawing/2014/main" id="{F3B0FDCF-A1E1-4C5C-AB77-70EA323F928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4" name="Rectangle 2183">
          <a:extLst>
            <a:ext uri="{FF2B5EF4-FFF2-40B4-BE49-F238E27FC236}">
              <a16:creationId xmlns:a16="http://schemas.microsoft.com/office/drawing/2014/main" id="{4D010440-715D-497B-955D-CBB974F0FC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5" name="Rectangle 11">
          <a:extLst>
            <a:ext uri="{FF2B5EF4-FFF2-40B4-BE49-F238E27FC236}">
              <a16:creationId xmlns:a16="http://schemas.microsoft.com/office/drawing/2014/main" id="{71668CC7-5586-455B-A476-8BA6110BCD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6" name="Rectangle 2185">
          <a:extLst>
            <a:ext uri="{FF2B5EF4-FFF2-40B4-BE49-F238E27FC236}">
              <a16:creationId xmlns:a16="http://schemas.microsoft.com/office/drawing/2014/main" id="{B86E2E48-0CC0-44F2-B240-1DCA9B47DC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7" name="Rectangle 11">
          <a:extLst>
            <a:ext uri="{FF2B5EF4-FFF2-40B4-BE49-F238E27FC236}">
              <a16:creationId xmlns:a16="http://schemas.microsoft.com/office/drawing/2014/main" id="{6C4D4011-B2FA-492B-88EB-5F0CACC3FA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8" name="Rectangle 2187">
          <a:extLst>
            <a:ext uri="{FF2B5EF4-FFF2-40B4-BE49-F238E27FC236}">
              <a16:creationId xmlns:a16="http://schemas.microsoft.com/office/drawing/2014/main" id="{5ACA72A9-9E18-457B-B046-28B634055C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9" name="Rectangle 11">
          <a:extLst>
            <a:ext uri="{FF2B5EF4-FFF2-40B4-BE49-F238E27FC236}">
              <a16:creationId xmlns:a16="http://schemas.microsoft.com/office/drawing/2014/main" id="{AE06F5C7-177A-4BF7-8A0F-1200490C1A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0" name="Rectangle 2189">
          <a:extLst>
            <a:ext uri="{FF2B5EF4-FFF2-40B4-BE49-F238E27FC236}">
              <a16:creationId xmlns:a16="http://schemas.microsoft.com/office/drawing/2014/main" id="{A72499BB-A375-489B-BDA2-32791D8F2D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1" name="Rectangle 11">
          <a:extLst>
            <a:ext uri="{FF2B5EF4-FFF2-40B4-BE49-F238E27FC236}">
              <a16:creationId xmlns:a16="http://schemas.microsoft.com/office/drawing/2014/main" id="{9A012F86-5B4B-4F6D-A776-6D074FC447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2" name="Rectangle 2191">
          <a:extLst>
            <a:ext uri="{FF2B5EF4-FFF2-40B4-BE49-F238E27FC236}">
              <a16:creationId xmlns:a16="http://schemas.microsoft.com/office/drawing/2014/main" id="{D857FD29-37D7-465A-B284-57FBB09414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3" name="Rectangle 2192">
          <a:extLst>
            <a:ext uri="{FF2B5EF4-FFF2-40B4-BE49-F238E27FC236}">
              <a16:creationId xmlns:a16="http://schemas.microsoft.com/office/drawing/2014/main" id="{A56B9F32-C1CF-4443-BA0F-C807B27282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4" name="Rectangle 2193">
          <a:extLst>
            <a:ext uri="{FF2B5EF4-FFF2-40B4-BE49-F238E27FC236}">
              <a16:creationId xmlns:a16="http://schemas.microsoft.com/office/drawing/2014/main" id="{E2092C05-FB4D-4AE4-82F2-2322D2B668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5" name="Rectangle 11">
          <a:extLst>
            <a:ext uri="{FF2B5EF4-FFF2-40B4-BE49-F238E27FC236}">
              <a16:creationId xmlns:a16="http://schemas.microsoft.com/office/drawing/2014/main" id="{F46FBDA2-839D-415B-B908-E0169800FA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6" name="Rectangle 2195">
          <a:extLst>
            <a:ext uri="{FF2B5EF4-FFF2-40B4-BE49-F238E27FC236}">
              <a16:creationId xmlns:a16="http://schemas.microsoft.com/office/drawing/2014/main" id="{70DCC2DD-C4A5-475C-B395-0A0D065BF5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7" name="Rectangle 11">
          <a:extLst>
            <a:ext uri="{FF2B5EF4-FFF2-40B4-BE49-F238E27FC236}">
              <a16:creationId xmlns:a16="http://schemas.microsoft.com/office/drawing/2014/main" id="{49127B00-DA9F-4A78-9EB9-9322D15A60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8" name="Rectangle 2197">
          <a:extLst>
            <a:ext uri="{FF2B5EF4-FFF2-40B4-BE49-F238E27FC236}">
              <a16:creationId xmlns:a16="http://schemas.microsoft.com/office/drawing/2014/main" id="{932B1CBD-88CA-48F9-9D4C-DB096DDF0F1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9" name="Rectangle 11">
          <a:extLst>
            <a:ext uri="{FF2B5EF4-FFF2-40B4-BE49-F238E27FC236}">
              <a16:creationId xmlns:a16="http://schemas.microsoft.com/office/drawing/2014/main" id="{DDDB4275-C7DD-43CB-8C9E-A5EDE0C521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0" name="Rectangle 2199">
          <a:extLst>
            <a:ext uri="{FF2B5EF4-FFF2-40B4-BE49-F238E27FC236}">
              <a16:creationId xmlns:a16="http://schemas.microsoft.com/office/drawing/2014/main" id="{12C59413-9E85-4922-99F3-642B9C2B79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1" name="Rectangle 11">
          <a:extLst>
            <a:ext uri="{FF2B5EF4-FFF2-40B4-BE49-F238E27FC236}">
              <a16:creationId xmlns:a16="http://schemas.microsoft.com/office/drawing/2014/main" id="{7DEEAAA9-28E0-40C4-AE8B-ABFC25F684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2" name="Rectangle 2201">
          <a:extLst>
            <a:ext uri="{FF2B5EF4-FFF2-40B4-BE49-F238E27FC236}">
              <a16:creationId xmlns:a16="http://schemas.microsoft.com/office/drawing/2014/main" id="{22A40E9D-0FB3-4E53-B546-3E145E9702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3" name="Rectangle 11">
          <a:extLst>
            <a:ext uri="{FF2B5EF4-FFF2-40B4-BE49-F238E27FC236}">
              <a16:creationId xmlns:a16="http://schemas.microsoft.com/office/drawing/2014/main" id="{201A932C-6A3A-433B-9374-E3D12DFE04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4" name="Rectangle 2203">
          <a:extLst>
            <a:ext uri="{FF2B5EF4-FFF2-40B4-BE49-F238E27FC236}">
              <a16:creationId xmlns:a16="http://schemas.microsoft.com/office/drawing/2014/main" id="{736EC5FB-3DDC-4546-A9A9-91678229FA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5" name="Rectangle 2204">
          <a:extLst>
            <a:ext uri="{FF2B5EF4-FFF2-40B4-BE49-F238E27FC236}">
              <a16:creationId xmlns:a16="http://schemas.microsoft.com/office/drawing/2014/main" id="{97581DED-798E-41B4-AA83-BAD7B06223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6" name="Rectangle 2205">
          <a:extLst>
            <a:ext uri="{FF2B5EF4-FFF2-40B4-BE49-F238E27FC236}">
              <a16:creationId xmlns:a16="http://schemas.microsoft.com/office/drawing/2014/main" id="{E05B2712-A45F-4EEF-99AE-F9B532B70B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7" name="Rectangle 11">
          <a:extLst>
            <a:ext uri="{FF2B5EF4-FFF2-40B4-BE49-F238E27FC236}">
              <a16:creationId xmlns:a16="http://schemas.microsoft.com/office/drawing/2014/main" id="{CBA1F329-95C9-4F55-B872-C141031A29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8" name="Rectangle 2207">
          <a:extLst>
            <a:ext uri="{FF2B5EF4-FFF2-40B4-BE49-F238E27FC236}">
              <a16:creationId xmlns:a16="http://schemas.microsoft.com/office/drawing/2014/main" id="{8060B77C-FF18-4E6D-AC2A-66EEF47CDC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9" name="Rectangle 11">
          <a:extLst>
            <a:ext uri="{FF2B5EF4-FFF2-40B4-BE49-F238E27FC236}">
              <a16:creationId xmlns:a16="http://schemas.microsoft.com/office/drawing/2014/main" id="{7E0CCC9E-3FCE-4E56-964D-5BF41A7693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0" name="Rectangle 2209">
          <a:extLst>
            <a:ext uri="{FF2B5EF4-FFF2-40B4-BE49-F238E27FC236}">
              <a16:creationId xmlns:a16="http://schemas.microsoft.com/office/drawing/2014/main" id="{88F2759A-F5C5-470A-91FA-6D6188560B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1" name="Rectangle 11">
          <a:extLst>
            <a:ext uri="{FF2B5EF4-FFF2-40B4-BE49-F238E27FC236}">
              <a16:creationId xmlns:a16="http://schemas.microsoft.com/office/drawing/2014/main" id="{09976C56-F9E5-4817-BBE5-7AA613A2E7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2" name="Rectangle 2211">
          <a:extLst>
            <a:ext uri="{FF2B5EF4-FFF2-40B4-BE49-F238E27FC236}">
              <a16:creationId xmlns:a16="http://schemas.microsoft.com/office/drawing/2014/main" id="{744649D9-9E84-424E-B2A0-D594D1AF53B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3" name="Rectangle 11">
          <a:extLst>
            <a:ext uri="{FF2B5EF4-FFF2-40B4-BE49-F238E27FC236}">
              <a16:creationId xmlns:a16="http://schemas.microsoft.com/office/drawing/2014/main" id="{D63B308C-94B4-4E48-9ACB-5206F71F1E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4" name="Rectangle 2213">
          <a:extLst>
            <a:ext uri="{FF2B5EF4-FFF2-40B4-BE49-F238E27FC236}">
              <a16:creationId xmlns:a16="http://schemas.microsoft.com/office/drawing/2014/main" id="{C529048B-C32B-47A8-BE0D-4CFF5DD78E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5" name="Rectangle 11">
          <a:extLst>
            <a:ext uri="{FF2B5EF4-FFF2-40B4-BE49-F238E27FC236}">
              <a16:creationId xmlns:a16="http://schemas.microsoft.com/office/drawing/2014/main" id="{55F9C7B5-8B37-427D-A5B4-459F40D037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6" name="Rectangle 2215">
          <a:extLst>
            <a:ext uri="{FF2B5EF4-FFF2-40B4-BE49-F238E27FC236}">
              <a16:creationId xmlns:a16="http://schemas.microsoft.com/office/drawing/2014/main" id="{1685A943-0540-4384-ABAA-E9BC477AA0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7" name="Rectangle 2216">
          <a:extLst>
            <a:ext uri="{FF2B5EF4-FFF2-40B4-BE49-F238E27FC236}">
              <a16:creationId xmlns:a16="http://schemas.microsoft.com/office/drawing/2014/main" id="{20B0A2BC-BC39-4E56-86EC-8D432DD210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8" name="Rectangle 2217">
          <a:extLst>
            <a:ext uri="{FF2B5EF4-FFF2-40B4-BE49-F238E27FC236}">
              <a16:creationId xmlns:a16="http://schemas.microsoft.com/office/drawing/2014/main" id="{0ADCA54B-97E0-4213-BE64-6EB616CC30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9" name="Rectangle 11">
          <a:extLst>
            <a:ext uri="{FF2B5EF4-FFF2-40B4-BE49-F238E27FC236}">
              <a16:creationId xmlns:a16="http://schemas.microsoft.com/office/drawing/2014/main" id="{36A60B68-F6D4-48E3-9654-E489E16F6E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0" name="Rectangle 2219">
          <a:extLst>
            <a:ext uri="{FF2B5EF4-FFF2-40B4-BE49-F238E27FC236}">
              <a16:creationId xmlns:a16="http://schemas.microsoft.com/office/drawing/2014/main" id="{2696802C-AFE9-412A-954D-E8C3241A7E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1" name="Rectangle 11">
          <a:extLst>
            <a:ext uri="{FF2B5EF4-FFF2-40B4-BE49-F238E27FC236}">
              <a16:creationId xmlns:a16="http://schemas.microsoft.com/office/drawing/2014/main" id="{A26A7F6E-FFC6-4AC7-BBC9-1AB4D76A47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2" name="Rectangle 2221">
          <a:extLst>
            <a:ext uri="{FF2B5EF4-FFF2-40B4-BE49-F238E27FC236}">
              <a16:creationId xmlns:a16="http://schemas.microsoft.com/office/drawing/2014/main" id="{9827E851-8C15-49AE-9BB8-A64B56CF98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3" name="Rectangle 11">
          <a:extLst>
            <a:ext uri="{FF2B5EF4-FFF2-40B4-BE49-F238E27FC236}">
              <a16:creationId xmlns:a16="http://schemas.microsoft.com/office/drawing/2014/main" id="{69A62179-62C5-4429-8522-DDDE815D807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4" name="Rectangle 2223">
          <a:extLst>
            <a:ext uri="{FF2B5EF4-FFF2-40B4-BE49-F238E27FC236}">
              <a16:creationId xmlns:a16="http://schemas.microsoft.com/office/drawing/2014/main" id="{73F681FD-38AA-4BBB-9412-E7D5620932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5" name="Rectangle 11">
          <a:extLst>
            <a:ext uri="{FF2B5EF4-FFF2-40B4-BE49-F238E27FC236}">
              <a16:creationId xmlns:a16="http://schemas.microsoft.com/office/drawing/2014/main" id="{E2D7E34C-BAE7-4FD4-B34D-9D640568464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6" name="Rectangle 2225">
          <a:extLst>
            <a:ext uri="{FF2B5EF4-FFF2-40B4-BE49-F238E27FC236}">
              <a16:creationId xmlns:a16="http://schemas.microsoft.com/office/drawing/2014/main" id="{3922F9E8-DF35-44C7-B15E-6DFF47ADF2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7" name="Rectangle 11">
          <a:extLst>
            <a:ext uri="{FF2B5EF4-FFF2-40B4-BE49-F238E27FC236}">
              <a16:creationId xmlns:a16="http://schemas.microsoft.com/office/drawing/2014/main" id="{F945B146-D29C-48B6-9B0F-5ABE61554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8" name="Rectangle 2227">
          <a:extLst>
            <a:ext uri="{FF2B5EF4-FFF2-40B4-BE49-F238E27FC236}">
              <a16:creationId xmlns:a16="http://schemas.microsoft.com/office/drawing/2014/main" id="{E1A4767A-32CD-4359-8F84-07A7CCD622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9" name="Rectangle 2228">
          <a:extLst>
            <a:ext uri="{FF2B5EF4-FFF2-40B4-BE49-F238E27FC236}">
              <a16:creationId xmlns:a16="http://schemas.microsoft.com/office/drawing/2014/main" id="{30D9408A-C93F-4D3B-95AB-E281F3AD0B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0" name="Rectangle 2229">
          <a:extLst>
            <a:ext uri="{FF2B5EF4-FFF2-40B4-BE49-F238E27FC236}">
              <a16:creationId xmlns:a16="http://schemas.microsoft.com/office/drawing/2014/main" id="{330EA94A-0340-4E09-A374-4D6BE398A6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1" name="Rectangle 11">
          <a:extLst>
            <a:ext uri="{FF2B5EF4-FFF2-40B4-BE49-F238E27FC236}">
              <a16:creationId xmlns:a16="http://schemas.microsoft.com/office/drawing/2014/main" id="{88EF6AA1-3CD3-47A5-A029-EED62136BEB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2" name="Rectangle 2231">
          <a:extLst>
            <a:ext uri="{FF2B5EF4-FFF2-40B4-BE49-F238E27FC236}">
              <a16:creationId xmlns:a16="http://schemas.microsoft.com/office/drawing/2014/main" id="{46AC4689-7A60-4EA7-A55C-338041906B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3" name="Rectangle 11">
          <a:extLst>
            <a:ext uri="{FF2B5EF4-FFF2-40B4-BE49-F238E27FC236}">
              <a16:creationId xmlns:a16="http://schemas.microsoft.com/office/drawing/2014/main" id="{18442672-1140-4209-B14D-6708E2DA4E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4" name="Rectangle 2233">
          <a:extLst>
            <a:ext uri="{FF2B5EF4-FFF2-40B4-BE49-F238E27FC236}">
              <a16:creationId xmlns:a16="http://schemas.microsoft.com/office/drawing/2014/main" id="{A256DCBA-BF2B-423A-B6FD-56B43F83AB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5" name="Rectangle 11">
          <a:extLst>
            <a:ext uri="{FF2B5EF4-FFF2-40B4-BE49-F238E27FC236}">
              <a16:creationId xmlns:a16="http://schemas.microsoft.com/office/drawing/2014/main" id="{88A2AD86-EE6A-420A-B5F8-5DA3A93EB8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6" name="Rectangle 2235">
          <a:extLst>
            <a:ext uri="{FF2B5EF4-FFF2-40B4-BE49-F238E27FC236}">
              <a16:creationId xmlns:a16="http://schemas.microsoft.com/office/drawing/2014/main" id="{A9E3B8B0-DB1F-4EA4-9647-6DA60C93A99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7" name="Rectangle 11">
          <a:extLst>
            <a:ext uri="{FF2B5EF4-FFF2-40B4-BE49-F238E27FC236}">
              <a16:creationId xmlns:a16="http://schemas.microsoft.com/office/drawing/2014/main" id="{D3169C75-AB61-4CE3-BC95-591F3A3B46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8" name="Rectangle 2237">
          <a:extLst>
            <a:ext uri="{FF2B5EF4-FFF2-40B4-BE49-F238E27FC236}">
              <a16:creationId xmlns:a16="http://schemas.microsoft.com/office/drawing/2014/main" id="{3E412E5F-AB1C-46EB-A3F6-01FD753F53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9" name="Rectangle 11">
          <a:extLst>
            <a:ext uri="{FF2B5EF4-FFF2-40B4-BE49-F238E27FC236}">
              <a16:creationId xmlns:a16="http://schemas.microsoft.com/office/drawing/2014/main" id="{70E7D274-8864-4BAD-8FE2-6651F7B8F0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0" name="Rectangle 2239">
          <a:extLst>
            <a:ext uri="{FF2B5EF4-FFF2-40B4-BE49-F238E27FC236}">
              <a16:creationId xmlns:a16="http://schemas.microsoft.com/office/drawing/2014/main" id="{C28B1AC8-67B6-44DE-9D64-950367FB01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1" name="Rectangle 2240">
          <a:extLst>
            <a:ext uri="{FF2B5EF4-FFF2-40B4-BE49-F238E27FC236}">
              <a16:creationId xmlns:a16="http://schemas.microsoft.com/office/drawing/2014/main" id="{217ACD1B-46D1-4D5B-8B32-3F925E6CEB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2" name="Rectangle 2241">
          <a:extLst>
            <a:ext uri="{FF2B5EF4-FFF2-40B4-BE49-F238E27FC236}">
              <a16:creationId xmlns:a16="http://schemas.microsoft.com/office/drawing/2014/main" id="{CFF33EBF-8E8C-4A9E-8E96-A51F8E82D6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3" name="Rectangle 11">
          <a:extLst>
            <a:ext uri="{FF2B5EF4-FFF2-40B4-BE49-F238E27FC236}">
              <a16:creationId xmlns:a16="http://schemas.microsoft.com/office/drawing/2014/main" id="{B580EB75-6EE4-45E6-8B07-7A968028BBF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4" name="Rectangle 2243">
          <a:extLst>
            <a:ext uri="{FF2B5EF4-FFF2-40B4-BE49-F238E27FC236}">
              <a16:creationId xmlns:a16="http://schemas.microsoft.com/office/drawing/2014/main" id="{EDF2E450-8921-42F2-A6A0-382FE700A9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5" name="Rectangle 11">
          <a:extLst>
            <a:ext uri="{FF2B5EF4-FFF2-40B4-BE49-F238E27FC236}">
              <a16:creationId xmlns:a16="http://schemas.microsoft.com/office/drawing/2014/main" id="{04F8B7E0-1104-4D2A-9095-B0764896D6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6" name="Rectangle 2245">
          <a:extLst>
            <a:ext uri="{FF2B5EF4-FFF2-40B4-BE49-F238E27FC236}">
              <a16:creationId xmlns:a16="http://schemas.microsoft.com/office/drawing/2014/main" id="{4560CFF4-C5E9-4E99-BAD5-6216AB853B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7" name="Rectangle 11">
          <a:extLst>
            <a:ext uri="{FF2B5EF4-FFF2-40B4-BE49-F238E27FC236}">
              <a16:creationId xmlns:a16="http://schemas.microsoft.com/office/drawing/2014/main" id="{D3C7412F-CBA4-4403-8F3F-192258EAA0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8" name="Rectangle 2247">
          <a:extLst>
            <a:ext uri="{FF2B5EF4-FFF2-40B4-BE49-F238E27FC236}">
              <a16:creationId xmlns:a16="http://schemas.microsoft.com/office/drawing/2014/main" id="{D7BBC39C-2EF3-42B9-BD38-02C2FBE0E0B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9" name="Rectangle 11">
          <a:extLst>
            <a:ext uri="{FF2B5EF4-FFF2-40B4-BE49-F238E27FC236}">
              <a16:creationId xmlns:a16="http://schemas.microsoft.com/office/drawing/2014/main" id="{0DFD4149-97A6-4F4B-B37D-3FA6909944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0" name="Rectangle 2249">
          <a:extLst>
            <a:ext uri="{FF2B5EF4-FFF2-40B4-BE49-F238E27FC236}">
              <a16:creationId xmlns:a16="http://schemas.microsoft.com/office/drawing/2014/main" id="{7F4EDFD5-F9E3-426B-8A41-896F2E32B5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1" name="Rectangle 11">
          <a:extLst>
            <a:ext uri="{FF2B5EF4-FFF2-40B4-BE49-F238E27FC236}">
              <a16:creationId xmlns:a16="http://schemas.microsoft.com/office/drawing/2014/main" id="{F38FB8C9-13D4-45BC-8C0B-69F0799954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2" name="Rectangle 2251">
          <a:extLst>
            <a:ext uri="{FF2B5EF4-FFF2-40B4-BE49-F238E27FC236}">
              <a16:creationId xmlns:a16="http://schemas.microsoft.com/office/drawing/2014/main" id="{13D8EB38-C2F8-4681-B5EA-CAC75753B6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3" name="Rectangle 2252">
          <a:extLst>
            <a:ext uri="{FF2B5EF4-FFF2-40B4-BE49-F238E27FC236}">
              <a16:creationId xmlns:a16="http://schemas.microsoft.com/office/drawing/2014/main" id="{684054D5-9666-4C93-B54C-111C4A7420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4" name="Rectangle 2253">
          <a:extLst>
            <a:ext uri="{FF2B5EF4-FFF2-40B4-BE49-F238E27FC236}">
              <a16:creationId xmlns:a16="http://schemas.microsoft.com/office/drawing/2014/main" id="{D0AEDF34-03E2-4199-8DCA-8DFC0CE3C8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5" name="Rectangle 11">
          <a:extLst>
            <a:ext uri="{FF2B5EF4-FFF2-40B4-BE49-F238E27FC236}">
              <a16:creationId xmlns:a16="http://schemas.microsoft.com/office/drawing/2014/main" id="{370CD681-51BE-4243-B3D3-4A46FD6AB7E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6" name="Rectangle 2255">
          <a:extLst>
            <a:ext uri="{FF2B5EF4-FFF2-40B4-BE49-F238E27FC236}">
              <a16:creationId xmlns:a16="http://schemas.microsoft.com/office/drawing/2014/main" id="{52D70C11-E334-4B41-96D4-ADC19C3A44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7" name="Rectangle 11">
          <a:extLst>
            <a:ext uri="{FF2B5EF4-FFF2-40B4-BE49-F238E27FC236}">
              <a16:creationId xmlns:a16="http://schemas.microsoft.com/office/drawing/2014/main" id="{60625F8D-B974-42DC-8B0E-522086BF6E1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8" name="Rectangle 2257">
          <a:extLst>
            <a:ext uri="{FF2B5EF4-FFF2-40B4-BE49-F238E27FC236}">
              <a16:creationId xmlns:a16="http://schemas.microsoft.com/office/drawing/2014/main" id="{81E4C1BF-8C8D-47CE-A8FD-BEE3B23490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9" name="Rectangle 11">
          <a:extLst>
            <a:ext uri="{FF2B5EF4-FFF2-40B4-BE49-F238E27FC236}">
              <a16:creationId xmlns:a16="http://schemas.microsoft.com/office/drawing/2014/main" id="{30D29749-3267-498F-8D05-576D529D4A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0" name="Rectangle 2259">
          <a:extLst>
            <a:ext uri="{FF2B5EF4-FFF2-40B4-BE49-F238E27FC236}">
              <a16:creationId xmlns:a16="http://schemas.microsoft.com/office/drawing/2014/main" id="{8553FF01-AD1D-40EB-B10B-99270CC599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1" name="Rectangle 11">
          <a:extLst>
            <a:ext uri="{FF2B5EF4-FFF2-40B4-BE49-F238E27FC236}">
              <a16:creationId xmlns:a16="http://schemas.microsoft.com/office/drawing/2014/main" id="{7121EC16-4130-419F-A134-847AA7C9D4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2" name="Rectangle 2261">
          <a:extLst>
            <a:ext uri="{FF2B5EF4-FFF2-40B4-BE49-F238E27FC236}">
              <a16:creationId xmlns:a16="http://schemas.microsoft.com/office/drawing/2014/main" id="{7864EDED-2EFA-41B1-92EB-6BDDF7BB2E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3" name="Rectangle 11">
          <a:extLst>
            <a:ext uri="{FF2B5EF4-FFF2-40B4-BE49-F238E27FC236}">
              <a16:creationId xmlns:a16="http://schemas.microsoft.com/office/drawing/2014/main" id="{A6E7F6AC-44E3-4B62-BC4B-25125EAD42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4" name="Rectangle 2263">
          <a:extLst>
            <a:ext uri="{FF2B5EF4-FFF2-40B4-BE49-F238E27FC236}">
              <a16:creationId xmlns:a16="http://schemas.microsoft.com/office/drawing/2014/main" id="{4B9D23AA-3804-4D3A-BC1A-06E4123338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5" name="Rectangle 2264">
          <a:extLst>
            <a:ext uri="{FF2B5EF4-FFF2-40B4-BE49-F238E27FC236}">
              <a16:creationId xmlns:a16="http://schemas.microsoft.com/office/drawing/2014/main" id="{DF384883-0591-4D12-B63F-722CDE3712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6" name="Rectangle 2265">
          <a:extLst>
            <a:ext uri="{FF2B5EF4-FFF2-40B4-BE49-F238E27FC236}">
              <a16:creationId xmlns:a16="http://schemas.microsoft.com/office/drawing/2014/main" id="{30CE5154-2CEC-4BE0-A42B-597B22FB5E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7" name="Rectangle 11">
          <a:extLst>
            <a:ext uri="{FF2B5EF4-FFF2-40B4-BE49-F238E27FC236}">
              <a16:creationId xmlns:a16="http://schemas.microsoft.com/office/drawing/2014/main" id="{8FD5313D-3A9D-43D8-8750-DEFFEE885E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8" name="Rectangle 2267">
          <a:extLst>
            <a:ext uri="{FF2B5EF4-FFF2-40B4-BE49-F238E27FC236}">
              <a16:creationId xmlns:a16="http://schemas.microsoft.com/office/drawing/2014/main" id="{90C5C459-2B6B-4B29-A5B9-8FBA188C4E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9" name="Rectangle 11">
          <a:extLst>
            <a:ext uri="{FF2B5EF4-FFF2-40B4-BE49-F238E27FC236}">
              <a16:creationId xmlns:a16="http://schemas.microsoft.com/office/drawing/2014/main" id="{CFEC2D4E-7D7C-46E9-8CAF-E314844C83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0" name="Rectangle 2269">
          <a:extLst>
            <a:ext uri="{FF2B5EF4-FFF2-40B4-BE49-F238E27FC236}">
              <a16:creationId xmlns:a16="http://schemas.microsoft.com/office/drawing/2014/main" id="{A70F96A8-3DC8-4931-BFCB-652FFD64E3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1" name="Rectangle 11">
          <a:extLst>
            <a:ext uri="{FF2B5EF4-FFF2-40B4-BE49-F238E27FC236}">
              <a16:creationId xmlns:a16="http://schemas.microsoft.com/office/drawing/2014/main" id="{BB1B1D52-908E-4B5C-BC4F-4C4653EA60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2" name="Rectangle 2271">
          <a:extLst>
            <a:ext uri="{FF2B5EF4-FFF2-40B4-BE49-F238E27FC236}">
              <a16:creationId xmlns:a16="http://schemas.microsoft.com/office/drawing/2014/main" id="{1C9AB746-B7FF-4C51-AEED-F747156868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3" name="Rectangle 11">
          <a:extLst>
            <a:ext uri="{FF2B5EF4-FFF2-40B4-BE49-F238E27FC236}">
              <a16:creationId xmlns:a16="http://schemas.microsoft.com/office/drawing/2014/main" id="{7D521FBC-DFBF-4525-9CFC-25A0FBD508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4" name="Rectangle 2273">
          <a:extLst>
            <a:ext uri="{FF2B5EF4-FFF2-40B4-BE49-F238E27FC236}">
              <a16:creationId xmlns:a16="http://schemas.microsoft.com/office/drawing/2014/main" id="{6EC22392-D7C6-4BB3-BC57-88669F6733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5" name="Rectangle 11">
          <a:extLst>
            <a:ext uri="{FF2B5EF4-FFF2-40B4-BE49-F238E27FC236}">
              <a16:creationId xmlns:a16="http://schemas.microsoft.com/office/drawing/2014/main" id="{8558701C-5833-4D27-86B7-4A2E5693974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6" name="Rectangle 2275">
          <a:extLst>
            <a:ext uri="{FF2B5EF4-FFF2-40B4-BE49-F238E27FC236}">
              <a16:creationId xmlns:a16="http://schemas.microsoft.com/office/drawing/2014/main" id="{76DE0882-E345-49D9-9005-24E24B84E8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7" name="Rectangle 2276">
          <a:extLst>
            <a:ext uri="{FF2B5EF4-FFF2-40B4-BE49-F238E27FC236}">
              <a16:creationId xmlns:a16="http://schemas.microsoft.com/office/drawing/2014/main" id="{489F3E28-C53A-439D-979E-77108F0E72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8" name="Rectangle 2277">
          <a:extLst>
            <a:ext uri="{FF2B5EF4-FFF2-40B4-BE49-F238E27FC236}">
              <a16:creationId xmlns:a16="http://schemas.microsoft.com/office/drawing/2014/main" id="{18C4FD97-CC40-43E4-9814-568F912EF5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9" name="Rectangle 11">
          <a:extLst>
            <a:ext uri="{FF2B5EF4-FFF2-40B4-BE49-F238E27FC236}">
              <a16:creationId xmlns:a16="http://schemas.microsoft.com/office/drawing/2014/main" id="{D6663F8C-0BE7-4786-9217-A5D6A0C04B8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0" name="Rectangle 2279">
          <a:extLst>
            <a:ext uri="{FF2B5EF4-FFF2-40B4-BE49-F238E27FC236}">
              <a16:creationId xmlns:a16="http://schemas.microsoft.com/office/drawing/2014/main" id="{ECBF49C1-5745-47D4-93DD-F1E42B66B17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1" name="Rectangle 11">
          <a:extLst>
            <a:ext uri="{FF2B5EF4-FFF2-40B4-BE49-F238E27FC236}">
              <a16:creationId xmlns:a16="http://schemas.microsoft.com/office/drawing/2014/main" id="{00259420-01DB-45B7-932F-DBF076182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2" name="Rectangle 2281">
          <a:extLst>
            <a:ext uri="{FF2B5EF4-FFF2-40B4-BE49-F238E27FC236}">
              <a16:creationId xmlns:a16="http://schemas.microsoft.com/office/drawing/2014/main" id="{144A4F72-9E00-417E-A47B-D2014CC47B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3" name="Rectangle 11">
          <a:extLst>
            <a:ext uri="{FF2B5EF4-FFF2-40B4-BE49-F238E27FC236}">
              <a16:creationId xmlns:a16="http://schemas.microsoft.com/office/drawing/2014/main" id="{0ED34753-D26D-4F85-B1DB-5D9BAEE1E3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4" name="Rectangle 2283">
          <a:extLst>
            <a:ext uri="{FF2B5EF4-FFF2-40B4-BE49-F238E27FC236}">
              <a16:creationId xmlns:a16="http://schemas.microsoft.com/office/drawing/2014/main" id="{36F7A1F4-E1AC-4FF8-83B9-5F754E1C99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5" name="Rectangle 11">
          <a:extLst>
            <a:ext uri="{FF2B5EF4-FFF2-40B4-BE49-F238E27FC236}">
              <a16:creationId xmlns:a16="http://schemas.microsoft.com/office/drawing/2014/main" id="{97B18B71-57BA-4471-B602-3DCE1DD02A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6" name="Rectangle 2285">
          <a:extLst>
            <a:ext uri="{FF2B5EF4-FFF2-40B4-BE49-F238E27FC236}">
              <a16:creationId xmlns:a16="http://schemas.microsoft.com/office/drawing/2014/main" id="{259EC6DD-B117-4D9D-9508-2DD83F0803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7" name="Rectangle 11">
          <a:extLst>
            <a:ext uri="{FF2B5EF4-FFF2-40B4-BE49-F238E27FC236}">
              <a16:creationId xmlns:a16="http://schemas.microsoft.com/office/drawing/2014/main" id="{35BF936E-6273-42E9-9A1D-8EA62E3207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8" name="Rectangle 2287">
          <a:extLst>
            <a:ext uri="{FF2B5EF4-FFF2-40B4-BE49-F238E27FC236}">
              <a16:creationId xmlns:a16="http://schemas.microsoft.com/office/drawing/2014/main" id="{4546FB79-51B6-4CEA-B8E8-1F93AA7F7B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9" name="Rectangle 2288">
          <a:extLst>
            <a:ext uri="{FF2B5EF4-FFF2-40B4-BE49-F238E27FC236}">
              <a16:creationId xmlns:a16="http://schemas.microsoft.com/office/drawing/2014/main" id="{550FDE5B-6290-41A6-B092-7EB0007984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0" name="Rectangle 2289">
          <a:extLst>
            <a:ext uri="{FF2B5EF4-FFF2-40B4-BE49-F238E27FC236}">
              <a16:creationId xmlns:a16="http://schemas.microsoft.com/office/drawing/2014/main" id="{D69922B1-D5F5-4832-836C-02B4811C1E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1" name="Rectangle 11">
          <a:extLst>
            <a:ext uri="{FF2B5EF4-FFF2-40B4-BE49-F238E27FC236}">
              <a16:creationId xmlns:a16="http://schemas.microsoft.com/office/drawing/2014/main" id="{A55387A0-0C20-4A49-8C8A-ADB7D1243E1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2" name="Rectangle 2291">
          <a:extLst>
            <a:ext uri="{FF2B5EF4-FFF2-40B4-BE49-F238E27FC236}">
              <a16:creationId xmlns:a16="http://schemas.microsoft.com/office/drawing/2014/main" id="{CB775F8C-0CDD-4C78-8718-92AA7251C2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3" name="Rectangle 11">
          <a:extLst>
            <a:ext uri="{FF2B5EF4-FFF2-40B4-BE49-F238E27FC236}">
              <a16:creationId xmlns:a16="http://schemas.microsoft.com/office/drawing/2014/main" id="{FD8DD8A4-D5F8-4A4C-8213-3358E977CB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4" name="Rectangle 2293">
          <a:extLst>
            <a:ext uri="{FF2B5EF4-FFF2-40B4-BE49-F238E27FC236}">
              <a16:creationId xmlns:a16="http://schemas.microsoft.com/office/drawing/2014/main" id="{5645A2DF-1035-4C9F-9208-3D062EE668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5" name="Rectangle 11">
          <a:extLst>
            <a:ext uri="{FF2B5EF4-FFF2-40B4-BE49-F238E27FC236}">
              <a16:creationId xmlns:a16="http://schemas.microsoft.com/office/drawing/2014/main" id="{965F1991-223F-493C-A76C-6F1CB0DE6B2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6" name="Rectangle 2295">
          <a:extLst>
            <a:ext uri="{FF2B5EF4-FFF2-40B4-BE49-F238E27FC236}">
              <a16:creationId xmlns:a16="http://schemas.microsoft.com/office/drawing/2014/main" id="{5A37E560-EEE6-4AE9-B4B3-CF2E78FB06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7" name="Rectangle 11">
          <a:extLst>
            <a:ext uri="{FF2B5EF4-FFF2-40B4-BE49-F238E27FC236}">
              <a16:creationId xmlns:a16="http://schemas.microsoft.com/office/drawing/2014/main" id="{C3F10F41-E4DF-4826-96C1-81ADDFF57B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8" name="Rectangle 2297">
          <a:extLst>
            <a:ext uri="{FF2B5EF4-FFF2-40B4-BE49-F238E27FC236}">
              <a16:creationId xmlns:a16="http://schemas.microsoft.com/office/drawing/2014/main" id="{E26F1F72-2DEA-4C51-87B7-977F9DD314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9" name="Rectangle 11">
          <a:extLst>
            <a:ext uri="{FF2B5EF4-FFF2-40B4-BE49-F238E27FC236}">
              <a16:creationId xmlns:a16="http://schemas.microsoft.com/office/drawing/2014/main" id="{475E0960-BB98-46DE-A2FB-67ED2928E3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0" name="Rectangle 2299">
          <a:extLst>
            <a:ext uri="{FF2B5EF4-FFF2-40B4-BE49-F238E27FC236}">
              <a16:creationId xmlns:a16="http://schemas.microsoft.com/office/drawing/2014/main" id="{D1C505A1-D557-4154-BB4B-FABF795ECD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1" name="Rectangle 2300">
          <a:extLst>
            <a:ext uri="{FF2B5EF4-FFF2-40B4-BE49-F238E27FC236}">
              <a16:creationId xmlns:a16="http://schemas.microsoft.com/office/drawing/2014/main" id="{5DFFAB20-F53D-47C4-A46B-3D9CF1C936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2" name="Rectangle 2301">
          <a:extLst>
            <a:ext uri="{FF2B5EF4-FFF2-40B4-BE49-F238E27FC236}">
              <a16:creationId xmlns:a16="http://schemas.microsoft.com/office/drawing/2014/main" id="{6D21F914-6332-4D50-957E-72CC6788C5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3" name="Rectangle 11">
          <a:extLst>
            <a:ext uri="{FF2B5EF4-FFF2-40B4-BE49-F238E27FC236}">
              <a16:creationId xmlns:a16="http://schemas.microsoft.com/office/drawing/2014/main" id="{10F79805-71CB-46BF-906C-05B1A75B30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4" name="Rectangle 2303">
          <a:extLst>
            <a:ext uri="{FF2B5EF4-FFF2-40B4-BE49-F238E27FC236}">
              <a16:creationId xmlns:a16="http://schemas.microsoft.com/office/drawing/2014/main" id="{4731B324-0A48-4FFC-B86F-62DB551426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5" name="Rectangle 11">
          <a:extLst>
            <a:ext uri="{FF2B5EF4-FFF2-40B4-BE49-F238E27FC236}">
              <a16:creationId xmlns:a16="http://schemas.microsoft.com/office/drawing/2014/main" id="{E6465CC4-01CE-4EBD-911C-6E8A67DD74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6" name="Rectangle 2305">
          <a:extLst>
            <a:ext uri="{FF2B5EF4-FFF2-40B4-BE49-F238E27FC236}">
              <a16:creationId xmlns:a16="http://schemas.microsoft.com/office/drawing/2014/main" id="{146A497A-CCE1-4220-AEA5-7D80EC5CA8D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7" name="Rectangle 11">
          <a:extLst>
            <a:ext uri="{FF2B5EF4-FFF2-40B4-BE49-F238E27FC236}">
              <a16:creationId xmlns:a16="http://schemas.microsoft.com/office/drawing/2014/main" id="{DA32946B-9587-46EF-8BF7-000E878B4E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8" name="Rectangle 2307">
          <a:extLst>
            <a:ext uri="{FF2B5EF4-FFF2-40B4-BE49-F238E27FC236}">
              <a16:creationId xmlns:a16="http://schemas.microsoft.com/office/drawing/2014/main" id="{7FB188CA-6880-4AC5-9D2C-6520AD0A00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9" name="Rectangle 11">
          <a:extLst>
            <a:ext uri="{FF2B5EF4-FFF2-40B4-BE49-F238E27FC236}">
              <a16:creationId xmlns:a16="http://schemas.microsoft.com/office/drawing/2014/main" id="{C1A48963-C28C-4391-9A9A-0F63DC4639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0" name="Rectangle 2309">
          <a:extLst>
            <a:ext uri="{FF2B5EF4-FFF2-40B4-BE49-F238E27FC236}">
              <a16:creationId xmlns:a16="http://schemas.microsoft.com/office/drawing/2014/main" id="{ADD9C231-35C1-465A-A86A-8B14A82A3A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1" name="Rectangle 11">
          <a:extLst>
            <a:ext uri="{FF2B5EF4-FFF2-40B4-BE49-F238E27FC236}">
              <a16:creationId xmlns:a16="http://schemas.microsoft.com/office/drawing/2014/main" id="{435E96AD-A991-4888-BCDC-F81210E53F2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2" name="Rectangle 2311">
          <a:extLst>
            <a:ext uri="{FF2B5EF4-FFF2-40B4-BE49-F238E27FC236}">
              <a16:creationId xmlns:a16="http://schemas.microsoft.com/office/drawing/2014/main" id="{FDAF7571-C855-467B-81E6-724C148EC1A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3" name="Rectangle 2312">
          <a:extLst>
            <a:ext uri="{FF2B5EF4-FFF2-40B4-BE49-F238E27FC236}">
              <a16:creationId xmlns:a16="http://schemas.microsoft.com/office/drawing/2014/main" id="{BCF79787-E0FE-4D53-9A2E-6FBDBD2EE8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4" name="Rectangle 2313">
          <a:extLst>
            <a:ext uri="{FF2B5EF4-FFF2-40B4-BE49-F238E27FC236}">
              <a16:creationId xmlns:a16="http://schemas.microsoft.com/office/drawing/2014/main" id="{69D48989-E020-480E-B8CA-598F1B6FF9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5" name="Rectangle 11">
          <a:extLst>
            <a:ext uri="{FF2B5EF4-FFF2-40B4-BE49-F238E27FC236}">
              <a16:creationId xmlns:a16="http://schemas.microsoft.com/office/drawing/2014/main" id="{C874BCE0-8D61-4345-9F5B-A6DF85B71E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6" name="Rectangle 2315">
          <a:extLst>
            <a:ext uri="{FF2B5EF4-FFF2-40B4-BE49-F238E27FC236}">
              <a16:creationId xmlns:a16="http://schemas.microsoft.com/office/drawing/2014/main" id="{F76CCC77-C613-491C-A307-F992FF84D1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7" name="Rectangle 11">
          <a:extLst>
            <a:ext uri="{FF2B5EF4-FFF2-40B4-BE49-F238E27FC236}">
              <a16:creationId xmlns:a16="http://schemas.microsoft.com/office/drawing/2014/main" id="{6378B459-0B2E-45D9-8E5D-5D312EC9AE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8" name="Rectangle 2317">
          <a:extLst>
            <a:ext uri="{FF2B5EF4-FFF2-40B4-BE49-F238E27FC236}">
              <a16:creationId xmlns:a16="http://schemas.microsoft.com/office/drawing/2014/main" id="{A31A26A0-BB01-4643-9705-FBEA588E76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9" name="Rectangle 11">
          <a:extLst>
            <a:ext uri="{FF2B5EF4-FFF2-40B4-BE49-F238E27FC236}">
              <a16:creationId xmlns:a16="http://schemas.microsoft.com/office/drawing/2014/main" id="{CFDA47E6-E611-4E4D-BAF3-1CBCA2A386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0" name="Rectangle 2319">
          <a:extLst>
            <a:ext uri="{FF2B5EF4-FFF2-40B4-BE49-F238E27FC236}">
              <a16:creationId xmlns:a16="http://schemas.microsoft.com/office/drawing/2014/main" id="{2BFEF665-5A12-4F22-A67A-F51958ED9AC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1" name="Rectangle 11">
          <a:extLst>
            <a:ext uri="{FF2B5EF4-FFF2-40B4-BE49-F238E27FC236}">
              <a16:creationId xmlns:a16="http://schemas.microsoft.com/office/drawing/2014/main" id="{12FE77D8-3F3B-4736-9DFE-19F43D73BEC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2" name="Rectangle 2321">
          <a:extLst>
            <a:ext uri="{FF2B5EF4-FFF2-40B4-BE49-F238E27FC236}">
              <a16:creationId xmlns:a16="http://schemas.microsoft.com/office/drawing/2014/main" id="{AD78E853-9F70-4925-9664-6BC6577046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3" name="Rectangle 11">
          <a:extLst>
            <a:ext uri="{FF2B5EF4-FFF2-40B4-BE49-F238E27FC236}">
              <a16:creationId xmlns:a16="http://schemas.microsoft.com/office/drawing/2014/main" id="{33F7CF2A-36EC-4B57-8810-645C9F0624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4" name="Rectangle 2323">
          <a:extLst>
            <a:ext uri="{FF2B5EF4-FFF2-40B4-BE49-F238E27FC236}">
              <a16:creationId xmlns:a16="http://schemas.microsoft.com/office/drawing/2014/main" id="{FE900D5E-B22E-47E4-BF21-35B7C1937DC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5" name="Rectangle 2324">
          <a:extLst>
            <a:ext uri="{FF2B5EF4-FFF2-40B4-BE49-F238E27FC236}">
              <a16:creationId xmlns:a16="http://schemas.microsoft.com/office/drawing/2014/main" id="{FEE883B6-8FA4-4A3C-B833-455FDE4B40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6" name="Rectangle 2325">
          <a:extLst>
            <a:ext uri="{FF2B5EF4-FFF2-40B4-BE49-F238E27FC236}">
              <a16:creationId xmlns:a16="http://schemas.microsoft.com/office/drawing/2014/main" id="{C6757F74-EBD7-4A6C-B204-2F771B9F3C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7" name="Rectangle 11">
          <a:extLst>
            <a:ext uri="{FF2B5EF4-FFF2-40B4-BE49-F238E27FC236}">
              <a16:creationId xmlns:a16="http://schemas.microsoft.com/office/drawing/2014/main" id="{3448E9EC-C9F7-448C-A474-4176D15062F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8" name="Rectangle 2327">
          <a:extLst>
            <a:ext uri="{FF2B5EF4-FFF2-40B4-BE49-F238E27FC236}">
              <a16:creationId xmlns:a16="http://schemas.microsoft.com/office/drawing/2014/main" id="{E02AAA58-F4BF-4A16-85EB-91BCC4A75D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9" name="Rectangle 11">
          <a:extLst>
            <a:ext uri="{FF2B5EF4-FFF2-40B4-BE49-F238E27FC236}">
              <a16:creationId xmlns:a16="http://schemas.microsoft.com/office/drawing/2014/main" id="{FDD38A5A-287F-4729-A6E5-B8C53FD59F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0" name="Rectangle 2329">
          <a:extLst>
            <a:ext uri="{FF2B5EF4-FFF2-40B4-BE49-F238E27FC236}">
              <a16:creationId xmlns:a16="http://schemas.microsoft.com/office/drawing/2014/main" id="{37CFA82B-5A0B-476A-AF48-80BE36EC8C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1" name="Rectangle 11">
          <a:extLst>
            <a:ext uri="{FF2B5EF4-FFF2-40B4-BE49-F238E27FC236}">
              <a16:creationId xmlns:a16="http://schemas.microsoft.com/office/drawing/2014/main" id="{A9CADB50-4ECD-43EF-922F-53EC390ACA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2" name="Rectangle 2331">
          <a:extLst>
            <a:ext uri="{FF2B5EF4-FFF2-40B4-BE49-F238E27FC236}">
              <a16:creationId xmlns:a16="http://schemas.microsoft.com/office/drawing/2014/main" id="{3A13319F-2276-4761-BB2F-715ED90D89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3" name="Rectangle 11">
          <a:extLst>
            <a:ext uri="{FF2B5EF4-FFF2-40B4-BE49-F238E27FC236}">
              <a16:creationId xmlns:a16="http://schemas.microsoft.com/office/drawing/2014/main" id="{8D242127-3FCE-4D8D-87AA-32D274F302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4" name="Rectangle 2333">
          <a:extLst>
            <a:ext uri="{FF2B5EF4-FFF2-40B4-BE49-F238E27FC236}">
              <a16:creationId xmlns:a16="http://schemas.microsoft.com/office/drawing/2014/main" id="{A70CA7F4-502B-4BBB-98FD-0337832EC4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5" name="Rectangle 11">
          <a:extLst>
            <a:ext uri="{FF2B5EF4-FFF2-40B4-BE49-F238E27FC236}">
              <a16:creationId xmlns:a16="http://schemas.microsoft.com/office/drawing/2014/main" id="{1DF0F084-3918-479B-8745-2E9DAF25E2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6" name="Rectangle 2335">
          <a:extLst>
            <a:ext uri="{FF2B5EF4-FFF2-40B4-BE49-F238E27FC236}">
              <a16:creationId xmlns:a16="http://schemas.microsoft.com/office/drawing/2014/main" id="{255E2347-C942-40EF-A08B-53D2DFB9DD5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7" name="Rectangle 2336">
          <a:extLst>
            <a:ext uri="{FF2B5EF4-FFF2-40B4-BE49-F238E27FC236}">
              <a16:creationId xmlns:a16="http://schemas.microsoft.com/office/drawing/2014/main" id="{3DDCE2C8-EAAE-44F8-BE21-4A8790D4B85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8" name="Rectangle 2337">
          <a:extLst>
            <a:ext uri="{FF2B5EF4-FFF2-40B4-BE49-F238E27FC236}">
              <a16:creationId xmlns:a16="http://schemas.microsoft.com/office/drawing/2014/main" id="{C9B3C4D2-98AA-4052-BC7E-0B97779126F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9" name="Rectangle 11">
          <a:extLst>
            <a:ext uri="{FF2B5EF4-FFF2-40B4-BE49-F238E27FC236}">
              <a16:creationId xmlns:a16="http://schemas.microsoft.com/office/drawing/2014/main" id="{E828D612-E739-4138-B3C1-D496313617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0" name="Rectangle 2339">
          <a:extLst>
            <a:ext uri="{FF2B5EF4-FFF2-40B4-BE49-F238E27FC236}">
              <a16:creationId xmlns:a16="http://schemas.microsoft.com/office/drawing/2014/main" id="{04C80DBE-F783-4E4C-AEBC-5ED0718EA58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1" name="Rectangle 11">
          <a:extLst>
            <a:ext uri="{FF2B5EF4-FFF2-40B4-BE49-F238E27FC236}">
              <a16:creationId xmlns:a16="http://schemas.microsoft.com/office/drawing/2014/main" id="{A8EA6576-0894-49F2-9493-BBD37A042DE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2" name="Rectangle 2341">
          <a:extLst>
            <a:ext uri="{FF2B5EF4-FFF2-40B4-BE49-F238E27FC236}">
              <a16:creationId xmlns:a16="http://schemas.microsoft.com/office/drawing/2014/main" id="{F9CE75EA-C145-485A-82E9-2352BEE053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3" name="Rectangle 11">
          <a:extLst>
            <a:ext uri="{FF2B5EF4-FFF2-40B4-BE49-F238E27FC236}">
              <a16:creationId xmlns:a16="http://schemas.microsoft.com/office/drawing/2014/main" id="{256E68DB-4691-480B-8866-91A9F929C8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4" name="Rectangle 2343">
          <a:extLst>
            <a:ext uri="{FF2B5EF4-FFF2-40B4-BE49-F238E27FC236}">
              <a16:creationId xmlns:a16="http://schemas.microsoft.com/office/drawing/2014/main" id="{466D3C5A-3003-4780-B6F9-FE64819D2D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5" name="Rectangle 11">
          <a:extLst>
            <a:ext uri="{FF2B5EF4-FFF2-40B4-BE49-F238E27FC236}">
              <a16:creationId xmlns:a16="http://schemas.microsoft.com/office/drawing/2014/main" id="{46E47E0C-655C-42B0-B18B-B3F7BDF8E50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6" name="Rectangle 2345">
          <a:extLst>
            <a:ext uri="{FF2B5EF4-FFF2-40B4-BE49-F238E27FC236}">
              <a16:creationId xmlns:a16="http://schemas.microsoft.com/office/drawing/2014/main" id="{C064F9B8-5574-454F-93D7-728B39646A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7" name="Rectangle 11">
          <a:extLst>
            <a:ext uri="{FF2B5EF4-FFF2-40B4-BE49-F238E27FC236}">
              <a16:creationId xmlns:a16="http://schemas.microsoft.com/office/drawing/2014/main" id="{4D3BF275-AB81-464E-8EF0-C4D166F680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8" name="Rectangle 2347">
          <a:extLst>
            <a:ext uri="{FF2B5EF4-FFF2-40B4-BE49-F238E27FC236}">
              <a16:creationId xmlns:a16="http://schemas.microsoft.com/office/drawing/2014/main" id="{2F70F832-819A-4D2E-A8C3-4811192EAC3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9" name="Rectangle 2348">
          <a:extLst>
            <a:ext uri="{FF2B5EF4-FFF2-40B4-BE49-F238E27FC236}">
              <a16:creationId xmlns:a16="http://schemas.microsoft.com/office/drawing/2014/main" id="{91F8BEDC-130E-46B7-A702-D3135E00029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0" name="Rectangle 2349">
          <a:extLst>
            <a:ext uri="{FF2B5EF4-FFF2-40B4-BE49-F238E27FC236}">
              <a16:creationId xmlns:a16="http://schemas.microsoft.com/office/drawing/2014/main" id="{BE51046C-A516-4D82-972C-7E9BC04D63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1" name="Rectangle 11">
          <a:extLst>
            <a:ext uri="{FF2B5EF4-FFF2-40B4-BE49-F238E27FC236}">
              <a16:creationId xmlns:a16="http://schemas.microsoft.com/office/drawing/2014/main" id="{D5B447D4-9148-4E80-B1BB-A5B8A9AAD74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2" name="Rectangle 2351">
          <a:extLst>
            <a:ext uri="{FF2B5EF4-FFF2-40B4-BE49-F238E27FC236}">
              <a16:creationId xmlns:a16="http://schemas.microsoft.com/office/drawing/2014/main" id="{AE2A1546-F0EF-4446-A7F2-55530502A4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3" name="Rectangle 11">
          <a:extLst>
            <a:ext uri="{FF2B5EF4-FFF2-40B4-BE49-F238E27FC236}">
              <a16:creationId xmlns:a16="http://schemas.microsoft.com/office/drawing/2014/main" id="{F8BED82E-5CC6-4F4F-A892-9A685494BC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4" name="Rectangle 2353">
          <a:extLst>
            <a:ext uri="{FF2B5EF4-FFF2-40B4-BE49-F238E27FC236}">
              <a16:creationId xmlns:a16="http://schemas.microsoft.com/office/drawing/2014/main" id="{C418F2C4-1826-4ADD-91CB-3270072710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5" name="Rectangle 11">
          <a:extLst>
            <a:ext uri="{FF2B5EF4-FFF2-40B4-BE49-F238E27FC236}">
              <a16:creationId xmlns:a16="http://schemas.microsoft.com/office/drawing/2014/main" id="{403CF218-7D76-4212-AC8F-7AB3A654FD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6" name="Rectangle 2355">
          <a:extLst>
            <a:ext uri="{FF2B5EF4-FFF2-40B4-BE49-F238E27FC236}">
              <a16:creationId xmlns:a16="http://schemas.microsoft.com/office/drawing/2014/main" id="{C977BAA5-69C5-4594-AE38-DC6FA1012B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7" name="Rectangle 11">
          <a:extLst>
            <a:ext uri="{FF2B5EF4-FFF2-40B4-BE49-F238E27FC236}">
              <a16:creationId xmlns:a16="http://schemas.microsoft.com/office/drawing/2014/main" id="{A0E21ADA-5394-4A62-9674-595D9C8910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8" name="Rectangle 2357">
          <a:extLst>
            <a:ext uri="{FF2B5EF4-FFF2-40B4-BE49-F238E27FC236}">
              <a16:creationId xmlns:a16="http://schemas.microsoft.com/office/drawing/2014/main" id="{A0539DA0-69DD-4D94-8114-7AFF02924B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9" name="Rectangle 11">
          <a:extLst>
            <a:ext uri="{FF2B5EF4-FFF2-40B4-BE49-F238E27FC236}">
              <a16:creationId xmlns:a16="http://schemas.microsoft.com/office/drawing/2014/main" id="{24DE058E-9E16-4760-A92B-5D47D66394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0" name="Rectangle 2359">
          <a:extLst>
            <a:ext uri="{FF2B5EF4-FFF2-40B4-BE49-F238E27FC236}">
              <a16:creationId xmlns:a16="http://schemas.microsoft.com/office/drawing/2014/main" id="{0EEDD250-0147-4D5C-B20E-F93BC203BA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1" name="Rectangle 2360">
          <a:extLst>
            <a:ext uri="{FF2B5EF4-FFF2-40B4-BE49-F238E27FC236}">
              <a16:creationId xmlns:a16="http://schemas.microsoft.com/office/drawing/2014/main" id="{0357EB4D-BF3C-4C4C-8DF4-AA659DC595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2" name="Rectangle 2361">
          <a:extLst>
            <a:ext uri="{FF2B5EF4-FFF2-40B4-BE49-F238E27FC236}">
              <a16:creationId xmlns:a16="http://schemas.microsoft.com/office/drawing/2014/main" id="{BB938805-4930-4CFD-A919-5F53E615E2E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3" name="Rectangle 11">
          <a:extLst>
            <a:ext uri="{FF2B5EF4-FFF2-40B4-BE49-F238E27FC236}">
              <a16:creationId xmlns:a16="http://schemas.microsoft.com/office/drawing/2014/main" id="{3EBC6A35-28E7-4A83-AF86-8ADAEAD0FF4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4" name="Rectangle 2363">
          <a:extLst>
            <a:ext uri="{FF2B5EF4-FFF2-40B4-BE49-F238E27FC236}">
              <a16:creationId xmlns:a16="http://schemas.microsoft.com/office/drawing/2014/main" id="{FD2FDC1C-06BE-4F1E-BDD9-3D46BF46A7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5" name="Rectangle 11">
          <a:extLst>
            <a:ext uri="{FF2B5EF4-FFF2-40B4-BE49-F238E27FC236}">
              <a16:creationId xmlns:a16="http://schemas.microsoft.com/office/drawing/2014/main" id="{2317275D-B864-43DC-B33D-AB697F26DC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6" name="Rectangle 2365">
          <a:extLst>
            <a:ext uri="{FF2B5EF4-FFF2-40B4-BE49-F238E27FC236}">
              <a16:creationId xmlns:a16="http://schemas.microsoft.com/office/drawing/2014/main" id="{04070031-5FED-4BE6-BC87-7BC25DECF9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7" name="Rectangle 11">
          <a:extLst>
            <a:ext uri="{FF2B5EF4-FFF2-40B4-BE49-F238E27FC236}">
              <a16:creationId xmlns:a16="http://schemas.microsoft.com/office/drawing/2014/main" id="{B99BEED8-6017-40D6-ACF5-D56F337070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8" name="Rectangle 2367">
          <a:extLst>
            <a:ext uri="{FF2B5EF4-FFF2-40B4-BE49-F238E27FC236}">
              <a16:creationId xmlns:a16="http://schemas.microsoft.com/office/drawing/2014/main" id="{0371C125-5A2F-41D6-AC62-58971D69B9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9" name="Rectangle 11">
          <a:extLst>
            <a:ext uri="{FF2B5EF4-FFF2-40B4-BE49-F238E27FC236}">
              <a16:creationId xmlns:a16="http://schemas.microsoft.com/office/drawing/2014/main" id="{A5B62A0A-4932-44E9-8114-61E351098D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0" name="Rectangle 2369">
          <a:extLst>
            <a:ext uri="{FF2B5EF4-FFF2-40B4-BE49-F238E27FC236}">
              <a16:creationId xmlns:a16="http://schemas.microsoft.com/office/drawing/2014/main" id="{F735B381-9822-447D-AD7D-E75A5D756D0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1" name="Rectangle 11">
          <a:extLst>
            <a:ext uri="{FF2B5EF4-FFF2-40B4-BE49-F238E27FC236}">
              <a16:creationId xmlns:a16="http://schemas.microsoft.com/office/drawing/2014/main" id="{5C595A01-6DCE-4E38-BA76-6DA3C9C96A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2" name="Rectangle 2371">
          <a:extLst>
            <a:ext uri="{FF2B5EF4-FFF2-40B4-BE49-F238E27FC236}">
              <a16:creationId xmlns:a16="http://schemas.microsoft.com/office/drawing/2014/main" id="{0D10C5A1-B3CA-487B-8782-00C75E4FE9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3" name="Rectangle 2372">
          <a:extLst>
            <a:ext uri="{FF2B5EF4-FFF2-40B4-BE49-F238E27FC236}">
              <a16:creationId xmlns:a16="http://schemas.microsoft.com/office/drawing/2014/main" id="{D8E97216-439D-4172-B3F9-4FEECD7B829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4" name="Rectangle 2373">
          <a:extLst>
            <a:ext uri="{FF2B5EF4-FFF2-40B4-BE49-F238E27FC236}">
              <a16:creationId xmlns:a16="http://schemas.microsoft.com/office/drawing/2014/main" id="{C48E60AA-FA93-45D5-8DDA-4542E47AFC0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5" name="Rectangle 11">
          <a:extLst>
            <a:ext uri="{FF2B5EF4-FFF2-40B4-BE49-F238E27FC236}">
              <a16:creationId xmlns:a16="http://schemas.microsoft.com/office/drawing/2014/main" id="{666D6E9A-8725-4EEC-BE2C-BAAFDFB8DD7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6" name="Rectangle 2375">
          <a:extLst>
            <a:ext uri="{FF2B5EF4-FFF2-40B4-BE49-F238E27FC236}">
              <a16:creationId xmlns:a16="http://schemas.microsoft.com/office/drawing/2014/main" id="{F6029F6F-910D-48CC-86D1-CB47DB4CF1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7" name="Rectangle 11">
          <a:extLst>
            <a:ext uri="{FF2B5EF4-FFF2-40B4-BE49-F238E27FC236}">
              <a16:creationId xmlns:a16="http://schemas.microsoft.com/office/drawing/2014/main" id="{5B71C282-5F54-4CAA-8B0E-3523FF6ECD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8" name="Rectangle 2377">
          <a:extLst>
            <a:ext uri="{FF2B5EF4-FFF2-40B4-BE49-F238E27FC236}">
              <a16:creationId xmlns:a16="http://schemas.microsoft.com/office/drawing/2014/main" id="{9E385509-CF3E-4CB2-814E-EC9C9173A7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9" name="Rectangle 11">
          <a:extLst>
            <a:ext uri="{FF2B5EF4-FFF2-40B4-BE49-F238E27FC236}">
              <a16:creationId xmlns:a16="http://schemas.microsoft.com/office/drawing/2014/main" id="{928390FB-21C7-4B9E-BB2E-F625281CA8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0" name="Rectangle 2379">
          <a:extLst>
            <a:ext uri="{FF2B5EF4-FFF2-40B4-BE49-F238E27FC236}">
              <a16:creationId xmlns:a16="http://schemas.microsoft.com/office/drawing/2014/main" id="{A0D6E368-83ED-4D8E-BD2E-6B408EFF7D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1" name="Rectangle 11">
          <a:extLst>
            <a:ext uri="{FF2B5EF4-FFF2-40B4-BE49-F238E27FC236}">
              <a16:creationId xmlns:a16="http://schemas.microsoft.com/office/drawing/2014/main" id="{61E20900-ED44-4D4C-93A5-FDFA58B236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2" name="Rectangle 2381">
          <a:extLst>
            <a:ext uri="{FF2B5EF4-FFF2-40B4-BE49-F238E27FC236}">
              <a16:creationId xmlns:a16="http://schemas.microsoft.com/office/drawing/2014/main" id="{B9760B75-B778-424F-A1FC-F723827B9B7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3" name="Rectangle 11">
          <a:extLst>
            <a:ext uri="{FF2B5EF4-FFF2-40B4-BE49-F238E27FC236}">
              <a16:creationId xmlns:a16="http://schemas.microsoft.com/office/drawing/2014/main" id="{D8A3590C-C69B-4BA4-A6F7-116C59486EF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4" name="Rectangle 2383">
          <a:extLst>
            <a:ext uri="{FF2B5EF4-FFF2-40B4-BE49-F238E27FC236}">
              <a16:creationId xmlns:a16="http://schemas.microsoft.com/office/drawing/2014/main" id="{0EAFF754-EEE8-4694-8C13-F23345F196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5" name="Rectangle 2384">
          <a:extLst>
            <a:ext uri="{FF2B5EF4-FFF2-40B4-BE49-F238E27FC236}">
              <a16:creationId xmlns:a16="http://schemas.microsoft.com/office/drawing/2014/main" id="{634A2B21-CB3C-44D8-88A7-83BBEE8189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6" name="Rectangle 2385">
          <a:extLst>
            <a:ext uri="{FF2B5EF4-FFF2-40B4-BE49-F238E27FC236}">
              <a16:creationId xmlns:a16="http://schemas.microsoft.com/office/drawing/2014/main" id="{69734508-AAA1-410D-B623-EBD62C5DF04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7" name="Rectangle 11">
          <a:extLst>
            <a:ext uri="{FF2B5EF4-FFF2-40B4-BE49-F238E27FC236}">
              <a16:creationId xmlns:a16="http://schemas.microsoft.com/office/drawing/2014/main" id="{DEF6ADF2-4490-43C1-B8B5-C5E578E646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8" name="Rectangle 2387">
          <a:extLst>
            <a:ext uri="{FF2B5EF4-FFF2-40B4-BE49-F238E27FC236}">
              <a16:creationId xmlns:a16="http://schemas.microsoft.com/office/drawing/2014/main" id="{6BABF90A-3502-49D7-A413-1BDAD67421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9" name="Rectangle 11">
          <a:extLst>
            <a:ext uri="{FF2B5EF4-FFF2-40B4-BE49-F238E27FC236}">
              <a16:creationId xmlns:a16="http://schemas.microsoft.com/office/drawing/2014/main" id="{5C789566-9D1F-494A-B237-B0FBF992E70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0" name="Rectangle 2389">
          <a:extLst>
            <a:ext uri="{FF2B5EF4-FFF2-40B4-BE49-F238E27FC236}">
              <a16:creationId xmlns:a16="http://schemas.microsoft.com/office/drawing/2014/main" id="{355C27DC-8BF0-416A-86E6-1416951C783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1" name="Rectangle 11">
          <a:extLst>
            <a:ext uri="{FF2B5EF4-FFF2-40B4-BE49-F238E27FC236}">
              <a16:creationId xmlns:a16="http://schemas.microsoft.com/office/drawing/2014/main" id="{E39637AF-E49C-4073-999D-2517E3F34C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2" name="Rectangle 2391">
          <a:extLst>
            <a:ext uri="{FF2B5EF4-FFF2-40B4-BE49-F238E27FC236}">
              <a16:creationId xmlns:a16="http://schemas.microsoft.com/office/drawing/2014/main" id="{7064B1E0-C10C-4735-94DF-2B91D44E46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3" name="Rectangle 11">
          <a:extLst>
            <a:ext uri="{FF2B5EF4-FFF2-40B4-BE49-F238E27FC236}">
              <a16:creationId xmlns:a16="http://schemas.microsoft.com/office/drawing/2014/main" id="{C303D238-A179-4CB2-9B0B-DCF364DD34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4" name="Rectangle 2393">
          <a:extLst>
            <a:ext uri="{FF2B5EF4-FFF2-40B4-BE49-F238E27FC236}">
              <a16:creationId xmlns:a16="http://schemas.microsoft.com/office/drawing/2014/main" id="{3A3EF1D2-0B79-45D9-8E22-95A4E3F838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5" name="Rectangle 11">
          <a:extLst>
            <a:ext uri="{FF2B5EF4-FFF2-40B4-BE49-F238E27FC236}">
              <a16:creationId xmlns:a16="http://schemas.microsoft.com/office/drawing/2014/main" id="{E2D13A5A-4CF8-45F3-9870-39ECCF11B9E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6" name="Rectangle 2395">
          <a:extLst>
            <a:ext uri="{FF2B5EF4-FFF2-40B4-BE49-F238E27FC236}">
              <a16:creationId xmlns:a16="http://schemas.microsoft.com/office/drawing/2014/main" id="{3CA4750F-2BBF-4B9B-9DC3-47EC17982D0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7" name="Rectangle 2396">
          <a:extLst>
            <a:ext uri="{FF2B5EF4-FFF2-40B4-BE49-F238E27FC236}">
              <a16:creationId xmlns:a16="http://schemas.microsoft.com/office/drawing/2014/main" id="{2C7E9AA0-9F30-4636-A60E-B0E99D2E4F2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8" name="Rectangle 2397">
          <a:extLst>
            <a:ext uri="{FF2B5EF4-FFF2-40B4-BE49-F238E27FC236}">
              <a16:creationId xmlns:a16="http://schemas.microsoft.com/office/drawing/2014/main" id="{44572D9D-3E52-4F5A-8E5B-CF586D0B83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9" name="Rectangle 11">
          <a:extLst>
            <a:ext uri="{FF2B5EF4-FFF2-40B4-BE49-F238E27FC236}">
              <a16:creationId xmlns:a16="http://schemas.microsoft.com/office/drawing/2014/main" id="{D2749EA6-9950-4250-BBF0-4C68F221C7C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0" name="Rectangle 2399">
          <a:extLst>
            <a:ext uri="{FF2B5EF4-FFF2-40B4-BE49-F238E27FC236}">
              <a16:creationId xmlns:a16="http://schemas.microsoft.com/office/drawing/2014/main" id="{D2693C97-CD15-4BB4-8711-F967B86F51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1" name="Rectangle 11">
          <a:extLst>
            <a:ext uri="{FF2B5EF4-FFF2-40B4-BE49-F238E27FC236}">
              <a16:creationId xmlns:a16="http://schemas.microsoft.com/office/drawing/2014/main" id="{86778C19-31BE-4101-8F66-4324B66F895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2" name="Rectangle 2401">
          <a:extLst>
            <a:ext uri="{FF2B5EF4-FFF2-40B4-BE49-F238E27FC236}">
              <a16:creationId xmlns:a16="http://schemas.microsoft.com/office/drawing/2014/main" id="{6388DFBC-E961-4C3A-A770-566CE5FFEE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3" name="Rectangle 11">
          <a:extLst>
            <a:ext uri="{FF2B5EF4-FFF2-40B4-BE49-F238E27FC236}">
              <a16:creationId xmlns:a16="http://schemas.microsoft.com/office/drawing/2014/main" id="{227E4FCD-E577-446F-8EC1-AD043D5465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4" name="Rectangle 2403">
          <a:extLst>
            <a:ext uri="{FF2B5EF4-FFF2-40B4-BE49-F238E27FC236}">
              <a16:creationId xmlns:a16="http://schemas.microsoft.com/office/drawing/2014/main" id="{7A9DECD4-30DE-4268-BB37-1AA3B867BE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5" name="Rectangle 11">
          <a:extLst>
            <a:ext uri="{FF2B5EF4-FFF2-40B4-BE49-F238E27FC236}">
              <a16:creationId xmlns:a16="http://schemas.microsoft.com/office/drawing/2014/main" id="{B351AAD7-7731-4604-AB7D-0955D0FF1C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6" name="Rectangle 2405">
          <a:extLst>
            <a:ext uri="{FF2B5EF4-FFF2-40B4-BE49-F238E27FC236}">
              <a16:creationId xmlns:a16="http://schemas.microsoft.com/office/drawing/2014/main" id="{4CD792C2-20B4-4669-B50C-C459543E505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7" name="Rectangle 11">
          <a:extLst>
            <a:ext uri="{FF2B5EF4-FFF2-40B4-BE49-F238E27FC236}">
              <a16:creationId xmlns:a16="http://schemas.microsoft.com/office/drawing/2014/main" id="{C0F6E5FB-5C39-4940-85F5-7004B04633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8" name="Rectangle 2407">
          <a:extLst>
            <a:ext uri="{FF2B5EF4-FFF2-40B4-BE49-F238E27FC236}">
              <a16:creationId xmlns:a16="http://schemas.microsoft.com/office/drawing/2014/main" id="{0DB6EC89-959E-4CB3-B767-483F9C640D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9" name="Rectangle 2408">
          <a:extLst>
            <a:ext uri="{FF2B5EF4-FFF2-40B4-BE49-F238E27FC236}">
              <a16:creationId xmlns:a16="http://schemas.microsoft.com/office/drawing/2014/main" id="{B133CB67-13E6-4D31-AEB8-84CB222F0C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0" name="Rectangle 2409">
          <a:extLst>
            <a:ext uri="{FF2B5EF4-FFF2-40B4-BE49-F238E27FC236}">
              <a16:creationId xmlns:a16="http://schemas.microsoft.com/office/drawing/2014/main" id="{3ECC4031-05F0-44A9-B267-70CAC1A496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1" name="Rectangle 11">
          <a:extLst>
            <a:ext uri="{FF2B5EF4-FFF2-40B4-BE49-F238E27FC236}">
              <a16:creationId xmlns:a16="http://schemas.microsoft.com/office/drawing/2014/main" id="{0B2546D4-1B29-431B-B6BE-7C6A9E4B71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2" name="Rectangle 2411">
          <a:extLst>
            <a:ext uri="{FF2B5EF4-FFF2-40B4-BE49-F238E27FC236}">
              <a16:creationId xmlns:a16="http://schemas.microsoft.com/office/drawing/2014/main" id="{71BE4AED-443F-49E4-9036-A1F35CDC8F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3" name="Rectangle 11">
          <a:extLst>
            <a:ext uri="{FF2B5EF4-FFF2-40B4-BE49-F238E27FC236}">
              <a16:creationId xmlns:a16="http://schemas.microsoft.com/office/drawing/2014/main" id="{5546C554-A1B2-4AA1-9AE7-EEEF1B56A3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4" name="Rectangle 2413">
          <a:extLst>
            <a:ext uri="{FF2B5EF4-FFF2-40B4-BE49-F238E27FC236}">
              <a16:creationId xmlns:a16="http://schemas.microsoft.com/office/drawing/2014/main" id="{20706669-12F6-4197-8E16-0935F59A29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5" name="Rectangle 11">
          <a:extLst>
            <a:ext uri="{FF2B5EF4-FFF2-40B4-BE49-F238E27FC236}">
              <a16:creationId xmlns:a16="http://schemas.microsoft.com/office/drawing/2014/main" id="{EF64D96A-8D11-4B8A-A1FB-D15844462E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6" name="Rectangle 2415">
          <a:extLst>
            <a:ext uri="{FF2B5EF4-FFF2-40B4-BE49-F238E27FC236}">
              <a16:creationId xmlns:a16="http://schemas.microsoft.com/office/drawing/2014/main" id="{F6456DB3-9125-4085-82CD-2A95956275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7" name="Rectangle 11">
          <a:extLst>
            <a:ext uri="{FF2B5EF4-FFF2-40B4-BE49-F238E27FC236}">
              <a16:creationId xmlns:a16="http://schemas.microsoft.com/office/drawing/2014/main" id="{B0B1CC6F-5631-468A-B57C-47E70F59C6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8" name="Rectangle 2417">
          <a:extLst>
            <a:ext uri="{FF2B5EF4-FFF2-40B4-BE49-F238E27FC236}">
              <a16:creationId xmlns:a16="http://schemas.microsoft.com/office/drawing/2014/main" id="{56BAE073-3447-41F2-9B5D-0860FF902F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9" name="Rectangle 11">
          <a:extLst>
            <a:ext uri="{FF2B5EF4-FFF2-40B4-BE49-F238E27FC236}">
              <a16:creationId xmlns:a16="http://schemas.microsoft.com/office/drawing/2014/main" id="{80C6E0A3-8F6B-4D9F-9CAA-11C6363661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0" name="Rectangle 2419">
          <a:extLst>
            <a:ext uri="{FF2B5EF4-FFF2-40B4-BE49-F238E27FC236}">
              <a16:creationId xmlns:a16="http://schemas.microsoft.com/office/drawing/2014/main" id="{C57FA03F-9D2D-46AD-91C6-A4402FD03F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1" name="Rectangle 2420">
          <a:extLst>
            <a:ext uri="{FF2B5EF4-FFF2-40B4-BE49-F238E27FC236}">
              <a16:creationId xmlns:a16="http://schemas.microsoft.com/office/drawing/2014/main" id="{E0DE83B7-4E1F-45FD-985C-3A4A9F3F1D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2" name="Rectangle 2421">
          <a:extLst>
            <a:ext uri="{FF2B5EF4-FFF2-40B4-BE49-F238E27FC236}">
              <a16:creationId xmlns:a16="http://schemas.microsoft.com/office/drawing/2014/main" id="{5FEF101C-1A61-41E0-A106-29882E5374B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3" name="Rectangle 11">
          <a:extLst>
            <a:ext uri="{FF2B5EF4-FFF2-40B4-BE49-F238E27FC236}">
              <a16:creationId xmlns:a16="http://schemas.microsoft.com/office/drawing/2014/main" id="{4D901397-781B-498B-BEDB-4EF8DF1779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4" name="Rectangle 2423">
          <a:extLst>
            <a:ext uri="{FF2B5EF4-FFF2-40B4-BE49-F238E27FC236}">
              <a16:creationId xmlns:a16="http://schemas.microsoft.com/office/drawing/2014/main" id="{093E9E77-4486-4C7A-B377-2DEBE6644F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5" name="Rectangle 11">
          <a:extLst>
            <a:ext uri="{FF2B5EF4-FFF2-40B4-BE49-F238E27FC236}">
              <a16:creationId xmlns:a16="http://schemas.microsoft.com/office/drawing/2014/main" id="{6EACB4F9-B13A-427D-941E-395DAC8E55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6" name="Rectangle 2425">
          <a:extLst>
            <a:ext uri="{FF2B5EF4-FFF2-40B4-BE49-F238E27FC236}">
              <a16:creationId xmlns:a16="http://schemas.microsoft.com/office/drawing/2014/main" id="{0B7CCF78-48A9-4786-A058-BA4D923B3D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7" name="Rectangle 11">
          <a:extLst>
            <a:ext uri="{FF2B5EF4-FFF2-40B4-BE49-F238E27FC236}">
              <a16:creationId xmlns:a16="http://schemas.microsoft.com/office/drawing/2014/main" id="{F42F3DDC-3011-46FC-A00B-5749A874EA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8" name="Rectangle 2427">
          <a:extLst>
            <a:ext uri="{FF2B5EF4-FFF2-40B4-BE49-F238E27FC236}">
              <a16:creationId xmlns:a16="http://schemas.microsoft.com/office/drawing/2014/main" id="{ADFCE09F-2EA2-4830-81FE-5DB38AB1A1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9" name="Rectangle 11">
          <a:extLst>
            <a:ext uri="{FF2B5EF4-FFF2-40B4-BE49-F238E27FC236}">
              <a16:creationId xmlns:a16="http://schemas.microsoft.com/office/drawing/2014/main" id="{F8AFFC55-B45F-4FBE-859F-977CC5D2E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0" name="Rectangle 2429">
          <a:extLst>
            <a:ext uri="{FF2B5EF4-FFF2-40B4-BE49-F238E27FC236}">
              <a16:creationId xmlns:a16="http://schemas.microsoft.com/office/drawing/2014/main" id="{CC61236C-02E5-490F-955D-E40D0A2BAB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1" name="Rectangle 11">
          <a:extLst>
            <a:ext uri="{FF2B5EF4-FFF2-40B4-BE49-F238E27FC236}">
              <a16:creationId xmlns:a16="http://schemas.microsoft.com/office/drawing/2014/main" id="{265EB49E-D01A-445B-8039-D1606D2F68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2" name="Rectangle 2431">
          <a:extLst>
            <a:ext uri="{FF2B5EF4-FFF2-40B4-BE49-F238E27FC236}">
              <a16:creationId xmlns:a16="http://schemas.microsoft.com/office/drawing/2014/main" id="{8260F0B3-3DC2-4A42-87B3-59E6B976EA8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3" name="Rectangle 2432">
          <a:extLst>
            <a:ext uri="{FF2B5EF4-FFF2-40B4-BE49-F238E27FC236}">
              <a16:creationId xmlns:a16="http://schemas.microsoft.com/office/drawing/2014/main" id="{3E5E3BA2-CFBE-4C38-A1B5-0288E89B9F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4" name="Rectangle 2433">
          <a:extLst>
            <a:ext uri="{FF2B5EF4-FFF2-40B4-BE49-F238E27FC236}">
              <a16:creationId xmlns:a16="http://schemas.microsoft.com/office/drawing/2014/main" id="{DF5D8A2C-7A7A-452B-A0CB-4F162F94EE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5" name="Rectangle 11">
          <a:extLst>
            <a:ext uri="{FF2B5EF4-FFF2-40B4-BE49-F238E27FC236}">
              <a16:creationId xmlns:a16="http://schemas.microsoft.com/office/drawing/2014/main" id="{6BBEF901-432F-4948-B64C-1EE122A58E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6" name="Rectangle 2435">
          <a:extLst>
            <a:ext uri="{FF2B5EF4-FFF2-40B4-BE49-F238E27FC236}">
              <a16:creationId xmlns:a16="http://schemas.microsoft.com/office/drawing/2014/main" id="{E2E74E70-AFA1-4AEE-AAD3-91F72473740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7" name="Rectangle 11">
          <a:extLst>
            <a:ext uri="{FF2B5EF4-FFF2-40B4-BE49-F238E27FC236}">
              <a16:creationId xmlns:a16="http://schemas.microsoft.com/office/drawing/2014/main" id="{C8A39F55-ADF4-4CB8-8C22-4430C82C64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8" name="Rectangle 2437">
          <a:extLst>
            <a:ext uri="{FF2B5EF4-FFF2-40B4-BE49-F238E27FC236}">
              <a16:creationId xmlns:a16="http://schemas.microsoft.com/office/drawing/2014/main" id="{A9041195-BB5C-479A-A860-BB2D72C6F7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9" name="Rectangle 11">
          <a:extLst>
            <a:ext uri="{FF2B5EF4-FFF2-40B4-BE49-F238E27FC236}">
              <a16:creationId xmlns:a16="http://schemas.microsoft.com/office/drawing/2014/main" id="{586B7EAB-AB09-4241-BC93-035BFE0969B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0" name="Rectangle 2439">
          <a:extLst>
            <a:ext uri="{FF2B5EF4-FFF2-40B4-BE49-F238E27FC236}">
              <a16:creationId xmlns:a16="http://schemas.microsoft.com/office/drawing/2014/main" id="{404BEBA7-F836-4EF4-805D-20377FE57E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1" name="Rectangle 11">
          <a:extLst>
            <a:ext uri="{FF2B5EF4-FFF2-40B4-BE49-F238E27FC236}">
              <a16:creationId xmlns:a16="http://schemas.microsoft.com/office/drawing/2014/main" id="{6898EF71-2935-4AFE-B879-7D691204E8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2" name="Rectangle 2441">
          <a:extLst>
            <a:ext uri="{FF2B5EF4-FFF2-40B4-BE49-F238E27FC236}">
              <a16:creationId xmlns:a16="http://schemas.microsoft.com/office/drawing/2014/main" id="{29D4DA30-92FA-4F02-B793-A8D319E5DA0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3" name="Rectangle 11">
          <a:extLst>
            <a:ext uri="{FF2B5EF4-FFF2-40B4-BE49-F238E27FC236}">
              <a16:creationId xmlns:a16="http://schemas.microsoft.com/office/drawing/2014/main" id="{6BE45F54-F23A-4D2A-A49A-7129303A74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4" name="Rectangle 2443">
          <a:extLst>
            <a:ext uri="{FF2B5EF4-FFF2-40B4-BE49-F238E27FC236}">
              <a16:creationId xmlns:a16="http://schemas.microsoft.com/office/drawing/2014/main" id="{06C4AF76-4B23-4E6E-B3DA-0B507D8388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5" name="Rectangle 2444">
          <a:extLst>
            <a:ext uri="{FF2B5EF4-FFF2-40B4-BE49-F238E27FC236}">
              <a16:creationId xmlns:a16="http://schemas.microsoft.com/office/drawing/2014/main" id="{AB140E71-2DD1-439A-8B9F-BA042A029A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6" name="Rectangle 2445">
          <a:extLst>
            <a:ext uri="{FF2B5EF4-FFF2-40B4-BE49-F238E27FC236}">
              <a16:creationId xmlns:a16="http://schemas.microsoft.com/office/drawing/2014/main" id="{2F1D702E-9F56-4A70-B1DF-936449B2D2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7" name="Rectangle 11">
          <a:extLst>
            <a:ext uri="{FF2B5EF4-FFF2-40B4-BE49-F238E27FC236}">
              <a16:creationId xmlns:a16="http://schemas.microsoft.com/office/drawing/2014/main" id="{65589AD6-CA00-4D1A-B04C-BD0D0087F4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8" name="Rectangle 2447">
          <a:extLst>
            <a:ext uri="{FF2B5EF4-FFF2-40B4-BE49-F238E27FC236}">
              <a16:creationId xmlns:a16="http://schemas.microsoft.com/office/drawing/2014/main" id="{7B94A559-EC25-48EA-8A25-211E9BDE74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9" name="Rectangle 11">
          <a:extLst>
            <a:ext uri="{FF2B5EF4-FFF2-40B4-BE49-F238E27FC236}">
              <a16:creationId xmlns:a16="http://schemas.microsoft.com/office/drawing/2014/main" id="{1D2F82D8-3B22-4720-8B92-47540838671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0" name="Rectangle 2449">
          <a:extLst>
            <a:ext uri="{FF2B5EF4-FFF2-40B4-BE49-F238E27FC236}">
              <a16:creationId xmlns:a16="http://schemas.microsoft.com/office/drawing/2014/main" id="{87D30E88-FB7D-4BB0-8072-88740513FF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1" name="Rectangle 11">
          <a:extLst>
            <a:ext uri="{FF2B5EF4-FFF2-40B4-BE49-F238E27FC236}">
              <a16:creationId xmlns:a16="http://schemas.microsoft.com/office/drawing/2014/main" id="{754D5689-9CAD-4257-90A2-6942116D00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2" name="Rectangle 2451">
          <a:extLst>
            <a:ext uri="{FF2B5EF4-FFF2-40B4-BE49-F238E27FC236}">
              <a16:creationId xmlns:a16="http://schemas.microsoft.com/office/drawing/2014/main" id="{C788B98F-881C-445F-9C66-9D9A969B58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3" name="Rectangle 11">
          <a:extLst>
            <a:ext uri="{FF2B5EF4-FFF2-40B4-BE49-F238E27FC236}">
              <a16:creationId xmlns:a16="http://schemas.microsoft.com/office/drawing/2014/main" id="{9C368AA5-9D2C-4714-8BC2-F1DBFE9F3F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4" name="Rectangle 2453">
          <a:extLst>
            <a:ext uri="{FF2B5EF4-FFF2-40B4-BE49-F238E27FC236}">
              <a16:creationId xmlns:a16="http://schemas.microsoft.com/office/drawing/2014/main" id="{DEE03F7D-741E-45A5-8BCD-EA4F572486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5" name="Rectangle 11">
          <a:extLst>
            <a:ext uri="{FF2B5EF4-FFF2-40B4-BE49-F238E27FC236}">
              <a16:creationId xmlns:a16="http://schemas.microsoft.com/office/drawing/2014/main" id="{F7FF71EF-04F7-49CB-994E-FD598CD4A6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6" name="Rectangle 2455">
          <a:extLst>
            <a:ext uri="{FF2B5EF4-FFF2-40B4-BE49-F238E27FC236}">
              <a16:creationId xmlns:a16="http://schemas.microsoft.com/office/drawing/2014/main" id="{09B7D253-EC04-44D7-A101-8DF3CFE71B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7" name="Rectangle 2456">
          <a:extLst>
            <a:ext uri="{FF2B5EF4-FFF2-40B4-BE49-F238E27FC236}">
              <a16:creationId xmlns:a16="http://schemas.microsoft.com/office/drawing/2014/main" id="{354EA011-C8FA-4309-A67B-661DACBEC43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8" name="Rectangle 2457">
          <a:extLst>
            <a:ext uri="{FF2B5EF4-FFF2-40B4-BE49-F238E27FC236}">
              <a16:creationId xmlns:a16="http://schemas.microsoft.com/office/drawing/2014/main" id="{CC9A76D7-1695-4359-92FA-685CD90499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9" name="Rectangle 11">
          <a:extLst>
            <a:ext uri="{FF2B5EF4-FFF2-40B4-BE49-F238E27FC236}">
              <a16:creationId xmlns:a16="http://schemas.microsoft.com/office/drawing/2014/main" id="{E3FFA651-CBAA-4704-99FC-F0675A6A9E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0" name="Rectangle 2459">
          <a:extLst>
            <a:ext uri="{FF2B5EF4-FFF2-40B4-BE49-F238E27FC236}">
              <a16:creationId xmlns:a16="http://schemas.microsoft.com/office/drawing/2014/main" id="{C2759EE2-F083-4C5C-B551-8C9A8B21C3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1" name="Rectangle 11">
          <a:extLst>
            <a:ext uri="{FF2B5EF4-FFF2-40B4-BE49-F238E27FC236}">
              <a16:creationId xmlns:a16="http://schemas.microsoft.com/office/drawing/2014/main" id="{E1857A01-368D-44F8-A359-0AD73F8D39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2" name="Rectangle 2461">
          <a:extLst>
            <a:ext uri="{FF2B5EF4-FFF2-40B4-BE49-F238E27FC236}">
              <a16:creationId xmlns:a16="http://schemas.microsoft.com/office/drawing/2014/main" id="{AFD1E643-467E-4FE0-955D-420E263BEC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3" name="Rectangle 11">
          <a:extLst>
            <a:ext uri="{FF2B5EF4-FFF2-40B4-BE49-F238E27FC236}">
              <a16:creationId xmlns:a16="http://schemas.microsoft.com/office/drawing/2014/main" id="{9F4C1CC0-8B6E-4046-809C-362A4C5FF7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4" name="Rectangle 2463">
          <a:extLst>
            <a:ext uri="{FF2B5EF4-FFF2-40B4-BE49-F238E27FC236}">
              <a16:creationId xmlns:a16="http://schemas.microsoft.com/office/drawing/2014/main" id="{2E423C6B-BB44-4B91-8D30-223FE3DFA4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5" name="Rectangle 11">
          <a:extLst>
            <a:ext uri="{FF2B5EF4-FFF2-40B4-BE49-F238E27FC236}">
              <a16:creationId xmlns:a16="http://schemas.microsoft.com/office/drawing/2014/main" id="{6365DF00-FA4D-4910-A59E-AA7258D634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6" name="Rectangle 2465">
          <a:extLst>
            <a:ext uri="{FF2B5EF4-FFF2-40B4-BE49-F238E27FC236}">
              <a16:creationId xmlns:a16="http://schemas.microsoft.com/office/drawing/2014/main" id="{3762FB05-6A17-4B68-AE72-EB86E4A8F7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7" name="Rectangle 11">
          <a:extLst>
            <a:ext uri="{FF2B5EF4-FFF2-40B4-BE49-F238E27FC236}">
              <a16:creationId xmlns:a16="http://schemas.microsoft.com/office/drawing/2014/main" id="{E161CCDB-C9EE-4280-9BF8-CEA0CF1701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8" name="Rectangle 2467">
          <a:extLst>
            <a:ext uri="{FF2B5EF4-FFF2-40B4-BE49-F238E27FC236}">
              <a16:creationId xmlns:a16="http://schemas.microsoft.com/office/drawing/2014/main" id="{7977875A-073F-4D5D-A468-E95137ABC2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9" name="Rectangle 2468">
          <a:extLst>
            <a:ext uri="{FF2B5EF4-FFF2-40B4-BE49-F238E27FC236}">
              <a16:creationId xmlns:a16="http://schemas.microsoft.com/office/drawing/2014/main" id="{A9ED9E9A-1350-4C75-AEC9-F88C59B1D4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0" name="Rectangle 2469">
          <a:extLst>
            <a:ext uri="{FF2B5EF4-FFF2-40B4-BE49-F238E27FC236}">
              <a16:creationId xmlns:a16="http://schemas.microsoft.com/office/drawing/2014/main" id="{ADAEF32E-7AFA-481D-ABD2-4AAC2B8D0D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1" name="Rectangle 11">
          <a:extLst>
            <a:ext uri="{FF2B5EF4-FFF2-40B4-BE49-F238E27FC236}">
              <a16:creationId xmlns:a16="http://schemas.microsoft.com/office/drawing/2014/main" id="{6C84BF9E-FCB5-421C-B45F-DE878C6756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2" name="Rectangle 2471">
          <a:extLst>
            <a:ext uri="{FF2B5EF4-FFF2-40B4-BE49-F238E27FC236}">
              <a16:creationId xmlns:a16="http://schemas.microsoft.com/office/drawing/2014/main" id="{E86E1907-8844-4A26-B5D3-C992C2638F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3" name="Rectangle 11">
          <a:extLst>
            <a:ext uri="{FF2B5EF4-FFF2-40B4-BE49-F238E27FC236}">
              <a16:creationId xmlns:a16="http://schemas.microsoft.com/office/drawing/2014/main" id="{77711570-B382-4CF8-87B3-9D371EB6A8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4" name="Rectangle 2473">
          <a:extLst>
            <a:ext uri="{FF2B5EF4-FFF2-40B4-BE49-F238E27FC236}">
              <a16:creationId xmlns:a16="http://schemas.microsoft.com/office/drawing/2014/main" id="{24F2434F-3511-46E1-BC23-CA898099A2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5" name="Rectangle 11">
          <a:extLst>
            <a:ext uri="{FF2B5EF4-FFF2-40B4-BE49-F238E27FC236}">
              <a16:creationId xmlns:a16="http://schemas.microsoft.com/office/drawing/2014/main" id="{58DFEFF2-609C-4775-B87C-AA6F25FA71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6" name="Rectangle 2475">
          <a:extLst>
            <a:ext uri="{FF2B5EF4-FFF2-40B4-BE49-F238E27FC236}">
              <a16:creationId xmlns:a16="http://schemas.microsoft.com/office/drawing/2014/main" id="{2D4A4BB4-92C5-42F6-AF0F-DC3E23615D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7" name="Rectangle 11">
          <a:extLst>
            <a:ext uri="{FF2B5EF4-FFF2-40B4-BE49-F238E27FC236}">
              <a16:creationId xmlns:a16="http://schemas.microsoft.com/office/drawing/2014/main" id="{B1430871-70BB-4AFA-A38A-4B6BDCD35C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8" name="Rectangle 2477">
          <a:extLst>
            <a:ext uri="{FF2B5EF4-FFF2-40B4-BE49-F238E27FC236}">
              <a16:creationId xmlns:a16="http://schemas.microsoft.com/office/drawing/2014/main" id="{9AF930D2-3CF9-4064-BC6B-C3860D48B2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9" name="Rectangle 11">
          <a:extLst>
            <a:ext uri="{FF2B5EF4-FFF2-40B4-BE49-F238E27FC236}">
              <a16:creationId xmlns:a16="http://schemas.microsoft.com/office/drawing/2014/main" id="{8FDD3715-3411-4283-8229-7C6522115B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0" name="Rectangle 2479">
          <a:extLst>
            <a:ext uri="{FF2B5EF4-FFF2-40B4-BE49-F238E27FC236}">
              <a16:creationId xmlns:a16="http://schemas.microsoft.com/office/drawing/2014/main" id="{ADF6BCD6-069A-4DD5-952A-5F8815AC99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1" name="Rectangle 2480">
          <a:extLst>
            <a:ext uri="{FF2B5EF4-FFF2-40B4-BE49-F238E27FC236}">
              <a16:creationId xmlns:a16="http://schemas.microsoft.com/office/drawing/2014/main" id="{2DC69397-DB6B-41BE-81BD-E766C38BDB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2" name="Rectangle 2481">
          <a:extLst>
            <a:ext uri="{FF2B5EF4-FFF2-40B4-BE49-F238E27FC236}">
              <a16:creationId xmlns:a16="http://schemas.microsoft.com/office/drawing/2014/main" id="{72BD466C-512C-4FFB-96CA-2867E61273F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3" name="Rectangle 11">
          <a:extLst>
            <a:ext uri="{FF2B5EF4-FFF2-40B4-BE49-F238E27FC236}">
              <a16:creationId xmlns:a16="http://schemas.microsoft.com/office/drawing/2014/main" id="{504C7970-D585-45F8-AAE2-A7B76DAC1D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4" name="Rectangle 2483">
          <a:extLst>
            <a:ext uri="{FF2B5EF4-FFF2-40B4-BE49-F238E27FC236}">
              <a16:creationId xmlns:a16="http://schemas.microsoft.com/office/drawing/2014/main" id="{ED4EA70F-9C05-4244-AC9C-C4ED35DFBA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5" name="Rectangle 11">
          <a:extLst>
            <a:ext uri="{FF2B5EF4-FFF2-40B4-BE49-F238E27FC236}">
              <a16:creationId xmlns:a16="http://schemas.microsoft.com/office/drawing/2014/main" id="{A8837FD0-0961-43AC-AA67-B9FE124620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6" name="Rectangle 2485">
          <a:extLst>
            <a:ext uri="{FF2B5EF4-FFF2-40B4-BE49-F238E27FC236}">
              <a16:creationId xmlns:a16="http://schemas.microsoft.com/office/drawing/2014/main" id="{50DFBA8B-8477-4E07-A730-8729BB2C2C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7" name="Rectangle 11">
          <a:extLst>
            <a:ext uri="{FF2B5EF4-FFF2-40B4-BE49-F238E27FC236}">
              <a16:creationId xmlns:a16="http://schemas.microsoft.com/office/drawing/2014/main" id="{BD3DD583-24AA-47F4-88B7-1EDA3903A1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8" name="Rectangle 2487">
          <a:extLst>
            <a:ext uri="{FF2B5EF4-FFF2-40B4-BE49-F238E27FC236}">
              <a16:creationId xmlns:a16="http://schemas.microsoft.com/office/drawing/2014/main" id="{E1CDA41E-71B2-4DED-B9FE-2B799139E0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9" name="Rectangle 11">
          <a:extLst>
            <a:ext uri="{FF2B5EF4-FFF2-40B4-BE49-F238E27FC236}">
              <a16:creationId xmlns:a16="http://schemas.microsoft.com/office/drawing/2014/main" id="{A2A0EFF7-D47A-453D-8407-3E1E0854E4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0" name="Rectangle 2489">
          <a:extLst>
            <a:ext uri="{FF2B5EF4-FFF2-40B4-BE49-F238E27FC236}">
              <a16:creationId xmlns:a16="http://schemas.microsoft.com/office/drawing/2014/main" id="{6FF6D7DE-4D85-4C2D-BFC4-89B2ECA6A1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1" name="Rectangle 11">
          <a:extLst>
            <a:ext uri="{FF2B5EF4-FFF2-40B4-BE49-F238E27FC236}">
              <a16:creationId xmlns:a16="http://schemas.microsoft.com/office/drawing/2014/main" id="{2315BC4B-D61C-4625-874C-3898DDA68C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2" name="Rectangle 2491">
          <a:extLst>
            <a:ext uri="{FF2B5EF4-FFF2-40B4-BE49-F238E27FC236}">
              <a16:creationId xmlns:a16="http://schemas.microsoft.com/office/drawing/2014/main" id="{4D9ECBED-7D05-426F-BD74-14E6A8714A2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3" name="Rectangle 2492">
          <a:extLst>
            <a:ext uri="{FF2B5EF4-FFF2-40B4-BE49-F238E27FC236}">
              <a16:creationId xmlns:a16="http://schemas.microsoft.com/office/drawing/2014/main" id="{6C30E309-B81A-439A-BA6C-B4DF113674A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4" name="Rectangle 2493">
          <a:extLst>
            <a:ext uri="{FF2B5EF4-FFF2-40B4-BE49-F238E27FC236}">
              <a16:creationId xmlns:a16="http://schemas.microsoft.com/office/drawing/2014/main" id="{E447DDCA-02A4-4243-8C1B-E9C6FF4365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5" name="Rectangle 11">
          <a:extLst>
            <a:ext uri="{FF2B5EF4-FFF2-40B4-BE49-F238E27FC236}">
              <a16:creationId xmlns:a16="http://schemas.microsoft.com/office/drawing/2014/main" id="{DC3AAD86-E62D-4834-8527-8D9225927A3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6" name="Rectangle 2495">
          <a:extLst>
            <a:ext uri="{FF2B5EF4-FFF2-40B4-BE49-F238E27FC236}">
              <a16:creationId xmlns:a16="http://schemas.microsoft.com/office/drawing/2014/main" id="{70DE986F-435C-47BF-8A42-A52D8F646A3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7" name="Rectangle 11">
          <a:extLst>
            <a:ext uri="{FF2B5EF4-FFF2-40B4-BE49-F238E27FC236}">
              <a16:creationId xmlns:a16="http://schemas.microsoft.com/office/drawing/2014/main" id="{EDB48D54-7C3A-4B55-A744-063CB5CA41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8" name="Rectangle 2497">
          <a:extLst>
            <a:ext uri="{FF2B5EF4-FFF2-40B4-BE49-F238E27FC236}">
              <a16:creationId xmlns:a16="http://schemas.microsoft.com/office/drawing/2014/main" id="{DD05E567-293D-4BCD-BF7E-C6F5EC12E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9" name="Rectangle 11">
          <a:extLst>
            <a:ext uri="{FF2B5EF4-FFF2-40B4-BE49-F238E27FC236}">
              <a16:creationId xmlns:a16="http://schemas.microsoft.com/office/drawing/2014/main" id="{007697B5-20FB-41A6-AF01-4CA6931700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0" name="Rectangle 2499">
          <a:extLst>
            <a:ext uri="{FF2B5EF4-FFF2-40B4-BE49-F238E27FC236}">
              <a16:creationId xmlns:a16="http://schemas.microsoft.com/office/drawing/2014/main" id="{7EA7B357-6BCC-416D-B006-2A1209937A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1" name="Rectangle 11">
          <a:extLst>
            <a:ext uri="{FF2B5EF4-FFF2-40B4-BE49-F238E27FC236}">
              <a16:creationId xmlns:a16="http://schemas.microsoft.com/office/drawing/2014/main" id="{C0283F59-B4DF-461C-939C-19B2A89D24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2" name="Rectangle 2501">
          <a:extLst>
            <a:ext uri="{FF2B5EF4-FFF2-40B4-BE49-F238E27FC236}">
              <a16:creationId xmlns:a16="http://schemas.microsoft.com/office/drawing/2014/main" id="{35EBCDE9-BF0E-4F4D-B96F-251D28DECD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3" name="Rectangle 11">
          <a:extLst>
            <a:ext uri="{FF2B5EF4-FFF2-40B4-BE49-F238E27FC236}">
              <a16:creationId xmlns:a16="http://schemas.microsoft.com/office/drawing/2014/main" id="{771BE160-7DA5-4F2E-9A20-69A60C4080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4" name="Rectangle 2503">
          <a:extLst>
            <a:ext uri="{FF2B5EF4-FFF2-40B4-BE49-F238E27FC236}">
              <a16:creationId xmlns:a16="http://schemas.microsoft.com/office/drawing/2014/main" id="{9F8AA469-E69F-405E-8116-5FA8D5030C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5" name="Rectangle 2504">
          <a:extLst>
            <a:ext uri="{FF2B5EF4-FFF2-40B4-BE49-F238E27FC236}">
              <a16:creationId xmlns:a16="http://schemas.microsoft.com/office/drawing/2014/main" id="{BCAEBFE7-0D75-4365-8307-C3706A42BB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6" name="Rectangle 2505">
          <a:extLst>
            <a:ext uri="{FF2B5EF4-FFF2-40B4-BE49-F238E27FC236}">
              <a16:creationId xmlns:a16="http://schemas.microsoft.com/office/drawing/2014/main" id="{76B8935B-5005-4C73-87EC-D1068388D8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7" name="Rectangle 11">
          <a:extLst>
            <a:ext uri="{FF2B5EF4-FFF2-40B4-BE49-F238E27FC236}">
              <a16:creationId xmlns:a16="http://schemas.microsoft.com/office/drawing/2014/main" id="{D2525085-EDA7-4F68-9BFB-69EAF883AB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8" name="Rectangle 2507">
          <a:extLst>
            <a:ext uri="{FF2B5EF4-FFF2-40B4-BE49-F238E27FC236}">
              <a16:creationId xmlns:a16="http://schemas.microsoft.com/office/drawing/2014/main" id="{48BB1DFF-F948-44A8-9BC4-90ED98F3844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9" name="Rectangle 11">
          <a:extLst>
            <a:ext uri="{FF2B5EF4-FFF2-40B4-BE49-F238E27FC236}">
              <a16:creationId xmlns:a16="http://schemas.microsoft.com/office/drawing/2014/main" id="{3159ADDE-0BE7-4DA4-8B3E-5216DCC6EE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0" name="Rectangle 2509">
          <a:extLst>
            <a:ext uri="{FF2B5EF4-FFF2-40B4-BE49-F238E27FC236}">
              <a16:creationId xmlns:a16="http://schemas.microsoft.com/office/drawing/2014/main" id="{3824B066-3D09-4400-818F-CDE9C180DC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1" name="Rectangle 11">
          <a:extLst>
            <a:ext uri="{FF2B5EF4-FFF2-40B4-BE49-F238E27FC236}">
              <a16:creationId xmlns:a16="http://schemas.microsoft.com/office/drawing/2014/main" id="{429437B4-3920-4C0E-AEF4-115FC7FF12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2" name="Rectangle 2511">
          <a:extLst>
            <a:ext uri="{FF2B5EF4-FFF2-40B4-BE49-F238E27FC236}">
              <a16:creationId xmlns:a16="http://schemas.microsoft.com/office/drawing/2014/main" id="{8461527A-D460-4FC5-82A7-E19D04F7A0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3" name="Rectangle 11">
          <a:extLst>
            <a:ext uri="{FF2B5EF4-FFF2-40B4-BE49-F238E27FC236}">
              <a16:creationId xmlns:a16="http://schemas.microsoft.com/office/drawing/2014/main" id="{AAEDF0B0-D79A-401D-B2E6-2F75C4FA96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4" name="Rectangle 2513">
          <a:extLst>
            <a:ext uri="{FF2B5EF4-FFF2-40B4-BE49-F238E27FC236}">
              <a16:creationId xmlns:a16="http://schemas.microsoft.com/office/drawing/2014/main" id="{606A01A9-6700-4B99-91A2-F6D01E4D62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5" name="Rectangle 11">
          <a:extLst>
            <a:ext uri="{FF2B5EF4-FFF2-40B4-BE49-F238E27FC236}">
              <a16:creationId xmlns:a16="http://schemas.microsoft.com/office/drawing/2014/main" id="{B6B7F065-3316-4D24-B399-6509CF7DAD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6" name="Rectangle 2515">
          <a:extLst>
            <a:ext uri="{FF2B5EF4-FFF2-40B4-BE49-F238E27FC236}">
              <a16:creationId xmlns:a16="http://schemas.microsoft.com/office/drawing/2014/main" id="{6A3410A2-A39C-4BD2-A379-D903BB527C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7" name="Rectangle 2516">
          <a:extLst>
            <a:ext uri="{FF2B5EF4-FFF2-40B4-BE49-F238E27FC236}">
              <a16:creationId xmlns:a16="http://schemas.microsoft.com/office/drawing/2014/main" id="{76A85B6F-5877-4F37-86A5-B7364DC749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8" name="Rectangle 2517">
          <a:extLst>
            <a:ext uri="{FF2B5EF4-FFF2-40B4-BE49-F238E27FC236}">
              <a16:creationId xmlns:a16="http://schemas.microsoft.com/office/drawing/2014/main" id="{87BCE6C7-1682-4553-B303-4DF06DE9CAE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9" name="Rectangle 11">
          <a:extLst>
            <a:ext uri="{FF2B5EF4-FFF2-40B4-BE49-F238E27FC236}">
              <a16:creationId xmlns:a16="http://schemas.microsoft.com/office/drawing/2014/main" id="{59ADC0CA-E369-4B80-827E-259F1AEC31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0" name="Rectangle 2519">
          <a:extLst>
            <a:ext uri="{FF2B5EF4-FFF2-40B4-BE49-F238E27FC236}">
              <a16:creationId xmlns:a16="http://schemas.microsoft.com/office/drawing/2014/main" id="{D77CBB33-7B49-42C4-8162-23370EBB40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1" name="Rectangle 11">
          <a:extLst>
            <a:ext uri="{FF2B5EF4-FFF2-40B4-BE49-F238E27FC236}">
              <a16:creationId xmlns:a16="http://schemas.microsoft.com/office/drawing/2014/main" id="{A9E73E1A-1BFE-404F-B688-902731D852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2" name="Rectangle 2521">
          <a:extLst>
            <a:ext uri="{FF2B5EF4-FFF2-40B4-BE49-F238E27FC236}">
              <a16:creationId xmlns:a16="http://schemas.microsoft.com/office/drawing/2014/main" id="{35EA8F7E-FDA8-48A8-8669-53098B8D70C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3" name="Rectangle 11">
          <a:extLst>
            <a:ext uri="{FF2B5EF4-FFF2-40B4-BE49-F238E27FC236}">
              <a16:creationId xmlns:a16="http://schemas.microsoft.com/office/drawing/2014/main" id="{72D22E0A-C0E6-494F-B619-FBACC6BE48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4" name="Rectangle 2523">
          <a:extLst>
            <a:ext uri="{FF2B5EF4-FFF2-40B4-BE49-F238E27FC236}">
              <a16:creationId xmlns:a16="http://schemas.microsoft.com/office/drawing/2014/main" id="{65F1DFAB-AC74-450A-876D-AD1D42564F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5" name="Rectangle 11">
          <a:extLst>
            <a:ext uri="{FF2B5EF4-FFF2-40B4-BE49-F238E27FC236}">
              <a16:creationId xmlns:a16="http://schemas.microsoft.com/office/drawing/2014/main" id="{51F437EE-B62D-4537-90FD-D68F307A2C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6" name="Rectangle 2525">
          <a:extLst>
            <a:ext uri="{FF2B5EF4-FFF2-40B4-BE49-F238E27FC236}">
              <a16:creationId xmlns:a16="http://schemas.microsoft.com/office/drawing/2014/main" id="{94FF4AB6-D9FA-4225-B268-2E681F1B4C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7" name="Rectangle 11">
          <a:extLst>
            <a:ext uri="{FF2B5EF4-FFF2-40B4-BE49-F238E27FC236}">
              <a16:creationId xmlns:a16="http://schemas.microsoft.com/office/drawing/2014/main" id="{91E8B61F-520F-4EF6-86F2-CC87B1CF99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8" name="Rectangle 2527">
          <a:extLst>
            <a:ext uri="{FF2B5EF4-FFF2-40B4-BE49-F238E27FC236}">
              <a16:creationId xmlns:a16="http://schemas.microsoft.com/office/drawing/2014/main" id="{4077A130-F6DC-4EF1-924A-29C48F05A8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9" name="Rectangle 2528">
          <a:extLst>
            <a:ext uri="{FF2B5EF4-FFF2-40B4-BE49-F238E27FC236}">
              <a16:creationId xmlns:a16="http://schemas.microsoft.com/office/drawing/2014/main" id="{45422591-FAC7-4CC6-9050-E014F813B04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0" name="Rectangle 2529">
          <a:extLst>
            <a:ext uri="{FF2B5EF4-FFF2-40B4-BE49-F238E27FC236}">
              <a16:creationId xmlns:a16="http://schemas.microsoft.com/office/drawing/2014/main" id="{F3CA2792-8796-42C6-A365-D5A994DF3A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1" name="Rectangle 11">
          <a:extLst>
            <a:ext uri="{FF2B5EF4-FFF2-40B4-BE49-F238E27FC236}">
              <a16:creationId xmlns:a16="http://schemas.microsoft.com/office/drawing/2014/main" id="{488BF086-53F0-4C47-9038-D940D63CA9D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2" name="Rectangle 2531">
          <a:extLst>
            <a:ext uri="{FF2B5EF4-FFF2-40B4-BE49-F238E27FC236}">
              <a16:creationId xmlns:a16="http://schemas.microsoft.com/office/drawing/2014/main" id="{923D9FAB-3A32-46E3-9F1D-A50B5BA89C0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3" name="Rectangle 11">
          <a:extLst>
            <a:ext uri="{FF2B5EF4-FFF2-40B4-BE49-F238E27FC236}">
              <a16:creationId xmlns:a16="http://schemas.microsoft.com/office/drawing/2014/main" id="{0258DB75-C202-4CBF-8FEC-621D21FDF2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4" name="Rectangle 2533">
          <a:extLst>
            <a:ext uri="{FF2B5EF4-FFF2-40B4-BE49-F238E27FC236}">
              <a16:creationId xmlns:a16="http://schemas.microsoft.com/office/drawing/2014/main" id="{9CCDBC4E-9B04-4720-BF10-06DD2B1DC3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5" name="Rectangle 11">
          <a:extLst>
            <a:ext uri="{FF2B5EF4-FFF2-40B4-BE49-F238E27FC236}">
              <a16:creationId xmlns:a16="http://schemas.microsoft.com/office/drawing/2014/main" id="{6F66994D-342B-46DE-BE3E-627A87D1CA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6" name="Rectangle 2535">
          <a:extLst>
            <a:ext uri="{FF2B5EF4-FFF2-40B4-BE49-F238E27FC236}">
              <a16:creationId xmlns:a16="http://schemas.microsoft.com/office/drawing/2014/main" id="{0BB25AAF-1904-4288-AF30-C3C9ADAA48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7" name="Rectangle 11">
          <a:extLst>
            <a:ext uri="{FF2B5EF4-FFF2-40B4-BE49-F238E27FC236}">
              <a16:creationId xmlns:a16="http://schemas.microsoft.com/office/drawing/2014/main" id="{D5AA2473-D606-4FBB-A45A-E894F80F53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8" name="Rectangle 2537">
          <a:extLst>
            <a:ext uri="{FF2B5EF4-FFF2-40B4-BE49-F238E27FC236}">
              <a16:creationId xmlns:a16="http://schemas.microsoft.com/office/drawing/2014/main" id="{8FF38383-1DD5-4AA5-AB51-1D9581B138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9" name="Rectangle 11">
          <a:extLst>
            <a:ext uri="{FF2B5EF4-FFF2-40B4-BE49-F238E27FC236}">
              <a16:creationId xmlns:a16="http://schemas.microsoft.com/office/drawing/2014/main" id="{7B421265-7447-4DD2-8616-43996A8816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0" name="Rectangle 2539">
          <a:extLst>
            <a:ext uri="{FF2B5EF4-FFF2-40B4-BE49-F238E27FC236}">
              <a16:creationId xmlns:a16="http://schemas.microsoft.com/office/drawing/2014/main" id="{D69FFD06-8C55-419F-BF33-2E80E1683A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1" name="Rectangle 2540">
          <a:extLst>
            <a:ext uri="{FF2B5EF4-FFF2-40B4-BE49-F238E27FC236}">
              <a16:creationId xmlns:a16="http://schemas.microsoft.com/office/drawing/2014/main" id="{48C6AFB2-02A5-4F48-91FA-E289661312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2" name="Rectangle 2541">
          <a:extLst>
            <a:ext uri="{FF2B5EF4-FFF2-40B4-BE49-F238E27FC236}">
              <a16:creationId xmlns:a16="http://schemas.microsoft.com/office/drawing/2014/main" id="{F3862504-C6BC-40F4-AA27-8B1917EF476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3" name="Rectangle 11">
          <a:extLst>
            <a:ext uri="{FF2B5EF4-FFF2-40B4-BE49-F238E27FC236}">
              <a16:creationId xmlns:a16="http://schemas.microsoft.com/office/drawing/2014/main" id="{E6D1C4F9-DC03-429D-9B8D-A9258B567F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4" name="Rectangle 2543">
          <a:extLst>
            <a:ext uri="{FF2B5EF4-FFF2-40B4-BE49-F238E27FC236}">
              <a16:creationId xmlns:a16="http://schemas.microsoft.com/office/drawing/2014/main" id="{96FA019B-2D40-45FA-9876-FA518BA4A8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5" name="Rectangle 11">
          <a:extLst>
            <a:ext uri="{FF2B5EF4-FFF2-40B4-BE49-F238E27FC236}">
              <a16:creationId xmlns:a16="http://schemas.microsoft.com/office/drawing/2014/main" id="{79162C43-E36D-40DF-A8D4-991C24ECAE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6" name="Rectangle 2545">
          <a:extLst>
            <a:ext uri="{FF2B5EF4-FFF2-40B4-BE49-F238E27FC236}">
              <a16:creationId xmlns:a16="http://schemas.microsoft.com/office/drawing/2014/main" id="{92AD4323-43A3-40F2-AD7E-F36D9CB719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7" name="Rectangle 11">
          <a:extLst>
            <a:ext uri="{FF2B5EF4-FFF2-40B4-BE49-F238E27FC236}">
              <a16:creationId xmlns:a16="http://schemas.microsoft.com/office/drawing/2014/main" id="{6AFD20CE-647A-4B19-B771-50B4EF7FDF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8" name="Rectangle 2547">
          <a:extLst>
            <a:ext uri="{FF2B5EF4-FFF2-40B4-BE49-F238E27FC236}">
              <a16:creationId xmlns:a16="http://schemas.microsoft.com/office/drawing/2014/main" id="{01C705F3-E3D4-4F6F-B1B7-CCCB49683F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9" name="Rectangle 11">
          <a:extLst>
            <a:ext uri="{FF2B5EF4-FFF2-40B4-BE49-F238E27FC236}">
              <a16:creationId xmlns:a16="http://schemas.microsoft.com/office/drawing/2014/main" id="{8C00360E-D078-4DA5-952F-FBA346988E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0" name="Rectangle 2549">
          <a:extLst>
            <a:ext uri="{FF2B5EF4-FFF2-40B4-BE49-F238E27FC236}">
              <a16:creationId xmlns:a16="http://schemas.microsoft.com/office/drawing/2014/main" id="{8B595753-E3EF-4455-97AC-CAA623F394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1" name="Rectangle 11">
          <a:extLst>
            <a:ext uri="{FF2B5EF4-FFF2-40B4-BE49-F238E27FC236}">
              <a16:creationId xmlns:a16="http://schemas.microsoft.com/office/drawing/2014/main" id="{5D2C1B1A-95FD-4617-8093-C349E89E9C7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2" name="Rectangle 2551">
          <a:extLst>
            <a:ext uri="{FF2B5EF4-FFF2-40B4-BE49-F238E27FC236}">
              <a16:creationId xmlns:a16="http://schemas.microsoft.com/office/drawing/2014/main" id="{12B5CA1F-6566-43EB-ACA3-23639CCB3A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3" name="Rectangle 2552">
          <a:extLst>
            <a:ext uri="{FF2B5EF4-FFF2-40B4-BE49-F238E27FC236}">
              <a16:creationId xmlns:a16="http://schemas.microsoft.com/office/drawing/2014/main" id="{A76CFB76-F616-4797-BC26-A6D015D7B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4" name="Rectangle 2553">
          <a:extLst>
            <a:ext uri="{FF2B5EF4-FFF2-40B4-BE49-F238E27FC236}">
              <a16:creationId xmlns:a16="http://schemas.microsoft.com/office/drawing/2014/main" id="{EC1C87AD-E771-44C5-A751-B67CA07414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5" name="Rectangle 11">
          <a:extLst>
            <a:ext uri="{FF2B5EF4-FFF2-40B4-BE49-F238E27FC236}">
              <a16:creationId xmlns:a16="http://schemas.microsoft.com/office/drawing/2014/main" id="{4BCEFBB4-8517-4CC0-B1D1-E344272B73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6" name="Rectangle 2555">
          <a:extLst>
            <a:ext uri="{FF2B5EF4-FFF2-40B4-BE49-F238E27FC236}">
              <a16:creationId xmlns:a16="http://schemas.microsoft.com/office/drawing/2014/main" id="{5F228E9F-8859-4749-92FC-4CACE78784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7" name="Rectangle 11">
          <a:extLst>
            <a:ext uri="{FF2B5EF4-FFF2-40B4-BE49-F238E27FC236}">
              <a16:creationId xmlns:a16="http://schemas.microsoft.com/office/drawing/2014/main" id="{4F79EF24-D763-4650-AA10-3E0312F4A4C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8" name="Rectangle 2557">
          <a:extLst>
            <a:ext uri="{FF2B5EF4-FFF2-40B4-BE49-F238E27FC236}">
              <a16:creationId xmlns:a16="http://schemas.microsoft.com/office/drawing/2014/main" id="{B37D27A7-3B68-4C75-B9A4-983EDBFE8B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9" name="Rectangle 11">
          <a:extLst>
            <a:ext uri="{FF2B5EF4-FFF2-40B4-BE49-F238E27FC236}">
              <a16:creationId xmlns:a16="http://schemas.microsoft.com/office/drawing/2014/main" id="{FC182FF8-973C-4668-B3BE-C5C8E6CCCA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0" name="Rectangle 2559">
          <a:extLst>
            <a:ext uri="{FF2B5EF4-FFF2-40B4-BE49-F238E27FC236}">
              <a16:creationId xmlns:a16="http://schemas.microsoft.com/office/drawing/2014/main" id="{FDFFDD4D-7450-4EAD-87EF-65CF3FC43A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1" name="Rectangle 11">
          <a:extLst>
            <a:ext uri="{FF2B5EF4-FFF2-40B4-BE49-F238E27FC236}">
              <a16:creationId xmlns:a16="http://schemas.microsoft.com/office/drawing/2014/main" id="{171BD6FB-BBA2-4CEA-97DE-28CFE56EE5F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2" name="Rectangle 2561">
          <a:extLst>
            <a:ext uri="{FF2B5EF4-FFF2-40B4-BE49-F238E27FC236}">
              <a16:creationId xmlns:a16="http://schemas.microsoft.com/office/drawing/2014/main" id="{3DBC0A9E-B74D-418B-AFDC-6563EA9B66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3" name="Rectangle 11">
          <a:extLst>
            <a:ext uri="{FF2B5EF4-FFF2-40B4-BE49-F238E27FC236}">
              <a16:creationId xmlns:a16="http://schemas.microsoft.com/office/drawing/2014/main" id="{EA4B41BC-F5C1-4931-8F34-AC53B0A40C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4" name="Rectangle 2563">
          <a:extLst>
            <a:ext uri="{FF2B5EF4-FFF2-40B4-BE49-F238E27FC236}">
              <a16:creationId xmlns:a16="http://schemas.microsoft.com/office/drawing/2014/main" id="{1AB9092E-4F26-4B6F-87CB-82A4248581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5" name="Rectangle 2564">
          <a:extLst>
            <a:ext uri="{FF2B5EF4-FFF2-40B4-BE49-F238E27FC236}">
              <a16:creationId xmlns:a16="http://schemas.microsoft.com/office/drawing/2014/main" id="{7776C2FE-B7E4-42D9-942E-C1D5C56FBA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6" name="Rectangle 2565">
          <a:extLst>
            <a:ext uri="{FF2B5EF4-FFF2-40B4-BE49-F238E27FC236}">
              <a16:creationId xmlns:a16="http://schemas.microsoft.com/office/drawing/2014/main" id="{EF0429A4-BA85-4AC7-88BF-CCDE4CC3F2C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7" name="Rectangle 11">
          <a:extLst>
            <a:ext uri="{FF2B5EF4-FFF2-40B4-BE49-F238E27FC236}">
              <a16:creationId xmlns:a16="http://schemas.microsoft.com/office/drawing/2014/main" id="{8CBEA2C2-5AA6-467C-91F8-B71CB5D36D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8" name="Rectangle 2567">
          <a:extLst>
            <a:ext uri="{FF2B5EF4-FFF2-40B4-BE49-F238E27FC236}">
              <a16:creationId xmlns:a16="http://schemas.microsoft.com/office/drawing/2014/main" id="{8D1D796A-DB43-479A-B067-EA718063C9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9" name="Rectangle 11">
          <a:extLst>
            <a:ext uri="{FF2B5EF4-FFF2-40B4-BE49-F238E27FC236}">
              <a16:creationId xmlns:a16="http://schemas.microsoft.com/office/drawing/2014/main" id="{AF575074-10A0-4AA3-A2CF-9300DC4D37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0" name="Rectangle 2569">
          <a:extLst>
            <a:ext uri="{FF2B5EF4-FFF2-40B4-BE49-F238E27FC236}">
              <a16:creationId xmlns:a16="http://schemas.microsoft.com/office/drawing/2014/main" id="{CF7E02CE-2F11-40CE-9536-0D860107AA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1" name="Rectangle 11">
          <a:extLst>
            <a:ext uri="{FF2B5EF4-FFF2-40B4-BE49-F238E27FC236}">
              <a16:creationId xmlns:a16="http://schemas.microsoft.com/office/drawing/2014/main" id="{62DFBF5A-84DA-4DCA-BA5A-781625BB1C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2" name="Rectangle 2571">
          <a:extLst>
            <a:ext uri="{FF2B5EF4-FFF2-40B4-BE49-F238E27FC236}">
              <a16:creationId xmlns:a16="http://schemas.microsoft.com/office/drawing/2014/main" id="{2B4EFEBA-D102-4E06-98B9-1EF48E93178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3" name="Rectangle 11">
          <a:extLst>
            <a:ext uri="{FF2B5EF4-FFF2-40B4-BE49-F238E27FC236}">
              <a16:creationId xmlns:a16="http://schemas.microsoft.com/office/drawing/2014/main" id="{443ECBC3-8E3C-48B1-98CA-79096CBD2D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4" name="Rectangle 2573">
          <a:extLst>
            <a:ext uri="{FF2B5EF4-FFF2-40B4-BE49-F238E27FC236}">
              <a16:creationId xmlns:a16="http://schemas.microsoft.com/office/drawing/2014/main" id="{8149D7A7-716A-4E66-B5DF-8896C1CFFF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5" name="Rectangle 11">
          <a:extLst>
            <a:ext uri="{FF2B5EF4-FFF2-40B4-BE49-F238E27FC236}">
              <a16:creationId xmlns:a16="http://schemas.microsoft.com/office/drawing/2014/main" id="{284EAD8E-CCFB-462A-A2A1-34E25BC339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6" name="Rectangle 2575">
          <a:extLst>
            <a:ext uri="{FF2B5EF4-FFF2-40B4-BE49-F238E27FC236}">
              <a16:creationId xmlns:a16="http://schemas.microsoft.com/office/drawing/2014/main" id="{D7423EF2-5BEB-448E-BD97-95D36EE104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7" name="Rectangle 2576">
          <a:extLst>
            <a:ext uri="{FF2B5EF4-FFF2-40B4-BE49-F238E27FC236}">
              <a16:creationId xmlns:a16="http://schemas.microsoft.com/office/drawing/2014/main" id="{82550904-271F-4D89-9ADA-99AE26CD37F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8" name="Rectangle 2577">
          <a:extLst>
            <a:ext uri="{FF2B5EF4-FFF2-40B4-BE49-F238E27FC236}">
              <a16:creationId xmlns:a16="http://schemas.microsoft.com/office/drawing/2014/main" id="{3D6AB97F-D1CA-4135-B90B-905205F363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9" name="Rectangle 11">
          <a:extLst>
            <a:ext uri="{FF2B5EF4-FFF2-40B4-BE49-F238E27FC236}">
              <a16:creationId xmlns:a16="http://schemas.microsoft.com/office/drawing/2014/main" id="{E4F97ECE-B767-419C-BA2F-995048FB9A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0" name="Rectangle 2579">
          <a:extLst>
            <a:ext uri="{FF2B5EF4-FFF2-40B4-BE49-F238E27FC236}">
              <a16:creationId xmlns:a16="http://schemas.microsoft.com/office/drawing/2014/main" id="{F7F87EC8-1F6A-408A-A38B-E7F7DFB7CD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1" name="Rectangle 11">
          <a:extLst>
            <a:ext uri="{FF2B5EF4-FFF2-40B4-BE49-F238E27FC236}">
              <a16:creationId xmlns:a16="http://schemas.microsoft.com/office/drawing/2014/main" id="{8B9A33D6-BF96-40FF-9A34-74FE128170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2" name="Rectangle 2581">
          <a:extLst>
            <a:ext uri="{FF2B5EF4-FFF2-40B4-BE49-F238E27FC236}">
              <a16:creationId xmlns:a16="http://schemas.microsoft.com/office/drawing/2014/main" id="{9D7CDA71-135B-4D23-BB0A-D5A457473C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3" name="Rectangle 11">
          <a:extLst>
            <a:ext uri="{FF2B5EF4-FFF2-40B4-BE49-F238E27FC236}">
              <a16:creationId xmlns:a16="http://schemas.microsoft.com/office/drawing/2014/main" id="{A1F52B4B-2B78-4724-B76F-34142CDA024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4" name="Rectangle 2583">
          <a:extLst>
            <a:ext uri="{FF2B5EF4-FFF2-40B4-BE49-F238E27FC236}">
              <a16:creationId xmlns:a16="http://schemas.microsoft.com/office/drawing/2014/main" id="{B620FFD5-F506-485E-B420-AF39585D28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5" name="Rectangle 11">
          <a:extLst>
            <a:ext uri="{FF2B5EF4-FFF2-40B4-BE49-F238E27FC236}">
              <a16:creationId xmlns:a16="http://schemas.microsoft.com/office/drawing/2014/main" id="{1CF50D54-AFD5-42F3-AB4D-F2D5A1E295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6" name="Rectangle 2585">
          <a:extLst>
            <a:ext uri="{FF2B5EF4-FFF2-40B4-BE49-F238E27FC236}">
              <a16:creationId xmlns:a16="http://schemas.microsoft.com/office/drawing/2014/main" id="{0C936ABB-15FE-4BA3-A124-133666AF36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7" name="Rectangle 11">
          <a:extLst>
            <a:ext uri="{FF2B5EF4-FFF2-40B4-BE49-F238E27FC236}">
              <a16:creationId xmlns:a16="http://schemas.microsoft.com/office/drawing/2014/main" id="{8907E69F-D7FE-4E70-8A94-08EA69BF98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8" name="Rectangle 2587">
          <a:extLst>
            <a:ext uri="{FF2B5EF4-FFF2-40B4-BE49-F238E27FC236}">
              <a16:creationId xmlns:a16="http://schemas.microsoft.com/office/drawing/2014/main" id="{94C0B30A-61CC-4E75-80F1-55C191BEA5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9" name="Rectangle 2588">
          <a:extLst>
            <a:ext uri="{FF2B5EF4-FFF2-40B4-BE49-F238E27FC236}">
              <a16:creationId xmlns:a16="http://schemas.microsoft.com/office/drawing/2014/main" id="{86682770-2C08-423A-B635-BE47BAA060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0" name="Rectangle 2589">
          <a:extLst>
            <a:ext uri="{FF2B5EF4-FFF2-40B4-BE49-F238E27FC236}">
              <a16:creationId xmlns:a16="http://schemas.microsoft.com/office/drawing/2014/main" id="{9F38FBC7-2C1B-480D-9165-FAF3047DFF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1" name="Rectangle 11">
          <a:extLst>
            <a:ext uri="{FF2B5EF4-FFF2-40B4-BE49-F238E27FC236}">
              <a16:creationId xmlns:a16="http://schemas.microsoft.com/office/drawing/2014/main" id="{19BEF828-025A-4051-AE09-92DDAFFE29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2" name="Rectangle 2591">
          <a:extLst>
            <a:ext uri="{FF2B5EF4-FFF2-40B4-BE49-F238E27FC236}">
              <a16:creationId xmlns:a16="http://schemas.microsoft.com/office/drawing/2014/main" id="{39DFE379-295A-4695-8C36-66261A76C4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3" name="Rectangle 11">
          <a:extLst>
            <a:ext uri="{FF2B5EF4-FFF2-40B4-BE49-F238E27FC236}">
              <a16:creationId xmlns:a16="http://schemas.microsoft.com/office/drawing/2014/main" id="{C5B08F92-5A2C-43C8-A83D-6522644D0D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4" name="Rectangle 2593">
          <a:extLst>
            <a:ext uri="{FF2B5EF4-FFF2-40B4-BE49-F238E27FC236}">
              <a16:creationId xmlns:a16="http://schemas.microsoft.com/office/drawing/2014/main" id="{4BFB9DD1-7DBB-42DB-AF00-DC2E663728C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5" name="Rectangle 11">
          <a:extLst>
            <a:ext uri="{FF2B5EF4-FFF2-40B4-BE49-F238E27FC236}">
              <a16:creationId xmlns:a16="http://schemas.microsoft.com/office/drawing/2014/main" id="{3941EC01-F645-4CD0-9D86-0EE62B9432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6" name="Rectangle 2595">
          <a:extLst>
            <a:ext uri="{FF2B5EF4-FFF2-40B4-BE49-F238E27FC236}">
              <a16:creationId xmlns:a16="http://schemas.microsoft.com/office/drawing/2014/main" id="{1FE4EE35-F941-4A0D-8AE6-9EFE2C1EED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7" name="Rectangle 11">
          <a:extLst>
            <a:ext uri="{FF2B5EF4-FFF2-40B4-BE49-F238E27FC236}">
              <a16:creationId xmlns:a16="http://schemas.microsoft.com/office/drawing/2014/main" id="{B797A33E-164A-41D9-8F15-181C4763568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8" name="Rectangle 2597">
          <a:extLst>
            <a:ext uri="{FF2B5EF4-FFF2-40B4-BE49-F238E27FC236}">
              <a16:creationId xmlns:a16="http://schemas.microsoft.com/office/drawing/2014/main" id="{559AC32B-8B05-44FD-BD30-768DC6A451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9" name="Rectangle 11">
          <a:extLst>
            <a:ext uri="{FF2B5EF4-FFF2-40B4-BE49-F238E27FC236}">
              <a16:creationId xmlns:a16="http://schemas.microsoft.com/office/drawing/2014/main" id="{2308EFE4-6288-4E4B-874C-BED8A8BEDA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0" name="Rectangle 2599">
          <a:extLst>
            <a:ext uri="{FF2B5EF4-FFF2-40B4-BE49-F238E27FC236}">
              <a16:creationId xmlns:a16="http://schemas.microsoft.com/office/drawing/2014/main" id="{C15E3651-9AD7-4FA6-BD53-929A0B2EBB8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1" name="Rectangle 2600">
          <a:extLst>
            <a:ext uri="{FF2B5EF4-FFF2-40B4-BE49-F238E27FC236}">
              <a16:creationId xmlns:a16="http://schemas.microsoft.com/office/drawing/2014/main" id="{37DD893A-2380-4779-A01D-D353B426CF9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2" name="Rectangle 2601">
          <a:extLst>
            <a:ext uri="{FF2B5EF4-FFF2-40B4-BE49-F238E27FC236}">
              <a16:creationId xmlns:a16="http://schemas.microsoft.com/office/drawing/2014/main" id="{ECE8768F-2D1E-4124-8736-1D18C347426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3" name="Rectangle 11">
          <a:extLst>
            <a:ext uri="{FF2B5EF4-FFF2-40B4-BE49-F238E27FC236}">
              <a16:creationId xmlns:a16="http://schemas.microsoft.com/office/drawing/2014/main" id="{6514E5FA-628B-46E8-A95A-1E08B9A901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4" name="Rectangle 2603">
          <a:extLst>
            <a:ext uri="{FF2B5EF4-FFF2-40B4-BE49-F238E27FC236}">
              <a16:creationId xmlns:a16="http://schemas.microsoft.com/office/drawing/2014/main" id="{5CA4ED94-DBA0-4B9D-8BDC-19A5ADBF52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5" name="Rectangle 11">
          <a:extLst>
            <a:ext uri="{FF2B5EF4-FFF2-40B4-BE49-F238E27FC236}">
              <a16:creationId xmlns:a16="http://schemas.microsoft.com/office/drawing/2014/main" id="{7F22925B-15A4-485F-B88C-772C9E4A38C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6" name="Rectangle 2605">
          <a:extLst>
            <a:ext uri="{FF2B5EF4-FFF2-40B4-BE49-F238E27FC236}">
              <a16:creationId xmlns:a16="http://schemas.microsoft.com/office/drawing/2014/main" id="{F00104F3-8997-4CED-9247-684A309F0B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7" name="Rectangle 11">
          <a:extLst>
            <a:ext uri="{FF2B5EF4-FFF2-40B4-BE49-F238E27FC236}">
              <a16:creationId xmlns:a16="http://schemas.microsoft.com/office/drawing/2014/main" id="{D3D0C57F-8701-41E3-A9CF-8FB1F152BF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8" name="Rectangle 2607">
          <a:extLst>
            <a:ext uri="{FF2B5EF4-FFF2-40B4-BE49-F238E27FC236}">
              <a16:creationId xmlns:a16="http://schemas.microsoft.com/office/drawing/2014/main" id="{A581DCDC-2493-4015-BA40-8737A19A57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9" name="Rectangle 11">
          <a:extLst>
            <a:ext uri="{FF2B5EF4-FFF2-40B4-BE49-F238E27FC236}">
              <a16:creationId xmlns:a16="http://schemas.microsoft.com/office/drawing/2014/main" id="{1A618E75-38F1-4CEF-B2C3-4464345D9AD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0" name="Rectangle 2609">
          <a:extLst>
            <a:ext uri="{FF2B5EF4-FFF2-40B4-BE49-F238E27FC236}">
              <a16:creationId xmlns:a16="http://schemas.microsoft.com/office/drawing/2014/main" id="{8CD0F185-F795-4971-BCF8-0226685D667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1" name="Rectangle 11">
          <a:extLst>
            <a:ext uri="{FF2B5EF4-FFF2-40B4-BE49-F238E27FC236}">
              <a16:creationId xmlns:a16="http://schemas.microsoft.com/office/drawing/2014/main" id="{C2140D2F-F90F-4EF2-A2E4-7390CC4C1B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2" name="Rectangle 2611">
          <a:extLst>
            <a:ext uri="{FF2B5EF4-FFF2-40B4-BE49-F238E27FC236}">
              <a16:creationId xmlns:a16="http://schemas.microsoft.com/office/drawing/2014/main" id="{10020F9F-52D1-478F-B4F5-D698DA4000D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3" name="Rectangle 2612">
          <a:extLst>
            <a:ext uri="{FF2B5EF4-FFF2-40B4-BE49-F238E27FC236}">
              <a16:creationId xmlns:a16="http://schemas.microsoft.com/office/drawing/2014/main" id="{9EBF4FDF-2557-4C97-9A06-7DA7BEB48C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4" name="Rectangle 2613">
          <a:extLst>
            <a:ext uri="{FF2B5EF4-FFF2-40B4-BE49-F238E27FC236}">
              <a16:creationId xmlns:a16="http://schemas.microsoft.com/office/drawing/2014/main" id="{AB1A9CD9-9925-45D5-BD0F-60E0AE23DFD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5" name="Rectangle 11">
          <a:extLst>
            <a:ext uri="{FF2B5EF4-FFF2-40B4-BE49-F238E27FC236}">
              <a16:creationId xmlns:a16="http://schemas.microsoft.com/office/drawing/2014/main" id="{A517B961-6F93-483B-9698-49C0CEF1D4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6" name="Rectangle 2615">
          <a:extLst>
            <a:ext uri="{FF2B5EF4-FFF2-40B4-BE49-F238E27FC236}">
              <a16:creationId xmlns:a16="http://schemas.microsoft.com/office/drawing/2014/main" id="{C524E2B9-EBE3-4762-8D67-A1AF36C485E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7" name="Rectangle 11">
          <a:extLst>
            <a:ext uri="{FF2B5EF4-FFF2-40B4-BE49-F238E27FC236}">
              <a16:creationId xmlns:a16="http://schemas.microsoft.com/office/drawing/2014/main" id="{EE9CE972-DFFC-472A-BC92-3AC5D2AB66D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8" name="Rectangle 2617">
          <a:extLst>
            <a:ext uri="{FF2B5EF4-FFF2-40B4-BE49-F238E27FC236}">
              <a16:creationId xmlns:a16="http://schemas.microsoft.com/office/drawing/2014/main" id="{D34846A5-EA85-41C4-9C99-05B48D4375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9" name="Rectangle 11">
          <a:extLst>
            <a:ext uri="{FF2B5EF4-FFF2-40B4-BE49-F238E27FC236}">
              <a16:creationId xmlns:a16="http://schemas.microsoft.com/office/drawing/2014/main" id="{6EC75550-8F74-4BD5-9454-92B68E9D7E8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0" name="Rectangle 2619">
          <a:extLst>
            <a:ext uri="{FF2B5EF4-FFF2-40B4-BE49-F238E27FC236}">
              <a16:creationId xmlns:a16="http://schemas.microsoft.com/office/drawing/2014/main" id="{08B87C5A-0A21-4365-8640-D72DEAA0C0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1" name="Rectangle 11">
          <a:extLst>
            <a:ext uri="{FF2B5EF4-FFF2-40B4-BE49-F238E27FC236}">
              <a16:creationId xmlns:a16="http://schemas.microsoft.com/office/drawing/2014/main" id="{BFB08BEC-FAB5-44D5-AE55-39588C2CCE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2" name="Rectangle 2621">
          <a:extLst>
            <a:ext uri="{FF2B5EF4-FFF2-40B4-BE49-F238E27FC236}">
              <a16:creationId xmlns:a16="http://schemas.microsoft.com/office/drawing/2014/main" id="{AC770E65-5075-4785-8B41-26B5A7A238E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3" name="Rectangle 11">
          <a:extLst>
            <a:ext uri="{FF2B5EF4-FFF2-40B4-BE49-F238E27FC236}">
              <a16:creationId xmlns:a16="http://schemas.microsoft.com/office/drawing/2014/main" id="{A3DB6D56-3750-48BA-8DB2-6E8F24AA1B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4" name="Rectangle 2623">
          <a:extLst>
            <a:ext uri="{FF2B5EF4-FFF2-40B4-BE49-F238E27FC236}">
              <a16:creationId xmlns:a16="http://schemas.microsoft.com/office/drawing/2014/main" id="{D895E1D6-163C-47E0-934C-01495F7EEB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5" name="Rectangle 2624">
          <a:extLst>
            <a:ext uri="{FF2B5EF4-FFF2-40B4-BE49-F238E27FC236}">
              <a16:creationId xmlns:a16="http://schemas.microsoft.com/office/drawing/2014/main" id="{4B04C2A7-74FF-45D7-A0A5-8994795D120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6" name="Rectangle 2625">
          <a:extLst>
            <a:ext uri="{FF2B5EF4-FFF2-40B4-BE49-F238E27FC236}">
              <a16:creationId xmlns:a16="http://schemas.microsoft.com/office/drawing/2014/main" id="{F1955B02-A028-4EBC-AC7C-4FB1E0144F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7" name="Rectangle 11">
          <a:extLst>
            <a:ext uri="{FF2B5EF4-FFF2-40B4-BE49-F238E27FC236}">
              <a16:creationId xmlns:a16="http://schemas.microsoft.com/office/drawing/2014/main" id="{DBA2B677-6C7A-47BB-80EF-001F8CB99C6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8" name="Rectangle 2627">
          <a:extLst>
            <a:ext uri="{FF2B5EF4-FFF2-40B4-BE49-F238E27FC236}">
              <a16:creationId xmlns:a16="http://schemas.microsoft.com/office/drawing/2014/main" id="{6DF2224A-96C5-40EA-8DDF-3D5F5CC5E3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9" name="Rectangle 11">
          <a:extLst>
            <a:ext uri="{FF2B5EF4-FFF2-40B4-BE49-F238E27FC236}">
              <a16:creationId xmlns:a16="http://schemas.microsoft.com/office/drawing/2014/main" id="{66FCC695-763D-4F4E-BB90-95E91DAE4BA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0" name="Rectangle 2629">
          <a:extLst>
            <a:ext uri="{FF2B5EF4-FFF2-40B4-BE49-F238E27FC236}">
              <a16:creationId xmlns:a16="http://schemas.microsoft.com/office/drawing/2014/main" id="{F1722B20-E8D2-4560-98AC-AA2162889A4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1" name="Rectangle 11">
          <a:extLst>
            <a:ext uri="{FF2B5EF4-FFF2-40B4-BE49-F238E27FC236}">
              <a16:creationId xmlns:a16="http://schemas.microsoft.com/office/drawing/2014/main" id="{148C8E5C-E028-4E1C-8B96-4A2E9FE3BA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2" name="Rectangle 2631">
          <a:extLst>
            <a:ext uri="{FF2B5EF4-FFF2-40B4-BE49-F238E27FC236}">
              <a16:creationId xmlns:a16="http://schemas.microsoft.com/office/drawing/2014/main" id="{2BAB8EE0-119C-4D95-8B4D-622D22548C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3" name="Rectangle 11">
          <a:extLst>
            <a:ext uri="{FF2B5EF4-FFF2-40B4-BE49-F238E27FC236}">
              <a16:creationId xmlns:a16="http://schemas.microsoft.com/office/drawing/2014/main" id="{247E0E8E-FAED-4AEB-BD2A-CFBF3C39FEE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4" name="Rectangle 2633">
          <a:extLst>
            <a:ext uri="{FF2B5EF4-FFF2-40B4-BE49-F238E27FC236}">
              <a16:creationId xmlns:a16="http://schemas.microsoft.com/office/drawing/2014/main" id="{447DBC45-ACF9-4CEE-8A3E-9CC4F55082C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5" name="Rectangle 11">
          <a:extLst>
            <a:ext uri="{FF2B5EF4-FFF2-40B4-BE49-F238E27FC236}">
              <a16:creationId xmlns:a16="http://schemas.microsoft.com/office/drawing/2014/main" id="{95FDF27D-2248-422C-B355-437A680042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6" name="Rectangle 2635">
          <a:extLst>
            <a:ext uri="{FF2B5EF4-FFF2-40B4-BE49-F238E27FC236}">
              <a16:creationId xmlns:a16="http://schemas.microsoft.com/office/drawing/2014/main" id="{00CA2FEC-4923-4400-AA8E-ABA77515C2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7" name="Rectangle 2636">
          <a:extLst>
            <a:ext uri="{FF2B5EF4-FFF2-40B4-BE49-F238E27FC236}">
              <a16:creationId xmlns:a16="http://schemas.microsoft.com/office/drawing/2014/main" id="{10FA17CE-AE2C-44A7-B556-1529F8E36E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8" name="Rectangle 2637">
          <a:extLst>
            <a:ext uri="{FF2B5EF4-FFF2-40B4-BE49-F238E27FC236}">
              <a16:creationId xmlns:a16="http://schemas.microsoft.com/office/drawing/2014/main" id="{6DBD9608-0CAE-4AEE-B97C-2EF20F674C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9" name="Rectangle 11">
          <a:extLst>
            <a:ext uri="{FF2B5EF4-FFF2-40B4-BE49-F238E27FC236}">
              <a16:creationId xmlns:a16="http://schemas.microsoft.com/office/drawing/2014/main" id="{09939726-2143-4A15-9982-B6A029B929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0" name="Rectangle 2639">
          <a:extLst>
            <a:ext uri="{FF2B5EF4-FFF2-40B4-BE49-F238E27FC236}">
              <a16:creationId xmlns:a16="http://schemas.microsoft.com/office/drawing/2014/main" id="{C32C8AEB-41C8-4FA4-8D72-34DF59F91A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1" name="Rectangle 11">
          <a:extLst>
            <a:ext uri="{FF2B5EF4-FFF2-40B4-BE49-F238E27FC236}">
              <a16:creationId xmlns:a16="http://schemas.microsoft.com/office/drawing/2014/main" id="{DF8CF2ED-A7ED-4321-817D-EEE408383B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2" name="Rectangle 2641">
          <a:extLst>
            <a:ext uri="{FF2B5EF4-FFF2-40B4-BE49-F238E27FC236}">
              <a16:creationId xmlns:a16="http://schemas.microsoft.com/office/drawing/2014/main" id="{ACAB6AD8-A0B1-49DD-8C1F-7FA7392662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3" name="Rectangle 11">
          <a:extLst>
            <a:ext uri="{FF2B5EF4-FFF2-40B4-BE49-F238E27FC236}">
              <a16:creationId xmlns:a16="http://schemas.microsoft.com/office/drawing/2014/main" id="{5A1F0B8C-AD73-49C9-BCF6-3ECE003E9A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4" name="Rectangle 2643">
          <a:extLst>
            <a:ext uri="{FF2B5EF4-FFF2-40B4-BE49-F238E27FC236}">
              <a16:creationId xmlns:a16="http://schemas.microsoft.com/office/drawing/2014/main" id="{F2F25FE3-892D-4082-856C-600B5B87C7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5" name="Rectangle 11">
          <a:extLst>
            <a:ext uri="{FF2B5EF4-FFF2-40B4-BE49-F238E27FC236}">
              <a16:creationId xmlns:a16="http://schemas.microsoft.com/office/drawing/2014/main" id="{6B2C12BF-B520-49D1-B6DE-F69038376D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6" name="Rectangle 2645">
          <a:extLst>
            <a:ext uri="{FF2B5EF4-FFF2-40B4-BE49-F238E27FC236}">
              <a16:creationId xmlns:a16="http://schemas.microsoft.com/office/drawing/2014/main" id="{72C6B8EF-F2BD-46B8-9055-CD363E5D16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7" name="Rectangle 11">
          <a:extLst>
            <a:ext uri="{FF2B5EF4-FFF2-40B4-BE49-F238E27FC236}">
              <a16:creationId xmlns:a16="http://schemas.microsoft.com/office/drawing/2014/main" id="{C158E771-44C3-4BBA-8D58-0DC6C8A581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8" name="Rectangle 2647">
          <a:extLst>
            <a:ext uri="{FF2B5EF4-FFF2-40B4-BE49-F238E27FC236}">
              <a16:creationId xmlns:a16="http://schemas.microsoft.com/office/drawing/2014/main" id="{008E4E20-E5D0-4C3F-8F66-FE025BF1A3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9" name="Rectangle 2648">
          <a:extLst>
            <a:ext uri="{FF2B5EF4-FFF2-40B4-BE49-F238E27FC236}">
              <a16:creationId xmlns:a16="http://schemas.microsoft.com/office/drawing/2014/main" id="{2A3410D9-EA7D-46B3-9455-574D8BA989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0" name="Rectangle 2649">
          <a:extLst>
            <a:ext uri="{FF2B5EF4-FFF2-40B4-BE49-F238E27FC236}">
              <a16:creationId xmlns:a16="http://schemas.microsoft.com/office/drawing/2014/main" id="{0C315802-4C6B-404C-A174-BCCCEC214D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1" name="Rectangle 11">
          <a:extLst>
            <a:ext uri="{FF2B5EF4-FFF2-40B4-BE49-F238E27FC236}">
              <a16:creationId xmlns:a16="http://schemas.microsoft.com/office/drawing/2014/main" id="{AB63B0F8-E434-4AD3-A9CE-C1A9366BBEF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2" name="Rectangle 2651">
          <a:extLst>
            <a:ext uri="{FF2B5EF4-FFF2-40B4-BE49-F238E27FC236}">
              <a16:creationId xmlns:a16="http://schemas.microsoft.com/office/drawing/2014/main" id="{31A7FD3A-1FBC-4ED8-B75F-AD64C3A4A6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3" name="Rectangle 11">
          <a:extLst>
            <a:ext uri="{FF2B5EF4-FFF2-40B4-BE49-F238E27FC236}">
              <a16:creationId xmlns:a16="http://schemas.microsoft.com/office/drawing/2014/main" id="{254E98AF-746B-43BE-93B6-90A89BA717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4" name="Rectangle 2653">
          <a:extLst>
            <a:ext uri="{FF2B5EF4-FFF2-40B4-BE49-F238E27FC236}">
              <a16:creationId xmlns:a16="http://schemas.microsoft.com/office/drawing/2014/main" id="{19F63650-FEA4-4C4D-AED1-08B50E2A0B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5" name="Rectangle 11">
          <a:extLst>
            <a:ext uri="{FF2B5EF4-FFF2-40B4-BE49-F238E27FC236}">
              <a16:creationId xmlns:a16="http://schemas.microsoft.com/office/drawing/2014/main" id="{EE1C2D35-00C1-43A7-993A-B9C3E962E81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6" name="Rectangle 2655">
          <a:extLst>
            <a:ext uri="{FF2B5EF4-FFF2-40B4-BE49-F238E27FC236}">
              <a16:creationId xmlns:a16="http://schemas.microsoft.com/office/drawing/2014/main" id="{D2000B50-8AA7-4C28-B2DF-A48D3582C6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7" name="Rectangle 11">
          <a:extLst>
            <a:ext uri="{FF2B5EF4-FFF2-40B4-BE49-F238E27FC236}">
              <a16:creationId xmlns:a16="http://schemas.microsoft.com/office/drawing/2014/main" id="{49613ACD-BAF0-45A6-88B6-87D3F648AB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8" name="Rectangle 2657">
          <a:extLst>
            <a:ext uri="{FF2B5EF4-FFF2-40B4-BE49-F238E27FC236}">
              <a16:creationId xmlns:a16="http://schemas.microsoft.com/office/drawing/2014/main" id="{D8AE8816-06CC-4AEC-866C-7F69FA3D36E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9" name="Rectangle 11">
          <a:extLst>
            <a:ext uri="{FF2B5EF4-FFF2-40B4-BE49-F238E27FC236}">
              <a16:creationId xmlns:a16="http://schemas.microsoft.com/office/drawing/2014/main" id="{43A0ABD7-5A14-4C27-96CA-AC7B0F9937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0" name="Rectangle 2659">
          <a:extLst>
            <a:ext uri="{FF2B5EF4-FFF2-40B4-BE49-F238E27FC236}">
              <a16:creationId xmlns:a16="http://schemas.microsoft.com/office/drawing/2014/main" id="{9456D119-71A0-4D0A-8DEE-8B701B9F93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1" name="Rectangle 2660">
          <a:extLst>
            <a:ext uri="{FF2B5EF4-FFF2-40B4-BE49-F238E27FC236}">
              <a16:creationId xmlns:a16="http://schemas.microsoft.com/office/drawing/2014/main" id="{CE5B46A6-1AB0-447C-921F-5CC54A9F19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2" name="Rectangle 2661">
          <a:extLst>
            <a:ext uri="{FF2B5EF4-FFF2-40B4-BE49-F238E27FC236}">
              <a16:creationId xmlns:a16="http://schemas.microsoft.com/office/drawing/2014/main" id="{888201B6-8D03-4E18-9F7D-DFC2729C3A8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3" name="Rectangle 11">
          <a:extLst>
            <a:ext uri="{FF2B5EF4-FFF2-40B4-BE49-F238E27FC236}">
              <a16:creationId xmlns:a16="http://schemas.microsoft.com/office/drawing/2014/main" id="{F336BFAA-64F1-408B-94DB-3BC46C69BE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4" name="Rectangle 2663">
          <a:extLst>
            <a:ext uri="{FF2B5EF4-FFF2-40B4-BE49-F238E27FC236}">
              <a16:creationId xmlns:a16="http://schemas.microsoft.com/office/drawing/2014/main" id="{53B12F55-1102-4496-AEA4-57E79D60EA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5" name="Rectangle 11">
          <a:extLst>
            <a:ext uri="{FF2B5EF4-FFF2-40B4-BE49-F238E27FC236}">
              <a16:creationId xmlns:a16="http://schemas.microsoft.com/office/drawing/2014/main" id="{FED27C60-50B8-479D-865A-38481316EC2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6" name="Rectangle 2665">
          <a:extLst>
            <a:ext uri="{FF2B5EF4-FFF2-40B4-BE49-F238E27FC236}">
              <a16:creationId xmlns:a16="http://schemas.microsoft.com/office/drawing/2014/main" id="{C18577CE-275F-44DA-AD13-559B8BD441D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7" name="Rectangle 11">
          <a:extLst>
            <a:ext uri="{FF2B5EF4-FFF2-40B4-BE49-F238E27FC236}">
              <a16:creationId xmlns:a16="http://schemas.microsoft.com/office/drawing/2014/main" id="{CF60FA21-7A0B-4DAC-A276-BF80B9B5F5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8" name="Rectangle 2667">
          <a:extLst>
            <a:ext uri="{FF2B5EF4-FFF2-40B4-BE49-F238E27FC236}">
              <a16:creationId xmlns:a16="http://schemas.microsoft.com/office/drawing/2014/main" id="{9A11EB8B-E7E0-4D3C-9AEF-3F9A3843CA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9" name="Rectangle 11">
          <a:extLst>
            <a:ext uri="{FF2B5EF4-FFF2-40B4-BE49-F238E27FC236}">
              <a16:creationId xmlns:a16="http://schemas.microsoft.com/office/drawing/2014/main" id="{D22EA96F-91D5-40E5-90AF-08FBE42775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0" name="Rectangle 2669">
          <a:extLst>
            <a:ext uri="{FF2B5EF4-FFF2-40B4-BE49-F238E27FC236}">
              <a16:creationId xmlns:a16="http://schemas.microsoft.com/office/drawing/2014/main" id="{35B6BB8C-3EE0-4A1E-9D7E-9F7A7D6B82B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1" name="Rectangle 11">
          <a:extLst>
            <a:ext uri="{FF2B5EF4-FFF2-40B4-BE49-F238E27FC236}">
              <a16:creationId xmlns:a16="http://schemas.microsoft.com/office/drawing/2014/main" id="{6C898805-A184-4122-83A7-6EEA6C1EAA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2" name="Rectangle 2671">
          <a:extLst>
            <a:ext uri="{FF2B5EF4-FFF2-40B4-BE49-F238E27FC236}">
              <a16:creationId xmlns:a16="http://schemas.microsoft.com/office/drawing/2014/main" id="{294B17C6-A0FA-4AE9-A6E7-8FC3F25E30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3" name="Rectangle 2672">
          <a:extLst>
            <a:ext uri="{FF2B5EF4-FFF2-40B4-BE49-F238E27FC236}">
              <a16:creationId xmlns:a16="http://schemas.microsoft.com/office/drawing/2014/main" id="{F9181B53-6457-4379-A80A-968B0721E9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4" name="Rectangle 2673">
          <a:extLst>
            <a:ext uri="{FF2B5EF4-FFF2-40B4-BE49-F238E27FC236}">
              <a16:creationId xmlns:a16="http://schemas.microsoft.com/office/drawing/2014/main" id="{0599BE68-7849-4FE1-ABDC-C3E2793E0BC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5" name="Rectangle 11">
          <a:extLst>
            <a:ext uri="{FF2B5EF4-FFF2-40B4-BE49-F238E27FC236}">
              <a16:creationId xmlns:a16="http://schemas.microsoft.com/office/drawing/2014/main" id="{3FD03941-5074-4864-9A46-BEA06C8FDF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6" name="Rectangle 2675">
          <a:extLst>
            <a:ext uri="{FF2B5EF4-FFF2-40B4-BE49-F238E27FC236}">
              <a16:creationId xmlns:a16="http://schemas.microsoft.com/office/drawing/2014/main" id="{E779185A-CE52-4DC0-B6DB-3689609522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7" name="Rectangle 11">
          <a:extLst>
            <a:ext uri="{FF2B5EF4-FFF2-40B4-BE49-F238E27FC236}">
              <a16:creationId xmlns:a16="http://schemas.microsoft.com/office/drawing/2014/main" id="{FECF8868-99CD-4A55-8C82-FB5DF14CAC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8" name="Rectangle 2677">
          <a:extLst>
            <a:ext uri="{FF2B5EF4-FFF2-40B4-BE49-F238E27FC236}">
              <a16:creationId xmlns:a16="http://schemas.microsoft.com/office/drawing/2014/main" id="{25D054F2-44FB-4657-B774-7F3DF4BC5D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9" name="Rectangle 11">
          <a:extLst>
            <a:ext uri="{FF2B5EF4-FFF2-40B4-BE49-F238E27FC236}">
              <a16:creationId xmlns:a16="http://schemas.microsoft.com/office/drawing/2014/main" id="{46922BEC-9E13-4FA1-B9C8-6C159909DC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0" name="Rectangle 2679">
          <a:extLst>
            <a:ext uri="{FF2B5EF4-FFF2-40B4-BE49-F238E27FC236}">
              <a16:creationId xmlns:a16="http://schemas.microsoft.com/office/drawing/2014/main" id="{52F6EEEA-6751-4C17-9179-0520C06A432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1" name="Rectangle 11">
          <a:extLst>
            <a:ext uri="{FF2B5EF4-FFF2-40B4-BE49-F238E27FC236}">
              <a16:creationId xmlns:a16="http://schemas.microsoft.com/office/drawing/2014/main" id="{9CE9096E-FC27-47F7-BFFA-9385C4C634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2" name="Rectangle 2681">
          <a:extLst>
            <a:ext uri="{FF2B5EF4-FFF2-40B4-BE49-F238E27FC236}">
              <a16:creationId xmlns:a16="http://schemas.microsoft.com/office/drawing/2014/main" id="{023CBF8B-F54E-4E75-9D8B-450929F63B4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3" name="Rectangle 11">
          <a:extLst>
            <a:ext uri="{FF2B5EF4-FFF2-40B4-BE49-F238E27FC236}">
              <a16:creationId xmlns:a16="http://schemas.microsoft.com/office/drawing/2014/main" id="{CF5D1815-A99D-475F-A846-B56179B7C5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4" name="Rectangle 2683">
          <a:extLst>
            <a:ext uri="{FF2B5EF4-FFF2-40B4-BE49-F238E27FC236}">
              <a16:creationId xmlns:a16="http://schemas.microsoft.com/office/drawing/2014/main" id="{8FCF41A0-05CE-480D-92A4-EF62BFC0C78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5" name="Rectangle 2684">
          <a:extLst>
            <a:ext uri="{FF2B5EF4-FFF2-40B4-BE49-F238E27FC236}">
              <a16:creationId xmlns:a16="http://schemas.microsoft.com/office/drawing/2014/main" id="{3C78D934-091F-43AF-B47A-E61CFC69ED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6" name="Rectangle 2685">
          <a:extLst>
            <a:ext uri="{FF2B5EF4-FFF2-40B4-BE49-F238E27FC236}">
              <a16:creationId xmlns:a16="http://schemas.microsoft.com/office/drawing/2014/main" id="{3E186D4A-F863-4EE0-86E5-29E923AF049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7" name="Rectangle 11">
          <a:extLst>
            <a:ext uri="{FF2B5EF4-FFF2-40B4-BE49-F238E27FC236}">
              <a16:creationId xmlns:a16="http://schemas.microsoft.com/office/drawing/2014/main" id="{6034852D-E8D5-4DA0-8A30-176DEA7112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8" name="Rectangle 2687">
          <a:extLst>
            <a:ext uri="{FF2B5EF4-FFF2-40B4-BE49-F238E27FC236}">
              <a16:creationId xmlns:a16="http://schemas.microsoft.com/office/drawing/2014/main" id="{54812095-8AFC-424E-BDF4-BF7DF9B60E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9" name="Rectangle 11">
          <a:extLst>
            <a:ext uri="{FF2B5EF4-FFF2-40B4-BE49-F238E27FC236}">
              <a16:creationId xmlns:a16="http://schemas.microsoft.com/office/drawing/2014/main" id="{8CDCFB3E-F696-4D04-9A32-709ABF2363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0" name="Rectangle 2689">
          <a:extLst>
            <a:ext uri="{FF2B5EF4-FFF2-40B4-BE49-F238E27FC236}">
              <a16:creationId xmlns:a16="http://schemas.microsoft.com/office/drawing/2014/main" id="{D005EA0C-5662-4EC4-926E-7FEF152055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1" name="Rectangle 11">
          <a:extLst>
            <a:ext uri="{FF2B5EF4-FFF2-40B4-BE49-F238E27FC236}">
              <a16:creationId xmlns:a16="http://schemas.microsoft.com/office/drawing/2014/main" id="{7B57B84D-45AD-4D81-A5AF-9783B84EAA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2" name="Rectangle 2691">
          <a:extLst>
            <a:ext uri="{FF2B5EF4-FFF2-40B4-BE49-F238E27FC236}">
              <a16:creationId xmlns:a16="http://schemas.microsoft.com/office/drawing/2014/main" id="{857605BF-1480-4CB9-89A6-4ACE67D826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3" name="Rectangle 11">
          <a:extLst>
            <a:ext uri="{FF2B5EF4-FFF2-40B4-BE49-F238E27FC236}">
              <a16:creationId xmlns:a16="http://schemas.microsoft.com/office/drawing/2014/main" id="{085B0CE8-9A0E-450F-9959-8767818B468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4" name="Rectangle 2693">
          <a:extLst>
            <a:ext uri="{FF2B5EF4-FFF2-40B4-BE49-F238E27FC236}">
              <a16:creationId xmlns:a16="http://schemas.microsoft.com/office/drawing/2014/main" id="{94C10C0D-C0E4-4F8F-B207-56C02C8C01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5" name="Rectangle 11">
          <a:extLst>
            <a:ext uri="{FF2B5EF4-FFF2-40B4-BE49-F238E27FC236}">
              <a16:creationId xmlns:a16="http://schemas.microsoft.com/office/drawing/2014/main" id="{F05833A3-FAC2-43CF-9A9A-9B62FAC9AE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6" name="Rectangle 2695">
          <a:extLst>
            <a:ext uri="{FF2B5EF4-FFF2-40B4-BE49-F238E27FC236}">
              <a16:creationId xmlns:a16="http://schemas.microsoft.com/office/drawing/2014/main" id="{7ACE8097-FD50-40BB-A51E-B1FE180470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7" name="Rectangle 2696">
          <a:extLst>
            <a:ext uri="{FF2B5EF4-FFF2-40B4-BE49-F238E27FC236}">
              <a16:creationId xmlns:a16="http://schemas.microsoft.com/office/drawing/2014/main" id="{1FC66196-A1AF-46BF-8050-6D027468AD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8" name="Rectangle 2697">
          <a:extLst>
            <a:ext uri="{FF2B5EF4-FFF2-40B4-BE49-F238E27FC236}">
              <a16:creationId xmlns:a16="http://schemas.microsoft.com/office/drawing/2014/main" id="{188625D9-96ED-4284-BBBF-29A0B5A803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9" name="Rectangle 11">
          <a:extLst>
            <a:ext uri="{FF2B5EF4-FFF2-40B4-BE49-F238E27FC236}">
              <a16:creationId xmlns:a16="http://schemas.microsoft.com/office/drawing/2014/main" id="{1E0186B8-2082-44C4-89B6-A861C31497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0" name="Rectangle 2699">
          <a:extLst>
            <a:ext uri="{FF2B5EF4-FFF2-40B4-BE49-F238E27FC236}">
              <a16:creationId xmlns:a16="http://schemas.microsoft.com/office/drawing/2014/main" id="{EFFF4822-AE0D-4716-86AB-AFFB57CEB7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1" name="Rectangle 11">
          <a:extLst>
            <a:ext uri="{FF2B5EF4-FFF2-40B4-BE49-F238E27FC236}">
              <a16:creationId xmlns:a16="http://schemas.microsoft.com/office/drawing/2014/main" id="{B26B3783-CEA7-46D7-AC42-9AC97BB827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2" name="Rectangle 2701">
          <a:extLst>
            <a:ext uri="{FF2B5EF4-FFF2-40B4-BE49-F238E27FC236}">
              <a16:creationId xmlns:a16="http://schemas.microsoft.com/office/drawing/2014/main" id="{6B29067A-636C-43DD-A88F-6ECF3AFDE3B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3" name="Rectangle 11">
          <a:extLst>
            <a:ext uri="{FF2B5EF4-FFF2-40B4-BE49-F238E27FC236}">
              <a16:creationId xmlns:a16="http://schemas.microsoft.com/office/drawing/2014/main" id="{4CF8C991-251F-4DA8-ACFD-4737D29860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4" name="Rectangle 2703">
          <a:extLst>
            <a:ext uri="{FF2B5EF4-FFF2-40B4-BE49-F238E27FC236}">
              <a16:creationId xmlns:a16="http://schemas.microsoft.com/office/drawing/2014/main" id="{D95332C6-88A8-4BC4-A7E8-54D05B91F0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5" name="Rectangle 11">
          <a:extLst>
            <a:ext uri="{FF2B5EF4-FFF2-40B4-BE49-F238E27FC236}">
              <a16:creationId xmlns:a16="http://schemas.microsoft.com/office/drawing/2014/main" id="{C97BA51D-0A15-46FD-AF36-B13E5DCDEAC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6" name="Rectangle 2705">
          <a:extLst>
            <a:ext uri="{FF2B5EF4-FFF2-40B4-BE49-F238E27FC236}">
              <a16:creationId xmlns:a16="http://schemas.microsoft.com/office/drawing/2014/main" id="{76AC9980-B0B5-4D72-817F-E32814ED85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7" name="Rectangle 11">
          <a:extLst>
            <a:ext uri="{FF2B5EF4-FFF2-40B4-BE49-F238E27FC236}">
              <a16:creationId xmlns:a16="http://schemas.microsoft.com/office/drawing/2014/main" id="{54ECC6A5-A68F-47EB-8A7B-C4D709C9F3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8" name="Rectangle 2707">
          <a:extLst>
            <a:ext uri="{FF2B5EF4-FFF2-40B4-BE49-F238E27FC236}">
              <a16:creationId xmlns:a16="http://schemas.microsoft.com/office/drawing/2014/main" id="{0AE8144B-61AA-490A-A0D0-CF7F895BC0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9" name="Rectangle 2708">
          <a:extLst>
            <a:ext uri="{FF2B5EF4-FFF2-40B4-BE49-F238E27FC236}">
              <a16:creationId xmlns:a16="http://schemas.microsoft.com/office/drawing/2014/main" id="{7C3B2BB0-E711-4348-9548-8B15B9D4B5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0" name="Rectangle 2709">
          <a:extLst>
            <a:ext uri="{FF2B5EF4-FFF2-40B4-BE49-F238E27FC236}">
              <a16:creationId xmlns:a16="http://schemas.microsoft.com/office/drawing/2014/main" id="{0E1EAE59-87F6-4C8F-BD34-78642953B7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1" name="Rectangle 11">
          <a:extLst>
            <a:ext uri="{FF2B5EF4-FFF2-40B4-BE49-F238E27FC236}">
              <a16:creationId xmlns:a16="http://schemas.microsoft.com/office/drawing/2014/main" id="{DF387DD6-B3CB-40AE-878E-FAC08D500C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2" name="Rectangle 2711">
          <a:extLst>
            <a:ext uri="{FF2B5EF4-FFF2-40B4-BE49-F238E27FC236}">
              <a16:creationId xmlns:a16="http://schemas.microsoft.com/office/drawing/2014/main" id="{48C7EF82-CD48-49D5-A012-6E82EA09C7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3" name="Rectangle 11">
          <a:extLst>
            <a:ext uri="{FF2B5EF4-FFF2-40B4-BE49-F238E27FC236}">
              <a16:creationId xmlns:a16="http://schemas.microsoft.com/office/drawing/2014/main" id="{A1145DF3-0A56-4E61-B646-2730F1FC7E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4" name="Rectangle 2713">
          <a:extLst>
            <a:ext uri="{FF2B5EF4-FFF2-40B4-BE49-F238E27FC236}">
              <a16:creationId xmlns:a16="http://schemas.microsoft.com/office/drawing/2014/main" id="{F9B71EE4-F545-4EB2-AB96-23445FFF16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5" name="Rectangle 11">
          <a:extLst>
            <a:ext uri="{FF2B5EF4-FFF2-40B4-BE49-F238E27FC236}">
              <a16:creationId xmlns:a16="http://schemas.microsoft.com/office/drawing/2014/main" id="{D8CEF7B1-B65B-4D1F-B34A-0593CDE6E0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6" name="Rectangle 2715">
          <a:extLst>
            <a:ext uri="{FF2B5EF4-FFF2-40B4-BE49-F238E27FC236}">
              <a16:creationId xmlns:a16="http://schemas.microsoft.com/office/drawing/2014/main" id="{59FE7657-3CC1-4D0A-AD96-20C4425945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7" name="Rectangle 11">
          <a:extLst>
            <a:ext uri="{FF2B5EF4-FFF2-40B4-BE49-F238E27FC236}">
              <a16:creationId xmlns:a16="http://schemas.microsoft.com/office/drawing/2014/main" id="{87D83EC7-1349-4B4F-A7C9-7DC770E81A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8" name="Rectangle 2717">
          <a:extLst>
            <a:ext uri="{FF2B5EF4-FFF2-40B4-BE49-F238E27FC236}">
              <a16:creationId xmlns:a16="http://schemas.microsoft.com/office/drawing/2014/main" id="{647A20BA-948C-4CF0-8F4C-C4C79E8120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9" name="Rectangle 11">
          <a:extLst>
            <a:ext uri="{FF2B5EF4-FFF2-40B4-BE49-F238E27FC236}">
              <a16:creationId xmlns:a16="http://schemas.microsoft.com/office/drawing/2014/main" id="{4CD3B17F-FB1D-4B1D-8C0E-96C29D54F1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0" name="Rectangle 2719">
          <a:extLst>
            <a:ext uri="{FF2B5EF4-FFF2-40B4-BE49-F238E27FC236}">
              <a16:creationId xmlns:a16="http://schemas.microsoft.com/office/drawing/2014/main" id="{E7B39616-A732-4723-A8F8-FEE742F11A7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1" name="Rectangle 2720">
          <a:extLst>
            <a:ext uri="{FF2B5EF4-FFF2-40B4-BE49-F238E27FC236}">
              <a16:creationId xmlns:a16="http://schemas.microsoft.com/office/drawing/2014/main" id="{5C07B0D9-26B8-478D-A3D1-E29E7D04BD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2" name="Rectangle 2721">
          <a:extLst>
            <a:ext uri="{FF2B5EF4-FFF2-40B4-BE49-F238E27FC236}">
              <a16:creationId xmlns:a16="http://schemas.microsoft.com/office/drawing/2014/main" id="{AC60CF22-061F-40D3-8C4B-75E513CFF86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3" name="Rectangle 11">
          <a:extLst>
            <a:ext uri="{FF2B5EF4-FFF2-40B4-BE49-F238E27FC236}">
              <a16:creationId xmlns:a16="http://schemas.microsoft.com/office/drawing/2014/main" id="{BB18B5D4-8E3A-41C4-9F06-CA1A5DDDA1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4" name="Rectangle 2723">
          <a:extLst>
            <a:ext uri="{FF2B5EF4-FFF2-40B4-BE49-F238E27FC236}">
              <a16:creationId xmlns:a16="http://schemas.microsoft.com/office/drawing/2014/main" id="{9F8E66D3-3BB3-400C-B3B9-DE8D195870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5" name="Rectangle 11">
          <a:extLst>
            <a:ext uri="{FF2B5EF4-FFF2-40B4-BE49-F238E27FC236}">
              <a16:creationId xmlns:a16="http://schemas.microsoft.com/office/drawing/2014/main" id="{07D90EEC-CAA9-48E3-B54F-15BEFD548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6" name="Rectangle 2725">
          <a:extLst>
            <a:ext uri="{FF2B5EF4-FFF2-40B4-BE49-F238E27FC236}">
              <a16:creationId xmlns:a16="http://schemas.microsoft.com/office/drawing/2014/main" id="{4FA1B5E3-2B24-4310-9BA9-C55C5B0B2C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7" name="Rectangle 11">
          <a:extLst>
            <a:ext uri="{FF2B5EF4-FFF2-40B4-BE49-F238E27FC236}">
              <a16:creationId xmlns:a16="http://schemas.microsoft.com/office/drawing/2014/main" id="{242FA190-17BD-41C4-B2BD-901EEBC84BC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8" name="Rectangle 2727">
          <a:extLst>
            <a:ext uri="{FF2B5EF4-FFF2-40B4-BE49-F238E27FC236}">
              <a16:creationId xmlns:a16="http://schemas.microsoft.com/office/drawing/2014/main" id="{884D8AB4-A51C-4672-992D-03691ECFCB9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9" name="Rectangle 11">
          <a:extLst>
            <a:ext uri="{FF2B5EF4-FFF2-40B4-BE49-F238E27FC236}">
              <a16:creationId xmlns:a16="http://schemas.microsoft.com/office/drawing/2014/main" id="{4072C3EC-50C3-45D9-AD8C-B4A80735DF6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0" name="Rectangle 2729">
          <a:extLst>
            <a:ext uri="{FF2B5EF4-FFF2-40B4-BE49-F238E27FC236}">
              <a16:creationId xmlns:a16="http://schemas.microsoft.com/office/drawing/2014/main" id="{3AE5779E-9335-4886-A05A-E8C281DC2C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1" name="Rectangle 11">
          <a:extLst>
            <a:ext uri="{FF2B5EF4-FFF2-40B4-BE49-F238E27FC236}">
              <a16:creationId xmlns:a16="http://schemas.microsoft.com/office/drawing/2014/main" id="{014FE057-B1F3-4774-926A-35351513843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2" name="Rectangle 2731">
          <a:extLst>
            <a:ext uri="{FF2B5EF4-FFF2-40B4-BE49-F238E27FC236}">
              <a16:creationId xmlns:a16="http://schemas.microsoft.com/office/drawing/2014/main" id="{9F3BE8DC-66F2-4D43-8169-293A76E959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3" name="Rectangle 2732">
          <a:extLst>
            <a:ext uri="{FF2B5EF4-FFF2-40B4-BE49-F238E27FC236}">
              <a16:creationId xmlns:a16="http://schemas.microsoft.com/office/drawing/2014/main" id="{A613E5DF-BDD3-412B-8755-B6898CC604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4" name="Rectangle 2733">
          <a:extLst>
            <a:ext uri="{FF2B5EF4-FFF2-40B4-BE49-F238E27FC236}">
              <a16:creationId xmlns:a16="http://schemas.microsoft.com/office/drawing/2014/main" id="{5CBFEBDA-7145-4AC8-8695-2BD3F733501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5" name="Rectangle 11">
          <a:extLst>
            <a:ext uri="{FF2B5EF4-FFF2-40B4-BE49-F238E27FC236}">
              <a16:creationId xmlns:a16="http://schemas.microsoft.com/office/drawing/2014/main" id="{A7CA9506-1990-4439-BF9C-98887FF739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6" name="Rectangle 2735">
          <a:extLst>
            <a:ext uri="{FF2B5EF4-FFF2-40B4-BE49-F238E27FC236}">
              <a16:creationId xmlns:a16="http://schemas.microsoft.com/office/drawing/2014/main" id="{57DF3F34-FA72-4E45-807E-E518AD75A1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7" name="Rectangle 11">
          <a:extLst>
            <a:ext uri="{FF2B5EF4-FFF2-40B4-BE49-F238E27FC236}">
              <a16:creationId xmlns:a16="http://schemas.microsoft.com/office/drawing/2014/main" id="{6ED5C3C4-C029-48EE-AAF6-2E81B01387D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8" name="Rectangle 2737">
          <a:extLst>
            <a:ext uri="{FF2B5EF4-FFF2-40B4-BE49-F238E27FC236}">
              <a16:creationId xmlns:a16="http://schemas.microsoft.com/office/drawing/2014/main" id="{BD3E5684-0E85-4399-B700-C73EEDC177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9" name="Rectangle 11">
          <a:extLst>
            <a:ext uri="{FF2B5EF4-FFF2-40B4-BE49-F238E27FC236}">
              <a16:creationId xmlns:a16="http://schemas.microsoft.com/office/drawing/2014/main" id="{71F6C387-4195-434B-AC82-D366418694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0" name="Rectangle 2739">
          <a:extLst>
            <a:ext uri="{FF2B5EF4-FFF2-40B4-BE49-F238E27FC236}">
              <a16:creationId xmlns:a16="http://schemas.microsoft.com/office/drawing/2014/main" id="{A4510754-2AD2-42F5-9264-EDA620326B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1" name="Rectangle 11">
          <a:extLst>
            <a:ext uri="{FF2B5EF4-FFF2-40B4-BE49-F238E27FC236}">
              <a16:creationId xmlns:a16="http://schemas.microsoft.com/office/drawing/2014/main" id="{4082BA02-0E9B-4699-8EF3-D48DB37CD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2" name="Rectangle 2741">
          <a:extLst>
            <a:ext uri="{FF2B5EF4-FFF2-40B4-BE49-F238E27FC236}">
              <a16:creationId xmlns:a16="http://schemas.microsoft.com/office/drawing/2014/main" id="{6ACEF3D3-2378-4BD7-ADC7-6BA6FDD9D0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3" name="Rectangle 11">
          <a:extLst>
            <a:ext uri="{FF2B5EF4-FFF2-40B4-BE49-F238E27FC236}">
              <a16:creationId xmlns:a16="http://schemas.microsoft.com/office/drawing/2014/main" id="{8426C57A-6617-4EC8-B1B7-FD57A10F84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4" name="Rectangle 2743">
          <a:extLst>
            <a:ext uri="{FF2B5EF4-FFF2-40B4-BE49-F238E27FC236}">
              <a16:creationId xmlns:a16="http://schemas.microsoft.com/office/drawing/2014/main" id="{8F7FA412-A04B-4AF3-977B-3DFC4598AB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5" name="Rectangle 2744">
          <a:extLst>
            <a:ext uri="{FF2B5EF4-FFF2-40B4-BE49-F238E27FC236}">
              <a16:creationId xmlns:a16="http://schemas.microsoft.com/office/drawing/2014/main" id="{4DB8E57C-47B1-4DD3-931F-BFA4D675E95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6" name="Rectangle 2745">
          <a:extLst>
            <a:ext uri="{FF2B5EF4-FFF2-40B4-BE49-F238E27FC236}">
              <a16:creationId xmlns:a16="http://schemas.microsoft.com/office/drawing/2014/main" id="{9325BA7D-D9A5-4338-BB50-E2BD92E473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7" name="Rectangle 11">
          <a:extLst>
            <a:ext uri="{FF2B5EF4-FFF2-40B4-BE49-F238E27FC236}">
              <a16:creationId xmlns:a16="http://schemas.microsoft.com/office/drawing/2014/main" id="{05D3013A-59D4-4DC5-BE83-4ACC51C7A7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8" name="Rectangle 2747">
          <a:extLst>
            <a:ext uri="{FF2B5EF4-FFF2-40B4-BE49-F238E27FC236}">
              <a16:creationId xmlns:a16="http://schemas.microsoft.com/office/drawing/2014/main" id="{FE0FAEDC-A16D-447C-A43E-24D1DA4167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9" name="Rectangle 11">
          <a:extLst>
            <a:ext uri="{FF2B5EF4-FFF2-40B4-BE49-F238E27FC236}">
              <a16:creationId xmlns:a16="http://schemas.microsoft.com/office/drawing/2014/main" id="{4750456C-9A96-411F-AC15-E29D7DF29A2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0" name="Rectangle 2749">
          <a:extLst>
            <a:ext uri="{FF2B5EF4-FFF2-40B4-BE49-F238E27FC236}">
              <a16:creationId xmlns:a16="http://schemas.microsoft.com/office/drawing/2014/main" id="{F4E150DC-734A-4333-98C2-F30ED54C8F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1" name="Rectangle 11">
          <a:extLst>
            <a:ext uri="{FF2B5EF4-FFF2-40B4-BE49-F238E27FC236}">
              <a16:creationId xmlns:a16="http://schemas.microsoft.com/office/drawing/2014/main" id="{15FD867C-4495-44B6-BCFF-C5CED8D079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2" name="Rectangle 2751">
          <a:extLst>
            <a:ext uri="{FF2B5EF4-FFF2-40B4-BE49-F238E27FC236}">
              <a16:creationId xmlns:a16="http://schemas.microsoft.com/office/drawing/2014/main" id="{E2944328-ACA0-4180-9BDF-BCF9A763A0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3" name="Rectangle 11">
          <a:extLst>
            <a:ext uri="{FF2B5EF4-FFF2-40B4-BE49-F238E27FC236}">
              <a16:creationId xmlns:a16="http://schemas.microsoft.com/office/drawing/2014/main" id="{F49594BD-5F5F-4D57-90C8-6C71AA8F43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4" name="Rectangle 2753">
          <a:extLst>
            <a:ext uri="{FF2B5EF4-FFF2-40B4-BE49-F238E27FC236}">
              <a16:creationId xmlns:a16="http://schemas.microsoft.com/office/drawing/2014/main" id="{8E90797A-FD77-4827-B562-35A0E00011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5" name="Rectangle 11">
          <a:extLst>
            <a:ext uri="{FF2B5EF4-FFF2-40B4-BE49-F238E27FC236}">
              <a16:creationId xmlns:a16="http://schemas.microsoft.com/office/drawing/2014/main" id="{0FFFEDB9-94F2-4EB2-BEDD-6D9AD03D68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6" name="Rectangle 2755">
          <a:extLst>
            <a:ext uri="{FF2B5EF4-FFF2-40B4-BE49-F238E27FC236}">
              <a16:creationId xmlns:a16="http://schemas.microsoft.com/office/drawing/2014/main" id="{E994E36D-86F7-4BA5-985B-F19E8E9CA4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7" name="Rectangle 2756">
          <a:extLst>
            <a:ext uri="{FF2B5EF4-FFF2-40B4-BE49-F238E27FC236}">
              <a16:creationId xmlns:a16="http://schemas.microsoft.com/office/drawing/2014/main" id="{F7E5059D-A4B0-4171-A948-02371FB64A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8" name="Rectangle 2757">
          <a:extLst>
            <a:ext uri="{FF2B5EF4-FFF2-40B4-BE49-F238E27FC236}">
              <a16:creationId xmlns:a16="http://schemas.microsoft.com/office/drawing/2014/main" id="{2AA65CA8-79B2-4D00-9873-D7A7A747FA8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9" name="Rectangle 11">
          <a:extLst>
            <a:ext uri="{FF2B5EF4-FFF2-40B4-BE49-F238E27FC236}">
              <a16:creationId xmlns:a16="http://schemas.microsoft.com/office/drawing/2014/main" id="{04B65284-C278-4BD1-954C-EC4F4072009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0" name="Rectangle 2759">
          <a:extLst>
            <a:ext uri="{FF2B5EF4-FFF2-40B4-BE49-F238E27FC236}">
              <a16:creationId xmlns:a16="http://schemas.microsoft.com/office/drawing/2014/main" id="{CD8F9328-5AF8-4010-8559-5A180B17DC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1" name="Rectangle 11">
          <a:extLst>
            <a:ext uri="{FF2B5EF4-FFF2-40B4-BE49-F238E27FC236}">
              <a16:creationId xmlns:a16="http://schemas.microsoft.com/office/drawing/2014/main" id="{1BE5F947-D253-45A6-B724-F6035C249C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2" name="Rectangle 2761">
          <a:extLst>
            <a:ext uri="{FF2B5EF4-FFF2-40B4-BE49-F238E27FC236}">
              <a16:creationId xmlns:a16="http://schemas.microsoft.com/office/drawing/2014/main" id="{2DF99521-0A12-4E2A-93E5-DEBDA89F408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3" name="Rectangle 11">
          <a:extLst>
            <a:ext uri="{FF2B5EF4-FFF2-40B4-BE49-F238E27FC236}">
              <a16:creationId xmlns:a16="http://schemas.microsoft.com/office/drawing/2014/main" id="{61EDEFF0-BFC4-40B0-9607-4EE8171738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4" name="Rectangle 2763">
          <a:extLst>
            <a:ext uri="{FF2B5EF4-FFF2-40B4-BE49-F238E27FC236}">
              <a16:creationId xmlns:a16="http://schemas.microsoft.com/office/drawing/2014/main" id="{83AB0E91-B8F1-449D-8A4B-4B45BDC3F9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5" name="Rectangle 11">
          <a:extLst>
            <a:ext uri="{FF2B5EF4-FFF2-40B4-BE49-F238E27FC236}">
              <a16:creationId xmlns:a16="http://schemas.microsoft.com/office/drawing/2014/main" id="{86280723-0C7C-4851-BE7F-903A47BFAB9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6" name="Rectangle 2765">
          <a:extLst>
            <a:ext uri="{FF2B5EF4-FFF2-40B4-BE49-F238E27FC236}">
              <a16:creationId xmlns:a16="http://schemas.microsoft.com/office/drawing/2014/main" id="{132A9D4F-6968-4B51-A870-4E2CA9C16E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7" name="Rectangle 11">
          <a:extLst>
            <a:ext uri="{FF2B5EF4-FFF2-40B4-BE49-F238E27FC236}">
              <a16:creationId xmlns:a16="http://schemas.microsoft.com/office/drawing/2014/main" id="{BD2667BD-D9EC-4696-B7EC-1BBA8348D6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8" name="Rectangle 2767">
          <a:extLst>
            <a:ext uri="{FF2B5EF4-FFF2-40B4-BE49-F238E27FC236}">
              <a16:creationId xmlns:a16="http://schemas.microsoft.com/office/drawing/2014/main" id="{4912AF73-7DAF-4F35-8CF9-41D22DAD33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9" name="Rectangle 2768">
          <a:extLst>
            <a:ext uri="{FF2B5EF4-FFF2-40B4-BE49-F238E27FC236}">
              <a16:creationId xmlns:a16="http://schemas.microsoft.com/office/drawing/2014/main" id="{9E26722A-435D-4B1F-8441-9F35378B62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0" name="Rectangle 2769">
          <a:extLst>
            <a:ext uri="{FF2B5EF4-FFF2-40B4-BE49-F238E27FC236}">
              <a16:creationId xmlns:a16="http://schemas.microsoft.com/office/drawing/2014/main" id="{A4097017-B4A0-4D2F-99B0-063FA47E3F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1" name="Rectangle 11">
          <a:extLst>
            <a:ext uri="{FF2B5EF4-FFF2-40B4-BE49-F238E27FC236}">
              <a16:creationId xmlns:a16="http://schemas.microsoft.com/office/drawing/2014/main" id="{4E90DC7A-4FDF-4862-B7C5-8BC2B2D349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2" name="Rectangle 2771">
          <a:extLst>
            <a:ext uri="{FF2B5EF4-FFF2-40B4-BE49-F238E27FC236}">
              <a16:creationId xmlns:a16="http://schemas.microsoft.com/office/drawing/2014/main" id="{ECB2A9F5-6F1C-47E9-994B-10AA024F18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3" name="Rectangle 11">
          <a:extLst>
            <a:ext uri="{FF2B5EF4-FFF2-40B4-BE49-F238E27FC236}">
              <a16:creationId xmlns:a16="http://schemas.microsoft.com/office/drawing/2014/main" id="{4EBEFF88-F113-46FF-8066-56389EB296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4" name="Rectangle 2773">
          <a:extLst>
            <a:ext uri="{FF2B5EF4-FFF2-40B4-BE49-F238E27FC236}">
              <a16:creationId xmlns:a16="http://schemas.microsoft.com/office/drawing/2014/main" id="{111DC857-A313-4E99-8EE1-546285B5928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5" name="Rectangle 11">
          <a:extLst>
            <a:ext uri="{FF2B5EF4-FFF2-40B4-BE49-F238E27FC236}">
              <a16:creationId xmlns:a16="http://schemas.microsoft.com/office/drawing/2014/main" id="{43B5EC01-467A-4AD2-8A5D-711FD70D5C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6" name="Rectangle 2775">
          <a:extLst>
            <a:ext uri="{FF2B5EF4-FFF2-40B4-BE49-F238E27FC236}">
              <a16:creationId xmlns:a16="http://schemas.microsoft.com/office/drawing/2014/main" id="{4EC0CCFE-D0AB-4A60-9757-B3B4F8096C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7" name="Rectangle 11">
          <a:extLst>
            <a:ext uri="{FF2B5EF4-FFF2-40B4-BE49-F238E27FC236}">
              <a16:creationId xmlns:a16="http://schemas.microsoft.com/office/drawing/2014/main" id="{41EFB676-4AB5-42A6-8802-5EA07345B0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8" name="Rectangle 2777">
          <a:extLst>
            <a:ext uri="{FF2B5EF4-FFF2-40B4-BE49-F238E27FC236}">
              <a16:creationId xmlns:a16="http://schemas.microsoft.com/office/drawing/2014/main" id="{7BD2E3E1-A6C5-45B2-8BD9-15C4A88656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9" name="Rectangle 11">
          <a:extLst>
            <a:ext uri="{FF2B5EF4-FFF2-40B4-BE49-F238E27FC236}">
              <a16:creationId xmlns:a16="http://schemas.microsoft.com/office/drawing/2014/main" id="{D924A1BA-033E-495B-9E8E-7A6B5556BA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0" name="Rectangle 2779">
          <a:extLst>
            <a:ext uri="{FF2B5EF4-FFF2-40B4-BE49-F238E27FC236}">
              <a16:creationId xmlns:a16="http://schemas.microsoft.com/office/drawing/2014/main" id="{3F504E1C-30BE-4D83-96FD-7DB22F9384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1" name="Rectangle 2780">
          <a:extLst>
            <a:ext uri="{FF2B5EF4-FFF2-40B4-BE49-F238E27FC236}">
              <a16:creationId xmlns:a16="http://schemas.microsoft.com/office/drawing/2014/main" id="{50839990-48C1-4824-BE25-28F76DE0BB0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2" name="Rectangle 2781">
          <a:extLst>
            <a:ext uri="{FF2B5EF4-FFF2-40B4-BE49-F238E27FC236}">
              <a16:creationId xmlns:a16="http://schemas.microsoft.com/office/drawing/2014/main" id="{E60557C1-EF8A-4579-8483-B1B6861C16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3" name="Rectangle 11">
          <a:extLst>
            <a:ext uri="{FF2B5EF4-FFF2-40B4-BE49-F238E27FC236}">
              <a16:creationId xmlns:a16="http://schemas.microsoft.com/office/drawing/2014/main" id="{5DB76686-58EB-4FAF-826C-80E3AD2E0E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4" name="Rectangle 2783">
          <a:extLst>
            <a:ext uri="{FF2B5EF4-FFF2-40B4-BE49-F238E27FC236}">
              <a16:creationId xmlns:a16="http://schemas.microsoft.com/office/drawing/2014/main" id="{C580DE70-2901-4668-98EE-4C01F2AC67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5" name="Rectangle 11">
          <a:extLst>
            <a:ext uri="{FF2B5EF4-FFF2-40B4-BE49-F238E27FC236}">
              <a16:creationId xmlns:a16="http://schemas.microsoft.com/office/drawing/2014/main" id="{F3475B93-AA9C-41F9-83A6-D35D130353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6" name="Rectangle 2785">
          <a:extLst>
            <a:ext uri="{FF2B5EF4-FFF2-40B4-BE49-F238E27FC236}">
              <a16:creationId xmlns:a16="http://schemas.microsoft.com/office/drawing/2014/main" id="{7A1C2D07-D5E8-477C-905D-02E6088EC9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7" name="Rectangle 11">
          <a:extLst>
            <a:ext uri="{FF2B5EF4-FFF2-40B4-BE49-F238E27FC236}">
              <a16:creationId xmlns:a16="http://schemas.microsoft.com/office/drawing/2014/main" id="{3DA51468-11F8-47CD-BE84-97C388372C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8" name="Rectangle 2787">
          <a:extLst>
            <a:ext uri="{FF2B5EF4-FFF2-40B4-BE49-F238E27FC236}">
              <a16:creationId xmlns:a16="http://schemas.microsoft.com/office/drawing/2014/main" id="{0E57A52C-FB80-4B1A-A673-EE7E60520C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9" name="Rectangle 11">
          <a:extLst>
            <a:ext uri="{FF2B5EF4-FFF2-40B4-BE49-F238E27FC236}">
              <a16:creationId xmlns:a16="http://schemas.microsoft.com/office/drawing/2014/main" id="{D9074301-CD58-4663-B7FB-1898CB5AFC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0" name="Rectangle 2789">
          <a:extLst>
            <a:ext uri="{FF2B5EF4-FFF2-40B4-BE49-F238E27FC236}">
              <a16:creationId xmlns:a16="http://schemas.microsoft.com/office/drawing/2014/main" id="{EA2A2662-E930-476D-9980-9178790815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1" name="Rectangle 11">
          <a:extLst>
            <a:ext uri="{FF2B5EF4-FFF2-40B4-BE49-F238E27FC236}">
              <a16:creationId xmlns:a16="http://schemas.microsoft.com/office/drawing/2014/main" id="{E925B937-2E0D-4FD7-8809-C9A69F9E96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2" name="Rectangle 2791">
          <a:extLst>
            <a:ext uri="{FF2B5EF4-FFF2-40B4-BE49-F238E27FC236}">
              <a16:creationId xmlns:a16="http://schemas.microsoft.com/office/drawing/2014/main" id="{5973FDCC-3F23-4578-8F43-B4FD350AD9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3" name="Rectangle 2792">
          <a:extLst>
            <a:ext uri="{FF2B5EF4-FFF2-40B4-BE49-F238E27FC236}">
              <a16:creationId xmlns:a16="http://schemas.microsoft.com/office/drawing/2014/main" id="{BDA5B99E-B085-4423-8CD9-82ADBDB0E9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4" name="Rectangle 2793">
          <a:extLst>
            <a:ext uri="{FF2B5EF4-FFF2-40B4-BE49-F238E27FC236}">
              <a16:creationId xmlns:a16="http://schemas.microsoft.com/office/drawing/2014/main" id="{40EACAFC-3A54-410A-9B8C-A7ADFCECA1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5" name="Rectangle 11">
          <a:extLst>
            <a:ext uri="{FF2B5EF4-FFF2-40B4-BE49-F238E27FC236}">
              <a16:creationId xmlns:a16="http://schemas.microsoft.com/office/drawing/2014/main" id="{4F4CD65C-1B6D-43E1-87F2-E9DB722874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6" name="Rectangle 2795">
          <a:extLst>
            <a:ext uri="{FF2B5EF4-FFF2-40B4-BE49-F238E27FC236}">
              <a16:creationId xmlns:a16="http://schemas.microsoft.com/office/drawing/2014/main" id="{FBB000D1-378D-41E8-93B5-E2E2683E01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7" name="Rectangle 11">
          <a:extLst>
            <a:ext uri="{FF2B5EF4-FFF2-40B4-BE49-F238E27FC236}">
              <a16:creationId xmlns:a16="http://schemas.microsoft.com/office/drawing/2014/main" id="{EA3DBDCC-7180-4ACC-97BA-FDCBAF5DF91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8" name="Rectangle 2797">
          <a:extLst>
            <a:ext uri="{FF2B5EF4-FFF2-40B4-BE49-F238E27FC236}">
              <a16:creationId xmlns:a16="http://schemas.microsoft.com/office/drawing/2014/main" id="{5D6ABAB8-04B4-461E-819A-AC4940D1D2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9" name="Rectangle 11">
          <a:extLst>
            <a:ext uri="{FF2B5EF4-FFF2-40B4-BE49-F238E27FC236}">
              <a16:creationId xmlns:a16="http://schemas.microsoft.com/office/drawing/2014/main" id="{93D742AA-5A38-4083-9C1B-E22280F388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0" name="Rectangle 2799">
          <a:extLst>
            <a:ext uri="{FF2B5EF4-FFF2-40B4-BE49-F238E27FC236}">
              <a16:creationId xmlns:a16="http://schemas.microsoft.com/office/drawing/2014/main" id="{6E06BA12-5831-464D-ABE2-38BF92B375C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1" name="Rectangle 11">
          <a:extLst>
            <a:ext uri="{FF2B5EF4-FFF2-40B4-BE49-F238E27FC236}">
              <a16:creationId xmlns:a16="http://schemas.microsoft.com/office/drawing/2014/main" id="{2AB3B030-DA55-4708-8A2C-81D874E581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2" name="Rectangle 2801">
          <a:extLst>
            <a:ext uri="{FF2B5EF4-FFF2-40B4-BE49-F238E27FC236}">
              <a16:creationId xmlns:a16="http://schemas.microsoft.com/office/drawing/2014/main" id="{94506811-888A-4D72-AA86-78F8EDFF85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3" name="Rectangle 11">
          <a:extLst>
            <a:ext uri="{FF2B5EF4-FFF2-40B4-BE49-F238E27FC236}">
              <a16:creationId xmlns:a16="http://schemas.microsoft.com/office/drawing/2014/main" id="{C4D857F8-4C72-4123-A9ED-4A8D6EBD6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4" name="Rectangle 2803">
          <a:extLst>
            <a:ext uri="{FF2B5EF4-FFF2-40B4-BE49-F238E27FC236}">
              <a16:creationId xmlns:a16="http://schemas.microsoft.com/office/drawing/2014/main" id="{F8AA1E69-C380-44A1-96E0-7870501FB5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5" name="Rectangle 2804">
          <a:extLst>
            <a:ext uri="{FF2B5EF4-FFF2-40B4-BE49-F238E27FC236}">
              <a16:creationId xmlns:a16="http://schemas.microsoft.com/office/drawing/2014/main" id="{A1681917-810B-4212-BA0C-0777DCB77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6" name="Rectangle 2805">
          <a:extLst>
            <a:ext uri="{FF2B5EF4-FFF2-40B4-BE49-F238E27FC236}">
              <a16:creationId xmlns:a16="http://schemas.microsoft.com/office/drawing/2014/main" id="{1E8FE596-D81F-45DF-A0C4-F09BC1B021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7" name="Rectangle 11">
          <a:extLst>
            <a:ext uri="{FF2B5EF4-FFF2-40B4-BE49-F238E27FC236}">
              <a16:creationId xmlns:a16="http://schemas.microsoft.com/office/drawing/2014/main" id="{0D163874-349B-40F6-8F2D-083FBF83DE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8" name="Rectangle 2807">
          <a:extLst>
            <a:ext uri="{FF2B5EF4-FFF2-40B4-BE49-F238E27FC236}">
              <a16:creationId xmlns:a16="http://schemas.microsoft.com/office/drawing/2014/main" id="{1515BCA7-6220-402B-B123-353DE821BA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9" name="Rectangle 11">
          <a:extLst>
            <a:ext uri="{FF2B5EF4-FFF2-40B4-BE49-F238E27FC236}">
              <a16:creationId xmlns:a16="http://schemas.microsoft.com/office/drawing/2014/main" id="{E441069D-8374-4B29-AC6A-7B21F7F82B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0" name="Rectangle 2809">
          <a:extLst>
            <a:ext uri="{FF2B5EF4-FFF2-40B4-BE49-F238E27FC236}">
              <a16:creationId xmlns:a16="http://schemas.microsoft.com/office/drawing/2014/main" id="{4E66BB71-686C-4B2E-BCF0-84E87E8679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1" name="Rectangle 11">
          <a:extLst>
            <a:ext uri="{FF2B5EF4-FFF2-40B4-BE49-F238E27FC236}">
              <a16:creationId xmlns:a16="http://schemas.microsoft.com/office/drawing/2014/main" id="{4E189970-CA06-4A6F-9369-A33DB261EA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2" name="Rectangle 2811">
          <a:extLst>
            <a:ext uri="{FF2B5EF4-FFF2-40B4-BE49-F238E27FC236}">
              <a16:creationId xmlns:a16="http://schemas.microsoft.com/office/drawing/2014/main" id="{C8B3AC01-6AA0-4C7D-8031-4D824E6E98A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3" name="Rectangle 11">
          <a:extLst>
            <a:ext uri="{FF2B5EF4-FFF2-40B4-BE49-F238E27FC236}">
              <a16:creationId xmlns:a16="http://schemas.microsoft.com/office/drawing/2014/main" id="{816C7651-83BE-47FF-AD81-1BA474D4EF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4" name="Rectangle 2813">
          <a:extLst>
            <a:ext uri="{FF2B5EF4-FFF2-40B4-BE49-F238E27FC236}">
              <a16:creationId xmlns:a16="http://schemas.microsoft.com/office/drawing/2014/main" id="{836EB03A-AC0F-4536-8A42-F426D2FDE9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5" name="Rectangle 11">
          <a:extLst>
            <a:ext uri="{FF2B5EF4-FFF2-40B4-BE49-F238E27FC236}">
              <a16:creationId xmlns:a16="http://schemas.microsoft.com/office/drawing/2014/main" id="{9E2DF05A-8235-4925-A746-06E58CECAA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6" name="Rectangle 2815">
          <a:extLst>
            <a:ext uri="{FF2B5EF4-FFF2-40B4-BE49-F238E27FC236}">
              <a16:creationId xmlns:a16="http://schemas.microsoft.com/office/drawing/2014/main" id="{4519A9EB-A650-4F70-A416-65824AADCF1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7" name="Rectangle 2816">
          <a:extLst>
            <a:ext uri="{FF2B5EF4-FFF2-40B4-BE49-F238E27FC236}">
              <a16:creationId xmlns:a16="http://schemas.microsoft.com/office/drawing/2014/main" id="{9259AC18-63F1-4854-ADA7-569537EEBC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8" name="Rectangle 2817">
          <a:extLst>
            <a:ext uri="{FF2B5EF4-FFF2-40B4-BE49-F238E27FC236}">
              <a16:creationId xmlns:a16="http://schemas.microsoft.com/office/drawing/2014/main" id="{A55A123F-6329-49BF-99F4-43D5D0D4CF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9" name="Rectangle 11">
          <a:extLst>
            <a:ext uri="{FF2B5EF4-FFF2-40B4-BE49-F238E27FC236}">
              <a16:creationId xmlns:a16="http://schemas.microsoft.com/office/drawing/2014/main" id="{AB41FF0B-7BD0-4B0D-AEB0-8D6B0E85382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0" name="Rectangle 2819">
          <a:extLst>
            <a:ext uri="{FF2B5EF4-FFF2-40B4-BE49-F238E27FC236}">
              <a16:creationId xmlns:a16="http://schemas.microsoft.com/office/drawing/2014/main" id="{E113388D-BB6C-4EBE-A69B-89AF0873DA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1" name="Rectangle 11">
          <a:extLst>
            <a:ext uri="{FF2B5EF4-FFF2-40B4-BE49-F238E27FC236}">
              <a16:creationId xmlns:a16="http://schemas.microsoft.com/office/drawing/2014/main" id="{FD455847-232E-4A32-887F-35F568138F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2" name="Rectangle 2821">
          <a:extLst>
            <a:ext uri="{FF2B5EF4-FFF2-40B4-BE49-F238E27FC236}">
              <a16:creationId xmlns:a16="http://schemas.microsoft.com/office/drawing/2014/main" id="{FF9B7E1F-ED67-468A-B0F3-C14FD2B7534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3" name="Rectangle 11">
          <a:extLst>
            <a:ext uri="{FF2B5EF4-FFF2-40B4-BE49-F238E27FC236}">
              <a16:creationId xmlns:a16="http://schemas.microsoft.com/office/drawing/2014/main" id="{DCA02D15-FD48-40A7-B04D-0E81903D3D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4" name="Rectangle 2823">
          <a:extLst>
            <a:ext uri="{FF2B5EF4-FFF2-40B4-BE49-F238E27FC236}">
              <a16:creationId xmlns:a16="http://schemas.microsoft.com/office/drawing/2014/main" id="{4A86529A-3ED9-4308-BC2D-D51F38DC9D8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5" name="Rectangle 11">
          <a:extLst>
            <a:ext uri="{FF2B5EF4-FFF2-40B4-BE49-F238E27FC236}">
              <a16:creationId xmlns:a16="http://schemas.microsoft.com/office/drawing/2014/main" id="{8FB74D1E-8953-4108-B002-BE9FCAE18E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6" name="Rectangle 2825">
          <a:extLst>
            <a:ext uri="{FF2B5EF4-FFF2-40B4-BE49-F238E27FC236}">
              <a16:creationId xmlns:a16="http://schemas.microsoft.com/office/drawing/2014/main" id="{6AF93317-FB5B-4BA7-842B-FB3A43BB62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7" name="Rectangle 11">
          <a:extLst>
            <a:ext uri="{FF2B5EF4-FFF2-40B4-BE49-F238E27FC236}">
              <a16:creationId xmlns:a16="http://schemas.microsoft.com/office/drawing/2014/main" id="{4031F0BA-389D-4098-B91E-0BD52A818D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8" name="Rectangle 2827">
          <a:extLst>
            <a:ext uri="{FF2B5EF4-FFF2-40B4-BE49-F238E27FC236}">
              <a16:creationId xmlns:a16="http://schemas.microsoft.com/office/drawing/2014/main" id="{E3AC96E4-C514-4AEB-AFA7-021AC3D1C4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9" name="Rectangle 2828">
          <a:extLst>
            <a:ext uri="{FF2B5EF4-FFF2-40B4-BE49-F238E27FC236}">
              <a16:creationId xmlns:a16="http://schemas.microsoft.com/office/drawing/2014/main" id="{94E1AC10-0EF4-4003-9952-782E3445DD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0" name="Rectangle 2829">
          <a:extLst>
            <a:ext uri="{FF2B5EF4-FFF2-40B4-BE49-F238E27FC236}">
              <a16:creationId xmlns:a16="http://schemas.microsoft.com/office/drawing/2014/main" id="{6788E723-AD30-46C9-825E-49E731E386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1" name="Rectangle 11">
          <a:extLst>
            <a:ext uri="{FF2B5EF4-FFF2-40B4-BE49-F238E27FC236}">
              <a16:creationId xmlns:a16="http://schemas.microsoft.com/office/drawing/2014/main" id="{F38D4FE3-DA18-4A89-A8BE-6DD9FF35E7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2" name="Rectangle 2831">
          <a:extLst>
            <a:ext uri="{FF2B5EF4-FFF2-40B4-BE49-F238E27FC236}">
              <a16:creationId xmlns:a16="http://schemas.microsoft.com/office/drawing/2014/main" id="{420A66C5-BF15-4B5B-8B0A-492A2A846E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3" name="Rectangle 11">
          <a:extLst>
            <a:ext uri="{FF2B5EF4-FFF2-40B4-BE49-F238E27FC236}">
              <a16:creationId xmlns:a16="http://schemas.microsoft.com/office/drawing/2014/main" id="{B02149AE-C5C3-44CA-985F-270604DA5B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4" name="Rectangle 2833">
          <a:extLst>
            <a:ext uri="{FF2B5EF4-FFF2-40B4-BE49-F238E27FC236}">
              <a16:creationId xmlns:a16="http://schemas.microsoft.com/office/drawing/2014/main" id="{A6842C87-13F1-432C-BE38-A64E21602A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5" name="Rectangle 11">
          <a:extLst>
            <a:ext uri="{FF2B5EF4-FFF2-40B4-BE49-F238E27FC236}">
              <a16:creationId xmlns:a16="http://schemas.microsoft.com/office/drawing/2014/main" id="{CC16CE25-664E-4E44-8C1F-A2A4C21EF7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6" name="Rectangle 2835">
          <a:extLst>
            <a:ext uri="{FF2B5EF4-FFF2-40B4-BE49-F238E27FC236}">
              <a16:creationId xmlns:a16="http://schemas.microsoft.com/office/drawing/2014/main" id="{6D936B22-69F0-4641-8286-285D37AE35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7" name="Rectangle 11">
          <a:extLst>
            <a:ext uri="{FF2B5EF4-FFF2-40B4-BE49-F238E27FC236}">
              <a16:creationId xmlns:a16="http://schemas.microsoft.com/office/drawing/2014/main" id="{367C3D62-31B8-4683-AEF8-46FAEA1C2C2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8" name="Rectangle 2837">
          <a:extLst>
            <a:ext uri="{FF2B5EF4-FFF2-40B4-BE49-F238E27FC236}">
              <a16:creationId xmlns:a16="http://schemas.microsoft.com/office/drawing/2014/main" id="{B55C5573-8195-45E7-B44D-B8CDB8D128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9" name="Rectangle 11">
          <a:extLst>
            <a:ext uri="{FF2B5EF4-FFF2-40B4-BE49-F238E27FC236}">
              <a16:creationId xmlns:a16="http://schemas.microsoft.com/office/drawing/2014/main" id="{EEF7A6D5-3EC2-4ACF-A740-53F8CE4EFD7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0" name="Rectangle 2839">
          <a:extLst>
            <a:ext uri="{FF2B5EF4-FFF2-40B4-BE49-F238E27FC236}">
              <a16:creationId xmlns:a16="http://schemas.microsoft.com/office/drawing/2014/main" id="{D713CFA1-2F57-4267-8D65-5ACE9EF41B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1" name="Rectangle 2840">
          <a:extLst>
            <a:ext uri="{FF2B5EF4-FFF2-40B4-BE49-F238E27FC236}">
              <a16:creationId xmlns:a16="http://schemas.microsoft.com/office/drawing/2014/main" id="{D925DE72-7096-41BF-A172-61BCACDD919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2" name="Rectangle 2841">
          <a:extLst>
            <a:ext uri="{FF2B5EF4-FFF2-40B4-BE49-F238E27FC236}">
              <a16:creationId xmlns:a16="http://schemas.microsoft.com/office/drawing/2014/main" id="{89EE2204-740E-48BA-9311-85F4F0107C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3" name="Rectangle 11">
          <a:extLst>
            <a:ext uri="{FF2B5EF4-FFF2-40B4-BE49-F238E27FC236}">
              <a16:creationId xmlns:a16="http://schemas.microsoft.com/office/drawing/2014/main" id="{222BAC27-F842-405C-B9FB-3E68723AB79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4" name="Rectangle 2843">
          <a:extLst>
            <a:ext uri="{FF2B5EF4-FFF2-40B4-BE49-F238E27FC236}">
              <a16:creationId xmlns:a16="http://schemas.microsoft.com/office/drawing/2014/main" id="{919F129F-D6BF-4614-A4D2-EEF2EFF1E6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5" name="Rectangle 11">
          <a:extLst>
            <a:ext uri="{FF2B5EF4-FFF2-40B4-BE49-F238E27FC236}">
              <a16:creationId xmlns:a16="http://schemas.microsoft.com/office/drawing/2014/main" id="{3E423943-119B-43C1-B1B9-2956D749D1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6" name="Rectangle 2845">
          <a:extLst>
            <a:ext uri="{FF2B5EF4-FFF2-40B4-BE49-F238E27FC236}">
              <a16:creationId xmlns:a16="http://schemas.microsoft.com/office/drawing/2014/main" id="{04E7006B-7F42-4BE1-A284-036F3016EB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7" name="Rectangle 11">
          <a:extLst>
            <a:ext uri="{FF2B5EF4-FFF2-40B4-BE49-F238E27FC236}">
              <a16:creationId xmlns:a16="http://schemas.microsoft.com/office/drawing/2014/main" id="{ACA55DE7-D6C9-41EB-9A29-D7CED94FF2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8" name="Rectangle 2847">
          <a:extLst>
            <a:ext uri="{FF2B5EF4-FFF2-40B4-BE49-F238E27FC236}">
              <a16:creationId xmlns:a16="http://schemas.microsoft.com/office/drawing/2014/main" id="{21E83790-D24F-4DDA-A7B1-179704BD2B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9" name="Rectangle 11">
          <a:extLst>
            <a:ext uri="{FF2B5EF4-FFF2-40B4-BE49-F238E27FC236}">
              <a16:creationId xmlns:a16="http://schemas.microsoft.com/office/drawing/2014/main" id="{7830C949-4484-42F6-964A-1422299856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0" name="Rectangle 2849">
          <a:extLst>
            <a:ext uri="{FF2B5EF4-FFF2-40B4-BE49-F238E27FC236}">
              <a16:creationId xmlns:a16="http://schemas.microsoft.com/office/drawing/2014/main" id="{E3A1B609-F0B0-4EFC-A1BA-38225BDC20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1" name="Rectangle 11">
          <a:extLst>
            <a:ext uri="{FF2B5EF4-FFF2-40B4-BE49-F238E27FC236}">
              <a16:creationId xmlns:a16="http://schemas.microsoft.com/office/drawing/2014/main" id="{72433E7D-580E-49F4-A7DC-1A85214C53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2" name="Rectangle 2851">
          <a:extLst>
            <a:ext uri="{FF2B5EF4-FFF2-40B4-BE49-F238E27FC236}">
              <a16:creationId xmlns:a16="http://schemas.microsoft.com/office/drawing/2014/main" id="{BB4C5179-FB04-4FD4-9327-AC40EB5131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3" name="Rectangle 2852">
          <a:extLst>
            <a:ext uri="{FF2B5EF4-FFF2-40B4-BE49-F238E27FC236}">
              <a16:creationId xmlns:a16="http://schemas.microsoft.com/office/drawing/2014/main" id="{3E460C1A-9F8C-4EEA-BCF4-13A19D71D1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4" name="Rectangle 2853">
          <a:extLst>
            <a:ext uri="{FF2B5EF4-FFF2-40B4-BE49-F238E27FC236}">
              <a16:creationId xmlns:a16="http://schemas.microsoft.com/office/drawing/2014/main" id="{4DC49BAE-0A76-49F7-978E-67756099C9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5" name="Rectangle 11">
          <a:extLst>
            <a:ext uri="{FF2B5EF4-FFF2-40B4-BE49-F238E27FC236}">
              <a16:creationId xmlns:a16="http://schemas.microsoft.com/office/drawing/2014/main" id="{C8022F28-C1AA-49C4-9D13-B6799BD9A0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6" name="Rectangle 2855">
          <a:extLst>
            <a:ext uri="{FF2B5EF4-FFF2-40B4-BE49-F238E27FC236}">
              <a16:creationId xmlns:a16="http://schemas.microsoft.com/office/drawing/2014/main" id="{A21011A9-EE91-4091-B574-3BC602D4CB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7" name="Rectangle 11">
          <a:extLst>
            <a:ext uri="{FF2B5EF4-FFF2-40B4-BE49-F238E27FC236}">
              <a16:creationId xmlns:a16="http://schemas.microsoft.com/office/drawing/2014/main" id="{02853F9C-CE24-4A6F-8567-5994EE6E5B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8" name="Rectangle 2857">
          <a:extLst>
            <a:ext uri="{FF2B5EF4-FFF2-40B4-BE49-F238E27FC236}">
              <a16:creationId xmlns:a16="http://schemas.microsoft.com/office/drawing/2014/main" id="{E402ECEE-97AE-488C-AA6F-629B521180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9" name="Rectangle 11">
          <a:extLst>
            <a:ext uri="{FF2B5EF4-FFF2-40B4-BE49-F238E27FC236}">
              <a16:creationId xmlns:a16="http://schemas.microsoft.com/office/drawing/2014/main" id="{C9957C42-8124-4313-B12C-C1B0E8F89E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0" name="Rectangle 2859">
          <a:extLst>
            <a:ext uri="{FF2B5EF4-FFF2-40B4-BE49-F238E27FC236}">
              <a16:creationId xmlns:a16="http://schemas.microsoft.com/office/drawing/2014/main" id="{D4433012-A9C9-49BA-AD3B-AE51CA0190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1" name="Rectangle 11">
          <a:extLst>
            <a:ext uri="{FF2B5EF4-FFF2-40B4-BE49-F238E27FC236}">
              <a16:creationId xmlns:a16="http://schemas.microsoft.com/office/drawing/2014/main" id="{7C9270A4-D363-45C1-8317-820232504C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2" name="Rectangle 2861">
          <a:extLst>
            <a:ext uri="{FF2B5EF4-FFF2-40B4-BE49-F238E27FC236}">
              <a16:creationId xmlns:a16="http://schemas.microsoft.com/office/drawing/2014/main" id="{79631164-6EBF-42FB-A5E8-072D1F1297F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3" name="Rectangle 11">
          <a:extLst>
            <a:ext uri="{FF2B5EF4-FFF2-40B4-BE49-F238E27FC236}">
              <a16:creationId xmlns:a16="http://schemas.microsoft.com/office/drawing/2014/main" id="{5D5D5FA9-64E9-44EB-AC22-C184DBF12D6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4" name="Rectangle 2863">
          <a:extLst>
            <a:ext uri="{FF2B5EF4-FFF2-40B4-BE49-F238E27FC236}">
              <a16:creationId xmlns:a16="http://schemas.microsoft.com/office/drawing/2014/main" id="{968A3CED-9567-45EC-9674-E2F87079AA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5" name="Rectangle 2864">
          <a:extLst>
            <a:ext uri="{FF2B5EF4-FFF2-40B4-BE49-F238E27FC236}">
              <a16:creationId xmlns:a16="http://schemas.microsoft.com/office/drawing/2014/main" id="{E5BFB04C-EA59-46EF-BB66-E25DCCF8E0B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6" name="Rectangle 2865">
          <a:extLst>
            <a:ext uri="{FF2B5EF4-FFF2-40B4-BE49-F238E27FC236}">
              <a16:creationId xmlns:a16="http://schemas.microsoft.com/office/drawing/2014/main" id="{ECF59FC0-6B70-4704-BC11-ABA349410D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7" name="Rectangle 11">
          <a:extLst>
            <a:ext uri="{FF2B5EF4-FFF2-40B4-BE49-F238E27FC236}">
              <a16:creationId xmlns:a16="http://schemas.microsoft.com/office/drawing/2014/main" id="{EA5D20DF-0ADF-4C06-9E78-98F1BD0A1F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8" name="Rectangle 2867">
          <a:extLst>
            <a:ext uri="{FF2B5EF4-FFF2-40B4-BE49-F238E27FC236}">
              <a16:creationId xmlns:a16="http://schemas.microsoft.com/office/drawing/2014/main" id="{18B0F295-E744-4D5C-BF11-09852023F3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9" name="Rectangle 11">
          <a:extLst>
            <a:ext uri="{FF2B5EF4-FFF2-40B4-BE49-F238E27FC236}">
              <a16:creationId xmlns:a16="http://schemas.microsoft.com/office/drawing/2014/main" id="{DBD3BB42-9F10-4012-A7A8-5326C0A662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0" name="Rectangle 2869">
          <a:extLst>
            <a:ext uri="{FF2B5EF4-FFF2-40B4-BE49-F238E27FC236}">
              <a16:creationId xmlns:a16="http://schemas.microsoft.com/office/drawing/2014/main" id="{D4557046-C658-47ED-B502-78D71F5FF3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1" name="Rectangle 11">
          <a:extLst>
            <a:ext uri="{FF2B5EF4-FFF2-40B4-BE49-F238E27FC236}">
              <a16:creationId xmlns:a16="http://schemas.microsoft.com/office/drawing/2014/main" id="{390267D7-0BB7-4DF7-869C-09641EDA70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2" name="Rectangle 2871">
          <a:extLst>
            <a:ext uri="{FF2B5EF4-FFF2-40B4-BE49-F238E27FC236}">
              <a16:creationId xmlns:a16="http://schemas.microsoft.com/office/drawing/2014/main" id="{D1C60948-B2F6-4678-B24E-6D827D6A22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3" name="Rectangle 11">
          <a:extLst>
            <a:ext uri="{FF2B5EF4-FFF2-40B4-BE49-F238E27FC236}">
              <a16:creationId xmlns:a16="http://schemas.microsoft.com/office/drawing/2014/main" id="{794065CA-12E1-4F38-BE08-2128B9187E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4" name="Rectangle 2873">
          <a:extLst>
            <a:ext uri="{FF2B5EF4-FFF2-40B4-BE49-F238E27FC236}">
              <a16:creationId xmlns:a16="http://schemas.microsoft.com/office/drawing/2014/main" id="{FF7868A3-FF67-47C0-862C-D99D102F9F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5" name="Rectangle 11">
          <a:extLst>
            <a:ext uri="{FF2B5EF4-FFF2-40B4-BE49-F238E27FC236}">
              <a16:creationId xmlns:a16="http://schemas.microsoft.com/office/drawing/2014/main" id="{EDE5587E-363F-4706-99A3-EDB7382138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6" name="Rectangle 2875">
          <a:extLst>
            <a:ext uri="{FF2B5EF4-FFF2-40B4-BE49-F238E27FC236}">
              <a16:creationId xmlns:a16="http://schemas.microsoft.com/office/drawing/2014/main" id="{306925EE-7010-4DD4-A1CA-307990BD19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7" name="Rectangle 2876">
          <a:extLst>
            <a:ext uri="{FF2B5EF4-FFF2-40B4-BE49-F238E27FC236}">
              <a16:creationId xmlns:a16="http://schemas.microsoft.com/office/drawing/2014/main" id="{FC9F5DDA-D18A-421E-844A-0F246872AB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8" name="Rectangle 2877">
          <a:extLst>
            <a:ext uri="{FF2B5EF4-FFF2-40B4-BE49-F238E27FC236}">
              <a16:creationId xmlns:a16="http://schemas.microsoft.com/office/drawing/2014/main" id="{E74B9183-B973-435B-B883-163AEA1010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9" name="Rectangle 11">
          <a:extLst>
            <a:ext uri="{FF2B5EF4-FFF2-40B4-BE49-F238E27FC236}">
              <a16:creationId xmlns:a16="http://schemas.microsoft.com/office/drawing/2014/main" id="{5B676675-66B4-4F33-81F5-4F5C587DBA0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80" name="Rectangle 2879">
          <a:extLst>
            <a:ext uri="{FF2B5EF4-FFF2-40B4-BE49-F238E27FC236}">
              <a16:creationId xmlns:a16="http://schemas.microsoft.com/office/drawing/2014/main" id="{18753735-1FEF-40BE-BF77-6B671590C7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81" name="Rectangle 11">
          <a:extLst>
            <a:ext uri="{FF2B5EF4-FFF2-40B4-BE49-F238E27FC236}">
              <a16:creationId xmlns:a16="http://schemas.microsoft.com/office/drawing/2014/main" id="{03480B31-9888-49C7-B3D6-2332D44E31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5.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8996025" y="1509184"/>
          <a:ext cx="9534525" cy="48429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363200" y="66941700"/>
          <a:ext cx="228600" cy="438150"/>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325600" y="135693150"/>
          <a:ext cx="228600" cy="209550"/>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344400" y="135693150"/>
          <a:ext cx="228600" cy="209550"/>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058150" y="135693150"/>
          <a:ext cx="228600" cy="209550"/>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076950" y="135693150"/>
          <a:ext cx="228600" cy="209550"/>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3962400" y="135693150"/>
          <a:ext cx="228600" cy="209550"/>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306800" y="135693150"/>
          <a:ext cx="228600" cy="209550"/>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363200" y="135693150"/>
          <a:ext cx="228600" cy="209550"/>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8688050" y="135709025"/>
          <a:ext cx="228600" cy="193675"/>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0878800" y="135693150"/>
          <a:ext cx="228600" cy="209550"/>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3793450" y="135693150"/>
          <a:ext cx="228600" cy="209550"/>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006608" y="1508277"/>
          <a:ext cx="9534661" cy="48429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8552320" y="55606950"/>
          <a:ext cx="486229" cy="149225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0655683" y="144618075"/>
          <a:ext cx="683079" cy="1073150"/>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029275" y="2816225"/>
          <a:ext cx="698954" cy="16383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1981200" y="132441950"/>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223375" y="1073755"/>
          <a:ext cx="3590925" cy="2494341"/>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238514" y="2555421"/>
          <a:ext cx="42318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05400" y="27791229"/>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010400" y="56605714"/>
          <a:ext cx="228600" cy="206829"/>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019800" y="56605714"/>
          <a:ext cx="228600" cy="206829"/>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191000" y="56605714"/>
          <a:ext cx="228600" cy="206829"/>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11286" y="56605714"/>
          <a:ext cx="228600" cy="206829"/>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53343" y="56605714"/>
          <a:ext cx="228600" cy="206829"/>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7924800" y="56605714"/>
          <a:ext cx="228600" cy="206829"/>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05400" y="56605714"/>
          <a:ext cx="228600" cy="206829"/>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8915400" y="56621589"/>
          <a:ext cx="228600" cy="190954"/>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829800" y="56605714"/>
          <a:ext cx="228600" cy="206829"/>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787743" y="56605714"/>
          <a:ext cx="228600" cy="206829"/>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233958" y="1072848"/>
          <a:ext cx="3591061" cy="2494341"/>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747171" y="23393400"/>
          <a:ext cx="423188" cy="291644"/>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3832113" y="60312300"/>
          <a:ext cx="414116" cy="313414"/>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019800" y="59851157"/>
          <a:ext cx="228600" cy="208905"/>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220980</xdr:colOff>
      <xdr:row>23</xdr:row>
      <xdr:rowOff>182880</xdr:rowOff>
    </xdr:from>
    <xdr:to>
      <xdr:col>0</xdr:col>
      <xdr:colOff>426720</xdr:colOff>
      <xdr:row>24</xdr:row>
      <xdr:rowOff>0</xdr:rowOff>
    </xdr:to>
    <xdr:sp macro="" textlink="">
      <xdr:nvSpPr>
        <xdr:cNvPr id="2" name="Line 1067">
          <a:extLst>
            <a:ext uri="{FF2B5EF4-FFF2-40B4-BE49-F238E27FC236}">
              <a16:creationId xmlns:a16="http://schemas.microsoft.com/office/drawing/2014/main" id="{2547943D-B31D-4BE1-8CD8-587C2069E42D}"/>
            </a:ext>
          </a:extLst>
        </xdr:cNvPr>
        <xdr:cNvSpPr>
          <a:spLocks noChangeShapeType="1"/>
        </xdr:cNvSpPr>
      </xdr:nvSpPr>
      <xdr:spPr bwMode="auto">
        <a:xfrm>
          <a:off x="220980" y="17472660"/>
          <a:ext cx="205740" cy="30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228600</xdr:colOff>
      <xdr:row>23</xdr:row>
      <xdr:rowOff>152400</xdr:rowOff>
    </xdr:from>
    <xdr:to>
      <xdr:col>0</xdr:col>
      <xdr:colOff>419100</xdr:colOff>
      <xdr:row>24</xdr:row>
      <xdr:rowOff>0</xdr:rowOff>
    </xdr:to>
    <xdr:sp macro="" textlink="">
      <xdr:nvSpPr>
        <xdr:cNvPr id="3" name="Line 1066">
          <a:extLst>
            <a:ext uri="{FF2B5EF4-FFF2-40B4-BE49-F238E27FC236}">
              <a16:creationId xmlns:a16="http://schemas.microsoft.com/office/drawing/2014/main" id="{DF8238CC-4E99-477B-9089-CB263DDB71FE}"/>
            </a:ext>
          </a:extLst>
        </xdr:cNvPr>
        <xdr:cNvSpPr>
          <a:spLocks noChangeShapeType="1"/>
        </xdr:cNvSpPr>
      </xdr:nvSpPr>
      <xdr:spPr bwMode="auto">
        <a:xfrm flipH="1">
          <a:off x="228600" y="17442180"/>
          <a:ext cx="190500" cy="609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1061168</xdr:colOff>
      <xdr:row>20</xdr:row>
      <xdr:rowOff>126889</xdr:rowOff>
    </xdr:from>
    <xdr:to>
      <xdr:col>3</xdr:col>
      <xdr:colOff>33130</xdr:colOff>
      <xdr:row>22</xdr:row>
      <xdr:rowOff>0</xdr:rowOff>
    </xdr:to>
    <xdr:sp macro="" textlink="">
      <xdr:nvSpPr>
        <xdr:cNvPr id="4" name="AutoShape 46">
          <a:extLst>
            <a:ext uri="{FF2B5EF4-FFF2-40B4-BE49-F238E27FC236}">
              <a16:creationId xmlns:a16="http://schemas.microsoft.com/office/drawing/2014/main" id="{10143D45-3117-41B5-8A6B-39332B8766D6}"/>
            </a:ext>
          </a:extLst>
        </xdr:cNvPr>
        <xdr:cNvSpPr>
          <a:spLocks noChangeArrowheads="1"/>
        </xdr:cNvSpPr>
      </xdr:nvSpPr>
      <xdr:spPr bwMode="auto">
        <a:xfrm>
          <a:off x="3032429" y="9188063"/>
          <a:ext cx="2019962" cy="717937"/>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3</xdr:col>
      <xdr:colOff>1027044</xdr:colOff>
      <xdr:row>20</xdr:row>
      <xdr:rowOff>110076</xdr:rowOff>
    </xdr:from>
    <xdr:to>
      <xdr:col>5</xdr:col>
      <xdr:colOff>39426</xdr:colOff>
      <xdr:row>21</xdr:row>
      <xdr:rowOff>423585</xdr:rowOff>
    </xdr:to>
    <xdr:sp macro="" textlink="">
      <xdr:nvSpPr>
        <xdr:cNvPr id="5" name="AutoShape 46">
          <a:extLst>
            <a:ext uri="{FF2B5EF4-FFF2-40B4-BE49-F238E27FC236}">
              <a16:creationId xmlns:a16="http://schemas.microsoft.com/office/drawing/2014/main" id="{111958D9-9C0A-4FD2-A84F-C84962C3869B}"/>
            </a:ext>
          </a:extLst>
        </xdr:cNvPr>
        <xdr:cNvSpPr>
          <a:spLocks noChangeArrowheads="1"/>
        </xdr:cNvSpPr>
      </xdr:nvSpPr>
      <xdr:spPr bwMode="auto">
        <a:xfrm>
          <a:off x="6070758" y="8909362"/>
          <a:ext cx="2078525"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6</xdr:col>
      <xdr:colOff>0</xdr:colOff>
      <xdr:row>20</xdr:row>
      <xdr:rowOff>111397</xdr:rowOff>
    </xdr:from>
    <xdr:to>
      <xdr:col>7</xdr:col>
      <xdr:colOff>7620</xdr:colOff>
      <xdr:row>21</xdr:row>
      <xdr:rowOff>424906</xdr:rowOff>
    </xdr:to>
    <xdr:sp macro="" textlink="">
      <xdr:nvSpPr>
        <xdr:cNvPr id="6" name="AutoShape 46">
          <a:extLst>
            <a:ext uri="{FF2B5EF4-FFF2-40B4-BE49-F238E27FC236}">
              <a16:creationId xmlns:a16="http://schemas.microsoft.com/office/drawing/2014/main" id="{6AED21FB-AFC5-485F-976E-D1DB814E7391}"/>
            </a:ext>
          </a:extLst>
        </xdr:cNvPr>
        <xdr:cNvSpPr>
          <a:spLocks noChangeArrowheads="1"/>
        </xdr:cNvSpPr>
      </xdr:nvSpPr>
      <xdr:spPr bwMode="auto">
        <a:xfrm>
          <a:off x="9198429" y="8910683"/>
          <a:ext cx="1985191"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8</xdr:col>
      <xdr:colOff>0</xdr:colOff>
      <xdr:row>20</xdr:row>
      <xdr:rowOff>111397</xdr:rowOff>
    </xdr:from>
    <xdr:to>
      <xdr:col>9</xdr:col>
      <xdr:colOff>7620</xdr:colOff>
      <xdr:row>21</xdr:row>
      <xdr:rowOff>424906</xdr:rowOff>
    </xdr:to>
    <xdr:sp macro="" textlink="">
      <xdr:nvSpPr>
        <xdr:cNvPr id="7" name="AutoShape 46">
          <a:extLst>
            <a:ext uri="{FF2B5EF4-FFF2-40B4-BE49-F238E27FC236}">
              <a16:creationId xmlns:a16="http://schemas.microsoft.com/office/drawing/2014/main" id="{6D1118CB-8195-4EF2-BD76-BD3BEDE0D090}"/>
            </a:ext>
          </a:extLst>
        </xdr:cNvPr>
        <xdr:cNvSpPr>
          <a:spLocks noChangeArrowheads="1"/>
        </xdr:cNvSpPr>
      </xdr:nvSpPr>
      <xdr:spPr bwMode="auto">
        <a:xfrm>
          <a:off x="12264571" y="8910683"/>
          <a:ext cx="1985192"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9</xdr:col>
      <xdr:colOff>1078316</xdr:colOff>
      <xdr:row>20</xdr:row>
      <xdr:rowOff>129540</xdr:rowOff>
    </xdr:from>
    <xdr:to>
      <xdr:col>11</xdr:col>
      <xdr:colOff>2886</xdr:colOff>
      <xdr:row>22</xdr:row>
      <xdr:rowOff>0</xdr:rowOff>
    </xdr:to>
    <xdr:sp macro="" textlink="">
      <xdr:nvSpPr>
        <xdr:cNvPr id="8" name="AutoShape 46">
          <a:extLst>
            <a:ext uri="{FF2B5EF4-FFF2-40B4-BE49-F238E27FC236}">
              <a16:creationId xmlns:a16="http://schemas.microsoft.com/office/drawing/2014/main" id="{579927B3-F9C4-4E4E-BC16-56A8AA71571B}"/>
            </a:ext>
          </a:extLst>
        </xdr:cNvPr>
        <xdr:cNvSpPr>
          <a:spLocks noChangeArrowheads="1"/>
        </xdr:cNvSpPr>
      </xdr:nvSpPr>
      <xdr:spPr bwMode="auto">
        <a:xfrm>
          <a:off x="15320459" y="8928826"/>
          <a:ext cx="1990713" cy="72317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12</xdr:col>
      <xdr:colOff>0</xdr:colOff>
      <xdr:row>20</xdr:row>
      <xdr:rowOff>129540</xdr:rowOff>
    </xdr:from>
    <xdr:to>
      <xdr:col>13</xdr:col>
      <xdr:colOff>7620</xdr:colOff>
      <xdr:row>22</xdr:row>
      <xdr:rowOff>15240</xdr:rowOff>
    </xdr:to>
    <xdr:sp macro="" textlink="">
      <xdr:nvSpPr>
        <xdr:cNvPr id="9" name="AutoShape 46">
          <a:extLst>
            <a:ext uri="{FF2B5EF4-FFF2-40B4-BE49-F238E27FC236}">
              <a16:creationId xmlns:a16="http://schemas.microsoft.com/office/drawing/2014/main" id="{3942E196-92E1-452D-808E-F10FFD7C7787}"/>
            </a:ext>
          </a:extLst>
        </xdr:cNvPr>
        <xdr:cNvSpPr>
          <a:spLocks noChangeArrowheads="1"/>
        </xdr:cNvSpPr>
      </xdr:nvSpPr>
      <xdr:spPr bwMode="auto">
        <a:xfrm>
          <a:off x="12938760" y="15796260"/>
          <a:ext cx="1432560" cy="73152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13</xdr:col>
      <xdr:colOff>1056194</xdr:colOff>
      <xdr:row>20</xdr:row>
      <xdr:rowOff>129540</xdr:rowOff>
    </xdr:from>
    <xdr:to>
      <xdr:col>15</xdr:col>
      <xdr:colOff>49695</xdr:colOff>
      <xdr:row>22</xdr:row>
      <xdr:rowOff>15240</xdr:rowOff>
    </xdr:to>
    <xdr:sp macro="" textlink="">
      <xdr:nvSpPr>
        <xdr:cNvPr id="10" name="AutoShape 46">
          <a:extLst>
            <a:ext uri="{FF2B5EF4-FFF2-40B4-BE49-F238E27FC236}">
              <a16:creationId xmlns:a16="http://schemas.microsoft.com/office/drawing/2014/main" id="{41D5310C-CE76-4B56-86F7-ED8FEE814990}"/>
            </a:ext>
          </a:extLst>
        </xdr:cNvPr>
        <xdr:cNvSpPr>
          <a:spLocks noChangeArrowheads="1"/>
        </xdr:cNvSpPr>
      </xdr:nvSpPr>
      <xdr:spPr bwMode="auto">
        <a:xfrm>
          <a:off x="21315455" y="9190714"/>
          <a:ext cx="2041501" cy="73052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16</xdr:col>
      <xdr:colOff>22861</xdr:colOff>
      <xdr:row>20</xdr:row>
      <xdr:rowOff>13583</xdr:rowOff>
    </xdr:from>
    <xdr:to>
      <xdr:col>17</xdr:col>
      <xdr:colOff>0</xdr:colOff>
      <xdr:row>21</xdr:row>
      <xdr:rowOff>414131</xdr:rowOff>
    </xdr:to>
    <xdr:sp macro="" textlink="">
      <xdr:nvSpPr>
        <xdr:cNvPr id="11" name="AutoShape 46">
          <a:extLst>
            <a:ext uri="{FF2B5EF4-FFF2-40B4-BE49-F238E27FC236}">
              <a16:creationId xmlns:a16="http://schemas.microsoft.com/office/drawing/2014/main" id="{1E9DE4A3-55BF-4398-AE98-9B4560ABB71C}"/>
            </a:ext>
          </a:extLst>
        </xdr:cNvPr>
        <xdr:cNvSpPr>
          <a:spLocks noChangeArrowheads="1"/>
        </xdr:cNvSpPr>
      </xdr:nvSpPr>
      <xdr:spPr bwMode="auto">
        <a:xfrm>
          <a:off x="24406861" y="9074757"/>
          <a:ext cx="1948400" cy="814678"/>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17</xdr:col>
      <xdr:colOff>1060173</xdr:colOff>
      <xdr:row>20</xdr:row>
      <xdr:rowOff>119269</xdr:rowOff>
    </xdr:from>
    <xdr:to>
      <xdr:col>18</xdr:col>
      <xdr:colOff>1962315</xdr:colOff>
      <xdr:row>22</xdr:row>
      <xdr:rowOff>4969</xdr:rowOff>
    </xdr:to>
    <xdr:sp macro="" textlink="">
      <xdr:nvSpPr>
        <xdr:cNvPr id="12" name="AutoShape 46">
          <a:extLst>
            <a:ext uri="{FF2B5EF4-FFF2-40B4-BE49-F238E27FC236}">
              <a16:creationId xmlns:a16="http://schemas.microsoft.com/office/drawing/2014/main" id="{D4AE859C-6134-4D45-8037-4001144F941F}"/>
            </a:ext>
          </a:extLst>
        </xdr:cNvPr>
        <xdr:cNvSpPr>
          <a:spLocks noChangeArrowheads="1"/>
        </xdr:cNvSpPr>
      </xdr:nvSpPr>
      <xdr:spPr bwMode="auto">
        <a:xfrm>
          <a:off x="27415434" y="9180443"/>
          <a:ext cx="1978881" cy="73052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19</xdr:col>
      <xdr:colOff>1051756</xdr:colOff>
      <xdr:row>20</xdr:row>
      <xdr:rowOff>132862</xdr:rowOff>
    </xdr:from>
    <xdr:to>
      <xdr:col>20</xdr:col>
      <xdr:colOff>1953847</xdr:colOff>
      <xdr:row>21</xdr:row>
      <xdr:rowOff>410307</xdr:rowOff>
    </xdr:to>
    <xdr:sp macro="" textlink="">
      <xdr:nvSpPr>
        <xdr:cNvPr id="13" name="AutoShape 46">
          <a:extLst>
            <a:ext uri="{FF2B5EF4-FFF2-40B4-BE49-F238E27FC236}">
              <a16:creationId xmlns:a16="http://schemas.microsoft.com/office/drawing/2014/main" id="{14ABCD69-7DE7-42B5-9561-DCE9CEFC9459}"/>
            </a:ext>
          </a:extLst>
        </xdr:cNvPr>
        <xdr:cNvSpPr>
          <a:spLocks noChangeArrowheads="1"/>
        </xdr:cNvSpPr>
      </xdr:nvSpPr>
      <xdr:spPr bwMode="auto">
        <a:xfrm>
          <a:off x="30457141" y="9237785"/>
          <a:ext cx="1976706" cy="687753"/>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21</xdr:col>
      <xdr:colOff>1055077</xdr:colOff>
      <xdr:row>20</xdr:row>
      <xdr:rowOff>94761</xdr:rowOff>
    </xdr:from>
    <xdr:to>
      <xdr:col>23</xdr:col>
      <xdr:colOff>19538</xdr:colOff>
      <xdr:row>22</xdr:row>
      <xdr:rowOff>-1</xdr:rowOff>
    </xdr:to>
    <xdr:sp macro="" textlink="">
      <xdr:nvSpPr>
        <xdr:cNvPr id="14" name="AutoShape 46">
          <a:extLst>
            <a:ext uri="{FF2B5EF4-FFF2-40B4-BE49-F238E27FC236}">
              <a16:creationId xmlns:a16="http://schemas.microsoft.com/office/drawing/2014/main" id="{2B6C184B-13BC-4E4F-B78F-E3144B08CCFB}"/>
            </a:ext>
          </a:extLst>
        </xdr:cNvPr>
        <xdr:cNvSpPr>
          <a:spLocks noChangeArrowheads="1"/>
        </xdr:cNvSpPr>
      </xdr:nvSpPr>
      <xdr:spPr bwMode="auto">
        <a:xfrm>
          <a:off x="33508462" y="9199684"/>
          <a:ext cx="2012461" cy="745392"/>
        </a:xfrm>
        <a:prstGeom prst="triangle">
          <a:avLst>
            <a:gd name="adj" fmla="val 49029"/>
          </a:avLst>
        </a:prstGeom>
        <a:no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27</xdr:row>
      <xdr:rowOff>100385</xdr:rowOff>
    </xdr:from>
    <xdr:to>
      <xdr:col>1</xdr:col>
      <xdr:colOff>7620</xdr:colOff>
      <xdr:row>28</xdr:row>
      <xdr:rowOff>405185</xdr:rowOff>
    </xdr:to>
    <xdr:sp macro="" textlink="">
      <xdr:nvSpPr>
        <xdr:cNvPr id="15" name="AutoShape 46">
          <a:extLst>
            <a:ext uri="{FF2B5EF4-FFF2-40B4-BE49-F238E27FC236}">
              <a16:creationId xmlns:a16="http://schemas.microsoft.com/office/drawing/2014/main" id="{ED8250A6-B801-443E-A25A-41C6291B8867}"/>
            </a:ext>
          </a:extLst>
        </xdr:cNvPr>
        <xdr:cNvSpPr>
          <a:spLocks noChangeArrowheads="1"/>
        </xdr:cNvSpPr>
      </xdr:nvSpPr>
      <xdr:spPr bwMode="auto">
        <a:xfrm>
          <a:off x="0" y="12723081"/>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2</xdr:col>
      <xdr:colOff>0</xdr:colOff>
      <xdr:row>27</xdr:row>
      <xdr:rowOff>136671</xdr:rowOff>
    </xdr:from>
    <xdr:to>
      <xdr:col>3</xdr:col>
      <xdr:colOff>7620</xdr:colOff>
      <xdr:row>29</xdr:row>
      <xdr:rowOff>6042</xdr:rowOff>
    </xdr:to>
    <xdr:sp macro="" textlink="">
      <xdr:nvSpPr>
        <xdr:cNvPr id="16" name="AutoShape 46">
          <a:extLst>
            <a:ext uri="{FF2B5EF4-FFF2-40B4-BE49-F238E27FC236}">
              <a16:creationId xmlns:a16="http://schemas.microsoft.com/office/drawing/2014/main" id="{48C2769C-AA54-47E5-9439-979D6AE95517}"/>
            </a:ext>
          </a:extLst>
        </xdr:cNvPr>
        <xdr:cNvSpPr>
          <a:spLocks noChangeArrowheads="1"/>
        </xdr:cNvSpPr>
      </xdr:nvSpPr>
      <xdr:spPr bwMode="auto">
        <a:xfrm>
          <a:off x="3066143"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4</xdr:col>
      <xdr:colOff>0</xdr:colOff>
      <xdr:row>27</xdr:row>
      <xdr:rowOff>136671</xdr:rowOff>
    </xdr:from>
    <xdr:to>
      <xdr:col>5</xdr:col>
      <xdr:colOff>7620</xdr:colOff>
      <xdr:row>29</xdr:row>
      <xdr:rowOff>6042</xdr:rowOff>
    </xdr:to>
    <xdr:sp macro="" textlink="">
      <xdr:nvSpPr>
        <xdr:cNvPr id="17" name="AutoShape 46">
          <a:extLst>
            <a:ext uri="{FF2B5EF4-FFF2-40B4-BE49-F238E27FC236}">
              <a16:creationId xmlns:a16="http://schemas.microsoft.com/office/drawing/2014/main" id="{C1EAA0F0-6166-4B18-906E-DA4CCA7A9E29}"/>
            </a:ext>
          </a:extLst>
        </xdr:cNvPr>
        <xdr:cNvSpPr>
          <a:spLocks noChangeArrowheads="1"/>
        </xdr:cNvSpPr>
      </xdr:nvSpPr>
      <xdr:spPr bwMode="auto">
        <a:xfrm>
          <a:off x="6132286"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6</xdr:col>
      <xdr:colOff>0</xdr:colOff>
      <xdr:row>27</xdr:row>
      <xdr:rowOff>136671</xdr:rowOff>
    </xdr:from>
    <xdr:to>
      <xdr:col>7</xdr:col>
      <xdr:colOff>7620</xdr:colOff>
      <xdr:row>29</xdr:row>
      <xdr:rowOff>6042</xdr:rowOff>
    </xdr:to>
    <xdr:sp macro="" textlink="">
      <xdr:nvSpPr>
        <xdr:cNvPr id="18" name="AutoShape 46">
          <a:extLst>
            <a:ext uri="{FF2B5EF4-FFF2-40B4-BE49-F238E27FC236}">
              <a16:creationId xmlns:a16="http://schemas.microsoft.com/office/drawing/2014/main" id="{4193C907-F17B-48DE-B97A-80253279C260}"/>
            </a:ext>
          </a:extLst>
        </xdr:cNvPr>
        <xdr:cNvSpPr>
          <a:spLocks noChangeArrowheads="1"/>
        </xdr:cNvSpPr>
      </xdr:nvSpPr>
      <xdr:spPr bwMode="auto">
        <a:xfrm>
          <a:off x="9198429"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8</xdr:col>
      <xdr:colOff>0</xdr:colOff>
      <xdr:row>27</xdr:row>
      <xdr:rowOff>136671</xdr:rowOff>
    </xdr:from>
    <xdr:to>
      <xdr:col>9</xdr:col>
      <xdr:colOff>7620</xdr:colOff>
      <xdr:row>29</xdr:row>
      <xdr:rowOff>6042</xdr:rowOff>
    </xdr:to>
    <xdr:sp macro="" textlink="">
      <xdr:nvSpPr>
        <xdr:cNvPr id="19" name="AutoShape 46">
          <a:extLst>
            <a:ext uri="{FF2B5EF4-FFF2-40B4-BE49-F238E27FC236}">
              <a16:creationId xmlns:a16="http://schemas.microsoft.com/office/drawing/2014/main" id="{0208CA0B-60C5-4A0F-A2AE-ECEE2B8A9FDE}"/>
            </a:ext>
          </a:extLst>
        </xdr:cNvPr>
        <xdr:cNvSpPr>
          <a:spLocks noChangeArrowheads="1"/>
        </xdr:cNvSpPr>
      </xdr:nvSpPr>
      <xdr:spPr bwMode="auto">
        <a:xfrm>
          <a:off x="12264571" y="12292385"/>
          <a:ext cx="1985192"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9</xdr:col>
      <xdr:colOff>1075414</xdr:colOff>
      <xdr:row>27</xdr:row>
      <xdr:rowOff>151911</xdr:rowOff>
    </xdr:from>
    <xdr:to>
      <xdr:col>11</xdr:col>
      <xdr:colOff>6295</xdr:colOff>
      <xdr:row>29</xdr:row>
      <xdr:rowOff>21282</xdr:rowOff>
    </xdr:to>
    <xdr:sp macro="" textlink="">
      <xdr:nvSpPr>
        <xdr:cNvPr id="20" name="AutoShape 46">
          <a:extLst>
            <a:ext uri="{FF2B5EF4-FFF2-40B4-BE49-F238E27FC236}">
              <a16:creationId xmlns:a16="http://schemas.microsoft.com/office/drawing/2014/main" id="{1AFCB7C0-F85E-492B-B67F-E2744850C2F3}"/>
            </a:ext>
          </a:extLst>
        </xdr:cNvPr>
        <xdr:cNvSpPr>
          <a:spLocks noChangeArrowheads="1"/>
        </xdr:cNvSpPr>
      </xdr:nvSpPr>
      <xdr:spPr bwMode="auto">
        <a:xfrm>
          <a:off x="15317557" y="12307625"/>
          <a:ext cx="1997024"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12</xdr:col>
      <xdr:colOff>0</xdr:colOff>
      <xdr:row>27</xdr:row>
      <xdr:rowOff>136671</xdr:rowOff>
    </xdr:from>
    <xdr:to>
      <xdr:col>13</xdr:col>
      <xdr:colOff>7620</xdr:colOff>
      <xdr:row>29</xdr:row>
      <xdr:rowOff>6042</xdr:rowOff>
    </xdr:to>
    <xdr:sp macro="" textlink="">
      <xdr:nvSpPr>
        <xdr:cNvPr id="21" name="AutoShape 46">
          <a:extLst>
            <a:ext uri="{FF2B5EF4-FFF2-40B4-BE49-F238E27FC236}">
              <a16:creationId xmlns:a16="http://schemas.microsoft.com/office/drawing/2014/main" id="{2BA525D7-C294-49E4-B776-1735BE134183}"/>
            </a:ext>
          </a:extLst>
        </xdr:cNvPr>
        <xdr:cNvSpPr>
          <a:spLocks noChangeArrowheads="1"/>
        </xdr:cNvSpPr>
      </xdr:nvSpPr>
      <xdr:spPr bwMode="auto">
        <a:xfrm>
          <a:off x="18396857" y="12292385"/>
          <a:ext cx="1985192"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14</xdr:col>
      <xdr:colOff>0</xdr:colOff>
      <xdr:row>27</xdr:row>
      <xdr:rowOff>116950</xdr:rowOff>
    </xdr:from>
    <xdr:to>
      <xdr:col>15</xdr:col>
      <xdr:colOff>7620</xdr:colOff>
      <xdr:row>28</xdr:row>
      <xdr:rowOff>421750</xdr:rowOff>
    </xdr:to>
    <xdr:sp macro="" textlink="">
      <xdr:nvSpPr>
        <xdr:cNvPr id="22" name="AutoShape 46">
          <a:extLst>
            <a:ext uri="{FF2B5EF4-FFF2-40B4-BE49-F238E27FC236}">
              <a16:creationId xmlns:a16="http://schemas.microsoft.com/office/drawing/2014/main" id="{5BE4AE9A-FAB1-49BD-8E2D-353F96C507B0}"/>
            </a:ext>
          </a:extLst>
        </xdr:cNvPr>
        <xdr:cNvSpPr>
          <a:spLocks noChangeArrowheads="1"/>
        </xdr:cNvSpPr>
      </xdr:nvSpPr>
      <xdr:spPr bwMode="auto">
        <a:xfrm>
          <a:off x="21336000" y="12739646"/>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txBody>
        <a:bodyPr/>
        <a:lstStyle/>
        <a:p>
          <a:endParaRPr lang="en-IN"/>
        </a:p>
      </xdr:txBody>
    </xdr:sp>
    <xdr:clientData/>
  </xdr:twoCellAnchor>
  <xdr:twoCellAnchor>
    <xdr:from>
      <xdr:col>16</xdr:col>
      <xdr:colOff>0</xdr:colOff>
      <xdr:row>27</xdr:row>
      <xdr:rowOff>116950</xdr:rowOff>
    </xdr:from>
    <xdr:to>
      <xdr:col>17</xdr:col>
      <xdr:colOff>7620</xdr:colOff>
      <xdr:row>28</xdr:row>
      <xdr:rowOff>421750</xdr:rowOff>
    </xdr:to>
    <xdr:sp macro="" textlink="">
      <xdr:nvSpPr>
        <xdr:cNvPr id="23" name="AutoShape 46">
          <a:extLst>
            <a:ext uri="{FF2B5EF4-FFF2-40B4-BE49-F238E27FC236}">
              <a16:creationId xmlns:a16="http://schemas.microsoft.com/office/drawing/2014/main" id="{759871B4-6D05-43ED-A8E9-35E190F035DF}"/>
            </a:ext>
          </a:extLst>
        </xdr:cNvPr>
        <xdr:cNvSpPr>
          <a:spLocks noChangeArrowheads="1"/>
        </xdr:cNvSpPr>
      </xdr:nvSpPr>
      <xdr:spPr bwMode="auto">
        <a:xfrm>
          <a:off x="24384000" y="12739646"/>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18</xdr:col>
      <xdr:colOff>0</xdr:colOff>
      <xdr:row>27</xdr:row>
      <xdr:rowOff>133515</xdr:rowOff>
    </xdr:from>
    <xdr:to>
      <xdr:col>19</xdr:col>
      <xdr:colOff>7620</xdr:colOff>
      <xdr:row>29</xdr:row>
      <xdr:rowOff>7619</xdr:rowOff>
    </xdr:to>
    <xdr:sp macro="" textlink="">
      <xdr:nvSpPr>
        <xdr:cNvPr id="24" name="AutoShape 46">
          <a:extLst>
            <a:ext uri="{FF2B5EF4-FFF2-40B4-BE49-F238E27FC236}">
              <a16:creationId xmlns:a16="http://schemas.microsoft.com/office/drawing/2014/main" id="{8A4069E8-1751-40C1-A262-3C58C5A01FE5}"/>
            </a:ext>
          </a:extLst>
        </xdr:cNvPr>
        <xdr:cNvSpPr>
          <a:spLocks noChangeArrowheads="1"/>
        </xdr:cNvSpPr>
      </xdr:nvSpPr>
      <xdr:spPr bwMode="auto">
        <a:xfrm>
          <a:off x="27432000" y="12756211"/>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37</xdr:row>
      <xdr:rowOff>0</xdr:rowOff>
    </xdr:from>
    <xdr:to>
      <xdr:col>1</xdr:col>
      <xdr:colOff>0</xdr:colOff>
      <xdr:row>38</xdr:row>
      <xdr:rowOff>335280</xdr:rowOff>
    </xdr:to>
    <xdr:sp macro="" textlink="">
      <xdr:nvSpPr>
        <xdr:cNvPr id="25" name="AutoShape 46">
          <a:extLst>
            <a:ext uri="{FF2B5EF4-FFF2-40B4-BE49-F238E27FC236}">
              <a16:creationId xmlns:a16="http://schemas.microsoft.com/office/drawing/2014/main" id="{DA5ACDAB-261C-48C2-97AE-9453966B079E}"/>
            </a:ext>
          </a:extLst>
        </xdr:cNvPr>
        <xdr:cNvSpPr>
          <a:spLocks noChangeArrowheads="1"/>
        </xdr:cNvSpPr>
      </xdr:nvSpPr>
      <xdr:spPr bwMode="auto">
        <a:xfrm>
          <a:off x="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xdr:col>
      <xdr:colOff>0</xdr:colOff>
      <xdr:row>37</xdr:row>
      <xdr:rowOff>0</xdr:rowOff>
    </xdr:from>
    <xdr:to>
      <xdr:col>3</xdr:col>
      <xdr:colOff>0</xdr:colOff>
      <xdr:row>38</xdr:row>
      <xdr:rowOff>335280</xdr:rowOff>
    </xdr:to>
    <xdr:sp macro="" textlink="">
      <xdr:nvSpPr>
        <xdr:cNvPr id="26" name="AutoShape 46">
          <a:extLst>
            <a:ext uri="{FF2B5EF4-FFF2-40B4-BE49-F238E27FC236}">
              <a16:creationId xmlns:a16="http://schemas.microsoft.com/office/drawing/2014/main" id="{98FAC738-8448-45FE-88FA-1B27C233C70C}"/>
            </a:ext>
          </a:extLst>
        </xdr:cNvPr>
        <xdr:cNvSpPr>
          <a:spLocks noChangeArrowheads="1"/>
        </xdr:cNvSpPr>
      </xdr:nvSpPr>
      <xdr:spPr bwMode="auto">
        <a:xfrm>
          <a:off x="23088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4</xdr:col>
      <xdr:colOff>0</xdr:colOff>
      <xdr:row>37</xdr:row>
      <xdr:rowOff>0</xdr:rowOff>
    </xdr:from>
    <xdr:to>
      <xdr:col>5</xdr:col>
      <xdr:colOff>0</xdr:colOff>
      <xdr:row>38</xdr:row>
      <xdr:rowOff>335280</xdr:rowOff>
    </xdr:to>
    <xdr:sp macro="" textlink="">
      <xdr:nvSpPr>
        <xdr:cNvPr id="27" name="AutoShape 46">
          <a:extLst>
            <a:ext uri="{FF2B5EF4-FFF2-40B4-BE49-F238E27FC236}">
              <a16:creationId xmlns:a16="http://schemas.microsoft.com/office/drawing/2014/main" id="{6879DD65-C88B-44A3-916F-1F8EEE9C8F33}"/>
            </a:ext>
          </a:extLst>
        </xdr:cNvPr>
        <xdr:cNvSpPr>
          <a:spLocks noChangeArrowheads="1"/>
        </xdr:cNvSpPr>
      </xdr:nvSpPr>
      <xdr:spPr bwMode="auto">
        <a:xfrm>
          <a:off x="4526280" y="24201120"/>
          <a:ext cx="1424940" cy="731520"/>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6</xdr:col>
      <xdr:colOff>0</xdr:colOff>
      <xdr:row>37</xdr:row>
      <xdr:rowOff>0</xdr:rowOff>
    </xdr:from>
    <xdr:to>
      <xdr:col>7</xdr:col>
      <xdr:colOff>0</xdr:colOff>
      <xdr:row>38</xdr:row>
      <xdr:rowOff>335280</xdr:rowOff>
    </xdr:to>
    <xdr:sp macro="" textlink="">
      <xdr:nvSpPr>
        <xdr:cNvPr id="28" name="AutoShape 46">
          <a:extLst>
            <a:ext uri="{FF2B5EF4-FFF2-40B4-BE49-F238E27FC236}">
              <a16:creationId xmlns:a16="http://schemas.microsoft.com/office/drawing/2014/main" id="{D87960DA-7789-46E6-8296-79BD65422F9F}"/>
            </a:ext>
          </a:extLst>
        </xdr:cNvPr>
        <xdr:cNvSpPr>
          <a:spLocks noChangeArrowheads="1"/>
        </xdr:cNvSpPr>
      </xdr:nvSpPr>
      <xdr:spPr bwMode="auto">
        <a:xfrm>
          <a:off x="662940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8</xdr:col>
      <xdr:colOff>0</xdr:colOff>
      <xdr:row>37</xdr:row>
      <xdr:rowOff>0</xdr:rowOff>
    </xdr:from>
    <xdr:to>
      <xdr:col>9</xdr:col>
      <xdr:colOff>0</xdr:colOff>
      <xdr:row>38</xdr:row>
      <xdr:rowOff>335280</xdr:rowOff>
    </xdr:to>
    <xdr:sp macro="" textlink="">
      <xdr:nvSpPr>
        <xdr:cNvPr id="29" name="AutoShape 46">
          <a:extLst>
            <a:ext uri="{FF2B5EF4-FFF2-40B4-BE49-F238E27FC236}">
              <a16:creationId xmlns:a16="http://schemas.microsoft.com/office/drawing/2014/main" id="{7B1AE1F1-2A22-4F09-A868-B2DB84E125A1}"/>
            </a:ext>
          </a:extLst>
        </xdr:cNvPr>
        <xdr:cNvSpPr>
          <a:spLocks noChangeArrowheads="1"/>
        </xdr:cNvSpPr>
      </xdr:nvSpPr>
      <xdr:spPr bwMode="auto">
        <a:xfrm>
          <a:off x="873252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10</xdr:col>
      <xdr:colOff>0</xdr:colOff>
      <xdr:row>37</xdr:row>
      <xdr:rowOff>0</xdr:rowOff>
    </xdr:from>
    <xdr:to>
      <xdr:col>11</xdr:col>
      <xdr:colOff>0</xdr:colOff>
      <xdr:row>38</xdr:row>
      <xdr:rowOff>335280</xdr:rowOff>
    </xdr:to>
    <xdr:sp macro="" textlink="">
      <xdr:nvSpPr>
        <xdr:cNvPr id="30" name="AutoShape 46">
          <a:extLst>
            <a:ext uri="{FF2B5EF4-FFF2-40B4-BE49-F238E27FC236}">
              <a16:creationId xmlns:a16="http://schemas.microsoft.com/office/drawing/2014/main" id="{09AAFF68-413D-42F0-A6D5-AC43DC886281}"/>
            </a:ext>
          </a:extLst>
        </xdr:cNvPr>
        <xdr:cNvSpPr>
          <a:spLocks noChangeArrowheads="1"/>
        </xdr:cNvSpPr>
      </xdr:nvSpPr>
      <xdr:spPr bwMode="auto">
        <a:xfrm>
          <a:off x="1083564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12</xdr:col>
      <xdr:colOff>0</xdr:colOff>
      <xdr:row>37</xdr:row>
      <xdr:rowOff>0</xdr:rowOff>
    </xdr:from>
    <xdr:to>
      <xdr:col>13</xdr:col>
      <xdr:colOff>0</xdr:colOff>
      <xdr:row>38</xdr:row>
      <xdr:rowOff>335280</xdr:rowOff>
    </xdr:to>
    <xdr:sp macro="" textlink="">
      <xdr:nvSpPr>
        <xdr:cNvPr id="31" name="AutoShape 46">
          <a:extLst>
            <a:ext uri="{FF2B5EF4-FFF2-40B4-BE49-F238E27FC236}">
              <a16:creationId xmlns:a16="http://schemas.microsoft.com/office/drawing/2014/main" id="{D1FE3B08-7408-4CCA-8C5C-DBAC4F2D2B1C}"/>
            </a:ext>
          </a:extLst>
        </xdr:cNvPr>
        <xdr:cNvSpPr>
          <a:spLocks noChangeArrowheads="1"/>
        </xdr:cNvSpPr>
      </xdr:nvSpPr>
      <xdr:spPr bwMode="auto">
        <a:xfrm>
          <a:off x="129387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14</xdr:col>
      <xdr:colOff>0</xdr:colOff>
      <xdr:row>37</xdr:row>
      <xdr:rowOff>0</xdr:rowOff>
    </xdr:from>
    <xdr:to>
      <xdr:col>15</xdr:col>
      <xdr:colOff>0</xdr:colOff>
      <xdr:row>38</xdr:row>
      <xdr:rowOff>335280</xdr:rowOff>
    </xdr:to>
    <xdr:sp macro="" textlink="">
      <xdr:nvSpPr>
        <xdr:cNvPr id="32" name="AutoShape 46">
          <a:extLst>
            <a:ext uri="{FF2B5EF4-FFF2-40B4-BE49-F238E27FC236}">
              <a16:creationId xmlns:a16="http://schemas.microsoft.com/office/drawing/2014/main" id="{9462CA6E-BADC-494A-B5A3-E28A161FDAA6}"/>
            </a:ext>
          </a:extLst>
        </xdr:cNvPr>
        <xdr:cNvSpPr>
          <a:spLocks noChangeArrowheads="1"/>
        </xdr:cNvSpPr>
      </xdr:nvSpPr>
      <xdr:spPr bwMode="auto">
        <a:xfrm>
          <a:off x="1520190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16</xdr:col>
      <xdr:colOff>0</xdr:colOff>
      <xdr:row>37</xdr:row>
      <xdr:rowOff>0</xdr:rowOff>
    </xdr:from>
    <xdr:to>
      <xdr:col>17</xdr:col>
      <xdr:colOff>0</xdr:colOff>
      <xdr:row>38</xdr:row>
      <xdr:rowOff>335280</xdr:rowOff>
    </xdr:to>
    <xdr:sp macro="" textlink="">
      <xdr:nvSpPr>
        <xdr:cNvPr id="33" name="AutoShape 46">
          <a:extLst>
            <a:ext uri="{FF2B5EF4-FFF2-40B4-BE49-F238E27FC236}">
              <a16:creationId xmlns:a16="http://schemas.microsoft.com/office/drawing/2014/main" id="{FF9B95C8-048C-4054-8CF9-9B497FC97D3B}"/>
            </a:ext>
          </a:extLst>
        </xdr:cNvPr>
        <xdr:cNvSpPr>
          <a:spLocks noChangeArrowheads="1"/>
        </xdr:cNvSpPr>
      </xdr:nvSpPr>
      <xdr:spPr bwMode="auto">
        <a:xfrm>
          <a:off x="1744218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18</xdr:col>
      <xdr:colOff>0</xdr:colOff>
      <xdr:row>37</xdr:row>
      <xdr:rowOff>0</xdr:rowOff>
    </xdr:from>
    <xdr:to>
      <xdr:col>19</xdr:col>
      <xdr:colOff>0</xdr:colOff>
      <xdr:row>38</xdr:row>
      <xdr:rowOff>335280</xdr:rowOff>
    </xdr:to>
    <xdr:sp macro="" textlink="">
      <xdr:nvSpPr>
        <xdr:cNvPr id="34" name="AutoShape 46">
          <a:extLst>
            <a:ext uri="{FF2B5EF4-FFF2-40B4-BE49-F238E27FC236}">
              <a16:creationId xmlns:a16="http://schemas.microsoft.com/office/drawing/2014/main" id="{E03D22F0-EF8E-40BE-B9AD-3BD151B1AD31}"/>
            </a:ext>
          </a:extLst>
        </xdr:cNvPr>
        <xdr:cNvSpPr>
          <a:spLocks noChangeArrowheads="1"/>
        </xdr:cNvSpPr>
      </xdr:nvSpPr>
      <xdr:spPr bwMode="auto">
        <a:xfrm>
          <a:off x="1972818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20</xdr:col>
      <xdr:colOff>0</xdr:colOff>
      <xdr:row>37</xdr:row>
      <xdr:rowOff>0</xdr:rowOff>
    </xdr:from>
    <xdr:to>
      <xdr:col>21</xdr:col>
      <xdr:colOff>0</xdr:colOff>
      <xdr:row>38</xdr:row>
      <xdr:rowOff>335280</xdr:rowOff>
    </xdr:to>
    <xdr:sp macro="" textlink="">
      <xdr:nvSpPr>
        <xdr:cNvPr id="35" name="AutoShape 46">
          <a:extLst>
            <a:ext uri="{FF2B5EF4-FFF2-40B4-BE49-F238E27FC236}">
              <a16:creationId xmlns:a16="http://schemas.microsoft.com/office/drawing/2014/main" id="{0A061B57-560F-494C-8768-7296F87624EB}"/>
            </a:ext>
          </a:extLst>
        </xdr:cNvPr>
        <xdr:cNvSpPr>
          <a:spLocks noChangeArrowheads="1"/>
        </xdr:cNvSpPr>
      </xdr:nvSpPr>
      <xdr:spPr bwMode="auto">
        <a:xfrm>
          <a:off x="2192274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22</xdr:col>
      <xdr:colOff>0</xdr:colOff>
      <xdr:row>37</xdr:row>
      <xdr:rowOff>0</xdr:rowOff>
    </xdr:from>
    <xdr:to>
      <xdr:col>23</xdr:col>
      <xdr:colOff>0</xdr:colOff>
      <xdr:row>38</xdr:row>
      <xdr:rowOff>335280</xdr:rowOff>
    </xdr:to>
    <xdr:sp macro="" textlink="">
      <xdr:nvSpPr>
        <xdr:cNvPr id="36" name="AutoShape 46">
          <a:extLst>
            <a:ext uri="{FF2B5EF4-FFF2-40B4-BE49-F238E27FC236}">
              <a16:creationId xmlns:a16="http://schemas.microsoft.com/office/drawing/2014/main" id="{38546E23-F900-469E-8026-667675441DB0}"/>
            </a:ext>
          </a:extLst>
        </xdr:cNvPr>
        <xdr:cNvSpPr>
          <a:spLocks noChangeArrowheads="1"/>
        </xdr:cNvSpPr>
      </xdr:nvSpPr>
      <xdr:spPr bwMode="auto">
        <a:xfrm>
          <a:off x="241401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0</xdr:colOff>
      <xdr:row>46</xdr:row>
      <xdr:rowOff>304800</xdr:rowOff>
    </xdr:from>
    <xdr:to>
      <xdr:col>1</xdr:col>
      <xdr:colOff>0</xdr:colOff>
      <xdr:row>48</xdr:row>
      <xdr:rowOff>15240</xdr:rowOff>
    </xdr:to>
    <xdr:sp macro="" textlink="">
      <xdr:nvSpPr>
        <xdr:cNvPr id="37" name="AutoShape 46">
          <a:extLst>
            <a:ext uri="{FF2B5EF4-FFF2-40B4-BE49-F238E27FC236}">
              <a16:creationId xmlns:a16="http://schemas.microsoft.com/office/drawing/2014/main" id="{587C5E97-DF84-4599-8C37-42703FFFB870}"/>
            </a:ext>
          </a:extLst>
        </xdr:cNvPr>
        <xdr:cNvSpPr>
          <a:spLocks noChangeArrowheads="1"/>
        </xdr:cNvSpPr>
      </xdr:nvSpPr>
      <xdr:spPr bwMode="auto">
        <a:xfrm>
          <a:off x="0" y="28963620"/>
          <a:ext cx="1424940" cy="4419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0</xdr:colOff>
      <xdr:row>46</xdr:row>
      <xdr:rowOff>304800</xdr:rowOff>
    </xdr:from>
    <xdr:to>
      <xdr:col>3</xdr:col>
      <xdr:colOff>0</xdr:colOff>
      <xdr:row>48</xdr:row>
      <xdr:rowOff>15240</xdr:rowOff>
    </xdr:to>
    <xdr:sp macro="" textlink="">
      <xdr:nvSpPr>
        <xdr:cNvPr id="38" name="AutoShape 46">
          <a:extLst>
            <a:ext uri="{FF2B5EF4-FFF2-40B4-BE49-F238E27FC236}">
              <a16:creationId xmlns:a16="http://schemas.microsoft.com/office/drawing/2014/main" id="{97897DE2-7569-4EE3-A7CD-79191DE7CD55}"/>
            </a:ext>
          </a:extLst>
        </xdr:cNvPr>
        <xdr:cNvSpPr>
          <a:spLocks noChangeArrowheads="1"/>
        </xdr:cNvSpPr>
      </xdr:nvSpPr>
      <xdr:spPr bwMode="auto">
        <a:xfrm>
          <a:off x="2308860" y="28963620"/>
          <a:ext cx="1424940" cy="4419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16</xdr:col>
      <xdr:colOff>0</xdr:colOff>
      <xdr:row>45</xdr:row>
      <xdr:rowOff>182880</xdr:rowOff>
    </xdr:from>
    <xdr:to>
      <xdr:col>17</xdr:col>
      <xdr:colOff>0</xdr:colOff>
      <xdr:row>47</xdr:row>
      <xdr:rowOff>297180</xdr:rowOff>
    </xdr:to>
    <xdr:sp macro="" textlink="">
      <xdr:nvSpPr>
        <xdr:cNvPr id="45" name="AutoShape 46">
          <a:extLst>
            <a:ext uri="{FF2B5EF4-FFF2-40B4-BE49-F238E27FC236}">
              <a16:creationId xmlns:a16="http://schemas.microsoft.com/office/drawing/2014/main" id="{9AAF17A9-617F-4066-9244-36D2D37935C9}"/>
            </a:ext>
          </a:extLst>
        </xdr:cNvPr>
        <xdr:cNvSpPr>
          <a:spLocks noChangeArrowheads="1"/>
        </xdr:cNvSpPr>
      </xdr:nvSpPr>
      <xdr:spPr bwMode="auto">
        <a:xfrm>
          <a:off x="1744218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18</xdr:col>
      <xdr:colOff>0</xdr:colOff>
      <xdr:row>45</xdr:row>
      <xdr:rowOff>182880</xdr:rowOff>
    </xdr:from>
    <xdr:to>
      <xdr:col>19</xdr:col>
      <xdr:colOff>0</xdr:colOff>
      <xdr:row>47</xdr:row>
      <xdr:rowOff>297180</xdr:rowOff>
    </xdr:to>
    <xdr:sp macro="" textlink="">
      <xdr:nvSpPr>
        <xdr:cNvPr id="46" name="AutoShape 46">
          <a:extLst>
            <a:ext uri="{FF2B5EF4-FFF2-40B4-BE49-F238E27FC236}">
              <a16:creationId xmlns:a16="http://schemas.microsoft.com/office/drawing/2014/main" id="{E3BB8C14-AE22-4DBD-B98A-DADE05A21413}"/>
            </a:ext>
          </a:extLst>
        </xdr:cNvPr>
        <xdr:cNvSpPr>
          <a:spLocks noChangeArrowheads="1"/>
        </xdr:cNvSpPr>
      </xdr:nvSpPr>
      <xdr:spPr bwMode="auto">
        <a:xfrm>
          <a:off x="1972818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20</xdr:col>
      <xdr:colOff>0</xdr:colOff>
      <xdr:row>45</xdr:row>
      <xdr:rowOff>182880</xdr:rowOff>
    </xdr:from>
    <xdr:to>
      <xdr:col>21</xdr:col>
      <xdr:colOff>0</xdr:colOff>
      <xdr:row>47</xdr:row>
      <xdr:rowOff>297180</xdr:rowOff>
    </xdr:to>
    <xdr:sp macro="" textlink="">
      <xdr:nvSpPr>
        <xdr:cNvPr id="47" name="AutoShape 46">
          <a:extLst>
            <a:ext uri="{FF2B5EF4-FFF2-40B4-BE49-F238E27FC236}">
              <a16:creationId xmlns:a16="http://schemas.microsoft.com/office/drawing/2014/main" id="{55DA1A22-C873-4E81-8B10-6E8C58671F17}"/>
            </a:ext>
          </a:extLst>
        </xdr:cNvPr>
        <xdr:cNvSpPr>
          <a:spLocks noChangeArrowheads="1"/>
        </xdr:cNvSpPr>
      </xdr:nvSpPr>
      <xdr:spPr bwMode="auto">
        <a:xfrm>
          <a:off x="2192274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22</xdr:col>
      <xdr:colOff>0</xdr:colOff>
      <xdr:row>45</xdr:row>
      <xdr:rowOff>182880</xdr:rowOff>
    </xdr:from>
    <xdr:to>
      <xdr:col>23</xdr:col>
      <xdr:colOff>0</xdr:colOff>
      <xdr:row>47</xdr:row>
      <xdr:rowOff>297180</xdr:rowOff>
    </xdr:to>
    <xdr:sp macro="" textlink="">
      <xdr:nvSpPr>
        <xdr:cNvPr id="48" name="AutoShape 46">
          <a:extLst>
            <a:ext uri="{FF2B5EF4-FFF2-40B4-BE49-F238E27FC236}">
              <a16:creationId xmlns:a16="http://schemas.microsoft.com/office/drawing/2014/main" id="{A062DA76-B4BE-4CBC-8663-13294DF9E301}"/>
            </a:ext>
          </a:extLst>
        </xdr:cNvPr>
        <xdr:cNvSpPr>
          <a:spLocks noChangeArrowheads="1"/>
        </xdr:cNvSpPr>
      </xdr:nvSpPr>
      <xdr:spPr bwMode="auto">
        <a:xfrm>
          <a:off x="2414016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editAs="oneCell">
    <xdr:from>
      <xdr:col>7</xdr:col>
      <xdr:colOff>114300</xdr:colOff>
      <xdr:row>17</xdr:row>
      <xdr:rowOff>0</xdr:rowOff>
    </xdr:from>
    <xdr:to>
      <xdr:col>7</xdr:col>
      <xdr:colOff>220980</xdr:colOff>
      <xdr:row>20</xdr:row>
      <xdr:rowOff>34342</xdr:rowOff>
    </xdr:to>
    <xdr:sp macro="" textlink="">
      <xdr:nvSpPr>
        <xdr:cNvPr id="49" name="Text Box 11802">
          <a:extLst>
            <a:ext uri="{FF2B5EF4-FFF2-40B4-BE49-F238E27FC236}">
              <a16:creationId xmlns:a16="http://schemas.microsoft.com/office/drawing/2014/main" id="{57C3E43C-3013-421E-BECC-0A2BCDBA1D57}"/>
            </a:ext>
          </a:extLst>
        </xdr:cNvPr>
        <xdr:cNvSpPr txBox="1">
          <a:spLocks noChangeArrowheads="1"/>
        </xdr:cNvSpPr>
      </xdr:nvSpPr>
      <xdr:spPr bwMode="auto">
        <a:xfrm>
          <a:off x="8168640" y="9624060"/>
          <a:ext cx="1066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53340</xdr:colOff>
      <xdr:row>47</xdr:row>
      <xdr:rowOff>0</xdr:rowOff>
    </xdr:from>
    <xdr:to>
      <xdr:col>1</xdr:col>
      <xdr:colOff>53340</xdr:colOff>
      <xdr:row>48</xdr:row>
      <xdr:rowOff>15240</xdr:rowOff>
    </xdr:to>
    <xdr:sp macro="" textlink="">
      <xdr:nvSpPr>
        <xdr:cNvPr id="50" name="AutoShape 46">
          <a:extLst>
            <a:ext uri="{FF2B5EF4-FFF2-40B4-BE49-F238E27FC236}">
              <a16:creationId xmlns:a16="http://schemas.microsoft.com/office/drawing/2014/main" id="{1EF50198-83C3-4D4F-AB3D-88B22DFA40C0}"/>
            </a:ext>
          </a:extLst>
        </xdr:cNvPr>
        <xdr:cNvSpPr>
          <a:spLocks noChangeArrowheads="1"/>
        </xdr:cNvSpPr>
      </xdr:nvSpPr>
      <xdr:spPr bwMode="auto">
        <a:xfrm>
          <a:off x="53340" y="29077920"/>
          <a:ext cx="1424940" cy="3276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53340</xdr:colOff>
      <xdr:row>47</xdr:row>
      <xdr:rowOff>0</xdr:rowOff>
    </xdr:from>
    <xdr:to>
      <xdr:col>3</xdr:col>
      <xdr:colOff>53340</xdr:colOff>
      <xdr:row>48</xdr:row>
      <xdr:rowOff>15240</xdr:rowOff>
    </xdr:to>
    <xdr:sp macro="" textlink="">
      <xdr:nvSpPr>
        <xdr:cNvPr id="51" name="AutoShape 46">
          <a:extLst>
            <a:ext uri="{FF2B5EF4-FFF2-40B4-BE49-F238E27FC236}">
              <a16:creationId xmlns:a16="http://schemas.microsoft.com/office/drawing/2014/main" id="{5AA06557-DEFA-4874-A968-693EB91E424E}"/>
            </a:ext>
          </a:extLst>
        </xdr:cNvPr>
        <xdr:cNvSpPr>
          <a:spLocks noChangeArrowheads="1"/>
        </xdr:cNvSpPr>
      </xdr:nvSpPr>
      <xdr:spPr bwMode="auto">
        <a:xfrm>
          <a:off x="2362200" y="29077920"/>
          <a:ext cx="1424940" cy="3276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13</xdr:col>
      <xdr:colOff>1055075</xdr:colOff>
      <xdr:row>45</xdr:row>
      <xdr:rowOff>260057</xdr:rowOff>
    </xdr:from>
    <xdr:to>
      <xdr:col>14</xdr:col>
      <xdr:colOff>1937237</xdr:colOff>
      <xdr:row>47</xdr:row>
      <xdr:rowOff>293077</xdr:rowOff>
    </xdr:to>
    <xdr:sp macro="" textlink="">
      <xdr:nvSpPr>
        <xdr:cNvPr id="57" name="AutoShape 46">
          <a:extLst>
            <a:ext uri="{FF2B5EF4-FFF2-40B4-BE49-F238E27FC236}">
              <a16:creationId xmlns:a16="http://schemas.microsoft.com/office/drawing/2014/main" id="{5D3F5425-E8AE-430A-A638-4814CF29C455}"/>
            </a:ext>
          </a:extLst>
        </xdr:cNvPr>
        <xdr:cNvSpPr>
          <a:spLocks noChangeArrowheads="1"/>
        </xdr:cNvSpPr>
      </xdr:nvSpPr>
      <xdr:spPr bwMode="auto">
        <a:xfrm>
          <a:off x="21316460" y="20834057"/>
          <a:ext cx="1956777" cy="853635"/>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30480</xdr:colOff>
      <xdr:row>45</xdr:row>
      <xdr:rowOff>220980</xdr:rowOff>
    </xdr:from>
    <xdr:to>
      <xdr:col>1</xdr:col>
      <xdr:colOff>30480</xdr:colOff>
      <xdr:row>48</xdr:row>
      <xdr:rowOff>7620</xdr:rowOff>
    </xdr:to>
    <xdr:sp macro="" textlink="">
      <xdr:nvSpPr>
        <xdr:cNvPr id="58" name="AutoShape 46">
          <a:extLst>
            <a:ext uri="{FF2B5EF4-FFF2-40B4-BE49-F238E27FC236}">
              <a16:creationId xmlns:a16="http://schemas.microsoft.com/office/drawing/2014/main" id="{419030B4-8FF4-4593-9FA1-FE3F269FAA58}"/>
            </a:ext>
          </a:extLst>
        </xdr:cNvPr>
        <xdr:cNvSpPr>
          <a:spLocks noChangeArrowheads="1"/>
        </xdr:cNvSpPr>
      </xdr:nvSpPr>
      <xdr:spPr bwMode="auto">
        <a:xfrm>
          <a:off x="30480" y="28460700"/>
          <a:ext cx="1424940" cy="93726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xdr:col>
      <xdr:colOff>7620</xdr:colOff>
      <xdr:row>45</xdr:row>
      <xdr:rowOff>220980</xdr:rowOff>
    </xdr:from>
    <xdr:to>
      <xdr:col>3</xdr:col>
      <xdr:colOff>7620</xdr:colOff>
      <xdr:row>48</xdr:row>
      <xdr:rowOff>7620</xdr:rowOff>
    </xdr:to>
    <xdr:sp macro="" textlink="">
      <xdr:nvSpPr>
        <xdr:cNvPr id="59" name="AutoShape 46">
          <a:extLst>
            <a:ext uri="{FF2B5EF4-FFF2-40B4-BE49-F238E27FC236}">
              <a16:creationId xmlns:a16="http://schemas.microsoft.com/office/drawing/2014/main" id="{A9BD299B-FFAC-41E4-9DE2-840AE194378F}"/>
            </a:ext>
          </a:extLst>
        </xdr:cNvPr>
        <xdr:cNvSpPr>
          <a:spLocks noChangeArrowheads="1"/>
        </xdr:cNvSpPr>
      </xdr:nvSpPr>
      <xdr:spPr bwMode="auto">
        <a:xfrm>
          <a:off x="2316480" y="28460700"/>
          <a:ext cx="1424940" cy="93726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4</xdr:col>
      <xdr:colOff>19539</xdr:colOff>
      <xdr:row>45</xdr:row>
      <xdr:rowOff>160961</xdr:rowOff>
    </xdr:from>
    <xdr:to>
      <xdr:col>5</xdr:col>
      <xdr:colOff>30088</xdr:colOff>
      <xdr:row>47</xdr:row>
      <xdr:rowOff>291673</xdr:rowOff>
    </xdr:to>
    <xdr:sp macro="" textlink="">
      <xdr:nvSpPr>
        <xdr:cNvPr id="60" name="AutoShape 46">
          <a:extLst>
            <a:ext uri="{FF2B5EF4-FFF2-40B4-BE49-F238E27FC236}">
              <a16:creationId xmlns:a16="http://schemas.microsoft.com/office/drawing/2014/main" id="{6292642F-5A6C-479A-A88C-21AAF64CC760}"/>
            </a:ext>
          </a:extLst>
        </xdr:cNvPr>
        <xdr:cNvSpPr>
          <a:spLocks noChangeArrowheads="1"/>
        </xdr:cNvSpPr>
      </xdr:nvSpPr>
      <xdr:spPr bwMode="auto">
        <a:xfrm>
          <a:off x="6151825" y="19319818"/>
          <a:ext cx="1988120" cy="965284"/>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5</xdr:col>
      <xdr:colOff>1065627</xdr:colOff>
      <xdr:row>45</xdr:row>
      <xdr:rowOff>201441</xdr:rowOff>
    </xdr:from>
    <xdr:to>
      <xdr:col>7</xdr:col>
      <xdr:colOff>0</xdr:colOff>
      <xdr:row>47</xdr:row>
      <xdr:rowOff>300697</xdr:rowOff>
    </xdr:to>
    <xdr:sp macro="" textlink="">
      <xdr:nvSpPr>
        <xdr:cNvPr id="61" name="AutoShape 46">
          <a:extLst>
            <a:ext uri="{FF2B5EF4-FFF2-40B4-BE49-F238E27FC236}">
              <a16:creationId xmlns:a16="http://schemas.microsoft.com/office/drawing/2014/main" id="{BB97C009-96C1-4348-B2EB-46CB3EA6FF34}"/>
            </a:ext>
          </a:extLst>
        </xdr:cNvPr>
        <xdr:cNvSpPr>
          <a:spLocks noChangeArrowheads="1"/>
        </xdr:cNvSpPr>
      </xdr:nvSpPr>
      <xdr:spPr bwMode="auto">
        <a:xfrm>
          <a:off x="9135012" y="20775441"/>
          <a:ext cx="1982373"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7</xdr:col>
      <xdr:colOff>1007012</xdr:colOff>
      <xdr:row>45</xdr:row>
      <xdr:rowOff>201442</xdr:rowOff>
    </xdr:from>
    <xdr:to>
      <xdr:col>9</xdr:col>
      <xdr:colOff>0</xdr:colOff>
      <xdr:row>47</xdr:row>
      <xdr:rowOff>300698</xdr:rowOff>
    </xdr:to>
    <xdr:sp macro="" textlink="">
      <xdr:nvSpPr>
        <xdr:cNvPr id="62" name="AutoShape 46">
          <a:extLst>
            <a:ext uri="{FF2B5EF4-FFF2-40B4-BE49-F238E27FC236}">
              <a16:creationId xmlns:a16="http://schemas.microsoft.com/office/drawing/2014/main" id="{7FF08C33-DD35-45C6-B907-070ECAF94757}"/>
            </a:ext>
          </a:extLst>
        </xdr:cNvPr>
        <xdr:cNvSpPr>
          <a:spLocks noChangeArrowheads="1"/>
        </xdr:cNvSpPr>
      </xdr:nvSpPr>
      <xdr:spPr bwMode="auto">
        <a:xfrm>
          <a:off x="12124397" y="20775442"/>
          <a:ext cx="2040988"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9</xdr:col>
      <xdr:colOff>1065627</xdr:colOff>
      <xdr:row>45</xdr:row>
      <xdr:rowOff>200046</xdr:rowOff>
    </xdr:from>
    <xdr:to>
      <xdr:col>10</xdr:col>
      <xdr:colOff>1953846</xdr:colOff>
      <xdr:row>47</xdr:row>
      <xdr:rowOff>299302</xdr:rowOff>
    </xdr:to>
    <xdr:sp macro="" textlink="">
      <xdr:nvSpPr>
        <xdr:cNvPr id="63" name="AutoShape 46">
          <a:extLst>
            <a:ext uri="{FF2B5EF4-FFF2-40B4-BE49-F238E27FC236}">
              <a16:creationId xmlns:a16="http://schemas.microsoft.com/office/drawing/2014/main" id="{F26DCAC0-D1B4-4420-A9D1-8977001B3963}"/>
            </a:ext>
          </a:extLst>
        </xdr:cNvPr>
        <xdr:cNvSpPr>
          <a:spLocks noChangeArrowheads="1"/>
        </xdr:cNvSpPr>
      </xdr:nvSpPr>
      <xdr:spPr bwMode="auto">
        <a:xfrm>
          <a:off x="15307770" y="19358903"/>
          <a:ext cx="1976790" cy="933828"/>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11</xdr:col>
      <xdr:colOff>1007012</xdr:colOff>
      <xdr:row>45</xdr:row>
      <xdr:rowOff>220980</xdr:rowOff>
    </xdr:from>
    <xdr:to>
      <xdr:col>13</xdr:col>
      <xdr:colOff>39077</xdr:colOff>
      <xdr:row>48</xdr:row>
      <xdr:rowOff>7620</xdr:rowOff>
    </xdr:to>
    <xdr:sp macro="" textlink="">
      <xdr:nvSpPr>
        <xdr:cNvPr id="64" name="AutoShape 46">
          <a:extLst>
            <a:ext uri="{FF2B5EF4-FFF2-40B4-BE49-F238E27FC236}">
              <a16:creationId xmlns:a16="http://schemas.microsoft.com/office/drawing/2014/main" id="{4078C319-5E18-440F-A58A-C124B2CF4686}"/>
            </a:ext>
          </a:extLst>
        </xdr:cNvPr>
        <xdr:cNvSpPr>
          <a:spLocks noChangeArrowheads="1"/>
        </xdr:cNvSpPr>
      </xdr:nvSpPr>
      <xdr:spPr bwMode="auto">
        <a:xfrm>
          <a:off x="18220397" y="20794980"/>
          <a:ext cx="2080065"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0</xdr:colOff>
      <xdr:row>20</xdr:row>
      <xdr:rowOff>116620</xdr:rowOff>
    </xdr:from>
    <xdr:to>
      <xdr:col>1</xdr:col>
      <xdr:colOff>7620</xdr:colOff>
      <xdr:row>22</xdr:row>
      <xdr:rowOff>9940</xdr:rowOff>
    </xdr:to>
    <xdr:sp macro="" textlink="">
      <xdr:nvSpPr>
        <xdr:cNvPr id="65" name="AutoShape 46">
          <a:extLst>
            <a:ext uri="{FF2B5EF4-FFF2-40B4-BE49-F238E27FC236}">
              <a16:creationId xmlns:a16="http://schemas.microsoft.com/office/drawing/2014/main" id="{1C371187-327F-4EE8-9CC8-F55A330F2C67}"/>
            </a:ext>
          </a:extLst>
        </xdr:cNvPr>
        <xdr:cNvSpPr>
          <a:spLocks noChangeArrowheads="1"/>
        </xdr:cNvSpPr>
      </xdr:nvSpPr>
      <xdr:spPr bwMode="auto">
        <a:xfrm>
          <a:off x="0" y="9177794"/>
          <a:ext cx="1978881" cy="73814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53</xdr:row>
      <xdr:rowOff>243840</xdr:rowOff>
    </xdr:from>
    <xdr:to>
      <xdr:col>1</xdr:col>
      <xdr:colOff>22860</xdr:colOff>
      <xdr:row>54</xdr:row>
      <xdr:rowOff>944880</xdr:rowOff>
    </xdr:to>
    <xdr:sp macro="" textlink="">
      <xdr:nvSpPr>
        <xdr:cNvPr id="66" name="AutoShape 46">
          <a:extLst>
            <a:ext uri="{FF2B5EF4-FFF2-40B4-BE49-F238E27FC236}">
              <a16:creationId xmlns:a16="http://schemas.microsoft.com/office/drawing/2014/main" id="{1F8C9EBE-C94A-4889-B571-F9AE17B08E0E}"/>
            </a:ext>
          </a:extLst>
        </xdr:cNvPr>
        <xdr:cNvSpPr>
          <a:spLocks noChangeArrowheads="1"/>
        </xdr:cNvSpPr>
      </xdr:nvSpPr>
      <xdr:spPr bwMode="auto">
        <a:xfrm>
          <a:off x="0" y="32049720"/>
          <a:ext cx="1447800" cy="1120140"/>
        </a:xfrm>
        <a:prstGeom prst="triangle">
          <a:avLst>
            <a:gd name="adj" fmla="val 50000"/>
          </a:avLst>
        </a:prstGeom>
        <a:solidFill>
          <a:srgbClr val="FFFFFF"/>
        </a:solidFill>
        <a:ln w="34925">
          <a:solidFill>
            <a:srgbClr val="000000"/>
          </a:solidFill>
          <a:miter lim="800000"/>
          <a:headEnd/>
          <a:tailEnd/>
        </a:ln>
      </xdr:spPr>
    </xdr:sp>
    <xdr:clientData/>
  </xdr:twoCellAnchor>
  <xdr:twoCellAnchor editAs="oneCell">
    <xdr:from>
      <xdr:col>11</xdr:col>
      <xdr:colOff>114300</xdr:colOff>
      <xdr:row>14</xdr:row>
      <xdr:rowOff>0</xdr:rowOff>
    </xdr:from>
    <xdr:to>
      <xdr:col>11</xdr:col>
      <xdr:colOff>220980</xdr:colOff>
      <xdr:row>14</xdr:row>
      <xdr:rowOff>281940</xdr:rowOff>
    </xdr:to>
    <xdr:sp macro="" textlink="">
      <xdr:nvSpPr>
        <xdr:cNvPr id="68" name="Text Box 11802">
          <a:extLst>
            <a:ext uri="{FF2B5EF4-FFF2-40B4-BE49-F238E27FC236}">
              <a16:creationId xmlns:a16="http://schemas.microsoft.com/office/drawing/2014/main" id="{8B0EDA5B-AD4E-4D37-A6BB-B16645C426EA}"/>
            </a:ext>
          </a:extLst>
        </xdr:cNvPr>
        <xdr:cNvSpPr txBox="1">
          <a:spLocks noChangeArrowheads="1"/>
        </xdr:cNvSpPr>
      </xdr:nvSpPr>
      <xdr:spPr bwMode="auto">
        <a:xfrm>
          <a:off x="12466320" y="7909560"/>
          <a:ext cx="1066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17</xdr:col>
      <xdr:colOff>19538</xdr:colOff>
      <xdr:row>56</xdr:row>
      <xdr:rowOff>234462</xdr:rowOff>
    </xdr:from>
    <xdr:to>
      <xdr:col>17</xdr:col>
      <xdr:colOff>516793</xdr:colOff>
      <xdr:row>58</xdr:row>
      <xdr:rowOff>262310</xdr:rowOff>
    </xdr:to>
    <xdr:pic>
      <xdr:nvPicPr>
        <xdr:cNvPr id="81" name="Picture 80">
          <a:extLst>
            <a:ext uri="{FF2B5EF4-FFF2-40B4-BE49-F238E27FC236}">
              <a16:creationId xmlns:a16="http://schemas.microsoft.com/office/drawing/2014/main" id="{5CBE98F7-19A2-4A75-A5D3-A16C604FAE2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376923" y="25282770"/>
          <a:ext cx="497255" cy="1395540"/>
        </a:xfrm>
        <a:prstGeom prst="rect">
          <a:avLst/>
        </a:prstGeom>
      </xdr:spPr>
    </xdr:pic>
    <xdr:clientData/>
  </xdr:twoCellAnchor>
  <xdr:twoCellAnchor>
    <xdr:from>
      <xdr:col>12</xdr:col>
      <xdr:colOff>976923</xdr:colOff>
      <xdr:row>53</xdr:row>
      <xdr:rowOff>390769</xdr:rowOff>
    </xdr:from>
    <xdr:to>
      <xdr:col>16</xdr:col>
      <xdr:colOff>996463</xdr:colOff>
      <xdr:row>54</xdr:row>
      <xdr:rowOff>429846</xdr:rowOff>
    </xdr:to>
    <xdr:sp macro="" textlink="">
      <xdr:nvSpPr>
        <xdr:cNvPr id="82" name="Freeform 10707">
          <a:extLst>
            <a:ext uri="{FF2B5EF4-FFF2-40B4-BE49-F238E27FC236}">
              <a16:creationId xmlns:a16="http://schemas.microsoft.com/office/drawing/2014/main" id="{D9B4D7E3-549F-4FCF-BB80-C80575E6C13A}"/>
            </a:ext>
          </a:extLst>
        </xdr:cNvPr>
        <xdr:cNvSpPr>
          <a:spLocks/>
        </xdr:cNvSpPr>
      </xdr:nvSpPr>
      <xdr:spPr bwMode="auto">
        <a:xfrm>
          <a:off x="19264923" y="23309384"/>
          <a:ext cx="6115540" cy="4493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879231</xdr:colOff>
      <xdr:row>53</xdr:row>
      <xdr:rowOff>371231</xdr:rowOff>
    </xdr:from>
    <xdr:to>
      <xdr:col>18</xdr:col>
      <xdr:colOff>1250462</xdr:colOff>
      <xdr:row>54</xdr:row>
      <xdr:rowOff>320412</xdr:rowOff>
    </xdr:to>
    <xdr:sp macro="" textlink="">
      <xdr:nvSpPr>
        <xdr:cNvPr id="83" name="Freeform 10706">
          <a:extLst>
            <a:ext uri="{FF2B5EF4-FFF2-40B4-BE49-F238E27FC236}">
              <a16:creationId xmlns:a16="http://schemas.microsoft.com/office/drawing/2014/main" id="{F447FFBC-90C2-4F57-9AE1-FE202BAAF14B}"/>
            </a:ext>
          </a:extLst>
        </xdr:cNvPr>
        <xdr:cNvSpPr>
          <a:spLocks/>
        </xdr:cNvSpPr>
      </xdr:nvSpPr>
      <xdr:spPr bwMode="auto">
        <a:xfrm>
          <a:off x="25263231" y="23289846"/>
          <a:ext cx="3419231" cy="3594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976923</xdr:colOff>
      <xdr:row>53</xdr:row>
      <xdr:rowOff>390769</xdr:rowOff>
    </xdr:from>
    <xdr:to>
      <xdr:col>12</xdr:col>
      <xdr:colOff>1024241</xdr:colOff>
      <xdr:row>54</xdr:row>
      <xdr:rowOff>390770</xdr:rowOff>
    </xdr:to>
    <xdr:sp macro="" textlink="">
      <xdr:nvSpPr>
        <xdr:cNvPr id="84" name="Freeform 10695">
          <a:extLst>
            <a:ext uri="{FF2B5EF4-FFF2-40B4-BE49-F238E27FC236}">
              <a16:creationId xmlns:a16="http://schemas.microsoft.com/office/drawing/2014/main" id="{DF4435E1-9119-437F-8C0E-E92D55CA44B8}"/>
            </a:ext>
          </a:extLst>
        </xdr:cNvPr>
        <xdr:cNvSpPr>
          <a:spLocks/>
        </xdr:cNvSpPr>
      </xdr:nvSpPr>
      <xdr:spPr bwMode="auto">
        <a:xfrm>
          <a:off x="16216923" y="24071384"/>
          <a:ext cx="3095318" cy="4103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15</xdr:col>
      <xdr:colOff>332154</xdr:colOff>
      <xdr:row>54</xdr:row>
      <xdr:rowOff>722922</xdr:rowOff>
    </xdr:from>
    <xdr:to>
      <xdr:col>16</xdr:col>
      <xdr:colOff>468922</xdr:colOff>
      <xdr:row>54</xdr:row>
      <xdr:rowOff>918307</xdr:rowOff>
    </xdr:to>
    <xdr:cxnSp macro="">
      <xdr:nvCxnSpPr>
        <xdr:cNvPr id="97" name="Straight Arrow Connector 96">
          <a:extLst>
            <a:ext uri="{FF2B5EF4-FFF2-40B4-BE49-F238E27FC236}">
              <a16:creationId xmlns:a16="http://schemas.microsoft.com/office/drawing/2014/main" id="{E0B80BF8-B8E6-DE39-B8A1-97C18FDA23EF}"/>
            </a:ext>
          </a:extLst>
        </xdr:cNvPr>
        <xdr:cNvCxnSpPr/>
      </xdr:nvCxnSpPr>
      <xdr:spPr>
        <a:xfrm flipH="1">
          <a:off x="23641539" y="25224153"/>
          <a:ext cx="1211383" cy="195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351692</xdr:colOff>
      <xdr:row>54</xdr:row>
      <xdr:rowOff>722922</xdr:rowOff>
    </xdr:from>
    <xdr:to>
      <xdr:col>12</xdr:col>
      <xdr:colOff>488461</xdr:colOff>
      <xdr:row>54</xdr:row>
      <xdr:rowOff>918307</xdr:rowOff>
    </xdr:to>
    <xdr:cxnSp macro="">
      <xdr:nvCxnSpPr>
        <xdr:cNvPr id="99" name="Straight Arrow Connector 98">
          <a:extLst>
            <a:ext uri="{FF2B5EF4-FFF2-40B4-BE49-F238E27FC236}">
              <a16:creationId xmlns:a16="http://schemas.microsoft.com/office/drawing/2014/main" id="{F5867B82-6FC5-4C44-E1FE-FD13573BB1B7}"/>
            </a:ext>
          </a:extLst>
        </xdr:cNvPr>
        <xdr:cNvCxnSpPr/>
      </xdr:nvCxnSpPr>
      <xdr:spPr>
        <a:xfrm flipH="1">
          <a:off x="17565077" y="24813845"/>
          <a:ext cx="1211384" cy="195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1817078</xdr:colOff>
      <xdr:row>56</xdr:row>
      <xdr:rowOff>488461</xdr:rowOff>
    </xdr:from>
    <xdr:to>
      <xdr:col>12</xdr:col>
      <xdr:colOff>644769</xdr:colOff>
      <xdr:row>57</xdr:row>
      <xdr:rowOff>254000</xdr:rowOff>
    </xdr:to>
    <xdr:cxnSp macro="">
      <xdr:nvCxnSpPr>
        <xdr:cNvPr id="100" name="Straight Arrow Connector 99">
          <a:extLst>
            <a:ext uri="{FF2B5EF4-FFF2-40B4-BE49-F238E27FC236}">
              <a16:creationId xmlns:a16="http://schemas.microsoft.com/office/drawing/2014/main" id="{10439C0A-C7E1-7D7D-549E-79B0EC0DE527}"/>
            </a:ext>
          </a:extLst>
        </xdr:cNvPr>
        <xdr:cNvCxnSpPr/>
      </xdr:nvCxnSpPr>
      <xdr:spPr>
        <a:xfrm flipH="1">
          <a:off x="17057078" y="25536769"/>
          <a:ext cx="1875691" cy="703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1836616</xdr:colOff>
      <xdr:row>56</xdr:row>
      <xdr:rowOff>410308</xdr:rowOff>
    </xdr:from>
    <xdr:to>
      <xdr:col>16</xdr:col>
      <xdr:colOff>429846</xdr:colOff>
      <xdr:row>57</xdr:row>
      <xdr:rowOff>58615</xdr:rowOff>
    </xdr:to>
    <xdr:cxnSp macro="">
      <xdr:nvCxnSpPr>
        <xdr:cNvPr id="102" name="Straight Arrow Connector 101">
          <a:extLst>
            <a:ext uri="{FF2B5EF4-FFF2-40B4-BE49-F238E27FC236}">
              <a16:creationId xmlns:a16="http://schemas.microsoft.com/office/drawing/2014/main" id="{43CC67AA-2663-6046-C86F-DE329D585397}"/>
            </a:ext>
          </a:extLst>
        </xdr:cNvPr>
        <xdr:cNvCxnSpPr/>
      </xdr:nvCxnSpPr>
      <xdr:spPr>
        <a:xfrm flipH="1">
          <a:off x="23172616" y="25868923"/>
          <a:ext cx="1641230" cy="58615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97691</xdr:colOff>
      <xdr:row>53</xdr:row>
      <xdr:rowOff>19539</xdr:rowOff>
    </xdr:from>
    <xdr:to>
      <xdr:col>15</xdr:col>
      <xdr:colOff>527538</xdr:colOff>
      <xdr:row>54</xdr:row>
      <xdr:rowOff>253999</xdr:rowOff>
    </xdr:to>
    <xdr:cxnSp macro="">
      <xdr:nvCxnSpPr>
        <xdr:cNvPr id="103" name="Straight Arrow Connector 102">
          <a:extLst>
            <a:ext uri="{FF2B5EF4-FFF2-40B4-BE49-F238E27FC236}">
              <a16:creationId xmlns:a16="http://schemas.microsoft.com/office/drawing/2014/main" id="{49FA8109-9D98-5731-E914-BD2CAA97E99A}"/>
            </a:ext>
          </a:extLst>
        </xdr:cNvPr>
        <xdr:cNvCxnSpPr/>
      </xdr:nvCxnSpPr>
      <xdr:spPr>
        <a:xfrm flipV="1">
          <a:off x="23407076" y="24110462"/>
          <a:ext cx="429847" cy="64476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488461</xdr:colOff>
      <xdr:row>53</xdr:row>
      <xdr:rowOff>0</xdr:rowOff>
    </xdr:from>
    <xdr:to>
      <xdr:col>11</xdr:col>
      <xdr:colOff>898769</xdr:colOff>
      <xdr:row>54</xdr:row>
      <xdr:rowOff>175845</xdr:rowOff>
    </xdr:to>
    <xdr:cxnSp macro="">
      <xdr:nvCxnSpPr>
        <xdr:cNvPr id="106" name="Straight Arrow Connector 105">
          <a:extLst>
            <a:ext uri="{FF2B5EF4-FFF2-40B4-BE49-F238E27FC236}">
              <a16:creationId xmlns:a16="http://schemas.microsoft.com/office/drawing/2014/main" id="{2EB14AFA-B294-FE3F-6F3D-2CC6F079DCA7}"/>
            </a:ext>
          </a:extLst>
        </xdr:cNvPr>
        <xdr:cNvCxnSpPr/>
      </xdr:nvCxnSpPr>
      <xdr:spPr>
        <a:xfrm flipV="1">
          <a:off x="17701846" y="23680615"/>
          <a:ext cx="410308" cy="58615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175847</xdr:colOff>
      <xdr:row>57</xdr:row>
      <xdr:rowOff>136769</xdr:rowOff>
    </xdr:from>
    <xdr:to>
      <xdr:col>18</xdr:col>
      <xdr:colOff>156309</xdr:colOff>
      <xdr:row>57</xdr:row>
      <xdr:rowOff>351691</xdr:rowOff>
    </xdr:to>
    <xdr:cxnSp macro="">
      <xdr:nvCxnSpPr>
        <xdr:cNvPr id="109" name="Straight Arrow Connector 108">
          <a:extLst>
            <a:ext uri="{FF2B5EF4-FFF2-40B4-BE49-F238E27FC236}">
              <a16:creationId xmlns:a16="http://schemas.microsoft.com/office/drawing/2014/main" id="{189D8A0A-B281-DE47-3427-9C5BED0C3303}"/>
            </a:ext>
          </a:extLst>
        </xdr:cNvPr>
        <xdr:cNvCxnSpPr/>
      </xdr:nvCxnSpPr>
      <xdr:spPr>
        <a:xfrm>
          <a:off x="26533232" y="26533231"/>
          <a:ext cx="1055077" cy="21492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664308</xdr:colOff>
      <xdr:row>55</xdr:row>
      <xdr:rowOff>19538</xdr:rowOff>
    </xdr:from>
    <xdr:to>
      <xdr:col>22</xdr:col>
      <xdr:colOff>1035539</xdr:colOff>
      <xdr:row>55</xdr:row>
      <xdr:rowOff>379027</xdr:rowOff>
    </xdr:to>
    <xdr:sp macro="" textlink="">
      <xdr:nvSpPr>
        <xdr:cNvPr id="165" name="Freeform 10706">
          <a:extLst>
            <a:ext uri="{FF2B5EF4-FFF2-40B4-BE49-F238E27FC236}">
              <a16:creationId xmlns:a16="http://schemas.microsoft.com/office/drawing/2014/main" id="{2F75467B-1AE0-4E1B-8D77-A51860FAE764}"/>
            </a:ext>
          </a:extLst>
        </xdr:cNvPr>
        <xdr:cNvSpPr>
          <a:spLocks/>
        </xdr:cNvSpPr>
      </xdr:nvSpPr>
      <xdr:spPr bwMode="auto">
        <a:xfrm>
          <a:off x="11630482" y="29356538"/>
          <a:ext cx="2475014" cy="3594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11</xdr:col>
      <xdr:colOff>1007012</xdr:colOff>
      <xdr:row>54</xdr:row>
      <xdr:rowOff>25595</xdr:rowOff>
    </xdr:from>
    <xdr:to>
      <xdr:col>13</xdr:col>
      <xdr:colOff>39077</xdr:colOff>
      <xdr:row>54</xdr:row>
      <xdr:rowOff>945466</xdr:rowOff>
    </xdr:to>
    <xdr:sp macro="" textlink="">
      <xdr:nvSpPr>
        <xdr:cNvPr id="39" name="AutoShape 46">
          <a:extLst>
            <a:ext uri="{FF2B5EF4-FFF2-40B4-BE49-F238E27FC236}">
              <a16:creationId xmlns:a16="http://schemas.microsoft.com/office/drawing/2014/main" id="{7902A714-DAA2-BEC4-073E-7D8BCB8168C6}"/>
            </a:ext>
          </a:extLst>
        </xdr:cNvPr>
        <xdr:cNvSpPr>
          <a:spLocks noChangeArrowheads="1"/>
        </xdr:cNvSpPr>
      </xdr:nvSpPr>
      <xdr:spPr bwMode="auto">
        <a:xfrm>
          <a:off x="18220397" y="24116518"/>
          <a:ext cx="2080065" cy="919871"/>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15</xdr:col>
      <xdr:colOff>1026550</xdr:colOff>
      <xdr:row>54</xdr:row>
      <xdr:rowOff>25594</xdr:rowOff>
    </xdr:from>
    <xdr:to>
      <xdr:col>17</xdr:col>
      <xdr:colOff>58615</xdr:colOff>
      <xdr:row>54</xdr:row>
      <xdr:rowOff>945465</xdr:rowOff>
    </xdr:to>
    <xdr:sp macro="" textlink="">
      <xdr:nvSpPr>
        <xdr:cNvPr id="52" name="AutoShape 46">
          <a:extLst>
            <a:ext uri="{FF2B5EF4-FFF2-40B4-BE49-F238E27FC236}">
              <a16:creationId xmlns:a16="http://schemas.microsoft.com/office/drawing/2014/main" id="{A5D3DB29-26A4-A96C-070A-B32B8D4BDC78}"/>
            </a:ext>
          </a:extLst>
        </xdr:cNvPr>
        <xdr:cNvSpPr>
          <a:spLocks noChangeArrowheads="1"/>
        </xdr:cNvSpPr>
      </xdr:nvSpPr>
      <xdr:spPr bwMode="auto">
        <a:xfrm>
          <a:off x="24335935" y="24116517"/>
          <a:ext cx="2080065" cy="919871"/>
        </a:xfrm>
        <a:prstGeom prst="triangle">
          <a:avLst>
            <a:gd name="adj" fmla="val 50000"/>
          </a:avLst>
        </a:prstGeom>
        <a:solidFill>
          <a:srgbClr val="FF0000"/>
        </a:solidFill>
        <a:ln w="34925">
          <a:solidFill>
            <a:srgbClr val="000000"/>
          </a:solidFill>
          <a:miter lim="800000"/>
          <a:headEnd/>
          <a:tailEnd/>
        </a:ln>
      </xdr:spPr>
    </xdr:sp>
    <xdr:clientData/>
  </xdr:twoCellAnchor>
  <xdr:twoCellAnchor editAs="oneCell">
    <xdr:from>
      <xdr:col>7</xdr:col>
      <xdr:colOff>1</xdr:colOff>
      <xdr:row>39</xdr:row>
      <xdr:rowOff>1</xdr:rowOff>
    </xdr:from>
    <xdr:to>
      <xdr:col>7</xdr:col>
      <xdr:colOff>417286</xdr:colOff>
      <xdr:row>40</xdr:row>
      <xdr:rowOff>182619</xdr:rowOff>
    </xdr:to>
    <xdr:pic>
      <xdr:nvPicPr>
        <xdr:cNvPr id="40" name="Picture 39">
          <a:extLst>
            <a:ext uri="{FF2B5EF4-FFF2-40B4-BE49-F238E27FC236}">
              <a16:creationId xmlns:a16="http://schemas.microsoft.com/office/drawing/2014/main" id="{15B840B8-46F9-45D2-B5DE-939B01FA027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176001" y="16528144"/>
          <a:ext cx="417285" cy="1180475"/>
        </a:xfrm>
        <a:prstGeom prst="rect">
          <a:avLst/>
        </a:prstGeom>
      </xdr:spPr>
    </xdr:pic>
    <xdr:clientData/>
  </xdr:twoCellAnchor>
  <xdr:twoCellAnchor editAs="oneCell">
    <xdr:from>
      <xdr:col>5</xdr:col>
      <xdr:colOff>0</xdr:colOff>
      <xdr:row>39</xdr:row>
      <xdr:rowOff>0</xdr:rowOff>
    </xdr:from>
    <xdr:to>
      <xdr:col>5</xdr:col>
      <xdr:colOff>497255</xdr:colOff>
      <xdr:row>41</xdr:row>
      <xdr:rowOff>191134</xdr:rowOff>
    </xdr:to>
    <xdr:pic>
      <xdr:nvPicPr>
        <xdr:cNvPr id="41" name="Picture 40">
          <a:extLst>
            <a:ext uri="{FF2B5EF4-FFF2-40B4-BE49-F238E27FC236}">
              <a16:creationId xmlns:a16="http://schemas.microsoft.com/office/drawing/2014/main" id="{C815E964-95C8-4C97-BF4E-DCE253D765F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109857" y="16528143"/>
          <a:ext cx="497255" cy="1406705"/>
        </a:xfrm>
        <a:prstGeom prst="rect">
          <a:avLst/>
        </a:prstGeom>
      </xdr:spPr>
    </xdr:pic>
    <xdr:clientData/>
  </xdr:twoCellAnchor>
  <xdr:twoCellAnchor editAs="oneCell">
    <xdr:from>
      <xdr:col>15</xdr:col>
      <xdr:colOff>1</xdr:colOff>
      <xdr:row>29</xdr:row>
      <xdr:rowOff>1</xdr:rowOff>
    </xdr:from>
    <xdr:to>
      <xdr:col>15</xdr:col>
      <xdr:colOff>435429</xdr:colOff>
      <xdr:row>30</xdr:row>
      <xdr:rowOff>199572</xdr:rowOff>
    </xdr:to>
    <xdr:pic>
      <xdr:nvPicPr>
        <xdr:cNvPr id="42" name="Picture 41">
          <a:extLst>
            <a:ext uri="{FF2B5EF4-FFF2-40B4-BE49-F238E27FC236}">
              <a16:creationId xmlns:a16="http://schemas.microsoft.com/office/drawing/2014/main" id="{8C6976E5-C1A5-4EA9-936E-F75AA4208FD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440572" y="13008430"/>
          <a:ext cx="435428" cy="943428"/>
        </a:xfrm>
        <a:prstGeom prst="rect">
          <a:avLst/>
        </a:prstGeom>
      </xdr:spPr>
    </xdr:pic>
    <xdr:clientData/>
  </xdr:twoCellAnchor>
  <xdr:twoCellAnchor editAs="oneCell">
    <xdr:from>
      <xdr:col>18</xdr:col>
      <xdr:colOff>1047510</xdr:colOff>
      <xdr:row>54</xdr:row>
      <xdr:rowOff>629040</xdr:rowOff>
    </xdr:from>
    <xdr:to>
      <xdr:col>18</xdr:col>
      <xdr:colOff>1047870</xdr:colOff>
      <xdr:row>54</xdr:row>
      <xdr:rowOff>629400</xdr:rowOff>
    </xdr:to>
    <mc:AlternateContent xmlns:mc="http://schemas.openxmlformats.org/markup-compatibility/2006" xmlns:xdr14="http://schemas.microsoft.com/office/excel/2010/spreadsheetDrawing">
      <mc:Choice Requires="xdr14">
        <xdr:contentPart xmlns:r="http://schemas.openxmlformats.org/officeDocument/2006/relationships" r:id="rId2">
          <xdr14:nvContentPartPr>
            <xdr14:cNvPr id="74" name="Ink 73">
              <a:extLst>
                <a:ext uri="{FF2B5EF4-FFF2-40B4-BE49-F238E27FC236}">
                  <a16:creationId xmlns:a16="http://schemas.microsoft.com/office/drawing/2014/main" id="{C62C77FF-FC0F-BF2E-7D7E-2D23D4B6AD3F}"/>
                </a:ext>
              </a:extLst>
            </xdr14:cNvPr>
            <xdr14:cNvContentPartPr/>
          </xdr14:nvContentPartPr>
          <xdr14:nvPr macro=""/>
          <xdr14:xfrm>
            <a:off x="28650960" y="23603340"/>
            <a:ext cx="360" cy="360"/>
          </xdr14:xfrm>
        </xdr:contentPart>
      </mc:Choice>
      <mc:Fallback xmlns="">
        <xdr:pic>
          <xdr:nvPicPr>
            <xdr:cNvPr id="74" name="Ink 73">
              <a:extLst>
                <a:ext uri="{FF2B5EF4-FFF2-40B4-BE49-F238E27FC236}">
                  <a16:creationId xmlns:a16="http://schemas.microsoft.com/office/drawing/2014/main" id="{C62C77FF-FC0F-BF2E-7D7E-2D23D4B6AD3F}"/>
                </a:ext>
              </a:extLst>
            </xdr:cNvPr>
            <xdr:cNvPicPr/>
          </xdr:nvPicPr>
          <xdr:blipFill>
            <a:blip xmlns:r="http://schemas.openxmlformats.org/officeDocument/2006/relationships" r:embed="rId3"/>
            <a:stretch>
              <a:fillRect/>
            </a:stretch>
          </xdr:blipFill>
          <xdr:spPr>
            <a:xfrm>
              <a:off x="28588320" y="23540340"/>
              <a:ext cx="126000" cy="126000"/>
            </a:xfrm>
            <a:prstGeom prst="rect">
              <a:avLst/>
            </a:prstGeom>
          </xdr:spPr>
        </xdr:pic>
      </mc:Fallback>
    </mc:AlternateContent>
    <xdr:clientData/>
  </xdr:twoCellAnchor>
  <xdr:twoCellAnchor>
    <xdr:from>
      <xdr:col>18</xdr:col>
      <xdr:colOff>704850</xdr:colOff>
      <xdr:row>54</xdr:row>
      <xdr:rowOff>647700</xdr:rowOff>
    </xdr:from>
    <xdr:to>
      <xdr:col>18</xdr:col>
      <xdr:colOff>1028700</xdr:colOff>
      <xdr:row>56</xdr:row>
      <xdr:rowOff>95250</xdr:rowOff>
    </xdr:to>
    <xdr:cxnSp macro="">
      <xdr:nvCxnSpPr>
        <xdr:cNvPr id="77" name="Straight Arrow Connector 76">
          <a:extLst>
            <a:ext uri="{FF2B5EF4-FFF2-40B4-BE49-F238E27FC236}">
              <a16:creationId xmlns:a16="http://schemas.microsoft.com/office/drawing/2014/main" id="{A0933C48-E3FB-A63A-EFAE-0712B085DDE5}"/>
            </a:ext>
          </a:extLst>
        </xdr:cNvPr>
        <xdr:cNvCxnSpPr/>
      </xdr:nvCxnSpPr>
      <xdr:spPr>
        <a:xfrm flipH="1">
          <a:off x="28308300" y="23622000"/>
          <a:ext cx="323850" cy="4000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FCM-hyd-airport-final"/>
      <sheetName val="starter"/>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1T05:57:53.429"/>
    </inkml:context>
    <inkml:brush xml:id="br0">
      <inkml:brushProperty name="width" value="0.35" units="cm"/>
      <inkml:brushProperty name="height" value="0.35" units="cm"/>
    </inkml:brush>
  </inkml:definitions>
  <inkml:trace contextRef="#ctx0" brushRef="#br0">1 0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mailto:GST@18" TargetMode="Externa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3.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Q30"/>
  <sheetViews>
    <sheetView tabSelected="1" topLeftCell="A12" zoomScale="70" zoomScaleNormal="70" workbookViewId="0">
      <selection activeCell="D27" sqref="D27"/>
    </sheetView>
  </sheetViews>
  <sheetFormatPr defaultRowHeight="14.4"/>
  <cols>
    <col min="1" max="1" width="8.77734375" bestFit="1" customWidth="1"/>
    <col min="2" max="2" width="25.88671875" customWidth="1"/>
    <col min="3" max="3" width="22" customWidth="1"/>
    <col min="4" max="4" width="23.44140625" customWidth="1"/>
    <col min="5" max="5" width="18.109375" customWidth="1"/>
    <col min="6" max="6" width="16.77734375" customWidth="1"/>
    <col min="7" max="7" width="18.88671875" customWidth="1"/>
    <col min="8" max="8" width="9.88671875" customWidth="1"/>
    <col min="9" max="9" width="17.44140625" customWidth="1"/>
    <col min="10" max="10" width="12.6640625" bestFit="1" customWidth="1"/>
    <col min="11" max="12" width="14.109375" customWidth="1"/>
    <col min="13" max="13" width="23.88671875" customWidth="1"/>
  </cols>
  <sheetData>
    <row r="1" spans="1:13">
      <c r="A1" s="1041"/>
      <c r="B1" s="1227"/>
      <c r="C1" s="1227"/>
      <c r="D1" s="1227"/>
      <c r="E1" s="1227"/>
      <c r="F1" s="1227"/>
      <c r="G1" s="1227"/>
      <c r="H1" s="1227"/>
      <c r="I1" s="1227"/>
      <c r="J1" s="1227"/>
      <c r="K1" s="1227"/>
      <c r="L1" s="1227"/>
      <c r="M1" s="1042"/>
    </row>
    <row r="2" spans="1:13">
      <c r="A2" s="1041"/>
      <c r="B2" s="1227"/>
      <c r="C2" s="1227"/>
      <c r="D2" s="1227"/>
      <c r="E2" s="1227"/>
      <c r="F2" s="1227"/>
      <c r="G2" s="1227"/>
      <c r="H2" s="1227"/>
      <c r="I2" s="1227"/>
      <c r="J2" s="1227"/>
      <c r="K2" s="1227"/>
      <c r="L2" s="1227"/>
      <c r="M2" s="1042"/>
    </row>
    <row r="3" spans="1:13" ht="24.6">
      <c r="A3" s="1228"/>
      <c r="B3" s="1228"/>
      <c r="C3" s="350" t="s">
        <v>0</v>
      </c>
      <c r="D3" s="1229" t="s">
        <v>1</v>
      </c>
      <c r="E3" s="1229"/>
      <c r="F3" s="1229"/>
      <c r="G3" s="1229"/>
      <c r="H3" s="1229"/>
      <c r="I3" s="1229"/>
      <c r="J3" s="1229"/>
      <c r="K3" s="1229"/>
      <c r="L3" s="1229"/>
      <c r="M3" s="355">
        <f ca="1">NOW()-1</f>
        <v>46114.469186921298</v>
      </c>
    </row>
    <row r="4" spans="1:13">
      <c r="A4" s="351" t="s">
        <v>2</v>
      </c>
      <c r="B4" s="351"/>
      <c r="C4" s="352">
        <v>45632</v>
      </c>
      <c r="D4" s="1230" t="s">
        <v>1852</v>
      </c>
      <c r="E4" s="1230"/>
      <c r="F4" s="1230"/>
      <c r="G4" s="1230"/>
      <c r="H4" s="1230"/>
      <c r="I4" s="1230"/>
      <c r="J4" s="1230"/>
      <c r="K4" s="1230"/>
      <c r="L4" s="1230"/>
      <c r="M4" s="1230"/>
    </row>
    <row r="5" spans="1:13">
      <c r="A5" s="351" t="s">
        <v>4</v>
      </c>
      <c r="B5" s="351"/>
      <c r="C5" s="352">
        <v>46178</v>
      </c>
      <c r="D5" s="1230"/>
      <c r="E5" s="1230"/>
      <c r="F5" s="1230"/>
      <c r="G5" s="1230"/>
      <c r="H5" s="1230"/>
      <c r="I5" s="1230"/>
      <c r="J5" s="1230"/>
      <c r="K5" s="1230"/>
      <c r="L5" s="1230"/>
      <c r="M5" s="1230"/>
    </row>
    <row r="6" spans="1:13" ht="19.2">
      <c r="A6" s="351" t="s">
        <v>5</v>
      </c>
      <c r="B6" s="351"/>
      <c r="C6" s="352"/>
      <c r="D6" s="1043" t="s">
        <v>6</v>
      </c>
      <c r="E6" s="1044"/>
      <c r="F6" s="1044"/>
      <c r="G6" s="1042"/>
      <c r="H6" s="1042"/>
      <c r="I6" s="1042"/>
      <c r="J6" s="1042"/>
      <c r="K6" s="1042"/>
      <c r="L6" s="1042"/>
      <c r="M6" s="1042"/>
    </row>
    <row r="7" spans="1:13" ht="19.2">
      <c r="A7" s="351" t="s">
        <v>7</v>
      </c>
      <c r="B7" s="351"/>
      <c r="C7" s="353"/>
      <c r="D7" s="1043" t="s">
        <v>8</v>
      </c>
      <c r="E7" s="1044"/>
      <c r="F7" s="1044"/>
      <c r="G7" s="1042"/>
      <c r="H7" s="1042"/>
      <c r="I7" s="1042"/>
      <c r="J7" s="1042"/>
      <c r="K7" s="1042"/>
      <c r="L7" s="1042"/>
      <c r="M7" s="1042"/>
    </row>
    <row r="8" spans="1:13" ht="19.2">
      <c r="A8" s="351" t="s">
        <v>9</v>
      </c>
      <c r="B8" s="351"/>
      <c r="C8" s="353"/>
      <c r="D8" s="1043" t="s">
        <v>10</v>
      </c>
      <c r="E8" s="1044"/>
      <c r="F8" s="1044"/>
      <c r="G8" s="1042"/>
      <c r="H8" s="1042"/>
      <c r="I8" s="1042"/>
      <c r="J8" s="1042"/>
      <c r="K8" s="1042"/>
      <c r="L8" s="1042"/>
      <c r="M8" s="1042"/>
    </row>
    <row r="9" spans="1:13" ht="15.6">
      <c r="A9" s="1231" t="s">
        <v>11</v>
      </c>
      <c r="B9" s="1231"/>
      <c r="C9" s="1231"/>
      <c r="D9" s="1231"/>
      <c r="E9" s="1231"/>
      <c r="F9" s="1231"/>
      <c r="G9" s="1231"/>
      <c r="H9" s="1231"/>
      <c r="I9" s="1231"/>
      <c r="J9" s="1231"/>
      <c r="K9" s="1231"/>
      <c r="L9" s="1231"/>
      <c r="M9" s="356">
        <f ca="1">M3</f>
        <v>46114.469186921298</v>
      </c>
    </row>
    <row r="10" spans="1:13" ht="78.45" customHeight="1">
      <c r="A10" s="1045" t="s">
        <v>12</v>
      </c>
      <c r="B10" s="1045" t="s">
        <v>13</v>
      </c>
      <c r="C10" s="1045" t="s">
        <v>14</v>
      </c>
      <c r="D10" s="1045" t="s">
        <v>15</v>
      </c>
      <c r="E10" s="1045" t="s">
        <v>16</v>
      </c>
      <c r="F10" s="1045" t="s">
        <v>1854</v>
      </c>
      <c r="G10" s="1045" t="s">
        <v>1853</v>
      </c>
      <c r="H10" s="1045" t="s">
        <v>242</v>
      </c>
      <c r="I10" s="1046" t="s">
        <v>17</v>
      </c>
      <c r="J10" s="1045" t="s">
        <v>18</v>
      </c>
      <c r="K10" s="1047" t="s">
        <v>19</v>
      </c>
      <c r="L10" s="1045" t="str">
        <f ca="1">"Gangs working "&amp;CHAR(10)&amp;TEXT(M3,"mmm-yy")</f>
        <v>Gangs working 
Apr-26</v>
      </c>
      <c r="M10" s="1045" t="s">
        <v>20</v>
      </c>
    </row>
    <row r="11" spans="1:13" ht="123" customHeight="1">
      <c r="A11" s="859" t="s">
        <v>21</v>
      </c>
      <c r="B11" s="860" t="s">
        <v>22</v>
      </c>
      <c r="C11" s="861">
        <v>15.478</v>
      </c>
      <c r="D11" s="861">
        <v>15.478</v>
      </c>
      <c r="E11" s="861"/>
      <c r="F11" s="861"/>
      <c r="G11" s="861"/>
      <c r="H11" s="861"/>
      <c r="I11" s="861"/>
      <c r="J11" s="861">
        <v>15.478</v>
      </c>
      <c r="K11" s="861">
        <f>D11-J11</f>
        <v>0</v>
      </c>
      <c r="L11" s="861"/>
      <c r="M11" s="1048" t="s">
        <v>23</v>
      </c>
    </row>
    <row r="12" spans="1:13" ht="69" customHeight="1">
      <c r="A12" s="859" t="s">
        <v>24</v>
      </c>
      <c r="B12" s="860" t="s">
        <v>25</v>
      </c>
      <c r="C12" s="861">
        <v>15.478</v>
      </c>
      <c r="D12" s="861">
        <v>15.478</v>
      </c>
      <c r="E12" s="861">
        <v>15.478</v>
      </c>
      <c r="F12" s="861"/>
      <c r="G12" s="861">
        <f>D12-E12</f>
        <v>0</v>
      </c>
      <c r="H12" s="861"/>
      <c r="I12" s="861"/>
      <c r="J12" s="861">
        <v>15.478</v>
      </c>
      <c r="K12" s="861">
        <f>D12-J12</f>
        <v>0</v>
      </c>
      <c r="L12" s="862"/>
      <c r="M12" s="1048"/>
    </row>
    <row r="13" spans="1:13" ht="40.799999999999997">
      <c r="A13" s="859" t="s">
        <v>26</v>
      </c>
      <c r="B13" s="860" t="s">
        <v>27</v>
      </c>
      <c r="C13" s="861">
        <v>15.478</v>
      </c>
      <c r="D13" s="861">
        <v>15.478</v>
      </c>
      <c r="E13" s="861">
        <v>15.478</v>
      </c>
      <c r="F13" s="861">
        <v>15.478</v>
      </c>
      <c r="G13" s="861"/>
      <c r="H13" s="861"/>
      <c r="I13" s="863"/>
      <c r="J13" s="861">
        <v>15.478</v>
      </c>
      <c r="K13" s="861">
        <f>D13-J13</f>
        <v>0</v>
      </c>
      <c r="L13" s="864"/>
      <c r="M13" s="875"/>
    </row>
    <row r="14" spans="1:13" ht="40.799999999999997">
      <c r="A14" s="859" t="s">
        <v>28</v>
      </c>
      <c r="B14" s="860" t="s">
        <v>29</v>
      </c>
      <c r="C14" s="864">
        <v>26</v>
      </c>
      <c r="D14" s="864">
        <v>26</v>
      </c>
      <c r="E14" s="864">
        <v>26</v>
      </c>
      <c r="F14" s="864"/>
      <c r="G14" s="864"/>
      <c r="H14" s="864"/>
      <c r="I14" s="864"/>
      <c r="J14" s="864">
        <v>26</v>
      </c>
      <c r="K14" s="864">
        <v>0</v>
      </c>
      <c r="L14" s="864"/>
      <c r="M14" s="865"/>
    </row>
    <row r="15" spans="1:13" ht="28.2" customHeight="1">
      <c r="A15" s="866" t="s">
        <v>1622</v>
      </c>
      <c r="B15" s="867" t="s">
        <v>31</v>
      </c>
      <c r="C15" s="868">
        <v>43</v>
      </c>
      <c r="D15" s="868">
        <v>43</v>
      </c>
      <c r="E15" s="868">
        <v>15</v>
      </c>
      <c r="F15" s="868">
        <v>0</v>
      </c>
      <c r="G15" s="869">
        <v>1</v>
      </c>
      <c r="H15" s="869">
        <v>2</v>
      </c>
      <c r="I15" s="869">
        <v>1</v>
      </c>
      <c r="J15" s="868">
        <f>SUM(E15+G15)</f>
        <v>16</v>
      </c>
      <c r="K15" s="868">
        <f t="shared" ref="K15:K23" si="0">D15-J15</f>
        <v>27</v>
      </c>
      <c r="L15" s="869">
        <v>2</v>
      </c>
      <c r="M15" s="903"/>
    </row>
    <row r="16" spans="1:13" ht="20.399999999999999">
      <c r="A16" s="859" t="s">
        <v>30</v>
      </c>
      <c r="B16" s="860" t="s">
        <v>33</v>
      </c>
      <c r="C16" s="864">
        <v>43</v>
      </c>
      <c r="D16" s="868">
        <v>43</v>
      </c>
      <c r="E16" s="868">
        <v>3</v>
      </c>
      <c r="F16" s="864">
        <v>0</v>
      </c>
      <c r="G16" s="869">
        <v>0</v>
      </c>
      <c r="H16" s="864"/>
      <c r="I16" s="864">
        <v>0</v>
      </c>
      <c r="J16" s="868">
        <f>SUM(E16+G16)</f>
        <v>3</v>
      </c>
      <c r="K16" s="870">
        <f t="shared" si="0"/>
        <v>40</v>
      </c>
      <c r="L16" s="864"/>
      <c r="M16" s="864"/>
    </row>
    <row r="17" spans="1:17" ht="40.799999999999997">
      <c r="A17" s="866" t="s">
        <v>32</v>
      </c>
      <c r="B17" s="867" t="s">
        <v>34</v>
      </c>
      <c r="C17" s="864">
        <v>43</v>
      </c>
      <c r="D17" s="868">
        <v>43</v>
      </c>
      <c r="E17" s="868">
        <v>0</v>
      </c>
      <c r="F17" s="868">
        <v>0</v>
      </c>
      <c r="G17" s="869">
        <v>0</v>
      </c>
      <c r="H17" s="868">
        <v>1</v>
      </c>
      <c r="I17" s="868">
        <v>0</v>
      </c>
      <c r="J17" s="868">
        <f>SUM(E17+G17)</f>
        <v>0</v>
      </c>
      <c r="K17" s="868">
        <f t="shared" si="0"/>
        <v>43</v>
      </c>
      <c r="L17" s="868"/>
      <c r="M17" s="903"/>
    </row>
    <row r="18" spans="1:17" ht="40.799999999999997">
      <c r="A18" s="859" t="s">
        <v>1623</v>
      </c>
      <c r="B18" s="860" t="s">
        <v>35</v>
      </c>
      <c r="C18" s="864">
        <v>43</v>
      </c>
      <c r="D18" s="868">
        <v>43</v>
      </c>
      <c r="E18" s="864"/>
      <c r="F18" s="864"/>
      <c r="G18" s="864"/>
      <c r="H18" s="864"/>
      <c r="I18" s="864"/>
      <c r="J18" s="864">
        <f>E18+G18</f>
        <v>0</v>
      </c>
      <c r="K18" s="870">
        <f t="shared" si="0"/>
        <v>43</v>
      </c>
      <c r="L18" s="864"/>
      <c r="M18" s="864"/>
    </row>
    <row r="19" spans="1:17" ht="20.399999999999999">
      <c r="A19" s="859" t="s">
        <v>1624</v>
      </c>
      <c r="B19" s="860" t="s">
        <v>36</v>
      </c>
      <c r="C19" s="864"/>
      <c r="D19" s="864"/>
      <c r="E19" s="864"/>
      <c r="F19" s="864"/>
      <c r="G19" s="864"/>
      <c r="H19" s="864"/>
      <c r="I19" s="871"/>
      <c r="J19" s="864"/>
      <c r="K19" s="870">
        <f t="shared" si="0"/>
        <v>0</v>
      </c>
      <c r="L19" s="864"/>
      <c r="M19" s="1079"/>
      <c r="Q19" t="s">
        <v>1789</v>
      </c>
    </row>
    <row r="20" spans="1:17" ht="20.399999999999999">
      <c r="A20" s="866" t="s">
        <v>37</v>
      </c>
      <c r="B20" s="867" t="s">
        <v>38</v>
      </c>
      <c r="C20" s="861">
        <v>15.478</v>
      </c>
      <c r="D20" s="861">
        <v>15.478</v>
      </c>
      <c r="E20" s="872">
        <v>0</v>
      </c>
      <c r="F20" s="872"/>
      <c r="G20" s="872"/>
      <c r="H20" s="872"/>
      <c r="I20" s="872"/>
      <c r="J20" s="872">
        <f>E20+G20</f>
        <v>0</v>
      </c>
      <c r="K20" s="872">
        <f t="shared" si="0"/>
        <v>15.478</v>
      </c>
      <c r="L20" s="872"/>
      <c r="M20" s="1086"/>
    </row>
    <row r="21" spans="1:17" ht="20.399999999999999">
      <c r="A21" s="866" t="s">
        <v>24</v>
      </c>
      <c r="B21" s="867" t="s">
        <v>39</v>
      </c>
      <c r="C21" s="861">
        <v>15.478</v>
      </c>
      <c r="D21" s="861">
        <v>15.478</v>
      </c>
      <c r="E21" s="872">
        <v>0</v>
      </c>
      <c r="F21" s="872"/>
      <c r="G21" s="872"/>
      <c r="H21" s="872"/>
      <c r="I21" s="872"/>
      <c r="J21" s="872">
        <f>E21+G21</f>
        <v>0</v>
      </c>
      <c r="K21" s="872">
        <f t="shared" si="0"/>
        <v>15.478</v>
      </c>
      <c r="L21" s="872"/>
      <c r="M21" s="873"/>
    </row>
    <row r="22" spans="1:17" ht="40.799999999999997">
      <c r="A22" s="859" t="s">
        <v>40</v>
      </c>
      <c r="B22" s="860" t="s">
        <v>41</v>
      </c>
      <c r="C22" s="861">
        <v>15.478</v>
      </c>
      <c r="D22" s="861">
        <v>15.478</v>
      </c>
      <c r="E22" s="861">
        <v>0</v>
      </c>
      <c r="F22" s="861"/>
      <c r="G22" s="861"/>
      <c r="H22" s="861"/>
      <c r="I22" s="861"/>
      <c r="J22" s="861">
        <f>E22+G22</f>
        <v>0</v>
      </c>
      <c r="K22" s="874">
        <f t="shared" si="0"/>
        <v>15.478</v>
      </c>
      <c r="L22" s="861"/>
      <c r="M22" s="861"/>
    </row>
    <row r="23" spans="1:17" ht="21">
      <c r="A23" s="1049"/>
      <c r="B23" s="1049"/>
      <c r="C23" s="1049"/>
      <c r="D23" s="1049"/>
      <c r="E23" s="1049"/>
      <c r="F23" s="1049"/>
      <c r="G23" s="1049"/>
      <c r="H23" s="1049"/>
      <c r="I23" s="1049"/>
      <c r="J23" s="1049"/>
      <c r="K23" s="1050">
        <f t="shared" si="0"/>
        <v>0</v>
      </c>
      <c r="L23" s="1049"/>
      <c r="M23" s="1049"/>
    </row>
    <row r="25" spans="1:17" ht="15.45" customHeight="1"/>
    <row r="26" spans="1:17" ht="15.45" customHeight="1"/>
    <row r="30" spans="1:17" ht="15.45" customHeight="1"/>
  </sheetData>
  <protectedRanges>
    <protectedRange sqref="L9:M12 A3:M8 M13:M23 L14:L23 A9:K23" name="Range1_6"/>
    <protectedRange sqref="L13" name="Range1_10_3"/>
  </protectedRanges>
  <mergeCells count="5">
    <mergeCell ref="B1:L2"/>
    <mergeCell ref="A3:B3"/>
    <mergeCell ref="D3:L3"/>
    <mergeCell ref="D4:M5"/>
    <mergeCell ref="A9:L9"/>
  </mergeCells>
  <pageMargins left="0.7" right="0.7" top="0.75" bottom="0.75" header="0.3" footer="0.3"/>
  <pageSetup scale="28" orientation="portrait" r:id="rId1"/>
  <colBreaks count="2" manualBreakCount="2">
    <brk id="13" max="56" man="1"/>
    <brk id="15"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03EF6-92FC-4258-8B58-6A081A6936A7}">
  <dimension ref="A5:F123"/>
  <sheetViews>
    <sheetView zoomScale="80" zoomScaleNormal="80" workbookViewId="0">
      <selection activeCell="C76" sqref="C76"/>
    </sheetView>
  </sheetViews>
  <sheetFormatPr defaultRowHeight="14.4"/>
  <cols>
    <col min="2" max="2" width="15.44140625" customWidth="1"/>
    <col min="3" max="3" width="19.5546875" customWidth="1"/>
    <col min="4" max="4" width="11.88671875" customWidth="1"/>
    <col min="5" max="5" width="23.6640625" customWidth="1"/>
    <col min="6" max="6" width="12.21875" customWidth="1"/>
    <col min="7" max="7" width="34.21875" customWidth="1"/>
  </cols>
  <sheetData>
    <row r="5" hidden="1"/>
    <row r="6" hidden="1"/>
    <row r="7" hidden="1"/>
    <row r="8" hidden="1"/>
    <row r="9" hidden="1"/>
    <row r="10" hidden="1"/>
    <row r="11" hidden="1"/>
    <row r="12" hidden="1"/>
    <row r="13" hidden="1"/>
    <row r="14" hidden="1"/>
    <row r="15" hidden="1"/>
    <row r="16" hidden="1"/>
    <row r="17" hidden="1"/>
    <row r="18" hidden="1"/>
    <row r="19" hidden="1"/>
    <row r="20" hidden="1"/>
    <row r="21" hidden="1"/>
    <row r="22" hidden="1"/>
    <row r="23" hidden="1"/>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s="539" customFormat="1" hidden="1"/>
    <row r="48" s="539" customFormat="1" hidden="1"/>
    <row r="49" s="539" customFormat="1" hidden="1"/>
    <row r="50" hidden="1"/>
    <row r="51" s="539" customFormat="1" hidden="1"/>
    <row r="52" s="539" customFormat="1" hidden="1"/>
    <row r="53" hidden="1"/>
    <row r="54" hidden="1"/>
    <row r="55" hidden="1"/>
    <row r="56" hidden="1"/>
    <row r="57" hidden="1"/>
    <row r="58" hidden="1"/>
    <row r="59" hidden="1"/>
    <row r="60" hidden="1"/>
    <row r="61" hidden="1"/>
    <row r="62" hidden="1"/>
    <row r="63" hidden="1"/>
    <row r="64" hidden="1"/>
    <row r="68" ht="39.450000000000003" customHeight="1"/>
    <row r="75" ht="34.5" customHeight="1"/>
    <row r="100" spans="1:6" ht="31.8" hidden="1" thickBot="1">
      <c r="A100" s="832" t="s">
        <v>1478</v>
      </c>
      <c r="B100" s="833" t="s">
        <v>1318</v>
      </c>
      <c r="C100" s="833" t="s">
        <v>1319</v>
      </c>
      <c r="D100" s="833" t="s">
        <v>1315</v>
      </c>
      <c r="E100" s="833" t="s">
        <v>1561</v>
      </c>
      <c r="F100" s="834" t="s">
        <v>20</v>
      </c>
    </row>
    <row r="101" spans="1:6" ht="110.4" hidden="1">
      <c r="A101" s="835">
        <v>1</v>
      </c>
      <c r="B101" s="836" t="s">
        <v>1479</v>
      </c>
      <c r="C101" s="837">
        <v>10.369</v>
      </c>
      <c r="D101" s="838" t="s">
        <v>1326</v>
      </c>
      <c r="E101" s="838" t="s">
        <v>1326</v>
      </c>
      <c r="F101" s="839" t="s">
        <v>1562</v>
      </c>
    </row>
    <row r="102" spans="1:6" hidden="1">
      <c r="A102" s="840">
        <f>A101+1</f>
        <v>2</v>
      </c>
      <c r="B102" s="761" t="s">
        <v>1360</v>
      </c>
      <c r="C102" s="762">
        <v>8.7129999999999992</v>
      </c>
      <c r="D102" s="765" t="s">
        <v>1326</v>
      </c>
      <c r="E102" s="763"/>
      <c r="F102" s="841" t="s">
        <v>58</v>
      </c>
    </row>
    <row r="103" spans="1:6" hidden="1">
      <c r="A103" s="840">
        <f>A102+1</f>
        <v>3</v>
      </c>
      <c r="B103" s="761" t="s">
        <v>1325</v>
      </c>
      <c r="C103" s="764">
        <v>19.57</v>
      </c>
      <c r="D103" s="765" t="s">
        <v>1326</v>
      </c>
      <c r="E103" s="842"/>
      <c r="F103" s="841" t="s">
        <v>58</v>
      </c>
    </row>
    <row r="104" spans="1:6" hidden="1">
      <c r="A104" s="840">
        <f t="shared" ref="A104:A120" si="0">A103+1</f>
        <v>4</v>
      </c>
      <c r="B104" s="761" t="s">
        <v>1435</v>
      </c>
      <c r="C104" s="756">
        <v>2.6179999999999999</v>
      </c>
      <c r="D104" s="765" t="s">
        <v>1326</v>
      </c>
      <c r="E104" s="843"/>
      <c r="F104" s="841" t="s">
        <v>58</v>
      </c>
    </row>
    <row r="105" spans="1:6" ht="110.4" hidden="1">
      <c r="A105" s="840">
        <f t="shared" si="0"/>
        <v>5</v>
      </c>
      <c r="B105" s="761" t="s">
        <v>1557</v>
      </c>
      <c r="C105" s="756">
        <v>1.44</v>
      </c>
      <c r="D105" s="765" t="s">
        <v>1326</v>
      </c>
      <c r="E105" s="842"/>
      <c r="F105" s="841" t="s">
        <v>1563</v>
      </c>
    </row>
    <row r="106" spans="1:6" hidden="1">
      <c r="A106" s="840">
        <f t="shared" si="0"/>
        <v>6</v>
      </c>
      <c r="B106" s="761" t="s">
        <v>1558</v>
      </c>
      <c r="C106" s="756">
        <v>16.759</v>
      </c>
      <c r="D106" s="765" t="s">
        <v>1326</v>
      </c>
      <c r="E106" s="844"/>
      <c r="F106" s="841" t="s">
        <v>58</v>
      </c>
    </row>
    <row r="107" spans="1:6" hidden="1">
      <c r="A107" s="840">
        <f t="shared" si="0"/>
        <v>7</v>
      </c>
      <c r="B107" s="761" t="s">
        <v>1330</v>
      </c>
      <c r="C107" s="756">
        <v>6.6719999999999997</v>
      </c>
      <c r="D107" s="765" t="s">
        <v>1326</v>
      </c>
      <c r="E107" s="842"/>
      <c r="F107" s="841" t="s">
        <v>58</v>
      </c>
    </row>
    <row r="108" spans="1:6" ht="110.4" hidden="1">
      <c r="A108" s="840">
        <f t="shared" si="0"/>
        <v>8</v>
      </c>
      <c r="B108" s="761" t="s">
        <v>1331</v>
      </c>
      <c r="C108" s="845">
        <v>3.1720000000000002</v>
      </c>
      <c r="D108" s="765" t="s">
        <v>1326</v>
      </c>
      <c r="E108" s="765" t="s">
        <v>1326</v>
      </c>
      <c r="F108" s="841" t="s">
        <v>1562</v>
      </c>
    </row>
    <row r="109" spans="1:6" hidden="1">
      <c r="A109" s="840">
        <f t="shared" si="0"/>
        <v>9</v>
      </c>
      <c r="B109" s="761" t="s">
        <v>1334</v>
      </c>
      <c r="C109" s="771">
        <v>1.05</v>
      </c>
      <c r="D109" s="765" t="s">
        <v>1481</v>
      </c>
      <c r="E109" s="842"/>
      <c r="F109" s="841" t="s">
        <v>58</v>
      </c>
    </row>
    <row r="110" spans="1:6" hidden="1">
      <c r="A110" s="840">
        <f t="shared" si="0"/>
        <v>10</v>
      </c>
      <c r="B110" s="761" t="s">
        <v>1335</v>
      </c>
      <c r="C110" s="756">
        <v>7.9619999999999997</v>
      </c>
      <c r="D110" s="765" t="s">
        <v>1481</v>
      </c>
      <c r="E110" s="761"/>
      <c r="F110" s="841" t="s">
        <v>58</v>
      </c>
    </row>
    <row r="111" spans="1:6" hidden="1">
      <c r="A111" s="840">
        <f t="shared" si="0"/>
        <v>11</v>
      </c>
      <c r="B111" s="761" t="s">
        <v>1337</v>
      </c>
      <c r="C111" s="756">
        <v>19.567</v>
      </c>
      <c r="D111" s="765" t="s">
        <v>1481</v>
      </c>
      <c r="E111" s="761"/>
      <c r="F111" s="841" t="s">
        <v>58</v>
      </c>
    </row>
    <row r="112" spans="1:6" hidden="1">
      <c r="A112" s="840">
        <f t="shared" si="0"/>
        <v>12</v>
      </c>
      <c r="B112" s="761" t="s">
        <v>1338</v>
      </c>
      <c r="C112" s="756">
        <v>20.273</v>
      </c>
      <c r="D112" s="765" t="s">
        <v>1481</v>
      </c>
      <c r="E112" s="761"/>
      <c r="F112" s="841" t="s">
        <v>58</v>
      </c>
    </row>
    <row r="113" spans="1:6" hidden="1">
      <c r="A113" s="840">
        <f t="shared" si="0"/>
        <v>13</v>
      </c>
      <c r="B113" s="761" t="s">
        <v>1339</v>
      </c>
      <c r="C113" s="756">
        <v>3.0840000000000001</v>
      </c>
      <c r="D113" s="765" t="s">
        <v>1481</v>
      </c>
      <c r="E113" s="761"/>
      <c r="F113" s="841" t="s">
        <v>58</v>
      </c>
    </row>
    <row r="114" spans="1:6" hidden="1">
      <c r="A114" s="840">
        <f t="shared" si="0"/>
        <v>14</v>
      </c>
      <c r="B114" s="761" t="s">
        <v>1340</v>
      </c>
      <c r="C114" s="756">
        <v>14.119</v>
      </c>
      <c r="D114" s="765" t="s">
        <v>1481</v>
      </c>
      <c r="E114" s="761"/>
      <c r="F114" s="841" t="s">
        <v>58</v>
      </c>
    </row>
    <row r="115" spans="1:6" hidden="1">
      <c r="A115" s="840">
        <f t="shared" si="0"/>
        <v>15</v>
      </c>
      <c r="B115" s="761" t="s">
        <v>1341</v>
      </c>
      <c r="C115" s="756">
        <v>9.4949999999999992</v>
      </c>
      <c r="D115" s="765" t="s">
        <v>1481</v>
      </c>
      <c r="E115" s="761"/>
      <c r="F115" s="841" t="s">
        <v>58</v>
      </c>
    </row>
    <row r="116" spans="1:6" hidden="1">
      <c r="A116" s="840">
        <f t="shared" si="0"/>
        <v>16</v>
      </c>
      <c r="B116" s="761" t="s">
        <v>1342</v>
      </c>
      <c r="C116" s="756">
        <v>8.6969999999999992</v>
      </c>
      <c r="D116" s="765" t="s">
        <v>1481</v>
      </c>
      <c r="E116" s="761"/>
      <c r="F116" s="841" t="s">
        <v>58</v>
      </c>
    </row>
    <row r="117" spans="1:6" hidden="1">
      <c r="A117" s="840">
        <f t="shared" si="0"/>
        <v>17</v>
      </c>
      <c r="B117" s="761" t="s">
        <v>1363</v>
      </c>
      <c r="C117" s="756">
        <v>12.65</v>
      </c>
      <c r="D117" s="765" t="s">
        <v>1481</v>
      </c>
      <c r="E117" s="842"/>
      <c r="F117" s="841" t="s">
        <v>58</v>
      </c>
    </row>
    <row r="118" spans="1:6" hidden="1">
      <c r="A118" s="840">
        <f t="shared" si="0"/>
        <v>18</v>
      </c>
      <c r="B118" s="761" t="s">
        <v>1347</v>
      </c>
      <c r="C118" s="756">
        <v>14.391999999999999</v>
      </c>
      <c r="D118" s="765" t="s">
        <v>1481</v>
      </c>
      <c r="E118" s="761"/>
      <c r="F118" s="841" t="s">
        <v>58</v>
      </c>
    </row>
    <row r="119" spans="1:6" hidden="1">
      <c r="A119" s="840">
        <f t="shared" si="0"/>
        <v>19</v>
      </c>
      <c r="B119" s="761" t="s">
        <v>1483</v>
      </c>
      <c r="C119" s="521">
        <v>6.3209999999999997</v>
      </c>
      <c r="D119" s="765" t="s">
        <v>1481</v>
      </c>
      <c r="E119" s="842"/>
      <c r="F119" s="841" t="s">
        <v>58</v>
      </c>
    </row>
    <row r="120" spans="1:6" ht="111" hidden="1" thickBot="1">
      <c r="A120" s="846">
        <f t="shared" si="0"/>
        <v>20</v>
      </c>
      <c r="B120" s="847" t="s">
        <v>1564</v>
      </c>
      <c r="C120" s="848">
        <v>1.5209999999999999</v>
      </c>
      <c r="D120" s="849" t="s">
        <v>1481</v>
      </c>
      <c r="E120" s="850"/>
      <c r="F120" s="851" t="s">
        <v>1563</v>
      </c>
    </row>
    <row r="121" spans="1:6" ht="15" hidden="1" thickBot="1">
      <c r="A121" s="852"/>
      <c r="B121" s="853" t="s">
        <v>1354</v>
      </c>
      <c r="C121" s="853">
        <f>SUM(C101:C120)</f>
        <v>188.44399999999999</v>
      </c>
      <c r="D121" s="1232"/>
      <c r="E121" s="1233"/>
      <c r="F121" s="1234"/>
    </row>
    <row r="122" spans="1:6">
      <c r="A122" s="1235"/>
      <c r="B122" s="1235"/>
      <c r="C122" s="1235"/>
      <c r="D122" s="1235"/>
      <c r="E122" s="1235"/>
      <c r="F122" s="1235"/>
    </row>
    <row r="123" spans="1:6">
      <c r="A123" s="856"/>
      <c r="B123" s="856"/>
      <c r="C123" s="856"/>
      <c r="D123" s="856"/>
      <c r="E123" s="856"/>
      <c r="F123" s="856"/>
    </row>
  </sheetData>
  <mergeCells count="2">
    <mergeCell ref="D121:F121"/>
    <mergeCell ref="A122:F12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68" workbookViewId="0">
      <selection activeCell="E110" sqref="E110"/>
    </sheetView>
  </sheetViews>
  <sheetFormatPr defaultColWidth="8.88671875" defaultRowHeight="14.4"/>
  <cols>
    <col min="1" max="1" width="6.88671875" style="46" customWidth="1"/>
    <col min="2" max="2" width="19.88671875" style="46" customWidth="1"/>
    <col min="3" max="3" width="19.33203125" style="46" customWidth="1"/>
    <col min="4" max="4" width="11.21875" style="46" customWidth="1"/>
    <col min="5" max="5" width="23.109375" style="46" customWidth="1"/>
    <col min="6" max="6" width="17" style="46" customWidth="1"/>
    <col min="7" max="7" width="55.21875" style="46" customWidth="1"/>
    <col min="8" max="15" width="5.109375" style="46" customWidth="1"/>
    <col min="16" max="16" width="10.88671875" style="46" customWidth="1"/>
    <col min="17" max="17" width="8.88671875" style="46"/>
    <col min="18" max="18" width="9.33203125" style="46" customWidth="1"/>
    <col min="19" max="16384" width="8.88671875" style="46"/>
  </cols>
  <sheetData>
    <row r="1" spans="1:19" ht="15.6">
      <c r="A1" s="1250" t="s">
        <v>48</v>
      </c>
      <c r="B1" s="1251"/>
      <c r="C1" s="1251"/>
      <c r="D1" s="1251"/>
      <c r="E1" s="1251"/>
      <c r="F1" s="1251"/>
      <c r="G1" s="1251"/>
      <c r="H1" s="1251"/>
      <c r="I1" s="1251"/>
      <c r="J1" s="1251"/>
      <c r="K1" s="1251"/>
      <c r="L1" s="1251"/>
      <c r="M1" s="1251"/>
      <c r="N1" s="1251"/>
      <c r="O1" s="1251"/>
      <c r="P1" s="1251"/>
      <c r="Q1" s="1251"/>
      <c r="R1" s="1251"/>
      <c r="S1" s="1252"/>
    </row>
    <row r="2" spans="1:19" ht="15.6">
      <c r="A2" s="1253" t="s">
        <v>49</v>
      </c>
      <c r="B2" s="1254"/>
      <c r="C2" s="1254"/>
      <c r="D2" s="1254"/>
      <c r="E2" s="1254"/>
      <c r="F2" s="1254"/>
      <c r="G2" s="1254"/>
      <c r="H2" s="1254"/>
      <c r="I2" s="1254"/>
      <c r="J2" s="1254"/>
      <c r="K2" s="1254"/>
      <c r="L2" s="1254"/>
      <c r="M2" s="1254"/>
      <c r="N2" s="1254"/>
      <c r="O2" s="1254"/>
      <c r="P2" s="1254"/>
      <c r="Q2" s="1254"/>
      <c r="R2" s="1254"/>
      <c r="S2" s="1255"/>
    </row>
    <row r="3" spans="1:19" ht="15.6">
      <c r="A3" s="1253" t="s">
        <v>50</v>
      </c>
      <c r="B3" s="1254"/>
      <c r="C3" s="1254"/>
      <c r="D3" s="1254"/>
      <c r="E3" s="1254"/>
      <c r="F3" s="1254"/>
      <c r="G3" s="1254"/>
      <c r="H3" s="1254"/>
      <c r="I3" s="1254"/>
      <c r="J3" s="1254"/>
      <c r="K3" s="1254"/>
      <c r="L3" s="1254"/>
      <c r="M3" s="1254"/>
      <c r="N3" s="1254"/>
      <c r="O3" s="1254"/>
      <c r="P3" s="1254"/>
      <c r="Q3" s="1254"/>
      <c r="R3" s="1254"/>
      <c r="S3" s="1255"/>
    </row>
    <row r="4" spans="1:19" ht="18">
      <c r="A4" s="1256" t="s">
        <v>51</v>
      </c>
      <c r="B4" s="1257"/>
      <c r="C4" s="1257"/>
      <c r="D4" s="1257"/>
      <c r="E4" s="1257"/>
      <c r="F4" s="1257"/>
      <c r="G4" s="1257"/>
      <c r="H4" s="1257"/>
      <c r="I4" s="1257"/>
      <c r="J4" s="1257"/>
      <c r="K4" s="1257"/>
      <c r="L4" s="1257"/>
      <c r="M4" s="1257"/>
      <c r="N4" s="1257"/>
      <c r="O4" s="1257"/>
      <c r="P4" s="1257"/>
      <c r="Q4" s="1257"/>
      <c r="R4" s="1257"/>
      <c r="S4" s="1258"/>
    </row>
    <row r="5" spans="1:19" ht="28.8" hidden="1">
      <c r="A5" s="345" t="s">
        <v>52</v>
      </c>
      <c r="B5" s="345" t="s">
        <v>53</v>
      </c>
      <c r="C5" s="345" t="s">
        <v>54</v>
      </c>
      <c r="D5" s="345" t="s">
        <v>55</v>
      </c>
      <c r="E5" s="345" t="s">
        <v>56</v>
      </c>
      <c r="F5" s="345" t="s">
        <v>20</v>
      </c>
    </row>
    <row r="6" spans="1:19" hidden="1">
      <c r="A6" s="76">
        <v>1</v>
      </c>
      <c r="B6" s="76" t="s">
        <v>57</v>
      </c>
      <c r="C6" s="76">
        <v>2.653</v>
      </c>
      <c r="D6" s="1259">
        <v>45684</v>
      </c>
      <c r="E6" s="1259">
        <v>45691</v>
      </c>
      <c r="F6" s="76" t="s">
        <v>58</v>
      </c>
    </row>
    <row r="7" spans="1:19" hidden="1">
      <c r="A7" s="76">
        <f>A6+1</f>
        <v>2</v>
      </c>
      <c r="B7" s="76" t="s">
        <v>59</v>
      </c>
      <c r="C7" s="76">
        <v>5.31</v>
      </c>
      <c r="D7" s="1260"/>
      <c r="E7" s="1260"/>
      <c r="F7" s="76" t="s">
        <v>58</v>
      </c>
    </row>
    <row r="8" spans="1:19" ht="43.2" hidden="1">
      <c r="A8" s="76">
        <f t="shared" ref="A8:A32" si="0">A7+1</f>
        <v>3</v>
      </c>
      <c r="B8" s="76" t="s">
        <v>60</v>
      </c>
      <c r="C8" s="76">
        <v>19.672000000000001</v>
      </c>
      <c r="D8" s="481" t="s">
        <v>1088</v>
      </c>
      <c r="E8" s="480">
        <v>45713</v>
      </c>
      <c r="F8" s="76" t="s">
        <v>58</v>
      </c>
      <c r="G8" s="482" t="s">
        <v>61</v>
      </c>
    </row>
    <row r="9" spans="1:19" hidden="1">
      <c r="A9" s="76">
        <f t="shared" si="0"/>
        <v>4</v>
      </c>
      <c r="B9" s="76" t="s">
        <v>63</v>
      </c>
      <c r="C9" s="76">
        <v>20.273</v>
      </c>
      <c r="D9" s="483">
        <v>45657</v>
      </c>
      <c r="E9" s="480">
        <v>45691</v>
      </c>
      <c r="F9" s="76" t="s">
        <v>58</v>
      </c>
    </row>
    <row r="10" spans="1:19" ht="28.8" hidden="1">
      <c r="A10" s="76">
        <f t="shared" si="0"/>
        <v>5</v>
      </c>
      <c r="B10" s="76" t="s">
        <v>64</v>
      </c>
      <c r="C10" s="76">
        <v>3.0840000000000001</v>
      </c>
      <c r="D10" s="484" t="s">
        <v>1087</v>
      </c>
      <c r="E10" s="480">
        <v>45712</v>
      </c>
      <c r="F10" s="76" t="s">
        <v>58</v>
      </c>
    </row>
    <row r="11" spans="1:19" hidden="1">
      <c r="A11" s="76">
        <f t="shared" si="0"/>
        <v>6</v>
      </c>
      <c r="B11" s="76" t="s">
        <v>66</v>
      </c>
      <c r="C11" s="76">
        <v>1.0629999999999999</v>
      </c>
      <c r="D11" s="483">
        <v>45713</v>
      </c>
      <c r="E11" s="1259">
        <v>45715</v>
      </c>
      <c r="F11" s="76" t="s">
        <v>58</v>
      </c>
    </row>
    <row r="12" spans="1:19" hidden="1">
      <c r="A12" s="76">
        <f>A11+1</f>
        <v>7</v>
      </c>
      <c r="B12" s="76" t="s">
        <v>67</v>
      </c>
      <c r="C12" s="76">
        <v>2.09</v>
      </c>
      <c r="D12" s="483">
        <v>45713</v>
      </c>
      <c r="E12" s="1261"/>
      <c r="F12" s="76" t="s">
        <v>58</v>
      </c>
    </row>
    <row r="13" spans="1:19" hidden="1">
      <c r="A13" s="76">
        <f t="shared" si="0"/>
        <v>8</v>
      </c>
      <c r="B13" s="76" t="s">
        <v>68</v>
      </c>
      <c r="C13" s="76">
        <v>3.8929999999999998</v>
      </c>
      <c r="D13" s="483">
        <v>45713</v>
      </c>
      <c r="E13" s="1261"/>
      <c r="F13" s="76" t="s">
        <v>58</v>
      </c>
    </row>
    <row r="14" spans="1:19" hidden="1">
      <c r="A14" s="76">
        <f t="shared" si="0"/>
        <v>9</v>
      </c>
      <c r="B14" s="76" t="s">
        <v>69</v>
      </c>
      <c r="C14" s="76">
        <v>6.9710000000000001</v>
      </c>
      <c r="D14" s="483">
        <v>45713</v>
      </c>
      <c r="E14" s="1262"/>
      <c r="F14" s="76" t="s">
        <v>58</v>
      </c>
    </row>
    <row r="15" spans="1:19" hidden="1">
      <c r="A15" s="76">
        <f t="shared" si="0"/>
        <v>10</v>
      </c>
      <c r="B15" s="76" t="s">
        <v>70</v>
      </c>
      <c r="C15" s="76">
        <v>9.4949999999999992</v>
      </c>
      <c r="D15" s="483">
        <v>45721</v>
      </c>
      <c r="E15" s="480">
        <v>45722</v>
      </c>
      <c r="F15" s="76" t="s">
        <v>58</v>
      </c>
    </row>
    <row r="16" spans="1:19" ht="57.6" hidden="1">
      <c r="A16" s="76">
        <f t="shared" si="0"/>
        <v>11</v>
      </c>
      <c r="B16" s="76" t="s">
        <v>71</v>
      </c>
      <c r="C16" s="76">
        <v>8.6969999999999992</v>
      </c>
      <c r="D16" s="481" t="s">
        <v>1089</v>
      </c>
      <c r="E16" s="76"/>
      <c r="F16" s="76" t="s">
        <v>65</v>
      </c>
      <c r="G16" s="744" t="s">
        <v>1122</v>
      </c>
    </row>
    <row r="17" spans="1:7" hidden="1">
      <c r="A17" s="76">
        <f t="shared" si="0"/>
        <v>12</v>
      </c>
      <c r="B17" s="76" t="s">
        <v>72</v>
      </c>
      <c r="C17" s="76">
        <v>3.0840000000000001</v>
      </c>
      <c r="D17" s="76"/>
      <c r="E17" s="76"/>
      <c r="F17" s="745" t="s">
        <v>65</v>
      </c>
    </row>
    <row r="18" spans="1:7" hidden="1">
      <c r="A18" s="76">
        <f t="shared" si="0"/>
        <v>13</v>
      </c>
      <c r="B18" s="66" t="s">
        <v>74</v>
      </c>
      <c r="C18" s="76">
        <v>3.9630000000000001</v>
      </c>
      <c r="D18" s="76"/>
      <c r="E18" s="76"/>
      <c r="F18" s="745" t="s">
        <v>65</v>
      </c>
      <c r="G18" s="348"/>
    </row>
    <row r="19" spans="1:7" hidden="1">
      <c r="A19" s="76">
        <f t="shared" si="0"/>
        <v>14</v>
      </c>
      <c r="B19" s="746" t="s">
        <v>1079</v>
      </c>
      <c r="C19" s="76">
        <v>1.6559999999999999</v>
      </c>
      <c r="D19" s="76"/>
      <c r="E19" s="76"/>
      <c r="F19" s="745" t="s">
        <v>65</v>
      </c>
      <c r="G19" s="348"/>
    </row>
    <row r="20" spans="1:7" hidden="1">
      <c r="A20" s="76">
        <f t="shared" si="0"/>
        <v>15</v>
      </c>
      <c r="B20" s="746" t="s">
        <v>1080</v>
      </c>
      <c r="C20" s="76">
        <v>1.635</v>
      </c>
      <c r="D20" s="76"/>
      <c r="E20" s="76"/>
      <c r="F20" s="745" t="s">
        <v>65</v>
      </c>
    </row>
    <row r="21" spans="1:7" hidden="1">
      <c r="A21" s="76">
        <f t="shared" si="0"/>
        <v>16</v>
      </c>
      <c r="B21" s="76" t="s">
        <v>1076</v>
      </c>
      <c r="C21" s="76">
        <v>2.2210000000000001</v>
      </c>
      <c r="D21" s="76"/>
      <c r="E21" s="76"/>
      <c r="F21" s="745" t="s">
        <v>65</v>
      </c>
    </row>
    <row r="22" spans="1:7" ht="72" hidden="1">
      <c r="A22" s="76">
        <f t="shared" si="0"/>
        <v>17</v>
      </c>
      <c r="B22" s="76" t="s">
        <v>1075</v>
      </c>
      <c r="C22" s="76">
        <v>10.724</v>
      </c>
      <c r="D22" s="747" t="s">
        <v>1289</v>
      </c>
      <c r="E22" s="76"/>
      <c r="F22" s="76" t="s">
        <v>65</v>
      </c>
      <c r="G22" s="744" t="s">
        <v>1122</v>
      </c>
    </row>
    <row r="23" spans="1:7" ht="56.55" hidden="1" customHeight="1">
      <c r="A23" s="76">
        <f t="shared" si="0"/>
        <v>18</v>
      </c>
      <c r="B23" s="745" t="s">
        <v>1073</v>
      </c>
      <c r="C23" s="76">
        <v>3.6659999999999999</v>
      </c>
      <c r="D23" s="747" t="s">
        <v>1290</v>
      </c>
      <c r="E23" s="76"/>
      <c r="F23" s="76" t="s">
        <v>65</v>
      </c>
      <c r="G23" s="744" t="s">
        <v>1122</v>
      </c>
    </row>
    <row r="24" spans="1:7" hidden="1">
      <c r="A24" s="76">
        <f t="shared" si="0"/>
        <v>19</v>
      </c>
      <c r="B24" s="745" t="s">
        <v>1293</v>
      </c>
      <c r="C24" s="497">
        <v>4.88</v>
      </c>
      <c r="D24" s="76"/>
      <c r="E24" s="76"/>
      <c r="F24" s="748" t="s">
        <v>65</v>
      </c>
    </row>
    <row r="25" spans="1:7" hidden="1">
      <c r="A25" s="76">
        <f t="shared" si="0"/>
        <v>20</v>
      </c>
      <c r="B25" s="745" t="s">
        <v>1261</v>
      </c>
      <c r="C25" s="76">
        <v>2.4740000000000002</v>
      </c>
      <c r="D25" s="483">
        <v>45765</v>
      </c>
      <c r="E25" s="76"/>
      <c r="F25" s="76" t="s">
        <v>65</v>
      </c>
    </row>
    <row r="26" spans="1:7" hidden="1">
      <c r="A26" s="76">
        <f t="shared" si="0"/>
        <v>21</v>
      </c>
      <c r="B26" s="745" t="s">
        <v>1094</v>
      </c>
      <c r="C26" s="76">
        <v>0.27500000000000002</v>
      </c>
      <c r="D26" s="483">
        <v>45752</v>
      </c>
      <c r="E26" s="76"/>
      <c r="F26" s="76" t="s">
        <v>65</v>
      </c>
    </row>
    <row r="27" spans="1:7" hidden="1">
      <c r="A27" s="76">
        <f t="shared" si="0"/>
        <v>22</v>
      </c>
      <c r="B27" s="745" t="s">
        <v>1074</v>
      </c>
      <c r="C27" s="76">
        <v>2.008</v>
      </c>
      <c r="D27" s="483">
        <v>45752</v>
      </c>
      <c r="E27" s="76"/>
      <c r="F27" s="76" t="s">
        <v>65</v>
      </c>
    </row>
    <row r="28" spans="1:7" hidden="1">
      <c r="A28" s="76">
        <f t="shared" si="0"/>
        <v>23</v>
      </c>
      <c r="B28" s="745" t="s">
        <v>1091</v>
      </c>
      <c r="C28" s="76">
        <v>0.223</v>
      </c>
      <c r="D28" s="483">
        <v>45752</v>
      </c>
      <c r="E28" s="76"/>
      <c r="F28" s="76" t="s">
        <v>65</v>
      </c>
    </row>
    <row r="29" spans="1:7" hidden="1">
      <c r="A29" s="76">
        <f t="shared" si="0"/>
        <v>24</v>
      </c>
      <c r="B29" s="745" t="s">
        <v>1077</v>
      </c>
      <c r="C29" s="76">
        <v>2.7309999999999999</v>
      </c>
      <c r="D29" s="483">
        <v>45752</v>
      </c>
      <c r="E29" s="76"/>
      <c r="F29" s="76" t="s">
        <v>65</v>
      </c>
    </row>
    <row r="30" spans="1:7" hidden="1">
      <c r="A30" s="76">
        <f t="shared" si="0"/>
        <v>25</v>
      </c>
      <c r="B30" s="745" t="s">
        <v>1093</v>
      </c>
      <c r="C30" s="76">
        <v>1.7170000000000001</v>
      </c>
      <c r="D30" s="483">
        <v>45752</v>
      </c>
      <c r="E30" s="76"/>
      <c r="F30" s="76" t="s">
        <v>65</v>
      </c>
    </row>
    <row r="31" spans="1:7" hidden="1">
      <c r="A31" s="76">
        <f t="shared" si="0"/>
        <v>26</v>
      </c>
      <c r="B31" s="745" t="s">
        <v>1092</v>
      </c>
      <c r="C31" s="76">
        <v>1.0680000000000001</v>
      </c>
      <c r="D31" s="483">
        <v>45752</v>
      </c>
      <c r="E31" s="76"/>
      <c r="F31" s="76" t="s">
        <v>65</v>
      </c>
    </row>
    <row r="32" spans="1:7" hidden="1">
      <c r="A32" s="76">
        <f t="shared" si="0"/>
        <v>27</v>
      </c>
      <c r="B32" s="745" t="s">
        <v>1090</v>
      </c>
      <c r="C32" s="76">
        <v>2.8730000000000002</v>
      </c>
      <c r="D32" s="483">
        <v>45752</v>
      </c>
      <c r="E32" s="76"/>
      <c r="F32" s="76" t="s">
        <v>65</v>
      </c>
    </row>
    <row r="33" spans="1:7" hidden="1">
      <c r="A33" s="76"/>
      <c r="B33" s="745"/>
      <c r="C33" s="76"/>
      <c r="D33" s="483"/>
      <c r="E33" s="76"/>
      <c r="F33" s="76"/>
    </row>
    <row r="34" spans="1:7" hidden="1">
      <c r="A34" s="76">
        <f>A32+1</f>
        <v>28</v>
      </c>
      <c r="B34" s="745" t="s">
        <v>1284</v>
      </c>
      <c r="C34" s="76">
        <v>19.57</v>
      </c>
      <c r="D34" s="745" t="s">
        <v>1288</v>
      </c>
      <c r="E34" s="76"/>
      <c r="F34" s="745" t="s">
        <v>1283</v>
      </c>
    </row>
    <row r="35" spans="1:7" hidden="1">
      <c r="A35" s="76">
        <f>A34+1</f>
        <v>29</v>
      </c>
      <c r="B35" s="748" t="s">
        <v>1267</v>
      </c>
      <c r="C35" s="494">
        <v>2.6179999999999999</v>
      </c>
      <c r="D35" s="483">
        <v>45781</v>
      </c>
      <c r="E35" s="76"/>
      <c r="F35" s="66" t="s">
        <v>73</v>
      </c>
    </row>
    <row r="36" spans="1:7" hidden="1">
      <c r="A36" s="76">
        <f>A35+1</f>
        <v>30</v>
      </c>
      <c r="B36" s="745" t="s">
        <v>1287</v>
      </c>
      <c r="C36" s="76">
        <v>18.193000000000001</v>
      </c>
      <c r="D36" s="483">
        <v>45805</v>
      </c>
      <c r="E36" s="76"/>
      <c r="F36" s="746" t="s">
        <v>73</v>
      </c>
    </row>
    <row r="37" spans="1:7" hidden="1">
      <c r="A37" s="76"/>
      <c r="B37" s="745"/>
      <c r="C37" s="76"/>
      <c r="D37" s="483"/>
      <c r="E37" s="76"/>
      <c r="F37" s="746"/>
    </row>
    <row r="38" spans="1:7" hidden="1">
      <c r="A38" s="76"/>
      <c r="B38" s="745"/>
      <c r="C38" s="76"/>
      <c r="D38" s="483"/>
      <c r="E38" s="76"/>
      <c r="F38" s="746"/>
    </row>
    <row r="39" spans="1:7" s="348" customFormat="1" hidden="1">
      <c r="A39" s="349"/>
      <c r="B39" s="349" t="s">
        <v>75</v>
      </c>
      <c r="C39" s="349">
        <f>SUM(C6:C36)</f>
        <v>168.78000000000003</v>
      </c>
      <c r="D39" s="349"/>
      <c r="E39" s="349"/>
      <c r="F39" s="349"/>
    </row>
    <row r="40" spans="1:7" s="348" customFormat="1" hidden="1"/>
    <row r="41" spans="1:7" s="348" customFormat="1" hidden="1"/>
    <row r="42" spans="1:7" s="348" customFormat="1" hidden="1"/>
    <row r="43" spans="1:7" hidden="1">
      <c r="B43" s="348" t="s">
        <v>1262</v>
      </c>
    </row>
    <row r="44" spans="1:7" ht="43.2" hidden="1">
      <c r="A44" s="346" t="s">
        <v>1095</v>
      </c>
      <c r="B44" s="346" t="s">
        <v>53</v>
      </c>
      <c r="C44" s="408" t="s">
        <v>1096</v>
      </c>
      <c r="D44" s="408" t="s">
        <v>1097</v>
      </c>
      <c r="E44" s="408" t="s">
        <v>1098</v>
      </c>
      <c r="F44" s="408" t="s">
        <v>1099</v>
      </c>
      <c r="G44" s="408" t="s">
        <v>1097</v>
      </c>
    </row>
    <row r="45" spans="1:7" hidden="1">
      <c r="A45" s="314">
        <v>1</v>
      </c>
      <c r="B45" s="314" t="s">
        <v>1101</v>
      </c>
      <c r="C45" s="409">
        <v>45657</v>
      </c>
      <c r="D45" s="410">
        <v>20.273</v>
      </c>
      <c r="E45" s="409" t="s">
        <v>1102</v>
      </c>
      <c r="F45" s="411">
        <v>45691</v>
      </c>
      <c r="G45" s="410">
        <v>20.273</v>
      </c>
    </row>
    <row r="46" spans="1:7" hidden="1">
      <c r="A46" s="314">
        <f>A45+1</f>
        <v>2</v>
      </c>
      <c r="B46" s="314" t="s">
        <v>1104</v>
      </c>
      <c r="C46" s="409">
        <v>45684</v>
      </c>
      <c r="D46" s="410">
        <v>7.9619999999999997</v>
      </c>
      <c r="E46" s="409" t="s">
        <v>1105</v>
      </c>
      <c r="F46" s="411">
        <v>45691</v>
      </c>
      <c r="G46" s="410">
        <v>7.9619999999999997</v>
      </c>
    </row>
    <row r="47" spans="1:7" hidden="1">
      <c r="A47" s="314">
        <f t="shared" ref="A47:A56" si="1">A46+1</f>
        <v>3</v>
      </c>
      <c r="B47" s="314" t="s">
        <v>1106</v>
      </c>
      <c r="C47" s="409">
        <v>45709</v>
      </c>
      <c r="D47" s="410">
        <v>3.0840000000000001</v>
      </c>
      <c r="E47" s="409" t="s">
        <v>1107</v>
      </c>
      <c r="F47" s="411">
        <v>45712</v>
      </c>
      <c r="G47" s="410">
        <v>3.0840000000000001</v>
      </c>
    </row>
    <row r="48" spans="1:7" hidden="1">
      <c r="A48" s="314">
        <f t="shared" si="1"/>
        <v>4</v>
      </c>
      <c r="B48" s="314" t="s">
        <v>1109</v>
      </c>
      <c r="C48" s="409">
        <v>45703</v>
      </c>
      <c r="D48" s="410">
        <v>19.672000000000001</v>
      </c>
      <c r="E48" s="409" t="s">
        <v>1110</v>
      </c>
      <c r="F48" s="411">
        <v>45713</v>
      </c>
      <c r="G48" s="410">
        <v>19.672000000000001</v>
      </c>
    </row>
    <row r="49" spans="1:7" hidden="1">
      <c r="A49" s="314">
        <f t="shared" si="1"/>
        <v>5</v>
      </c>
      <c r="B49" s="314" t="s">
        <v>1112</v>
      </c>
      <c r="C49" s="409">
        <v>45713</v>
      </c>
      <c r="D49" s="410">
        <v>14.016999999999999</v>
      </c>
      <c r="E49" s="409" t="s">
        <v>1113</v>
      </c>
      <c r="F49" s="411">
        <v>45715</v>
      </c>
      <c r="G49" s="410">
        <v>14.016999999999999</v>
      </c>
    </row>
    <row r="50" spans="1:7" hidden="1">
      <c r="A50" s="314">
        <f t="shared" si="1"/>
        <v>6</v>
      </c>
      <c r="B50" s="314" t="s">
        <v>1114</v>
      </c>
      <c r="C50" s="409">
        <v>45721</v>
      </c>
      <c r="D50" s="410">
        <v>9.4949999999999992</v>
      </c>
      <c r="E50" s="409" t="s">
        <v>1115</v>
      </c>
      <c r="F50" s="411">
        <v>45722</v>
      </c>
      <c r="G50" s="410">
        <v>9.4949999999999992</v>
      </c>
    </row>
    <row r="51" spans="1:7" hidden="1">
      <c r="A51" s="314">
        <f t="shared" si="1"/>
        <v>7</v>
      </c>
      <c r="B51" s="314" t="s">
        <v>1116</v>
      </c>
      <c r="C51" s="409">
        <v>45751</v>
      </c>
      <c r="D51" s="410">
        <v>8.6969999999999992</v>
      </c>
      <c r="E51" s="749" t="s">
        <v>1266</v>
      </c>
      <c r="F51" s="411">
        <v>45732</v>
      </c>
      <c r="G51" s="410">
        <v>8.6969999999999992</v>
      </c>
    </row>
    <row r="52" spans="1:7" hidden="1">
      <c r="A52" s="314">
        <f t="shared" si="1"/>
        <v>8</v>
      </c>
      <c r="B52" s="314" t="s">
        <v>1118</v>
      </c>
      <c r="C52" s="409">
        <v>45742</v>
      </c>
      <c r="D52" s="410">
        <v>14.39</v>
      </c>
      <c r="E52" s="409" t="s">
        <v>1119</v>
      </c>
      <c r="F52" s="411">
        <v>45732</v>
      </c>
      <c r="G52" s="410">
        <v>14.39</v>
      </c>
    </row>
    <row r="53" spans="1:7" hidden="1">
      <c r="A53" s="314">
        <f t="shared" si="1"/>
        <v>9</v>
      </c>
      <c r="B53" s="573" t="s">
        <v>1124</v>
      </c>
      <c r="C53" s="409">
        <v>45752</v>
      </c>
      <c r="D53" s="410">
        <v>10.894</v>
      </c>
      <c r="E53" s="409" t="s">
        <v>1125</v>
      </c>
      <c r="F53" s="410"/>
      <c r="G53" s="410"/>
    </row>
    <row r="54" spans="1:7" ht="28.8" hidden="1">
      <c r="A54" s="314">
        <f t="shared" si="1"/>
        <v>10</v>
      </c>
      <c r="B54" s="573" t="s">
        <v>1123</v>
      </c>
      <c r="C54" s="750" t="s">
        <v>1274</v>
      </c>
      <c r="D54" s="410">
        <v>19.57</v>
      </c>
      <c r="E54" s="749" t="s">
        <v>1278</v>
      </c>
      <c r="F54" s="410"/>
      <c r="G54" s="410"/>
    </row>
    <row r="55" spans="1:7" hidden="1">
      <c r="A55" s="314">
        <f t="shared" si="1"/>
        <v>11</v>
      </c>
      <c r="B55" s="314" t="s">
        <v>1259</v>
      </c>
      <c r="C55" s="409">
        <v>45765</v>
      </c>
      <c r="D55" s="410">
        <v>2.4740000000000002</v>
      </c>
      <c r="E55" s="409" t="s">
        <v>1260</v>
      </c>
      <c r="F55" s="410"/>
      <c r="G55" s="410"/>
    </row>
    <row r="56" spans="1:7" hidden="1">
      <c r="A56" s="314">
        <f t="shared" si="1"/>
        <v>12</v>
      </c>
      <c r="B56" s="573" t="s">
        <v>1271</v>
      </c>
      <c r="C56" s="409">
        <v>45787</v>
      </c>
      <c r="D56" s="410">
        <v>3.0840000000000001</v>
      </c>
      <c r="E56" s="409" t="s">
        <v>1272</v>
      </c>
      <c r="F56" s="410"/>
      <c r="G56" s="410"/>
    </row>
    <row r="57" spans="1:7" hidden="1">
      <c r="A57" s="314">
        <f>A56+1</f>
        <v>13</v>
      </c>
      <c r="B57" s="573" t="s">
        <v>1298</v>
      </c>
      <c r="C57" s="409">
        <v>45787</v>
      </c>
      <c r="D57" s="410">
        <v>2.2200000000000002</v>
      </c>
      <c r="E57" s="409" t="s">
        <v>1272</v>
      </c>
      <c r="F57" s="410"/>
      <c r="G57" s="410"/>
    </row>
    <row r="58" spans="1:7" hidden="1">
      <c r="A58" s="314">
        <f>A57+1</f>
        <v>14</v>
      </c>
      <c r="B58" s="751" t="s">
        <v>1295</v>
      </c>
      <c r="C58" s="409">
        <v>45802</v>
      </c>
      <c r="D58" s="410">
        <v>5.6189999999999998</v>
      </c>
      <c r="E58" s="737" t="s">
        <v>1302</v>
      </c>
      <c r="F58" s="410"/>
      <c r="G58" s="410"/>
    </row>
    <row r="59" spans="1:7" hidden="1">
      <c r="A59" s="314">
        <f>A58+1</f>
        <v>15</v>
      </c>
      <c r="B59" s="752" t="s">
        <v>1276</v>
      </c>
      <c r="C59" s="409">
        <v>45794</v>
      </c>
      <c r="D59" s="410">
        <v>3.95</v>
      </c>
      <c r="E59" s="749" t="s">
        <v>1277</v>
      </c>
      <c r="F59" s="411">
        <v>45810</v>
      </c>
      <c r="G59" s="410"/>
    </row>
    <row r="60" spans="1:7" hidden="1">
      <c r="A60" s="314">
        <f>A59+1</f>
        <v>16</v>
      </c>
      <c r="B60" s="751" t="s">
        <v>1296</v>
      </c>
      <c r="C60" s="409">
        <v>45802</v>
      </c>
      <c r="D60" s="410">
        <v>1.635</v>
      </c>
      <c r="E60" s="409" t="s">
        <v>1297</v>
      </c>
      <c r="F60" s="410"/>
      <c r="G60" s="410"/>
    </row>
    <row r="61" spans="1:7" hidden="1">
      <c r="A61" s="314">
        <f>A60+1</f>
        <v>17</v>
      </c>
      <c r="B61" s="751" t="s">
        <v>1291</v>
      </c>
      <c r="C61" s="409">
        <v>45802</v>
      </c>
      <c r="D61" s="410">
        <v>4.88</v>
      </c>
      <c r="E61" s="749"/>
      <c r="F61" s="410"/>
      <c r="G61" s="410"/>
    </row>
    <row r="62" spans="1:7" hidden="1">
      <c r="A62" s="314"/>
      <c r="B62" s="752"/>
      <c r="C62" s="409"/>
      <c r="D62" s="410"/>
      <c r="E62" s="409"/>
      <c r="F62" s="410"/>
      <c r="G62" s="410"/>
    </row>
    <row r="63" spans="1:7" hidden="1">
      <c r="A63" s="1263" t="s">
        <v>1121</v>
      </c>
      <c r="B63" s="1263"/>
      <c r="C63" s="346"/>
      <c r="D63" s="346">
        <f>SUM(D45:D61)</f>
        <v>151.91599999999997</v>
      </c>
      <c r="E63" s="346"/>
      <c r="F63" s="346"/>
      <c r="G63" s="346">
        <f>SUM(G45:G62)</f>
        <v>97.59</v>
      </c>
    </row>
    <row r="64" spans="1:7" hidden="1">
      <c r="A64" s="408"/>
      <c r="B64" s="408"/>
      <c r="C64" s="346"/>
      <c r="D64" s="346"/>
      <c r="E64" s="346"/>
      <c r="F64" s="346"/>
      <c r="G64" s="346"/>
    </row>
    <row r="65" spans="1:7">
      <c r="A65" s="1264"/>
      <c r="B65" s="1265"/>
      <c r="C65" s="1265"/>
      <c r="D65" s="1265"/>
      <c r="E65" s="1265"/>
      <c r="F65" s="1265"/>
      <c r="G65" s="1266"/>
    </row>
    <row r="66" spans="1:7" ht="15.6">
      <c r="A66" s="753"/>
      <c r="B66" s="753"/>
      <c r="C66" s="1267" t="s">
        <v>1315</v>
      </c>
      <c r="D66" s="1267"/>
      <c r="E66" s="1267"/>
      <c r="F66" s="1267"/>
      <c r="G66" s="1267"/>
    </row>
    <row r="67" spans="1:7" ht="28.8">
      <c r="A67" s="754" t="s">
        <v>1478</v>
      </c>
      <c r="B67" s="755" t="s">
        <v>1316</v>
      </c>
      <c r="C67" s="755" t="s">
        <v>1318</v>
      </c>
      <c r="D67" s="755" t="s">
        <v>1319</v>
      </c>
      <c r="E67" s="755" t="s">
        <v>1320</v>
      </c>
      <c r="F67" s="755" t="s">
        <v>1321</v>
      </c>
      <c r="G67" s="754" t="s">
        <v>20</v>
      </c>
    </row>
    <row r="68" spans="1:7" ht="27.6">
      <c r="A68" s="756">
        <v>1</v>
      </c>
      <c r="B68" s="757" t="s">
        <v>1026</v>
      </c>
      <c r="C68" s="757" t="s">
        <v>1479</v>
      </c>
      <c r="D68" s="758">
        <v>10.372999999999999</v>
      </c>
      <c r="E68" s="759"/>
      <c r="F68" s="759"/>
      <c r="G68" s="760" t="s">
        <v>1480</v>
      </c>
    </row>
    <row r="69" spans="1:7">
      <c r="A69" s="756">
        <f>A68+1</f>
        <v>2</v>
      </c>
      <c r="B69" s="761" t="s">
        <v>1026</v>
      </c>
      <c r="C69" s="761" t="s">
        <v>1360</v>
      </c>
      <c r="D69" s="762">
        <v>8.7189999999999994</v>
      </c>
      <c r="E69" s="762"/>
      <c r="F69" s="762"/>
      <c r="G69" s="763" t="s">
        <v>1500</v>
      </c>
    </row>
    <row r="70" spans="1:7" ht="27.6" customHeight="1">
      <c r="A70" s="756">
        <f>A69+1</f>
        <v>3</v>
      </c>
      <c r="B70" s="761"/>
      <c r="C70" s="577" t="s">
        <v>1325</v>
      </c>
      <c r="D70" s="764">
        <v>19.57</v>
      </c>
      <c r="E70" s="765" t="s">
        <v>1326</v>
      </c>
      <c r="F70" s="765"/>
      <c r="G70" s="763" t="s">
        <v>58</v>
      </c>
    </row>
    <row r="71" spans="1:7" ht="27.6" customHeight="1">
      <c r="A71" s="756">
        <f>A70+1</f>
        <v>4</v>
      </c>
      <c r="B71" s="766" t="s">
        <v>1032</v>
      </c>
      <c r="C71" s="761" t="s">
        <v>1435</v>
      </c>
      <c r="D71" s="756">
        <v>2.6179999999999999</v>
      </c>
      <c r="E71" s="756"/>
      <c r="F71" s="765" t="s">
        <v>1326</v>
      </c>
      <c r="G71" s="763" t="s">
        <v>1437</v>
      </c>
    </row>
    <row r="72" spans="1:7" ht="23.55" customHeight="1">
      <c r="A72" s="756">
        <f t="shared" ref="A72:A85" si="2">A71+1</f>
        <v>5</v>
      </c>
      <c r="B72" s="757" t="s">
        <v>1026</v>
      </c>
      <c r="C72" s="757" t="s">
        <v>1438</v>
      </c>
      <c r="D72" s="767">
        <v>18.193000000000001</v>
      </c>
      <c r="E72" s="767"/>
      <c r="F72" s="768"/>
      <c r="G72" s="763" t="s">
        <v>1501</v>
      </c>
    </row>
    <row r="73" spans="1:7">
      <c r="A73" s="756">
        <f t="shared" si="2"/>
        <v>6</v>
      </c>
      <c r="B73" s="761"/>
      <c r="C73" s="577" t="s">
        <v>1330</v>
      </c>
      <c r="D73" s="756">
        <v>6.6589999999999998</v>
      </c>
      <c r="E73" s="756" t="s">
        <v>1481</v>
      </c>
      <c r="F73" s="765"/>
      <c r="G73" s="769" t="s">
        <v>1358</v>
      </c>
    </row>
    <row r="74" spans="1:7">
      <c r="A74" s="756">
        <f t="shared" si="2"/>
        <v>7</v>
      </c>
      <c r="B74" s="757" t="s">
        <v>1026</v>
      </c>
      <c r="C74" s="757" t="s">
        <v>1331</v>
      </c>
      <c r="D74" s="770">
        <v>3.17</v>
      </c>
      <c r="E74" s="768"/>
      <c r="F74" s="768"/>
      <c r="G74" s="760" t="s">
        <v>1482</v>
      </c>
    </row>
    <row r="75" spans="1:7">
      <c r="A75" s="756">
        <f t="shared" si="2"/>
        <v>8</v>
      </c>
      <c r="B75" s="761"/>
      <c r="C75" s="577" t="s">
        <v>1334</v>
      </c>
      <c r="D75" s="771">
        <v>1.05</v>
      </c>
      <c r="E75" s="765" t="s">
        <v>1481</v>
      </c>
      <c r="F75" s="765"/>
      <c r="G75" s="763" t="s">
        <v>1358</v>
      </c>
    </row>
    <row r="76" spans="1:7">
      <c r="A76" s="756">
        <f t="shared" si="2"/>
        <v>9</v>
      </c>
      <c r="B76" s="1268"/>
      <c r="C76" s="577" t="s">
        <v>1335</v>
      </c>
      <c r="D76" s="756">
        <v>7.9619999999999997</v>
      </c>
      <c r="E76" s="765" t="s">
        <v>1481</v>
      </c>
      <c r="F76" s="756"/>
      <c r="G76" s="763" t="s">
        <v>58</v>
      </c>
    </row>
    <row r="77" spans="1:7">
      <c r="A77" s="756">
        <f t="shared" si="2"/>
        <v>10</v>
      </c>
      <c r="B77" s="1269"/>
      <c r="C77" s="577" t="s">
        <v>1337</v>
      </c>
      <c r="D77" s="756">
        <v>19.567</v>
      </c>
      <c r="E77" s="765" t="s">
        <v>1481</v>
      </c>
      <c r="F77" s="756"/>
      <c r="G77" s="763" t="s">
        <v>58</v>
      </c>
    </row>
    <row r="78" spans="1:7">
      <c r="A78" s="756">
        <f t="shared" si="2"/>
        <v>11</v>
      </c>
      <c r="B78" s="1269"/>
      <c r="C78" s="577" t="s">
        <v>1338</v>
      </c>
      <c r="D78" s="756">
        <v>20.273</v>
      </c>
      <c r="E78" s="765" t="s">
        <v>1481</v>
      </c>
      <c r="F78" s="756"/>
      <c r="G78" s="763" t="s">
        <v>58</v>
      </c>
    </row>
    <row r="79" spans="1:7">
      <c r="A79" s="756">
        <f t="shared" si="2"/>
        <v>12</v>
      </c>
      <c r="B79" s="1269"/>
      <c r="C79" s="577" t="s">
        <v>1339</v>
      </c>
      <c r="D79" s="756">
        <v>3.0840000000000001</v>
      </c>
      <c r="E79" s="765" t="s">
        <v>1481</v>
      </c>
      <c r="F79" s="756"/>
      <c r="G79" s="763" t="s">
        <v>58</v>
      </c>
    </row>
    <row r="80" spans="1:7">
      <c r="A80" s="756">
        <f t="shared" si="2"/>
        <v>13</v>
      </c>
      <c r="B80" s="1269"/>
      <c r="C80" s="577" t="s">
        <v>1340</v>
      </c>
      <c r="D80" s="756">
        <v>14.119</v>
      </c>
      <c r="E80" s="765" t="s">
        <v>1481</v>
      </c>
      <c r="F80" s="756"/>
      <c r="G80" s="763" t="s">
        <v>58</v>
      </c>
    </row>
    <row r="81" spans="1:7">
      <c r="A81" s="756">
        <f t="shared" si="2"/>
        <v>14</v>
      </c>
      <c r="B81" s="1269"/>
      <c r="C81" s="577" t="s">
        <v>1341</v>
      </c>
      <c r="D81" s="756">
        <v>9.4949999999999992</v>
      </c>
      <c r="E81" s="765" t="s">
        <v>1481</v>
      </c>
      <c r="F81" s="756"/>
      <c r="G81" s="763" t="s">
        <v>58</v>
      </c>
    </row>
    <row r="82" spans="1:7">
      <c r="A82" s="756">
        <f t="shared" si="2"/>
        <v>15</v>
      </c>
      <c r="B82" s="1270"/>
      <c r="C82" s="577" t="s">
        <v>1342</v>
      </c>
      <c r="D82" s="756">
        <v>8.6940000000000008</v>
      </c>
      <c r="E82" s="765" t="s">
        <v>1481</v>
      </c>
      <c r="F82" s="756"/>
      <c r="G82" s="763" t="s">
        <v>58</v>
      </c>
    </row>
    <row r="83" spans="1:7">
      <c r="A83" s="756">
        <f t="shared" si="2"/>
        <v>16</v>
      </c>
      <c r="B83" s="761" t="s">
        <v>1026</v>
      </c>
      <c r="C83" s="577" t="s">
        <v>1363</v>
      </c>
      <c r="D83" s="756">
        <v>12.558999999999999</v>
      </c>
      <c r="E83" s="765" t="s">
        <v>1481</v>
      </c>
      <c r="F83" s="765"/>
      <c r="G83" s="763" t="s">
        <v>58</v>
      </c>
    </row>
    <row r="84" spans="1:7">
      <c r="A84" s="756">
        <f t="shared" si="2"/>
        <v>17</v>
      </c>
      <c r="B84" s="761" t="s">
        <v>1026</v>
      </c>
      <c r="C84" s="577" t="s">
        <v>1347</v>
      </c>
      <c r="D84" s="756">
        <v>14.391</v>
      </c>
      <c r="E84" s="765" t="s">
        <v>1481</v>
      </c>
      <c r="F84" s="756"/>
      <c r="G84" s="763" t="s">
        <v>58</v>
      </c>
    </row>
    <row r="85" spans="1:7">
      <c r="A85" s="756">
        <f t="shared" si="2"/>
        <v>18</v>
      </c>
      <c r="B85" s="761" t="s">
        <v>1026</v>
      </c>
      <c r="C85" s="577" t="s">
        <v>1483</v>
      </c>
      <c r="D85" s="521">
        <v>6.3209999999999997</v>
      </c>
      <c r="E85" s="765" t="s">
        <v>1481</v>
      </c>
      <c r="F85" s="765"/>
      <c r="G85" s="763" t="s">
        <v>58</v>
      </c>
    </row>
    <row r="86" spans="1:7">
      <c r="A86" s="756">
        <v>19</v>
      </c>
      <c r="B86" s="766" t="s">
        <v>1032</v>
      </c>
      <c r="C86" s="761" t="s">
        <v>1484</v>
      </c>
      <c r="D86" s="521">
        <v>0.38900000000000001</v>
      </c>
      <c r="E86" s="765"/>
      <c r="F86" s="772" t="s">
        <v>1481</v>
      </c>
      <c r="G86" s="763"/>
    </row>
    <row r="87" spans="1:7">
      <c r="A87" s="756">
        <v>20</v>
      </c>
      <c r="B87" s="757" t="s">
        <v>1026</v>
      </c>
      <c r="C87" s="757" t="s">
        <v>1485</v>
      </c>
      <c r="D87" s="773">
        <v>0.22</v>
      </c>
      <c r="E87" s="768"/>
      <c r="F87" s="774"/>
      <c r="G87" s="760" t="s">
        <v>1486</v>
      </c>
    </row>
    <row r="88" spans="1:7">
      <c r="A88" s="756">
        <v>21</v>
      </c>
      <c r="B88" s="775" t="s">
        <v>1032</v>
      </c>
      <c r="C88" s="761" t="s">
        <v>1487</v>
      </c>
      <c r="D88" s="776">
        <v>0.56999999999999995</v>
      </c>
      <c r="E88" s="765"/>
      <c r="F88" s="772" t="s">
        <v>1481</v>
      </c>
      <c r="G88" s="763" t="s">
        <v>1488</v>
      </c>
    </row>
    <row r="89" spans="1:7">
      <c r="A89" s="1245"/>
      <c r="B89" s="1246"/>
      <c r="C89" s="754" t="s">
        <v>1354</v>
      </c>
      <c r="D89" s="754">
        <f>SUM(D68:D88)</f>
        <v>187.99599999999998</v>
      </c>
      <c r="E89" s="1247"/>
      <c r="F89" s="1248"/>
      <c r="G89" s="1249"/>
    </row>
    <row r="90" spans="1:7">
      <c r="A90" s="1242"/>
      <c r="B90" s="1242"/>
      <c r="C90" s="1242"/>
      <c r="D90" s="1242"/>
      <c r="E90" s="1242"/>
      <c r="F90" s="1242"/>
      <c r="G90" s="1242"/>
    </row>
    <row r="91" spans="1:7" hidden="1">
      <c r="A91" s="777"/>
      <c r="B91" s="778"/>
      <c r="C91" s="778"/>
      <c r="D91" s="779"/>
      <c r="E91" s="780">
        <v>2.6179999999999999</v>
      </c>
      <c r="F91" s="781" t="s">
        <v>1353</v>
      </c>
      <c r="G91" s="777"/>
    </row>
    <row r="92" spans="1:7" ht="18">
      <c r="A92" s="1243" t="s">
        <v>1354</v>
      </c>
      <c r="B92" s="1243"/>
      <c r="C92" s="1243"/>
      <c r="D92" s="1243"/>
      <c r="E92" s="782">
        <f>D89</f>
        <v>187.99599999999998</v>
      </c>
      <c r="F92" s="778"/>
      <c r="G92" s="777"/>
    </row>
    <row r="93" spans="1:7" ht="18">
      <c r="A93" s="1243" t="s">
        <v>1489</v>
      </c>
      <c r="B93" s="1243"/>
      <c r="C93" s="1243"/>
      <c r="D93" s="1243"/>
      <c r="E93" s="783">
        <f>E92-E96</f>
        <v>156.04</v>
      </c>
      <c r="F93" s="778"/>
      <c r="G93" s="777"/>
    </row>
    <row r="94" spans="1:7" ht="18">
      <c r="A94" s="1243" t="s">
        <v>1490</v>
      </c>
      <c r="B94" s="1243"/>
      <c r="C94" s="1243"/>
      <c r="D94" s="1243"/>
      <c r="E94" s="784">
        <f>E93-E95</f>
        <v>152.46299999999999</v>
      </c>
      <c r="F94" s="778"/>
      <c r="G94" s="777"/>
    </row>
    <row r="95" spans="1:7" ht="18">
      <c r="A95" s="1244" t="s">
        <v>1491</v>
      </c>
      <c r="B95" s="1244"/>
      <c r="C95" s="1244"/>
      <c r="D95" s="1244"/>
      <c r="E95" s="785">
        <v>3.577</v>
      </c>
      <c r="F95" s="778"/>
      <c r="G95" s="777"/>
    </row>
    <row r="96" spans="1:7" ht="18">
      <c r="A96" s="1243" t="s">
        <v>1492</v>
      </c>
      <c r="B96" s="1243"/>
      <c r="C96" s="1243"/>
      <c r="D96" s="1243"/>
      <c r="E96" s="784">
        <v>31.956</v>
      </c>
      <c r="F96" s="778"/>
      <c r="G96" s="777"/>
    </row>
    <row r="98" spans="2:7" ht="15" thickBot="1">
      <c r="B98" s="1236" t="s">
        <v>1315</v>
      </c>
      <c r="C98" s="1237"/>
      <c r="D98" s="1237"/>
      <c r="E98" s="1237"/>
      <c r="F98" s="1237"/>
      <c r="G98" s="1237"/>
    </row>
    <row r="99" spans="2:7" ht="29.4" thickBot="1">
      <c r="B99" s="550" t="s">
        <v>1317</v>
      </c>
      <c r="C99" s="551" t="s">
        <v>1318</v>
      </c>
      <c r="D99" s="551" t="s">
        <v>1319</v>
      </c>
      <c r="E99" s="551" t="s">
        <v>58</v>
      </c>
      <c r="F99" s="551" t="s">
        <v>1364</v>
      </c>
      <c r="G99" s="551" t="s">
        <v>20</v>
      </c>
    </row>
    <row r="100" spans="2:7" ht="29.4" thickBot="1">
      <c r="B100" s="552">
        <v>1</v>
      </c>
      <c r="C100" s="553" t="s">
        <v>1323</v>
      </c>
      <c r="D100" s="554">
        <v>18.116</v>
      </c>
      <c r="E100" s="555"/>
      <c r="F100" s="555" t="s">
        <v>1365</v>
      </c>
      <c r="G100" s="556" t="s">
        <v>1366</v>
      </c>
    </row>
    <row r="101" spans="2:7" ht="15" thickBot="1">
      <c r="B101" s="552">
        <v>2</v>
      </c>
      <c r="C101" s="553" t="s">
        <v>1325</v>
      </c>
      <c r="D101" s="554">
        <v>19.57</v>
      </c>
      <c r="E101" s="554"/>
      <c r="F101" s="555" t="s">
        <v>1367</v>
      </c>
      <c r="G101" s="556" t="s">
        <v>1368</v>
      </c>
    </row>
    <row r="102" spans="2:7" ht="43.8" thickBot="1">
      <c r="B102" s="552">
        <v>3</v>
      </c>
      <c r="C102" s="553" t="s">
        <v>1328</v>
      </c>
      <c r="D102" s="554">
        <v>20.811</v>
      </c>
      <c r="E102" s="554"/>
      <c r="F102" s="555" t="s">
        <v>1365</v>
      </c>
      <c r="G102" s="556" t="s">
        <v>1369</v>
      </c>
    </row>
    <row r="103" spans="2:7" ht="29.4" thickBot="1">
      <c r="B103" s="1238">
        <v>4</v>
      </c>
      <c r="C103" s="553" t="s">
        <v>1370</v>
      </c>
      <c r="D103" s="1240">
        <v>10.894</v>
      </c>
      <c r="E103" s="554"/>
      <c r="F103" s="555" t="s">
        <v>1367</v>
      </c>
      <c r="G103" s="556" t="s">
        <v>1371</v>
      </c>
    </row>
    <row r="104" spans="2:7" ht="29.4" thickBot="1">
      <c r="B104" s="1239"/>
      <c r="C104" s="553" t="s">
        <v>1372</v>
      </c>
      <c r="D104" s="1241"/>
      <c r="E104" s="554"/>
      <c r="F104" s="555" t="s">
        <v>1365</v>
      </c>
      <c r="G104" s="556" t="s">
        <v>1373</v>
      </c>
    </row>
    <row r="105" spans="2:7" ht="15" thickBot="1">
      <c r="B105" s="552">
        <v>5</v>
      </c>
      <c r="C105" s="553" t="s">
        <v>1335</v>
      </c>
      <c r="D105" s="554">
        <v>7.9619999999999997</v>
      </c>
      <c r="E105" s="557">
        <v>45691</v>
      </c>
      <c r="F105" s="554"/>
      <c r="G105" s="556"/>
    </row>
    <row r="106" spans="2:7" ht="15" thickBot="1">
      <c r="B106" s="552">
        <v>6</v>
      </c>
      <c r="C106" s="553" t="s">
        <v>1337</v>
      </c>
      <c r="D106" s="554">
        <v>19.567</v>
      </c>
      <c r="E106" s="557">
        <v>45713</v>
      </c>
      <c r="F106" s="554"/>
      <c r="G106" s="556"/>
    </row>
    <row r="107" spans="2:7" ht="15" thickBot="1">
      <c r="B107" s="552">
        <v>7</v>
      </c>
      <c r="C107" s="553" t="s">
        <v>1338</v>
      </c>
      <c r="D107" s="554">
        <v>20.273</v>
      </c>
      <c r="E107" s="557">
        <v>45691</v>
      </c>
      <c r="F107" s="554"/>
      <c r="G107" s="556"/>
    </row>
    <row r="108" spans="2:7" ht="15" thickBot="1">
      <c r="B108" s="552">
        <v>8</v>
      </c>
      <c r="C108" s="553" t="s">
        <v>1339</v>
      </c>
      <c r="D108" s="554">
        <v>3.0840000000000001</v>
      </c>
      <c r="E108" s="557">
        <v>45712</v>
      </c>
      <c r="F108" s="554"/>
      <c r="G108" s="556"/>
    </row>
    <row r="109" spans="2:7" ht="15" thickBot="1">
      <c r="B109" s="552">
        <v>9</v>
      </c>
      <c r="C109" s="553" t="s">
        <v>1340</v>
      </c>
      <c r="D109" s="554">
        <v>14.016999999999999</v>
      </c>
      <c r="E109" s="557">
        <v>45715</v>
      </c>
      <c r="F109" s="554"/>
      <c r="G109" s="556"/>
    </row>
    <row r="110" spans="2:7" ht="15" thickBot="1">
      <c r="B110" s="552">
        <v>10</v>
      </c>
      <c r="C110" s="553" t="s">
        <v>1341</v>
      </c>
      <c r="D110" s="554">
        <v>9.4949999999999992</v>
      </c>
      <c r="E110" s="557">
        <v>45722</v>
      </c>
      <c r="F110" s="554"/>
      <c r="G110" s="556"/>
    </row>
    <row r="111" spans="2:7" ht="15" thickBot="1">
      <c r="B111" s="552">
        <v>11</v>
      </c>
      <c r="C111" s="553" t="s">
        <v>1342</v>
      </c>
      <c r="D111" s="554">
        <v>8.6940000000000008</v>
      </c>
      <c r="E111" s="557">
        <v>45763</v>
      </c>
      <c r="F111" s="554"/>
      <c r="G111" s="556"/>
    </row>
    <row r="112" spans="2:7" ht="15" thickBot="1">
      <c r="B112" s="552">
        <v>12</v>
      </c>
      <c r="C112" s="553" t="s">
        <v>1343</v>
      </c>
      <c r="D112" s="554">
        <v>3.0840000000000001</v>
      </c>
      <c r="E112" s="554"/>
      <c r="F112" s="555" t="s">
        <v>1365</v>
      </c>
      <c r="G112" s="554" t="s">
        <v>1374</v>
      </c>
    </row>
    <row r="113" spans="2:7" ht="15" thickBot="1">
      <c r="B113" s="552">
        <v>13</v>
      </c>
      <c r="C113" s="553" t="s">
        <v>1345</v>
      </c>
      <c r="D113" s="554">
        <v>5.6189999999999998</v>
      </c>
      <c r="E113" s="553"/>
      <c r="F113" s="555" t="s">
        <v>1365</v>
      </c>
      <c r="G113" s="554" t="s">
        <v>1374</v>
      </c>
    </row>
    <row r="114" spans="2:7" ht="15" thickBot="1">
      <c r="B114" s="552">
        <v>14</v>
      </c>
      <c r="C114" s="553" t="s">
        <v>1346</v>
      </c>
      <c r="D114" s="554">
        <v>3.8559999999999999</v>
      </c>
      <c r="E114" s="554"/>
      <c r="F114" s="555" t="s">
        <v>1365</v>
      </c>
      <c r="G114" s="554" t="s">
        <v>1374</v>
      </c>
    </row>
    <row r="115" spans="2:7" ht="15" thickBot="1">
      <c r="B115" s="552">
        <v>15</v>
      </c>
      <c r="C115" s="553" t="s">
        <v>1347</v>
      </c>
      <c r="D115" s="554">
        <v>14.391</v>
      </c>
      <c r="E115" s="557">
        <v>45763</v>
      </c>
      <c r="F115" s="554"/>
      <c r="G115" s="556"/>
    </row>
    <row r="116" spans="2:7" ht="15" thickBot="1">
      <c r="B116" s="552">
        <v>16</v>
      </c>
      <c r="C116" s="553" t="s">
        <v>1348</v>
      </c>
      <c r="D116" s="554">
        <v>5.2679999999999998</v>
      </c>
      <c r="E116" s="554"/>
      <c r="F116" s="555" t="s">
        <v>1367</v>
      </c>
      <c r="G116" s="556" t="s">
        <v>1368</v>
      </c>
    </row>
    <row r="117" spans="2:7" ht="28.2" thickBot="1">
      <c r="B117" s="552">
        <v>17</v>
      </c>
      <c r="C117" s="553" t="s">
        <v>1350</v>
      </c>
      <c r="D117" s="554">
        <v>2.4740000000000002</v>
      </c>
      <c r="E117" s="557">
        <v>45765</v>
      </c>
      <c r="F117" s="555" t="s">
        <v>1375</v>
      </c>
      <c r="G117" s="554" t="s">
        <v>1376</v>
      </c>
    </row>
    <row r="118" spans="2:7">
      <c r="B118" s="558"/>
      <c r="C118" s="559" t="s">
        <v>445</v>
      </c>
      <c r="D118" s="560">
        <v>187.17500000000001</v>
      </c>
      <c r="E118" s="558"/>
      <c r="F118" s="558"/>
      <c r="G118" s="558"/>
    </row>
  </sheetData>
  <mergeCells count="22">
    <mergeCell ref="A89:B89"/>
    <mergeCell ref="E89:G89"/>
    <mergeCell ref="A1:S1"/>
    <mergeCell ref="A2:S2"/>
    <mergeCell ref="A3:S3"/>
    <mergeCell ref="A4:S4"/>
    <mergeCell ref="D6:D7"/>
    <mergeCell ref="E6:E7"/>
    <mergeCell ref="E11:E14"/>
    <mergeCell ref="A63:B63"/>
    <mergeCell ref="A65:G65"/>
    <mergeCell ref="C66:G66"/>
    <mergeCell ref="B76:B82"/>
    <mergeCell ref="B98:G98"/>
    <mergeCell ref="B103:B104"/>
    <mergeCell ref="D103:D104"/>
    <mergeCell ref="A90:G90"/>
    <mergeCell ref="A92:D92"/>
    <mergeCell ref="A93:D93"/>
    <mergeCell ref="A94:D94"/>
    <mergeCell ref="A95:D95"/>
    <mergeCell ref="A96:D9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7" zoomScale="90" zoomScaleNormal="85" zoomScaleSheetLayoutView="90" workbookViewId="0">
      <selection activeCell="A4" sqref="A4:AE4"/>
    </sheetView>
  </sheetViews>
  <sheetFormatPr defaultColWidth="8.77734375" defaultRowHeight="14.4"/>
  <cols>
    <col min="1" max="1" width="4.77734375" style="46" customWidth="1"/>
    <col min="2" max="2" width="20.109375" style="46" bestFit="1" customWidth="1"/>
    <col min="3" max="3" width="18.5546875" style="46" customWidth="1"/>
    <col min="4" max="4" width="13.5546875" style="46" customWidth="1"/>
    <col min="5" max="5" width="37.21875" style="46" bestFit="1" customWidth="1"/>
    <col min="6" max="6" width="26" style="46" customWidth="1"/>
    <col min="7" max="7" width="43.88671875" style="46" customWidth="1"/>
    <col min="8" max="8" width="74.77734375" style="46" bestFit="1" customWidth="1"/>
    <col min="9" max="9" width="43.21875" style="46" bestFit="1" customWidth="1"/>
    <col min="10" max="10" width="9" style="46" bestFit="1" customWidth="1"/>
    <col min="11" max="11" width="6.33203125" style="46" customWidth="1"/>
    <col min="12" max="12" width="7.44140625" style="46" customWidth="1"/>
    <col min="13" max="13" width="6.5546875" style="46" customWidth="1"/>
    <col min="14" max="14" width="8.21875" style="46" customWidth="1"/>
    <col min="15" max="15" width="10.33203125" style="46" customWidth="1"/>
    <col min="16" max="16" width="6.5546875" style="46" customWidth="1"/>
    <col min="17" max="17" width="6.88671875" style="46" customWidth="1"/>
    <col min="18" max="27" width="5.21875" style="46" customWidth="1"/>
    <col min="28" max="28" width="10.77734375" style="46" customWidth="1"/>
    <col min="29" max="29" width="8.77734375" style="46"/>
    <col min="30" max="30" width="9.33203125" style="46" customWidth="1"/>
    <col min="31" max="16384" width="8.77734375" style="46"/>
  </cols>
  <sheetData>
    <row r="1" spans="1:31" ht="15.6">
      <c r="A1" s="1271" t="s">
        <v>48</v>
      </c>
      <c r="B1" s="1272"/>
      <c r="C1" s="1272"/>
      <c r="D1" s="1272"/>
      <c r="E1" s="1272"/>
      <c r="F1" s="1272"/>
      <c r="G1" s="1272"/>
      <c r="H1" s="1272"/>
      <c r="I1" s="1272"/>
      <c r="J1" s="1272"/>
      <c r="K1" s="1272"/>
      <c r="L1" s="1272"/>
      <c r="M1" s="1272"/>
      <c r="N1" s="1272"/>
      <c r="O1" s="1272"/>
      <c r="P1" s="1272"/>
      <c r="Q1" s="1272"/>
      <c r="R1" s="1272"/>
      <c r="S1" s="1272"/>
      <c r="T1" s="1272"/>
      <c r="U1" s="1272"/>
      <c r="V1" s="1272"/>
      <c r="W1" s="1272"/>
      <c r="X1" s="1272"/>
      <c r="Y1" s="1272"/>
      <c r="Z1" s="1272"/>
      <c r="AA1" s="1272"/>
      <c r="AB1" s="1272"/>
      <c r="AC1" s="1272"/>
      <c r="AD1" s="1272"/>
      <c r="AE1" s="1273"/>
    </row>
    <row r="2" spans="1:31" ht="15.6">
      <c r="A2" s="1274" t="s">
        <v>49</v>
      </c>
      <c r="B2" s="1275"/>
      <c r="C2" s="1275"/>
      <c r="D2" s="1275"/>
      <c r="E2" s="1275"/>
      <c r="F2" s="1275"/>
      <c r="G2" s="1275"/>
      <c r="H2" s="1275"/>
      <c r="I2" s="1275"/>
      <c r="J2" s="1275"/>
      <c r="K2" s="1275"/>
      <c r="L2" s="1275"/>
      <c r="M2" s="1275"/>
      <c r="N2" s="1275"/>
      <c r="O2" s="1275"/>
      <c r="P2" s="1275"/>
      <c r="Q2" s="1275"/>
      <c r="R2" s="1275"/>
      <c r="S2" s="1275"/>
      <c r="T2" s="1275"/>
      <c r="U2" s="1275"/>
      <c r="V2" s="1275"/>
      <c r="W2" s="1275"/>
      <c r="X2" s="1275"/>
      <c r="Y2" s="1275"/>
      <c r="Z2" s="1275"/>
      <c r="AA2" s="1275"/>
      <c r="AB2" s="1275"/>
      <c r="AC2" s="1275"/>
      <c r="AD2" s="1275"/>
      <c r="AE2" s="1276"/>
    </row>
    <row r="3" spans="1:31" ht="15.6">
      <c r="A3" s="1277" t="s">
        <v>50</v>
      </c>
      <c r="B3" s="1278"/>
      <c r="C3" s="1278"/>
      <c r="D3" s="1278"/>
      <c r="E3" s="1278"/>
      <c r="F3" s="1278"/>
      <c r="G3" s="1278"/>
      <c r="H3" s="1278"/>
      <c r="I3" s="1278"/>
      <c r="J3" s="1278"/>
      <c r="K3" s="1278"/>
      <c r="L3" s="1278"/>
      <c r="M3" s="1278"/>
      <c r="N3" s="1278"/>
      <c r="O3" s="1278"/>
      <c r="P3" s="1278"/>
      <c r="Q3" s="1278"/>
      <c r="R3" s="1278"/>
      <c r="S3" s="1278"/>
      <c r="T3" s="1278"/>
      <c r="U3" s="1278"/>
      <c r="V3" s="1278"/>
      <c r="W3" s="1278"/>
      <c r="X3" s="1278"/>
      <c r="Y3" s="1278"/>
      <c r="Z3" s="1278"/>
      <c r="AA3" s="1278"/>
      <c r="AB3" s="1278"/>
      <c r="AC3" s="1278"/>
      <c r="AD3" s="1278"/>
      <c r="AE3" s="1279"/>
    </row>
    <row r="4" spans="1:31" ht="18">
      <c r="A4" s="1280" t="s">
        <v>51</v>
      </c>
      <c r="B4" s="1281"/>
      <c r="C4" s="1281"/>
      <c r="D4" s="1281"/>
      <c r="E4" s="1281"/>
      <c r="F4" s="1281"/>
      <c r="G4" s="1281"/>
      <c r="H4" s="1281"/>
      <c r="I4" s="1281"/>
      <c r="J4" s="1281"/>
      <c r="K4" s="1281"/>
      <c r="L4" s="1281"/>
      <c r="M4" s="1281"/>
      <c r="N4" s="1281"/>
      <c r="O4" s="1281"/>
      <c r="P4" s="1281"/>
      <c r="Q4" s="1281"/>
      <c r="R4" s="1281"/>
      <c r="S4" s="1281"/>
      <c r="T4" s="1281"/>
      <c r="U4" s="1281"/>
      <c r="V4" s="1281"/>
      <c r="W4" s="1281"/>
      <c r="X4" s="1281"/>
      <c r="Y4" s="1281"/>
      <c r="Z4" s="1281"/>
      <c r="AA4" s="1281"/>
      <c r="AB4" s="1281"/>
      <c r="AC4" s="1281"/>
      <c r="AD4" s="1281"/>
      <c r="AE4" s="1282"/>
    </row>
    <row r="5" spans="1:31" ht="28.8" hidden="1">
      <c r="A5" s="345" t="s">
        <v>52</v>
      </c>
      <c r="B5" s="345" t="s">
        <v>53</v>
      </c>
      <c r="C5" s="345" t="s">
        <v>54</v>
      </c>
      <c r="D5" s="345" t="s">
        <v>55</v>
      </c>
      <c r="E5" s="345" t="s">
        <v>56</v>
      </c>
      <c r="F5" s="345" t="s">
        <v>20</v>
      </c>
    </row>
    <row r="6" spans="1:31" hidden="1">
      <c r="A6" s="76">
        <v>1</v>
      </c>
      <c r="B6" s="76" t="s">
        <v>57</v>
      </c>
      <c r="C6" s="76">
        <v>2.653</v>
      </c>
      <c r="D6" s="1259">
        <v>45684</v>
      </c>
      <c r="E6" s="1259">
        <v>45691</v>
      </c>
      <c r="F6" s="76" t="s">
        <v>58</v>
      </c>
    </row>
    <row r="7" spans="1:31" hidden="1">
      <c r="A7" s="76">
        <f>A6+1</f>
        <v>2</v>
      </c>
      <c r="B7" s="76" t="s">
        <v>59</v>
      </c>
      <c r="C7" s="76">
        <v>5.31</v>
      </c>
      <c r="D7" s="1262"/>
      <c r="E7" s="1262"/>
      <c r="F7" s="76" t="s">
        <v>58</v>
      </c>
    </row>
    <row r="8" spans="1:31" ht="43.2" hidden="1">
      <c r="A8" s="76">
        <f t="shared" ref="A8:A32" si="0">A7+1</f>
        <v>3</v>
      </c>
      <c r="B8" s="76" t="s">
        <v>60</v>
      </c>
      <c r="C8" s="76">
        <v>19.672000000000001</v>
      </c>
      <c r="D8" s="481" t="s">
        <v>1088</v>
      </c>
      <c r="E8" s="480">
        <v>45713</v>
      </c>
      <c r="F8" s="76" t="s">
        <v>58</v>
      </c>
      <c r="G8" s="482" t="s">
        <v>61</v>
      </c>
      <c r="H8" s="349" t="s">
        <v>62</v>
      </c>
      <c r="I8" s="76">
        <f>G63</f>
        <v>97.59</v>
      </c>
      <c r="J8" s="76"/>
      <c r="K8" s="76"/>
      <c r="L8" s="76"/>
      <c r="M8" s="76"/>
    </row>
    <row r="9" spans="1:31" hidden="1">
      <c r="A9" s="76">
        <f t="shared" si="0"/>
        <v>4</v>
      </c>
      <c r="B9" s="76" t="s">
        <v>63</v>
      </c>
      <c r="C9" s="76">
        <v>20.273</v>
      </c>
      <c r="D9" s="483">
        <v>45657</v>
      </c>
      <c r="E9" s="480">
        <v>45691</v>
      </c>
      <c r="F9" s="76" t="s">
        <v>58</v>
      </c>
      <c r="H9" s="349"/>
      <c r="I9" s="76"/>
      <c r="J9" s="76"/>
      <c r="K9" s="76"/>
      <c r="L9" s="76"/>
      <c r="M9" s="76"/>
    </row>
    <row r="10" spans="1:31" ht="28.8" hidden="1">
      <c r="A10" s="76">
        <f t="shared" si="0"/>
        <v>5</v>
      </c>
      <c r="B10" s="76" t="s">
        <v>64</v>
      </c>
      <c r="C10" s="76">
        <v>3.0840000000000001</v>
      </c>
      <c r="D10" s="484" t="s">
        <v>1087</v>
      </c>
      <c r="E10" s="480">
        <v>45712</v>
      </c>
      <c r="F10" s="76" t="s">
        <v>58</v>
      </c>
      <c r="H10" s="349" t="s">
        <v>65</v>
      </c>
      <c r="I10" s="520">
        <f>D63</f>
        <v>151.91599999999997</v>
      </c>
      <c r="J10" s="76"/>
      <c r="K10" s="76"/>
      <c r="L10" s="76"/>
      <c r="M10" s="76"/>
    </row>
    <row r="11" spans="1:31" hidden="1">
      <c r="A11" s="76">
        <f t="shared" si="0"/>
        <v>6</v>
      </c>
      <c r="B11" s="76" t="s">
        <v>66</v>
      </c>
      <c r="C11" s="76">
        <v>1.0629999999999999</v>
      </c>
      <c r="D11" s="483">
        <v>45713</v>
      </c>
      <c r="E11" s="1259">
        <v>45715</v>
      </c>
      <c r="F11" s="76" t="s">
        <v>58</v>
      </c>
      <c r="H11" s="496"/>
      <c r="I11" s="76"/>
      <c r="J11" s="349"/>
      <c r="K11" s="76"/>
      <c r="L11" s="76"/>
      <c r="M11" s="76"/>
    </row>
    <row r="12" spans="1:31" hidden="1">
      <c r="A12" s="76">
        <f>A11+1</f>
        <v>7</v>
      </c>
      <c r="B12" s="76" t="s">
        <v>67</v>
      </c>
      <c r="C12" s="76">
        <v>2.09</v>
      </c>
      <c r="D12" s="483">
        <v>45713</v>
      </c>
      <c r="E12" s="1261"/>
      <c r="F12" s="76" t="s">
        <v>58</v>
      </c>
    </row>
    <row r="13" spans="1:31" hidden="1">
      <c r="A13" s="76">
        <f t="shared" si="0"/>
        <v>8</v>
      </c>
      <c r="B13" s="76" t="s">
        <v>68</v>
      </c>
      <c r="C13" s="76">
        <v>3.8929999999999998</v>
      </c>
      <c r="D13" s="483">
        <v>45713</v>
      </c>
      <c r="E13" s="1261"/>
      <c r="F13" s="76" t="s">
        <v>58</v>
      </c>
    </row>
    <row r="14" spans="1:31" hidden="1">
      <c r="A14" s="76">
        <f t="shared" si="0"/>
        <v>9</v>
      </c>
      <c r="B14" s="76" t="s">
        <v>69</v>
      </c>
      <c r="C14" s="76">
        <v>6.9710000000000001</v>
      </c>
      <c r="D14" s="483">
        <v>45713</v>
      </c>
      <c r="E14" s="1262"/>
      <c r="F14" s="76" t="s">
        <v>58</v>
      </c>
    </row>
    <row r="15" spans="1:31" hidden="1">
      <c r="A15" s="76">
        <f t="shared" si="0"/>
        <v>10</v>
      </c>
      <c r="B15" s="76" t="s">
        <v>70</v>
      </c>
      <c r="C15" s="76">
        <v>9.4949999999999992</v>
      </c>
      <c r="D15" s="483">
        <v>45721</v>
      </c>
      <c r="E15" s="480">
        <v>45722</v>
      </c>
      <c r="F15" s="76" t="s">
        <v>58</v>
      </c>
    </row>
    <row r="16" spans="1:31" ht="43.2" hidden="1">
      <c r="A16" s="76">
        <f t="shared" si="0"/>
        <v>11</v>
      </c>
      <c r="B16" s="76" t="s">
        <v>71</v>
      </c>
      <c r="C16" s="76">
        <v>8.6969999999999992</v>
      </c>
      <c r="D16" s="481" t="s">
        <v>1089</v>
      </c>
      <c r="E16" s="76"/>
      <c r="F16" s="76" t="s">
        <v>65</v>
      </c>
      <c r="G16" s="485" t="s">
        <v>1122</v>
      </c>
    </row>
    <row r="17" spans="1:14" hidden="1">
      <c r="A17" s="76">
        <f t="shared" si="0"/>
        <v>12</v>
      </c>
      <c r="B17" s="76" t="s">
        <v>72</v>
      </c>
      <c r="C17" s="76">
        <v>3.0840000000000001</v>
      </c>
      <c r="D17" s="76"/>
      <c r="E17" s="76"/>
      <c r="F17" s="504" t="s">
        <v>65</v>
      </c>
    </row>
    <row r="18" spans="1:14" hidden="1">
      <c r="A18" s="76">
        <f t="shared" si="0"/>
        <v>13</v>
      </c>
      <c r="B18" s="66" t="s">
        <v>74</v>
      </c>
      <c r="C18" s="76">
        <v>3.9630000000000001</v>
      </c>
      <c r="D18" s="76"/>
      <c r="E18" s="76"/>
      <c r="F18" s="504" t="s">
        <v>65</v>
      </c>
      <c r="G18" s="348"/>
      <c r="H18" s="1283"/>
    </row>
    <row r="19" spans="1:14" hidden="1">
      <c r="A19" s="76">
        <f t="shared" si="0"/>
        <v>14</v>
      </c>
      <c r="B19" s="511" t="s">
        <v>1079</v>
      </c>
      <c r="C19" s="76">
        <v>1.6559999999999999</v>
      </c>
      <c r="D19" s="76"/>
      <c r="E19" s="76"/>
      <c r="F19" s="504" t="s">
        <v>65</v>
      </c>
      <c r="G19" s="348"/>
      <c r="H19" s="1283"/>
    </row>
    <row r="20" spans="1:14" hidden="1">
      <c r="A20" s="76">
        <f t="shared" si="0"/>
        <v>15</v>
      </c>
      <c r="B20" s="511" t="s">
        <v>1080</v>
      </c>
      <c r="C20" s="76">
        <v>1.635</v>
      </c>
      <c r="D20" s="76"/>
      <c r="E20" s="76"/>
      <c r="F20" s="504" t="s">
        <v>65</v>
      </c>
    </row>
    <row r="21" spans="1:14" hidden="1">
      <c r="A21" s="76">
        <f t="shared" si="0"/>
        <v>16</v>
      </c>
      <c r="B21" s="76" t="s">
        <v>1076</v>
      </c>
      <c r="C21" s="76">
        <v>2.2210000000000001</v>
      </c>
      <c r="D21" s="76"/>
      <c r="E21" s="76"/>
      <c r="F21" s="504" t="s">
        <v>65</v>
      </c>
    </row>
    <row r="22" spans="1:14" ht="57.6" hidden="1">
      <c r="A22" s="76">
        <f t="shared" si="0"/>
        <v>17</v>
      </c>
      <c r="B22" s="76" t="s">
        <v>1075</v>
      </c>
      <c r="C22" s="76">
        <v>10.724</v>
      </c>
      <c r="D22" s="517" t="s">
        <v>1289</v>
      </c>
      <c r="E22" s="76"/>
      <c r="F22" s="76" t="s">
        <v>65</v>
      </c>
      <c r="G22" s="485" t="s">
        <v>1122</v>
      </c>
    </row>
    <row r="23" spans="1:14" ht="56.55" hidden="1" customHeight="1">
      <c r="A23" s="76">
        <f t="shared" si="0"/>
        <v>18</v>
      </c>
      <c r="B23" s="486" t="s">
        <v>1073</v>
      </c>
      <c r="C23" s="76">
        <v>3.6659999999999999</v>
      </c>
      <c r="D23" s="517" t="s">
        <v>1290</v>
      </c>
      <c r="E23" s="76"/>
      <c r="F23" s="76" t="s">
        <v>65</v>
      </c>
      <c r="G23" s="485" t="s">
        <v>1122</v>
      </c>
      <c r="M23" s="401" t="s">
        <v>1078</v>
      </c>
      <c r="N23" s="46">
        <f>187.176-M11</f>
        <v>187.17599999999999</v>
      </c>
    </row>
    <row r="24" spans="1:14" hidden="1">
      <c r="A24" s="76">
        <f t="shared" si="0"/>
        <v>19</v>
      </c>
      <c r="B24" s="519" t="s">
        <v>1293</v>
      </c>
      <c r="C24" s="497">
        <v>4.88</v>
      </c>
      <c r="D24" s="76"/>
      <c r="E24" s="76"/>
      <c r="F24" s="518" t="s">
        <v>65</v>
      </c>
    </row>
    <row r="25" spans="1:14" hidden="1">
      <c r="A25" s="76">
        <f t="shared" si="0"/>
        <v>20</v>
      </c>
      <c r="B25" s="491" t="s">
        <v>1261</v>
      </c>
      <c r="C25" s="76">
        <v>2.4740000000000002</v>
      </c>
      <c r="D25" s="483">
        <v>45765</v>
      </c>
      <c r="E25" s="76"/>
      <c r="F25" s="76" t="s">
        <v>65</v>
      </c>
    </row>
    <row r="26" spans="1:14" hidden="1">
      <c r="A26" s="76">
        <f t="shared" si="0"/>
        <v>21</v>
      </c>
      <c r="B26" s="487" t="s">
        <v>1094</v>
      </c>
      <c r="C26" s="76">
        <v>0.27500000000000002</v>
      </c>
      <c r="D26" s="483">
        <v>45752</v>
      </c>
      <c r="E26" s="76"/>
      <c r="F26" s="76" t="s">
        <v>65</v>
      </c>
    </row>
    <row r="27" spans="1:14" hidden="1">
      <c r="A27" s="76">
        <f t="shared" si="0"/>
        <v>22</v>
      </c>
      <c r="B27" s="488" t="s">
        <v>1074</v>
      </c>
      <c r="C27" s="76">
        <v>2.008</v>
      </c>
      <c r="D27" s="483">
        <v>45752</v>
      </c>
      <c r="E27" s="76"/>
      <c r="F27" s="76" t="s">
        <v>65</v>
      </c>
    </row>
    <row r="28" spans="1:14" hidden="1">
      <c r="A28" s="76">
        <f t="shared" si="0"/>
        <v>23</v>
      </c>
      <c r="B28" s="487" t="s">
        <v>1091</v>
      </c>
      <c r="C28" s="76">
        <v>0.223</v>
      </c>
      <c r="D28" s="483">
        <v>45752</v>
      </c>
      <c r="E28" s="76"/>
      <c r="F28" s="76" t="s">
        <v>65</v>
      </c>
    </row>
    <row r="29" spans="1:14" hidden="1">
      <c r="A29" s="76">
        <f t="shared" si="0"/>
        <v>24</v>
      </c>
      <c r="B29" s="489" t="s">
        <v>1077</v>
      </c>
      <c r="C29" s="76">
        <v>2.7309999999999999</v>
      </c>
      <c r="D29" s="483">
        <v>45752</v>
      </c>
      <c r="E29" s="76"/>
      <c r="F29" s="76" t="s">
        <v>65</v>
      </c>
    </row>
    <row r="30" spans="1:14" hidden="1">
      <c r="A30" s="76">
        <f t="shared" si="0"/>
        <v>25</v>
      </c>
      <c r="B30" s="487" t="s">
        <v>1093</v>
      </c>
      <c r="C30" s="76">
        <v>1.7170000000000001</v>
      </c>
      <c r="D30" s="483">
        <v>45752</v>
      </c>
      <c r="E30" s="76"/>
      <c r="F30" s="76" t="s">
        <v>65</v>
      </c>
    </row>
    <row r="31" spans="1:14" hidden="1">
      <c r="A31" s="76">
        <f t="shared" si="0"/>
        <v>26</v>
      </c>
      <c r="B31" s="487" t="s">
        <v>1092</v>
      </c>
      <c r="C31" s="76">
        <v>1.0680000000000001</v>
      </c>
      <c r="D31" s="483">
        <v>45752</v>
      </c>
      <c r="E31" s="76"/>
      <c r="F31" s="76" t="s">
        <v>65</v>
      </c>
    </row>
    <row r="32" spans="1:14" hidden="1">
      <c r="A32" s="76">
        <f t="shared" si="0"/>
        <v>27</v>
      </c>
      <c r="B32" s="487" t="s">
        <v>1090</v>
      </c>
      <c r="C32" s="76">
        <v>2.8730000000000002</v>
      </c>
      <c r="D32" s="483">
        <v>45752</v>
      </c>
      <c r="E32" s="76"/>
      <c r="F32" s="76" t="s">
        <v>65</v>
      </c>
    </row>
    <row r="33" spans="1:9" hidden="1">
      <c r="A33" s="76"/>
      <c r="B33" s="487"/>
      <c r="C33" s="76"/>
      <c r="D33" s="483"/>
      <c r="E33" s="76"/>
      <c r="F33" s="76"/>
    </row>
    <row r="34" spans="1:9" hidden="1">
      <c r="A34" s="76">
        <f>A32+1</f>
        <v>28</v>
      </c>
      <c r="B34" s="504" t="s">
        <v>1284</v>
      </c>
      <c r="C34" s="76">
        <v>19.57</v>
      </c>
      <c r="D34" s="516" t="s">
        <v>1288</v>
      </c>
      <c r="E34" s="76"/>
      <c r="F34" s="504" t="s">
        <v>1283</v>
      </c>
    </row>
    <row r="35" spans="1:9" hidden="1">
      <c r="A35" s="76">
        <f>A34+1</f>
        <v>29</v>
      </c>
      <c r="B35" s="500" t="s">
        <v>1267</v>
      </c>
      <c r="C35" s="494">
        <v>2.6179999999999999</v>
      </c>
      <c r="D35" s="483">
        <v>45781</v>
      </c>
      <c r="E35" s="76"/>
      <c r="F35" s="66" t="s">
        <v>73</v>
      </c>
    </row>
    <row r="36" spans="1:9" hidden="1">
      <c r="A36" s="76">
        <f>A35+1</f>
        <v>30</v>
      </c>
      <c r="B36" s="516" t="s">
        <v>1287</v>
      </c>
      <c r="C36" s="76">
        <v>18.193000000000001</v>
      </c>
      <c r="D36" s="483">
        <v>45805</v>
      </c>
      <c r="E36" s="76"/>
      <c r="F36" s="515" t="s">
        <v>73</v>
      </c>
      <c r="I36" s="46">
        <f>155.849-130.528</f>
        <v>25.320999999999998</v>
      </c>
    </row>
    <row r="37" spans="1:9" hidden="1">
      <c r="A37" s="76"/>
      <c r="B37" s="516"/>
      <c r="C37" s="76"/>
      <c r="D37" s="483"/>
      <c r="E37" s="76"/>
      <c r="F37" s="515"/>
    </row>
    <row r="38" spans="1:9" hidden="1">
      <c r="A38" s="76"/>
      <c r="B38" s="502"/>
      <c r="C38" s="76"/>
      <c r="D38" s="483"/>
      <c r="E38" s="76"/>
      <c r="F38" s="515"/>
    </row>
    <row r="39" spans="1:9" s="348" customFormat="1" hidden="1">
      <c r="A39" s="349"/>
      <c r="B39" s="349" t="s">
        <v>75</v>
      </c>
      <c r="C39" s="349">
        <f>SUM(C6:C36)</f>
        <v>168.78000000000003</v>
      </c>
      <c r="D39" s="349"/>
      <c r="E39" s="349"/>
      <c r="F39" s="349"/>
    </row>
    <row r="40" spans="1:9" s="348" customFormat="1" hidden="1"/>
    <row r="41" spans="1:9" s="348" customFormat="1" hidden="1"/>
    <row r="42" spans="1:9" s="348" customFormat="1" hidden="1"/>
    <row r="43" spans="1:9" hidden="1">
      <c r="B43" s="348" t="s">
        <v>1262</v>
      </c>
    </row>
    <row r="44" spans="1:9" ht="28.8" hidden="1">
      <c r="A44" s="346" t="s">
        <v>1095</v>
      </c>
      <c r="B44" s="346" t="s">
        <v>53</v>
      </c>
      <c r="C44" s="408" t="s">
        <v>1096</v>
      </c>
      <c r="D44" s="408" t="s">
        <v>1097</v>
      </c>
      <c r="E44" s="408" t="s">
        <v>1098</v>
      </c>
      <c r="F44" s="408" t="s">
        <v>1099</v>
      </c>
      <c r="G44" s="408" t="s">
        <v>1097</v>
      </c>
      <c r="H44" s="346" t="s">
        <v>1100</v>
      </c>
      <c r="I44" s="346" t="s">
        <v>20</v>
      </c>
    </row>
    <row r="45" spans="1:9" hidden="1">
      <c r="A45" s="314">
        <v>1</v>
      </c>
      <c r="B45" s="314" t="s">
        <v>1101</v>
      </c>
      <c r="C45" s="409">
        <v>45657</v>
      </c>
      <c r="D45" s="410">
        <v>20.273</v>
      </c>
      <c r="E45" s="409" t="s">
        <v>1102</v>
      </c>
      <c r="F45" s="411">
        <v>45691</v>
      </c>
      <c r="G45" s="410">
        <v>20.273</v>
      </c>
      <c r="H45" s="310" t="s">
        <v>1103</v>
      </c>
      <c r="I45" s="310"/>
    </row>
    <row r="46" spans="1:9" hidden="1">
      <c r="A46" s="314">
        <f>A45+1</f>
        <v>2</v>
      </c>
      <c r="B46" s="314" t="s">
        <v>1104</v>
      </c>
      <c r="C46" s="409">
        <v>45684</v>
      </c>
      <c r="D46" s="410">
        <v>7.9619999999999997</v>
      </c>
      <c r="E46" s="409" t="s">
        <v>1105</v>
      </c>
      <c r="F46" s="411">
        <v>45691</v>
      </c>
      <c r="G46" s="410">
        <v>7.9619999999999997</v>
      </c>
      <c r="H46" s="310" t="s">
        <v>1103</v>
      </c>
      <c r="I46" s="310"/>
    </row>
    <row r="47" spans="1:9" hidden="1">
      <c r="A47" s="314">
        <f t="shared" ref="A47:A56" si="1">A46+1</f>
        <v>3</v>
      </c>
      <c r="B47" s="314" t="s">
        <v>1106</v>
      </c>
      <c r="C47" s="409">
        <v>45709</v>
      </c>
      <c r="D47" s="410">
        <v>3.0840000000000001</v>
      </c>
      <c r="E47" s="409" t="s">
        <v>1107</v>
      </c>
      <c r="F47" s="411">
        <v>45712</v>
      </c>
      <c r="G47" s="410">
        <v>3.0840000000000001</v>
      </c>
      <c r="H47" s="310" t="s">
        <v>1103</v>
      </c>
      <c r="I47" s="310" t="s">
        <v>1108</v>
      </c>
    </row>
    <row r="48" spans="1:9" hidden="1">
      <c r="A48" s="314">
        <f t="shared" si="1"/>
        <v>4</v>
      </c>
      <c r="B48" s="314" t="s">
        <v>1109</v>
      </c>
      <c r="C48" s="409">
        <v>45703</v>
      </c>
      <c r="D48" s="410">
        <v>19.672000000000001</v>
      </c>
      <c r="E48" s="409" t="s">
        <v>1110</v>
      </c>
      <c r="F48" s="411">
        <v>45713</v>
      </c>
      <c r="G48" s="410">
        <v>19.672000000000001</v>
      </c>
      <c r="H48" s="310" t="s">
        <v>1103</v>
      </c>
      <c r="I48" s="310" t="s">
        <v>1111</v>
      </c>
    </row>
    <row r="49" spans="1:9" hidden="1">
      <c r="A49" s="314">
        <f t="shared" si="1"/>
        <v>5</v>
      </c>
      <c r="B49" s="314" t="s">
        <v>1112</v>
      </c>
      <c r="C49" s="409">
        <v>45713</v>
      </c>
      <c r="D49" s="410">
        <v>14.016999999999999</v>
      </c>
      <c r="E49" s="409" t="s">
        <v>1113</v>
      </c>
      <c r="F49" s="411">
        <v>45715</v>
      </c>
      <c r="G49" s="410">
        <v>14.016999999999999</v>
      </c>
      <c r="H49" s="310" t="s">
        <v>1103</v>
      </c>
      <c r="I49" s="310"/>
    </row>
    <row r="50" spans="1:9" hidden="1">
      <c r="A50" s="314">
        <f t="shared" si="1"/>
        <v>6</v>
      </c>
      <c r="B50" s="314" t="s">
        <v>1114</v>
      </c>
      <c r="C50" s="409">
        <v>45721</v>
      </c>
      <c r="D50" s="410">
        <v>9.4949999999999992</v>
      </c>
      <c r="E50" s="409" t="s">
        <v>1115</v>
      </c>
      <c r="F50" s="411">
        <v>45722</v>
      </c>
      <c r="G50" s="410">
        <v>9.4949999999999992</v>
      </c>
      <c r="H50" s="310" t="s">
        <v>1103</v>
      </c>
      <c r="I50" s="310"/>
    </row>
    <row r="51" spans="1:9" hidden="1">
      <c r="A51" s="314">
        <f t="shared" si="1"/>
        <v>7</v>
      </c>
      <c r="B51" s="314" t="s">
        <v>1116</v>
      </c>
      <c r="C51" s="409">
        <v>45751</v>
      </c>
      <c r="D51" s="410">
        <v>8.6969999999999992</v>
      </c>
      <c r="E51" s="495" t="s">
        <v>1266</v>
      </c>
      <c r="F51" s="411">
        <v>45732</v>
      </c>
      <c r="G51" s="410">
        <v>8.6969999999999992</v>
      </c>
      <c r="H51" s="310" t="s">
        <v>1103</v>
      </c>
      <c r="I51" s="310" t="s">
        <v>1117</v>
      </c>
    </row>
    <row r="52" spans="1:9" hidden="1">
      <c r="A52" s="314">
        <f t="shared" si="1"/>
        <v>8</v>
      </c>
      <c r="B52" s="314" t="s">
        <v>1118</v>
      </c>
      <c r="C52" s="409">
        <v>45742</v>
      </c>
      <c r="D52" s="410">
        <v>14.39</v>
      </c>
      <c r="E52" s="409" t="s">
        <v>1119</v>
      </c>
      <c r="F52" s="411">
        <v>45732</v>
      </c>
      <c r="G52" s="410">
        <v>14.39</v>
      </c>
      <c r="H52" s="310" t="s">
        <v>1103</v>
      </c>
      <c r="I52" s="310" t="s">
        <v>1120</v>
      </c>
    </row>
    <row r="53" spans="1:9" hidden="1">
      <c r="A53" s="314">
        <f t="shared" si="1"/>
        <v>9</v>
      </c>
      <c r="B53" s="573" t="s">
        <v>1124</v>
      </c>
      <c r="C53" s="409">
        <v>45752</v>
      </c>
      <c r="D53" s="410">
        <v>10.894</v>
      </c>
      <c r="E53" s="409" t="s">
        <v>1125</v>
      </c>
      <c r="F53" s="410"/>
      <c r="G53" s="410"/>
      <c r="H53" s="310"/>
      <c r="I53" s="310"/>
    </row>
    <row r="54" spans="1:9" ht="28.8" hidden="1">
      <c r="A54" s="314">
        <f t="shared" si="1"/>
        <v>10</v>
      </c>
      <c r="B54" s="573" t="s">
        <v>1123</v>
      </c>
      <c r="C54" s="501" t="s">
        <v>1274</v>
      </c>
      <c r="D54" s="410">
        <v>19.57</v>
      </c>
      <c r="E54" s="503" t="s">
        <v>1278</v>
      </c>
      <c r="F54" s="410"/>
      <c r="G54" s="410"/>
      <c r="H54" s="310"/>
      <c r="I54" s="310" t="s">
        <v>1275</v>
      </c>
    </row>
    <row r="55" spans="1:9" hidden="1">
      <c r="A55" s="314">
        <f t="shared" si="1"/>
        <v>11</v>
      </c>
      <c r="B55" s="314" t="s">
        <v>1259</v>
      </c>
      <c r="C55" s="409">
        <v>45765</v>
      </c>
      <c r="D55" s="410">
        <v>2.4740000000000002</v>
      </c>
      <c r="E55" s="409" t="s">
        <v>1260</v>
      </c>
      <c r="F55" s="410"/>
      <c r="G55" s="410"/>
      <c r="H55" s="310"/>
      <c r="I55" s="310"/>
    </row>
    <row r="56" spans="1:9" hidden="1">
      <c r="A56" s="314">
        <f t="shared" si="1"/>
        <v>12</v>
      </c>
      <c r="B56" s="573" t="s">
        <v>1271</v>
      </c>
      <c r="C56" s="409">
        <v>45787</v>
      </c>
      <c r="D56" s="410">
        <v>3.0840000000000001</v>
      </c>
      <c r="E56" s="409" t="s">
        <v>1272</v>
      </c>
      <c r="F56" s="410"/>
      <c r="G56" s="410"/>
      <c r="H56" s="310"/>
      <c r="I56" s="523" t="s">
        <v>1294</v>
      </c>
    </row>
    <row r="57" spans="1:9" hidden="1">
      <c r="A57" s="314">
        <f>A56+1</f>
        <v>13</v>
      </c>
      <c r="B57" s="573" t="s">
        <v>1298</v>
      </c>
      <c r="C57" s="409">
        <v>45787</v>
      </c>
      <c r="D57" s="410">
        <v>2.2200000000000002</v>
      </c>
      <c r="E57" s="409" t="s">
        <v>1272</v>
      </c>
      <c r="F57" s="410"/>
      <c r="G57" s="410"/>
      <c r="H57" s="310"/>
      <c r="I57" s="523" t="s">
        <v>1294</v>
      </c>
    </row>
    <row r="58" spans="1:9" hidden="1">
      <c r="A58" s="314">
        <f>A57+1</f>
        <v>14</v>
      </c>
      <c r="B58" s="574" t="s">
        <v>1295</v>
      </c>
      <c r="C58" s="409">
        <v>45802</v>
      </c>
      <c r="D58" s="410">
        <v>5.6189999999999998</v>
      </c>
      <c r="E58" s="523" t="s">
        <v>1302</v>
      </c>
      <c r="F58" s="410"/>
      <c r="G58" s="410"/>
      <c r="H58" s="310"/>
      <c r="I58" s="512" t="s">
        <v>1292</v>
      </c>
    </row>
    <row r="59" spans="1:9" hidden="1">
      <c r="A59" s="314">
        <f>A58+1</f>
        <v>15</v>
      </c>
      <c r="B59" s="513" t="s">
        <v>1276</v>
      </c>
      <c r="C59" s="409">
        <v>45794</v>
      </c>
      <c r="D59" s="410">
        <v>3.95</v>
      </c>
      <c r="E59" s="503" t="s">
        <v>1277</v>
      </c>
      <c r="F59" s="411">
        <v>45810</v>
      </c>
      <c r="G59" s="410"/>
      <c r="H59" s="310"/>
      <c r="I59" s="512" t="s">
        <v>1275</v>
      </c>
    </row>
    <row r="60" spans="1:9" hidden="1">
      <c r="A60" s="314">
        <f>A59+1</f>
        <v>16</v>
      </c>
      <c r="B60" s="574" t="s">
        <v>1296</v>
      </c>
      <c r="C60" s="409">
        <v>45802</v>
      </c>
      <c r="D60" s="410">
        <v>1.635</v>
      </c>
      <c r="E60" s="409" t="s">
        <v>1297</v>
      </c>
      <c r="F60" s="410"/>
      <c r="G60" s="410"/>
      <c r="H60" s="310"/>
      <c r="I60" s="512" t="s">
        <v>1292</v>
      </c>
    </row>
    <row r="61" spans="1:9" hidden="1">
      <c r="A61" s="314">
        <f>A60+1</f>
        <v>17</v>
      </c>
      <c r="B61" s="575" t="s">
        <v>1291</v>
      </c>
      <c r="C61" s="409">
        <v>45802</v>
      </c>
      <c r="D61" s="410">
        <v>4.88</v>
      </c>
      <c r="E61" s="503"/>
      <c r="F61" s="410"/>
      <c r="G61" s="410"/>
      <c r="H61" s="310"/>
      <c r="I61" s="512" t="s">
        <v>1292</v>
      </c>
    </row>
    <row r="62" spans="1:9" hidden="1">
      <c r="A62" s="314"/>
      <c r="B62" s="492"/>
      <c r="C62" s="409"/>
      <c r="D62" s="410"/>
      <c r="E62" s="409"/>
      <c r="F62" s="410"/>
      <c r="G62" s="410"/>
      <c r="H62" s="310"/>
      <c r="I62" s="512" t="s">
        <v>1292</v>
      </c>
    </row>
    <row r="63" spans="1:9" hidden="1">
      <c r="A63" s="1264" t="s">
        <v>1121</v>
      </c>
      <c r="B63" s="1266"/>
      <c r="C63" s="346"/>
      <c r="D63" s="346">
        <f>SUM(D45:D61)</f>
        <v>151.91599999999997</v>
      </c>
      <c r="E63" s="346"/>
      <c r="F63" s="346"/>
      <c r="G63" s="346">
        <f>SUM(G45:G62)</f>
        <v>97.59</v>
      </c>
      <c r="H63" s="57"/>
      <c r="I63" s="57"/>
    </row>
    <row r="64" spans="1:9" hidden="1">
      <c r="A64" s="408"/>
      <c r="B64" s="408"/>
      <c r="C64" s="346"/>
      <c r="D64" s="346"/>
      <c r="E64" s="346"/>
      <c r="F64" s="346"/>
      <c r="G64" s="346"/>
      <c r="H64" s="57"/>
      <c r="I64" s="538"/>
    </row>
    <row r="65" spans="1:9">
      <c r="A65" s="408"/>
      <c r="B65" s="408"/>
      <c r="C65" s="346"/>
      <c r="D65" s="346"/>
      <c r="E65" s="346"/>
      <c r="F65" s="346"/>
      <c r="G65" s="346"/>
      <c r="H65" s="57"/>
      <c r="I65" s="538"/>
    </row>
    <row r="66" spans="1:9">
      <c r="A66" s="310"/>
      <c r="B66" s="310"/>
      <c r="C66" s="1287" t="s">
        <v>1315</v>
      </c>
      <c r="D66" s="1288"/>
      <c r="E66" s="1288"/>
      <c r="F66" s="1288"/>
      <c r="G66" s="1289"/>
      <c r="H66" s="310"/>
    </row>
    <row r="67" spans="1:9" ht="43.2">
      <c r="A67" s="408" t="s">
        <v>1316</v>
      </c>
      <c r="B67" s="346" t="s">
        <v>1317</v>
      </c>
      <c r="C67" s="408" t="s">
        <v>1318</v>
      </c>
      <c r="D67" s="408" t="s">
        <v>1319</v>
      </c>
      <c r="E67" s="408" t="s">
        <v>1320</v>
      </c>
      <c r="F67" s="408" t="s">
        <v>1321</v>
      </c>
      <c r="G67" s="346" t="s">
        <v>20</v>
      </c>
      <c r="H67" s="408" t="s">
        <v>1322</v>
      </c>
    </row>
    <row r="68" spans="1:9">
      <c r="A68" s="331" t="s">
        <v>1032</v>
      </c>
      <c r="B68" s="521">
        <v>1</v>
      </c>
      <c r="C68" s="331" t="s">
        <v>1359</v>
      </c>
      <c r="D68" s="318">
        <v>9.4</v>
      </c>
      <c r="E68" s="309"/>
      <c r="F68" s="309"/>
      <c r="G68" s="544" t="s">
        <v>1361</v>
      </c>
      <c r="H68" s="497" t="s">
        <v>1324</v>
      </c>
    </row>
    <row r="69" spans="1:9">
      <c r="A69" s="331"/>
      <c r="B69" s="521">
        <f>B68+1</f>
        <v>2</v>
      </c>
      <c r="C69" s="331" t="s">
        <v>1360</v>
      </c>
      <c r="D69" s="318">
        <v>9.0960000000000001</v>
      </c>
      <c r="E69" s="309"/>
      <c r="F69" s="309"/>
      <c r="G69" s="544" t="s">
        <v>1362</v>
      </c>
      <c r="H69" s="545"/>
    </row>
    <row r="70" spans="1:9" ht="27.45" customHeight="1">
      <c r="A70" s="331" t="s">
        <v>1026</v>
      </c>
      <c r="B70" s="521">
        <f>B69+1</f>
        <v>3</v>
      </c>
      <c r="C70" s="331" t="s">
        <v>1325</v>
      </c>
      <c r="D70" s="546">
        <v>19.57</v>
      </c>
      <c r="E70" s="521"/>
      <c r="F70" s="531" t="s">
        <v>1326</v>
      </c>
      <c r="G70" s="532" t="s">
        <v>58</v>
      </c>
      <c r="H70" s="498" t="s">
        <v>1327</v>
      </c>
    </row>
    <row r="71" spans="1:9" ht="27.45" customHeight="1">
      <c r="A71" s="331"/>
      <c r="B71" s="521">
        <f>B70+1</f>
        <v>4</v>
      </c>
      <c r="C71" s="331" t="s">
        <v>1435</v>
      </c>
      <c r="D71" s="521">
        <v>2.6179999999999999</v>
      </c>
      <c r="E71" s="521"/>
      <c r="F71" s="531"/>
      <c r="G71" s="597" t="s">
        <v>1437</v>
      </c>
      <c r="H71" s="498"/>
    </row>
    <row r="72" spans="1:9" ht="41.4">
      <c r="A72" s="331" t="s">
        <v>1026</v>
      </c>
      <c r="B72" s="521">
        <f t="shared" ref="B72:B86" si="2">B71+1</f>
        <v>5</v>
      </c>
      <c r="C72" s="331" t="s">
        <v>1438</v>
      </c>
      <c r="D72" s="521">
        <v>18.193000000000001</v>
      </c>
      <c r="E72" s="521"/>
      <c r="F72" s="531">
        <v>45784</v>
      </c>
      <c r="G72" s="533" t="s">
        <v>1436</v>
      </c>
      <c r="H72" s="534" t="s">
        <v>1329</v>
      </c>
    </row>
    <row r="73" spans="1:9">
      <c r="A73" s="331" t="s">
        <v>1026</v>
      </c>
      <c r="B73" s="521">
        <f t="shared" si="2"/>
        <v>6</v>
      </c>
      <c r="C73" s="331" t="s">
        <v>1330</v>
      </c>
      <c r="D73" s="546">
        <v>6.6589999999999998</v>
      </c>
      <c r="E73" s="521"/>
      <c r="F73" s="531"/>
      <c r="G73" s="535" t="s">
        <v>1358</v>
      </c>
      <c r="H73" s="534"/>
    </row>
    <row r="74" spans="1:9" ht="28.8">
      <c r="A74" s="331" t="s">
        <v>1026</v>
      </c>
      <c r="B74" s="521">
        <f t="shared" si="2"/>
        <v>7</v>
      </c>
      <c r="C74" s="331" t="s">
        <v>1331</v>
      </c>
      <c r="D74" s="536">
        <v>3.17</v>
      </c>
      <c r="E74" s="531"/>
      <c r="F74" s="531"/>
      <c r="G74" s="533" t="s">
        <v>1332</v>
      </c>
      <c r="H74" s="534" t="s">
        <v>1333</v>
      </c>
    </row>
    <row r="75" spans="1:9">
      <c r="A75" s="331" t="s">
        <v>1026</v>
      </c>
      <c r="B75" s="521">
        <f t="shared" si="2"/>
        <v>8</v>
      </c>
      <c r="C75" s="331" t="s">
        <v>1334</v>
      </c>
      <c r="D75" s="547">
        <v>1.05</v>
      </c>
      <c r="E75" s="531"/>
      <c r="F75" s="531">
        <v>45752</v>
      </c>
      <c r="G75" s="532" t="s">
        <v>1358</v>
      </c>
      <c r="H75"/>
    </row>
    <row r="76" spans="1:9" ht="28.8">
      <c r="A76" s="1284" t="s">
        <v>1026</v>
      </c>
      <c r="B76" s="521">
        <f t="shared" si="2"/>
        <v>9</v>
      </c>
      <c r="C76" s="331" t="s">
        <v>1335</v>
      </c>
      <c r="D76" s="546">
        <v>7.9619999999999997</v>
      </c>
      <c r="E76" s="531">
        <v>45691</v>
      </c>
      <c r="F76" s="521"/>
      <c r="G76" s="532" t="s">
        <v>58</v>
      </c>
      <c r="H76" s="537" t="s">
        <v>1336</v>
      </c>
    </row>
    <row r="77" spans="1:9">
      <c r="A77" s="1285"/>
      <c r="B77" s="521">
        <f t="shared" si="2"/>
        <v>10</v>
      </c>
      <c r="C77" s="331" t="s">
        <v>1337</v>
      </c>
      <c r="D77" s="546">
        <v>19.567</v>
      </c>
      <c r="E77" s="531">
        <v>45713</v>
      </c>
      <c r="F77" s="521"/>
      <c r="G77" s="532" t="s">
        <v>58</v>
      </c>
      <c r="H77" s="537"/>
    </row>
    <row r="78" spans="1:9">
      <c r="A78" s="1285"/>
      <c r="B78" s="521">
        <f t="shared" si="2"/>
        <v>11</v>
      </c>
      <c r="C78" s="331" t="s">
        <v>1338</v>
      </c>
      <c r="D78" s="546">
        <v>20.273</v>
      </c>
      <c r="E78" s="531">
        <v>45691</v>
      </c>
      <c r="F78" s="521"/>
      <c r="G78" s="532" t="s">
        <v>58</v>
      </c>
      <c r="H78" s="537"/>
    </row>
    <row r="79" spans="1:9">
      <c r="A79" s="1285"/>
      <c r="B79" s="521">
        <f t="shared" si="2"/>
        <v>12</v>
      </c>
      <c r="C79" s="331" t="s">
        <v>1339</v>
      </c>
      <c r="D79" s="546">
        <v>3.0840000000000001</v>
      </c>
      <c r="E79" s="531">
        <v>45712</v>
      </c>
      <c r="F79" s="521"/>
      <c r="G79" s="532" t="s">
        <v>58</v>
      </c>
      <c r="H79" s="537"/>
    </row>
    <row r="80" spans="1:9">
      <c r="A80" s="1285"/>
      <c r="B80" s="521">
        <f t="shared" si="2"/>
        <v>13</v>
      </c>
      <c r="C80" s="331" t="s">
        <v>1340</v>
      </c>
      <c r="D80" s="546">
        <v>14.119</v>
      </c>
      <c r="E80" s="531">
        <v>45715</v>
      </c>
      <c r="F80" s="521"/>
      <c r="G80" s="532" t="s">
        <v>58</v>
      </c>
      <c r="H80" s="537"/>
    </row>
    <row r="81" spans="1:8">
      <c r="A81" s="1285"/>
      <c r="B81" s="521">
        <f t="shared" si="2"/>
        <v>14</v>
      </c>
      <c r="C81" s="331" t="s">
        <v>1341</v>
      </c>
      <c r="D81" s="546">
        <v>9.4949999999999992</v>
      </c>
      <c r="E81" s="531">
        <v>45722</v>
      </c>
      <c r="F81" s="521"/>
      <c r="G81" s="532" t="s">
        <v>58</v>
      </c>
      <c r="H81" s="537"/>
    </row>
    <row r="82" spans="1:8">
      <c r="A82" s="1286"/>
      <c r="B82" s="521">
        <f t="shared" si="2"/>
        <v>15</v>
      </c>
      <c r="C82" s="331" t="s">
        <v>1342</v>
      </c>
      <c r="D82" s="546">
        <v>8.6940000000000008</v>
      </c>
      <c r="E82" s="531">
        <v>45763</v>
      </c>
      <c r="F82" s="521"/>
      <c r="G82" s="532" t="s">
        <v>58</v>
      </c>
      <c r="H82" s="537"/>
    </row>
    <row r="83" spans="1:8" ht="28.8">
      <c r="A83" s="331" t="s">
        <v>1026</v>
      </c>
      <c r="B83" s="521">
        <f t="shared" si="2"/>
        <v>16</v>
      </c>
      <c r="C83" s="577" t="s">
        <v>1363</v>
      </c>
      <c r="D83" s="572">
        <v>12.558999999999999</v>
      </c>
      <c r="E83" s="531"/>
      <c r="F83" s="531" t="s">
        <v>1326</v>
      </c>
      <c r="G83" s="532" t="s">
        <v>58</v>
      </c>
      <c r="H83" s="498" t="s">
        <v>1344</v>
      </c>
    </row>
    <row r="84" spans="1:8" ht="28.8">
      <c r="A84" s="331" t="s">
        <v>1026</v>
      </c>
      <c r="B84" s="521">
        <f t="shared" si="2"/>
        <v>17</v>
      </c>
      <c r="C84" s="331" t="s">
        <v>1347</v>
      </c>
      <c r="D84" s="546">
        <v>14.391</v>
      </c>
      <c r="E84" s="531">
        <v>45763</v>
      </c>
      <c r="F84" s="521"/>
      <c r="G84" s="532" t="s">
        <v>58</v>
      </c>
      <c r="H84" s="54" t="s">
        <v>1336</v>
      </c>
    </row>
    <row r="85" spans="1:8">
      <c r="A85" s="331" t="s">
        <v>1026</v>
      </c>
      <c r="B85" s="521">
        <f t="shared" si="2"/>
        <v>18</v>
      </c>
      <c r="C85" s="577" t="s">
        <v>1348</v>
      </c>
      <c r="D85" s="546">
        <v>5.2679999999999998</v>
      </c>
      <c r="E85" s="531"/>
      <c r="F85" s="531">
        <v>45800</v>
      </c>
      <c r="G85" s="532" t="s">
        <v>58</v>
      </c>
      <c r="H85" s="395" t="s">
        <v>1349</v>
      </c>
    </row>
    <row r="86" spans="1:8" ht="28.8">
      <c r="A86" s="331" t="s">
        <v>1026</v>
      </c>
      <c r="B86" s="521">
        <f t="shared" si="2"/>
        <v>19</v>
      </c>
      <c r="C86" s="331" t="s">
        <v>1350</v>
      </c>
      <c r="D86" s="530">
        <v>2.4740000000000002</v>
      </c>
      <c r="E86" s="531">
        <v>45765</v>
      </c>
      <c r="F86" s="521"/>
      <c r="G86" s="532" t="s">
        <v>1433</v>
      </c>
      <c r="H86" s="499" t="s">
        <v>1351</v>
      </c>
    </row>
    <row r="87" spans="1:8">
      <c r="B87"/>
      <c r="C87"/>
      <c r="D87">
        <f>SUM(D68:D86)</f>
        <v>187.642</v>
      </c>
      <c r="E87" s="539"/>
      <c r="F87"/>
    </row>
    <row r="88" spans="1:8">
      <c r="B88"/>
      <c r="C88"/>
      <c r="D88"/>
      <c r="E88"/>
      <c r="F88"/>
    </row>
    <row r="89" spans="1:8">
      <c r="B89"/>
      <c r="C89"/>
      <c r="D89" s="540" t="s">
        <v>1352</v>
      </c>
      <c r="E89" s="540">
        <f>187.176-(18.496+2.618)</f>
        <v>166.06199999999998</v>
      </c>
      <c r="F89"/>
    </row>
    <row r="90" spans="1:8" hidden="1">
      <c r="B90"/>
      <c r="C90"/>
      <c r="D90" s="540"/>
      <c r="E90" s="540">
        <v>2.6179999999999999</v>
      </c>
      <c r="F90" s="548" t="s">
        <v>1353</v>
      </c>
    </row>
    <row r="91" spans="1:8">
      <c r="B91"/>
      <c r="C91"/>
      <c r="D91" s="347" t="s">
        <v>1354</v>
      </c>
      <c r="E91" s="347">
        <f>D87</f>
        <v>187.642</v>
      </c>
      <c r="F91"/>
    </row>
    <row r="92" spans="1:8">
      <c r="B92"/>
      <c r="C92"/>
      <c r="D92" s="347" t="s">
        <v>62</v>
      </c>
      <c r="E92" s="347">
        <f>D70+D73+SUM(D75:D86)</f>
        <v>145.16500000000002</v>
      </c>
      <c r="F92"/>
    </row>
    <row r="93" spans="1:8">
      <c r="D93" s="549" t="s">
        <v>19</v>
      </c>
      <c r="E93" s="549">
        <f>E91-E92</f>
        <v>42.476999999999975</v>
      </c>
    </row>
    <row r="95" spans="1:8" ht="15" hidden="1" customHeight="1" thickBot="1">
      <c r="B95" s="1236" t="s">
        <v>1315</v>
      </c>
      <c r="C95" s="1237"/>
      <c r="D95" s="1237"/>
      <c r="E95" s="1237"/>
      <c r="F95" s="1237"/>
      <c r="G95" s="1237"/>
    </row>
    <row r="96" spans="1:8" ht="15" hidden="1" customHeight="1" thickBot="1">
      <c r="B96" s="550" t="s">
        <v>1317</v>
      </c>
      <c r="C96" s="551" t="s">
        <v>1318</v>
      </c>
      <c r="D96" s="551" t="s">
        <v>1319</v>
      </c>
      <c r="E96" s="551" t="s">
        <v>58</v>
      </c>
      <c r="F96" s="551" t="s">
        <v>1364</v>
      </c>
      <c r="G96" s="551" t="s">
        <v>20</v>
      </c>
    </row>
    <row r="97" spans="2:7" ht="29.55" hidden="1" customHeight="1" thickBot="1">
      <c r="B97" s="552">
        <v>1</v>
      </c>
      <c r="C97" s="553" t="s">
        <v>1323</v>
      </c>
      <c r="D97" s="554">
        <v>18.116</v>
      </c>
      <c r="E97" s="555"/>
      <c r="F97" s="555" t="s">
        <v>1365</v>
      </c>
      <c r="G97" s="556" t="s">
        <v>1366</v>
      </c>
    </row>
    <row r="98" spans="2:7" ht="15" hidden="1" customHeight="1" thickBot="1">
      <c r="B98" s="552">
        <v>2</v>
      </c>
      <c r="C98" s="553" t="s">
        <v>1325</v>
      </c>
      <c r="D98" s="554">
        <v>19.57</v>
      </c>
      <c r="E98" s="554"/>
      <c r="F98" s="555" t="s">
        <v>1367</v>
      </c>
      <c r="G98" s="556" t="s">
        <v>1368</v>
      </c>
    </row>
    <row r="99" spans="2:7" ht="43.95" hidden="1" customHeight="1" thickBot="1">
      <c r="B99" s="552">
        <v>3</v>
      </c>
      <c r="C99" s="553" t="s">
        <v>1328</v>
      </c>
      <c r="D99" s="554">
        <v>20.811</v>
      </c>
      <c r="E99" s="554"/>
      <c r="F99" s="555" t="s">
        <v>1365</v>
      </c>
      <c r="G99" s="556" t="s">
        <v>1369</v>
      </c>
    </row>
    <row r="100" spans="2:7" ht="29.55" hidden="1" customHeight="1" thickBot="1">
      <c r="B100" s="1238">
        <v>4</v>
      </c>
      <c r="C100" s="553" t="s">
        <v>1370</v>
      </c>
      <c r="D100" s="1240">
        <v>10.894</v>
      </c>
      <c r="E100" s="554"/>
      <c r="F100" s="555" t="s">
        <v>1367</v>
      </c>
      <c r="G100" s="556" t="s">
        <v>1371</v>
      </c>
    </row>
    <row r="101" spans="2:7" ht="29.55" hidden="1" customHeight="1" thickBot="1">
      <c r="B101" s="1239"/>
      <c r="C101" s="553" t="s">
        <v>1372</v>
      </c>
      <c r="D101" s="1241"/>
      <c r="E101" s="554"/>
      <c r="F101" s="555" t="s">
        <v>1365</v>
      </c>
      <c r="G101" s="556" t="s">
        <v>1373</v>
      </c>
    </row>
    <row r="102" spans="2:7" ht="15" hidden="1" customHeight="1" thickBot="1">
      <c r="B102" s="552">
        <v>5</v>
      </c>
      <c r="C102" s="553" t="s">
        <v>1335</v>
      </c>
      <c r="D102" s="554">
        <v>7.9619999999999997</v>
      </c>
      <c r="E102" s="557">
        <v>45691</v>
      </c>
      <c r="F102" s="554"/>
      <c r="G102" s="556"/>
    </row>
    <row r="103" spans="2:7" ht="15" hidden="1" customHeight="1" thickBot="1">
      <c r="B103" s="552">
        <v>6</v>
      </c>
      <c r="C103" s="553" t="s">
        <v>1337</v>
      </c>
      <c r="D103" s="554">
        <v>19.567</v>
      </c>
      <c r="E103" s="557">
        <v>45713</v>
      </c>
      <c r="F103" s="554"/>
      <c r="G103" s="556"/>
    </row>
    <row r="104" spans="2:7" ht="15" hidden="1" customHeight="1" thickBot="1">
      <c r="B104" s="552">
        <v>7</v>
      </c>
      <c r="C104" s="553" t="s">
        <v>1338</v>
      </c>
      <c r="D104" s="554">
        <v>20.273</v>
      </c>
      <c r="E104" s="557">
        <v>45691</v>
      </c>
      <c r="F104" s="554"/>
      <c r="G104" s="556"/>
    </row>
    <row r="105" spans="2:7" ht="15" hidden="1" customHeight="1" thickBot="1">
      <c r="B105" s="552">
        <v>8</v>
      </c>
      <c r="C105" s="553" t="s">
        <v>1339</v>
      </c>
      <c r="D105" s="554">
        <v>3.0840000000000001</v>
      </c>
      <c r="E105" s="557">
        <v>45712</v>
      </c>
      <c r="F105" s="554"/>
      <c r="G105" s="556"/>
    </row>
    <row r="106" spans="2:7" ht="15" hidden="1" customHeight="1" thickBot="1">
      <c r="B106" s="552">
        <v>9</v>
      </c>
      <c r="C106" s="553" t="s">
        <v>1340</v>
      </c>
      <c r="D106" s="554">
        <v>14.016999999999999</v>
      </c>
      <c r="E106" s="557">
        <v>45715</v>
      </c>
      <c r="F106" s="554"/>
      <c r="G106" s="556"/>
    </row>
    <row r="107" spans="2:7" ht="15" hidden="1" customHeight="1" thickBot="1">
      <c r="B107" s="552">
        <v>10</v>
      </c>
      <c r="C107" s="553" t="s">
        <v>1341</v>
      </c>
      <c r="D107" s="554">
        <v>9.4949999999999992</v>
      </c>
      <c r="E107" s="557">
        <v>45722</v>
      </c>
      <c r="F107" s="554"/>
      <c r="G107" s="556"/>
    </row>
    <row r="108" spans="2:7" ht="15" hidden="1" customHeight="1" thickBot="1">
      <c r="B108" s="552">
        <v>11</v>
      </c>
      <c r="C108" s="553" t="s">
        <v>1342</v>
      </c>
      <c r="D108" s="554">
        <v>8.6940000000000008</v>
      </c>
      <c r="E108" s="557">
        <v>45763</v>
      </c>
      <c r="F108" s="554"/>
      <c r="G108" s="556"/>
    </row>
    <row r="109" spans="2:7" ht="15" hidden="1" customHeight="1" thickBot="1">
      <c r="B109" s="552">
        <v>12</v>
      </c>
      <c r="C109" s="553" t="s">
        <v>1343</v>
      </c>
      <c r="D109" s="554">
        <v>3.0840000000000001</v>
      </c>
      <c r="E109" s="554"/>
      <c r="F109" s="555" t="s">
        <v>1365</v>
      </c>
      <c r="G109" s="554" t="s">
        <v>1374</v>
      </c>
    </row>
    <row r="110" spans="2:7" ht="15" hidden="1" customHeight="1" thickBot="1">
      <c r="B110" s="552">
        <v>13</v>
      </c>
      <c r="C110" s="553" t="s">
        <v>1345</v>
      </c>
      <c r="D110" s="554">
        <v>5.6189999999999998</v>
      </c>
      <c r="E110" s="553"/>
      <c r="F110" s="555" t="s">
        <v>1365</v>
      </c>
      <c r="G110" s="554" t="s">
        <v>1374</v>
      </c>
    </row>
    <row r="111" spans="2:7" ht="15" hidden="1" customHeight="1" thickBot="1">
      <c r="B111" s="552">
        <v>14</v>
      </c>
      <c r="C111" s="553" t="s">
        <v>1346</v>
      </c>
      <c r="D111" s="554">
        <v>3.8559999999999999</v>
      </c>
      <c r="E111" s="554"/>
      <c r="F111" s="555" t="s">
        <v>1365</v>
      </c>
      <c r="G111" s="554" t="s">
        <v>1374</v>
      </c>
    </row>
    <row r="112" spans="2:7" ht="15" hidden="1" customHeight="1" thickBot="1">
      <c r="B112" s="552">
        <v>15</v>
      </c>
      <c r="C112" s="553" t="s">
        <v>1347</v>
      </c>
      <c r="D112" s="554">
        <v>14.391</v>
      </c>
      <c r="E112" s="557">
        <v>45763</v>
      </c>
      <c r="F112" s="554"/>
      <c r="G112" s="556"/>
    </row>
    <row r="113" spans="2:7" ht="15" hidden="1" customHeight="1" thickBot="1">
      <c r="B113" s="552">
        <v>16</v>
      </c>
      <c r="C113" s="553" t="s">
        <v>1348</v>
      </c>
      <c r="D113" s="554">
        <v>5.2679999999999998</v>
      </c>
      <c r="E113" s="554"/>
      <c r="F113" s="555" t="s">
        <v>1367</v>
      </c>
      <c r="G113" s="556" t="s">
        <v>1368</v>
      </c>
    </row>
    <row r="114" spans="2:7" ht="26.55" hidden="1" customHeight="1" thickBot="1">
      <c r="B114" s="552">
        <v>17</v>
      </c>
      <c r="C114" s="553" t="s">
        <v>1350</v>
      </c>
      <c r="D114" s="554">
        <v>2.4740000000000002</v>
      </c>
      <c r="E114" s="557">
        <v>45765</v>
      </c>
      <c r="F114" s="555" t="s">
        <v>1375</v>
      </c>
      <c r="G114" s="554" t="s">
        <v>1376</v>
      </c>
    </row>
    <row r="115" spans="2:7" ht="14.55" hidden="1" customHeight="1">
      <c r="B115" s="558"/>
      <c r="C115" s="559" t="s">
        <v>445</v>
      </c>
      <c r="D115" s="560">
        <v>187.17500000000001</v>
      </c>
      <c r="E115" s="558"/>
      <c r="F115" s="558"/>
      <c r="G115" s="558"/>
    </row>
  </sheetData>
  <mergeCells count="14">
    <mergeCell ref="A76:A82"/>
    <mergeCell ref="C66:G66"/>
    <mergeCell ref="B95:G95"/>
    <mergeCell ref="B100:B101"/>
    <mergeCell ref="D100:D101"/>
    <mergeCell ref="A63:B63"/>
    <mergeCell ref="E11:E14"/>
    <mergeCell ref="A1:AE1"/>
    <mergeCell ref="A2:AE2"/>
    <mergeCell ref="A3:AE3"/>
    <mergeCell ref="A4:AE4"/>
    <mergeCell ref="D6:D7"/>
    <mergeCell ref="E6:E7"/>
    <mergeCell ref="H18:H19"/>
  </mergeCells>
  <phoneticPr fontId="137" type="noConversion"/>
  <pageMargins left="0.7" right="0.7" top="0.75" bottom="0.75" header="0.3" footer="0.3"/>
  <pageSetup paperSize="9" scale="35" orientation="portrait" r:id="rId1"/>
  <colBreaks count="1" manualBreakCount="1">
    <brk id="15"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4"/>
  <cols>
    <col min="2" max="2" width="36.44140625" customWidth="1"/>
    <col min="3" max="3" width="36.21875" customWidth="1"/>
    <col min="4" max="4" width="26.77734375" customWidth="1"/>
    <col min="5" max="5" width="31.6640625" customWidth="1"/>
  </cols>
  <sheetData>
    <row r="1" spans="1:5" ht="15" thickBot="1">
      <c r="A1" s="561" t="s">
        <v>1377</v>
      </c>
      <c r="B1" s="562" t="s">
        <v>1378</v>
      </c>
      <c r="C1" s="562" t="s">
        <v>1379</v>
      </c>
      <c r="D1" s="562" t="s">
        <v>978</v>
      </c>
      <c r="E1" s="563" t="s">
        <v>1380</v>
      </c>
    </row>
    <row r="2" spans="1:5" ht="15" thickBot="1">
      <c r="A2" s="564">
        <v>1</v>
      </c>
      <c r="B2" s="565" t="s">
        <v>1381</v>
      </c>
      <c r="C2" s="566"/>
      <c r="D2" s="566"/>
      <c r="E2" s="566"/>
    </row>
    <row r="3" spans="1:5" ht="29.4" thickBot="1">
      <c r="A3" s="564" t="s">
        <v>1382</v>
      </c>
      <c r="B3" s="556" t="s">
        <v>1383</v>
      </c>
      <c r="C3" s="567">
        <v>45821</v>
      </c>
      <c r="D3" s="566" t="s">
        <v>1384</v>
      </c>
      <c r="E3" s="566" t="s">
        <v>1385</v>
      </c>
    </row>
    <row r="4" spans="1:5" ht="15" thickBot="1">
      <c r="A4" s="564" t="s">
        <v>1386</v>
      </c>
      <c r="B4" s="556" t="s">
        <v>1387</v>
      </c>
      <c r="C4" s="567">
        <v>45833</v>
      </c>
      <c r="D4" s="566" t="s">
        <v>1388</v>
      </c>
      <c r="E4" s="566" t="s">
        <v>1389</v>
      </c>
    </row>
    <row r="5" spans="1:5" ht="43.8" thickBot="1">
      <c r="A5" s="568" t="s">
        <v>1390</v>
      </c>
      <c r="B5" s="569" t="s">
        <v>1391</v>
      </c>
      <c r="C5" s="570">
        <v>45824</v>
      </c>
      <c r="D5" s="571" t="s">
        <v>1388</v>
      </c>
      <c r="E5" s="571" t="s">
        <v>1392</v>
      </c>
    </row>
    <row r="6" spans="1:5" ht="15" thickBot="1">
      <c r="A6" s="564">
        <v>2</v>
      </c>
      <c r="B6" s="565" t="s">
        <v>1315</v>
      </c>
      <c r="C6" s="566"/>
      <c r="D6" s="566"/>
      <c r="E6" s="566"/>
    </row>
    <row r="7" spans="1:5" ht="29.4" thickBot="1">
      <c r="A7" s="568" t="s">
        <v>1382</v>
      </c>
      <c r="B7" s="569" t="s">
        <v>1393</v>
      </c>
      <c r="C7" s="570">
        <v>45820</v>
      </c>
      <c r="D7" s="571" t="s">
        <v>1394</v>
      </c>
      <c r="E7" s="571" t="s">
        <v>1395</v>
      </c>
    </row>
    <row r="8" spans="1:5" ht="15" thickBot="1">
      <c r="A8" s="568" t="s">
        <v>1386</v>
      </c>
      <c r="B8" s="569" t="s">
        <v>1396</v>
      </c>
      <c r="C8" s="570">
        <v>45828</v>
      </c>
      <c r="D8" s="571" t="s">
        <v>1394</v>
      </c>
      <c r="E8" s="571" t="s">
        <v>1397</v>
      </c>
    </row>
    <row r="9" spans="1:5" ht="29.4" thickBot="1">
      <c r="A9" s="568" t="s">
        <v>1390</v>
      </c>
      <c r="B9" s="569" t="s">
        <v>1398</v>
      </c>
      <c r="C9" s="570">
        <v>46198</v>
      </c>
      <c r="D9" s="571" t="s">
        <v>1388</v>
      </c>
      <c r="E9" s="571" t="s">
        <v>1389</v>
      </c>
    </row>
    <row r="10" spans="1:5" ht="15" thickBot="1">
      <c r="A10" s="564">
        <v>3</v>
      </c>
      <c r="B10" s="565" t="s">
        <v>1399</v>
      </c>
      <c r="C10" s="566"/>
      <c r="D10" s="566"/>
      <c r="E10" s="566"/>
    </row>
    <row r="11" spans="1:5" ht="15" thickBot="1">
      <c r="A11" s="564" t="s">
        <v>1382</v>
      </c>
      <c r="B11" s="556" t="s">
        <v>1400</v>
      </c>
      <c r="C11" s="567">
        <v>45838</v>
      </c>
      <c r="D11" s="566" t="s">
        <v>1388</v>
      </c>
      <c r="E11" s="566" t="s">
        <v>1397</v>
      </c>
    </row>
    <row r="12" spans="1:5" ht="15" thickBot="1">
      <c r="A12" s="564" t="s">
        <v>1386</v>
      </c>
      <c r="B12" s="556" t="s">
        <v>1401</v>
      </c>
      <c r="C12" s="567">
        <v>45838</v>
      </c>
      <c r="D12" s="566" t="s">
        <v>1388</v>
      </c>
      <c r="E12" s="566" t="s">
        <v>1397</v>
      </c>
    </row>
    <row r="13" spans="1:5" ht="29.4" thickBot="1">
      <c r="A13" s="564" t="s">
        <v>1390</v>
      </c>
      <c r="B13" s="556" t="s">
        <v>1402</v>
      </c>
      <c r="C13" s="566" t="s">
        <v>1403</v>
      </c>
      <c r="D13" s="566" t="s">
        <v>1388</v>
      </c>
      <c r="E13" s="566" t="s">
        <v>1397</v>
      </c>
    </row>
    <row r="14" spans="1:5" ht="29.4" thickBot="1">
      <c r="A14" s="564" t="s">
        <v>1404</v>
      </c>
      <c r="B14" s="556" t="s">
        <v>1405</v>
      </c>
      <c r="C14" s="566" t="s">
        <v>1406</v>
      </c>
      <c r="D14" s="566" t="s">
        <v>1394</v>
      </c>
      <c r="E14" s="566" t="s">
        <v>1397</v>
      </c>
    </row>
    <row r="15" spans="1:5" ht="29.4" thickBot="1">
      <c r="A15" s="564" t="s">
        <v>1407</v>
      </c>
      <c r="B15" s="556" t="s">
        <v>1408</v>
      </c>
      <c r="C15" s="567">
        <v>45828</v>
      </c>
      <c r="D15" s="566" t="s">
        <v>1384</v>
      </c>
      <c r="E15" s="566" t="s">
        <v>1397</v>
      </c>
    </row>
    <row r="16" spans="1:5" ht="29.4" thickBot="1">
      <c r="A16" s="564" t="s">
        <v>1409</v>
      </c>
      <c r="B16" s="556" t="s">
        <v>1410</v>
      </c>
      <c r="C16" s="567">
        <v>45828</v>
      </c>
      <c r="D16" s="566" t="s">
        <v>1367</v>
      </c>
      <c r="E16" s="566" t="s">
        <v>1397</v>
      </c>
    </row>
    <row r="17" spans="1:5" ht="43.8" thickBot="1">
      <c r="A17" s="564">
        <v>4</v>
      </c>
      <c r="B17" s="556" t="s">
        <v>1411</v>
      </c>
      <c r="C17" s="567">
        <v>45820</v>
      </c>
      <c r="D17" s="566" t="s">
        <v>1388</v>
      </c>
      <c r="E17" s="566" t="s">
        <v>1397</v>
      </c>
    </row>
    <row r="18" spans="1:5" ht="43.8" thickBot="1">
      <c r="A18" s="564">
        <v>5</v>
      </c>
      <c r="B18" s="556" t="s">
        <v>1412</v>
      </c>
      <c r="C18" s="567">
        <v>45838</v>
      </c>
      <c r="D18" s="566" t="s">
        <v>1394</v>
      </c>
      <c r="E18" s="566" t="s">
        <v>1413</v>
      </c>
    </row>
    <row r="19" spans="1:5" ht="43.8" thickBot="1">
      <c r="A19" s="564">
        <v>6</v>
      </c>
      <c r="B19" s="556" t="s">
        <v>1414</v>
      </c>
      <c r="C19" s="566" t="s">
        <v>1403</v>
      </c>
      <c r="D19" s="566" t="s">
        <v>1388</v>
      </c>
      <c r="E19" s="566" t="s">
        <v>1397</v>
      </c>
    </row>
    <row r="20" spans="1:5" ht="58.2" thickBot="1">
      <c r="A20" s="564">
        <v>7</v>
      </c>
      <c r="B20" s="556" t="s">
        <v>1415</v>
      </c>
      <c r="C20" s="566" t="s">
        <v>1403</v>
      </c>
      <c r="D20" s="566" t="s">
        <v>1388</v>
      </c>
      <c r="E20" s="566" t="s">
        <v>1416</v>
      </c>
    </row>
    <row r="21" spans="1:5" ht="29.4" thickBot="1">
      <c r="A21" s="564">
        <v>8</v>
      </c>
      <c r="B21" s="556" t="s">
        <v>1417</v>
      </c>
      <c r="C21" s="567">
        <v>45838</v>
      </c>
      <c r="D21" s="566" t="s">
        <v>1388</v>
      </c>
      <c r="E21" s="566" t="s">
        <v>1066</v>
      </c>
    </row>
    <row r="22" spans="1:5" ht="15" thickBot="1">
      <c r="A22" s="564">
        <v>9</v>
      </c>
      <c r="B22" s="565" t="s">
        <v>1418</v>
      </c>
      <c r="C22" s="566"/>
      <c r="D22" s="566"/>
      <c r="E22" s="566"/>
    </row>
    <row r="23" spans="1:5" ht="29.4" thickBot="1">
      <c r="A23" s="564" t="s">
        <v>1382</v>
      </c>
      <c r="B23" s="556" t="s">
        <v>1419</v>
      </c>
      <c r="C23" s="566" t="s">
        <v>1406</v>
      </c>
      <c r="D23" s="566" t="s">
        <v>1388</v>
      </c>
      <c r="E23" s="566" t="s">
        <v>1066</v>
      </c>
    </row>
    <row r="24" spans="1:5" ht="29.4" thickBot="1">
      <c r="A24" s="564" t="s">
        <v>1386</v>
      </c>
      <c r="B24" s="556" t="s">
        <v>1420</v>
      </c>
      <c r="C24" s="566" t="s">
        <v>1066</v>
      </c>
      <c r="D24" s="566" t="s">
        <v>1388</v>
      </c>
      <c r="E24" s="566" t="s">
        <v>1066</v>
      </c>
    </row>
    <row r="25" spans="1:5" ht="43.8" thickBot="1">
      <c r="A25" s="564" t="s">
        <v>1390</v>
      </c>
      <c r="B25" s="556" t="s">
        <v>1421</v>
      </c>
      <c r="C25" s="566" t="s">
        <v>1403</v>
      </c>
      <c r="D25" s="566" t="s">
        <v>1394</v>
      </c>
      <c r="E25" s="566" t="s">
        <v>1422</v>
      </c>
    </row>
    <row r="26" spans="1:5" ht="29.4" thickBot="1">
      <c r="A26" s="564" t="s">
        <v>1404</v>
      </c>
      <c r="B26" s="556" t="s">
        <v>1423</v>
      </c>
      <c r="C26" s="567">
        <v>45821</v>
      </c>
      <c r="D26" s="566" t="s">
        <v>1388</v>
      </c>
      <c r="E26" s="566" t="s">
        <v>1397</v>
      </c>
    </row>
    <row r="27" spans="1:5" ht="29.4" thickBot="1">
      <c r="A27" s="564">
        <v>10</v>
      </c>
      <c r="B27" s="556" t="s">
        <v>1424</v>
      </c>
      <c r="C27" s="567">
        <v>45826</v>
      </c>
      <c r="D27" s="566" t="s">
        <v>1388</v>
      </c>
      <c r="E27" s="566" t="s">
        <v>1425</v>
      </c>
    </row>
    <row r="28" spans="1:5" ht="29.4" thickBot="1">
      <c r="A28" s="564">
        <v>11</v>
      </c>
      <c r="B28" s="556" t="s">
        <v>1426</v>
      </c>
      <c r="C28" s="567">
        <v>45824</v>
      </c>
      <c r="D28" s="566" t="s">
        <v>1388</v>
      </c>
      <c r="E28" s="566" t="s">
        <v>1427</v>
      </c>
    </row>
    <row r="29" spans="1:5" ht="29.4" thickBot="1">
      <c r="A29" s="564">
        <v>12</v>
      </c>
      <c r="B29" s="556" t="s">
        <v>1428</v>
      </c>
      <c r="C29" s="567">
        <v>45930</v>
      </c>
      <c r="D29" s="566" t="s">
        <v>1384</v>
      </c>
      <c r="E29" s="566" t="s">
        <v>1429</v>
      </c>
    </row>
    <row r="30" spans="1:5" ht="58.2" thickBot="1">
      <c r="A30" s="564">
        <v>13</v>
      </c>
      <c r="B30" s="556" t="s">
        <v>1430</v>
      </c>
      <c r="C30" s="567">
        <v>45848</v>
      </c>
      <c r="D30" s="566" t="s">
        <v>1388</v>
      </c>
      <c r="E30" s="566" t="s">
        <v>1431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4"/>
  <cols>
    <col min="4" max="4" width="19" bestFit="1" customWidth="1"/>
    <col min="6" max="6" width="18" customWidth="1"/>
  </cols>
  <sheetData>
    <row r="2" spans="3:6">
      <c r="C2" s="897" t="s">
        <v>3</v>
      </c>
    </row>
    <row r="4" spans="3:6" ht="28.8">
      <c r="C4" s="896" t="s">
        <v>1554</v>
      </c>
      <c r="D4" s="408" t="s">
        <v>1318</v>
      </c>
      <c r="E4" s="408" t="s">
        <v>1319</v>
      </c>
      <c r="F4" s="901" t="s">
        <v>20</v>
      </c>
    </row>
    <row r="5" spans="3:6">
      <c r="C5" s="896">
        <v>1</v>
      </c>
      <c r="D5" s="331" t="s">
        <v>1435</v>
      </c>
      <c r="E5" s="521">
        <v>2.6179999999999999</v>
      </c>
      <c r="F5" s="310"/>
    </row>
    <row r="6" spans="3:6">
      <c r="C6" s="896">
        <f t="shared" ref="C6:C11" si="0">C5+1</f>
        <v>2</v>
      </c>
      <c r="D6" s="331" t="s">
        <v>1557</v>
      </c>
      <c r="E6" s="521">
        <v>1.4279999999999999</v>
      </c>
      <c r="F6" s="310"/>
    </row>
    <row r="7" spans="3:6">
      <c r="C7" s="896">
        <f t="shared" si="0"/>
        <v>3</v>
      </c>
      <c r="D7" s="331" t="s">
        <v>1558</v>
      </c>
      <c r="E7" s="521">
        <v>16.760000000000002</v>
      </c>
      <c r="F7" s="310"/>
    </row>
    <row r="8" spans="3:6">
      <c r="C8" s="896">
        <f t="shared" si="0"/>
        <v>4</v>
      </c>
      <c r="D8" s="331" t="s">
        <v>1331</v>
      </c>
      <c r="E8" s="899">
        <v>3.1869999999999998</v>
      </c>
      <c r="F8" s="310"/>
    </row>
    <row r="9" spans="3:6">
      <c r="C9" s="896">
        <f t="shared" si="0"/>
        <v>5</v>
      </c>
      <c r="D9" s="331" t="s">
        <v>1484</v>
      </c>
      <c r="E9" s="521">
        <v>0.73199999999999998</v>
      </c>
      <c r="F9" s="310"/>
    </row>
    <row r="10" spans="3:6">
      <c r="C10" s="896">
        <f t="shared" si="0"/>
        <v>6</v>
      </c>
      <c r="D10" s="331" t="s">
        <v>1485</v>
      </c>
      <c r="E10" s="776">
        <v>0.218</v>
      </c>
      <c r="F10" s="310"/>
    </row>
    <row r="11" spans="3:6">
      <c r="C11" s="896">
        <f t="shared" si="0"/>
        <v>7</v>
      </c>
      <c r="D11" s="331" t="s">
        <v>1487</v>
      </c>
      <c r="E11" s="776">
        <v>0.57099999999999995</v>
      </c>
      <c r="F11" s="310"/>
    </row>
    <row r="12" spans="3:6">
      <c r="C12" s="310"/>
      <c r="D12" s="898" t="s">
        <v>1354</v>
      </c>
      <c r="E12" s="347">
        <f>SUM(E5:E11)</f>
        <v>25.514000000000003</v>
      </c>
      <c r="F12" s="310"/>
    </row>
    <row r="14" spans="3:6">
      <c r="C14" s="897" t="s">
        <v>1607</v>
      </c>
    </row>
    <row r="15" spans="3:6">
      <c r="C15" s="895"/>
    </row>
    <row r="16" spans="3:6" ht="28.8">
      <c r="C16" s="896" t="s">
        <v>1554</v>
      </c>
      <c r="D16" s="408" t="s">
        <v>1318</v>
      </c>
      <c r="E16" s="408" t="s">
        <v>1319</v>
      </c>
      <c r="F16" s="1290" t="s">
        <v>1610</v>
      </c>
    </row>
    <row r="17" spans="3:6">
      <c r="C17" s="896"/>
      <c r="D17" s="408" t="s">
        <v>1608</v>
      </c>
      <c r="E17" s="408">
        <f>7584/1000</f>
        <v>7.5839999999999996</v>
      </c>
      <c r="F17" s="1290"/>
    </row>
    <row r="18" spans="3:6">
      <c r="C18" s="896"/>
      <c r="D18" s="900" t="s">
        <v>1609</v>
      </c>
      <c r="E18" s="408">
        <f>6951/1000</f>
        <v>6.9509999999999996</v>
      </c>
      <c r="F18" s="1290"/>
    </row>
    <row r="19" spans="3:6" ht="1.05" customHeight="1">
      <c r="C19" s="310"/>
      <c r="D19" s="898" t="s">
        <v>1354</v>
      </c>
      <c r="E19" s="347">
        <f>SUM(E17:E18)</f>
        <v>14.535</v>
      </c>
      <c r="F19" s="1290"/>
    </row>
    <row r="20" spans="3:6" hidden="1"/>
  </sheetData>
  <mergeCells count="1">
    <mergeCell ref="F16:F1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4"/>
  <cols>
    <col min="6" max="6" width="9.21875" customWidth="1"/>
    <col min="8" max="9" width="10.109375" customWidth="1"/>
    <col min="12" max="12" width="37.109375" customWidth="1"/>
  </cols>
  <sheetData>
    <row r="1" spans="2:12">
      <c r="B1" s="316" t="s">
        <v>182</v>
      </c>
      <c r="C1" s="317"/>
      <c r="D1" s="316"/>
      <c r="E1" s="317"/>
      <c r="F1" s="317"/>
      <c r="G1" s="317"/>
      <c r="H1" s="316"/>
      <c r="I1" s="316"/>
      <c r="J1" s="57">
        <f>SUBTOTAL(3,J5:J24)</f>
        <v>18</v>
      </c>
      <c r="K1" s="316"/>
      <c r="L1" s="316"/>
    </row>
    <row r="2" spans="2:12">
      <c r="B2" s="1291" t="s">
        <v>167</v>
      </c>
      <c r="C2" s="1291" t="s">
        <v>168</v>
      </c>
      <c r="D2" s="1293" t="s">
        <v>183</v>
      </c>
      <c r="E2" s="1291" t="s">
        <v>169</v>
      </c>
      <c r="F2" s="1292" t="s">
        <v>184</v>
      </c>
      <c r="G2" s="1291" t="s">
        <v>185</v>
      </c>
      <c r="H2" s="1291"/>
      <c r="I2" s="1291"/>
      <c r="J2" s="1291"/>
      <c r="K2" s="1291"/>
      <c r="L2" s="316"/>
    </row>
    <row r="3" spans="2:12" ht="27.6">
      <c r="B3" s="1292"/>
      <c r="C3" s="1292"/>
      <c r="D3" s="1293"/>
      <c r="E3" s="1292"/>
      <c r="F3" s="1294"/>
      <c r="G3" s="1292"/>
      <c r="H3" s="312" t="s">
        <v>186</v>
      </c>
      <c r="I3" s="312" t="s">
        <v>172</v>
      </c>
      <c r="J3" s="311" t="s">
        <v>187</v>
      </c>
      <c r="K3" s="311" t="s">
        <v>188</v>
      </c>
      <c r="L3" s="311" t="s">
        <v>20</v>
      </c>
    </row>
    <row r="4" spans="2:12" ht="41.4">
      <c r="B4" s="318">
        <v>1</v>
      </c>
      <c r="C4" s="309" t="s">
        <v>189</v>
      </c>
      <c r="D4" s="309" t="s">
        <v>189</v>
      </c>
      <c r="E4" s="309" t="s">
        <v>150</v>
      </c>
      <c r="F4" s="309"/>
      <c r="G4" s="309" t="s">
        <v>174</v>
      </c>
      <c r="H4" s="313">
        <v>45665</v>
      </c>
      <c r="I4" s="313">
        <v>45674</v>
      </c>
      <c r="J4" s="309" t="s">
        <v>190</v>
      </c>
      <c r="K4" s="338">
        <v>45674</v>
      </c>
      <c r="L4" s="339" t="s">
        <v>73</v>
      </c>
    </row>
    <row r="5" spans="2:12" ht="41.4">
      <c r="B5" s="320">
        <f>B4+1</f>
        <v>2</v>
      </c>
      <c r="C5" s="320" t="s">
        <v>191</v>
      </c>
      <c r="D5" s="309" t="s">
        <v>191</v>
      </c>
      <c r="E5" s="309" t="s">
        <v>147</v>
      </c>
      <c r="F5" s="309"/>
      <c r="G5" s="309" t="s">
        <v>174</v>
      </c>
      <c r="H5" s="313">
        <v>45675</v>
      </c>
      <c r="I5" s="340" t="s">
        <v>192</v>
      </c>
      <c r="J5" s="309" t="s">
        <v>190</v>
      </c>
      <c r="K5" s="340" t="s">
        <v>193</v>
      </c>
      <c r="L5" s="322" t="s">
        <v>194</v>
      </c>
    </row>
    <row r="6" spans="2:12">
      <c r="B6" s="320">
        <f t="shared" ref="B6:B29" si="0">B5+1</f>
        <v>3</v>
      </c>
      <c r="C6" s="320" t="s">
        <v>195</v>
      </c>
      <c r="D6" s="321" t="s">
        <v>195</v>
      </c>
      <c r="E6" s="309" t="s">
        <v>147</v>
      </c>
      <c r="F6" s="309"/>
      <c r="G6" s="309" t="s">
        <v>174</v>
      </c>
      <c r="H6" s="313">
        <v>45675</v>
      </c>
      <c r="I6" s="313">
        <v>45684</v>
      </c>
      <c r="J6" s="309" t="s">
        <v>196</v>
      </c>
      <c r="K6" s="340"/>
      <c r="L6" s="339" t="s">
        <v>197</v>
      </c>
    </row>
    <row r="7" spans="2:12">
      <c r="B7" s="320">
        <f t="shared" si="0"/>
        <v>4</v>
      </c>
      <c r="C7" s="321" t="s">
        <v>173</v>
      </c>
      <c r="D7" s="322"/>
      <c r="E7" s="309" t="s">
        <v>147</v>
      </c>
      <c r="F7" s="320"/>
      <c r="G7" s="309" t="s">
        <v>174</v>
      </c>
      <c r="H7" s="313">
        <v>45685</v>
      </c>
      <c r="I7" s="313">
        <v>45690</v>
      </c>
      <c r="J7" s="309" t="s">
        <v>196</v>
      </c>
      <c r="K7" s="341"/>
      <c r="L7" s="339" t="s">
        <v>175</v>
      </c>
    </row>
    <row r="8" spans="2:12">
      <c r="B8" s="320">
        <f t="shared" si="0"/>
        <v>5</v>
      </c>
      <c r="C8" s="321" t="s">
        <v>176</v>
      </c>
      <c r="D8" s="322"/>
      <c r="E8" s="309" t="s">
        <v>147</v>
      </c>
      <c r="F8" s="320"/>
      <c r="G8" s="309" t="s">
        <v>174</v>
      </c>
      <c r="H8" s="313">
        <v>45685</v>
      </c>
      <c r="I8" s="313">
        <v>45693</v>
      </c>
      <c r="J8" s="309" t="s">
        <v>196</v>
      </c>
      <c r="K8" s="341"/>
      <c r="L8" s="339" t="s">
        <v>198</v>
      </c>
    </row>
    <row r="9" spans="2:12" ht="41.4">
      <c r="B9" s="320">
        <f t="shared" si="0"/>
        <v>6</v>
      </c>
      <c r="C9" s="321" t="s">
        <v>177</v>
      </c>
      <c r="D9" s="322"/>
      <c r="E9" s="309" t="s">
        <v>147</v>
      </c>
      <c r="F9" s="320"/>
      <c r="G9" s="309" t="s">
        <v>174</v>
      </c>
      <c r="H9" s="313">
        <v>45686</v>
      </c>
      <c r="I9" s="313">
        <v>45693</v>
      </c>
      <c r="J9" s="309" t="s">
        <v>199</v>
      </c>
      <c r="K9" s="341"/>
      <c r="L9" s="339" t="s">
        <v>175</v>
      </c>
    </row>
    <row r="10" spans="2:12" ht="41.4">
      <c r="B10" s="320">
        <f t="shared" si="0"/>
        <v>7</v>
      </c>
      <c r="C10" s="321" t="s">
        <v>178</v>
      </c>
      <c r="D10" s="322"/>
      <c r="E10" s="309" t="s">
        <v>150</v>
      </c>
      <c r="F10" s="320"/>
      <c r="G10" s="309" t="s">
        <v>174</v>
      </c>
      <c r="H10" s="313">
        <v>45691</v>
      </c>
      <c r="I10" s="313">
        <v>45698</v>
      </c>
      <c r="J10" s="309" t="s">
        <v>199</v>
      </c>
      <c r="K10" s="341"/>
      <c r="L10" s="339" t="s">
        <v>198</v>
      </c>
    </row>
    <row r="11" spans="2:12" ht="41.4">
      <c r="B11" s="320">
        <f t="shared" si="0"/>
        <v>8</v>
      </c>
      <c r="C11" s="321" t="s">
        <v>200</v>
      </c>
      <c r="D11" s="322"/>
      <c r="E11" s="309" t="s">
        <v>147</v>
      </c>
      <c r="F11" s="320"/>
      <c r="G11" s="309" t="s">
        <v>174</v>
      </c>
      <c r="H11" s="313">
        <v>45697</v>
      </c>
      <c r="I11" s="313">
        <v>45705</v>
      </c>
      <c r="J11" s="309" t="s">
        <v>199</v>
      </c>
      <c r="K11" s="341"/>
      <c r="L11" s="339" t="s">
        <v>198</v>
      </c>
    </row>
    <row r="12" spans="2:12" ht="41.4">
      <c r="B12" s="320">
        <f t="shared" si="0"/>
        <v>9</v>
      </c>
      <c r="C12" s="321" t="s">
        <v>201</v>
      </c>
      <c r="D12" s="322"/>
      <c r="E12" s="309" t="s">
        <v>147</v>
      </c>
      <c r="F12" s="320"/>
      <c r="G12" s="309" t="s">
        <v>174</v>
      </c>
      <c r="H12" s="313">
        <v>45700</v>
      </c>
      <c r="I12" s="313">
        <v>45706</v>
      </c>
      <c r="J12" s="309" t="s">
        <v>199</v>
      </c>
      <c r="K12" s="341"/>
      <c r="L12" s="339" t="s">
        <v>198</v>
      </c>
    </row>
    <row r="13" spans="2:12" ht="41.4">
      <c r="B13" s="320">
        <f t="shared" si="0"/>
        <v>10</v>
      </c>
      <c r="C13" s="321" t="s">
        <v>179</v>
      </c>
      <c r="D13" s="322"/>
      <c r="E13" s="309" t="s">
        <v>147</v>
      </c>
      <c r="F13" s="320"/>
      <c r="G13" s="309" t="s">
        <v>174</v>
      </c>
      <c r="H13" s="313">
        <v>45691</v>
      </c>
      <c r="I13" s="313">
        <v>45699</v>
      </c>
      <c r="J13" s="309" t="s">
        <v>202</v>
      </c>
      <c r="K13" s="341"/>
      <c r="L13" s="339" t="s">
        <v>198</v>
      </c>
    </row>
    <row r="14" spans="2:12">
      <c r="B14" s="320">
        <f t="shared" si="0"/>
        <v>11</v>
      </c>
      <c r="C14" s="321" t="s">
        <v>180</v>
      </c>
      <c r="D14" s="322"/>
      <c r="E14" s="309" t="s">
        <v>150</v>
      </c>
      <c r="F14" s="320"/>
      <c r="G14" s="309" t="s">
        <v>174</v>
      </c>
      <c r="H14" s="313">
        <v>45691</v>
      </c>
      <c r="I14" s="313">
        <v>45697</v>
      </c>
      <c r="J14" s="309" t="s">
        <v>196</v>
      </c>
      <c r="K14" s="341"/>
      <c r="L14" s="339" t="s">
        <v>175</v>
      </c>
    </row>
    <row r="15" spans="2:12">
      <c r="B15" s="320">
        <f t="shared" si="0"/>
        <v>12</v>
      </c>
      <c r="C15" s="321" t="s">
        <v>203</v>
      </c>
      <c r="D15" s="322"/>
      <c r="E15" s="309" t="s">
        <v>147</v>
      </c>
      <c r="F15" s="320"/>
      <c r="G15" s="309" t="s">
        <v>174</v>
      </c>
      <c r="H15" s="313">
        <v>45696</v>
      </c>
      <c r="I15" s="313">
        <v>45702</v>
      </c>
      <c r="J15" s="309" t="s">
        <v>196</v>
      </c>
      <c r="K15" s="341"/>
      <c r="L15" s="339" t="s">
        <v>198</v>
      </c>
    </row>
    <row r="16" spans="2:12" ht="41.4">
      <c r="B16" s="320">
        <f t="shared" si="0"/>
        <v>13</v>
      </c>
      <c r="C16" s="321" t="s">
        <v>204</v>
      </c>
      <c r="D16" s="322"/>
      <c r="E16" s="309" t="s">
        <v>150</v>
      </c>
      <c r="F16" s="320"/>
      <c r="G16" s="309" t="s">
        <v>174</v>
      </c>
      <c r="H16" s="313">
        <v>42046</v>
      </c>
      <c r="I16" s="313">
        <v>45705</v>
      </c>
      <c r="J16" s="309" t="s">
        <v>202</v>
      </c>
      <c r="K16" s="341"/>
      <c r="L16" s="339" t="s">
        <v>198</v>
      </c>
    </row>
    <row r="17" spans="2:12">
      <c r="B17" s="320">
        <f t="shared" si="0"/>
        <v>14</v>
      </c>
      <c r="C17" s="321" t="s">
        <v>205</v>
      </c>
      <c r="D17" s="322"/>
      <c r="E17" s="309" t="s">
        <v>206</v>
      </c>
      <c r="F17" s="320"/>
      <c r="G17" s="309" t="s">
        <v>174</v>
      </c>
      <c r="H17" s="313">
        <v>45701</v>
      </c>
      <c r="I17" s="340"/>
      <c r="J17" s="309" t="s">
        <v>196</v>
      </c>
      <c r="K17" s="341"/>
      <c r="L17" s="342" t="s">
        <v>207</v>
      </c>
    </row>
    <row r="18" spans="2:12" ht="41.4">
      <c r="B18" s="320">
        <f t="shared" si="0"/>
        <v>15</v>
      </c>
      <c r="C18" s="321" t="s">
        <v>208</v>
      </c>
      <c r="D18" s="322"/>
      <c r="E18" s="309" t="s">
        <v>147</v>
      </c>
      <c r="F18" s="320"/>
      <c r="G18" s="309" t="s">
        <v>174</v>
      </c>
      <c r="H18" s="313">
        <v>45698</v>
      </c>
      <c r="I18" s="340"/>
      <c r="J18" s="309" t="s">
        <v>209</v>
      </c>
      <c r="K18" s="341"/>
      <c r="L18" s="342" t="s">
        <v>210</v>
      </c>
    </row>
    <row r="19" spans="2:12" ht="41.4">
      <c r="B19" s="320">
        <f t="shared" si="0"/>
        <v>16</v>
      </c>
      <c r="C19" s="321" t="s">
        <v>211</v>
      </c>
      <c r="D19" s="322"/>
      <c r="E19" s="309" t="s">
        <v>212</v>
      </c>
      <c r="F19" s="320"/>
      <c r="G19" s="309" t="s">
        <v>174</v>
      </c>
      <c r="H19" s="313">
        <v>45705</v>
      </c>
      <c r="I19" s="340"/>
      <c r="J19" s="309" t="s">
        <v>213</v>
      </c>
      <c r="K19" s="341"/>
      <c r="L19" s="342" t="s">
        <v>214</v>
      </c>
    </row>
    <row r="20" spans="2:12" ht="41.4">
      <c r="B20" s="320">
        <f t="shared" si="0"/>
        <v>17</v>
      </c>
      <c r="C20" s="321" t="s">
        <v>215</v>
      </c>
      <c r="D20" s="322"/>
      <c r="E20" s="309" t="s">
        <v>212</v>
      </c>
      <c r="F20" s="320"/>
      <c r="G20" s="309" t="s">
        <v>174</v>
      </c>
      <c r="H20" s="313">
        <v>45705</v>
      </c>
      <c r="I20" s="340"/>
      <c r="J20" s="309" t="s">
        <v>199</v>
      </c>
      <c r="K20" s="341"/>
      <c r="L20" s="342" t="s">
        <v>216</v>
      </c>
    </row>
    <row r="21" spans="2:12" ht="41.4">
      <c r="B21" s="320">
        <f t="shared" si="0"/>
        <v>18</v>
      </c>
      <c r="C21" s="321" t="s">
        <v>217</v>
      </c>
      <c r="D21" s="322"/>
      <c r="E21" s="309" t="s">
        <v>212</v>
      </c>
      <c r="F21" s="320"/>
      <c r="G21" s="309" t="s">
        <v>174</v>
      </c>
      <c r="H21" s="313">
        <v>45705</v>
      </c>
      <c r="I21" s="340"/>
      <c r="J21" s="309" t="s">
        <v>218</v>
      </c>
      <c r="K21" s="341"/>
      <c r="L21" s="342" t="s">
        <v>216</v>
      </c>
    </row>
    <row r="22" spans="2:12" ht="41.4">
      <c r="B22" s="320">
        <f t="shared" si="0"/>
        <v>19</v>
      </c>
      <c r="C22" s="321" t="s">
        <v>181</v>
      </c>
      <c r="D22" s="322"/>
      <c r="E22" s="309" t="s">
        <v>147</v>
      </c>
      <c r="F22" s="320"/>
      <c r="G22" s="309" t="s">
        <v>174</v>
      </c>
      <c r="H22" s="331"/>
      <c r="I22" s="340"/>
      <c r="J22" s="309" t="s">
        <v>219</v>
      </c>
      <c r="K22" s="341"/>
      <c r="L22" s="322" t="s">
        <v>220</v>
      </c>
    </row>
    <row r="23" spans="2:12">
      <c r="B23" s="320">
        <f t="shared" si="0"/>
        <v>20</v>
      </c>
      <c r="C23" s="332" t="s">
        <v>221</v>
      </c>
      <c r="D23" s="333"/>
      <c r="E23" s="334"/>
      <c r="F23" s="335"/>
      <c r="G23" s="336"/>
      <c r="H23" s="333"/>
      <c r="I23" s="335"/>
      <c r="J23" s="336"/>
      <c r="K23" s="333"/>
      <c r="L23" s="343"/>
    </row>
    <row r="24" spans="2:12">
      <c r="B24" s="320">
        <f t="shared" si="0"/>
        <v>21</v>
      </c>
      <c r="C24" s="332" t="s">
        <v>222</v>
      </c>
      <c r="D24" s="333"/>
      <c r="E24" s="334"/>
      <c r="F24" s="335"/>
      <c r="G24" s="334"/>
      <c r="H24" s="333"/>
      <c r="I24" s="335"/>
      <c r="J24" s="334"/>
      <c r="K24" s="333"/>
      <c r="L24" s="343"/>
    </row>
    <row r="25" spans="2:12">
      <c r="B25" s="320">
        <f t="shared" si="0"/>
        <v>22</v>
      </c>
      <c r="C25" s="337" t="s">
        <v>223</v>
      </c>
      <c r="D25" s="333"/>
      <c r="E25" s="337"/>
      <c r="F25" s="335"/>
      <c r="G25" s="337"/>
      <c r="H25" s="333"/>
      <c r="I25" s="335"/>
      <c r="J25" s="337"/>
      <c r="K25" s="333"/>
      <c r="L25" s="343"/>
    </row>
    <row r="26" spans="2:12">
      <c r="B26" s="320">
        <f t="shared" si="0"/>
        <v>23</v>
      </c>
      <c r="C26" s="337" t="s">
        <v>224</v>
      </c>
      <c r="D26" s="333"/>
      <c r="E26" s="337"/>
      <c r="F26" s="337"/>
      <c r="G26" s="337"/>
      <c r="H26" s="333"/>
      <c r="I26" s="337"/>
      <c r="J26" s="337"/>
      <c r="K26" s="333"/>
      <c r="L26" s="343"/>
    </row>
    <row r="27" spans="2:12">
      <c r="B27" s="320">
        <f t="shared" si="0"/>
        <v>24</v>
      </c>
      <c r="C27" s="337" t="s">
        <v>225</v>
      </c>
      <c r="D27" s="333"/>
      <c r="E27" s="337"/>
      <c r="F27" s="337"/>
      <c r="G27" s="337"/>
      <c r="H27" s="333"/>
      <c r="I27" s="337"/>
      <c r="J27" s="337"/>
      <c r="K27" s="333"/>
      <c r="L27" s="343"/>
    </row>
    <row r="28" spans="2:12">
      <c r="B28" s="320">
        <f t="shared" si="0"/>
        <v>25</v>
      </c>
      <c r="C28" s="337" t="s">
        <v>226</v>
      </c>
      <c r="D28" s="333"/>
      <c r="E28" s="337"/>
      <c r="F28" s="337"/>
      <c r="G28" s="337"/>
      <c r="H28" s="333"/>
      <c r="I28" s="337"/>
      <c r="J28" s="337"/>
      <c r="K28" s="333"/>
      <c r="L28" s="343"/>
    </row>
    <row r="29" spans="2:12">
      <c r="B29" s="320">
        <f t="shared" si="0"/>
        <v>26</v>
      </c>
      <c r="C29" s="337" t="s">
        <v>227</v>
      </c>
      <c r="D29" s="333"/>
      <c r="E29" s="337"/>
      <c r="F29" s="337"/>
      <c r="G29" s="337"/>
      <c r="H29" s="333"/>
      <c r="I29" s="337"/>
      <c r="J29" s="337"/>
      <c r="K29" s="333"/>
      <c r="L29" s="343"/>
    </row>
  </sheetData>
  <mergeCells count="7">
    <mergeCell ref="H2:K2"/>
    <mergeCell ref="B2:B3"/>
    <mergeCell ref="C2:C3"/>
    <mergeCell ref="D2:D3"/>
    <mergeCell ref="E2:E3"/>
    <mergeCell ref="F2:F3"/>
    <mergeCell ref="G2:G3"/>
  </mergeCells>
  <conditionalFormatting sqref="C2:C3">
    <cfRule type="duplicateValues" dxfId="299" priority="7"/>
    <cfRule type="duplicateValues" dxfId="298" priority="8"/>
    <cfRule type="duplicateValues" dxfId="297" priority="9" stopIfTrue="1"/>
  </conditionalFormatting>
  <conditionalFormatting sqref="C7:C22">
    <cfRule type="duplicateValues" dxfId="296" priority="22"/>
    <cfRule type="duplicateValues" dxfId="295" priority="26"/>
    <cfRule type="duplicateValues" dxfId="294" priority="27" stopIfTrue="1"/>
  </conditionalFormatting>
  <conditionalFormatting sqref="C23:C24">
    <cfRule type="duplicateValues" dxfId="293" priority="125"/>
  </conditionalFormatting>
  <conditionalFormatting sqref="C23:C29">
    <cfRule type="duplicateValues" dxfId="292" priority="127" stopIfTrue="1"/>
    <cfRule type="duplicateValues" dxfId="291" priority="129"/>
  </conditionalFormatting>
  <conditionalFormatting sqref="D4 D6 D5:G5">
    <cfRule type="duplicateValues" dxfId="290" priority="19"/>
    <cfRule type="duplicateValues" dxfId="289" priority="20"/>
    <cfRule type="duplicateValues" dxfId="288" priority="21" stopIfTrue="1"/>
  </conditionalFormatting>
  <conditionalFormatting sqref="E11">
    <cfRule type="duplicateValues" dxfId="287" priority="13"/>
    <cfRule type="duplicateValues" dxfId="286" priority="14"/>
    <cfRule type="duplicateValues" dxfId="285" priority="15" stopIfTrue="1"/>
  </conditionalFormatting>
  <conditionalFormatting sqref="E12">
    <cfRule type="duplicateValues" dxfId="284" priority="10"/>
    <cfRule type="duplicateValues" dxfId="283" priority="11"/>
    <cfRule type="duplicateValues" dxfId="282" priority="12" stopIfTrue="1"/>
  </conditionalFormatting>
  <conditionalFormatting sqref="E17">
    <cfRule type="duplicateValues" dxfId="281" priority="23"/>
    <cfRule type="duplicateValues" dxfId="280" priority="24"/>
    <cfRule type="duplicateValues" dxfId="279" priority="25" stopIfTrue="1"/>
  </conditionalFormatting>
  <conditionalFormatting sqref="E23:E24">
    <cfRule type="duplicateValues" dxfId="278" priority="119"/>
    <cfRule type="duplicateValues" dxfId="277" priority="120"/>
    <cfRule type="duplicateValues" dxfId="276" priority="121" stopIfTrue="1"/>
  </conditionalFormatting>
  <conditionalFormatting sqref="E6:G6">
    <cfRule type="duplicateValues" dxfId="275" priority="16"/>
    <cfRule type="duplicateValues" dxfId="274" priority="17"/>
    <cfRule type="duplicateValues" dxfId="273" priority="18" stopIfTrue="1"/>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4"/>
  <cols>
    <col min="4" max="4" width="12" customWidth="1"/>
  </cols>
  <sheetData>
    <row r="1" spans="1:22">
      <c r="A1" s="247"/>
      <c r="B1" s="1308" t="s">
        <v>262</v>
      </c>
      <c r="C1" s="1309"/>
      <c r="D1" s="1309"/>
      <c r="E1" s="1309"/>
      <c r="F1" s="1309"/>
      <c r="G1" s="1309"/>
      <c r="H1" s="1309"/>
      <c r="I1" s="1309"/>
      <c r="J1" s="1309"/>
      <c r="K1" s="1309"/>
      <c r="L1" s="1309"/>
      <c r="M1" s="1309"/>
      <c r="N1" s="1309"/>
      <c r="O1" s="1309"/>
      <c r="P1" s="1309"/>
      <c r="Q1" s="1309"/>
      <c r="R1" s="1309"/>
      <c r="S1" s="1309"/>
      <c r="T1" s="1309"/>
      <c r="U1" s="1310"/>
      <c r="V1" s="166"/>
    </row>
    <row r="2" spans="1:22">
      <c r="A2" s="1311" t="s">
        <v>263</v>
      </c>
      <c r="B2" s="1312"/>
      <c r="C2" s="1312"/>
      <c r="D2" s="1312"/>
      <c r="E2" s="1312"/>
      <c r="F2" s="1312"/>
      <c r="G2" s="1312"/>
      <c r="H2" s="1312"/>
      <c r="I2" s="1312"/>
      <c r="J2" s="1312"/>
      <c r="K2" s="1312"/>
      <c r="L2" s="1312"/>
      <c r="M2" s="1312"/>
      <c r="N2" s="1312"/>
      <c r="O2" s="1312"/>
      <c r="P2" s="1312"/>
      <c r="Q2" s="1312"/>
      <c r="R2" s="1312"/>
      <c r="S2" s="1312"/>
      <c r="T2" s="1313"/>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1302" t="s">
        <v>264</v>
      </c>
      <c r="B4" s="1303"/>
      <c r="C4" s="127"/>
      <c r="D4" s="1304" t="s">
        <v>265</v>
      </c>
      <c r="E4" s="1305"/>
      <c r="F4" s="1297" t="s">
        <v>266</v>
      </c>
      <c r="G4" s="1298" t="s">
        <v>267</v>
      </c>
      <c r="H4" s="1298" t="s">
        <v>268</v>
      </c>
      <c r="I4" s="1298"/>
      <c r="J4" s="1298"/>
      <c r="K4" s="128" t="s">
        <v>269</v>
      </c>
      <c r="L4" s="1314" t="s">
        <v>270</v>
      </c>
      <c r="M4" s="1315"/>
      <c r="N4" s="1316"/>
      <c r="O4" s="1298" t="s">
        <v>271</v>
      </c>
      <c r="P4" s="1298"/>
      <c r="Q4" s="1298"/>
      <c r="R4" s="1317"/>
      <c r="S4" s="1317"/>
      <c r="T4" s="1317"/>
      <c r="U4" s="264"/>
    </row>
    <row r="5" spans="1:22">
      <c r="A5" s="1302"/>
      <c r="B5" s="1303"/>
      <c r="C5" s="127"/>
      <c r="D5" s="1306"/>
      <c r="E5" s="1307"/>
      <c r="F5" s="1297"/>
      <c r="G5" s="1298"/>
      <c r="H5" s="128" t="s">
        <v>272</v>
      </c>
      <c r="I5" s="128" t="s">
        <v>242</v>
      </c>
      <c r="J5" s="128" t="s">
        <v>273</v>
      </c>
      <c r="K5" s="128" t="s">
        <v>272</v>
      </c>
      <c r="L5" s="128" t="s">
        <v>272</v>
      </c>
      <c r="M5" s="128" t="s">
        <v>242</v>
      </c>
      <c r="N5" s="128" t="s">
        <v>273</v>
      </c>
      <c r="O5" s="128" t="s">
        <v>272</v>
      </c>
      <c r="P5" s="128" t="s">
        <v>242</v>
      </c>
      <c r="Q5" s="128" t="s">
        <v>273</v>
      </c>
      <c r="R5" s="165"/>
      <c r="S5" s="165"/>
      <c r="T5" s="165"/>
      <c r="U5" s="264"/>
    </row>
    <row r="6" spans="1:22">
      <c r="A6" s="297"/>
      <c r="B6" s="127"/>
      <c r="C6" s="127"/>
      <c r="D6" s="1295"/>
      <c r="E6" s="1296"/>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274</v>
      </c>
      <c r="D13" s="145"/>
      <c r="E13" s="358" t="s">
        <v>236</v>
      </c>
      <c r="F13" s="145"/>
      <c r="G13" s="358" t="s">
        <v>237</v>
      </c>
      <c r="H13" s="145"/>
      <c r="I13" s="358" t="s">
        <v>275</v>
      </c>
      <c r="J13" s="133"/>
      <c r="K13" s="144" t="s">
        <v>276</v>
      </c>
      <c r="L13" s="133"/>
      <c r="M13" s="358" t="s">
        <v>277</v>
      </c>
      <c r="N13" s="133"/>
      <c r="O13" s="144" t="s">
        <v>278</v>
      </c>
      <c r="P13" s="133"/>
      <c r="Q13" s="144" t="s">
        <v>279</v>
      </c>
      <c r="R13" s="133"/>
      <c r="S13" s="358" t="s">
        <v>280</v>
      </c>
      <c r="T13" s="133"/>
      <c r="U13" s="236"/>
    </row>
    <row r="14" spans="1:22">
      <c r="A14" s="301"/>
      <c r="B14" s="143"/>
      <c r="C14" s="147" t="s">
        <v>82</v>
      </c>
      <c r="D14" s="148"/>
      <c r="E14" s="148" t="s">
        <v>281</v>
      </c>
      <c r="F14" s="148"/>
      <c r="G14" s="149" t="s">
        <v>260</v>
      </c>
      <c r="H14" s="148"/>
      <c r="I14" s="149" t="s">
        <v>281</v>
      </c>
      <c r="J14" s="149"/>
      <c r="K14" s="147" t="s">
        <v>84</v>
      </c>
      <c r="L14" s="149"/>
      <c r="M14" s="149" t="s">
        <v>282</v>
      </c>
      <c r="N14" s="149"/>
      <c r="O14" s="147" t="s">
        <v>90</v>
      </c>
      <c r="P14" s="149"/>
      <c r="Q14" s="147" t="s">
        <v>283</v>
      </c>
      <c r="R14" s="149"/>
      <c r="S14" s="149" t="s">
        <v>281</v>
      </c>
      <c r="T14" s="133"/>
      <c r="U14" s="236"/>
    </row>
    <row r="15" spans="1:22">
      <c r="A15" s="302"/>
      <c r="B15" s="255"/>
      <c r="C15" s="255"/>
      <c r="D15" s="255"/>
      <c r="E15" s="255"/>
      <c r="F15" s="255"/>
      <c r="G15" s="255"/>
      <c r="H15" s="255"/>
      <c r="I15" s="255"/>
      <c r="J15" s="255"/>
      <c r="K15" s="306" t="s">
        <v>184</v>
      </c>
      <c r="L15" s="255"/>
      <c r="M15" s="306" t="s">
        <v>184</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59" t="s">
        <v>284</v>
      </c>
      <c r="C22" s="133"/>
      <c r="D22" s="359" t="s">
        <v>285</v>
      </c>
      <c r="E22" s="133"/>
      <c r="F22" s="144" t="s">
        <v>286</v>
      </c>
      <c r="G22" s="133"/>
      <c r="H22" s="144" t="s">
        <v>287</v>
      </c>
      <c r="I22" s="133"/>
      <c r="J22" s="144" t="s">
        <v>288</v>
      </c>
      <c r="K22" s="133"/>
      <c r="L22" s="359" t="s">
        <v>289</v>
      </c>
      <c r="M22" s="133"/>
      <c r="N22" s="144" t="s">
        <v>290</v>
      </c>
      <c r="O22" s="133"/>
      <c r="P22" s="359" t="s">
        <v>291</v>
      </c>
      <c r="Q22" s="133"/>
      <c r="R22" s="359" t="s">
        <v>292</v>
      </c>
      <c r="S22" s="133"/>
      <c r="T22" s="144" t="s">
        <v>293</v>
      </c>
      <c r="U22" s="133"/>
      <c r="V22" s="144"/>
    </row>
    <row r="23" spans="1:22">
      <c r="A23" s="209"/>
      <c r="B23" s="133" t="s">
        <v>282</v>
      </c>
      <c r="C23" s="133"/>
      <c r="D23" s="133" t="s">
        <v>281</v>
      </c>
      <c r="E23" s="133"/>
      <c r="F23" s="144" t="s">
        <v>82</v>
      </c>
      <c r="G23" s="133"/>
      <c r="H23" s="144" t="s">
        <v>294</v>
      </c>
      <c r="I23" s="133"/>
      <c r="J23" s="144" t="s">
        <v>97</v>
      </c>
      <c r="K23" s="133"/>
      <c r="L23" s="145" t="s">
        <v>147</v>
      </c>
      <c r="M23" s="133"/>
      <c r="N23" s="144" t="s">
        <v>97</v>
      </c>
      <c r="O23" s="133"/>
      <c r="P23" s="145" t="s">
        <v>206</v>
      </c>
      <c r="Q23" s="133"/>
      <c r="R23" s="145" t="s">
        <v>206</v>
      </c>
      <c r="S23" s="133"/>
      <c r="T23" s="144" t="s">
        <v>294</v>
      </c>
      <c r="U23" s="133"/>
      <c r="V23" s="144"/>
    </row>
    <row r="24" spans="1:22">
      <c r="A24" s="209"/>
      <c r="B24" s="144" t="s">
        <v>295</v>
      </c>
      <c r="C24" s="133"/>
      <c r="D24" s="144" t="s">
        <v>184</v>
      </c>
      <c r="E24" s="133"/>
      <c r="F24" s="144" t="s">
        <v>184</v>
      </c>
      <c r="G24" s="133"/>
      <c r="H24" s="144" t="s">
        <v>295</v>
      </c>
      <c r="I24" s="133"/>
      <c r="J24" s="133"/>
      <c r="K24" s="133"/>
      <c r="L24" s="144" t="s">
        <v>296</v>
      </c>
      <c r="M24" s="133"/>
      <c r="N24" s="133"/>
      <c r="O24" s="133"/>
      <c r="P24" s="160"/>
      <c r="Q24" s="133"/>
      <c r="R24" s="144" t="s">
        <v>295</v>
      </c>
      <c r="S24" s="133"/>
      <c r="T24" s="144" t="s">
        <v>295</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3669.36</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297</v>
      </c>
      <c r="C31" s="133"/>
      <c r="D31" s="144" t="s">
        <v>298</v>
      </c>
      <c r="E31" s="133"/>
      <c r="F31" s="359" t="s">
        <v>299</v>
      </c>
      <c r="G31" s="133"/>
      <c r="H31" s="144" t="s">
        <v>300</v>
      </c>
      <c r="I31" s="133"/>
      <c r="J31" s="359" t="s">
        <v>301</v>
      </c>
      <c r="K31" s="133"/>
      <c r="L31" s="359" t="s">
        <v>302</v>
      </c>
      <c r="M31" s="133"/>
      <c r="N31" s="359" t="s">
        <v>303</v>
      </c>
      <c r="O31" s="133"/>
      <c r="P31" s="144" t="s">
        <v>304</v>
      </c>
      <c r="Q31" s="133"/>
      <c r="R31" s="359" t="s">
        <v>245</v>
      </c>
      <c r="S31" s="133"/>
      <c r="T31" s="144" t="s">
        <v>305</v>
      </c>
      <c r="U31" s="133"/>
      <c r="V31" s="304"/>
    </row>
    <row r="32" spans="1:22">
      <c r="A32" s="209"/>
      <c r="B32" s="144" t="s">
        <v>294</v>
      </c>
      <c r="C32" s="133"/>
      <c r="D32" s="144" t="s">
        <v>306</v>
      </c>
      <c r="E32" s="133"/>
      <c r="F32" s="145" t="s">
        <v>147</v>
      </c>
      <c r="G32" s="133"/>
      <c r="H32" s="144" t="s">
        <v>307</v>
      </c>
      <c r="I32" s="133"/>
      <c r="J32" s="145" t="s">
        <v>212</v>
      </c>
      <c r="K32" s="133"/>
      <c r="L32" s="145" t="s">
        <v>147</v>
      </c>
      <c r="M32" s="133"/>
      <c r="N32" s="145" t="s">
        <v>212</v>
      </c>
      <c r="O32" s="133"/>
      <c r="P32" s="144" t="s">
        <v>283</v>
      </c>
      <c r="Q32" s="133"/>
      <c r="R32" s="145" t="s">
        <v>212</v>
      </c>
      <c r="S32" s="133"/>
      <c r="T32" s="144" t="s">
        <v>308</v>
      </c>
      <c r="U32" s="133"/>
      <c r="V32" s="145"/>
    </row>
    <row r="33" spans="1:22">
      <c r="A33" s="209"/>
      <c r="B33" s="133"/>
      <c r="C33" s="133"/>
      <c r="D33" s="133"/>
      <c r="E33" s="133"/>
      <c r="F33" s="144" t="s">
        <v>309</v>
      </c>
      <c r="G33" s="133"/>
      <c r="H33" s="144"/>
      <c r="I33" s="133"/>
      <c r="J33" s="155"/>
      <c r="K33" s="155"/>
      <c r="L33" s="155"/>
      <c r="M33" s="155"/>
      <c r="N33" s="144" t="s">
        <v>184</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59" t="s">
        <v>310</v>
      </c>
      <c r="C40" s="133"/>
      <c r="D40" s="359" t="s">
        <v>311</v>
      </c>
      <c r="E40" s="133"/>
      <c r="F40" s="359" t="s">
        <v>312</v>
      </c>
      <c r="G40" s="133"/>
      <c r="H40" s="359" t="s">
        <v>246</v>
      </c>
      <c r="I40" s="133"/>
      <c r="J40" s="359" t="s">
        <v>247</v>
      </c>
      <c r="K40" s="133"/>
      <c r="L40" s="144" t="s">
        <v>313</v>
      </c>
      <c r="M40" s="133"/>
      <c r="N40" s="359" t="s">
        <v>314</v>
      </c>
      <c r="O40" s="133"/>
      <c r="P40" s="144" t="s">
        <v>315</v>
      </c>
      <c r="Q40" s="133"/>
      <c r="R40" s="359" t="s">
        <v>316</v>
      </c>
      <c r="S40" s="133"/>
      <c r="T40" s="359" t="s">
        <v>317</v>
      </c>
      <c r="U40" s="133"/>
      <c r="V40" s="170"/>
    </row>
    <row r="41" spans="1:22">
      <c r="A41" s="209"/>
      <c r="B41" s="145" t="s">
        <v>147</v>
      </c>
      <c r="C41" s="149"/>
      <c r="D41" s="148" t="s">
        <v>147</v>
      </c>
      <c r="E41" s="149"/>
      <c r="F41" s="148" t="s">
        <v>259</v>
      </c>
      <c r="G41" s="149"/>
      <c r="H41" s="148" t="s">
        <v>282</v>
      </c>
      <c r="I41" s="149"/>
      <c r="J41" s="148" t="s">
        <v>282</v>
      </c>
      <c r="K41" s="149"/>
      <c r="L41" s="147" t="s">
        <v>283</v>
      </c>
      <c r="M41" s="149"/>
      <c r="N41" s="148" t="s">
        <v>147</v>
      </c>
      <c r="O41" s="149"/>
      <c r="P41" s="147" t="s">
        <v>306</v>
      </c>
      <c r="Q41" s="149"/>
      <c r="R41" s="148" t="s">
        <v>212</v>
      </c>
      <c r="S41" s="133"/>
      <c r="T41" s="148" t="s">
        <v>212</v>
      </c>
      <c r="U41" s="133"/>
      <c r="V41" s="170"/>
    </row>
    <row r="42" spans="1:22">
      <c r="A42" s="209"/>
      <c r="B42" s="154" t="s">
        <v>184</v>
      </c>
      <c r="C42" s="155"/>
      <c r="D42" s="155"/>
      <c r="E42" s="155"/>
      <c r="F42" s="154" t="s">
        <v>184</v>
      </c>
      <c r="G42" s="155"/>
      <c r="H42" s="155"/>
      <c r="I42" s="155"/>
      <c r="J42" s="155"/>
      <c r="K42" s="155"/>
      <c r="L42" s="155"/>
      <c r="M42" s="155"/>
      <c r="N42" s="155"/>
      <c r="O42" s="155"/>
      <c r="P42" s="144" t="s">
        <v>295</v>
      </c>
      <c r="Q42" s="155"/>
      <c r="R42" s="155"/>
      <c r="S42" s="133"/>
      <c r="T42" s="154" t="s">
        <v>184</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318</v>
      </c>
      <c r="C46" s="139"/>
      <c r="D46" s="305" t="s">
        <v>242</v>
      </c>
      <c r="E46" s="133"/>
      <c r="F46" s="140"/>
      <c r="G46" s="139"/>
      <c r="H46" s="140"/>
      <c r="I46" s="139"/>
      <c r="J46" s="140"/>
      <c r="K46" s="139"/>
      <c r="L46" s="140"/>
      <c r="M46" s="139"/>
      <c r="N46" s="140"/>
      <c r="O46" s="139"/>
      <c r="P46" s="140"/>
      <c r="Q46" s="137"/>
      <c r="R46" s="157" t="s">
        <v>318</v>
      </c>
      <c r="S46" s="139"/>
      <c r="T46" s="157" t="s">
        <v>318</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59" t="s">
        <v>238</v>
      </c>
      <c r="C48" s="133"/>
      <c r="D48" s="359" t="s">
        <v>239</v>
      </c>
      <c r="E48" s="133"/>
      <c r="F48" s="359" t="s">
        <v>319</v>
      </c>
      <c r="G48" s="133"/>
      <c r="H48" s="359" t="s">
        <v>248</v>
      </c>
      <c r="I48" s="133"/>
      <c r="J48" s="359" t="s">
        <v>249</v>
      </c>
      <c r="K48" s="133"/>
      <c r="L48" s="144" t="s">
        <v>320</v>
      </c>
      <c r="M48" s="133"/>
      <c r="N48" s="144" t="s">
        <v>321</v>
      </c>
      <c r="O48" s="133"/>
      <c r="P48" s="144" t="s">
        <v>119</v>
      </c>
      <c r="Q48" s="133"/>
      <c r="R48" s="359" t="s">
        <v>211</v>
      </c>
      <c r="S48" s="133"/>
      <c r="T48" s="359" t="s">
        <v>224</v>
      </c>
      <c r="U48" s="133"/>
      <c r="V48" s="170"/>
    </row>
    <row r="49" spans="1:22">
      <c r="A49" s="209"/>
      <c r="B49" s="145" t="s">
        <v>212</v>
      </c>
      <c r="C49" s="133"/>
      <c r="D49" s="145" t="s">
        <v>212</v>
      </c>
      <c r="E49" s="133"/>
      <c r="F49" s="145" t="s">
        <v>212</v>
      </c>
      <c r="G49" s="133"/>
      <c r="H49" s="145" t="s">
        <v>150</v>
      </c>
      <c r="I49" s="133"/>
      <c r="J49" s="145" t="s">
        <v>150</v>
      </c>
      <c r="K49" s="133"/>
      <c r="L49" s="144" t="s">
        <v>90</v>
      </c>
      <c r="M49" s="133"/>
      <c r="N49" s="144" t="s">
        <v>294</v>
      </c>
      <c r="O49" s="133"/>
      <c r="P49" s="144" t="s">
        <v>90</v>
      </c>
      <c r="Q49" s="133"/>
      <c r="R49" s="148" t="s">
        <v>212</v>
      </c>
      <c r="S49" s="133"/>
      <c r="T49" s="145" t="s">
        <v>147</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184</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242</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59" t="s">
        <v>225</v>
      </c>
      <c r="C56" s="133"/>
      <c r="D56" s="359" t="s">
        <v>250</v>
      </c>
      <c r="E56" s="133"/>
      <c r="F56" s="144" t="s">
        <v>322</v>
      </c>
      <c r="G56" s="133"/>
      <c r="H56" s="359" t="s">
        <v>323</v>
      </c>
      <c r="I56" s="133"/>
      <c r="J56" s="359" t="s">
        <v>324</v>
      </c>
      <c r="K56" s="133"/>
      <c r="L56" s="144" t="s">
        <v>325</v>
      </c>
      <c r="M56" s="133"/>
      <c r="N56" s="144" t="s">
        <v>326</v>
      </c>
      <c r="O56" s="133"/>
      <c r="P56" s="359" t="s">
        <v>327</v>
      </c>
      <c r="Q56" s="133"/>
      <c r="R56" s="359" t="s">
        <v>328</v>
      </c>
      <c r="S56" s="133"/>
      <c r="T56" s="359" t="s">
        <v>329</v>
      </c>
      <c r="V56" s="170"/>
    </row>
    <row r="57" spans="1:22">
      <c r="A57" s="209"/>
      <c r="B57" s="148" t="s">
        <v>150</v>
      </c>
      <c r="C57" s="133"/>
      <c r="D57" s="145" t="s">
        <v>212</v>
      </c>
      <c r="E57" s="133"/>
      <c r="F57" s="147" t="s">
        <v>93</v>
      </c>
      <c r="G57" s="133"/>
      <c r="H57" s="145" t="s">
        <v>206</v>
      </c>
      <c r="I57" s="133"/>
      <c r="J57" s="145" t="s">
        <v>84</v>
      </c>
      <c r="K57" s="133"/>
      <c r="L57" s="144" t="s">
        <v>294</v>
      </c>
      <c r="M57" s="133"/>
      <c r="N57" s="144" t="s">
        <v>108</v>
      </c>
      <c r="O57" s="133"/>
      <c r="P57" s="145" t="s">
        <v>206</v>
      </c>
      <c r="Q57" s="133"/>
      <c r="R57" s="145" t="s">
        <v>147</v>
      </c>
      <c r="S57" s="133"/>
      <c r="T57" s="145" t="s">
        <v>260</v>
      </c>
      <c r="V57" s="170"/>
    </row>
    <row r="58" spans="1:22">
      <c r="A58" s="209"/>
      <c r="B58" s="154"/>
      <c r="C58" s="155"/>
      <c r="D58" s="155"/>
      <c r="E58" s="155"/>
      <c r="F58" s="154" t="s">
        <v>184</v>
      </c>
      <c r="G58" s="155"/>
      <c r="H58" s="155"/>
      <c r="I58" s="155"/>
      <c r="J58" s="155"/>
      <c r="K58" s="155"/>
      <c r="L58" s="155"/>
      <c r="M58" s="155"/>
      <c r="N58" s="155"/>
      <c r="O58" s="155"/>
      <c r="P58" s="155"/>
      <c r="Q58" s="155"/>
      <c r="R58" s="154" t="s">
        <v>330</v>
      </c>
      <c r="S58" s="133"/>
      <c r="T58" s="154" t="s">
        <v>184</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318</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331</v>
      </c>
      <c r="C64" s="149"/>
      <c r="D64" s="360" t="s">
        <v>251</v>
      </c>
      <c r="E64" s="133"/>
      <c r="F64" s="360" t="s">
        <v>332</v>
      </c>
      <c r="G64" s="149"/>
      <c r="H64" s="360" t="s">
        <v>333</v>
      </c>
      <c r="I64" s="133"/>
      <c r="J64" s="147" t="s">
        <v>334</v>
      </c>
      <c r="K64" s="149"/>
      <c r="L64" s="360" t="s">
        <v>335</v>
      </c>
      <c r="M64" s="149"/>
      <c r="N64" s="360" t="s">
        <v>336</v>
      </c>
      <c r="O64" s="149"/>
      <c r="P64" s="147" t="s">
        <v>337</v>
      </c>
      <c r="Q64" s="149"/>
      <c r="R64" s="360" t="s">
        <v>252</v>
      </c>
      <c r="S64" s="149"/>
      <c r="T64" s="360" t="s">
        <v>223</v>
      </c>
      <c r="V64" s="170"/>
    </row>
    <row r="65" spans="1:22">
      <c r="A65" s="209"/>
      <c r="B65" s="147" t="s">
        <v>308</v>
      </c>
      <c r="C65" s="149"/>
      <c r="D65" s="148" t="s">
        <v>259</v>
      </c>
      <c r="E65" s="133"/>
      <c r="F65" s="148" t="s">
        <v>260</v>
      </c>
      <c r="G65" s="149"/>
      <c r="H65" s="148" t="s">
        <v>260</v>
      </c>
      <c r="I65" s="133"/>
      <c r="J65" s="147" t="s">
        <v>307</v>
      </c>
      <c r="K65" s="149"/>
      <c r="L65" s="148" t="s">
        <v>281</v>
      </c>
      <c r="M65" s="149"/>
      <c r="N65" s="148" t="s">
        <v>281</v>
      </c>
      <c r="O65" s="149"/>
      <c r="P65" s="147" t="s">
        <v>308</v>
      </c>
      <c r="Q65" s="149"/>
      <c r="R65" s="148" t="s">
        <v>260</v>
      </c>
      <c r="S65" s="149"/>
      <c r="T65" s="148" t="s">
        <v>259</v>
      </c>
      <c r="V65" s="170"/>
    </row>
    <row r="66" spans="1:22">
      <c r="A66" s="209"/>
      <c r="B66" s="154"/>
      <c r="C66" s="155"/>
      <c r="D66" s="155"/>
      <c r="E66" s="155"/>
      <c r="F66" s="155"/>
      <c r="G66" s="155"/>
      <c r="H66" s="154" t="s">
        <v>184</v>
      </c>
      <c r="I66" s="133"/>
      <c r="J66" s="144" t="s">
        <v>295</v>
      </c>
      <c r="K66" s="155"/>
      <c r="L66" s="154" t="s">
        <v>184</v>
      </c>
      <c r="M66" s="155"/>
      <c r="N66" s="155"/>
      <c r="O66" s="155"/>
      <c r="P66" s="155"/>
      <c r="Q66" s="155"/>
      <c r="R66" s="154" t="s">
        <v>338</v>
      </c>
      <c r="S66" s="155"/>
      <c r="T66" s="184" t="s">
        <v>339</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318</v>
      </c>
      <c r="C70" s="139"/>
      <c r="D70" s="140"/>
      <c r="E70" s="139"/>
      <c r="F70" s="157" t="s">
        <v>318</v>
      </c>
      <c r="G70" s="133"/>
      <c r="H70" s="141"/>
      <c r="I70" s="139"/>
      <c r="J70" s="158" t="s">
        <v>318</v>
      </c>
      <c r="K70" s="139"/>
      <c r="L70" s="158" t="s">
        <v>318</v>
      </c>
      <c r="M70" s="139"/>
      <c r="N70" s="158" t="s">
        <v>318</v>
      </c>
      <c r="O70" s="139"/>
      <c r="P70" s="158" t="s">
        <v>318</v>
      </c>
      <c r="Q70" s="139"/>
      <c r="R70" s="158" t="s">
        <v>318</v>
      </c>
      <c r="S70" s="139"/>
      <c r="T70" s="158" t="s">
        <v>318</v>
      </c>
      <c r="V70" s="170"/>
    </row>
    <row r="71" spans="1:22">
      <c r="A71" s="209"/>
      <c r="B71" s="141" t="s">
        <v>340</v>
      </c>
      <c r="C71" s="139"/>
      <c r="D71" s="141"/>
      <c r="E71" s="139"/>
      <c r="F71" s="141"/>
      <c r="G71" s="133"/>
      <c r="H71" s="141"/>
      <c r="I71" s="139"/>
      <c r="J71" s="141" t="s">
        <v>340</v>
      </c>
      <c r="K71" s="139"/>
      <c r="L71" s="141" t="s">
        <v>340</v>
      </c>
      <c r="M71" s="139"/>
      <c r="N71" s="141" t="s">
        <v>340</v>
      </c>
      <c r="O71" s="139"/>
      <c r="P71" s="141"/>
      <c r="Q71" s="139"/>
      <c r="R71" s="141"/>
      <c r="S71" s="139"/>
      <c r="T71" s="141" t="s">
        <v>340</v>
      </c>
      <c r="V71" s="170"/>
    </row>
    <row r="72" spans="1:22">
      <c r="A72" s="209"/>
      <c r="B72" s="360" t="s">
        <v>215</v>
      </c>
      <c r="C72" s="133"/>
      <c r="D72" s="147" t="s">
        <v>341</v>
      </c>
      <c r="E72" s="133"/>
      <c r="F72" s="360" t="s">
        <v>261</v>
      </c>
      <c r="G72" s="133"/>
      <c r="H72" s="147" t="s">
        <v>342</v>
      </c>
      <c r="I72" s="133"/>
      <c r="J72" s="360" t="s">
        <v>200</v>
      </c>
      <c r="K72" s="133"/>
      <c r="L72" s="360" t="s">
        <v>201</v>
      </c>
      <c r="M72" s="133"/>
      <c r="N72" s="360" t="s">
        <v>178</v>
      </c>
      <c r="O72" s="133"/>
      <c r="P72" s="360" t="s">
        <v>177</v>
      </c>
      <c r="Q72" s="133"/>
      <c r="R72" s="360" t="s">
        <v>176</v>
      </c>
      <c r="S72" s="133"/>
      <c r="T72" s="360" t="s">
        <v>173</v>
      </c>
      <c r="V72" s="170"/>
    </row>
    <row r="73" spans="1:22">
      <c r="A73" s="209"/>
      <c r="B73" s="148" t="s">
        <v>259</v>
      </c>
      <c r="C73" s="133"/>
      <c r="D73" s="147" t="s">
        <v>294</v>
      </c>
      <c r="E73" s="133"/>
      <c r="F73" s="145" t="s">
        <v>147</v>
      </c>
      <c r="G73" s="133"/>
      <c r="H73" s="147" t="s">
        <v>80</v>
      </c>
      <c r="I73" s="133"/>
      <c r="J73" s="145" t="s">
        <v>260</v>
      </c>
      <c r="K73" s="133"/>
      <c r="L73" s="145" t="s">
        <v>147</v>
      </c>
      <c r="M73" s="133"/>
      <c r="N73" s="145" t="s">
        <v>150</v>
      </c>
      <c r="O73" s="133"/>
      <c r="P73" s="145" t="s">
        <v>147</v>
      </c>
      <c r="Q73" s="133"/>
      <c r="R73" s="145" t="s">
        <v>147</v>
      </c>
      <c r="S73" s="133"/>
      <c r="T73" s="145" t="s">
        <v>147</v>
      </c>
    </row>
    <row r="74" spans="1:22">
      <c r="A74" s="209"/>
      <c r="B74" s="184" t="s">
        <v>339</v>
      </c>
      <c r="C74" s="133"/>
      <c r="D74" s="155"/>
      <c r="E74" s="155"/>
      <c r="F74" s="155"/>
      <c r="G74" s="155"/>
      <c r="H74" s="144" t="s">
        <v>330</v>
      </c>
      <c r="I74" s="192"/>
      <c r="J74" s="144" t="s">
        <v>330</v>
      </c>
      <c r="K74" s="192"/>
      <c r="L74" s="144" t="s">
        <v>295</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318</v>
      </c>
      <c r="D78" s="140"/>
      <c r="F78" s="157" t="s">
        <v>318</v>
      </c>
      <c r="G78" s="139"/>
      <c r="H78" s="140"/>
      <c r="I78" s="133"/>
      <c r="J78" s="158" t="s">
        <v>318</v>
      </c>
      <c r="K78" s="139"/>
      <c r="L78" s="158" t="s">
        <v>318</v>
      </c>
      <c r="M78" s="139"/>
      <c r="N78" s="158" t="s">
        <v>318</v>
      </c>
      <c r="O78" s="139"/>
      <c r="P78" s="158" t="s">
        <v>318</v>
      </c>
      <c r="Q78" s="139"/>
      <c r="R78" s="158" t="s">
        <v>318</v>
      </c>
      <c r="S78" s="139"/>
      <c r="T78" s="140"/>
    </row>
    <row r="79" spans="1:22">
      <c r="A79" s="209"/>
      <c r="B79" s="186" t="s">
        <v>340</v>
      </c>
      <c r="D79" s="141"/>
      <c r="F79" s="141"/>
      <c r="G79" s="139"/>
      <c r="H79" s="141"/>
      <c r="I79" s="133"/>
      <c r="J79" s="141" t="s">
        <v>340</v>
      </c>
      <c r="K79" s="139"/>
      <c r="L79" s="141"/>
      <c r="M79" s="139"/>
      <c r="N79" s="141"/>
      <c r="O79" s="139"/>
      <c r="P79" s="141" t="s">
        <v>340</v>
      </c>
      <c r="Q79" s="139"/>
      <c r="R79" s="141" t="s">
        <v>340</v>
      </c>
      <c r="S79" s="139"/>
      <c r="T79" s="141"/>
    </row>
    <row r="80" spans="1:22">
      <c r="A80" s="209"/>
      <c r="B80" s="360" t="s">
        <v>195</v>
      </c>
      <c r="D80" s="144" t="s">
        <v>343</v>
      </c>
      <c r="F80" s="360" t="s">
        <v>227</v>
      </c>
      <c r="G80" s="149"/>
      <c r="H80" s="147" t="s">
        <v>344</v>
      </c>
      <c r="I80" s="149"/>
      <c r="J80" s="360" t="s">
        <v>179</v>
      </c>
      <c r="K80" s="149"/>
      <c r="L80" s="360" t="s">
        <v>180</v>
      </c>
      <c r="M80" s="149"/>
      <c r="N80" s="360" t="s">
        <v>203</v>
      </c>
      <c r="O80" s="149"/>
      <c r="P80" s="360" t="s">
        <v>204</v>
      </c>
      <c r="Q80" s="149"/>
      <c r="R80" s="360" t="s">
        <v>205</v>
      </c>
      <c r="S80" s="149"/>
      <c r="T80" s="147" t="s">
        <v>345</v>
      </c>
    </row>
    <row r="81" spans="1:22">
      <c r="A81" s="209"/>
      <c r="B81" s="145" t="s">
        <v>147</v>
      </c>
      <c r="C81" s="149"/>
      <c r="D81" s="144" t="s">
        <v>283</v>
      </c>
      <c r="F81" s="145" t="s">
        <v>282</v>
      </c>
      <c r="G81" s="149"/>
      <c r="H81" s="147" t="s">
        <v>308</v>
      </c>
      <c r="I81" s="149"/>
      <c r="J81" s="148" t="s">
        <v>260</v>
      </c>
      <c r="K81" s="149"/>
      <c r="L81" s="148" t="s">
        <v>281</v>
      </c>
      <c r="M81" s="149"/>
      <c r="N81" s="148" t="s">
        <v>260</v>
      </c>
      <c r="O81" s="149"/>
      <c r="P81" s="148" t="s">
        <v>281</v>
      </c>
      <c r="Q81" s="149"/>
      <c r="R81" s="148" t="s">
        <v>282</v>
      </c>
      <c r="S81" s="149"/>
      <c r="T81" s="147" t="s">
        <v>283</v>
      </c>
      <c r="U81" s="133"/>
      <c r="V81" s="170"/>
    </row>
    <row r="82" spans="1:22">
      <c r="F82" s="184" t="s">
        <v>346</v>
      </c>
      <c r="G82" s="149"/>
      <c r="H82" s="148"/>
      <c r="I82" s="149"/>
      <c r="J82" s="147"/>
      <c r="K82" s="149"/>
      <c r="L82" s="144" t="s">
        <v>330</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318</v>
      </c>
      <c r="G86" s="139"/>
      <c r="H86" s="140"/>
      <c r="I86" s="133"/>
      <c r="J86" s="140"/>
      <c r="K86" s="139"/>
      <c r="L86" s="158" t="s">
        <v>318</v>
      </c>
      <c r="M86" s="139"/>
      <c r="N86" s="140"/>
      <c r="O86" s="139"/>
      <c r="P86" s="140"/>
      <c r="Q86" s="139"/>
      <c r="R86" s="140"/>
      <c r="S86" s="139"/>
      <c r="T86" s="138"/>
      <c r="U86" s="162"/>
    </row>
    <row r="87" spans="1:22">
      <c r="B87" s="141"/>
      <c r="C87" s="133"/>
      <c r="D87" s="141"/>
      <c r="F87" s="141" t="s">
        <v>340</v>
      </c>
      <c r="G87" s="139"/>
      <c r="H87" s="141"/>
      <c r="I87" s="133"/>
      <c r="J87" s="141"/>
      <c r="K87" s="139"/>
      <c r="L87" s="141"/>
      <c r="M87" s="139"/>
      <c r="N87" s="141"/>
      <c r="O87" s="139"/>
      <c r="P87" s="141"/>
      <c r="Q87" s="139"/>
      <c r="R87" s="141"/>
      <c r="S87" s="139"/>
      <c r="T87" s="141"/>
      <c r="U87" s="162"/>
    </row>
    <row r="88" spans="1:22">
      <c r="B88" s="360" t="s">
        <v>347</v>
      </c>
      <c r="C88" s="133"/>
      <c r="D88" s="147" t="s">
        <v>348</v>
      </c>
      <c r="F88" s="360" t="s">
        <v>217</v>
      </c>
      <c r="G88" s="133"/>
      <c r="H88" s="360" t="s">
        <v>349</v>
      </c>
      <c r="I88" s="133"/>
      <c r="J88" s="147" t="s">
        <v>350</v>
      </c>
      <c r="K88" s="133"/>
      <c r="L88" s="147" t="s">
        <v>221</v>
      </c>
      <c r="M88" s="133"/>
      <c r="N88" s="147" t="s">
        <v>351</v>
      </c>
      <c r="O88" s="133"/>
      <c r="P88" s="360" t="s">
        <v>231</v>
      </c>
      <c r="Q88" s="133"/>
      <c r="R88" s="360" t="s">
        <v>232</v>
      </c>
      <c r="S88" s="133"/>
      <c r="T88" s="360" t="s">
        <v>233</v>
      </c>
      <c r="U88" s="133"/>
    </row>
    <row r="89" spans="1:22">
      <c r="B89" s="148" t="s">
        <v>281</v>
      </c>
      <c r="C89" s="133"/>
      <c r="D89" s="147" t="s">
        <v>307</v>
      </c>
      <c r="F89" s="148" t="s">
        <v>259</v>
      </c>
      <c r="G89" s="133"/>
      <c r="H89" s="148" t="s">
        <v>260</v>
      </c>
      <c r="I89" s="133"/>
      <c r="J89" s="147" t="s">
        <v>352</v>
      </c>
      <c r="K89" s="133"/>
      <c r="L89" s="147" t="s">
        <v>212</v>
      </c>
      <c r="M89" s="133"/>
      <c r="N89" s="147" t="s">
        <v>294</v>
      </c>
      <c r="O89" s="133"/>
      <c r="P89" s="148" t="s">
        <v>260</v>
      </c>
      <c r="Q89" s="133"/>
      <c r="R89" s="148" t="s">
        <v>281</v>
      </c>
      <c r="S89" s="133"/>
      <c r="T89" s="148" t="s">
        <v>260</v>
      </c>
      <c r="U89" s="133"/>
    </row>
    <row r="90" spans="1:22">
      <c r="F90" s="184" t="s">
        <v>346</v>
      </c>
      <c r="G90" s="133"/>
      <c r="H90" s="144" t="s">
        <v>353</v>
      </c>
      <c r="I90" s="133"/>
      <c r="J90" s="147"/>
      <c r="K90" s="133"/>
      <c r="L90" s="144" t="s">
        <v>330</v>
      </c>
      <c r="M90" s="133"/>
      <c r="N90" s="147"/>
      <c r="O90" s="133"/>
      <c r="P90" s="144" t="s">
        <v>295</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192</v>
      </c>
      <c r="C94" s="162"/>
      <c r="D94" s="140"/>
      <c r="F94" s="140"/>
      <c r="G94" s="139"/>
      <c r="H94" s="140"/>
      <c r="I94" s="133"/>
      <c r="J94" s="140"/>
      <c r="K94" s="139"/>
      <c r="L94" s="141"/>
      <c r="M94" s="139"/>
      <c r="N94" s="158" t="s">
        <v>318</v>
      </c>
      <c r="O94" s="139"/>
      <c r="P94" s="140"/>
      <c r="Q94" s="139"/>
      <c r="R94" s="140"/>
      <c r="S94" s="139"/>
      <c r="T94" s="140"/>
      <c r="V94" s="170"/>
    </row>
    <row r="95" spans="1:22">
      <c r="A95" s="139"/>
      <c r="B95" s="141" t="s">
        <v>354</v>
      </c>
      <c r="C95" s="162"/>
      <c r="D95" s="141"/>
      <c r="F95" s="141"/>
      <c r="G95" s="139"/>
      <c r="H95" s="141"/>
      <c r="I95" s="133"/>
      <c r="J95" s="141"/>
      <c r="K95" s="139"/>
      <c r="L95" s="141"/>
      <c r="M95" s="139"/>
      <c r="N95" s="141"/>
      <c r="O95" s="139"/>
      <c r="P95" s="141"/>
      <c r="Q95" s="139"/>
      <c r="R95" s="141"/>
      <c r="S95" s="139"/>
      <c r="T95" s="141"/>
      <c r="V95" s="170"/>
    </row>
    <row r="96" spans="1:22">
      <c r="A96" s="133"/>
      <c r="B96" s="360" t="s">
        <v>191</v>
      </c>
      <c r="C96" s="149"/>
      <c r="D96" s="360" t="s">
        <v>235</v>
      </c>
      <c r="F96" s="147" t="s">
        <v>355</v>
      </c>
      <c r="G96" s="149"/>
      <c r="H96" s="360" t="s">
        <v>356</v>
      </c>
      <c r="I96" s="149"/>
      <c r="J96" s="360" t="s">
        <v>357</v>
      </c>
      <c r="K96" s="149"/>
      <c r="L96" s="147" t="s">
        <v>358</v>
      </c>
      <c r="M96" s="149"/>
      <c r="N96" s="360" t="s">
        <v>189</v>
      </c>
      <c r="O96" s="149"/>
      <c r="P96" s="147" t="s">
        <v>359</v>
      </c>
      <c r="Q96" s="149"/>
      <c r="R96" s="147" t="s">
        <v>360</v>
      </c>
      <c r="S96" s="149"/>
      <c r="T96" s="360" t="s">
        <v>222</v>
      </c>
      <c r="V96" s="170"/>
    </row>
    <row r="97" spans="1:22">
      <c r="A97" s="133"/>
      <c r="B97" s="148" t="s">
        <v>260</v>
      </c>
      <c r="C97" s="149"/>
      <c r="D97" s="148" t="s">
        <v>282</v>
      </c>
      <c r="F97" s="147" t="s">
        <v>352</v>
      </c>
      <c r="G97" s="149"/>
      <c r="H97" s="148" t="s">
        <v>260</v>
      </c>
      <c r="I97" s="149"/>
      <c r="J97" s="148" t="s">
        <v>281</v>
      </c>
      <c r="K97" s="149"/>
      <c r="L97" s="147" t="s">
        <v>283</v>
      </c>
      <c r="M97" s="149"/>
      <c r="N97" s="148" t="s">
        <v>281</v>
      </c>
      <c r="O97" s="149"/>
      <c r="P97" s="147" t="s">
        <v>361</v>
      </c>
      <c r="Q97" s="149"/>
      <c r="R97" s="147" t="s">
        <v>283</v>
      </c>
      <c r="S97" s="149"/>
      <c r="T97" s="148" t="s">
        <v>260</v>
      </c>
      <c r="V97" s="170"/>
    </row>
    <row r="98" spans="1:22">
      <c r="A98" s="133"/>
      <c r="F98" s="148"/>
      <c r="G98" s="149"/>
      <c r="H98" s="147" t="s">
        <v>184</v>
      </c>
      <c r="I98" s="149"/>
      <c r="J98" s="147"/>
      <c r="K98" s="149"/>
      <c r="L98" s="148"/>
      <c r="M98" s="149"/>
      <c r="N98" s="148"/>
      <c r="O98" s="149"/>
      <c r="P98" s="147"/>
      <c r="Q98" s="149"/>
      <c r="R98" s="148"/>
      <c r="S98" s="149"/>
      <c r="T98" s="184" t="s">
        <v>339</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318</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362</v>
      </c>
      <c r="C104" s="133"/>
      <c r="D104" s="360" t="s">
        <v>226</v>
      </c>
      <c r="F104" s="360" t="s">
        <v>208</v>
      </c>
      <c r="G104" s="133"/>
      <c r="H104" s="147" t="s">
        <v>363</v>
      </c>
      <c r="I104" s="133"/>
      <c r="J104" s="360" t="s">
        <v>241</v>
      </c>
      <c r="K104" s="133"/>
      <c r="L104" s="360" t="s">
        <v>244</v>
      </c>
      <c r="M104" s="133"/>
      <c r="N104" s="147" t="s">
        <v>364</v>
      </c>
      <c r="O104" s="133"/>
      <c r="P104" s="147" t="s">
        <v>365</v>
      </c>
      <c r="Q104" s="133"/>
      <c r="R104" s="360" t="s">
        <v>366</v>
      </c>
      <c r="S104" s="133"/>
      <c r="T104" s="147" t="s">
        <v>367</v>
      </c>
      <c r="U104" s="133"/>
      <c r="V104" s="170"/>
    </row>
    <row r="105" spans="1:22">
      <c r="A105" s="209"/>
      <c r="B105" s="147" t="s">
        <v>307</v>
      </c>
      <c r="C105" s="133"/>
      <c r="D105" s="148" t="s">
        <v>282</v>
      </c>
      <c r="F105" s="148" t="s">
        <v>260</v>
      </c>
      <c r="G105" s="133"/>
      <c r="H105" s="147" t="s">
        <v>283</v>
      </c>
      <c r="I105" s="133"/>
      <c r="J105" s="148" t="s">
        <v>281</v>
      </c>
      <c r="K105" s="133"/>
      <c r="L105" s="148" t="s">
        <v>259</v>
      </c>
      <c r="M105" s="133"/>
      <c r="N105" s="147" t="s">
        <v>283</v>
      </c>
      <c r="O105" s="133"/>
      <c r="P105" s="147" t="s">
        <v>283</v>
      </c>
      <c r="Q105" s="133"/>
      <c r="R105" s="148" t="s">
        <v>259</v>
      </c>
      <c r="S105" s="133"/>
      <c r="T105" s="147" t="s">
        <v>283</v>
      </c>
      <c r="U105" s="133"/>
      <c r="V105" s="170"/>
    </row>
    <row r="106" spans="1:22">
      <c r="A106" s="209"/>
      <c r="B106" s="184" t="s">
        <v>339</v>
      </c>
      <c r="C106" s="133"/>
      <c r="D106" s="184" t="s">
        <v>339</v>
      </c>
      <c r="F106" s="184" t="s">
        <v>339</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60" t="s">
        <v>368</v>
      </c>
      <c r="C113" s="149"/>
      <c r="D113" s="147" t="s">
        <v>369</v>
      </c>
      <c r="F113" s="360" t="s">
        <v>370</v>
      </c>
      <c r="G113" s="149"/>
      <c r="H113" s="360" t="s">
        <v>254</v>
      </c>
      <c r="I113" s="149"/>
      <c r="J113" s="360" t="s">
        <v>371</v>
      </c>
      <c r="K113" s="149"/>
      <c r="L113" s="147" t="s">
        <v>372</v>
      </c>
      <c r="M113" s="149"/>
      <c r="N113" s="147" t="s">
        <v>373</v>
      </c>
      <c r="O113" s="149"/>
      <c r="P113" s="147" t="s">
        <v>374</v>
      </c>
      <c r="Q113" s="149"/>
      <c r="R113" s="147" t="s">
        <v>375</v>
      </c>
      <c r="S113" s="149"/>
      <c r="T113" s="147" t="s">
        <v>376</v>
      </c>
      <c r="U113" s="133"/>
      <c r="V113" s="170"/>
    </row>
    <row r="114" spans="1:22">
      <c r="A114" s="209"/>
      <c r="B114" s="148" t="s">
        <v>259</v>
      </c>
      <c r="C114" s="149"/>
      <c r="D114" s="147" t="s">
        <v>307</v>
      </c>
      <c r="F114" s="148" t="s">
        <v>260</v>
      </c>
      <c r="G114" s="149"/>
      <c r="H114" s="148" t="s">
        <v>260</v>
      </c>
      <c r="I114" s="149"/>
      <c r="J114" s="148" t="s">
        <v>260</v>
      </c>
      <c r="K114" s="149"/>
      <c r="L114" s="147" t="s">
        <v>283</v>
      </c>
      <c r="M114" s="149"/>
      <c r="N114" s="147" t="s">
        <v>283</v>
      </c>
      <c r="O114" s="149"/>
      <c r="P114" s="147" t="s">
        <v>377</v>
      </c>
      <c r="Q114" s="149"/>
      <c r="R114" s="147" t="s">
        <v>377</v>
      </c>
      <c r="S114" s="149"/>
      <c r="T114" s="147" t="s">
        <v>308</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318</v>
      </c>
      <c r="G118" s="139"/>
      <c r="H118" s="140"/>
      <c r="I118" s="139"/>
      <c r="J118" s="158" t="s">
        <v>318</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60" t="s">
        <v>378</v>
      </c>
      <c r="C120" s="133"/>
      <c r="D120" s="147" t="s">
        <v>379</v>
      </c>
      <c r="F120" s="360" t="s">
        <v>181</v>
      </c>
      <c r="G120" s="133"/>
      <c r="H120" s="147" t="s">
        <v>380</v>
      </c>
      <c r="I120" s="133"/>
      <c r="J120" s="360" t="s">
        <v>258</v>
      </c>
      <c r="K120" s="133"/>
      <c r="L120" s="360" t="s">
        <v>240</v>
      </c>
      <c r="N120" s="147" t="s">
        <v>381</v>
      </c>
      <c r="O120" s="133"/>
      <c r="P120" s="360" t="s">
        <v>382</v>
      </c>
      <c r="Q120" s="133"/>
      <c r="R120" s="147" t="s">
        <v>383</v>
      </c>
      <c r="S120" s="133"/>
      <c r="T120" s="148" t="s">
        <v>384</v>
      </c>
      <c r="U120" s="133"/>
      <c r="V120" s="360" t="s">
        <v>385</v>
      </c>
    </row>
    <row r="121" spans="1:22">
      <c r="A121" s="209"/>
      <c r="B121" s="148" t="s">
        <v>259</v>
      </c>
      <c r="C121" s="133"/>
      <c r="D121" s="147" t="s">
        <v>84</v>
      </c>
      <c r="F121" s="148" t="s">
        <v>260</v>
      </c>
      <c r="G121" s="133"/>
      <c r="H121" s="147" t="s">
        <v>283</v>
      </c>
      <c r="I121" s="133"/>
      <c r="J121" s="145" t="s">
        <v>260</v>
      </c>
      <c r="K121" s="133"/>
      <c r="L121" s="145" t="s">
        <v>260</v>
      </c>
      <c r="N121" s="147" t="s">
        <v>283</v>
      </c>
      <c r="O121" s="133"/>
      <c r="P121" s="148" t="s">
        <v>281</v>
      </c>
      <c r="Q121" s="133"/>
      <c r="R121" s="147" t="s">
        <v>283</v>
      </c>
      <c r="S121" s="133"/>
      <c r="T121" s="148" t="s">
        <v>260</v>
      </c>
      <c r="U121" s="133"/>
      <c r="V121" s="148" t="s">
        <v>283</v>
      </c>
    </row>
    <row r="122" spans="1:22">
      <c r="A122" s="209"/>
      <c r="B122" s="144"/>
      <c r="C122" s="133"/>
      <c r="D122" s="145"/>
      <c r="E122" s="133"/>
      <c r="F122" s="145"/>
      <c r="G122" s="149"/>
      <c r="H122" s="147"/>
      <c r="I122" s="149"/>
      <c r="J122" s="193"/>
      <c r="K122" s="193"/>
      <c r="L122" s="193"/>
      <c r="M122" s="193"/>
      <c r="O122" s="193"/>
      <c r="P122" s="144" t="s">
        <v>184</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60" t="s">
        <v>253</v>
      </c>
      <c r="C128" s="191"/>
      <c r="D128" s="360" t="s">
        <v>386</v>
      </c>
      <c r="F128" s="360" t="s">
        <v>387</v>
      </c>
      <c r="H128" s="360" t="s">
        <v>388</v>
      </c>
      <c r="J128" s="360" t="s">
        <v>389</v>
      </c>
      <c r="L128" s="360" t="s">
        <v>243</v>
      </c>
      <c r="N128" s="360" t="s">
        <v>390</v>
      </c>
      <c r="P128" s="360" t="s">
        <v>391</v>
      </c>
      <c r="Q128" s="133"/>
      <c r="R128" s="360" t="s">
        <v>392</v>
      </c>
      <c r="T128" s="360" t="s">
        <v>255</v>
      </c>
      <c r="U128" s="133"/>
      <c r="V128" s="360" t="s">
        <v>393</v>
      </c>
    </row>
    <row r="129" spans="1:22">
      <c r="A129" s="209"/>
      <c r="B129" s="148" t="s">
        <v>260</v>
      </c>
      <c r="C129" s="133"/>
      <c r="D129" s="148" t="s">
        <v>307</v>
      </c>
      <c r="F129" s="148" t="s">
        <v>260</v>
      </c>
      <c r="H129" s="148" t="s">
        <v>394</v>
      </c>
      <c r="J129" s="148" t="s">
        <v>80</v>
      </c>
      <c r="L129" s="148" t="s">
        <v>282</v>
      </c>
      <c r="N129" s="148" t="s">
        <v>260</v>
      </c>
      <c r="P129" s="148" t="s">
        <v>260</v>
      </c>
      <c r="Q129" s="133"/>
      <c r="R129" s="148" t="s">
        <v>282</v>
      </c>
      <c r="T129" s="148" t="s">
        <v>281</v>
      </c>
      <c r="U129" s="133"/>
      <c r="V129" s="148" t="s">
        <v>281</v>
      </c>
    </row>
    <row r="130" spans="1:22">
      <c r="A130" s="209"/>
      <c r="B130" s="148"/>
      <c r="C130" s="133"/>
      <c r="D130" s="148"/>
      <c r="F130" s="201" t="s">
        <v>184</v>
      </c>
      <c r="H130" s="148"/>
      <c r="J130" s="148"/>
      <c r="L130" s="148"/>
      <c r="N130" s="148"/>
      <c r="P130" s="201" t="s">
        <v>184</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60" t="s">
        <v>395</v>
      </c>
      <c r="C137" s="191"/>
      <c r="D137" s="360" t="s">
        <v>396</v>
      </c>
      <c r="F137" s="360" t="s">
        <v>397</v>
      </c>
      <c r="H137" s="360" t="s">
        <v>398</v>
      </c>
      <c r="J137" s="361" t="s">
        <v>399</v>
      </c>
      <c r="L137" s="360" t="s">
        <v>400</v>
      </c>
      <c r="N137" s="360" t="s">
        <v>401</v>
      </c>
      <c r="P137" s="360" t="s">
        <v>402</v>
      </c>
      <c r="Q137" s="133"/>
      <c r="R137" s="360" t="s">
        <v>403</v>
      </c>
      <c r="T137" s="360" t="s">
        <v>404</v>
      </c>
      <c r="U137" s="133"/>
      <c r="V137" s="360" t="s">
        <v>405</v>
      </c>
    </row>
    <row r="138" spans="1:22">
      <c r="A138" s="209"/>
      <c r="B138" s="148" t="s">
        <v>308</v>
      </c>
      <c r="C138" s="133"/>
      <c r="D138" s="148" t="s">
        <v>260</v>
      </c>
      <c r="F138" s="148" t="s">
        <v>260</v>
      </c>
      <c r="H138" s="148" t="s">
        <v>283</v>
      </c>
      <c r="J138" s="148" t="s">
        <v>206</v>
      </c>
      <c r="L138" s="148" t="s">
        <v>406</v>
      </c>
      <c r="N138" s="148" t="s">
        <v>108</v>
      </c>
      <c r="P138" s="148" t="s">
        <v>260</v>
      </c>
      <c r="Q138" s="133"/>
      <c r="R138" s="148" t="s">
        <v>260</v>
      </c>
      <c r="T138" s="148" t="s">
        <v>80</v>
      </c>
      <c r="U138" s="133"/>
      <c r="V138" s="148" t="s">
        <v>206</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60" t="s">
        <v>407</v>
      </c>
      <c r="C146" s="191"/>
      <c r="D146" s="360" t="s">
        <v>408</v>
      </c>
      <c r="F146" s="360" t="s">
        <v>409</v>
      </c>
      <c r="H146" s="360" t="s">
        <v>410</v>
      </c>
      <c r="J146" s="360" t="s">
        <v>411</v>
      </c>
      <c r="L146" s="360" t="s">
        <v>412</v>
      </c>
      <c r="N146" s="361" t="s">
        <v>413</v>
      </c>
      <c r="P146" s="360" t="s">
        <v>414</v>
      </c>
      <c r="Q146" s="133"/>
      <c r="R146" s="360" t="s">
        <v>415</v>
      </c>
      <c r="T146" s="283"/>
      <c r="U146" s="133"/>
      <c r="V146" s="283"/>
    </row>
    <row r="147" spans="1:22">
      <c r="A147" s="209"/>
      <c r="B147" s="148" t="s">
        <v>97</v>
      </c>
      <c r="C147" s="133"/>
      <c r="D147" s="148" t="s">
        <v>88</v>
      </c>
      <c r="F147" s="148" t="s">
        <v>97</v>
      </c>
      <c r="H147" s="148" t="s">
        <v>147</v>
      </c>
      <c r="J147" s="148" t="s">
        <v>147</v>
      </c>
      <c r="L147" s="148" t="s">
        <v>90</v>
      </c>
      <c r="N147" s="148" t="s">
        <v>150</v>
      </c>
      <c r="P147" s="148" t="s">
        <v>93</v>
      </c>
      <c r="Q147" s="133"/>
      <c r="R147" s="148" t="s">
        <v>108</v>
      </c>
      <c r="T147" s="148"/>
      <c r="U147" s="133"/>
      <c r="V147" s="148"/>
    </row>
    <row r="148" spans="1:22">
      <c r="A148" s="209"/>
      <c r="B148" s="148"/>
      <c r="C148" s="133"/>
      <c r="D148" s="201" t="s">
        <v>184</v>
      </c>
      <c r="F148" s="201" t="s">
        <v>184</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60" t="s">
        <v>407</v>
      </c>
      <c r="C155" s="191"/>
      <c r="D155" s="360" t="s">
        <v>408</v>
      </c>
      <c r="F155" s="360" t="s">
        <v>409</v>
      </c>
      <c r="H155" s="360" t="s">
        <v>410</v>
      </c>
      <c r="J155" s="360" t="s">
        <v>411</v>
      </c>
      <c r="L155" s="360" t="s">
        <v>412</v>
      </c>
      <c r="N155" s="361" t="s">
        <v>413</v>
      </c>
      <c r="P155" s="360" t="s">
        <v>414</v>
      </c>
      <c r="Q155" s="133"/>
      <c r="R155" s="360" t="s">
        <v>415</v>
      </c>
      <c r="T155" s="361" t="s">
        <v>416</v>
      </c>
      <c r="U155" s="133"/>
      <c r="V155" s="360" t="s">
        <v>417</v>
      </c>
    </row>
    <row r="156" spans="1:22">
      <c r="A156" s="209"/>
      <c r="B156" s="148" t="s">
        <v>97</v>
      </c>
      <c r="C156" s="133"/>
      <c r="D156" s="148" t="s">
        <v>88</v>
      </c>
      <c r="F156" s="148" t="s">
        <v>97</v>
      </c>
      <c r="H156" s="148" t="s">
        <v>147</v>
      </c>
      <c r="J156" s="148" t="s">
        <v>147</v>
      </c>
      <c r="L156" s="148" t="s">
        <v>90</v>
      </c>
      <c r="N156" s="148" t="s">
        <v>150</v>
      </c>
      <c r="P156" s="148" t="s">
        <v>93</v>
      </c>
      <c r="Q156" s="133"/>
      <c r="R156" s="148" t="s">
        <v>108</v>
      </c>
      <c r="T156" s="148" t="s">
        <v>212</v>
      </c>
      <c r="U156" s="133"/>
      <c r="V156" s="148" t="s">
        <v>80</v>
      </c>
    </row>
    <row r="157" spans="1:22">
      <c r="A157" s="209"/>
      <c r="B157" s="148"/>
      <c r="C157" s="133"/>
      <c r="D157" s="201" t="s">
        <v>184</v>
      </c>
      <c r="F157" s="201" t="s">
        <v>184</v>
      </c>
      <c r="H157" s="148"/>
      <c r="J157" s="148"/>
      <c r="L157" s="148"/>
      <c r="N157" s="148"/>
      <c r="P157" s="148"/>
      <c r="Q157" s="133"/>
      <c r="R157" s="148"/>
      <c r="T157" s="148"/>
      <c r="U157" s="133"/>
      <c r="V157" s="201" t="s">
        <v>418</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60" t="s">
        <v>419</v>
      </c>
      <c r="C163" s="191"/>
      <c r="D163" s="360" t="s">
        <v>420</v>
      </c>
      <c r="F163" s="360" t="s">
        <v>421</v>
      </c>
      <c r="H163" s="360" t="s">
        <v>422</v>
      </c>
      <c r="J163" s="360" t="s">
        <v>423</v>
      </c>
      <c r="L163" s="360" t="s">
        <v>424</v>
      </c>
      <c r="N163" s="360" t="s">
        <v>425</v>
      </c>
      <c r="P163" s="360" t="s">
        <v>426</v>
      </c>
      <c r="Q163" s="133"/>
      <c r="R163" s="361" t="s">
        <v>427</v>
      </c>
      <c r="T163" s="360" t="s">
        <v>428</v>
      </c>
      <c r="U163" s="133"/>
      <c r="V163" s="361" t="s">
        <v>429</v>
      </c>
    </row>
    <row r="164" spans="1:22">
      <c r="A164" s="209"/>
      <c r="B164" s="148" t="s">
        <v>102</v>
      </c>
      <c r="C164" s="133"/>
      <c r="D164" s="148" t="s">
        <v>132</v>
      </c>
      <c r="F164" s="148" t="s">
        <v>80</v>
      </c>
      <c r="H164" s="148" t="s">
        <v>97</v>
      </c>
      <c r="J164" s="148" t="s">
        <v>88</v>
      </c>
      <c r="L164" s="148" t="s">
        <v>90</v>
      </c>
      <c r="N164" s="148" t="s">
        <v>80</v>
      </c>
      <c r="P164" s="148" t="s">
        <v>80</v>
      </c>
      <c r="Q164" s="133"/>
      <c r="R164" s="148" t="s">
        <v>212</v>
      </c>
      <c r="T164" s="148" t="s">
        <v>80</v>
      </c>
      <c r="U164" s="133"/>
      <c r="V164" s="148" t="s">
        <v>97</v>
      </c>
    </row>
    <row r="165" spans="1:22">
      <c r="A165" s="209"/>
      <c r="B165" s="148"/>
      <c r="C165" s="133"/>
      <c r="D165" s="201"/>
      <c r="F165" s="201"/>
      <c r="H165" s="201" t="s">
        <v>430</v>
      </c>
      <c r="J165" s="201" t="s">
        <v>430</v>
      </c>
      <c r="L165" s="148"/>
      <c r="N165" s="148"/>
      <c r="P165" s="148"/>
      <c r="Q165" s="133"/>
      <c r="R165" s="148"/>
      <c r="T165" s="201" t="s">
        <v>418</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60" t="s">
        <v>431</v>
      </c>
      <c r="C171" s="191"/>
      <c r="D171" s="361" t="s">
        <v>432</v>
      </c>
      <c r="F171" s="360" t="s">
        <v>433</v>
      </c>
      <c r="H171" s="361" t="s">
        <v>434</v>
      </c>
      <c r="J171" s="361" t="s">
        <v>435</v>
      </c>
      <c r="L171" s="360" t="s">
        <v>436</v>
      </c>
      <c r="N171" s="360" t="s">
        <v>437</v>
      </c>
      <c r="P171" s="360" t="s">
        <v>438</v>
      </c>
      <c r="Q171" s="133"/>
      <c r="R171" s="360" t="s">
        <v>439</v>
      </c>
      <c r="T171" s="360" t="s">
        <v>440</v>
      </c>
      <c r="U171" s="133"/>
      <c r="V171" s="361" t="s">
        <v>441</v>
      </c>
    </row>
    <row r="172" spans="1:22">
      <c r="A172" s="209"/>
      <c r="B172" s="148" t="s">
        <v>90</v>
      </c>
      <c r="C172" s="133"/>
      <c r="D172" s="148" t="s">
        <v>147</v>
      </c>
      <c r="F172" s="148" t="s">
        <v>90</v>
      </c>
      <c r="H172" s="148" t="s">
        <v>150</v>
      </c>
      <c r="J172" s="148" t="s">
        <v>97</v>
      </c>
      <c r="L172" s="148" t="s">
        <v>102</v>
      </c>
      <c r="N172" s="148" t="s">
        <v>108</v>
      </c>
      <c r="P172" s="148" t="s">
        <v>150</v>
      </c>
      <c r="Q172" s="133"/>
      <c r="R172" s="148" t="s">
        <v>150</v>
      </c>
      <c r="T172" s="148" t="s">
        <v>80</v>
      </c>
      <c r="U172" s="133"/>
      <c r="V172" s="148" t="s">
        <v>206</v>
      </c>
    </row>
    <row r="173" spans="1:22">
      <c r="A173" s="209"/>
      <c r="B173" s="148"/>
      <c r="C173" s="133"/>
      <c r="D173" s="201" t="s">
        <v>330</v>
      </c>
      <c r="F173" s="201" t="s">
        <v>184</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60" t="s">
        <v>442</v>
      </c>
      <c r="C179" s="191"/>
      <c r="D179" s="283"/>
      <c r="F179" s="283"/>
      <c r="H179" s="283"/>
      <c r="J179" s="283"/>
      <c r="L179" s="283"/>
      <c r="N179" s="308"/>
      <c r="P179" s="283"/>
      <c r="Q179" s="133"/>
      <c r="R179" s="283"/>
      <c r="T179" s="283"/>
      <c r="U179" s="133"/>
      <c r="V179" s="283"/>
    </row>
    <row r="180" spans="1:22">
      <c r="A180" s="209"/>
      <c r="B180" s="148" t="s">
        <v>90</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443</v>
      </c>
      <c r="F187" s="206"/>
      <c r="G187" s="206"/>
      <c r="H187" s="206"/>
      <c r="I187" s="206"/>
      <c r="J187" s="206"/>
      <c r="K187" s="206"/>
      <c r="L187" s="228"/>
      <c r="M187" s="206"/>
      <c r="N187" s="1299"/>
      <c r="O187" s="133"/>
      <c r="P187" s="133"/>
      <c r="Q187" s="133"/>
      <c r="R187" s="133"/>
      <c r="S187" s="133"/>
      <c r="T187" s="133"/>
      <c r="U187" s="133"/>
      <c r="V187" s="265"/>
    </row>
    <row r="188" spans="1:22">
      <c r="A188" s="209"/>
      <c r="B188" s="133"/>
      <c r="C188" s="133"/>
      <c r="D188" s="133"/>
      <c r="E188" s="205" t="s">
        <v>444</v>
      </c>
      <c r="F188" s="206"/>
      <c r="G188" s="206"/>
      <c r="H188" s="206"/>
      <c r="I188" s="206"/>
      <c r="J188" s="206"/>
      <c r="K188" s="206"/>
      <c r="L188" s="206"/>
      <c r="M188" s="206"/>
      <c r="N188" s="1300"/>
      <c r="O188" s="133"/>
      <c r="P188" s="229"/>
      <c r="Q188" s="133"/>
      <c r="R188" s="133"/>
      <c r="S188" s="133"/>
      <c r="T188" s="133"/>
      <c r="U188" s="133"/>
      <c r="V188" s="265"/>
    </row>
    <row r="189" spans="1:22">
      <c r="A189" s="209"/>
      <c r="B189" s="133"/>
      <c r="C189" s="133"/>
      <c r="D189" s="133"/>
      <c r="E189" s="205" t="s">
        <v>445</v>
      </c>
      <c r="F189" s="206"/>
      <c r="G189" s="206"/>
      <c r="H189" s="206"/>
      <c r="I189" s="206"/>
      <c r="J189" s="206"/>
      <c r="K189" s="206"/>
      <c r="L189" s="206"/>
      <c r="M189" s="206"/>
      <c r="N189" s="1301"/>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446</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447</v>
      </c>
      <c r="M195" s="133"/>
      <c r="N195" s="133"/>
      <c r="O195" s="133"/>
      <c r="P195" s="133"/>
      <c r="Q195" s="133"/>
      <c r="R195" s="237" t="s">
        <v>448</v>
      </c>
      <c r="S195" s="215"/>
      <c r="T195" s="133"/>
      <c r="U195" s="133"/>
      <c r="V195" s="236"/>
    </row>
    <row r="196" spans="1:22">
      <c r="A196" s="209"/>
      <c r="B196" s="133"/>
      <c r="C196" s="211" t="s">
        <v>449</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450</v>
      </c>
      <c r="D197" s="210"/>
      <c r="E197" s="210"/>
      <c r="F197" s="158"/>
      <c r="G197" s="139"/>
      <c r="H197" s="212"/>
      <c r="I197" s="210"/>
      <c r="J197" s="158"/>
      <c r="K197" s="210"/>
      <c r="L197" s="133" t="s">
        <v>451</v>
      </c>
      <c r="M197" s="133"/>
      <c r="N197" s="133"/>
      <c r="O197" s="133"/>
      <c r="P197" s="133"/>
      <c r="Q197" s="133"/>
      <c r="R197" s="133"/>
      <c r="S197" s="215"/>
      <c r="T197" s="133"/>
      <c r="U197" s="133"/>
      <c r="V197" s="236"/>
    </row>
    <row r="198" spans="1:22">
      <c r="A198" s="209"/>
      <c r="B198" s="133"/>
      <c r="C198" s="211" t="s">
        <v>452</v>
      </c>
      <c r="D198" s="210"/>
      <c r="E198" s="210"/>
      <c r="F198" s="213"/>
      <c r="G198" s="139"/>
      <c r="H198" s="214" t="s">
        <v>354</v>
      </c>
      <c r="I198" s="210"/>
      <c r="J198" s="213"/>
      <c r="K198" s="210"/>
      <c r="L198" s="133"/>
      <c r="M198" s="133"/>
      <c r="N198" s="133"/>
      <c r="O198" s="133"/>
      <c r="P198" s="133"/>
      <c r="Q198" s="133"/>
      <c r="R198" s="237" t="s">
        <v>453</v>
      </c>
      <c r="S198" s="215"/>
      <c r="T198" s="133"/>
      <c r="U198" s="133"/>
      <c r="V198" s="236"/>
    </row>
    <row r="199" spans="1:22">
      <c r="A199" s="209"/>
      <c r="B199" s="133"/>
      <c r="C199" s="133"/>
      <c r="D199" s="210"/>
      <c r="E199" s="210"/>
      <c r="F199" s="210"/>
      <c r="G199" s="210"/>
      <c r="H199" s="210"/>
      <c r="I199" s="210"/>
      <c r="J199" s="210"/>
      <c r="K199" s="210"/>
      <c r="L199" s="133"/>
      <c r="M199" s="133" t="s">
        <v>47</v>
      </c>
      <c r="N199" s="133"/>
      <c r="O199" s="133"/>
      <c r="P199" s="133"/>
      <c r="Q199" s="133"/>
      <c r="R199" s="133"/>
      <c r="S199" s="238"/>
      <c r="T199" s="133"/>
      <c r="U199" s="133"/>
      <c r="V199" s="236"/>
    </row>
    <row r="200" spans="1:22">
      <c r="A200" s="209"/>
      <c r="B200" s="133"/>
      <c r="C200" s="215"/>
      <c r="D200" s="143"/>
      <c r="E200" s="215"/>
      <c r="F200" s="216"/>
      <c r="G200" s="217"/>
      <c r="H200" s="215">
        <v>325</v>
      </c>
      <c r="I200" s="215" t="s">
        <v>183</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454</v>
      </c>
      <c r="N201" s="143"/>
      <c r="O201" s="215"/>
      <c r="P201" s="143"/>
      <c r="Q201" s="215"/>
      <c r="R201" s="239" t="s">
        <v>455</v>
      </c>
      <c r="S201" s="215"/>
      <c r="T201" s="143"/>
      <c r="U201" s="215"/>
      <c r="V201" s="236"/>
    </row>
    <row r="202" spans="1:22">
      <c r="A202" s="209"/>
      <c r="B202" s="211" t="s">
        <v>456</v>
      </c>
      <c r="C202" s="215"/>
      <c r="D202" s="143"/>
      <c r="E202" s="218" t="s">
        <v>192</v>
      </c>
      <c r="F202" s="133" t="s">
        <v>192</v>
      </c>
      <c r="G202" s="217"/>
      <c r="H202" s="143"/>
      <c r="I202" s="133" t="s">
        <v>457</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458</v>
      </c>
      <c r="C204" s="215"/>
      <c r="D204" s="143"/>
      <c r="E204" s="143" t="s">
        <v>459</v>
      </c>
      <c r="F204" s="216" t="s">
        <v>76</v>
      </c>
      <c r="G204" s="217"/>
      <c r="H204" s="219"/>
      <c r="I204" s="216" t="s">
        <v>460</v>
      </c>
      <c r="J204" s="143"/>
      <c r="K204" s="215"/>
      <c r="L204" s="133"/>
      <c r="M204" s="216" t="s">
        <v>461</v>
      </c>
      <c r="N204" s="143"/>
      <c r="O204" s="215"/>
      <c r="P204" s="143"/>
      <c r="Q204" s="215"/>
      <c r="R204" s="240" t="s">
        <v>462</v>
      </c>
      <c r="S204" s="133"/>
      <c r="T204" s="143"/>
      <c r="U204" s="215"/>
      <c r="V204" s="236"/>
    </row>
    <row r="205" spans="1:22">
      <c r="A205" s="209"/>
      <c r="B205" s="133"/>
      <c r="C205" s="215"/>
      <c r="D205" s="143"/>
      <c r="E205" s="143"/>
      <c r="F205" s="143"/>
      <c r="G205" s="217"/>
      <c r="H205" s="143"/>
      <c r="I205" s="216" t="s">
        <v>463</v>
      </c>
      <c r="J205" s="143"/>
      <c r="K205" s="215"/>
      <c r="L205" s="143"/>
      <c r="M205" s="215"/>
      <c r="N205" s="143"/>
      <c r="O205" s="215"/>
      <c r="P205" s="143"/>
      <c r="Q205" s="215"/>
      <c r="R205" s="240" t="s">
        <v>464</v>
      </c>
      <c r="T205" s="143"/>
      <c r="U205" s="215"/>
      <c r="V205" s="236"/>
    </row>
    <row r="206" spans="1:22">
      <c r="A206" s="209"/>
      <c r="B206" s="211" t="s">
        <v>465</v>
      </c>
      <c r="C206" s="143"/>
      <c r="D206" s="143"/>
      <c r="E206" s="220" t="s">
        <v>466</v>
      </c>
      <c r="F206" s="216" t="s">
        <v>467</v>
      </c>
      <c r="G206" s="217"/>
      <c r="H206" s="143"/>
      <c r="I206" s="216" t="s">
        <v>468</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469</v>
      </c>
      <c r="C208" s="143"/>
      <c r="D208" s="143"/>
      <c r="E208" s="222"/>
      <c r="F208" s="143" t="s">
        <v>470</v>
      </c>
      <c r="G208" s="217"/>
      <c r="H208" s="143"/>
      <c r="I208" s="215"/>
      <c r="J208" s="143"/>
      <c r="K208" s="215"/>
      <c r="L208" s="231"/>
      <c r="M208" s="232" t="s">
        <v>471</v>
      </c>
      <c r="N208" s="143"/>
      <c r="O208" s="215"/>
      <c r="P208" s="143"/>
      <c r="Q208" s="215"/>
      <c r="R208" s="216" t="s">
        <v>472</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473</v>
      </c>
      <c r="C210" s="143"/>
      <c r="D210" s="210"/>
      <c r="E210" s="143" t="s">
        <v>184</v>
      </c>
      <c r="F210" s="143" t="s">
        <v>474</v>
      </c>
      <c r="G210" s="217"/>
      <c r="H210" s="143"/>
      <c r="I210" s="233" t="s">
        <v>475</v>
      </c>
      <c r="J210" s="143"/>
      <c r="K210" s="215"/>
      <c r="L210" s="133"/>
      <c r="M210" s="216" t="s">
        <v>476</v>
      </c>
      <c r="N210" s="143"/>
      <c r="O210" s="215"/>
      <c r="P210" s="143"/>
      <c r="Q210" s="242"/>
      <c r="R210" s="243" t="s">
        <v>477</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B1:U1"/>
    <mergeCell ref="A2:T2"/>
    <mergeCell ref="H4:J4"/>
    <mergeCell ref="L4:N4"/>
    <mergeCell ref="O4:Q4"/>
    <mergeCell ref="R4:T4"/>
    <mergeCell ref="D6:E6"/>
    <mergeCell ref="F4:F5"/>
    <mergeCell ref="G4:G5"/>
    <mergeCell ref="N187:N189"/>
    <mergeCell ref="A4:B5"/>
    <mergeCell ref="D4:E5"/>
  </mergeCells>
  <conditionalFormatting sqref="L86">
    <cfRule type="expression" dxfId="272"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21875" defaultRowHeight="13.2"/>
  <cols>
    <col min="1" max="2" width="9.21875" style="133"/>
    <col min="3" max="3" width="7.21875" style="133" customWidth="1"/>
    <col min="4" max="4" width="10.5546875" style="133" customWidth="1"/>
    <col min="5" max="21" width="7.21875" style="133" customWidth="1"/>
    <col min="22" max="22" width="9.21875" style="133"/>
    <col min="23" max="23" width="12.5546875" style="170" customWidth="1"/>
    <col min="24" max="24" width="9.21875" style="133"/>
    <col min="25" max="25" width="13.77734375" style="133" customWidth="1"/>
    <col min="26" max="28" width="9.21875" style="133"/>
    <col min="29" max="29" width="10.21875" style="133" customWidth="1"/>
    <col min="30" max="30" width="9.21875" style="133"/>
    <col min="31" max="31" width="10" style="133" customWidth="1"/>
    <col min="32" max="16384" width="9.21875" style="133"/>
  </cols>
  <sheetData>
    <row r="1" spans="1:31" ht="13.8">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3.8">
      <c r="B2" s="247"/>
      <c r="C2" s="1308" t="s">
        <v>262</v>
      </c>
      <c r="D2" s="1309"/>
      <c r="E2" s="1309"/>
      <c r="F2" s="1309"/>
      <c r="G2" s="1309"/>
      <c r="H2" s="1309"/>
      <c r="I2" s="1309"/>
      <c r="J2" s="1309"/>
      <c r="K2" s="1309"/>
      <c r="L2" s="1309"/>
      <c r="M2" s="1309"/>
      <c r="N2" s="1309"/>
      <c r="O2" s="1309"/>
      <c r="P2" s="1309"/>
      <c r="Q2" s="1309"/>
      <c r="R2" s="1309"/>
      <c r="S2" s="1309"/>
      <c r="T2" s="1309"/>
      <c r="U2" s="1309"/>
      <c r="V2" s="1310"/>
      <c r="W2" s="264"/>
    </row>
    <row r="3" spans="1:31" ht="13.8">
      <c r="B3" s="247"/>
      <c r="C3" s="1332" t="s">
        <v>263</v>
      </c>
      <c r="D3" s="1333"/>
      <c r="E3" s="1333"/>
      <c r="F3" s="1333"/>
      <c r="G3" s="1333"/>
      <c r="H3" s="1333"/>
      <c r="I3" s="1333"/>
      <c r="J3" s="1333"/>
      <c r="K3" s="1333"/>
      <c r="L3" s="1333"/>
      <c r="M3" s="1333"/>
      <c r="N3" s="1333"/>
      <c r="O3" s="1333"/>
      <c r="P3" s="1333"/>
      <c r="Q3" s="1333"/>
      <c r="R3" s="1333"/>
      <c r="S3" s="1333"/>
      <c r="T3" s="1333"/>
      <c r="U3" s="1333"/>
      <c r="V3" s="1334"/>
      <c r="W3" s="264"/>
    </row>
    <row r="4" spans="1:31" ht="13.8">
      <c r="B4" s="247"/>
      <c r="C4" s="127"/>
      <c r="D4" s="127"/>
      <c r="E4" s="127"/>
      <c r="F4" s="127"/>
      <c r="G4" s="127"/>
      <c r="H4" s="127"/>
      <c r="I4" s="127"/>
      <c r="J4" s="127"/>
      <c r="K4" s="127"/>
      <c r="L4" s="127"/>
      <c r="M4" s="127"/>
      <c r="N4" s="127"/>
      <c r="O4" s="127"/>
      <c r="P4" s="127"/>
      <c r="Q4" s="127"/>
      <c r="R4" s="127"/>
      <c r="S4" s="127"/>
      <c r="T4" s="127"/>
      <c r="U4" s="127"/>
      <c r="V4" s="127"/>
      <c r="W4" s="264"/>
    </row>
    <row r="5" spans="1:31" ht="13.8">
      <c r="B5" s="247"/>
      <c r="C5" s="1303" t="s">
        <v>264</v>
      </c>
      <c r="D5" s="1303"/>
      <c r="E5" s="127"/>
      <c r="F5" s="1304" t="s">
        <v>265</v>
      </c>
      <c r="G5" s="1305"/>
      <c r="H5" s="1297" t="s">
        <v>266</v>
      </c>
      <c r="I5" s="1298" t="s">
        <v>267</v>
      </c>
      <c r="J5" s="1298" t="s">
        <v>268</v>
      </c>
      <c r="K5" s="1298"/>
      <c r="L5" s="1298"/>
      <c r="M5" s="128" t="s">
        <v>269</v>
      </c>
      <c r="N5" s="1314" t="s">
        <v>270</v>
      </c>
      <c r="O5" s="1315"/>
      <c r="P5" s="1316"/>
      <c r="Q5" s="1298" t="s">
        <v>271</v>
      </c>
      <c r="R5" s="1298"/>
      <c r="S5" s="1298"/>
      <c r="T5" s="1317"/>
      <c r="U5" s="1317"/>
      <c r="V5" s="1317"/>
      <c r="W5" s="264"/>
    </row>
    <row r="6" spans="1:31" ht="13.8">
      <c r="B6" s="247"/>
      <c r="C6" s="1303"/>
      <c r="D6" s="1303"/>
      <c r="E6" s="127"/>
      <c r="F6" s="1306"/>
      <c r="G6" s="1307"/>
      <c r="H6" s="1297"/>
      <c r="I6" s="1298"/>
      <c r="J6" s="128" t="s">
        <v>272</v>
      </c>
      <c r="K6" s="128" t="s">
        <v>242</v>
      </c>
      <c r="L6" s="128" t="s">
        <v>273</v>
      </c>
      <c r="M6" s="128" t="s">
        <v>272</v>
      </c>
      <c r="N6" s="128" t="s">
        <v>272</v>
      </c>
      <c r="O6" s="128" t="s">
        <v>242</v>
      </c>
      <c r="P6" s="128" t="s">
        <v>273</v>
      </c>
      <c r="Q6" s="128" t="s">
        <v>272</v>
      </c>
      <c r="R6" s="128" t="s">
        <v>242</v>
      </c>
      <c r="S6" s="128" t="s">
        <v>273</v>
      </c>
      <c r="T6" s="165"/>
      <c r="U6" s="165"/>
      <c r="V6" s="165"/>
      <c r="W6" s="264"/>
    </row>
    <row r="7" spans="1:31" ht="25.05" customHeight="1">
      <c r="B7" s="247"/>
      <c r="C7" s="127"/>
      <c r="D7" s="127"/>
      <c r="E7" s="127"/>
      <c r="F7" s="1295"/>
      <c r="G7" s="1296"/>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3.8">
      <c r="B8" s="247"/>
      <c r="C8" s="127"/>
      <c r="D8" s="127"/>
      <c r="E8" s="127"/>
      <c r="F8" s="127"/>
      <c r="G8" s="127"/>
      <c r="H8" s="127"/>
      <c r="I8" s="127" t="s">
        <v>478</v>
      </c>
      <c r="J8" s="127"/>
      <c r="K8" s="127"/>
      <c r="L8" s="127"/>
      <c r="M8" s="127"/>
      <c r="N8" s="127"/>
      <c r="O8" s="127"/>
      <c r="P8" s="127"/>
      <c r="Q8" s="127"/>
      <c r="R8" s="127"/>
      <c r="S8" s="127"/>
      <c r="T8" s="127"/>
      <c r="U8" s="127"/>
      <c r="V8" s="127"/>
      <c r="W8" s="264"/>
    </row>
    <row r="9" spans="1:31" ht="13.8">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479</v>
      </c>
      <c r="Y11" s="133" t="s">
        <v>480</v>
      </c>
      <c r="Z11" s="133" t="s">
        <v>269</v>
      </c>
      <c r="AA11" s="133" t="s">
        <v>271</v>
      </c>
      <c r="AC11" s="211" t="s">
        <v>481</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482</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242</v>
      </c>
    </row>
    <row r="14" spans="1:31">
      <c r="B14" s="209"/>
      <c r="C14" s="144" t="s">
        <v>483</v>
      </c>
      <c r="D14" s="252"/>
      <c r="E14" s="144" t="s">
        <v>484</v>
      </c>
      <c r="F14" s="252"/>
      <c r="G14" s="144" t="s">
        <v>485</v>
      </c>
      <c r="H14" s="252"/>
      <c r="I14" s="144" t="s">
        <v>486</v>
      </c>
      <c r="J14" s="252"/>
      <c r="K14" s="362" t="s">
        <v>487</v>
      </c>
      <c r="L14" s="259"/>
      <c r="M14" s="363" t="s">
        <v>488</v>
      </c>
      <c r="O14" s="364" t="s">
        <v>489</v>
      </c>
      <c r="Q14" s="364" t="s">
        <v>490</v>
      </c>
      <c r="S14" s="364" t="s">
        <v>491</v>
      </c>
      <c r="U14" s="364" t="s">
        <v>492</v>
      </c>
      <c r="W14" s="236"/>
      <c r="X14" s="133">
        <f>COUNTIF(C12:U12,"ROW")</f>
        <v>0</v>
      </c>
      <c r="Y14" s="133">
        <v>0</v>
      </c>
      <c r="Z14" s="133">
        <v>0</v>
      </c>
      <c r="AB14" s="133" t="s">
        <v>192</v>
      </c>
    </row>
    <row r="15" spans="1:31">
      <c r="B15" s="209"/>
      <c r="C15" s="144"/>
      <c r="D15" s="252"/>
      <c r="E15" s="144" t="s">
        <v>493</v>
      </c>
      <c r="F15" s="252"/>
      <c r="G15" s="144" t="s">
        <v>112</v>
      </c>
      <c r="H15" s="252"/>
      <c r="I15" s="144" t="s">
        <v>88</v>
      </c>
      <c r="J15" s="252"/>
      <c r="K15" s="259" t="s">
        <v>212</v>
      </c>
      <c r="L15" s="259"/>
      <c r="M15" s="259" t="s">
        <v>147</v>
      </c>
      <c r="O15" s="133" t="s">
        <v>150</v>
      </c>
      <c r="Q15" s="133" t="s">
        <v>206</v>
      </c>
      <c r="S15" s="133" t="s">
        <v>150</v>
      </c>
      <c r="U15" s="133" t="s">
        <v>260</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482</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242</v>
      </c>
    </row>
    <row r="22" spans="1:31">
      <c r="B22" s="209"/>
      <c r="C22" s="364" t="s">
        <v>494</v>
      </c>
      <c r="E22" s="364" t="s">
        <v>495</v>
      </c>
      <c r="G22" s="365" t="s">
        <v>496</v>
      </c>
      <c r="I22" s="364" t="s">
        <v>497</v>
      </c>
      <c r="K22" s="365" t="s">
        <v>498</v>
      </c>
      <c r="M22" s="364" t="s">
        <v>499</v>
      </c>
      <c r="O22" s="364" t="s">
        <v>500</v>
      </c>
      <c r="Q22" s="147" t="s">
        <v>501</v>
      </c>
      <c r="R22" s="143"/>
      <c r="S22" s="147" t="s">
        <v>502</v>
      </c>
      <c r="U22" s="149" t="s">
        <v>503</v>
      </c>
      <c r="W22" s="236"/>
      <c r="X22" s="133">
        <f>COUNTIF(C20:U20,"ROW")</f>
        <v>0</v>
      </c>
      <c r="Y22" s="133">
        <v>0</v>
      </c>
      <c r="Z22" s="133">
        <v>0</v>
      </c>
      <c r="AB22" s="133" t="s">
        <v>192</v>
      </c>
    </row>
    <row r="23" spans="1:31">
      <c r="B23" s="209"/>
      <c r="C23" s="149" t="s">
        <v>281</v>
      </c>
      <c r="D23" s="149"/>
      <c r="E23" s="144" t="s">
        <v>504</v>
      </c>
      <c r="F23" s="149"/>
      <c r="G23" s="144" t="s">
        <v>493</v>
      </c>
      <c r="H23" s="149"/>
      <c r="I23" s="149" t="s">
        <v>259</v>
      </c>
      <c r="J23" s="149"/>
      <c r="K23" s="144" t="s">
        <v>102</v>
      </c>
      <c r="L23" s="149"/>
      <c r="M23" s="149" t="s">
        <v>282</v>
      </c>
      <c r="N23" s="149"/>
      <c r="O23" s="149" t="s">
        <v>281</v>
      </c>
      <c r="P23" s="149"/>
      <c r="Q23" s="147" t="s">
        <v>505</v>
      </c>
      <c r="R23" s="143"/>
      <c r="S23" s="147" t="s">
        <v>505</v>
      </c>
      <c r="T23" s="149"/>
      <c r="U23" s="133" t="s">
        <v>260</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3893.64</v>
      </c>
      <c r="AE27" s="135">
        <f>SUM(D27:V27)</f>
        <v>3893.64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482</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242</v>
      </c>
    </row>
    <row r="30" spans="1:31">
      <c r="B30" s="209"/>
      <c r="C30" s="149" t="s">
        <v>506</v>
      </c>
      <c r="D30" s="149"/>
      <c r="E30" s="149" t="s">
        <v>507</v>
      </c>
      <c r="F30" s="149"/>
      <c r="G30" s="149" t="s">
        <v>508</v>
      </c>
      <c r="H30" s="149"/>
      <c r="I30" s="366" t="s">
        <v>509</v>
      </c>
      <c r="J30" s="149"/>
      <c r="K30" s="366" t="s">
        <v>510</v>
      </c>
      <c r="L30" s="149"/>
      <c r="M30" s="366" t="s">
        <v>511</v>
      </c>
      <c r="N30" s="149"/>
      <c r="O30" s="147" t="s">
        <v>512</v>
      </c>
      <c r="P30" s="149"/>
      <c r="Q30" s="367" t="s">
        <v>513</v>
      </c>
      <c r="R30" s="149"/>
      <c r="S30" s="367" t="s">
        <v>514</v>
      </c>
      <c r="T30" s="149"/>
      <c r="U30" s="367" t="s">
        <v>515</v>
      </c>
      <c r="W30" s="236"/>
      <c r="X30" s="133">
        <f>COUNTIF(C28:U28,"ROW")</f>
        <v>0</v>
      </c>
      <c r="Y30" s="133">
        <v>0</v>
      </c>
      <c r="Z30" s="133">
        <v>0</v>
      </c>
      <c r="AB30" s="133" t="s">
        <v>192</v>
      </c>
    </row>
    <row r="31" spans="1:31">
      <c r="B31" s="209"/>
      <c r="C31" s="149" t="s">
        <v>260</v>
      </c>
      <c r="D31" s="149"/>
      <c r="E31" s="149" t="s">
        <v>260</v>
      </c>
      <c r="F31" s="149"/>
      <c r="G31" s="149" t="s">
        <v>260</v>
      </c>
      <c r="H31" s="149"/>
      <c r="I31" s="149" t="s">
        <v>260</v>
      </c>
      <c r="J31" s="149"/>
      <c r="K31" s="149" t="s">
        <v>260</v>
      </c>
      <c r="L31" s="149"/>
      <c r="M31" s="149" t="s">
        <v>260</v>
      </c>
      <c r="N31" s="149"/>
      <c r="O31" s="147" t="s">
        <v>308</v>
      </c>
      <c r="P31" s="149"/>
      <c r="Q31" s="149" t="s">
        <v>282</v>
      </c>
      <c r="R31" s="149"/>
      <c r="S31" s="149" t="s">
        <v>260</v>
      </c>
      <c r="T31" s="149"/>
      <c r="U31" s="149" t="s">
        <v>260</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482</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242</v>
      </c>
    </row>
    <row r="38" spans="1:31">
      <c r="B38" s="209"/>
      <c r="C38" s="367" t="s">
        <v>516</v>
      </c>
      <c r="D38" s="149"/>
      <c r="E38" s="367" t="s">
        <v>517</v>
      </c>
      <c r="F38" s="149"/>
      <c r="G38" s="367" t="s">
        <v>518</v>
      </c>
      <c r="H38" s="149"/>
      <c r="I38" s="367" t="s">
        <v>519</v>
      </c>
      <c r="J38" s="149"/>
      <c r="K38" s="147" t="s">
        <v>520</v>
      </c>
      <c r="L38" s="149"/>
      <c r="M38" s="367" t="s">
        <v>521</v>
      </c>
      <c r="N38" s="149"/>
      <c r="O38" s="367" t="s">
        <v>522</v>
      </c>
      <c r="P38" s="149"/>
      <c r="Q38" s="367" t="s">
        <v>523</v>
      </c>
      <c r="R38" s="149"/>
      <c r="S38" s="367" t="s">
        <v>524</v>
      </c>
      <c r="T38" s="149"/>
      <c r="U38" s="367" t="s">
        <v>525</v>
      </c>
      <c r="W38" s="236"/>
      <c r="X38" s="133">
        <f>COUNTIF(C36:U36,"ROW")</f>
        <v>0</v>
      </c>
      <c r="Y38" s="133">
        <v>0</v>
      </c>
      <c r="Z38" s="133">
        <v>0</v>
      </c>
      <c r="AB38" s="133" t="s">
        <v>192</v>
      </c>
    </row>
    <row r="39" spans="1:31">
      <c r="B39" s="209"/>
      <c r="C39" s="149" t="s">
        <v>281</v>
      </c>
      <c r="D39" s="149"/>
      <c r="E39" s="149" t="s">
        <v>260</v>
      </c>
      <c r="F39" s="149"/>
      <c r="G39" s="149" t="s">
        <v>282</v>
      </c>
      <c r="H39" s="149"/>
      <c r="I39" s="149" t="s">
        <v>282</v>
      </c>
      <c r="J39" s="149"/>
      <c r="K39" s="147" t="s">
        <v>308</v>
      </c>
      <c r="L39" s="149"/>
      <c r="M39" s="149" t="s">
        <v>260</v>
      </c>
      <c r="N39" s="149"/>
      <c r="O39" s="149" t="s">
        <v>260</v>
      </c>
      <c r="P39" s="149"/>
      <c r="Q39" s="149" t="s">
        <v>260</v>
      </c>
      <c r="R39" s="149"/>
      <c r="S39" s="149" t="s">
        <v>260</v>
      </c>
      <c r="T39" s="149"/>
      <c r="U39" s="149" t="s">
        <v>260</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482</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242</v>
      </c>
    </row>
    <row r="46" spans="1:31">
      <c r="B46" s="209"/>
      <c r="C46" s="367" t="s">
        <v>526</v>
      </c>
      <c r="D46" s="149"/>
      <c r="E46" s="147" t="s">
        <v>527</v>
      </c>
      <c r="F46" s="149"/>
      <c r="G46" s="367" t="s">
        <v>528</v>
      </c>
      <c r="H46" s="149"/>
      <c r="I46" s="367" t="s">
        <v>529</v>
      </c>
      <c r="J46" s="149"/>
      <c r="K46" s="367" t="s">
        <v>530</v>
      </c>
      <c r="L46" s="149"/>
      <c r="M46" s="367" t="s">
        <v>531</v>
      </c>
      <c r="N46" s="149"/>
      <c r="O46" s="367" t="s">
        <v>532</v>
      </c>
      <c r="P46" s="149"/>
      <c r="Q46" s="367" t="s">
        <v>533</v>
      </c>
      <c r="R46" s="149"/>
      <c r="S46" s="367" t="s">
        <v>534</v>
      </c>
      <c r="T46" s="149"/>
      <c r="U46" s="367" t="s">
        <v>535</v>
      </c>
      <c r="W46" s="236"/>
      <c r="X46" s="133">
        <f>COUNTIF(C44:U44,"ROW")</f>
        <v>0</v>
      </c>
      <c r="Y46" s="133">
        <v>0</v>
      </c>
      <c r="Z46" s="133">
        <v>0</v>
      </c>
      <c r="AB46" s="133" t="s">
        <v>192</v>
      </c>
    </row>
    <row r="47" spans="1:31">
      <c r="B47" s="209"/>
      <c r="C47" s="149" t="s">
        <v>260</v>
      </c>
      <c r="D47" s="149"/>
      <c r="E47" s="147" t="s">
        <v>88</v>
      </c>
      <c r="F47" s="149"/>
      <c r="G47" s="149" t="s">
        <v>259</v>
      </c>
      <c r="H47" s="149"/>
      <c r="I47" s="149" t="s">
        <v>260</v>
      </c>
      <c r="J47" s="149"/>
      <c r="K47" s="149" t="s">
        <v>260</v>
      </c>
      <c r="L47" s="149"/>
      <c r="M47" s="149" t="s">
        <v>260</v>
      </c>
      <c r="N47" s="149"/>
      <c r="O47" s="149" t="s">
        <v>260</v>
      </c>
      <c r="P47" s="149"/>
      <c r="Q47" s="149" t="s">
        <v>260</v>
      </c>
      <c r="R47" s="149"/>
      <c r="S47" s="149" t="s">
        <v>260</v>
      </c>
      <c r="T47" s="149"/>
      <c r="U47" s="149" t="s">
        <v>260</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482</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242</v>
      </c>
    </row>
    <row r="54" spans="1:31">
      <c r="B54" s="209"/>
      <c r="C54" s="367" t="s">
        <v>536</v>
      </c>
      <c r="D54" s="149"/>
      <c r="E54" s="147" t="s">
        <v>537</v>
      </c>
      <c r="F54" s="149"/>
      <c r="G54" s="367" t="s">
        <v>538</v>
      </c>
      <c r="H54" s="149"/>
      <c r="I54" s="147" t="s">
        <v>539</v>
      </c>
      <c r="J54" s="149"/>
      <c r="K54" s="367" t="s">
        <v>540</v>
      </c>
      <c r="L54" s="149"/>
      <c r="M54" s="367" t="s">
        <v>541</v>
      </c>
      <c r="N54" s="149"/>
      <c r="O54" s="367" t="s">
        <v>542</v>
      </c>
      <c r="P54" s="149"/>
      <c r="Q54" s="367" t="s">
        <v>543</v>
      </c>
      <c r="R54" s="149"/>
      <c r="S54" s="367" t="s">
        <v>544</v>
      </c>
      <c r="T54" s="149"/>
      <c r="U54" s="367" t="s">
        <v>545</v>
      </c>
      <c r="W54" s="236"/>
      <c r="X54" s="133">
        <f>COUNTIF(C52:U52,"ROW")</f>
        <v>0</v>
      </c>
      <c r="Y54" s="133">
        <v>0</v>
      </c>
      <c r="Z54" s="133">
        <v>0</v>
      </c>
      <c r="AB54" s="133" t="s">
        <v>192</v>
      </c>
    </row>
    <row r="55" spans="1:31">
      <c r="B55" s="209"/>
      <c r="C55" s="133" t="s">
        <v>260</v>
      </c>
      <c r="E55" s="147" t="s">
        <v>283</v>
      </c>
      <c r="F55" s="149"/>
      <c r="G55" s="133" t="s">
        <v>281</v>
      </c>
      <c r="H55" s="149"/>
      <c r="I55" s="147" t="s">
        <v>307</v>
      </c>
      <c r="J55" s="149"/>
      <c r="K55" s="149" t="s">
        <v>281</v>
      </c>
      <c r="L55" s="149"/>
      <c r="M55" s="149" t="s">
        <v>281</v>
      </c>
      <c r="N55" s="149"/>
      <c r="O55" s="149" t="s">
        <v>260</v>
      </c>
      <c r="P55" s="149"/>
      <c r="Q55" s="149" t="s">
        <v>281</v>
      </c>
      <c r="R55" s="149"/>
      <c r="S55" s="149" t="s">
        <v>260</v>
      </c>
      <c r="T55" s="149"/>
      <c r="U55" s="149" t="s">
        <v>260</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482</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242</v>
      </c>
    </row>
    <row r="62" spans="1:31">
      <c r="B62" s="209"/>
      <c r="C62" s="367" t="s">
        <v>546</v>
      </c>
      <c r="D62" s="149"/>
      <c r="E62" s="367" t="s">
        <v>547</v>
      </c>
      <c r="F62" s="258"/>
      <c r="G62" s="147" t="s">
        <v>548</v>
      </c>
      <c r="H62" s="258"/>
      <c r="I62" s="367" t="s">
        <v>549</v>
      </c>
      <c r="J62" s="149"/>
      <c r="K62" s="367" t="s">
        <v>550</v>
      </c>
      <c r="L62" s="149"/>
      <c r="M62" s="367" t="s">
        <v>551</v>
      </c>
      <c r="N62" s="149"/>
      <c r="O62" s="367" t="s">
        <v>552</v>
      </c>
      <c r="P62" s="149"/>
      <c r="Q62" s="147" t="s">
        <v>553</v>
      </c>
      <c r="R62" s="149"/>
      <c r="S62" s="147" t="s">
        <v>554</v>
      </c>
      <c r="U62" s="367" t="s">
        <v>555</v>
      </c>
      <c r="V62" s="149"/>
      <c r="W62" s="236"/>
      <c r="X62" s="133">
        <f>COUNTIF(C60:U60,"ROW")</f>
        <v>0</v>
      </c>
      <c r="Y62" s="133">
        <v>0</v>
      </c>
      <c r="Z62" s="133">
        <v>0</v>
      </c>
      <c r="AB62" s="133" t="s">
        <v>192</v>
      </c>
    </row>
    <row r="63" spans="1:31">
      <c r="B63" s="209"/>
      <c r="C63" s="149" t="s">
        <v>260</v>
      </c>
      <c r="E63" s="149" t="s">
        <v>260</v>
      </c>
      <c r="F63" s="149"/>
      <c r="G63" s="147" t="s">
        <v>283</v>
      </c>
      <c r="H63" s="149"/>
      <c r="I63" s="149" t="s">
        <v>259</v>
      </c>
      <c r="J63" s="149"/>
      <c r="K63" s="149" t="s">
        <v>260</v>
      </c>
      <c r="L63" s="149"/>
      <c r="M63" s="149" t="s">
        <v>282</v>
      </c>
      <c r="N63" s="149"/>
      <c r="O63" s="149" t="s">
        <v>281</v>
      </c>
      <c r="P63" s="149"/>
      <c r="Q63" s="147" t="s">
        <v>294</v>
      </c>
      <c r="R63" s="149"/>
      <c r="S63" s="147" t="s">
        <v>361</v>
      </c>
      <c r="U63" s="149" t="s">
        <v>281</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556</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482</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242</v>
      </c>
    </row>
    <row r="71" spans="1:31">
      <c r="B71" s="209"/>
      <c r="C71" s="367" t="s">
        <v>557</v>
      </c>
      <c r="D71" s="149"/>
      <c r="E71" s="367" t="s">
        <v>558</v>
      </c>
      <c r="F71" s="149"/>
      <c r="G71" s="147" t="s">
        <v>559</v>
      </c>
      <c r="H71" s="149"/>
      <c r="I71" s="367" t="s">
        <v>560</v>
      </c>
      <c r="J71" s="149"/>
      <c r="K71" s="367" t="s">
        <v>561</v>
      </c>
      <c r="L71" s="149"/>
      <c r="M71" s="367" t="s">
        <v>562</v>
      </c>
      <c r="N71" s="149"/>
      <c r="O71" s="367" t="s">
        <v>563</v>
      </c>
      <c r="P71" s="149"/>
      <c r="Q71" s="367" t="s">
        <v>564</v>
      </c>
      <c r="R71" s="149"/>
      <c r="S71" s="367" t="s">
        <v>565</v>
      </c>
      <c r="U71" s="367" t="s">
        <v>566</v>
      </c>
      <c r="V71" s="149"/>
      <c r="W71" s="236"/>
      <c r="X71" s="133">
        <f>COUNTIF(C69:U69,"ROW")</f>
        <v>0</v>
      </c>
      <c r="Y71" s="133">
        <v>0</v>
      </c>
      <c r="Z71" s="133">
        <v>0</v>
      </c>
      <c r="AB71" s="133" t="s">
        <v>192</v>
      </c>
    </row>
    <row r="72" spans="1:31">
      <c r="B72" s="209"/>
      <c r="C72" s="149" t="s">
        <v>281</v>
      </c>
      <c r="D72" s="149"/>
      <c r="E72" s="149" t="s">
        <v>282</v>
      </c>
      <c r="F72" s="149"/>
      <c r="G72" s="147" t="s">
        <v>283</v>
      </c>
      <c r="H72" s="149"/>
      <c r="I72" s="149" t="s">
        <v>281</v>
      </c>
      <c r="J72" s="149"/>
      <c r="K72" s="149" t="s">
        <v>259</v>
      </c>
      <c r="L72" s="149"/>
      <c r="M72" s="149" t="s">
        <v>260</v>
      </c>
      <c r="N72" s="149"/>
      <c r="O72" s="149" t="s">
        <v>260</v>
      </c>
      <c r="P72" s="149"/>
      <c r="Q72" s="149" t="s">
        <v>260</v>
      </c>
      <c r="R72" s="149"/>
      <c r="S72" s="149" t="s">
        <v>260</v>
      </c>
      <c r="U72" s="149" t="s">
        <v>260</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556</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3804.55</v>
      </c>
      <c r="AE77" s="135">
        <f>SUM(D77:V77)</f>
        <v>3804.55</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482</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242</v>
      </c>
    </row>
    <row r="80" spans="1:31">
      <c r="B80" s="209"/>
      <c r="C80" s="367" t="s">
        <v>567</v>
      </c>
      <c r="D80" s="149"/>
      <c r="E80" s="147" t="s">
        <v>568</v>
      </c>
      <c r="F80" s="149"/>
      <c r="G80" s="367" t="s">
        <v>569</v>
      </c>
      <c r="H80" s="149"/>
      <c r="I80" s="367" t="s">
        <v>570</v>
      </c>
      <c r="J80" s="149"/>
      <c r="K80" s="367" t="s">
        <v>571</v>
      </c>
      <c r="L80" s="149"/>
      <c r="M80" s="147" t="s">
        <v>572</v>
      </c>
      <c r="N80" s="149"/>
      <c r="O80" s="147" t="s">
        <v>573</v>
      </c>
      <c r="P80" s="149"/>
      <c r="Q80" s="147" t="s">
        <v>574</v>
      </c>
      <c r="R80" s="149"/>
      <c r="S80" s="367" t="s">
        <v>575</v>
      </c>
      <c r="U80" s="367" t="s">
        <v>576</v>
      </c>
      <c r="V80" s="149"/>
      <c r="W80" s="236"/>
      <c r="X80" s="133">
        <f>COUNTIF(C78:U78,"ROW")</f>
        <v>0</v>
      </c>
      <c r="Y80" s="133">
        <v>0</v>
      </c>
      <c r="Z80" s="133">
        <v>0</v>
      </c>
      <c r="AB80" s="133" t="s">
        <v>192</v>
      </c>
    </row>
    <row r="81" spans="1:31">
      <c r="B81" s="209"/>
      <c r="C81" s="149" t="s">
        <v>260</v>
      </c>
      <c r="D81" s="149"/>
      <c r="E81" s="147" t="s">
        <v>84</v>
      </c>
      <c r="F81" s="149"/>
      <c r="G81" s="149" t="s">
        <v>260</v>
      </c>
      <c r="H81" s="149"/>
      <c r="I81" s="149" t="s">
        <v>260</v>
      </c>
      <c r="J81" s="149"/>
      <c r="K81" s="149" t="s">
        <v>281</v>
      </c>
      <c r="L81" s="149"/>
      <c r="M81" s="147" t="s">
        <v>308</v>
      </c>
      <c r="N81" s="149"/>
      <c r="O81" s="147" t="s">
        <v>377</v>
      </c>
      <c r="P81" s="149"/>
      <c r="Q81" s="147" t="s">
        <v>294</v>
      </c>
      <c r="R81" s="149"/>
      <c r="S81" s="149" t="s">
        <v>281</v>
      </c>
      <c r="U81" s="147" t="s">
        <v>260</v>
      </c>
      <c r="V81" s="149"/>
      <c r="W81" s="236"/>
    </row>
    <row r="82" spans="1:31">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556</v>
      </c>
      <c r="N83" s="149"/>
      <c r="O83" s="149"/>
      <c r="P83" s="149"/>
      <c r="Q83" s="149"/>
      <c r="R83" s="149"/>
      <c r="S83" s="149" t="s">
        <v>556</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v>
      </c>
      <c r="AE86" s="135">
        <f>SUM(D86:V86)</f>
        <v>3481.99</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482</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242</v>
      </c>
    </row>
    <row r="89" spans="1:31">
      <c r="B89" s="209"/>
      <c r="C89" s="367" t="s">
        <v>577</v>
      </c>
      <c r="D89" s="149"/>
      <c r="E89" s="367" t="s">
        <v>578</v>
      </c>
      <c r="F89" s="149"/>
      <c r="G89" s="367" t="s">
        <v>579</v>
      </c>
      <c r="H89" s="149"/>
      <c r="I89" s="147" t="s">
        <v>580</v>
      </c>
      <c r="J89" s="149"/>
      <c r="K89" s="367" t="s">
        <v>581</v>
      </c>
      <c r="L89" s="149"/>
      <c r="M89" s="367" t="s">
        <v>582</v>
      </c>
      <c r="N89" s="149"/>
      <c r="O89" s="367" t="s">
        <v>583</v>
      </c>
      <c r="P89" s="149"/>
      <c r="Q89" s="147" t="s">
        <v>584</v>
      </c>
      <c r="R89" s="149"/>
      <c r="S89" s="367" t="s">
        <v>585</v>
      </c>
      <c r="U89" s="367" t="s">
        <v>586</v>
      </c>
      <c r="V89" s="149"/>
      <c r="W89" s="236"/>
      <c r="X89" s="133">
        <f>COUNTIF(C87:U87,"ROW")</f>
        <v>0</v>
      </c>
      <c r="Y89" s="133">
        <v>0</v>
      </c>
      <c r="Z89" s="133">
        <v>0</v>
      </c>
      <c r="AB89" s="133" t="s">
        <v>192</v>
      </c>
    </row>
    <row r="90" spans="1:31">
      <c r="B90" s="209"/>
      <c r="C90" s="149" t="s">
        <v>282</v>
      </c>
      <c r="D90" s="149"/>
      <c r="E90" s="149" t="s">
        <v>308</v>
      </c>
      <c r="F90" s="149"/>
      <c r="G90" s="149" t="s">
        <v>259</v>
      </c>
      <c r="H90" s="149"/>
      <c r="I90" s="147" t="s">
        <v>306</v>
      </c>
      <c r="J90" s="149"/>
      <c r="K90" s="149" t="s">
        <v>281</v>
      </c>
      <c r="L90" s="149"/>
      <c r="M90" s="149" t="s">
        <v>282</v>
      </c>
      <c r="N90" s="149"/>
      <c r="O90" s="149" t="s">
        <v>260</v>
      </c>
      <c r="P90" s="149"/>
      <c r="Q90" s="147" t="s">
        <v>306</v>
      </c>
      <c r="R90" s="149"/>
      <c r="S90" s="149" t="s">
        <v>281</v>
      </c>
      <c r="U90" s="149" t="s">
        <v>282</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556</v>
      </c>
      <c r="P92" s="149"/>
      <c r="Q92" s="149"/>
      <c r="R92" s="149"/>
      <c r="S92" s="149"/>
      <c r="T92" s="149"/>
      <c r="U92" s="149" t="s">
        <v>556</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3687.88</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482</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242</v>
      </c>
    </row>
    <row r="98" spans="1:31">
      <c r="B98" s="209"/>
      <c r="C98" s="147" t="s">
        <v>587</v>
      </c>
      <c r="D98" s="143"/>
      <c r="E98" s="147" t="s">
        <v>588</v>
      </c>
      <c r="F98" s="143"/>
      <c r="G98" s="147" t="s">
        <v>589</v>
      </c>
      <c r="H98" s="149"/>
      <c r="I98" s="367" t="s">
        <v>590</v>
      </c>
      <c r="J98" s="149"/>
      <c r="K98" s="147" t="s">
        <v>591</v>
      </c>
      <c r="L98" s="149"/>
      <c r="M98" s="367" t="s">
        <v>592</v>
      </c>
      <c r="N98" s="149"/>
      <c r="O98" s="367" t="s">
        <v>593</v>
      </c>
      <c r="P98" s="149"/>
      <c r="Q98" s="367" t="s">
        <v>594</v>
      </c>
      <c r="R98" s="149"/>
      <c r="S98" s="367" t="s">
        <v>595</v>
      </c>
      <c r="U98" s="367" t="s">
        <v>596</v>
      </c>
      <c r="V98" s="149"/>
      <c r="W98" s="236"/>
      <c r="X98" s="133">
        <f>COUNTIF(C96:U96,"ROW")</f>
        <v>0</v>
      </c>
      <c r="Y98" s="133">
        <v>0</v>
      </c>
      <c r="Z98" s="133">
        <v>0</v>
      </c>
      <c r="AB98" s="133" t="s">
        <v>192</v>
      </c>
    </row>
    <row r="99" spans="1:31">
      <c r="B99" s="209"/>
      <c r="C99" s="147" t="s">
        <v>82</v>
      </c>
      <c r="D99" s="143"/>
      <c r="E99" s="147" t="s">
        <v>78</v>
      </c>
      <c r="F99" s="143"/>
      <c r="G99" s="147" t="s">
        <v>406</v>
      </c>
      <c r="H99" s="149"/>
      <c r="I99" s="149" t="s">
        <v>259</v>
      </c>
      <c r="J99" s="149"/>
      <c r="K99" s="147" t="s">
        <v>306</v>
      </c>
      <c r="L99" s="149"/>
      <c r="M99" s="149" t="s">
        <v>259</v>
      </c>
      <c r="N99" s="149"/>
      <c r="O99" s="149" t="s">
        <v>282</v>
      </c>
      <c r="P99" s="149"/>
      <c r="Q99" s="149" t="s">
        <v>281</v>
      </c>
      <c r="R99" s="149"/>
      <c r="S99" s="149" t="s">
        <v>282</v>
      </c>
      <c r="U99" s="149" t="s">
        <v>281</v>
      </c>
      <c r="V99" s="149"/>
      <c r="W99" s="236"/>
    </row>
    <row r="100" spans="1:31">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556</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4001.25</v>
      </c>
      <c r="AE104" s="135">
        <f>SUM(D104:V104)</f>
        <v>4001.25</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482</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242</v>
      </c>
    </row>
    <row r="107" spans="1:31">
      <c r="B107" s="209"/>
      <c r="C107" s="367" t="s">
        <v>597</v>
      </c>
      <c r="D107" s="149"/>
      <c r="E107" s="147" t="s">
        <v>598</v>
      </c>
      <c r="F107" s="149"/>
      <c r="G107" s="367" t="s">
        <v>599</v>
      </c>
      <c r="H107" s="149"/>
      <c r="I107" s="367" t="s">
        <v>600</v>
      </c>
      <c r="J107" s="149"/>
      <c r="K107" s="147" t="s">
        <v>601</v>
      </c>
      <c r="L107" s="149"/>
      <c r="M107" s="367" t="s">
        <v>602</v>
      </c>
      <c r="N107" s="149"/>
      <c r="O107" s="367" t="s">
        <v>603</v>
      </c>
      <c r="P107" s="149"/>
      <c r="Q107" s="367" t="s">
        <v>604</v>
      </c>
      <c r="R107" s="149"/>
      <c r="S107" s="367" t="s">
        <v>605</v>
      </c>
      <c r="U107" s="147" t="s">
        <v>606</v>
      </c>
      <c r="V107" s="149"/>
      <c r="W107" s="236"/>
      <c r="X107" s="133">
        <f>COUNTIF(C105:U105,"ROW")</f>
        <v>0</v>
      </c>
      <c r="Y107" s="133">
        <v>0</v>
      </c>
      <c r="Z107" s="133">
        <v>0</v>
      </c>
      <c r="AB107" s="133" t="s">
        <v>192</v>
      </c>
    </row>
    <row r="108" spans="1:31">
      <c r="B108" s="209"/>
      <c r="C108" s="149" t="s">
        <v>282</v>
      </c>
      <c r="D108" s="149"/>
      <c r="E108" s="147" t="s">
        <v>102</v>
      </c>
      <c r="F108" s="149"/>
      <c r="G108" s="149" t="s">
        <v>259</v>
      </c>
      <c r="H108" s="149"/>
      <c r="I108" s="149" t="s">
        <v>259</v>
      </c>
      <c r="J108" s="149"/>
      <c r="K108" s="147" t="s">
        <v>84</v>
      </c>
      <c r="L108" s="149"/>
      <c r="M108" s="149" t="s">
        <v>260</v>
      </c>
      <c r="N108" s="149"/>
      <c r="O108" s="149" t="s">
        <v>259</v>
      </c>
      <c r="P108" s="149"/>
      <c r="Q108" s="149" t="s">
        <v>260</v>
      </c>
      <c r="R108" s="149"/>
      <c r="S108" s="149" t="s">
        <v>97</v>
      </c>
      <c r="U108" s="147" t="s">
        <v>102</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556</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3725.44</v>
      </c>
      <c r="AE113" s="135">
        <f>SUM(D113:V113)</f>
        <v>3713.13</v>
      </c>
    </row>
    <row r="114" spans="1:31">
      <c r="A114" s="133">
        <f>A105+1</f>
        <v>13</v>
      </c>
      <c r="B114" s="132"/>
      <c r="C114" s="140"/>
      <c r="D114" s="139"/>
      <c r="E114" s="271" t="s">
        <v>192</v>
      </c>
      <c r="G114" s="140"/>
      <c r="H114" s="139"/>
      <c r="I114" s="140"/>
      <c r="J114" s="139"/>
      <c r="K114" s="271" t="s">
        <v>192</v>
      </c>
      <c r="L114" s="139"/>
      <c r="M114" s="271" t="s">
        <v>192</v>
      </c>
      <c r="N114" s="139"/>
      <c r="O114" s="140"/>
      <c r="P114" s="139"/>
      <c r="Q114" s="140"/>
      <c r="R114" s="139"/>
      <c r="S114" s="140"/>
      <c r="T114" s="162"/>
      <c r="U114" s="140"/>
      <c r="V114" s="269"/>
      <c r="W114" s="178"/>
      <c r="X114" s="133">
        <f>COUNTIF(C114:U114,"F")</f>
        <v>0</v>
      </c>
      <c r="Y114" s="133">
        <f>COUNTIF(C113:U113,"E")</f>
        <v>0</v>
      </c>
      <c r="Z114" s="133">
        <f>COUNTIF(C115:V115,"Er")</f>
        <v>0</v>
      </c>
      <c r="AB114" s="133" t="s">
        <v>482</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242</v>
      </c>
    </row>
    <row r="116" spans="1:31">
      <c r="B116" s="132"/>
      <c r="C116" s="367" t="s">
        <v>607</v>
      </c>
      <c r="D116" s="149"/>
      <c r="E116" s="367" t="s">
        <v>608</v>
      </c>
      <c r="F116" s="149"/>
      <c r="G116" s="147" t="s">
        <v>609</v>
      </c>
      <c r="H116" s="149"/>
      <c r="I116" s="367" t="s">
        <v>610</v>
      </c>
      <c r="J116" s="149"/>
      <c r="K116" s="367" t="s">
        <v>611</v>
      </c>
      <c r="L116" s="149"/>
      <c r="M116" s="367" t="s">
        <v>612</v>
      </c>
      <c r="N116" s="149"/>
      <c r="O116" s="147" t="s">
        <v>613</v>
      </c>
      <c r="P116" s="149"/>
      <c r="Q116" s="147" t="s">
        <v>614</v>
      </c>
      <c r="R116" s="149"/>
      <c r="S116" s="367" t="s">
        <v>615</v>
      </c>
      <c r="U116" s="367" t="s">
        <v>616</v>
      </c>
      <c r="V116" s="149"/>
      <c r="W116" s="177"/>
      <c r="X116" s="133">
        <f>COUNTIF(C114:U114,"ROW")</f>
        <v>3</v>
      </c>
      <c r="Y116" s="133">
        <v>0</v>
      </c>
      <c r="Z116" s="133">
        <v>0</v>
      </c>
      <c r="AB116" s="133" t="s">
        <v>192</v>
      </c>
    </row>
    <row r="117" spans="1:31">
      <c r="B117" s="132"/>
      <c r="C117" s="149" t="s">
        <v>282</v>
      </c>
      <c r="D117" s="149"/>
      <c r="E117" s="149" t="s">
        <v>259</v>
      </c>
      <c r="F117" s="149"/>
      <c r="G117" s="147" t="s">
        <v>80</v>
      </c>
      <c r="H117" s="149"/>
      <c r="I117" s="149" t="s">
        <v>260</v>
      </c>
      <c r="J117" s="149"/>
      <c r="K117" s="149" t="s">
        <v>260</v>
      </c>
      <c r="L117" s="149"/>
      <c r="M117" s="149" t="s">
        <v>260</v>
      </c>
      <c r="N117" s="149"/>
      <c r="O117" s="147" t="s">
        <v>88</v>
      </c>
      <c r="P117" s="149"/>
      <c r="Q117" s="147" t="s">
        <v>88</v>
      </c>
      <c r="R117" s="149"/>
      <c r="S117" s="149" t="s">
        <v>281</v>
      </c>
      <c r="U117" s="149" t="s">
        <v>281</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556</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482</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242</v>
      </c>
    </row>
    <row r="125" spans="1:31">
      <c r="B125" s="132"/>
      <c r="C125" s="367" t="s">
        <v>617</v>
      </c>
      <c r="D125" s="149"/>
      <c r="E125" s="147" t="s">
        <v>618</v>
      </c>
      <c r="F125" s="149"/>
      <c r="G125" s="147" t="s">
        <v>619</v>
      </c>
      <c r="H125" s="149"/>
      <c r="I125" s="367" t="s">
        <v>620</v>
      </c>
      <c r="J125" s="149"/>
      <c r="K125" s="147" t="s">
        <v>621</v>
      </c>
      <c r="L125" s="149"/>
      <c r="M125" s="367" t="s">
        <v>622</v>
      </c>
      <c r="N125" s="149"/>
      <c r="O125" s="147" t="s">
        <v>623</v>
      </c>
      <c r="P125" s="149"/>
      <c r="Q125" s="367" t="s">
        <v>624</v>
      </c>
      <c r="R125" s="149"/>
      <c r="S125" s="367" t="s">
        <v>625</v>
      </c>
      <c r="T125" s="149"/>
      <c r="U125" s="147" t="s">
        <v>626</v>
      </c>
      <c r="W125" s="177"/>
      <c r="X125" s="133">
        <f>COUNTIF(C123:U123,"ROW")</f>
        <v>0</v>
      </c>
      <c r="Y125" s="133">
        <v>0</v>
      </c>
      <c r="Z125" s="133">
        <v>0</v>
      </c>
      <c r="AB125" s="133" t="s">
        <v>192</v>
      </c>
    </row>
    <row r="126" spans="1:31">
      <c r="B126" s="132"/>
      <c r="C126" s="149" t="s">
        <v>259</v>
      </c>
      <c r="D126" s="149"/>
      <c r="E126" s="147" t="s">
        <v>84</v>
      </c>
      <c r="F126" s="149"/>
      <c r="G126" s="147" t="s">
        <v>93</v>
      </c>
      <c r="H126" s="149"/>
      <c r="I126" s="149" t="s">
        <v>259</v>
      </c>
      <c r="J126" s="149"/>
      <c r="K126" s="147" t="s">
        <v>88</v>
      </c>
      <c r="L126" s="149"/>
      <c r="M126" s="149" t="s">
        <v>259</v>
      </c>
      <c r="N126" s="149"/>
      <c r="O126" s="147" t="s">
        <v>88</v>
      </c>
      <c r="P126" s="149"/>
      <c r="Q126" s="149" t="s">
        <v>259</v>
      </c>
      <c r="R126" s="149"/>
      <c r="S126" s="149" t="s">
        <v>259</v>
      </c>
      <c r="T126" s="149"/>
      <c r="U126" s="147" t="s">
        <v>108</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482</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242</v>
      </c>
    </row>
    <row r="134" spans="1:31">
      <c r="B134" s="132"/>
      <c r="C134" s="367" t="s">
        <v>627</v>
      </c>
      <c r="D134" s="149"/>
      <c r="E134" s="147" t="s">
        <v>628</v>
      </c>
      <c r="F134" s="149"/>
      <c r="G134" s="367" t="s">
        <v>629</v>
      </c>
      <c r="H134" s="149"/>
      <c r="I134" s="367" t="s">
        <v>630</v>
      </c>
      <c r="J134" s="149"/>
      <c r="K134" s="367" t="s">
        <v>631</v>
      </c>
      <c r="L134" s="149"/>
      <c r="M134" s="147" t="s">
        <v>632</v>
      </c>
      <c r="N134" s="149"/>
      <c r="O134" s="367" t="s">
        <v>633</v>
      </c>
      <c r="P134" s="149"/>
      <c r="Q134" s="367" t="s">
        <v>634</v>
      </c>
      <c r="R134" s="149"/>
      <c r="S134" s="367" t="s">
        <v>635</v>
      </c>
      <c r="T134" s="149"/>
      <c r="U134" s="367" t="s">
        <v>636</v>
      </c>
      <c r="W134" s="177"/>
      <c r="X134" s="133">
        <f>COUNTIF(C132:U132,"ROW")</f>
        <v>0</v>
      </c>
      <c r="Y134" s="133">
        <v>0</v>
      </c>
      <c r="Z134" s="133">
        <v>0</v>
      </c>
      <c r="AB134" s="133" t="s">
        <v>192</v>
      </c>
    </row>
    <row r="135" spans="1:31">
      <c r="B135" s="132"/>
      <c r="C135" s="149" t="s">
        <v>282</v>
      </c>
      <c r="D135" s="149"/>
      <c r="E135" s="147" t="s">
        <v>84</v>
      </c>
      <c r="F135" s="149"/>
      <c r="G135" s="149" t="s">
        <v>282</v>
      </c>
      <c r="H135" s="149"/>
      <c r="I135" s="149" t="s">
        <v>259</v>
      </c>
      <c r="J135" s="149"/>
      <c r="K135" s="149" t="s">
        <v>281</v>
      </c>
      <c r="L135" s="149"/>
      <c r="M135" s="147" t="s">
        <v>153</v>
      </c>
      <c r="N135" s="149"/>
      <c r="O135" s="149" t="s">
        <v>282</v>
      </c>
      <c r="P135" s="149"/>
      <c r="Q135" s="149" t="s">
        <v>260</v>
      </c>
      <c r="R135" s="149"/>
      <c r="S135" s="149" t="s">
        <v>260</v>
      </c>
      <c r="T135" s="149"/>
      <c r="U135" s="149" t="s">
        <v>260</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v>
      </c>
      <c r="AE139" s="135">
        <f>SUM(D139:V139)</f>
        <v>4091.99</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482</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242</v>
      </c>
    </row>
    <row r="142" spans="1:31">
      <c r="B142" s="132"/>
      <c r="C142" s="367" t="s">
        <v>637</v>
      </c>
      <c r="D142" s="149"/>
      <c r="E142" s="147" t="s">
        <v>638</v>
      </c>
      <c r="F142" s="149"/>
      <c r="G142" s="367" t="s">
        <v>639</v>
      </c>
      <c r="H142" s="149"/>
      <c r="I142" s="367" t="s">
        <v>640</v>
      </c>
      <c r="J142" s="149"/>
      <c r="K142" s="147" t="s">
        <v>641</v>
      </c>
      <c r="L142" s="149"/>
      <c r="M142" s="367" t="s">
        <v>642</v>
      </c>
      <c r="N142" s="149"/>
      <c r="O142" s="367" t="s">
        <v>643</v>
      </c>
      <c r="P142" s="149"/>
      <c r="Q142" s="367" t="s">
        <v>644</v>
      </c>
      <c r="R142" s="149"/>
      <c r="S142" s="147" t="s">
        <v>645</v>
      </c>
      <c r="T142" s="149"/>
      <c r="U142" s="367" t="s">
        <v>646</v>
      </c>
      <c r="W142" s="177"/>
      <c r="X142" s="133">
        <f>COUNTIF(C140:U140,"ROW")</f>
        <v>0</v>
      </c>
      <c r="Y142" s="133">
        <v>0</v>
      </c>
      <c r="Z142" s="133">
        <v>0</v>
      </c>
      <c r="AB142" s="133" t="s">
        <v>192</v>
      </c>
    </row>
    <row r="143" spans="1:31">
      <c r="B143" s="132"/>
      <c r="C143" s="149" t="s">
        <v>282</v>
      </c>
      <c r="D143" s="149"/>
      <c r="E143" s="147" t="s">
        <v>108</v>
      </c>
      <c r="F143" s="149"/>
      <c r="G143" s="149" t="s">
        <v>377</v>
      </c>
      <c r="H143" s="149"/>
      <c r="I143" s="149" t="s">
        <v>282</v>
      </c>
      <c r="J143" s="149"/>
      <c r="K143" s="147" t="s">
        <v>84</v>
      </c>
      <c r="L143" s="149"/>
      <c r="M143" s="149" t="s">
        <v>259</v>
      </c>
      <c r="N143" s="149"/>
      <c r="O143" s="149" t="s">
        <v>135</v>
      </c>
      <c r="P143" s="149"/>
      <c r="Q143" s="149" t="s">
        <v>259</v>
      </c>
      <c r="R143" s="149"/>
      <c r="S143" s="147" t="s">
        <v>102</v>
      </c>
      <c r="T143" s="149"/>
      <c r="U143" s="149" t="s">
        <v>259</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482</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242</v>
      </c>
    </row>
    <row r="150" spans="1:31">
      <c r="B150" s="132"/>
      <c r="C150" s="364" t="s">
        <v>647</v>
      </c>
      <c r="E150" s="364" t="s">
        <v>648</v>
      </c>
      <c r="G150" s="364" t="s">
        <v>649</v>
      </c>
      <c r="I150" s="364" t="s">
        <v>650</v>
      </c>
      <c r="K150" s="364" t="s">
        <v>651</v>
      </c>
      <c r="M150" s="364" t="s">
        <v>652</v>
      </c>
      <c r="O150" s="144" t="s">
        <v>653</v>
      </c>
      <c r="Q150" s="144" t="s">
        <v>654</v>
      </c>
      <c r="S150" s="364" t="s">
        <v>655</v>
      </c>
      <c r="U150" s="144" t="s">
        <v>656</v>
      </c>
      <c r="W150" s="177"/>
      <c r="X150" s="133">
        <f>COUNTIF(C148:U148,"ROW")</f>
        <v>0</v>
      </c>
      <c r="Y150" s="133">
        <v>0</v>
      </c>
      <c r="Z150" s="133">
        <v>0</v>
      </c>
      <c r="AB150" s="133" t="s">
        <v>192</v>
      </c>
    </row>
    <row r="151" spans="1:31">
      <c r="B151" s="132"/>
      <c r="C151" s="133" t="s">
        <v>282</v>
      </c>
      <c r="E151" s="133" t="s">
        <v>259</v>
      </c>
      <c r="G151" s="133" t="s">
        <v>259</v>
      </c>
      <c r="I151" s="133" t="s">
        <v>260</v>
      </c>
      <c r="K151" s="133" t="s">
        <v>281</v>
      </c>
      <c r="M151" s="133" t="s">
        <v>260</v>
      </c>
      <c r="O151" s="144" t="s">
        <v>93</v>
      </c>
      <c r="Q151" s="144" t="s">
        <v>294</v>
      </c>
      <c r="S151" s="133" t="s">
        <v>259</v>
      </c>
      <c r="U151" s="144" t="s">
        <v>505</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482</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242</v>
      </c>
    </row>
    <row r="158" spans="1:31">
      <c r="B158" s="132"/>
      <c r="C158" s="364" t="s">
        <v>657</v>
      </c>
      <c r="E158" s="364" t="s">
        <v>658</v>
      </c>
      <c r="G158" s="364" t="s">
        <v>659</v>
      </c>
      <c r="I158" s="364" t="s">
        <v>660</v>
      </c>
      <c r="K158" s="144" t="s">
        <v>661</v>
      </c>
      <c r="M158" s="144" t="s">
        <v>662</v>
      </c>
      <c r="O158" s="368" t="s">
        <v>663</v>
      </c>
      <c r="Q158" s="368" t="s">
        <v>664</v>
      </c>
      <c r="S158" s="144" t="s">
        <v>665</v>
      </c>
      <c r="U158" s="144" t="s">
        <v>666</v>
      </c>
      <c r="W158" s="177"/>
      <c r="X158" s="133">
        <f>COUNTIF(C156:U156,"ROW")</f>
        <v>0</v>
      </c>
      <c r="Y158" s="133">
        <v>0</v>
      </c>
      <c r="Z158" s="133">
        <v>0</v>
      </c>
      <c r="AB158" s="133" t="s">
        <v>192</v>
      </c>
    </row>
    <row r="159" spans="1:31">
      <c r="B159" s="132"/>
      <c r="C159" s="133" t="s">
        <v>260</v>
      </c>
      <c r="E159" s="133" t="s">
        <v>281</v>
      </c>
      <c r="G159" s="133" t="s">
        <v>260</v>
      </c>
      <c r="I159" s="133" t="s">
        <v>282</v>
      </c>
      <c r="K159" s="144" t="s">
        <v>505</v>
      </c>
      <c r="M159" s="144" t="s">
        <v>505</v>
      </c>
      <c r="O159" s="133" t="s">
        <v>259</v>
      </c>
      <c r="Q159" s="133" t="s">
        <v>259</v>
      </c>
      <c r="S159" s="144" t="s">
        <v>493</v>
      </c>
      <c r="U159" s="144" t="s">
        <v>493</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482</v>
      </c>
    </row>
    <row r="165" spans="1:31">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242</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192</v>
      </c>
    </row>
    <row r="167" spans="1:31">
      <c r="B167" s="132"/>
      <c r="C167" s="144" t="s">
        <v>274</v>
      </c>
      <c r="D167" s="143"/>
      <c r="E167" s="144" t="s">
        <v>274</v>
      </c>
      <c r="F167" s="145"/>
      <c r="G167" s="358" t="s">
        <v>236</v>
      </c>
      <c r="H167" s="145"/>
      <c r="I167" s="358" t="s">
        <v>237</v>
      </c>
      <c r="J167" s="145"/>
      <c r="K167" s="358" t="s">
        <v>275</v>
      </c>
      <c r="M167" s="144" t="s">
        <v>276</v>
      </c>
      <c r="O167" s="358" t="s">
        <v>277</v>
      </c>
      <c r="Q167" s="144" t="s">
        <v>278</v>
      </c>
      <c r="S167" s="144" t="s">
        <v>279</v>
      </c>
      <c r="U167" s="358" t="s">
        <v>280</v>
      </c>
      <c r="W167" s="177"/>
    </row>
    <row r="168" spans="1:31">
      <c r="B168" s="132"/>
      <c r="C168" s="144" t="s">
        <v>82</v>
      </c>
      <c r="D168" s="143"/>
      <c r="E168" s="144" t="s">
        <v>82</v>
      </c>
      <c r="F168" s="145"/>
      <c r="G168" s="145" t="s">
        <v>281</v>
      </c>
      <c r="H168" s="145"/>
      <c r="I168" s="133" t="s">
        <v>260</v>
      </c>
      <c r="J168" s="145"/>
      <c r="K168" s="133" t="s">
        <v>281</v>
      </c>
      <c r="M168" s="144" t="s">
        <v>84</v>
      </c>
      <c r="O168" s="133" t="s">
        <v>282</v>
      </c>
      <c r="Q168" s="144" t="s">
        <v>90</v>
      </c>
      <c r="S168" s="144" t="s">
        <v>283</v>
      </c>
      <c r="U168" s="133" t="s">
        <v>281</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482</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242</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192</v>
      </c>
    </row>
    <row r="176" spans="1:31">
      <c r="B176" s="132"/>
      <c r="C176" s="358" t="s">
        <v>284</v>
      </c>
      <c r="E176" s="358" t="s">
        <v>285</v>
      </c>
      <c r="G176" s="144" t="s">
        <v>286</v>
      </c>
      <c r="I176" s="144" t="s">
        <v>287</v>
      </c>
      <c r="K176" s="358" t="s">
        <v>288</v>
      </c>
      <c r="M176" s="358" t="s">
        <v>289</v>
      </c>
      <c r="O176" s="358" t="s">
        <v>290</v>
      </c>
      <c r="Q176" s="358" t="s">
        <v>291</v>
      </c>
      <c r="S176" s="358" t="s">
        <v>292</v>
      </c>
      <c r="U176" s="144" t="s">
        <v>293</v>
      </c>
      <c r="W176" s="177"/>
    </row>
    <row r="177" spans="1:31">
      <c r="B177" s="132"/>
      <c r="C177" s="133" t="s">
        <v>282</v>
      </c>
      <c r="E177" s="133" t="s">
        <v>281</v>
      </c>
      <c r="G177" s="144" t="s">
        <v>82</v>
      </c>
      <c r="I177" s="144" t="s">
        <v>294</v>
      </c>
      <c r="K177" s="145" t="s">
        <v>97</v>
      </c>
      <c r="M177" s="145" t="s">
        <v>147</v>
      </c>
      <c r="O177" s="145" t="s">
        <v>97</v>
      </c>
      <c r="Q177" s="145" t="s">
        <v>206</v>
      </c>
      <c r="S177" s="145" t="s">
        <v>206</v>
      </c>
      <c r="U177" s="144" t="s">
        <v>294</v>
      </c>
      <c r="W177" s="177"/>
    </row>
    <row r="178" spans="1:31">
      <c r="B178" s="132"/>
      <c r="C178" s="160" t="s">
        <v>295</v>
      </c>
      <c r="I178" s="160" t="s">
        <v>295</v>
      </c>
      <c r="M178" s="160" t="s">
        <v>295</v>
      </c>
      <c r="Q178" s="160"/>
      <c r="S178" s="160" t="s">
        <v>295</v>
      </c>
      <c r="U178" s="160" t="s">
        <v>295</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482</v>
      </c>
    </row>
    <row r="183" spans="1:31">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242</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192</v>
      </c>
    </row>
    <row r="185" spans="1:31">
      <c r="B185" s="132"/>
      <c r="C185" s="144" t="s">
        <v>297</v>
      </c>
      <c r="E185" s="144" t="s">
        <v>298</v>
      </c>
      <c r="G185" s="358" t="s">
        <v>299</v>
      </c>
      <c r="I185" s="144" t="s">
        <v>300</v>
      </c>
      <c r="K185" s="358" t="s">
        <v>301</v>
      </c>
      <c r="M185" s="358" t="s">
        <v>302</v>
      </c>
      <c r="O185" s="358" t="s">
        <v>303</v>
      </c>
      <c r="Q185" s="144" t="s">
        <v>304</v>
      </c>
      <c r="S185" s="358" t="s">
        <v>245</v>
      </c>
      <c r="U185" s="144" t="s">
        <v>305</v>
      </c>
      <c r="W185" s="177"/>
    </row>
    <row r="186" spans="1:31">
      <c r="B186" s="132"/>
      <c r="C186" s="144" t="s">
        <v>294</v>
      </c>
      <c r="E186" s="144" t="s">
        <v>306</v>
      </c>
      <c r="G186" s="145" t="s">
        <v>147</v>
      </c>
      <c r="I186" s="144" t="s">
        <v>307</v>
      </c>
      <c r="K186" s="145" t="s">
        <v>212</v>
      </c>
      <c r="M186" s="145" t="s">
        <v>147</v>
      </c>
      <c r="O186" s="145" t="s">
        <v>212</v>
      </c>
      <c r="Q186" s="144" t="s">
        <v>283</v>
      </c>
      <c r="S186" s="145" t="s">
        <v>212</v>
      </c>
      <c r="U186" s="144" t="s">
        <v>308</v>
      </c>
      <c r="W186" s="177"/>
    </row>
    <row r="187" spans="1:31">
      <c r="B187" s="132"/>
      <c r="G187" s="160" t="s">
        <v>295</v>
      </c>
      <c r="I187" s="144"/>
      <c r="K187" s="1321" t="s">
        <v>667</v>
      </c>
      <c r="L187" s="1322"/>
      <c r="M187" s="1322"/>
      <c r="N187" s="1322"/>
      <c r="O187" s="1322"/>
      <c r="P187" s="1322"/>
      <c r="Q187" s="1322"/>
      <c r="R187" s="1322"/>
      <c r="S187" s="1322"/>
      <c r="T187" s="1322"/>
      <c r="U187" s="1331"/>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482</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242</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192</v>
      </c>
    </row>
    <row r="194" spans="1:31">
      <c r="B194" s="132"/>
      <c r="C194" s="358" t="s">
        <v>310</v>
      </c>
      <c r="E194" s="358" t="s">
        <v>311</v>
      </c>
      <c r="G194" s="358" t="s">
        <v>312</v>
      </c>
      <c r="I194" s="358" t="s">
        <v>246</v>
      </c>
      <c r="K194" s="358" t="s">
        <v>247</v>
      </c>
      <c r="M194" s="144" t="s">
        <v>313</v>
      </c>
      <c r="O194" s="358" t="s">
        <v>314</v>
      </c>
      <c r="Q194" s="358" t="s">
        <v>668</v>
      </c>
      <c r="S194" s="144" t="s">
        <v>315</v>
      </c>
      <c r="U194" s="358" t="s">
        <v>316</v>
      </c>
      <c r="W194" s="177"/>
    </row>
    <row r="195" spans="1:31">
      <c r="B195" s="132"/>
      <c r="C195" s="145" t="s">
        <v>147</v>
      </c>
      <c r="E195" s="145" t="s">
        <v>147</v>
      </c>
      <c r="G195" s="145" t="s">
        <v>259</v>
      </c>
      <c r="I195" s="145" t="s">
        <v>282</v>
      </c>
      <c r="K195" s="145" t="s">
        <v>282</v>
      </c>
      <c r="M195" s="144" t="s">
        <v>283</v>
      </c>
      <c r="O195" s="145" t="s">
        <v>147</v>
      </c>
      <c r="Q195" s="145" t="s">
        <v>212</v>
      </c>
      <c r="S195" s="144" t="s">
        <v>294</v>
      </c>
      <c r="U195" s="145" t="s">
        <v>212</v>
      </c>
      <c r="W195" s="177"/>
    </row>
    <row r="196" spans="1:31">
      <c r="B196" s="132"/>
      <c r="C196" s="1321" t="s">
        <v>667</v>
      </c>
      <c r="D196" s="1322"/>
      <c r="E196" s="1322"/>
      <c r="F196" s="1322"/>
      <c r="G196" s="1322"/>
      <c r="H196" s="1322"/>
      <c r="I196" s="1322"/>
      <c r="J196" s="1322"/>
      <c r="K196" s="1322"/>
      <c r="L196" s="1322"/>
      <c r="M196" s="1322"/>
      <c r="N196" s="1322"/>
      <c r="O196" s="1322"/>
      <c r="P196" s="1322"/>
      <c r="Q196" s="1322"/>
      <c r="R196" s="1322"/>
      <c r="S196" s="1322"/>
      <c r="T196" s="1322"/>
      <c r="U196" s="1331"/>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482</v>
      </c>
    </row>
    <row r="200" spans="1:31">
      <c r="B200" s="132"/>
      <c r="C200" s="140"/>
      <c r="D200" s="139"/>
      <c r="E200" s="140"/>
      <c r="F200" s="139"/>
      <c r="G200" s="140"/>
      <c r="I200" s="140"/>
      <c r="J200" s="139"/>
      <c r="K200" s="140"/>
      <c r="L200" s="139"/>
      <c r="M200" s="140"/>
      <c r="N200" s="139"/>
      <c r="O200" s="140"/>
      <c r="P200" s="139"/>
      <c r="Q200" s="140"/>
      <c r="R200" s="139"/>
      <c r="S200" s="141" t="s">
        <v>354</v>
      </c>
      <c r="T200" s="139"/>
      <c r="U200" s="140"/>
      <c r="V200" s="162"/>
      <c r="W200" s="177"/>
      <c r="X200" s="133">
        <f>COUNTIF(C200:U200,"U/P")</f>
        <v>1</v>
      </c>
      <c r="Y200" s="133">
        <v>0</v>
      </c>
      <c r="Z200" s="133">
        <v>0</v>
      </c>
      <c r="AB200" s="133" t="s">
        <v>242</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192</v>
      </c>
    </row>
    <row r="202" spans="1:31">
      <c r="B202" s="132"/>
      <c r="C202" s="358" t="s">
        <v>317</v>
      </c>
      <c r="E202" s="358" t="s">
        <v>238</v>
      </c>
      <c r="G202" s="358" t="s">
        <v>239</v>
      </c>
      <c r="I202" s="358" t="s">
        <v>319</v>
      </c>
      <c r="K202" s="358" t="s">
        <v>248</v>
      </c>
      <c r="M202" s="144" t="s">
        <v>669</v>
      </c>
      <c r="O202" s="358" t="s">
        <v>321</v>
      </c>
      <c r="Q202" s="144" t="s">
        <v>670</v>
      </c>
      <c r="S202" s="358" t="s">
        <v>211</v>
      </c>
      <c r="U202" s="144" t="s">
        <v>671</v>
      </c>
      <c r="W202" s="177"/>
    </row>
    <row r="203" spans="1:31">
      <c r="B203" s="132"/>
      <c r="C203" s="145" t="s">
        <v>212</v>
      </c>
      <c r="E203" s="145" t="s">
        <v>212</v>
      </c>
      <c r="G203" s="145" t="s">
        <v>212</v>
      </c>
      <c r="I203" s="145" t="s">
        <v>150</v>
      </c>
      <c r="K203" s="145" t="s">
        <v>150</v>
      </c>
      <c r="M203" s="144" t="s">
        <v>283</v>
      </c>
      <c r="O203" s="145" t="s">
        <v>97</v>
      </c>
      <c r="Q203" s="144" t="s">
        <v>493</v>
      </c>
      <c r="S203" s="145" t="s">
        <v>282</v>
      </c>
      <c r="U203" s="144" t="s">
        <v>283</v>
      </c>
      <c r="W203" s="177"/>
    </row>
    <row r="204" spans="1:31">
      <c r="B204" s="132"/>
      <c r="C204" s="1321" t="s">
        <v>667</v>
      </c>
      <c r="D204" s="1322"/>
      <c r="E204" s="1322"/>
      <c r="F204" s="1322"/>
      <c r="G204" s="1322"/>
      <c r="H204" s="1322"/>
      <c r="I204" s="1322"/>
      <c r="J204" s="1322"/>
      <c r="K204" s="1322"/>
      <c r="L204" s="1322"/>
      <c r="M204" s="1322"/>
      <c r="N204" s="1322"/>
      <c r="O204" s="1322"/>
      <c r="P204" s="1322"/>
      <c r="Q204" s="1322"/>
      <c r="R204" s="1322"/>
      <c r="S204" s="1322"/>
      <c r="T204" s="1322"/>
      <c r="U204" s="1331"/>
      <c r="W204" s="177"/>
    </row>
    <row r="205" spans="1:31">
      <c r="B205" s="132"/>
      <c r="K205" s="133" t="s">
        <v>556</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482</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242</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192</v>
      </c>
    </row>
    <row r="211" spans="1:31">
      <c r="B211" s="132"/>
      <c r="C211" s="358" t="s">
        <v>323</v>
      </c>
      <c r="E211" s="358" t="s">
        <v>324</v>
      </c>
      <c r="G211" s="358" t="s">
        <v>672</v>
      </c>
      <c r="I211" s="358" t="s">
        <v>673</v>
      </c>
      <c r="K211" s="358" t="s">
        <v>674</v>
      </c>
      <c r="M211" s="144" t="s">
        <v>325</v>
      </c>
      <c r="O211" s="144" t="s">
        <v>326</v>
      </c>
      <c r="Q211" s="358" t="s">
        <v>327</v>
      </c>
      <c r="S211" s="358" t="s">
        <v>328</v>
      </c>
      <c r="U211" s="358" t="s">
        <v>329</v>
      </c>
      <c r="W211" s="177"/>
    </row>
    <row r="212" spans="1:31">
      <c r="B212" s="132"/>
      <c r="C212" s="145" t="s">
        <v>147</v>
      </c>
      <c r="E212" s="145" t="s">
        <v>206</v>
      </c>
      <c r="G212" s="145" t="s">
        <v>212</v>
      </c>
      <c r="I212" s="145" t="s">
        <v>281</v>
      </c>
      <c r="K212" s="145" t="s">
        <v>147</v>
      </c>
      <c r="M212" s="144" t="s">
        <v>294</v>
      </c>
      <c r="O212" s="144" t="s">
        <v>306</v>
      </c>
      <c r="Q212" s="145" t="s">
        <v>147</v>
      </c>
      <c r="S212" s="145" t="s">
        <v>147</v>
      </c>
      <c r="U212" s="145" t="s">
        <v>281</v>
      </c>
      <c r="W212" s="177"/>
    </row>
    <row r="213" spans="1:31">
      <c r="B213" s="132"/>
      <c r="C213" s="1321" t="s">
        <v>667</v>
      </c>
      <c r="D213" s="1322"/>
      <c r="E213" s="1322"/>
      <c r="F213" s="1322"/>
      <c r="G213" s="1322"/>
      <c r="H213" s="1322"/>
      <c r="I213" s="1322"/>
      <c r="J213" s="1322"/>
      <c r="K213" s="1322"/>
      <c r="L213" s="1322"/>
      <c r="M213" s="1322"/>
      <c r="N213" s="1322"/>
      <c r="O213" s="1322"/>
      <c r="P213" s="1322"/>
      <c r="Q213" s="1322"/>
      <c r="R213" s="1322"/>
      <c r="S213" s="1322"/>
      <c r="T213" s="1322"/>
      <c r="U213" s="1331"/>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482</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242</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192</v>
      </c>
    </row>
    <row r="219" spans="1:31">
      <c r="B219" s="132"/>
      <c r="C219" s="144" t="s">
        <v>675</v>
      </c>
      <c r="E219" s="144" t="s">
        <v>331</v>
      </c>
      <c r="G219" s="358" t="s">
        <v>251</v>
      </c>
      <c r="I219" s="358" t="s">
        <v>332</v>
      </c>
      <c r="K219" s="144" t="s">
        <v>334</v>
      </c>
      <c r="M219" s="358" t="s">
        <v>335</v>
      </c>
      <c r="O219" s="358" t="s">
        <v>336</v>
      </c>
      <c r="Q219" s="144" t="s">
        <v>337</v>
      </c>
      <c r="S219" s="358" t="s">
        <v>252</v>
      </c>
      <c r="U219" s="358" t="s">
        <v>223</v>
      </c>
      <c r="W219" s="177"/>
    </row>
    <row r="220" spans="1:31">
      <c r="B220" s="132"/>
      <c r="C220" s="144" t="s">
        <v>307</v>
      </c>
      <c r="E220" s="144" t="s">
        <v>308</v>
      </c>
      <c r="G220" s="145" t="s">
        <v>281</v>
      </c>
      <c r="I220" s="145" t="s">
        <v>260</v>
      </c>
      <c r="K220" s="144" t="s">
        <v>493</v>
      </c>
      <c r="M220" s="145" t="s">
        <v>282</v>
      </c>
      <c r="O220" s="145" t="s">
        <v>260</v>
      </c>
      <c r="Q220" s="144" t="s">
        <v>308</v>
      </c>
      <c r="S220" s="145" t="s">
        <v>259</v>
      </c>
      <c r="U220" s="145" t="s">
        <v>259</v>
      </c>
      <c r="W220" s="177"/>
    </row>
    <row r="221" spans="1:31">
      <c r="B221" s="272"/>
      <c r="C221" s="1318" t="s">
        <v>667</v>
      </c>
      <c r="D221" s="1319"/>
      <c r="E221" s="1319"/>
      <c r="F221" s="1319"/>
      <c r="G221" s="1319"/>
      <c r="H221" s="1319"/>
      <c r="I221" s="1319"/>
      <c r="J221" s="1319"/>
      <c r="K221" s="1319"/>
      <c r="L221" s="1319"/>
      <c r="M221" s="1319"/>
      <c r="N221" s="1319"/>
      <c r="O221" s="1319"/>
      <c r="P221" s="1319"/>
      <c r="Q221" s="1319"/>
      <c r="R221" s="1319"/>
      <c r="S221" s="1319"/>
      <c r="T221" s="1319"/>
      <c r="U221" s="1320"/>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482</v>
      </c>
    </row>
    <row r="225" spans="1:31">
      <c r="B225" s="132"/>
      <c r="C225" s="140"/>
      <c r="D225" s="139"/>
      <c r="E225" s="140"/>
      <c r="F225" s="139"/>
      <c r="G225" s="140"/>
      <c r="I225" s="158" t="s">
        <v>318</v>
      </c>
      <c r="J225" s="139"/>
      <c r="K225" s="141" t="s">
        <v>354</v>
      </c>
      <c r="L225" s="139"/>
      <c r="M225" s="158" t="s">
        <v>318</v>
      </c>
      <c r="N225" s="139"/>
      <c r="O225" s="158" t="s">
        <v>318</v>
      </c>
      <c r="P225" s="139"/>
      <c r="Q225" s="158" t="s">
        <v>318</v>
      </c>
      <c r="R225" s="139"/>
      <c r="S225" s="158" t="s">
        <v>318</v>
      </c>
      <c r="T225" s="139"/>
      <c r="U225" s="158" t="s">
        <v>318</v>
      </c>
      <c r="V225" s="162"/>
      <c r="W225" s="177"/>
      <c r="X225" s="133">
        <f>COUNTIF(C224:U225,"U/P")</f>
        <v>1</v>
      </c>
      <c r="Y225" s="133">
        <v>0</v>
      </c>
      <c r="Z225" s="133">
        <v>0</v>
      </c>
      <c r="AB225" s="133" t="s">
        <v>242</v>
      </c>
    </row>
    <row r="226" spans="1:31">
      <c r="B226" s="132"/>
      <c r="C226" s="141"/>
      <c r="D226" s="139"/>
      <c r="E226" s="141"/>
      <c r="F226" s="139"/>
      <c r="G226" s="141"/>
      <c r="I226" s="141"/>
      <c r="J226" s="139"/>
      <c r="K226" s="141"/>
      <c r="L226" s="139"/>
      <c r="M226" s="141" t="s">
        <v>340</v>
      </c>
      <c r="N226" s="139"/>
      <c r="O226" s="141"/>
      <c r="P226" s="139"/>
      <c r="Q226" s="141"/>
      <c r="R226" s="139"/>
      <c r="S226" s="141" t="s">
        <v>340</v>
      </c>
      <c r="T226" s="139"/>
      <c r="U226" s="141" t="s">
        <v>340</v>
      </c>
      <c r="V226" s="162"/>
      <c r="W226" s="280"/>
      <c r="X226" s="133">
        <f>COUNTIF(C224:U224,"ROW")</f>
        <v>0</v>
      </c>
      <c r="Y226" s="133">
        <v>0</v>
      </c>
      <c r="Z226" s="133">
        <v>0</v>
      </c>
      <c r="AB226" s="133" t="s">
        <v>192</v>
      </c>
    </row>
    <row r="227" spans="1:31">
      <c r="B227" s="132"/>
      <c r="C227" s="144" t="s">
        <v>341</v>
      </c>
      <c r="E227" s="358" t="s">
        <v>261</v>
      </c>
      <c r="G227" s="144" t="s">
        <v>342</v>
      </c>
      <c r="I227" s="358" t="s">
        <v>200</v>
      </c>
      <c r="K227" s="358" t="s">
        <v>201</v>
      </c>
      <c r="M227" s="358" t="s">
        <v>178</v>
      </c>
      <c r="O227" s="358" t="s">
        <v>177</v>
      </c>
      <c r="Q227" s="358" t="s">
        <v>176</v>
      </c>
      <c r="S227" s="358" t="s">
        <v>173</v>
      </c>
      <c r="U227" s="358" t="s">
        <v>195</v>
      </c>
      <c r="W227" s="280"/>
    </row>
    <row r="228" spans="1:31">
      <c r="B228" s="132"/>
      <c r="C228" s="144" t="s">
        <v>294</v>
      </c>
      <c r="E228" s="145" t="s">
        <v>147</v>
      </c>
      <c r="G228" s="144" t="s">
        <v>80</v>
      </c>
      <c r="I228" s="145" t="s">
        <v>260</v>
      </c>
      <c r="K228" s="145" t="s">
        <v>147</v>
      </c>
      <c r="M228" s="145" t="s">
        <v>150</v>
      </c>
      <c r="O228" s="145" t="s">
        <v>147</v>
      </c>
      <c r="Q228" s="145" t="s">
        <v>147</v>
      </c>
      <c r="S228" s="145" t="s">
        <v>147</v>
      </c>
      <c r="U228" s="145" t="s">
        <v>147</v>
      </c>
      <c r="W228" s="280"/>
    </row>
    <row r="229" spans="1:31">
      <c r="B229" s="132"/>
      <c r="C229" s="1321" t="s">
        <v>667</v>
      </c>
      <c r="D229" s="1322"/>
      <c r="E229" s="1322"/>
      <c r="F229" s="1322"/>
      <c r="G229" s="160" t="s">
        <v>330</v>
      </c>
      <c r="H229" s="155"/>
      <c r="I229" s="160" t="s">
        <v>330</v>
      </c>
      <c r="J229" s="155"/>
      <c r="K229" s="160" t="s">
        <v>295</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676</v>
      </c>
      <c r="W232" s="281"/>
      <c r="X232" s="133">
        <f>COUNTIF(C233:U233,"F")</f>
        <v>4</v>
      </c>
      <c r="Y232" s="133">
        <f>COUNTIF(C231:U231,"E")</f>
        <v>0</v>
      </c>
      <c r="Z232" s="133">
        <f>COUNTIF(C233:V233,"Er")</f>
        <v>0</v>
      </c>
      <c r="AB232" s="133" t="s">
        <v>482</v>
      </c>
    </row>
    <row r="233" spans="1:31">
      <c r="B233" s="132"/>
      <c r="C233" s="140"/>
      <c r="D233" s="139"/>
      <c r="E233" s="140"/>
      <c r="F233" s="139"/>
      <c r="G233" s="140"/>
      <c r="I233" s="158" t="s">
        <v>318</v>
      </c>
      <c r="J233" s="139"/>
      <c r="K233" s="158" t="s">
        <v>318</v>
      </c>
      <c r="L233" s="139"/>
      <c r="M233" s="158" t="s">
        <v>318</v>
      </c>
      <c r="N233" s="139"/>
      <c r="O233" s="158" t="s">
        <v>318</v>
      </c>
      <c r="P233" s="139"/>
      <c r="Q233" s="141" t="s">
        <v>354</v>
      </c>
      <c r="R233" s="139"/>
      <c r="S233" s="140"/>
      <c r="T233" s="139"/>
      <c r="U233" s="140"/>
      <c r="V233" s="162"/>
      <c r="W233" s="280"/>
      <c r="X233" s="133">
        <f>COUNTIF(C233:U233,"U/P")</f>
        <v>1</v>
      </c>
      <c r="Y233" s="133">
        <v>0</v>
      </c>
      <c r="Z233" s="133">
        <v>0</v>
      </c>
      <c r="AB233" s="133" t="s">
        <v>242</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192</v>
      </c>
    </row>
    <row r="235" spans="1:31">
      <c r="B235" s="132"/>
      <c r="C235" s="144" t="s">
        <v>343</v>
      </c>
      <c r="E235" s="358" t="s">
        <v>227</v>
      </c>
      <c r="G235" s="144" t="s">
        <v>344</v>
      </c>
      <c r="I235" s="358" t="s">
        <v>179</v>
      </c>
      <c r="K235" s="358" t="s">
        <v>180</v>
      </c>
      <c r="M235" s="358" t="s">
        <v>203</v>
      </c>
      <c r="O235" s="358" t="s">
        <v>204</v>
      </c>
      <c r="Q235" s="358" t="s">
        <v>205</v>
      </c>
      <c r="S235" s="144" t="s">
        <v>345</v>
      </c>
      <c r="U235" s="358" t="s">
        <v>347</v>
      </c>
      <c r="W235" s="280"/>
    </row>
    <row r="236" spans="1:31">
      <c r="B236" s="132"/>
      <c r="C236" s="144" t="s">
        <v>283</v>
      </c>
      <c r="E236" s="145" t="s">
        <v>282</v>
      </c>
      <c r="G236" s="144" t="s">
        <v>308</v>
      </c>
      <c r="I236" s="145" t="s">
        <v>260</v>
      </c>
      <c r="K236" s="145" t="s">
        <v>281</v>
      </c>
      <c r="M236" s="145" t="s">
        <v>260</v>
      </c>
      <c r="O236" s="145" t="s">
        <v>281</v>
      </c>
      <c r="Q236" s="145" t="s">
        <v>282</v>
      </c>
      <c r="S236" s="144" t="s">
        <v>283</v>
      </c>
      <c r="U236" s="145" t="s">
        <v>281</v>
      </c>
      <c r="W236" s="280"/>
    </row>
    <row r="237" spans="1:31">
      <c r="B237" s="132"/>
      <c r="C237" s="144"/>
      <c r="E237" s="145"/>
      <c r="G237" s="145"/>
      <c r="I237" s="144"/>
      <c r="K237" s="160" t="s">
        <v>330</v>
      </c>
      <c r="M237" s="145"/>
      <c r="O237" s="144"/>
      <c r="Q237" s="282" t="s">
        <v>339</v>
      </c>
      <c r="S237" s="145"/>
      <c r="U237" s="144"/>
      <c r="W237" s="280"/>
    </row>
    <row r="238" spans="1:31">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482</v>
      </c>
    </row>
    <row r="242" spans="1:31">
      <c r="B242" s="132"/>
      <c r="C242" s="140"/>
      <c r="D242" s="139"/>
      <c r="E242" s="140"/>
      <c r="F242" s="139"/>
      <c r="G242" s="140"/>
      <c r="I242" s="140"/>
      <c r="J242" s="139"/>
      <c r="K242" s="138" t="s">
        <v>192</v>
      </c>
      <c r="L242" s="139"/>
      <c r="M242" s="138" t="s">
        <v>192</v>
      </c>
      <c r="N242" s="139"/>
      <c r="O242" s="138" t="s">
        <v>192</v>
      </c>
      <c r="P242" s="139"/>
      <c r="Q242" s="138" t="s">
        <v>192</v>
      </c>
      <c r="R242" s="139"/>
      <c r="S242" s="138" t="s">
        <v>192</v>
      </c>
      <c r="T242" s="139"/>
      <c r="U242" s="138" t="s">
        <v>192</v>
      </c>
      <c r="V242" s="162"/>
      <c r="W242" s="280"/>
      <c r="X242" s="133">
        <f>COUNTIF(C242:U242,"U/P")</f>
        <v>0</v>
      </c>
      <c r="Y242" s="133">
        <v>0</v>
      </c>
      <c r="Z242" s="133">
        <v>0</v>
      </c>
      <c r="AB242" s="133" t="s">
        <v>242</v>
      </c>
    </row>
    <row r="243" spans="1:31">
      <c r="B243" s="132"/>
      <c r="C243" s="141"/>
      <c r="D243" s="139"/>
      <c r="E243" s="141"/>
      <c r="F243" s="139"/>
      <c r="G243" s="141"/>
      <c r="I243" s="141"/>
      <c r="J243" s="139"/>
      <c r="K243" s="141"/>
      <c r="L243" s="139"/>
      <c r="M243" s="141"/>
      <c r="N243" s="139"/>
      <c r="O243" s="141"/>
      <c r="P243" s="139"/>
      <c r="Q243" s="141"/>
      <c r="R243" s="139"/>
      <c r="S243" s="141"/>
      <c r="T243" s="139"/>
      <c r="U243" s="141" t="s">
        <v>354</v>
      </c>
      <c r="V243" s="162"/>
      <c r="W243" s="280"/>
      <c r="X243" s="133">
        <f>COUNTIF(C242:U242,"ROW")</f>
        <v>6</v>
      </c>
      <c r="Y243" s="133">
        <v>0</v>
      </c>
      <c r="Z243" s="133">
        <v>0</v>
      </c>
      <c r="AB243" s="133" t="s">
        <v>192</v>
      </c>
    </row>
    <row r="244" spans="1:31">
      <c r="B244" s="132"/>
      <c r="C244" s="144" t="s">
        <v>348</v>
      </c>
      <c r="E244" s="358" t="s">
        <v>217</v>
      </c>
      <c r="G244" s="358" t="s">
        <v>349</v>
      </c>
      <c r="I244" s="144" t="s">
        <v>350</v>
      </c>
      <c r="K244" s="144" t="s">
        <v>221</v>
      </c>
      <c r="M244" s="144" t="s">
        <v>351</v>
      </c>
      <c r="O244" s="358" t="s">
        <v>231</v>
      </c>
      <c r="Q244" s="358" t="s">
        <v>232</v>
      </c>
      <c r="S244" s="358" t="s">
        <v>233</v>
      </c>
      <c r="U244" s="358" t="s">
        <v>191</v>
      </c>
      <c r="W244" s="280"/>
    </row>
    <row r="245" spans="1:31">
      <c r="B245" s="132"/>
      <c r="C245" s="144" t="s">
        <v>307</v>
      </c>
      <c r="E245" s="145" t="s">
        <v>259</v>
      </c>
      <c r="G245" s="145" t="s">
        <v>260</v>
      </c>
      <c r="I245" s="144" t="s">
        <v>352</v>
      </c>
      <c r="K245" s="144" t="s">
        <v>212</v>
      </c>
      <c r="M245" s="144" t="s">
        <v>294</v>
      </c>
      <c r="O245" s="145" t="s">
        <v>260</v>
      </c>
      <c r="Q245" s="145" t="s">
        <v>281</v>
      </c>
      <c r="S245" s="145" t="s">
        <v>260</v>
      </c>
      <c r="U245" s="145" t="s">
        <v>260</v>
      </c>
      <c r="W245" s="280"/>
    </row>
    <row r="246" spans="1:31">
      <c r="B246" s="132"/>
      <c r="G246" s="160" t="s">
        <v>330</v>
      </c>
      <c r="K246" s="278" t="s">
        <v>330</v>
      </c>
      <c r="L246" s="276"/>
      <c r="M246" s="276"/>
      <c r="N246" s="276"/>
      <c r="O246" s="278" t="s">
        <v>295</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482</v>
      </c>
    </row>
    <row r="250" spans="1:31">
      <c r="B250" s="132"/>
      <c r="C250" s="138" t="s">
        <v>192</v>
      </c>
      <c r="D250" s="139"/>
      <c r="E250" s="138" t="s">
        <v>192</v>
      </c>
      <c r="F250" s="139"/>
      <c r="G250" s="138" t="s">
        <v>192</v>
      </c>
      <c r="I250" s="138" t="s">
        <v>192</v>
      </c>
      <c r="J250" s="139"/>
      <c r="K250" s="138" t="s">
        <v>192</v>
      </c>
      <c r="L250" s="139"/>
      <c r="M250" s="158" t="s">
        <v>318</v>
      </c>
      <c r="N250" s="139"/>
      <c r="O250" s="138" t="s">
        <v>192</v>
      </c>
      <c r="P250" s="139"/>
      <c r="Q250" s="138" t="s">
        <v>192</v>
      </c>
      <c r="R250" s="139"/>
      <c r="S250" s="140"/>
      <c r="T250" s="139"/>
      <c r="U250" s="140"/>
      <c r="V250" s="162"/>
      <c r="W250" s="280"/>
      <c r="X250" s="133">
        <f>COUNTIF(C250:U250,"U/P")</f>
        <v>0</v>
      </c>
      <c r="Y250" s="133">
        <v>0</v>
      </c>
      <c r="Z250" s="133">
        <v>0</v>
      </c>
      <c r="AB250" s="133" t="s">
        <v>242</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192</v>
      </c>
    </row>
    <row r="252" spans="1:31">
      <c r="B252" s="132"/>
      <c r="C252" s="358" t="s">
        <v>235</v>
      </c>
      <c r="E252" s="144" t="s">
        <v>355</v>
      </c>
      <c r="G252" s="358" t="s">
        <v>356</v>
      </c>
      <c r="I252" s="358" t="s">
        <v>357</v>
      </c>
      <c r="K252" s="144" t="s">
        <v>358</v>
      </c>
      <c r="M252" s="358" t="s">
        <v>189</v>
      </c>
      <c r="O252" s="144" t="s">
        <v>359</v>
      </c>
      <c r="Q252" s="144" t="s">
        <v>360</v>
      </c>
      <c r="S252" s="358" t="s">
        <v>222</v>
      </c>
      <c r="U252" s="144" t="s">
        <v>362</v>
      </c>
      <c r="W252" s="280"/>
    </row>
    <row r="253" spans="1:31">
      <c r="B253" s="132"/>
      <c r="C253" s="145" t="s">
        <v>282</v>
      </c>
      <c r="E253" s="144" t="s">
        <v>352</v>
      </c>
      <c r="G253" s="145" t="s">
        <v>260</v>
      </c>
      <c r="I253" s="145" t="s">
        <v>281</v>
      </c>
      <c r="K253" s="144" t="s">
        <v>283</v>
      </c>
      <c r="M253" s="145" t="s">
        <v>281</v>
      </c>
      <c r="O253" s="144" t="s">
        <v>361</v>
      </c>
      <c r="Q253" s="144" t="s">
        <v>283</v>
      </c>
      <c r="S253" s="145" t="s">
        <v>260</v>
      </c>
      <c r="U253" s="144" t="s">
        <v>307</v>
      </c>
      <c r="W253" s="280"/>
    </row>
    <row r="254" spans="1:31">
      <c r="B254" s="132"/>
      <c r="C254" s="275"/>
      <c r="D254" s="276"/>
      <c r="E254" s="277"/>
      <c r="F254" s="276"/>
      <c r="G254" s="277"/>
      <c r="H254" s="276"/>
      <c r="I254" s="275"/>
      <c r="J254" s="276"/>
      <c r="K254" s="277"/>
      <c r="L254" s="276"/>
      <c r="M254" s="277"/>
      <c r="N254" s="276"/>
      <c r="O254" s="275"/>
      <c r="P254" s="276"/>
      <c r="Q254" s="277"/>
      <c r="S254" s="282" t="s">
        <v>339</v>
      </c>
      <c r="U254" s="282" t="s">
        <v>339</v>
      </c>
      <c r="W254" s="280"/>
    </row>
    <row r="255" spans="1:31">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482</v>
      </c>
    </row>
    <row r="259" spans="1:31">
      <c r="B259" s="132"/>
      <c r="C259" s="141" t="s">
        <v>354</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242</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192</v>
      </c>
    </row>
    <row r="261" spans="1:31">
      <c r="B261" s="132"/>
      <c r="C261" s="358" t="s">
        <v>208</v>
      </c>
      <c r="E261" s="144" t="s">
        <v>363</v>
      </c>
      <c r="G261" s="358" t="s">
        <v>241</v>
      </c>
      <c r="I261" s="358" t="s">
        <v>244</v>
      </c>
      <c r="K261" s="144" t="s">
        <v>364</v>
      </c>
      <c r="M261" s="144" t="s">
        <v>365</v>
      </c>
      <c r="O261" s="358" t="s">
        <v>366</v>
      </c>
      <c r="Q261" s="144" t="s">
        <v>367</v>
      </c>
      <c r="S261" s="358" t="s">
        <v>368</v>
      </c>
      <c r="U261" s="144" t="s">
        <v>369</v>
      </c>
      <c r="W261" s="280"/>
    </row>
    <row r="262" spans="1:31">
      <c r="B262" s="132"/>
      <c r="C262" s="145" t="s">
        <v>260</v>
      </c>
      <c r="E262" s="144" t="s">
        <v>283</v>
      </c>
      <c r="G262" s="145" t="s">
        <v>281</v>
      </c>
      <c r="I262" s="145" t="s">
        <v>259</v>
      </c>
      <c r="K262" s="144" t="s">
        <v>283</v>
      </c>
      <c r="M262" s="144" t="s">
        <v>283</v>
      </c>
      <c r="O262" s="145" t="s">
        <v>259</v>
      </c>
      <c r="Q262" s="144" t="s">
        <v>283</v>
      </c>
      <c r="S262" s="145" t="s">
        <v>259</v>
      </c>
      <c r="U262" s="144" t="s">
        <v>307</v>
      </c>
      <c r="W262" s="280"/>
    </row>
    <row r="263" spans="1:31">
      <c r="B263" s="132"/>
      <c r="C263" s="282" t="s">
        <v>339</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482</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242</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192</v>
      </c>
    </row>
    <row r="269" spans="1:31">
      <c r="B269" s="132"/>
      <c r="C269" s="358" t="s">
        <v>370</v>
      </c>
      <c r="E269" s="358" t="s">
        <v>254</v>
      </c>
      <c r="G269" s="358" t="s">
        <v>371</v>
      </c>
      <c r="I269" s="144" t="s">
        <v>372</v>
      </c>
      <c r="K269" s="144" t="s">
        <v>373</v>
      </c>
      <c r="M269" s="144" t="s">
        <v>374</v>
      </c>
      <c r="O269" s="144" t="s">
        <v>375</v>
      </c>
      <c r="Q269" s="358" t="s">
        <v>376</v>
      </c>
      <c r="S269" s="358" t="s">
        <v>378</v>
      </c>
      <c r="U269" s="144" t="s">
        <v>379</v>
      </c>
      <c r="W269" s="280"/>
    </row>
    <row r="270" spans="1:31">
      <c r="B270" s="132"/>
      <c r="C270" s="145" t="s">
        <v>260</v>
      </c>
      <c r="E270" s="145" t="s">
        <v>260</v>
      </c>
      <c r="G270" s="145" t="s">
        <v>260</v>
      </c>
      <c r="I270" s="144" t="s">
        <v>283</v>
      </c>
      <c r="K270" s="144" t="s">
        <v>283</v>
      </c>
      <c r="M270" s="144" t="s">
        <v>377</v>
      </c>
      <c r="O270" s="144" t="s">
        <v>377</v>
      </c>
      <c r="Q270" s="145" t="s">
        <v>260</v>
      </c>
      <c r="S270" s="145" t="s">
        <v>282</v>
      </c>
      <c r="U270" s="144" t="s">
        <v>84</v>
      </c>
      <c r="W270" s="280"/>
    </row>
    <row r="271" spans="1:31">
      <c r="B271" s="132"/>
      <c r="C271" s="144"/>
      <c r="E271" s="145"/>
      <c r="G271" s="145"/>
      <c r="I271" s="144"/>
      <c r="K271" s="1323" t="s">
        <v>677</v>
      </c>
      <c r="L271" s="1324"/>
      <c r="M271" s="1324"/>
      <c r="N271" s="1324"/>
      <c r="O271" s="1324"/>
      <c r="P271" s="1324"/>
      <c r="Q271" s="1324"/>
      <c r="R271" s="1324"/>
      <c r="S271" s="1324"/>
      <c r="T271" s="1324"/>
      <c r="U271" s="1325"/>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482</v>
      </c>
    </row>
    <row r="275" spans="1:31">
      <c r="B275" s="132"/>
      <c r="C275" s="138" t="s">
        <v>192</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242</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192</v>
      </c>
    </row>
    <row r="277" spans="1:31">
      <c r="B277" s="132"/>
      <c r="C277" s="358" t="s">
        <v>181</v>
      </c>
      <c r="E277" s="144" t="s">
        <v>380</v>
      </c>
      <c r="G277" s="358" t="s">
        <v>258</v>
      </c>
      <c r="I277" s="144" t="s">
        <v>381</v>
      </c>
      <c r="K277" s="358" t="s">
        <v>382</v>
      </c>
      <c r="M277" s="144" t="s">
        <v>383</v>
      </c>
      <c r="O277" s="145" t="s">
        <v>384</v>
      </c>
      <c r="Q277" s="358" t="s">
        <v>678</v>
      </c>
      <c r="S277" s="358" t="s">
        <v>679</v>
      </c>
      <c r="U277" s="358" t="s">
        <v>680</v>
      </c>
      <c r="W277" s="280"/>
    </row>
    <row r="278" spans="1:31">
      <c r="B278" s="132"/>
      <c r="C278" s="145" t="s">
        <v>260</v>
      </c>
      <c r="E278" s="144" t="s">
        <v>283</v>
      </c>
      <c r="G278" s="145" t="s">
        <v>260</v>
      </c>
      <c r="I278" s="144" t="s">
        <v>283</v>
      </c>
      <c r="K278" s="145" t="s">
        <v>281</v>
      </c>
      <c r="M278" s="144" t="s">
        <v>283</v>
      </c>
      <c r="O278" s="145" t="s">
        <v>260</v>
      </c>
      <c r="Q278" s="145" t="s">
        <v>260</v>
      </c>
      <c r="S278" s="145" t="s">
        <v>260</v>
      </c>
      <c r="U278" s="145" t="s">
        <v>260</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3979.84</v>
      </c>
      <c r="AE281" s="135">
        <f>SUM(D281:V281)</f>
        <v>3979.84</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482</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242</v>
      </c>
    </row>
    <row r="284" spans="1:31">
      <c r="B284" s="209"/>
      <c r="C284" s="360" t="s">
        <v>681</v>
      </c>
      <c r="D284" s="149"/>
      <c r="E284" s="147" t="s">
        <v>682</v>
      </c>
      <c r="F284" s="149"/>
      <c r="G284" s="360" t="s">
        <v>243</v>
      </c>
      <c r="H284" s="149"/>
      <c r="I284" s="360" t="s">
        <v>390</v>
      </c>
      <c r="J284" s="149"/>
      <c r="K284" s="360" t="s">
        <v>391</v>
      </c>
      <c r="L284" s="149"/>
      <c r="M284" s="360" t="s">
        <v>392</v>
      </c>
      <c r="N284" s="149"/>
      <c r="O284" s="360" t="s">
        <v>255</v>
      </c>
      <c r="P284" s="149"/>
      <c r="Q284" s="360" t="s">
        <v>393</v>
      </c>
      <c r="R284" s="149"/>
      <c r="S284" s="147" t="s">
        <v>395</v>
      </c>
      <c r="T284" s="149"/>
      <c r="U284" s="360" t="s">
        <v>396</v>
      </c>
      <c r="W284" s="236"/>
      <c r="X284" s="133">
        <f>COUNTIF(C282:U282,"ROW")</f>
        <v>0</v>
      </c>
      <c r="Y284" s="133">
        <v>0</v>
      </c>
      <c r="Z284" s="133">
        <v>0</v>
      </c>
      <c r="AB284" s="133" t="s">
        <v>192</v>
      </c>
    </row>
    <row r="285" spans="1:31">
      <c r="B285" s="209"/>
      <c r="C285" s="148" t="s">
        <v>282</v>
      </c>
      <c r="D285" s="149"/>
      <c r="E285" s="147" t="s">
        <v>352</v>
      </c>
      <c r="F285" s="149"/>
      <c r="G285" s="148" t="s">
        <v>281</v>
      </c>
      <c r="H285" s="149"/>
      <c r="I285" s="148" t="s">
        <v>260</v>
      </c>
      <c r="J285" s="149"/>
      <c r="K285" s="148" t="s">
        <v>260</v>
      </c>
      <c r="L285" s="149"/>
      <c r="M285" s="148" t="s">
        <v>281</v>
      </c>
      <c r="N285" s="149"/>
      <c r="O285" s="148" t="s">
        <v>281</v>
      </c>
      <c r="P285" s="149"/>
      <c r="Q285" s="148" t="s">
        <v>281</v>
      </c>
      <c r="R285" s="149"/>
      <c r="S285" s="147" t="s">
        <v>308</v>
      </c>
      <c r="T285" s="149"/>
      <c r="U285" s="148" t="s">
        <v>282</v>
      </c>
      <c r="W285" s="236"/>
    </row>
    <row r="286" spans="1:31">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482</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242</v>
      </c>
    </row>
    <row r="292" spans="1:31">
      <c r="B292" s="209"/>
      <c r="C292" s="360" t="s">
        <v>397</v>
      </c>
      <c r="E292" s="147" t="s">
        <v>683</v>
      </c>
      <c r="G292" s="147" t="s">
        <v>399</v>
      </c>
      <c r="I292" s="147" t="s">
        <v>684</v>
      </c>
      <c r="K292" s="147" t="s">
        <v>685</v>
      </c>
      <c r="M292" s="360" t="s">
        <v>402</v>
      </c>
      <c r="O292" s="360" t="s">
        <v>403</v>
      </c>
      <c r="Q292" s="147" t="s">
        <v>137</v>
      </c>
      <c r="S292" s="360" t="s">
        <v>405</v>
      </c>
      <c r="U292" s="147" t="s">
        <v>686</v>
      </c>
      <c r="W292" s="236"/>
      <c r="X292" s="133">
        <f>COUNTIF(C290:U290,"ROW")</f>
        <v>0</v>
      </c>
      <c r="Y292" s="133">
        <v>0</v>
      </c>
      <c r="Z292" s="133">
        <v>0</v>
      </c>
      <c r="AB292" s="133" t="s">
        <v>192</v>
      </c>
    </row>
    <row r="293" spans="1:31">
      <c r="B293" s="209"/>
      <c r="C293" s="148" t="s">
        <v>260</v>
      </c>
      <c r="E293" s="147" t="s">
        <v>361</v>
      </c>
      <c r="G293" s="147" t="s">
        <v>493</v>
      </c>
      <c r="I293" s="147" t="s">
        <v>108</v>
      </c>
      <c r="K293" s="147" t="s">
        <v>108</v>
      </c>
      <c r="M293" s="148" t="s">
        <v>282</v>
      </c>
      <c r="O293" s="148" t="s">
        <v>282</v>
      </c>
      <c r="Q293" s="147" t="s">
        <v>80</v>
      </c>
      <c r="S293" s="360" t="s">
        <v>260</v>
      </c>
      <c r="U293" s="147" t="s">
        <v>90</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4088.36</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482</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242</v>
      </c>
    </row>
    <row r="300" spans="1:31">
      <c r="B300" s="209"/>
      <c r="C300" s="360" t="s">
        <v>687</v>
      </c>
      <c r="E300" s="360" t="s">
        <v>688</v>
      </c>
      <c r="F300" s="149"/>
      <c r="G300" s="360" t="s">
        <v>689</v>
      </c>
      <c r="H300" s="149"/>
      <c r="I300" s="147" t="s">
        <v>690</v>
      </c>
      <c r="J300" s="149"/>
      <c r="K300" s="360" t="s">
        <v>413</v>
      </c>
      <c r="L300" s="149"/>
      <c r="M300" s="147" t="s">
        <v>691</v>
      </c>
      <c r="N300" s="149"/>
      <c r="O300" s="147" t="s">
        <v>415</v>
      </c>
      <c r="P300" s="149"/>
      <c r="Q300" s="360" t="s">
        <v>416</v>
      </c>
      <c r="R300" s="149"/>
      <c r="S300" s="147" t="s">
        <v>692</v>
      </c>
      <c r="T300" s="149"/>
      <c r="U300" s="147" t="s">
        <v>419</v>
      </c>
      <c r="W300" s="236"/>
      <c r="X300" s="133">
        <f>COUNTIF(C298:U298,"ROW")</f>
        <v>0</v>
      </c>
      <c r="Y300" s="133">
        <v>0</v>
      </c>
      <c r="Z300" s="133">
        <v>0</v>
      </c>
      <c r="AB300" s="133" t="s">
        <v>192</v>
      </c>
    </row>
    <row r="301" spans="1:31">
      <c r="B301" s="209"/>
      <c r="C301" s="360" t="s">
        <v>281</v>
      </c>
      <c r="E301" s="360" t="s">
        <v>259</v>
      </c>
      <c r="F301" s="149"/>
      <c r="G301" s="360" t="s">
        <v>281</v>
      </c>
      <c r="H301" s="149"/>
      <c r="I301" s="147" t="s">
        <v>307</v>
      </c>
      <c r="J301" s="149"/>
      <c r="K301" s="360" t="s">
        <v>150</v>
      </c>
      <c r="L301" s="149"/>
      <c r="M301" s="147" t="s">
        <v>361</v>
      </c>
      <c r="N301" s="149"/>
      <c r="O301" s="147" t="s">
        <v>493</v>
      </c>
      <c r="P301" s="149"/>
      <c r="Q301" s="360" t="s">
        <v>212</v>
      </c>
      <c r="R301" s="149"/>
      <c r="S301" s="147" t="s">
        <v>283</v>
      </c>
      <c r="T301" s="149"/>
      <c r="U301" s="147" t="s">
        <v>693</v>
      </c>
      <c r="W301" s="236"/>
    </row>
    <row r="302" spans="1:31">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3364.01</v>
      </c>
      <c r="AE305" s="135">
        <f>SUM(D305:V305)</f>
        <v>3364.01</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482</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242</v>
      </c>
    </row>
    <row r="308" spans="1:31">
      <c r="B308" s="209"/>
      <c r="C308" s="360" t="s">
        <v>694</v>
      </c>
      <c r="E308" s="147" t="s">
        <v>695</v>
      </c>
      <c r="G308" s="360" t="s">
        <v>696</v>
      </c>
      <c r="I308" s="147" t="s">
        <v>422</v>
      </c>
      <c r="K308" s="147" t="s">
        <v>423</v>
      </c>
      <c r="M308" s="147" t="s">
        <v>424</v>
      </c>
      <c r="O308" s="147" t="s">
        <v>426</v>
      </c>
      <c r="Q308" s="360" t="s">
        <v>427</v>
      </c>
      <c r="S308" s="147" t="s">
        <v>428</v>
      </c>
      <c r="U308" s="360" t="s">
        <v>429</v>
      </c>
      <c r="W308" s="236"/>
      <c r="X308" s="133">
        <f>COUNTIF(C306:U306,"ROW")</f>
        <v>0</v>
      </c>
      <c r="Y308" s="133">
        <v>0</v>
      </c>
      <c r="Z308" s="133">
        <v>0</v>
      </c>
      <c r="AB308" s="133" t="s">
        <v>192</v>
      </c>
    </row>
    <row r="309" spans="1:31">
      <c r="B309" s="209"/>
      <c r="C309" s="148" t="s">
        <v>282</v>
      </c>
      <c r="E309" s="147" t="s">
        <v>307</v>
      </c>
      <c r="G309" s="148" t="s">
        <v>260</v>
      </c>
      <c r="I309" s="147" t="s">
        <v>505</v>
      </c>
      <c r="K309" s="147" t="s">
        <v>97</v>
      </c>
      <c r="M309" s="147" t="s">
        <v>307</v>
      </c>
      <c r="O309" s="147" t="s">
        <v>307</v>
      </c>
      <c r="Q309" s="148" t="s">
        <v>259</v>
      </c>
      <c r="S309" s="147" t="s">
        <v>283</v>
      </c>
      <c r="U309" s="148" t="s">
        <v>281</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482</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242</v>
      </c>
    </row>
    <row r="316" spans="1:31">
      <c r="B316" s="209"/>
      <c r="C316" s="147" t="s">
        <v>431</v>
      </c>
      <c r="E316" s="360" t="s">
        <v>432</v>
      </c>
      <c r="F316" s="149"/>
      <c r="G316" s="147" t="s">
        <v>433</v>
      </c>
      <c r="H316" s="149"/>
      <c r="I316" s="360" t="s">
        <v>434</v>
      </c>
      <c r="J316" s="149"/>
      <c r="K316" s="360" t="s">
        <v>435</v>
      </c>
      <c r="L316" s="149"/>
      <c r="M316" s="147" t="s">
        <v>436</v>
      </c>
      <c r="N316" s="149"/>
      <c r="O316" s="147" t="s">
        <v>437</v>
      </c>
      <c r="P316" s="149"/>
      <c r="Q316" s="360" t="s">
        <v>438</v>
      </c>
      <c r="R316" s="149"/>
      <c r="S316" s="360" t="s">
        <v>439</v>
      </c>
      <c r="T316" s="149"/>
      <c r="U316" s="147" t="s">
        <v>440</v>
      </c>
      <c r="W316" s="236"/>
      <c r="X316" s="133">
        <f>COUNTIF(C314:U314,"ROW")</f>
        <v>0</v>
      </c>
      <c r="Y316" s="133">
        <v>0</v>
      </c>
      <c r="Z316" s="133">
        <v>0</v>
      </c>
      <c r="AB316" s="133" t="s">
        <v>192</v>
      </c>
    </row>
    <row r="317" spans="1:31">
      <c r="B317" s="209"/>
      <c r="C317" s="147" t="s">
        <v>307</v>
      </c>
      <c r="E317" s="148" t="s">
        <v>147</v>
      </c>
      <c r="F317" s="149"/>
      <c r="G317" s="147" t="s">
        <v>283</v>
      </c>
      <c r="H317" s="149"/>
      <c r="I317" s="148" t="s">
        <v>147</v>
      </c>
      <c r="J317" s="149"/>
      <c r="K317" s="148" t="s">
        <v>282</v>
      </c>
      <c r="L317" s="149"/>
      <c r="M317" s="147" t="s">
        <v>693</v>
      </c>
      <c r="N317" s="149"/>
      <c r="O317" s="147" t="s">
        <v>493</v>
      </c>
      <c r="P317" s="149"/>
      <c r="Q317" s="148" t="s">
        <v>281</v>
      </c>
      <c r="R317" s="149"/>
      <c r="S317" s="148" t="s">
        <v>260</v>
      </c>
      <c r="T317" s="149"/>
      <c r="U317" s="147" t="s">
        <v>283</v>
      </c>
      <c r="W317" s="236"/>
    </row>
    <row r="318" spans="1:31">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482</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242</v>
      </c>
    </row>
    <row r="324" spans="1:31">
      <c r="B324" s="209"/>
      <c r="C324" s="360" t="s">
        <v>441</v>
      </c>
      <c r="E324" s="147" t="s">
        <v>442</v>
      </c>
      <c r="G324" s="147" t="s">
        <v>697</v>
      </c>
      <c r="I324" s="360" t="s">
        <v>698</v>
      </c>
      <c r="K324" s="360" t="s">
        <v>699</v>
      </c>
      <c r="M324" s="147" t="s">
        <v>700</v>
      </c>
      <c r="O324" s="147" t="s">
        <v>701</v>
      </c>
      <c r="Q324" s="147" t="s">
        <v>702</v>
      </c>
      <c r="S324" s="360" t="s">
        <v>703</v>
      </c>
      <c r="U324" s="360" t="s">
        <v>704</v>
      </c>
      <c r="W324" s="236"/>
      <c r="X324" s="133">
        <f>COUNTIF(C322:U322,"ROW")</f>
        <v>0</v>
      </c>
      <c r="Y324" s="133">
        <v>0</v>
      </c>
      <c r="Z324" s="133">
        <v>0</v>
      </c>
      <c r="AB324" s="133" t="s">
        <v>192</v>
      </c>
    </row>
    <row r="325" spans="1:31">
      <c r="B325" s="209"/>
      <c r="C325" s="148" t="s">
        <v>282</v>
      </c>
      <c r="E325" s="147" t="s">
        <v>307</v>
      </c>
      <c r="G325" s="147" t="s">
        <v>693</v>
      </c>
      <c r="I325" s="148" t="s">
        <v>281</v>
      </c>
      <c r="K325" s="148" t="s">
        <v>281</v>
      </c>
      <c r="M325" s="147" t="s">
        <v>283</v>
      </c>
      <c r="O325" s="147" t="s">
        <v>693</v>
      </c>
      <c r="Q325" s="147" t="s">
        <v>693</v>
      </c>
      <c r="S325" s="148" t="s">
        <v>260</v>
      </c>
      <c r="U325" s="148" t="s">
        <v>260</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v>
      </c>
      <c r="AE329" s="135">
        <f>SUM(D329:V329)</f>
        <v>3993.47</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482</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242</v>
      </c>
    </row>
    <row r="332" spans="1:31">
      <c r="B332" s="209"/>
      <c r="C332" s="360" t="s">
        <v>705</v>
      </c>
      <c r="E332" s="147" t="s">
        <v>706</v>
      </c>
      <c r="F332" s="149"/>
      <c r="G332" s="360" t="s">
        <v>707</v>
      </c>
      <c r="H332" s="149"/>
      <c r="I332" s="360" t="s">
        <v>708</v>
      </c>
      <c r="J332" s="149"/>
      <c r="K332" s="360" t="s">
        <v>709</v>
      </c>
      <c r="L332" s="149"/>
      <c r="M332" s="147" t="s">
        <v>710</v>
      </c>
      <c r="N332" s="149"/>
      <c r="O332" s="360" t="s">
        <v>711</v>
      </c>
      <c r="P332" s="149"/>
      <c r="Q332" s="147" t="s">
        <v>712</v>
      </c>
      <c r="R332" s="149"/>
      <c r="S332" s="360" t="s">
        <v>713</v>
      </c>
      <c r="T332" s="149"/>
      <c r="U332" s="147" t="s">
        <v>714</v>
      </c>
      <c r="W332" s="236"/>
      <c r="X332" s="133">
        <f>COUNTIF(C330:U330,"ROW")</f>
        <v>0</v>
      </c>
      <c r="Y332" s="133">
        <v>0</v>
      </c>
      <c r="Z332" s="133">
        <v>0</v>
      </c>
      <c r="AB332" s="133" t="s">
        <v>192</v>
      </c>
    </row>
    <row r="333" spans="1:31">
      <c r="B333" s="209"/>
      <c r="C333" s="148" t="s">
        <v>260</v>
      </c>
      <c r="E333" s="147" t="s">
        <v>283</v>
      </c>
      <c r="F333" s="149"/>
      <c r="G333" s="148" t="s">
        <v>282</v>
      </c>
      <c r="H333" s="149"/>
      <c r="I333" s="148" t="s">
        <v>281</v>
      </c>
      <c r="J333" s="149"/>
      <c r="K333" s="148" t="s">
        <v>282</v>
      </c>
      <c r="L333" s="149"/>
      <c r="M333" s="147" t="s">
        <v>406</v>
      </c>
      <c r="N333" s="149"/>
      <c r="O333" s="148" t="s">
        <v>259</v>
      </c>
      <c r="P333" s="149"/>
      <c r="Q333" s="147" t="s">
        <v>693</v>
      </c>
      <c r="R333" s="149"/>
      <c r="S333" s="148" t="s">
        <v>282</v>
      </c>
      <c r="T333" s="149"/>
      <c r="U333" s="147" t="s">
        <v>283</v>
      </c>
      <c r="W333" s="236"/>
    </row>
    <row r="334" spans="1:31">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482</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242</v>
      </c>
    </row>
    <row r="341" spans="1:31">
      <c r="B341" s="209"/>
      <c r="C341" s="360" t="s">
        <v>715</v>
      </c>
      <c r="E341" s="360" t="s">
        <v>716</v>
      </c>
      <c r="G341" s="147" t="s">
        <v>717</v>
      </c>
      <c r="I341" s="360" t="s">
        <v>718</v>
      </c>
      <c r="K341" s="147" t="s">
        <v>143</v>
      </c>
      <c r="M341" s="360" t="s">
        <v>719</v>
      </c>
      <c r="O341" s="360" t="s">
        <v>720</v>
      </c>
      <c r="Q341" s="147" t="s">
        <v>721</v>
      </c>
      <c r="S341" s="360" t="s">
        <v>722</v>
      </c>
      <c r="U341" s="360" t="s">
        <v>723</v>
      </c>
      <c r="W341" s="236"/>
      <c r="X341" s="133">
        <f>COUNTIF(C339:U339,"ROW")</f>
        <v>0</v>
      </c>
      <c r="Y341" s="133">
        <v>0</v>
      </c>
      <c r="Z341" s="133">
        <v>0</v>
      </c>
      <c r="AB341" s="133" t="s">
        <v>192</v>
      </c>
    </row>
    <row r="342" spans="1:31">
      <c r="B342" s="209"/>
      <c r="C342" s="148" t="s">
        <v>281</v>
      </c>
      <c r="E342" s="148" t="s">
        <v>259</v>
      </c>
      <c r="G342" s="147" t="s">
        <v>361</v>
      </c>
      <c r="I342" s="148" t="s">
        <v>260</v>
      </c>
      <c r="K342" s="147" t="s">
        <v>90</v>
      </c>
      <c r="M342" s="148" t="s">
        <v>281</v>
      </c>
      <c r="O342" s="148" t="s">
        <v>281</v>
      </c>
      <c r="Q342" s="147" t="s">
        <v>90</v>
      </c>
      <c r="S342" s="148" t="s">
        <v>260</v>
      </c>
      <c r="U342" s="148" t="s">
        <v>260</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482</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242</v>
      </c>
    </row>
    <row r="349" spans="1:31">
      <c r="B349" s="209"/>
      <c r="C349" s="360" t="s">
        <v>724</v>
      </c>
      <c r="E349" s="360" t="s">
        <v>725</v>
      </c>
      <c r="F349" s="149"/>
      <c r="G349" s="147" t="s">
        <v>726</v>
      </c>
      <c r="H349" s="149"/>
      <c r="I349" s="360" t="s">
        <v>145</v>
      </c>
      <c r="J349" s="149"/>
      <c r="K349" s="360" t="s">
        <v>146</v>
      </c>
      <c r="L349" s="149"/>
      <c r="M349" s="360" t="s">
        <v>148</v>
      </c>
      <c r="N349" s="149"/>
      <c r="O349" s="360" t="s">
        <v>727</v>
      </c>
      <c r="P349" s="149"/>
      <c r="Q349" s="360" t="s">
        <v>728</v>
      </c>
      <c r="R349" s="149"/>
      <c r="S349" s="360" t="s">
        <v>729</v>
      </c>
      <c r="T349" s="149"/>
      <c r="U349" s="360" t="s">
        <v>730</v>
      </c>
      <c r="W349" s="236"/>
      <c r="X349" s="133">
        <f>COUNTIF(C347:U347,"ROW")</f>
        <v>0</v>
      </c>
      <c r="Y349" s="133">
        <v>0</v>
      </c>
      <c r="Z349" s="133">
        <v>0</v>
      </c>
      <c r="AB349" s="133" t="s">
        <v>192</v>
      </c>
    </row>
    <row r="350" spans="1:31">
      <c r="B350" s="209"/>
      <c r="C350" s="148" t="s">
        <v>260</v>
      </c>
      <c r="E350" s="148" t="s">
        <v>260</v>
      </c>
      <c r="F350" s="149"/>
      <c r="G350" s="147" t="s">
        <v>283</v>
      </c>
      <c r="H350" s="149"/>
      <c r="I350" s="148" t="s">
        <v>260</v>
      </c>
      <c r="J350" s="149"/>
      <c r="K350" s="148" t="s">
        <v>260</v>
      </c>
      <c r="L350" s="149"/>
      <c r="M350" s="148" t="s">
        <v>281</v>
      </c>
      <c r="N350" s="149"/>
      <c r="O350" s="148" t="s">
        <v>281</v>
      </c>
      <c r="P350" s="149"/>
      <c r="Q350" s="148" t="s">
        <v>281</v>
      </c>
      <c r="R350" s="149"/>
      <c r="S350" s="148" t="s">
        <v>281</v>
      </c>
      <c r="T350" s="149"/>
      <c r="U350" s="148" t="s">
        <v>260</v>
      </c>
      <c r="W350" s="236"/>
    </row>
    <row r="351" spans="1:31">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4079.88</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482</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242</v>
      </c>
    </row>
    <row r="357" spans="1:31">
      <c r="B357" s="209"/>
      <c r="C357" s="360" t="s">
        <v>731</v>
      </c>
      <c r="E357" s="360" t="s">
        <v>732</v>
      </c>
      <c r="G357" s="147" t="s">
        <v>733</v>
      </c>
      <c r="I357" s="360" t="s">
        <v>734</v>
      </c>
      <c r="K357" s="360" t="s">
        <v>735</v>
      </c>
      <c r="M357" s="360" t="s">
        <v>736</v>
      </c>
      <c r="O357" s="147" t="s">
        <v>737</v>
      </c>
      <c r="Q357" s="360" t="s">
        <v>738</v>
      </c>
      <c r="S357" s="360" t="s">
        <v>739</v>
      </c>
      <c r="U357" s="360" t="s">
        <v>740</v>
      </c>
      <c r="W357" s="236"/>
      <c r="X357" s="133">
        <f>COUNTIF(C355:U355,"ROW")</f>
        <v>0</v>
      </c>
      <c r="Y357" s="133">
        <v>0</v>
      </c>
      <c r="Z357" s="133">
        <v>0</v>
      </c>
      <c r="AB357" s="133" t="s">
        <v>192</v>
      </c>
    </row>
    <row r="358" spans="1:31">
      <c r="B358" s="209"/>
      <c r="C358" s="148" t="s">
        <v>281</v>
      </c>
      <c r="E358" s="148" t="s">
        <v>281</v>
      </c>
      <c r="G358" s="147" t="s">
        <v>308</v>
      </c>
      <c r="I358" s="148" t="s">
        <v>281</v>
      </c>
      <c r="K358" s="148" t="s">
        <v>260</v>
      </c>
      <c r="M358" s="148" t="s">
        <v>282</v>
      </c>
      <c r="O358" s="147" t="s">
        <v>283</v>
      </c>
      <c r="Q358" s="148" t="s">
        <v>260</v>
      </c>
      <c r="S358" s="148" t="s">
        <v>281</v>
      </c>
      <c r="U358" s="148" t="s">
        <v>282</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482</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242</v>
      </c>
    </row>
    <row r="365" spans="1:31">
      <c r="B365" s="209"/>
      <c r="C365" s="147" t="s">
        <v>741</v>
      </c>
      <c r="E365" s="147" t="s">
        <v>742</v>
      </c>
      <c r="F365" s="149"/>
      <c r="G365" s="147" t="s">
        <v>743</v>
      </c>
      <c r="H365" s="149"/>
      <c r="I365" s="360" t="s">
        <v>744</v>
      </c>
      <c r="J365" s="149"/>
      <c r="K365" s="360" t="s">
        <v>745</v>
      </c>
      <c r="L365" s="149"/>
      <c r="M365" s="360" t="s">
        <v>746</v>
      </c>
      <c r="N365" s="149"/>
      <c r="O365" s="147" t="s">
        <v>747</v>
      </c>
      <c r="P365" s="149"/>
      <c r="Q365" s="360" t="s">
        <v>748</v>
      </c>
      <c r="R365" s="149"/>
      <c r="S365" s="147" t="s">
        <v>749</v>
      </c>
      <c r="T365" s="149"/>
      <c r="U365" s="360" t="s">
        <v>750</v>
      </c>
      <c r="W365" s="236"/>
      <c r="X365" s="133">
        <f>COUNTIF(C363:U363,"ROW")</f>
        <v>0</v>
      </c>
      <c r="Y365" s="133">
        <v>0</v>
      </c>
      <c r="Z365" s="133">
        <v>0</v>
      </c>
      <c r="AB365" s="133" t="s">
        <v>192</v>
      </c>
    </row>
    <row r="366" spans="1:31">
      <c r="B366" s="209"/>
      <c r="C366" s="147" t="s">
        <v>307</v>
      </c>
      <c r="E366" s="147" t="s">
        <v>352</v>
      </c>
      <c r="F366" s="149"/>
      <c r="G366" s="147" t="s">
        <v>352</v>
      </c>
      <c r="H366" s="149"/>
      <c r="I366" s="148" t="s">
        <v>260</v>
      </c>
      <c r="J366" s="149"/>
      <c r="K366" s="148" t="s">
        <v>260</v>
      </c>
      <c r="L366" s="149"/>
      <c r="M366" s="148" t="s">
        <v>260</v>
      </c>
      <c r="N366" s="149"/>
      <c r="O366" s="147" t="s">
        <v>693</v>
      </c>
      <c r="P366" s="149"/>
      <c r="Q366" s="148" t="s">
        <v>259</v>
      </c>
      <c r="R366" s="149"/>
      <c r="S366" s="147" t="s">
        <v>308</v>
      </c>
      <c r="T366" s="149"/>
      <c r="U366" s="148" t="s">
        <v>281</v>
      </c>
      <c r="W366" s="236"/>
    </row>
    <row r="367" spans="1:31">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482</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242</v>
      </c>
    </row>
    <row r="374" spans="1:31">
      <c r="B374" s="209"/>
      <c r="C374" s="360" t="s">
        <v>751</v>
      </c>
      <c r="E374" s="360" t="s">
        <v>752</v>
      </c>
      <c r="G374" s="147" t="s">
        <v>753</v>
      </c>
      <c r="I374" s="360" t="s">
        <v>754</v>
      </c>
      <c r="K374" s="360" t="s">
        <v>755</v>
      </c>
      <c r="M374" s="147" t="s">
        <v>756</v>
      </c>
      <c r="O374" s="147" t="s">
        <v>757</v>
      </c>
      <c r="Q374" s="360" t="s">
        <v>758</v>
      </c>
      <c r="S374" s="360" t="s">
        <v>759</v>
      </c>
      <c r="U374" s="360" t="s">
        <v>760</v>
      </c>
      <c r="W374" s="236"/>
      <c r="X374" s="133">
        <f>COUNTIF(C372:U372,"ROW")</f>
        <v>0</v>
      </c>
      <c r="Y374" s="133">
        <v>0</v>
      </c>
      <c r="Z374" s="133">
        <v>0</v>
      </c>
      <c r="AB374" s="133" t="s">
        <v>192</v>
      </c>
    </row>
    <row r="375" spans="1:31">
      <c r="B375" s="209"/>
      <c r="C375" s="148" t="s">
        <v>281</v>
      </c>
      <c r="E375" s="148" t="s">
        <v>281</v>
      </c>
      <c r="G375" s="147" t="s">
        <v>283</v>
      </c>
      <c r="I375" s="148" t="s">
        <v>260</v>
      </c>
      <c r="K375" s="148" t="s">
        <v>282</v>
      </c>
      <c r="M375" s="147" t="s">
        <v>693</v>
      </c>
      <c r="O375" s="147" t="s">
        <v>693</v>
      </c>
      <c r="Q375" s="148" t="s">
        <v>281</v>
      </c>
      <c r="S375" s="148" t="s">
        <v>260</v>
      </c>
      <c r="U375" s="148" t="s">
        <v>281</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v>
      </c>
      <c r="AE379" s="135">
        <f>SUM(D379:V379)</f>
        <v>3843.6</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482</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242</v>
      </c>
    </row>
    <row r="382" spans="1:31">
      <c r="B382" s="209"/>
      <c r="C382" s="360" t="s">
        <v>761</v>
      </c>
      <c r="D382" s="149"/>
      <c r="E382" s="360" t="s">
        <v>762</v>
      </c>
      <c r="G382" s="360" t="s">
        <v>763</v>
      </c>
      <c r="H382" s="149"/>
      <c r="I382" s="360" t="s">
        <v>764</v>
      </c>
      <c r="J382" s="149"/>
      <c r="K382" s="147" t="s">
        <v>765</v>
      </c>
      <c r="L382" s="149"/>
      <c r="M382" s="147" t="s">
        <v>766</v>
      </c>
      <c r="N382" s="149"/>
      <c r="O382" s="360" t="s">
        <v>767</v>
      </c>
      <c r="P382" s="149"/>
      <c r="Q382" s="360" t="s">
        <v>768</v>
      </c>
      <c r="R382" s="149"/>
      <c r="S382" s="360" t="s">
        <v>769</v>
      </c>
      <c r="T382" s="149"/>
      <c r="U382" s="360" t="s">
        <v>770</v>
      </c>
      <c r="W382" s="236"/>
      <c r="X382" s="133">
        <f>COUNTIF(C380:U380,"ROW")</f>
        <v>0</v>
      </c>
      <c r="Y382" s="133">
        <v>0</v>
      </c>
      <c r="Z382" s="133">
        <v>0</v>
      </c>
      <c r="AB382" s="133" t="s">
        <v>192</v>
      </c>
    </row>
    <row r="383" spans="1:31">
      <c r="B383" s="209"/>
      <c r="C383" s="148" t="s">
        <v>281</v>
      </c>
      <c r="D383" s="149"/>
      <c r="E383" s="148" t="s">
        <v>281</v>
      </c>
      <c r="G383" s="148" t="s">
        <v>260</v>
      </c>
      <c r="H383" s="149"/>
      <c r="I383" s="148" t="s">
        <v>281</v>
      </c>
      <c r="J383" s="149"/>
      <c r="K383" s="147" t="s">
        <v>406</v>
      </c>
      <c r="L383" s="149"/>
      <c r="M383" s="147" t="s">
        <v>406</v>
      </c>
      <c r="N383" s="149"/>
      <c r="O383" s="148" t="s">
        <v>281</v>
      </c>
      <c r="P383" s="149"/>
      <c r="Q383" s="148" t="s">
        <v>260</v>
      </c>
      <c r="R383" s="149"/>
      <c r="S383" s="148" t="s">
        <v>260</v>
      </c>
      <c r="T383" s="149"/>
      <c r="U383" s="148" t="s">
        <v>281</v>
      </c>
      <c r="W383" s="236"/>
    </row>
    <row r="384" spans="1:31">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482</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242</v>
      </c>
    </row>
    <row r="391" spans="1:31">
      <c r="B391" s="209"/>
      <c r="C391" s="147" t="s">
        <v>771</v>
      </c>
      <c r="E391" s="360" t="s">
        <v>772</v>
      </c>
      <c r="G391" s="360" t="s">
        <v>773</v>
      </c>
      <c r="I391" s="147" t="s">
        <v>158</v>
      </c>
      <c r="K391" s="360" t="s">
        <v>774</v>
      </c>
      <c r="M391" s="360" t="s">
        <v>775</v>
      </c>
      <c r="O391" s="360" t="s">
        <v>776</v>
      </c>
      <c r="Q391" s="360" t="s">
        <v>777</v>
      </c>
      <c r="S391" s="360" t="s">
        <v>778</v>
      </c>
      <c r="U391" s="360" t="s">
        <v>779</v>
      </c>
      <c r="W391" s="236"/>
      <c r="X391" s="133">
        <f>COUNTIF(C389:U389,"ROW")</f>
        <v>0</v>
      </c>
      <c r="Y391" s="133">
        <v>0</v>
      </c>
      <c r="Z391" s="133">
        <v>0</v>
      </c>
      <c r="AB391" s="133" t="s">
        <v>192</v>
      </c>
    </row>
    <row r="392" spans="1:31">
      <c r="B392" s="209"/>
      <c r="C392" s="147" t="s">
        <v>283</v>
      </c>
      <c r="E392" s="148" t="s">
        <v>281</v>
      </c>
      <c r="G392" s="148" t="s">
        <v>260</v>
      </c>
      <c r="I392" s="147" t="s">
        <v>283</v>
      </c>
      <c r="K392" s="148" t="s">
        <v>281</v>
      </c>
      <c r="M392" s="148" t="s">
        <v>260</v>
      </c>
      <c r="O392" s="148" t="s">
        <v>281</v>
      </c>
      <c r="Q392" s="148" t="s">
        <v>281</v>
      </c>
      <c r="S392" s="148" t="s">
        <v>281</v>
      </c>
      <c r="U392" s="148" t="s">
        <v>281</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482</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242</v>
      </c>
    </row>
    <row r="399" spans="1:31">
      <c r="B399" s="209"/>
      <c r="C399" s="360" t="s">
        <v>780</v>
      </c>
      <c r="E399" s="360" t="s">
        <v>781</v>
      </c>
      <c r="F399" s="149"/>
      <c r="G399" s="147" t="s">
        <v>159</v>
      </c>
      <c r="H399" s="149"/>
      <c r="I399" s="360" t="s">
        <v>782</v>
      </c>
      <c r="J399" s="149"/>
      <c r="K399" s="360" t="s">
        <v>783</v>
      </c>
      <c r="L399" s="149"/>
      <c r="M399" s="360" t="s">
        <v>784</v>
      </c>
      <c r="N399" s="149"/>
      <c r="O399" s="360" t="s">
        <v>785</v>
      </c>
      <c r="P399" s="149"/>
      <c r="Q399" s="360" t="s">
        <v>786</v>
      </c>
      <c r="R399" s="149"/>
      <c r="S399" s="360" t="s">
        <v>787</v>
      </c>
      <c r="T399" s="149"/>
      <c r="U399" s="360" t="s">
        <v>788</v>
      </c>
      <c r="W399" s="236"/>
      <c r="X399" s="133">
        <f>COUNTIF(C397:U397,"ROW")</f>
        <v>0</v>
      </c>
      <c r="Y399" s="133">
        <v>0</v>
      </c>
      <c r="Z399" s="133">
        <v>0</v>
      </c>
      <c r="AB399" s="133" t="s">
        <v>192</v>
      </c>
    </row>
    <row r="400" spans="1:31">
      <c r="B400" s="209"/>
      <c r="C400" s="148" t="s">
        <v>260</v>
      </c>
      <c r="E400" s="148" t="s">
        <v>259</v>
      </c>
      <c r="F400" s="149"/>
      <c r="G400" s="147" t="s">
        <v>308</v>
      </c>
      <c r="H400" s="149"/>
      <c r="I400" s="148" t="s">
        <v>281</v>
      </c>
      <c r="J400" s="149"/>
      <c r="K400" s="148" t="s">
        <v>260</v>
      </c>
      <c r="L400" s="149"/>
      <c r="M400" s="148" t="s">
        <v>260</v>
      </c>
      <c r="N400" s="149"/>
      <c r="O400" s="148" t="s">
        <v>260</v>
      </c>
      <c r="P400" s="149"/>
      <c r="Q400" s="148" t="s">
        <v>281</v>
      </c>
      <c r="R400" s="149"/>
      <c r="S400" s="148" t="s">
        <v>260</v>
      </c>
      <c r="T400" s="149"/>
      <c r="U400" s="148" t="s">
        <v>260</v>
      </c>
      <c r="W400" s="236"/>
    </row>
    <row r="401" spans="1:31">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482</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242</v>
      </c>
    </row>
    <row r="408" spans="1:31">
      <c r="B408" s="209"/>
      <c r="C408" s="360" t="s">
        <v>789</v>
      </c>
      <c r="E408" s="360" t="s">
        <v>790</v>
      </c>
      <c r="G408" s="147" t="s">
        <v>791</v>
      </c>
      <c r="I408" s="360" t="s">
        <v>792</v>
      </c>
      <c r="K408" s="147" t="s">
        <v>793</v>
      </c>
      <c r="M408" s="147" t="s">
        <v>794</v>
      </c>
      <c r="O408" s="147" t="s">
        <v>795</v>
      </c>
      <c r="Q408" s="147" t="s">
        <v>796</v>
      </c>
      <c r="S408" s="147" t="s">
        <v>797</v>
      </c>
      <c r="U408" s="147" t="s">
        <v>798</v>
      </c>
      <c r="W408" s="236"/>
      <c r="X408" s="133">
        <f>COUNTIF(C406:U406,"ROW")</f>
        <v>0</v>
      </c>
      <c r="Y408" s="133">
        <v>0</v>
      </c>
      <c r="Z408" s="133">
        <v>0</v>
      </c>
      <c r="AB408" s="133" t="s">
        <v>192</v>
      </c>
    </row>
    <row r="409" spans="1:31">
      <c r="B409" s="209"/>
      <c r="C409" s="148" t="s">
        <v>260</v>
      </c>
      <c r="E409" s="148" t="s">
        <v>281</v>
      </c>
      <c r="G409" s="147" t="s">
        <v>308</v>
      </c>
      <c r="I409" s="148" t="s">
        <v>281</v>
      </c>
      <c r="K409" s="147" t="s">
        <v>394</v>
      </c>
      <c r="M409" s="147" t="s">
        <v>505</v>
      </c>
      <c r="O409" s="147" t="s">
        <v>505</v>
      </c>
      <c r="Q409" s="147" t="s">
        <v>82</v>
      </c>
      <c r="S409" s="147" t="s">
        <v>82</v>
      </c>
      <c r="U409" s="147" t="s">
        <v>294</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482</v>
      </c>
    </row>
    <row r="415" spans="1:31">
      <c r="B415" s="209"/>
      <c r="C415" s="141"/>
      <c r="D415" s="139"/>
      <c r="E415" s="141"/>
      <c r="F415" s="139"/>
      <c r="G415" s="141"/>
      <c r="I415" s="141"/>
      <c r="J415" s="162"/>
      <c r="K415" s="141"/>
      <c r="W415" s="236"/>
      <c r="X415" s="133">
        <f>COUNTIF(C415:U415,"U/P")</f>
        <v>0</v>
      </c>
      <c r="Y415" s="133">
        <v>0</v>
      </c>
      <c r="Z415" s="133">
        <v>0</v>
      </c>
      <c r="AB415" s="133" t="s">
        <v>242</v>
      </c>
    </row>
    <row r="416" spans="1:31">
      <c r="B416" s="209"/>
      <c r="C416" s="147" t="s">
        <v>799</v>
      </c>
      <c r="E416" s="147" t="s">
        <v>800</v>
      </c>
      <c r="F416" s="149"/>
      <c r="G416" s="147" t="s">
        <v>801</v>
      </c>
      <c r="H416" s="149"/>
      <c r="I416" s="147" t="s">
        <v>802</v>
      </c>
      <c r="J416" s="149"/>
      <c r="K416" s="147" t="s">
        <v>483</v>
      </c>
      <c r="L416" s="149"/>
      <c r="M416" s="283"/>
      <c r="N416" s="149"/>
      <c r="O416" s="283"/>
      <c r="P416" s="149"/>
      <c r="Q416" s="283"/>
      <c r="R416" s="149"/>
      <c r="S416" s="283"/>
      <c r="T416" s="149"/>
      <c r="U416" s="283"/>
      <c r="W416" s="236"/>
      <c r="X416" s="133">
        <f>COUNTIF(C414:U414,"ROW")</f>
        <v>0</v>
      </c>
      <c r="Y416" s="133">
        <v>0</v>
      </c>
      <c r="Z416" s="133">
        <v>0</v>
      </c>
      <c r="AB416" s="133" t="s">
        <v>192</v>
      </c>
    </row>
    <row r="417" spans="2:32">
      <c r="B417" s="209"/>
      <c r="C417" s="147" t="s">
        <v>166</v>
      </c>
      <c r="E417" s="147" t="s">
        <v>166</v>
      </c>
      <c r="F417" s="149"/>
      <c r="G417" s="147" t="s">
        <v>505</v>
      </c>
      <c r="H417" s="149"/>
      <c r="I417" s="147" t="s">
        <v>307</v>
      </c>
      <c r="J417" s="149"/>
      <c r="K417" s="147"/>
      <c r="L417" s="149"/>
      <c r="M417" s="148"/>
      <c r="N417" s="149"/>
      <c r="O417" s="148"/>
      <c r="P417" s="149"/>
      <c r="Q417" s="148"/>
      <c r="R417" s="149"/>
      <c r="S417" s="148"/>
      <c r="T417" s="149"/>
      <c r="U417" s="148"/>
      <c r="W417" s="236"/>
    </row>
    <row r="418" spans="2:32">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131357.41</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54.642589999999998</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803</v>
      </c>
      <c r="Z420" s="291"/>
      <c r="AA420" s="291" t="s">
        <v>804</v>
      </c>
      <c r="AB420" s="206"/>
      <c r="AC420" s="291" t="s">
        <v>805</v>
      </c>
      <c r="AD420" s="294"/>
    </row>
    <row r="421" spans="2:32" ht="28.8">
      <c r="B421" s="209"/>
      <c r="F421" s="284" t="s">
        <v>806</v>
      </c>
      <c r="G421" s="285" t="s">
        <v>807</v>
      </c>
      <c r="H421" s="285" t="s">
        <v>808</v>
      </c>
      <c r="I421" s="285" t="s">
        <v>43</v>
      </c>
      <c r="J421" s="285" t="s">
        <v>809</v>
      </c>
      <c r="K421" s="285" t="s">
        <v>810</v>
      </c>
      <c r="L421" s="285" t="s">
        <v>811</v>
      </c>
      <c r="M421" s="284" t="s">
        <v>812</v>
      </c>
      <c r="N421" s="285" t="s">
        <v>445</v>
      </c>
      <c r="O421" s="285" t="s">
        <v>20</v>
      </c>
      <c r="W421" s="265"/>
      <c r="X421" s="291">
        <f>SUM(X13+X21+X29+X37+X45+X53+X61+X70+X79+X88+X97+X106+X115+X124+X133+X141+X149+X157+X165+X174+X183+X192+X200+X209+X217+X225+X233+X242+X250+X259+X267+X275+X283+X291+X299+X307+X315+X323+X331+X340+X348+X356+X364+X373+X381+X390+X398+X407+X415)</f>
        <v>4</v>
      </c>
      <c r="Y421" s="206" t="s">
        <v>813</v>
      </c>
      <c r="Z421" s="291"/>
      <c r="AA421" s="206" t="s">
        <v>814</v>
      </c>
      <c r="AB421" s="206"/>
      <c r="AC421" s="295" t="s">
        <v>815</v>
      </c>
      <c r="AD421" s="206"/>
    </row>
    <row r="422" spans="2:32" ht="27.6">
      <c r="B422" s="209"/>
      <c r="F422" s="286" t="s">
        <v>816</v>
      </c>
      <c r="G422" s="57">
        <v>4</v>
      </c>
      <c r="H422" s="57">
        <v>3</v>
      </c>
      <c r="I422" s="57"/>
      <c r="J422" s="57"/>
      <c r="K422" s="57"/>
      <c r="L422" s="57">
        <v>2</v>
      </c>
      <c r="M422" s="57">
        <v>1</v>
      </c>
      <c r="N422" s="57">
        <f>SUM(G422:M422)</f>
        <v>10</v>
      </c>
      <c r="O422" s="1329"/>
      <c r="W422" s="265"/>
      <c r="X422" s="291">
        <v>13</v>
      </c>
      <c r="Y422" s="206" t="s">
        <v>817</v>
      </c>
      <c r="Z422" s="291"/>
      <c r="AA422" s="206" t="s">
        <v>818</v>
      </c>
      <c r="AB422" s="206"/>
      <c r="AC422" s="295" t="s">
        <v>819</v>
      </c>
      <c r="AD422" s="206"/>
    </row>
    <row r="423" spans="2:32" ht="27.6">
      <c r="B423" s="209"/>
      <c r="F423" s="286" t="s">
        <v>820</v>
      </c>
      <c r="G423" s="57"/>
      <c r="H423" s="57"/>
      <c r="I423" s="57"/>
      <c r="J423" s="57"/>
      <c r="K423" s="57"/>
      <c r="L423" s="57"/>
      <c r="M423" s="57"/>
      <c r="N423" s="57"/>
      <c r="O423" s="1330"/>
      <c r="W423" s="265"/>
      <c r="X423" s="291"/>
      <c r="Y423" s="291"/>
      <c r="Z423" s="291"/>
      <c r="AA423" s="291"/>
      <c r="AB423" s="294"/>
      <c r="AC423" s="294"/>
      <c r="AD423" s="206"/>
    </row>
    <row r="424" spans="2:32" ht="14.4">
      <c r="B424" s="209"/>
      <c r="F424" s="286" t="s">
        <v>821</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1330"/>
      <c r="W424" s="265"/>
      <c r="X424" s="291">
        <v>3</v>
      </c>
      <c r="Y424" s="206" t="s">
        <v>822</v>
      </c>
      <c r="Z424" s="291"/>
      <c r="AA424" s="206" t="s">
        <v>823</v>
      </c>
      <c r="AB424" s="294"/>
      <c r="AC424" s="294"/>
      <c r="AD424" s="206"/>
    </row>
    <row r="425" spans="2:32">
      <c r="B425" s="209"/>
      <c r="W425" s="265"/>
      <c r="X425" s="291"/>
      <c r="Y425" s="291"/>
      <c r="Z425" s="291"/>
      <c r="AA425" s="291"/>
      <c r="AB425" s="294"/>
      <c r="AC425" s="294"/>
      <c r="AD425" s="206"/>
    </row>
    <row r="426" spans="2:32" hidden="1">
      <c r="B426" s="209"/>
      <c r="F426" s="287"/>
      <c r="G426" s="287" t="s">
        <v>824</v>
      </c>
      <c r="H426" s="287" t="s">
        <v>825</v>
      </c>
      <c r="I426" s="287" t="s">
        <v>242</v>
      </c>
      <c r="J426" s="287" t="s">
        <v>821</v>
      </c>
      <c r="K426" s="287" t="s">
        <v>826</v>
      </c>
      <c r="L426" s="287" t="s">
        <v>825</v>
      </c>
      <c r="M426" s="287" t="s">
        <v>242</v>
      </c>
      <c r="N426" s="287" t="s">
        <v>821</v>
      </c>
      <c r="O426" s="287" t="s">
        <v>20</v>
      </c>
      <c r="W426" s="265"/>
      <c r="X426" s="291"/>
      <c r="Y426" s="291"/>
      <c r="Z426" s="291"/>
      <c r="AA426" s="291"/>
      <c r="AB426" s="294"/>
      <c r="AC426" s="294"/>
      <c r="AD426" s="206"/>
    </row>
    <row r="427" spans="2:32" hidden="1">
      <c r="B427" s="209"/>
      <c r="F427" s="205" t="s">
        <v>443</v>
      </c>
      <c r="G427" s="206"/>
      <c r="H427" s="206"/>
      <c r="I427" s="206"/>
      <c r="J427" s="206"/>
      <c r="K427" s="206"/>
      <c r="L427" s="206"/>
      <c r="M427" s="228"/>
      <c r="N427" s="206"/>
      <c r="O427" s="1299"/>
      <c r="W427" s="265"/>
      <c r="X427" s="291"/>
      <c r="Y427" s="291"/>
      <c r="Z427" s="291"/>
      <c r="AA427" s="291"/>
      <c r="AB427" s="294"/>
      <c r="AC427" s="294"/>
      <c r="AD427" s="206"/>
    </row>
    <row r="428" spans="2:32" hidden="1">
      <c r="B428" s="209"/>
      <c r="F428" s="205" t="s">
        <v>444</v>
      </c>
      <c r="G428" s="206"/>
      <c r="H428" s="206"/>
      <c r="I428" s="206"/>
      <c r="J428" s="206"/>
      <c r="K428" s="206"/>
      <c r="L428" s="206"/>
      <c r="M428" s="206"/>
      <c r="N428" s="206"/>
      <c r="O428" s="1300"/>
      <c r="Q428" s="229"/>
      <c r="W428" s="265"/>
      <c r="X428" s="291"/>
      <c r="Y428" s="291"/>
      <c r="Z428" s="291"/>
      <c r="AA428" s="291"/>
      <c r="AB428" s="294"/>
      <c r="AC428" s="294"/>
      <c r="AD428" s="206"/>
    </row>
    <row r="429" spans="2:32" hidden="1">
      <c r="B429" s="209"/>
      <c r="F429" s="205" t="s">
        <v>445</v>
      </c>
      <c r="G429" s="206"/>
      <c r="H429" s="206"/>
      <c r="I429" s="206"/>
      <c r="J429" s="206"/>
      <c r="K429" s="206"/>
      <c r="L429" s="206"/>
      <c r="M429" s="206"/>
      <c r="N429" s="206"/>
      <c r="O429" s="1301"/>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3.8">
      <c r="B432" s="1326"/>
      <c r="C432" s="1327"/>
      <c r="D432" s="1327"/>
      <c r="E432" s="1327"/>
      <c r="F432" s="1327"/>
      <c r="G432" s="1327"/>
      <c r="H432" s="1327"/>
      <c r="I432" s="1327"/>
      <c r="J432" s="1327"/>
      <c r="K432" s="1327"/>
      <c r="L432" s="1327"/>
      <c r="M432" s="1327"/>
      <c r="N432" s="1327"/>
      <c r="O432" s="1327"/>
      <c r="P432" s="1327"/>
      <c r="Q432" s="1327"/>
      <c r="R432" s="1327"/>
      <c r="S432" s="1327"/>
      <c r="T432" s="1327"/>
      <c r="U432" s="1327"/>
      <c r="V432" s="1327"/>
      <c r="W432" s="1328"/>
    </row>
    <row r="433" spans="2:23">
      <c r="B433" s="209"/>
      <c r="W433" s="236"/>
    </row>
    <row r="434" spans="2:23">
      <c r="B434" s="209"/>
      <c r="E434" s="210"/>
      <c r="F434" s="210"/>
      <c r="G434" s="210"/>
      <c r="H434" s="210"/>
      <c r="I434" s="210"/>
      <c r="J434" s="210" t="s">
        <v>446</v>
      </c>
      <c r="K434" s="210"/>
      <c r="L434" s="210"/>
      <c r="W434" s="236"/>
    </row>
    <row r="435" spans="2:23">
      <c r="B435" s="209"/>
      <c r="E435" s="210"/>
      <c r="F435" s="210"/>
      <c r="J435" s="210"/>
      <c r="L435" s="210"/>
      <c r="M435" s="133" t="s">
        <v>447</v>
      </c>
      <c r="S435" s="237" t="s">
        <v>448</v>
      </c>
      <c r="W435" s="236"/>
    </row>
    <row r="436" spans="2:23">
      <c r="B436" s="209"/>
      <c r="D436" s="211" t="s">
        <v>449</v>
      </c>
      <c r="E436" s="210"/>
      <c r="F436" s="210"/>
      <c r="J436" s="210"/>
      <c r="L436" s="210"/>
      <c r="W436" s="236"/>
    </row>
    <row r="437" spans="2:23">
      <c r="B437" s="209"/>
      <c r="D437" s="211" t="s">
        <v>450</v>
      </c>
      <c r="E437" s="210"/>
      <c r="F437" s="210"/>
      <c r="G437" s="158"/>
      <c r="H437" s="139"/>
      <c r="I437" s="212"/>
      <c r="J437" s="210"/>
      <c r="K437" s="158"/>
      <c r="L437" s="210"/>
      <c r="M437" s="133" t="s">
        <v>451</v>
      </c>
      <c r="W437" s="236"/>
    </row>
    <row r="438" spans="2:23">
      <c r="B438" s="209"/>
      <c r="D438" s="211" t="s">
        <v>452</v>
      </c>
      <c r="E438" s="210"/>
      <c r="F438" s="210"/>
      <c r="G438" s="213"/>
      <c r="H438" s="139"/>
      <c r="I438" s="214" t="s">
        <v>354</v>
      </c>
      <c r="J438" s="210"/>
      <c r="K438" s="213"/>
      <c r="L438" s="210"/>
      <c r="S438" s="237" t="s">
        <v>453</v>
      </c>
      <c r="W438" s="236"/>
    </row>
    <row r="439" spans="2:23">
      <c r="B439" s="209"/>
      <c r="E439" s="210"/>
      <c r="F439" s="210"/>
      <c r="G439" s="210"/>
      <c r="H439" s="210"/>
      <c r="I439" s="210"/>
      <c r="J439" s="210"/>
      <c r="K439" s="210"/>
      <c r="L439" s="210"/>
      <c r="N439" s="133" t="s">
        <v>47</v>
      </c>
      <c r="W439" s="236"/>
    </row>
    <row r="440" spans="2:23">
      <c r="B440" s="209"/>
      <c r="D440" s="215"/>
      <c r="E440" s="143"/>
      <c r="F440" s="215"/>
      <c r="G440" s="216"/>
      <c r="H440" s="217"/>
      <c r="I440" s="215">
        <v>325</v>
      </c>
      <c r="J440" s="215" t="s">
        <v>183</v>
      </c>
      <c r="K440" s="143"/>
      <c r="L440" s="215"/>
      <c r="W440" s="236"/>
    </row>
    <row r="441" spans="2:23">
      <c r="B441" s="209"/>
      <c r="D441" s="215"/>
      <c r="E441" s="143"/>
      <c r="F441" s="215"/>
      <c r="G441" s="143"/>
      <c r="H441" s="217"/>
      <c r="I441" s="143"/>
      <c r="J441" s="215"/>
      <c r="K441" s="143"/>
      <c r="L441" s="215"/>
      <c r="M441" s="143"/>
      <c r="N441" s="216" t="s">
        <v>454</v>
      </c>
      <c r="O441" s="143"/>
      <c r="P441" s="215"/>
      <c r="Q441" s="143"/>
      <c r="R441" s="215"/>
      <c r="S441" s="239" t="s">
        <v>455</v>
      </c>
      <c r="T441" s="215"/>
      <c r="U441" s="143"/>
      <c r="V441" s="215"/>
      <c r="W441" s="236"/>
    </row>
    <row r="442" spans="2:23">
      <c r="B442" s="209"/>
      <c r="C442" s="211" t="s">
        <v>456</v>
      </c>
      <c r="D442" s="215"/>
      <c r="E442" s="143"/>
      <c r="F442" s="218" t="s">
        <v>192</v>
      </c>
      <c r="G442" s="133" t="s">
        <v>192</v>
      </c>
      <c r="H442" s="217"/>
      <c r="I442" s="143"/>
      <c r="J442" s="133" t="s">
        <v>457</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458</v>
      </c>
      <c r="D444" s="215"/>
      <c r="E444" s="143"/>
      <c r="F444" s="143" t="s">
        <v>459</v>
      </c>
      <c r="G444" s="216" t="s">
        <v>76</v>
      </c>
      <c r="H444" s="217"/>
      <c r="I444" s="219"/>
      <c r="J444" s="216" t="s">
        <v>460</v>
      </c>
      <c r="K444" s="143"/>
      <c r="L444" s="215"/>
      <c r="N444" s="216" t="s">
        <v>461</v>
      </c>
      <c r="O444" s="143"/>
      <c r="P444" s="215"/>
      <c r="Q444" s="143"/>
      <c r="R444" s="215"/>
      <c r="S444" s="240" t="s">
        <v>462</v>
      </c>
      <c r="T444" s="215"/>
      <c r="U444" s="143"/>
      <c r="V444" s="215"/>
      <c r="W444" s="236"/>
    </row>
    <row r="445" spans="2:23">
      <c r="B445" s="209"/>
      <c r="D445" s="215"/>
      <c r="E445" s="143"/>
      <c r="F445" s="143"/>
      <c r="G445" s="143"/>
      <c r="H445" s="217"/>
      <c r="I445" s="143"/>
      <c r="J445" s="216" t="s">
        <v>463</v>
      </c>
      <c r="K445" s="143"/>
      <c r="L445" s="215"/>
      <c r="M445" s="143"/>
      <c r="N445" s="215"/>
      <c r="O445" s="143"/>
      <c r="P445" s="215"/>
      <c r="Q445" s="143"/>
      <c r="R445" s="215"/>
      <c r="S445" s="240" t="s">
        <v>464</v>
      </c>
      <c r="T445" s="215"/>
      <c r="U445" s="143"/>
      <c r="V445" s="215"/>
      <c r="W445" s="236"/>
    </row>
    <row r="446" spans="2:23">
      <c r="B446" s="209"/>
      <c r="C446" s="211" t="s">
        <v>465</v>
      </c>
      <c r="D446" s="143"/>
      <c r="E446" s="143"/>
      <c r="F446" s="220" t="s">
        <v>466</v>
      </c>
      <c r="G446" s="216" t="s">
        <v>467</v>
      </c>
      <c r="H446" s="217"/>
      <c r="I446" s="143"/>
      <c r="J446" s="216" t="s">
        <v>468</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469</v>
      </c>
      <c r="D448" s="143"/>
      <c r="E448" s="143"/>
      <c r="F448" s="222"/>
      <c r="G448" s="143" t="s">
        <v>470</v>
      </c>
      <c r="H448" s="217"/>
      <c r="I448" s="143"/>
      <c r="J448" s="215"/>
      <c r="K448" s="143"/>
      <c r="L448" s="215"/>
      <c r="M448" s="231"/>
      <c r="N448" s="232" t="s">
        <v>471</v>
      </c>
      <c r="O448" s="143"/>
      <c r="P448" s="215"/>
      <c r="Q448" s="143"/>
      <c r="R448" s="215"/>
      <c r="S448" s="216" t="s">
        <v>472</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473</v>
      </c>
      <c r="D450" s="143"/>
      <c r="E450" s="210"/>
      <c r="F450" s="143" t="s">
        <v>184</v>
      </c>
      <c r="G450" s="143" t="s">
        <v>474</v>
      </c>
      <c r="H450" s="217"/>
      <c r="I450" s="143"/>
      <c r="J450" s="233" t="s">
        <v>475</v>
      </c>
      <c r="K450" s="143"/>
      <c r="L450" s="215"/>
      <c r="N450" s="216" t="s">
        <v>476</v>
      </c>
      <c r="O450" s="143"/>
      <c r="P450" s="215"/>
      <c r="Q450" s="143"/>
      <c r="R450" s="242"/>
      <c r="S450" s="243" t="s">
        <v>477</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V2"/>
    <mergeCell ref="C3:V3"/>
    <mergeCell ref="J5:L5"/>
    <mergeCell ref="N5:P5"/>
    <mergeCell ref="Q5:S5"/>
    <mergeCell ref="T5:V5"/>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8"/>
  <cols>
    <col min="1" max="1" width="4.21875" style="316" customWidth="1"/>
    <col min="2" max="2" width="7.5546875" style="317" customWidth="1"/>
    <col min="3" max="3" width="4.77734375" style="316" hidden="1" customWidth="1"/>
    <col min="4" max="4" width="12.5546875" style="317" customWidth="1"/>
    <col min="5" max="5" width="26.21875" style="317" customWidth="1"/>
    <col min="6" max="6" width="25.77734375" style="317" customWidth="1"/>
    <col min="7" max="235" width="30.5546875" style="316" customWidth="1"/>
    <col min="236" max="236" width="6.5546875" style="316" customWidth="1"/>
    <col min="237" max="237" width="7.5546875" style="316" customWidth="1"/>
    <col min="238" max="238" width="4.77734375" style="316" customWidth="1"/>
    <col min="239" max="239" width="11.77734375" style="316" customWidth="1"/>
    <col min="240" max="240" width="9.77734375" style="316" customWidth="1"/>
    <col min="241" max="241" width="3" style="316" customWidth="1"/>
    <col min="242" max="242" width="7.21875" style="316" customWidth="1"/>
    <col min="243" max="243" width="22.77734375" style="316" customWidth="1"/>
    <col min="244" max="244" width="7.21875" style="316" customWidth="1"/>
    <col min="245" max="245" width="9" style="316" hidden="1" customWidth="1"/>
    <col min="246" max="246" width="8.77734375" style="316" customWidth="1"/>
    <col min="247" max="247" width="9.77734375" style="316" customWidth="1"/>
    <col min="248" max="248" width="10.5546875" style="316" customWidth="1"/>
    <col min="249" max="249" width="12.21875" style="316" customWidth="1"/>
    <col min="250" max="250" width="11.21875" style="316" customWidth="1"/>
    <col min="251" max="251" width="6.77734375" style="316" customWidth="1"/>
    <col min="252" max="491" width="30.5546875" style="316" customWidth="1"/>
    <col min="492" max="492" width="6.5546875" style="316" customWidth="1"/>
    <col min="493" max="493" width="7.5546875" style="316" customWidth="1"/>
    <col min="494" max="494" width="4.77734375" style="316" customWidth="1"/>
    <col min="495" max="495" width="11.77734375" style="316" customWidth="1"/>
    <col min="496" max="496" width="9.77734375" style="316" customWidth="1"/>
    <col min="497" max="497" width="3" style="316" customWidth="1"/>
    <col min="498" max="498" width="7.21875" style="316" customWidth="1"/>
    <col min="499" max="499" width="22.77734375" style="316" customWidth="1"/>
    <col min="500" max="500" width="7.21875" style="316" customWidth="1"/>
    <col min="501" max="501" width="9" style="316" hidden="1" customWidth="1"/>
    <col min="502" max="502" width="8.77734375" style="316" customWidth="1"/>
    <col min="503" max="503" width="9.77734375" style="316" customWidth="1"/>
    <col min="504" max="504" width="10.5546875" style="316" customWidth="1"/>
    <col min="505" max="505" width="12.21875" style="316" customWidth="1"/>
    <col min="506" max="506" width="11.21875" style="316" customWidth="1"/>
    <col min="507" max="507" width="6.77734375" style="316" customWidth="1"/>
    <col min="508" max="747" width="30.5546875" style="316" customWidth="1"/>
    <col min="748" max="748" width="6.5546875" style="316" customWidth="1"/>
    <col min="749" max="749" width="7.5546875" style="316" customWidth="1"/>
    <col min="750" max="750" width="4.77734375" style="316" customWidth="1"/>
    <col min="751" max="751" width="11.77734375" style="316" customWidth="1"/>
    <col min="752" max="752" width="9.77734375" style="316" customWidth="1"/>
    <col min="753" max="753" width="3" style="316" customWidth="1"/>
    <col min="754" max="754" width="7.21875" style="316" customWidth="1"/>
    <col min="755" max="755" width="22.77734375" style="316" customWidth="1"/>
    <col min="756" max="756" width="7.21875" style="316" customWidth="1"/>
    <col min="757" max="757" width="9" style="316" hidden="1" customWidth="1"/>
    <col min="758" max="758" width="8.77734375" style="316" customWidth="1"/>
    <col min="759" max="759" width="9.77734375" style="316" customWidth="1"/>
    <col min="760" max="760" width="10.5546875" style="316" customWidth="1"/>
    <col min="761" max="761" width="12.21875" style="316" customWidth="1"/>
    <col min="762" max="762" width="11.21875" style="316" customWidth="1"/>
    <col min="763" max="763" width="6.77734375" style="316" customWidth="1"/>
    <col min="764" max="1003" width="30.5546875" style="316" customWidth="1"/>
    <col min="1004" max="1004" width="6.5546875" style="316" customWidth="1"/>
    <col min="1005" max="1005" width="7.5546875" style="316" customWidth="1"/>
    <col min="1006" max="1006" width="4.77734375" style="316" customWidth="1"/>
    <col min="1007" max="1007" width="11.77734375" style="316" customWidth="1"/>
    <col min="1008" max="1008" width="9.77734375" style="316" customWidth="1"/>
    <col min="1009" max="1009" width="3" style="316" customWidth="1"/>
    <col min="1010" max="1010" width="7.21875" style="316" customWidth="1"/>
    <col min="1011" max="1011" width="22.77734375" style="316" customWidth="1"/>
    <col min="1012" max="1012" width="7.21875" style="316" customWidth="1"/>
    <col min="1013" max="1013" width="9" style="316" hidden="1" customWidth="1"/>
    <col min="1014" max="1014" width="8.77734375" style="316" customWidth="1"/>
    <col min="1015" max="1015" width="9.77734375" style="316" customWidth="1"/>
    <col min="1016" max="1016" width="10.5546875" style="316" customWidth="1"/>
    <col min="1017" max="1017" width="12.21875" style="316" customWidth="1"/>
    <col min="1018" max="1018" width="11.21875" style="316" customWidth="1"/>
    <col min="1019" max="1019" width="6.77734375" style="316" customWidth="1"/>
    <col min="1020" max="1259" width="30.5546875" style="316" customWidth="1"/>
    <col min="1260" max="1260" width="6.5546875" style="316" customWidth="1"/>
    <col min="1261" max="1261" width="7.5546875" style="316" customWidth="1"/>
    <col min="1262" max="1262" width="4.77734375" style="316" customWidth="1"/>
    <col min="1263" max="1263" width="11.77734375" style="316" customWidth="1"/>
    <col min="1264" max="1264" width="9.77734375" style="316" customWidth="1"/>
    <col min="1265" max="1265" width="3" style="316" customWidth="1"/>
    <col min="1266" max="1266" width="7.21875" style="316" customWidth="1"/>
    <col min="1267" max="1267" width="22.77734375" style="316" customWidth="1"/>
    <col min="1268" max="1268" width="7.21875" style="316" customWidth="1"/>
    <col min="1269" max="1269" width="9" style="316" hidden="1" customWidth="1"/>
    <col min="1270" max="1270" width="8.77734375" style="316" customWidth="1"/>
    <col min="1271" max="1271" width="9.77734375" style="316" customWidth="1"/>
    <col min="1272" max="1272" width="10.5546875" style="316" customWidth="1"/>
    <col min="1273" max="1273" width="12.21875" style="316" customWidth="1"/>
    <col min="1274" max="1274" width="11.21875" style="316" customWidth="1"/>
    <col min="1275" max="1275" width="6.77734375" style="316" customWidth="1"/>
    <col min="1276" max="1515" width="30.5546875" style="316" customWidth="1"/>
    <col min="1516" max="1516" width="6.5546875" style="316" customWidth="1"/>
    <col min="1517" max="1517" width="7.5546875" style="316" customWidth="1"/>
    <col min="1518" max="1518" width="4.77734375" style="316" customWidth="1"/>
    <col min="1519" max="1519" width="11.77734375" style="316" customWidth="1"/>
    <col min="1520" max="1520" width="9.77734375" style="316" customWidth="1"/>
    <col min="1521" max="1521" width="3" style="316" customWidth="1"/>
    <col min="1522" max="1522" width="7.21875" style="316" customWidth="1"/>
    <col min="1523" max="1523" width="22.77734375" style="316" customWidth="1"/>
    <col min="1524" max="1524" width="7.21875" style="316" customWidth="1"/>
    <col min="1525" max="1525" width="9" style="316" hidden="1" customWidth="1"/>
    <col min="1526" max="1526" width="8.77734375" style="316" customWidth="1"/>
    <col min="1527" max="1527" width="9.77734375" style="316" customWidth="1"/>
    <col min="1528" max="1528" width="10.5546875" style="316" customWidth="1"/>
    <col min="1529" max="1529" width="12.21875" style="316" customWidth="1"/>
    <col min="1530" max="1530" width="11.21875" style="316" customWidth="1"/>
    <col min="1531" max="1531" width="6.77734375" style="316" customWidth="1"/>
    <col min="1532" max="1771" width="30.5546875" style="316" customWidth="1"/>
    <col min="1772" max="1772" width="6.5546875" style="316" customWidth="1"/>
    <col min="1773" max="1773" width="7.5546875" style="316" customWidth="1"/>
    <col min="1774" max="1774" width="4.77734375" style="316" customWidth="1"/>
    <col min="1775" max="1775" width="11.77734375" style="316" customWidth="1"/>
    <col min="1776" max="1776" width="9.77734375" style="316" customWidth="1"/>
    <col min="1777" max="1777" width="3" style="316" customWidth="1"/>
    <col min="1778" max="1778" width="7.21875" style="316" customWidth="1"/>
    <col min="1779" max="1779" width="22.77734375" style="316" customWidth="1"/>
    <col min="1780" max="1780" width="7.21875" style="316" customWidth="1"/>
    <col min="1781" max="1781" width="9" style="316" hidden="1" customWidth="1"/>
    <col min="1782" max="1782" width="8.77734375" style="316" customWidth="1"/>
    <col min="1783" max="1783" width="9.77734375" style="316" customWidth="1"/>
    <col min="1784" max="1784" width="10.5546875" style="316" customWidth="1"/>
    <col min="1785" max="1785" width="12.21875" style="316" customWidth="1"/>
    <col min="1786" max="1786" width="11.21875" style="316" customWidth="1"/>
    <col min="1787" max="1787" width="6.77734375" style="316" customWidth="1"/>
    <col min="1788" max="2027" width="30.5546875" style="316" customWidth="1"/>
    <col min="2028" max="2028" width="6.5546875" style="316" customWidth="1"/>
    <col min="2029" max="2029" width="7.5546875" style="316" customWidth="1"/>
    <col min="2030" max="2030" width="4.77734375" style="316" customWidth="1"/>
    <col min="2031" max="2031" width="11.77734375" style="316" customWidth="1"/>
    <col min="2032" max="2032" width="9.77734375" style="316" customWidth="1"/>
    <col min="2033" max="2033" width="3" style="316" customWidth="1"/>
    <col min="2034" max="2034" width="7.21875" style="316" customWidth="1"/>
    <col min="2035" max="2035" width="22.77734375" style="316" customWidth="1"/>
    <col min="2036" max="2036" width="7.21875" style="316" customWidth="1"/>
    <col min="2037" max="2037" width="9" style="316" hidden="1" customWidth="1"/>
    <col min="2038" max="2038" width="8.77734375" style="316" customWidth="1"/>
    <col min="2039" max="2039" width="9.77734375" style="316" customWidth="1"/>
    <col min="2040" max="2040" width="10.5546875" style="316" customWidth="1"/>
    <col min="2041" max="2041" width="12.21875" style="316" customWidth="1"/>
    <col min="2042" max="2042" width="11.21875" style="316" customWidth="1"/>
    <col min="2043" max="2043" width="6.77734375" style="316" customWidth="1"/>
    <col min="2044" max="2283" width="30.5546875" style="316" customWidth="1"/>
    <col min="2284" max="2284" width="6.5546875" style="316" customWidth="1"/>
    <col min="2285" max="2285" width="7.5546875" style="316" customWidth="1"/>
    <col min="2286" max="2286" width="4.77734375" style="316" customWidth="1"/>
    <col min="2287" max="2287" width="11.77734375" style="316" customWidth="1"/>
    <col min="2288" max="2288" width="9.77734375" style="316" customWidth="1"/>
    <col min="2289" max="2289" width="3" style="316" customWidth="1"/>
    <col min="2290" max="2290" width="7.21875" style="316" customWidth="1"/>
    <col min="2291" max="2291" width="22.77734375" style="316" customWidth="1"/>
    <col min="2292" max="2292" width="7.21875" style="316" customWidth="1"/>
    <col min="2293" max="2293" width="9" style="316" hidden="1" customWidth="1"/>
    <col min="2294" max="2294" width="8.77734375" style="316" customWidth="1"/>
    <col min="2295" max="2295" width="9.77734375" style="316" customWidth="1"/>
    <col min="2296" max="2296" width="10.5546875" style="316" customWidth="1"/>
    <col min="2297" max="2297" width="12.21875" style="316" customWidth="1"/>
    <col min="2298" max="2298" width="11.21875" style="316" customWidth="1"/>
    <col min="2299" max="2299" width="6.77734375" style="316" customWidth="1"/>
    <col min="2300" max="2539" width="30.5546875" style="316" customWidth="1"/>
    <col min="2540" max="2540" width="6.5546875" style="316" customWidth="1"/>
    <col min="2541" max="2541" width="7.5546875" style="316" customWidth="1"/>
    <col min="2542" max="2542" width="4.77734375" style="316" customWidth="1"/>
    <col min="2543" max="2543" width="11.77734375" style="316" customWidth="1"/>
    <col min="2544" max="2544" width="9.77734375" style="316" customWidth="1"/>
    <col min="2545" max="2545" width="3" style="316" customWidth="1"/>
    <col min="2546" max="2546" width="7.21875" style="316" customWidth="1"/>
    <col min="2547" max="2547" width="22.77734375" style="316" customWidth="1"/>
    <col min="2548" max="2548" width="7.21875" style="316" customWidth="1"/>
    <col min="2549" max="2549" width="9" style="316" hidden="1" customWidth="1"/>
    <col min="2550" max="2550" width="8.77734375" style="316" customWidth="1"/>
    <col min="2551" max="2551" width="9.77734375" style="316" customWidth="1"/>
    <col min="2552" max="2552" width="10.5546875" style="316" customWidth="1"/>
    <col min="2553" max="2553" width="12.21875" style="316" customWidth="1"/>
    <col min="2554" max="2554" width="11.21875" style="316" customWidth="1"/>
    <col min="2555" max="2555" width="6.77734375" style="316" customWidth="1"/>
    <col min="2556" max="2795" width="30.5546875" style="316" customWidth="1"/>
    <col min="2796" max="2796" width="6.5546875" style="316" customWidth="1"/>
    <col min="2797" max="2797" width="7.5546875" style="316" customWidth="1"/>
    <col min="2798" max="2798" width="4.77734375" style="316" customWidth="1"/>
    <col min="2799" max="2799" width="11.77734375" style="316" customWidth="1"/>
    <col min="2800" max="2800" width="9.77734375" style="316" customWidth="1"/>
    <col min="2801" max="2801" width="3" style="316" customWidth="1"/>
    <col min="2802" max="2802" width="7.21875" style="316" customWidth="1"/>
    <col min="2803" max="2803" width="22.77734375" style="316" customWidth="1"/>
    <col min="2804" max="2804" width="7.21875" style="316" customWidth="1"/>
    <col min="2805" max="2805" width="9" style="316" hidden="1" customWidth="1"/>
    <col min="2806" max="2806" width="8.77734375" style="316" customWidth="1"/>
    <col min="2807" max="2807" width="9.77734375" style="316" customWidth="1"/>
    <col min="2808" max="2808" width="10.5546875" style="316" customWidth="1"/>
    <col min="2809" max="2809" width="12.21875" style="316" customWidth="1"/>
    <col min="2810" max="2810" width="11.21875" style="316" customWidth="1"/>
    <col min="2811" max="2811" width="6.77734375" style="316" customWidth="1"/>
    <col min="2812" max="3051" width="30.5546875" style="316" customWidth="1"/>
    <col min="3052" max="3052" width="6.5546875" style="316" customWidth="1"/>
    <col min="3053" max="3053" width="7.5546875" style="316" customWidth="1"/>
    <col min="3054" max="3054" width="4.77734375" style="316" customWidth="1"/>
    <col min="3055" max="3055" width="11.77734375" style="316" customWidth="1"/>
    <col min="3056" max="3056" width="9.77734375" style="316" customWidth="1"/>
    <col min="3057" max="3057" width="3" style="316" customWidth="1"/>
    <col min="3058" max="3058" width="7.21875" style="316" customWidth="1"/>
    <col min="3059" max="3059" width="22.77734375" style="316" customWidth="1"/>
    <col min="3060" max="3060" width="7.21875" style="316" customWidth="1"/>
    <col min="3061" max="3061" width="9" style="316" hidden="1" customWidth="1"/>
    <col min="3062" max="3062" width="8.77734375" style="316" customWidth="1"/>
    <col min="3063" max="3063" width="9.77734375" style="316" customWidth="1"/>
    <col min="3064" max="3064" width="10.5546875" style="316" customWidth="1"/>
    <col min="3065" max="3065" width="12.21875" style="316" customWidth="1"/>
    <col min="3066" max="3066" width="11.21875" style="316" customWidth="1"/>
    <col min="3067" max="3067" width="6.77734375" style="316" customWidth="1"/>
    <col min="3068" max="3307" width="30.5546875" style="316" customWidth="1"/>
    <col min="3308" max="3308" width="6.5546875" style="316" customWidth="1"/>
    <col min="3309" max="3309" width="7.5546875" style="316" customWidth="1"/>
    <col min="3310" max="3310" width="4.77734375" style="316" customWidth="1"/>
    <col min="3311" max="3311" width="11.77734375" style="316" customWidth="1"/>
    <col min="3312" max="3312" width="9.77734375" style="316" customWidth="1"/>
    <col min="3313" max="3313" width="3" style="316" customWidth="1"/>
    <col min="3314" max="3314" width="7.21875" style="316" customWidth="1"/>
    <col min="3315" max="3315" width="22.77734375" style="316" customWidth="1"/>
    <col min="3316" max="3316" width="7.21875" style="316" customWidth="1"/>
    <col min="3317" max="3317" width="9" style="316" hidden="1" customWidth="1"/>
    <col min="3318" max="3318" width="8.77734375" style="316" customWidth="1"/>
    <col min="3319" max="3319" width="9.77734375" style="316" customWidth="1"/>
    <col min="3320" max="3320" width="10.5546875" style="316" customWidth="1"/>
    <col min="3321" max="3321" width="12.21875" style="316" customWidth="1"/>
    <col min="3322" max="3322" width="11.21875" style="316" customWidth="1"/>
    <col min="3323" max="3323" width="6.77734375" style="316" customWidth="1"/>
    <col min="3324" max="3563" width="30.5546875" style="316" customWidth="1"/>
    <col min="3564" max="3564" width="6.5546875" style="316" customWidth="1"/>
    <col min="3565" max="3565" width="7.5546875" style="316" customWidth="1"/>
    <col min="3566" max="3566" width="4.77734375" style="316" customWidth="1"/>
    <col min="3567" max="3567" width="11.77734375" style="316" customWidth="1"/>
    <col min="3568" max="3568" width="9.77734375" style="316" customWidth="1"/>
    <col min="3569" max="3569" width="3" style="316" customWidth="1"/>
    <col min="3570" max="3570" width="7.21875" style="316" customWidth="1"/>
    <col min="3571" max="3571" width="22.77734375" style="316" customWidth="1"/>
    <col min="3572" max="3572" width="7.21875" style="316" customWidth="1"/>
    <col min="3573" max="3573" width="9" style="316" hidden="1" customWidth="1"/>
    <col min="3574" max="3574" width="8.77734375" style="316" customWidth="1"/>
    <col min="3575" max="3575" width="9.77734375" style="316" customWidth="1"/>
    <col min="3576" max="3576" width="10.5546875" style="316" customWidth="1"/>
    <col min="3577" max="3577" width="12.21875" style="316" customWidth="1"/>
    <col min="3578" max="3578" width="11.21875" style="316" customWidth="1"/>
    <col min="3579" max="3579" width="6.77734375" style="316" customWidth="1"/>
    <col min="3580" max="3819" width="30.5546875" style="316" customWidth="1"/>
    <col min="3820" max="3820" width="6.5546875" style="316" customWidth="1"/>
    <col min="3821" max="3821" width="7.5546875" style="316" customWidth="1"/>
    <col min="3822" max="3822" width="4.77734375" style="316" customWidth="1"/>
    <col min="3823" max="3823" width="11.77734375" style="316" customWidth="1"/>
    <col min="3824" max="3824" width="9.77734375" style="316" customWidth="1"/>
    <col min="3825" max="3825" width="3" style="316" customWidth="1"/>
    <col min="3826" max="3826" width="7.21875" style="316" customWidth="1"/>
    <col min="3827" max="3827" width="22.77734375" style="316" customWidth="1"/>
    <col min="3828" max="3828" width="7.21875" style="316" customWidth="1"/>
    <col min="3829" max="3829" width="9" style="316" hidden="1" customWidth="1"/>
    <col min="3830" max="3830" width="8.77734375" style="316" customWidth="1"/>
    <col min="3831" max="3831" width="9.77734375" style="316" customWidth="1"/>
    <col min="3832" max="3832" width="10.5546875" style="316" customWidth="1"/>
    <col min="3833" max="3833" width="12.21875" style="316" customWidth="1"/>
    <col min="3834" max="3834" width="11.21875" style="316" customWidth="1"/>
    <col min="3835" max="3835" width="6.77734375" style="316" customWidth="1"/>
    <col min="3836" max="4075" width="30.5546875" style="316" customWidth="1"/>
    <col min="4076" max="4076" width="6.5546875" style="316" customWidth="1"/>
    <col min="4077" max="4077" width="7.5546875" style="316" customWidth="1"/>
    <col min="4078" max="4078" width="4.77734375" style="316" customWidth="1"/>
    <col min="4079" max="4079" width="11.77734375" style="316" customWidth="1"/>
    <col min="4080" max="4080" width="9.77734375" style="316" customWidth="1"/>
    <col min="4081" max="4081" width="3" style="316" customWidth="1"/>
    <col min="4082" max="4082" width="7.21875" style="316" customWidth="1"/>
    <col min="4083" max="4083" width="22.77734375" style="316" customWidth="1"/>
    <col min="4084" max="4084" width="7.21875" style="316" customWidth="1"/>
    <col min="4085" max="4085" width="9" style="316" hidden="1" customWidth="1"/>
    <col min="4086" max="4086" width="8.77734375" style="316" customWidth="1"/>
    <col min="4087" max="4087" width="9.77734375" style="316" customWidth="1"/>
    <col min="4088" max="4088" width="10.5546875" style="316" customWidth="1"/>
    <col min="4089" max="4089" width="12.21875" style="316" customWidth="1"/>
    <col min="4090" max="4090" width="11.21875" style="316" customWidth="1"/>
    <col min="4091" max="4091" width="6.77734375" style="316" customWidth="1"/>
    <col min="4092" max="4331" width="30.5546875" style="316" customWidth="1"/>
    <col min="4332" max="4332" width="6.5546875" style="316" customWidth="1"/>
    <col min="4333" max="4333" width="7.5546875" style="316" customWidth="1"/>
    <col min="4334" max="4334" width="4.77734375" style="316" customWidth="1"/>
    <col min="4335" max="4335" width="11.77734375" style="316" customWidth="1"/>
    <col min="4336" max="4336" width="9.77734375" style="316" customWidth="1"/>
    <col min="4337" max="4337" width="3" style="316" customWidth="1"/>
    <col min="4338" max="4338" width="7.21875" style="316" customWidth="1"/>
    <col min="4339" max="4339" width="22.77734375" style="316" customWidth="1"/>
    <col min="4340" max="4340" width="7.21875" style="316" customWidth="1"/>
    <col min="4341" max="4341" width="9" style="316" hidden="1" customWidth="1"/>
    <col min="4342" max="4342" width="8.77734375" style="316" customWidth="1"/>
    <col min="4343" max="4343" width="9.77734375" style="316" customWidth="1"/>
    <col min="4344" max="4344" width="10.5546875" style="316" customWidth="1"/>
    <col min="4345" max="4345" width="12.21875" style="316" customWidth="1"/>
    <col min="4346" max="4346" width="11.21875" style="316" customWidth="1"/>
    <col min="4347" max="4347" width="6.77734375" style="316" customWidth="1"/>
    <col min="4348" max="4587" width="30.5546875" style="316" customWidth="1"/>
    <col min="4588" max="4588" width="6.5546875" style="316" customWidth="1"/>
    <col min="4589" max="4589" width="7.5546875" style="316" customWidth="1"/>
    <col min="4590" max="4590" width="4.77734375" style="316" customWidth="1"/>
    <col min="4591" max="4591" width="11.77734375" style="316" customWidth="1"/>
    <col min="4592" max="4592" width="9.77734375" style="316" customWidth="1"/>
    <col min="4593" max="4593" width="3" style="316" customWidth="1"/>
    <col min="4594" max="4594" width="7.21875" style="316" customWidth="1"/>
    <col min="4595" max="4595" width="22.77734375" style="316" customWidth="1"/>
    <col min="4596" max="4596" width="7.21875" style="316" customWidth="1"/>
    <col min="4597" max="4597" width="9" style="316" hidden="1" customWidth="1"/>
    <col min="4598" max="4598" width="8.77734375" style="316" customWidth="1"/>
    <col min="4599" max="4599" width="9.77734375" style="316" customWidth="1"/>
    <col min="4600" max="4600" width="10.5546875" style="316" customWidth="1"/>
    <col min="4601" max="4601" width="12.21875" style="316" customWidth="1"/>
    <col min="4602" max="4602" width="11.21875" style="316" customWidth="1"/>
    <col min="4603" max="4603" width="6.77734375" style="316" customWidth="1"/>
    <col min="4604" max="4843" width="30.5546875" style="316" customWidth="1"/>
    <col min="4844" max="4844" width="6.5546875" style="316" customWidth="1"/>
    <col min="4845" max="4845" width="7.5546875" style="316" customWidth="1"/>
    <col min="4846" max="4846" width="4.77734375" style="316" customWidth="1"/>
    <col min="4847" max="4847" width="11.77734375" style="316" customWidth="1"/>
    <col min="4848" max="4848" width="9.77734375" style="316" customWidth="1"/>
    <col min="4849" max="4849" width="3" style="316" customWidth="1"/>
    <col min="4850" max="4850" width="7.21875" style="316" customWidth="1"/>
    <col min="4851" max="4851" width="22.77734375" style="316" customWidth="1"/>
    <col min="4852" max="4852" width="7.21875" style="316" customWidth="1"/>
    <col min="4853" max="4853" width="9" style="316" hidden="1" customWidth="1"/>
    <col min="4854" max="4854" width="8.77734375" style="316" customWidth="1"/>
    <col min="4855" max="4855" width="9.77734375" style="316" customWidth="1"/>
    <col min="4856" max="4856" width="10.5546875" style="316" customWidth="1"/>
    <col min="4857" max="4857" width="12.21875" style="316" customWidth="1"/>
    <col min="4858" max="4858" width="11.21875" style="316" customWidth="1"/>
    <col min="4859" max="4859" width="6.77734375" style="316" customWidth="1"/>
    <col min="4860" max="5099" width="30.5546875" style="316" customWidth="1"/>
    <col min="5100" max="5100" width="6.5546875" style="316" customWidth="1"/>
    <col min="5101" max="5101" width="7.5546875" style="316" customWidth="1"/>
    <col min="5102" max="5102" width="4.77734375" style="316" customWidth="1"/>
    <col min="5103" max="5103" width="11.77734375" style="316" customWidth="1"/>
    <col min="5104" max="5104" width="9.77734375" style="316" customWidth="1"/>
    <col min="5105" max="5105" width="3" style="316" customWidth="1"/>
    <col min="5106" max="5106" width="7.21875" style="316" customWidth="1"/>
    <col min="5107" max="5107" width="22.77734375" style="316" customWidth="1"/>
    <col min="5108" max="5108" width="7.21875" style="316" customWidth="1"/>
    <col min="5109" max="5109" width="9" style="316" hidden="1" customWidth="1"/>
    <col min="5110" max="5110" width="8.77734375" style="316" customWidth="1"/>
    <col min="5111" max="5111" width="9.77734375" style="316" customWidth="1"/>
    <col min="5112" max="5112" width="10.5546875" style="316" customWidth="1"/>
    <col min="5113" max="5113" width="12.21875" style="316" customWidth="1"/>
    <col min="5114" max="5114" width="11.21875" style="316" customWidth="1"/>
    <col min="5115" max="5115" width="6.77734375" style="316" customWidth="1"/>
    <col min="5116" max="5355" width="30.5546875" style="316" customWidth="1"/>
    <col min="5356" max="5356" width="6.5546875" style="316" customWidth="1"/>
    <col min="5357" max="5357" width="7.5546875" style="316" customWidth="1"/>
    <col min="5358" max="5358" width="4.77734375" style="316" customWidth="1"/>
    <col min="5359" max="5359" width="11.77734375" style="316" customWidth="1"/>
    <col min="5360" max="5360" width="9.77734375" style="316" customWidth="1"/>
    <col min="5361" max="5361" width="3" style="316" customWidth="1"/>
    <col min="5362" max="5362" width="7.21875" style="316" customWidth="1"/>
    <col min="5363" max="5363" width="22.77734375" style="316" customWidth="1"/>
    <col min="5364" max="5364" width="7.21875" style="316" customWidth="1"/>
    <col min="5365" max="5365" width="9" style="316" hidden="1" customWidth="1"/>
    <col min="5366" max="5366" width="8.77734375" style="316" customWidth="1"/>
    <col min="5367" max="5367" width="9.77734375" style="316" customWidth="1"/>
    <col min="5368" max="5368" width="10.5546875" style="316" customWidth="1"/>
    <col min="5369" max="5369" width="12.21875" style="316" customWidth="1"/>
    <col min="5370" max="5370" width="11.21875" style="316" customWidth="1"/>
    <col min="5371" max="5371" width="6.77734375" style="316" customWidth="1"/>
    <col min="5372" max="5611" width="30.5546875" style="316" customWidth="1"/>
    <col min="5612" max="5612" width="6.5546875" style="316" customWidth="1"/>
    <col min="5613" max="5613" width="7.5546875" style="316" customWidth="1"/>
    <col min="5614" max="5614" width="4.77734375" style="316" customWidth="1"/>
    <col min="5615" max="5615" width="11.77734375" style="316" customWidth="1"/>
    <col min="5616" max="5616" width="9.77734375" style="316" customWidth="1"/>
    <col min="5617" max="5617" width="3" style="316" customWidth="1"/>
    <col min="5618" max="5618" width="7.21875" style="316" customWidth="1"/>
    <col min="5619" max="5619" width="22.77734375" style="316" customWidth="1"/>
    <col min="5620" max="5620" width="7.21875" style="316" customWidth="1"/>
    <col min="5621" max="5621" width="9" style="316" hidden="1" customWidth="1"/>
    <col min="5622" max="5622" width="8.77734375" style="316" customWidth="1"/>
    <col min="5623" max="5623" width="9.77734375" style="316" customWidth="1"/>
    <col min="5624" max="5624" width="10.5546875" style="316" customWidth="1"/>
    <col min="5625" max="5625" width="12.21875" style="316" customWidth="1"/>
    <col min="5626" max="5626" width="11.21875" style="316" customWidth="1"/>
    <col min="5627" max="5627" width="6.77734375" style="316" customWidth="1"/>
    <col min="5628" max="5867" width="30.5546875" style="316" customWidth="1"/>
    <col min="5868" max="5868" width="6.5546875" style="316" customWidth="1"/>
    <col min="5869" max="5869" width="7.5546875" style="316" customWidth="1"/>
    <col min="5870" max="5870" width="4.77734375" style="316" customWidth="1"/>
    <col min="5871" max="5871" width="11.77734375" style="316" customWidth="1"/>
    <col min="5872" max="5872" width="9.77734375" style="316" customWidth="1"/>
    <col min="5873" max="5873" width="3" style="316" customWidth="1"/>
    <col min="5874" max="5874" width="7.21875" style="316" customWidth="1"/>
    <col min="5875" max="5875" width="22.77734375" style="316" customWidth="1"/>
    <col min="5876" max="5876" width="7.21875" style="316" customWidth="1"/>
    <col min="5877" max="5877" width="9" style="316" hidden="1" customWidth="1"/>
    <col min="5878" max="5878" width="8.77734375" style="316" customWidth="1"/>
    <col min="5879" max="5879" width="9.77734375" style="316" customWidth="1"/>
    <col min="5880" max="5880" width="10.5546875" style="316" customWidth="1"/>
    <col min="5881" max="5881" width="12.21875" style="316" customWidth="1"/>
    <col min="5882" max="5882" width="11.21875" style="316" customWidth="1"/>
    <col min="5883" max="5883" width="6.77734375" style="316" customWidth="1"/>
    <col min="5884" max="6123" width="30.5546875" style="316" customWidth="1"/>
    <col min="6124" max="6124" width="6.5546875" style="316" customWidth="1"/>
    <col min="6125" max="6125" width="7.5546875" style="316" customWidth="1"/>
    <col min="6126" max="6126" width="4.77734375" style="316" customWidth="1"/>
    <col min="6127" max="6127" width="11.77734375" style="316" customWidth="1"/>
    <col min="6128" max="6128" width="9.77734375" style="316" customWidth="1"/>
    <col min="6129" max="6129" width="3" style="316" customWidth="1"/>
    <col min="6130" max="6130" width="7.21875" style="316" customWidth="1"/>
    <col min="6131" max="6131" width="22.77734375" style="316" customWidth="1"/>
    <col min="6132" max="6132" width="7.21875" style="316" customWidth="1"/>
    <col min="6133" max="6133" width="9" style="316" hidden="1" customWidth="1"/>
    <col min="6134" max="6134" width="8.77734375" style="316" customWidth="1"/>
    <col min="6135" max="6135" width="9.77734375" style="316" customWidth="1"/>
    <col min="6136" max="6136" width="10.5546875" style="316" customWidth="1"/>
    <col min="6137" max="6137" width="12.21875" style="316" customWidth="1"/>
    <col min="6138" max="6138" width="11.21875" style="316" customWidth="1"/>
    <col min="6139" max="6139" width="6.77734375" style="316" customWidth="1"/>
    <col min="6140" max="6379" width="30.5546875" style="316" customWidth="1"/>
    <col min="6380" max="6380" width="6.5546875" style="316" customWidth="1"/>
    <col min="6381" max="6381" width="7.5546875" style="316" customWidth="1"/>
    <col min="6382" max="6382" width="4.77734375" style="316" customWidth="1"/>
    <col min="6383" max="6383" width="11.77734375" style="316" customWidth="1"/>
    <col min="6384" max="6384" width="9.77734375" style="316" customWidth="1"/>
    <col min="6385" max="6385" width="3" style="316" customWidth="1"/>
    <col min="6386" max="6386" width="7.21875" style="316" customWidth="1"/>
    <col min="6387" max="6387" width="22.77734375" style="316" customWidth="1"/>
    <col min="6388" max="6388" width="7.21875" style="316" customWidth="1"/>
    <col min="6389" max="6389" width="9" style="316" hidden="1" customWidth="1"/>
    <col min="6390" max="6390" width="8.77734375" style="316" customWidth="1"/>
    <col min="6391" max="6391" width="9.77734375" style="316" customWidth="1"/>
    <col min="6392" max="6392" width="10.5546875" style="316" customWidth="1"/>
    <col min="6393" max="6393" width="12.21875" style="316" customWidth="1"/>
    <col min="6394" max="6394" width="11.21875" style="316" customWidth="1"/>
    <col min="6395" max="6395" width="6.77734375" style="316" customWidth="1"/>
    <col min="6396" max="6635" width="30.5546875" style="316" customWidth="1"/>
    <col min="6636" max="6636" width="6.5546875" style="316" customWidth="1"/>
    <col min="6637" max="6637" width="7.5546875" style="316" customWidth="1"/>
    <col min="6638" max="6638" width="4.77734375" style="316" customWidth="1"/>
    <col min="6639" max="6639" width="11.77734375" style="316" customWidth="1"/>
    <col min="6640" max="6640" width="9.77734375" style="316" customWidth="1"/>
    <col min="6641" max="6641" width="3" style="316" customWidth="1"/>
    <col min="6642" max="6642" width="7.21875" style="316" customWidth="1"/>
    <col min="6643" max="6643" width="22.77734375" style="316" customWidth="1"/>
    <col min="6644" max="6644" width="7.21875" style="316" customWidth="1"/>
    <col min="6645" max="6645" width="9" style="316" hidden="1" customWidth="1"/>
    <col min="6646" max="6646" width="8.77734375" style="316" customWidth="1"/>
    <col min="6647" max="6647" width="9.77734375" style="316" customWidth="1"/>
    <col min="6648" max="6648" width="10.5546875" style="316" customWidth="1"/>
    <col min="6649" max="6649" width="12.21875" style="316" customWidth="1"/>
    <col min="6650" max="6650" width="11.21875" style="316" customWidth="1"/>
    <col min="6651" max="6651" width="6.77734375" style="316" customWidth="1"/>
    <col min="6652" max="6891" width="30.5546875" style="316" customWidth="1"/>
    <col min="6892" max="6892" width="6.5546875" style="316" customWidth="1"/>
    <col min="6893" max="6893" width="7.5546875" style="316" customWidth="1"/>
    <col min="6894" max="6894" width="4.77734375" style="316" customWidth="1"/>
    <col min="6895" max="6895" width="11.77734375" style="316" customWidth="1"/>
    <col min="6896" max="6896" width="9.77734375" style="316" customWidth="1"/>
    <col min="6897" max="6897" width="3" style="316" customWidth="1"/>
    <col min="6898" max="6898" width="7.21875" style="316" customWidth="1"/>
    <col min="6899" max="6899" width="22.77734375" style="316" customWidth="1"/>
    <col min="6900" max="6900" width="7.21875" style="316" customWidth="1"/>
    <col min="6901" max="6901" width="9" style="316" hidden="1" customWidth="1"/>
    <col min="6902" max="6902" width="8.77734375" style="316" customWidth="1"/>
    <col min="6903" max="6903" width="9.77734375" style="316" customWidth="1"/>
    <col min="6904" max="6904" width="10.5546875" style="316" customWidth="1"/>
    <col min="6905" max="6905" width="12.21875" style="316" customWidth="1"/>
    <col min="6906" max="6906" width="11.21875" style="316" customWidth="1"/>
    <col min="6907" max="6907" width="6.77734375" style="316" customWidth="1"/>
    <col min="6908" max="7147" width="30.5546875" style="316" customWidth="1"/>
    <col min="7148" max="7148" width="6.5546875" style="316" customWidth="1"/>
    <col min="7149" max="7149" width="7.5546875" style="316" customWidth="1"/>
    <col min="7150" max="7150" width="4.77734375" style="316" customWidth="1"/>
    <col min="7151" max="7151" width="11.77734375" style="316" customWidth="1"/>
    <col min="7152" max="7152" width="9.77734375" style="316" customWidth="1"/>
    <col min="7153" max="7153" width="3" style="316" customWidth="1"/>
    <col min="7154" max="7154" width="7.21875" style="316" customWidth="1"/>
    <col min="7155" max="7155" width="22.77734375" style="316" customWidth="1"/>
    <col min="7156" max="7156" width="7.21875" style="316" customWidth="1"/>
    <col min="7157" max="7157" width="9" style="316" hidden="1" customWidth="1"/>
    <col min="7158" max="7158" width="8.77734375" style="316" customWidth="1"/>
    <col min="7159" max="7159" width="9.77734375" style="316" customWidth="1"/>
    <col min="7160" max="7160" width="10.5546875" style="316" customWidth="1"/>
    <col min="7161" max="7161" width="12.21875" style="316" customWidth="1"/>
    <col min="7162" max="7162" width="11.21875" style="316" customWidth="1"/>
    <col min="7163" max="7163" width="6.77734375" style="316" customWidth="1"/>
    <col min="7164" max="7403" width="30.5546875" style="316" customWidth="1"/>
    <col min="7404" max="7404" width="6.5546875" style="316" customWidth="1"/>
    <col min="7405" max="7405" width="7.5546875" style="316" customWidth="1"/>
    <col min="7406" max="7406" width="4.77734375" style="316" customWidth="1"/>
    <col min="7407" max="7407" width="11.77734375" style="316" customWidth="1"/>
    <col min="7408" max="7408" width="9.77734375" style="316" customWidth="1"/>
    <col min="7409" max="7409" width="3" style="316" customWidth="1"/>
    <col min="7410" max="7410" width="7.21875" style="316" customWidth="1"/>
    <col min="7411" max="7411" width="22.77734375" style="316" customWidth="1"/>
    <col min="7412" max="7412" width="7.21875" style="316" customWidth="1"/>
    <col min="7413" max="7413" width="9" style="316" hidden="1" customWidth="1"/>
    <col min="7414" max="7414" width="8.77734375" style="316" customWidth="1"/>
    <col min="7415" max="7415" width="9.77734375" style="316" customWidth="1"/>
    <col min="7416" max="7416" width="10.5546875" style="316" customWidth="1"/>
    <col min="7417" max="7417" width="12.21875" style="316" customWidth="1"/>
    <col min="7418" max="7418" width="11.21875" style="316" customWidth="1"/>
    <col min="7419" max="7419" width="6.77734375" style="316" customWidth="1"/>
    <col min="7420" max="7659" width="30.5546875" style="316" customWidth="1"/>
    <col min="7660" max="7660" width="6.5546875" style="316" customWidth="1"/>
    <col min="7661" max="7661" width="7.5546875" style="316" customWidth="1"/>
    <col min="7662" max="7662" width="4.77734375" style="316" customWidth="1"/>
    <col min="7663" max="7663" width="11.77734375" style="316" customWidth="1"/>
    <col min="7664" max="7664" width="9.77734375" style="316" customWidth="1"/>
    <col min="7665" max="7665" width="3" style="316" customWidth="1"/>
    <col min="7666" max="7666" width="7.21875" style="316" customWidth="1"/>
    <col min="7667" max="7667" width="22.77734375" style="316" customWidth="1"/>
    <col min="7668" max="7668" width="7.21875" style="316" customWidth="1"/>
    <col min="7669" max="7669" width="9" style="316" hidden="1" customWidth="1"/>
    <col min="7670" max="7670" width="8.77734375" style="316" customWidth="1"/>
    <col min="7671" max="7671" width="9.77734375" style="316" customWidth="1"/>
    <col min="7672" max="7672" width="10.5546875" style="316" customWidth="1"/>
    <col min="7673" max="7673" width="12.21875" style="316" customWidth="1"/>
    <col min="7674" max="7674" width="11.21875" style="316" customWidth="1"/>
    <col min="7675" max="7675" width="6.77734375" style="316" customWidth="1"/>
    <col min="7676" max="7915" width="30.5546875" style="316" customWidth="1"/>
    <col min="7916" max="7916" width="6.5546875" style="316" customWidth="1"/>
    <col min="7917" max="7917" width="7.5546875" style="316" customWidth="1"/>
    <col min="7918" max="7918" width="4.77734375" style="316" customWidth="1"/>
    <col min="7919" max="7919" width="11.77734375" style="316" customWidth="1"/>
    <col min="7920" max="7920" width="9.77734375" style="316" customWidth="1"/>
    <col min="7921" max="7921" width="3" style="316" customWidth="1"/>
    <col min="7922" max="7922" width="7.21875" style="316" customWidth="1"/>
    <col min="7923" max="7923" width="22.77734375" style="316" customWidth="1"/>
    <col min="7924" max="7924" width="7.21875" style="316" customWidth="1"/>
    <col min="7925" max="7925" width="9" style="316" hidden="1" customWidth="1"/>
    <col min="7926" max="7926" width="8.77734375" style="316" customWidth="1"/>
    <col min="7927" max="7927" width="9.77734375" style="316" customWidth="1"/>
    <col min="7928" max="7928" width="10.5546875" style="316" customWidth="1"/>
    <col min="7929" max="7929" width="12.21875" style="316" customWidth="1"/>
    <col min="7930" max="7930" width="11.21875" style="316" customWidth="1"/>
    <col min="7931" max="7931" width="6.77734375" style="316" customWidth="1"/>
    <col min="7932" max="8171" width="30.5546875" style="316" customWidth="1"/>
    <col min="8172" max="8172" width="6.5546875" style="316" customWidth="1"/>
    <col min="8173" max="8173" width="7.5546875" style="316" customWidth="1"/>
    <col min="8174" max="8174" width="4.77734375" style="316" customWidth="1"/>
    <col min="8175" max="8175" width="11.77734375" style="316" customWidth="1"/>
    <col min="8176" max="8176" width="9.77734375" style="316" customWidth="1"/>
    <col min="8177" max="8177" width="3" style="316" customWidth="1"/>
    <col min="8178" max="8178" width="7.21875" style="316" customWidth="1"/>
    <col min="8179" max="8179" width="22.77734375" style="316" customWidth="1"/>
    <col min="8180" max="8180" width="7.21875" style="316" customWidth="1"/>
    <col min="8181" max="8181" width="9" style="316" hidden="1" customWidth="1"/>
    <col min="8182" max="8182" width="8.77734375" style="316" customWidth="1"/>
    <col min="8183" max="8183" width="9.77734375" style="316" customWidth="1"/>
    <col min="8184" max="8184" width="10.5546875" style="316" customWidth="1"/>
    <col min="8185" max="8185" width="12.21875" style="316" customWidth="1"/>
    <col min="8186" max="8186" width="11.21875" style="316" customWidth="1"/>
    <col min="8187" max="8187" width="6.77734375" style="316" customWidth="1"/>
    <col min="8188" max="8427" width="30.5546875" style="316" customWidth="1"/>
    <col min="8428" max="8428" width="6.5546875" style="316" customWidth="1"/>
    <col min="8429" max="8429" width="7.5546875" style="316" customWidth="1"/>
    <col min="8430" max="8430" width="4.77734375" style="316" customWidth="1"/>
    <col min="8431" max="8431" width="11.77734375" style="316" customWidth="1"/>
    <col min="8432" max="8432" width="9.77734375" style="316" customWidth="1"/>
    <col min="8433" max="8433" width="3" style="316" customWidth="1"/>
    <col min="8434" max="8434" width="7.21875" style="316" customWidth="1"/>
    <col min="8435" max="8435" width="22.77734375" style="316" customWidth="1"/>
    <col min="8436" max="8436" width="7.21875" style="316" customWidth="1"/>
    <col min="8437" max="8437" width="9" style="316" hidden="1" customWidth="1"/>
    <col min="8438" max="8438" width="8.77734375" style="316" customWidth="1"/>
    <col min="8439" max="8439" width="9.77734375" style="316" customWidth="1"/>
    <col min="8440" max="8440" width="10.5546875" style="316" customWidth="1"/>
    <col min="8441" max="8441" width="12.21875" style="316" customWidth="1"/>
    <col min="8442" max="8442" width="11.21875" style="316" customWidth="1"/>
    <col min="8443" max="8443" width="6.77734375" style="316" customWidth="1"/>
    <col min="8444" max="8683" width="30.5546875" style="316" customWidth="1"/>
    <col min="8684" max="8684" width="6.5546875" style="316" customWidth="1"/>
    <col min="8685" max="8685" width="7.5546875" style="316" customWidth="1"/>
    <col min="8686" max="8686" width="4.77734375" style="316" customWidth="1"/>
    <col min="8687" max="8687" width="11.77734375" style="316" customWidth="1"/>
    <col min="8688" max="8688" width="9.77734375" style="316" customWidth="1"/>
    <col min="8689" max="8689" width="3" style="316" customWidth="1"/>
    <col min="8690" max="8690" width="7.21875" style="316" customWidth="1"/>
    <col min="8691" max="8691" width="22.77734375" style="316" customWidth="1"/>
    <col min="8692" max="8692" width="7.21875" style="316" customWidth="1"/>
    <col min="8693" max="8693" width="9" style="316" hidden="1" customWidth="1"/>
    <col min="8694" max="8694" width="8.77734375" style="316" customWidth="1"/>
    <col min="8695" max="8695" width="9.77734375" style="316" customWidth="1"/>
    <col min="8696" max="8696" width="10.5546875" style="316" customWidth="1"/>
    <col min="8697" max="8697" width="12.21875" style="316" customWidth="1"/>
    <col min="8698" max="8698" width="11.21875" style="316" customWidth="1"/>
    <col min="8699" max="8699" width="6.77734375" style="316" customWidth="1"/>
    <col min="8700" max="8939" width="30.5546875" style="316" customWidth="1"/>
    <col min="8940" max="8940" width="6.5546875" style="316" customWidth="1"/>
    <col min="8941" max="8941" width="7.5546875" style="316" customWidth="1"/>
    <col min="8942" max="8942" width="4.77734375" style="316" customWidth="1"/>
    <col min="8943" max="8943" width="11.77734375" style="316" customWidth="1"/>
    <col min="8944" max="8944" width="9.77734375" style="316" customWidth="1"/>
    <col min="8945" max="8945" width="3" style="316" customWidth="1"/>
    <col min="8946" max="8946" width="7.21875" style="316" customWidth="1"/>
    <col min="8947" max="8947" width="22.77734375" style="316" customWidth="1"/>
    <col min="8948" max="8948" width="7.21875" style="316" customWidth="1"/>
    <col min="8949" max="8949" width="9" style="316" hidden="1" customWidth="1"/>
    <col min="8950" max="8950" width="8.77734375" style="316" customWidth="1"/>
    <col min="8951" max="8951" width="9.77734375" style="316" customWidth="1"/>
    <col min="8952" max="8952" width="10.5546875" style="316" customWidth="1"/>
    <col min="8953" max="8953" width="12.21875" style="316" customWidth="1"/>
    <col min="8954" max="8954" width="11.21875" style="316" customWidth="1"/>
    <col min="8955" max="8955" width="6.77734375" style="316" customWidth="1"/>
    <col min="8956" max="9195" width="30.5546875" style="316" customWidth="1"/>
    <col min="9196" max="9196" width="6.5546875" style="316" customWidth="1"/>
    <col min="9197" max="9197" width="7.5546875" style="316" customWidth="1"/>
    <col min="9198" max="9198" width="4.77734375" style="316" customWidth="1"/>
    <col min="9199" max="9199" width="11.77734375" style="316" customWidth="1"/>
    <col min="9200" max="9200" width="9.77734375" style="316" customWidth="1"/>
    <col min="9201" max="9201" width="3" style="316" customWidth="1"/>
    <col min="9202" max="9202" width="7.21875" style="316" customWidth="1"/>
    <col min="9203" max="9203" width="22.77734375" style="316" customWidth="1"/>
    <col min="9204" max="9204" width="7.21875" style="316" customWidth="1"/>
    <col min="9205" max="9205" width="9" style="316" hidden="1" customWidth="1"/>
    <col min="9206" max="9206" width="8.77734375" style="316" customWidth="1"/>
    <col min="9207" max="9207" width="9.77734375" style="316" customWidth="1"/>
    <col min="9208" max="9208" width="10.5546875" style="316" customWidth="1"/>
    <col min="9209" max="9209" width="12.21875" style="316" customWidth="1"/>
    <col min="9210" max="9210" width="11.21875" style="316" customWidth="1"/>
    <col min="9211" max="9211" width="6.77734375" style="316" customWidth="1"/>
    <col min="9212" max="9451" width="30.5546875" style="316" customWidth="1"/>
    <col min="9452" max="9452" width="6.5546875" style="316" customWidth="1"/>
    <col min="9453" max="9453" width="7.5546875" style="316" customWidth="1"/>
    <col min="9454" max="9454" width="4.77734375" style="316" customWidth="1"/>
    <col min="9455" max="9455" width="11.77734375" style="316" customWidth="1"/>
    <col min="9456" max="9456" width="9.77734375" style="316" customWidth="1"/>
    <col min="9457" max="9457" width="3" style="316" customWidth="1"/>
    <col min="9458" max="9458" width="7.21875" style="316" customWidth="1"/>
    <col min="9459" max="9459" width="22.77734375" style="316" customWidth="1"/>
    <col min="9460" max="9460" width="7.21875" style="316" customWidth="1"/>
    <col min="9461" max="9461" width="9" style="316" hidden="1" customWidth="1"/>
    <col min="9462" max="9462" width="8.77734375" style="316" customWidth="1"/>
    <col min="9463" max="9463" width="9.77734375" style="316" customWidth="1"/>
    <col min="9464" max="9464" width="10.5546875" style="316" customWidth="1"/>
    <col min="9465" max="9465" width="12.21875" style="316" customWidth="1"/>
    <col min="9466" max="9466" width="11.21875" style="316" customWidth="1"/>
    <col min="9467" max="9467" width="6.77734375" style="316" customWidth="1"/>
    <col min="9468" max="9707" width="30.5546875" style="316" customWidth="1"/>
    <col min="9708" max="9708" width="6.5546875" style="316" customWidth="1"/>
    <col min="9709" max="9709" width="7.5546875" style="316" customWidth="1"/>
    <col min="9710" max="9710" width="4.77734375" style="316" customWidth="1"/>
    <col min="9711" max="9711" width="11.77734375" style="316" customWidth="1"/>
    <col min="9712" max="9712" width="9.77734375" style="316" customWidth="1"/>
    <col min="9713" max="9713" width="3" style="316" customWidth="1"/>
    <col min="9714" max="9714" width="7.21875" style="316" customWidth="1"/>
    <col min="9715" max="9715" width="22.77734375" style="316" customWidth="1"/>
    <col min="9716" max="9716" width="7.21875" style="316" customWidth="1"/>
    <col min="9717" max="9717" width="9" style="316" hidden="1" customWidth="1"/>
    <col min="9718" max="9718" width="8.77734375" style="316" customWidth="1"/>
    <col min="9719" max="9719" width="9.77734375" style="316" customWidth="1"/>
    <col min="9720" max="9720" width="10.5546875" style="316" customWidth="1"/>
    <col min="9721" max="9721" width="12.21875" style="316" customWidth="1"/>
    <col min="9722" max="9722" width="11.21875" style="316" customWidth="1"/>
    <col min="9723" max="9723" width="6.77734375" style="316" customWidth="1"/>
    <col min="9724" max="9963" width="30.5546875" style="316" customWidth="1"/>
    <col min="9964" max="9964" width="6.5546875" style="316" customWidth="1"/>
    <col min="9965" max="9965" width="7.5546875" style="316" customWidth="1"/>
    <col min="9966" max="9966" width="4.77734375" style="316" customWidth="1"/>
    <col min="9967" max="9967" width="11.77734375" style="316" customWidth="1"/>
    <col min="9968" max="9968" width="9.77734375" style="316" customWidth="1"/>
    <col min="9969" max="9969" width="3" style="316" customWidth="1"/>
    <col min="9970" max="9970" width="7.21875" style="316" customWidth="1"/>
    <col min="9971" max="9971" width="22.77734375" style="316" customWidth="1"/>
    <col min="9972" max="9972" width="7.21875" style="316" customWidth="1"/>
    <col min="9973" max="9973" width="9" style="316" hidden="1" customWidth="1"/>
    <col min="9974" max="9974" width="8.77734375" style="316" customWidth="1"/>
    <col min="9975" max="9975" width="9.77734375" style="316" customWidth="1"/>
    <col min="9976" max="9976" width="10.5546875" style="316" customWidth="1"/>
    <col min="9977" max="9977" width="12.21875" style="316" customWidth="1"/>
    <col min="9978" max="9978" width="11.21875" style="316" customWidth="1"/>
    <col min="9979" max="9979" width="6.77734375" style="316" customWidth="1"/>
    <col min="9980" max="10219" width="30.5546875" style="316" customWidth="1"/>
    <col min="10220" max="10220" width="6.5546875" style="316" customWidth="1"/>
    <col min="10221" max="10221" width="7.5546875" style="316" customWidth="1"/>
    <col min="10222" max="10222" width="4.77734375" style="316" customWidth="1"/>
    <col min="10223" max="10223" width="11.77734375" style="316" customWidth="1"/>
    <col min="10224" max="10224" width="9.77734375" style="316" customWidth="1"/>
    <col min="10225" max="10225" width="3" style="316" customWidth="1"/>
    <col min="10226" max="10226" width="7.21875" style="316" customWidth="1"/>
    <col min="10227" max="10227" width="22.77734375" style="316" customWidth="1"/>
    <col min="10228" max="10228" width="7.21875" style="316" customWidth="1"/>
    <col min="10229" max="10229" width="9" style="316" hidden="1" customWidth="1"/>
    <col min="10230" max="10230" width="8.77734375" style="316" customWidth="1"/>
    <col min="10231" max="10231" width="9.77734375" style="316" customWidth="1"/>
    <col min="10232" max="10232" width="10.5546875" style="316" customWidth="1"/>
    <col min="10233" max="10233" width="12.21875" style="316" customWidth="1"/>
    <col min="10234" max="10234" width="11.21875" style="316" customWidth="1"/>
    <col min="10235" max="10235" width="6.77734375" style="316" customWidth="1"/>
    <col min="10236" max="10475" width="30.5546875" style="316" customWidth="1"/>
    <col min="10476" max="10476" width="6.5546875" style="316" customWidth="1"/>
    <col min="10477" max="10477" width="7.5546875" style="316" customWidth="1"/>
    <col min="10478" max="10478" width="4.77734375" style="316" customWidth="1"/>
    <col min="10479" max="10479" width="11.77734375" style="316" customWidth="1"/>
    <col min="10480" max="10480" width="9.77734375" style="316" customWidth="1"/>
    <col min="10481" max="10481" width="3" style="316" customWidth="1"/>
    <col min="10482" max="10482" width="7.21875" style="316" customWidth="1"/>
    <col min="10483" max="10483" width="22.77734375" style="316" customWidth="1"/>
    <col min="10484" max="10484" width="7.21875" style="316" customWidth="1"/>
    <col min="10485" max="10485" width="9" style="316" hidden="1" customWidth="1"/>
    <col min="10486" max="10486" width="8.77734375" style="316" customWidth="1"/>
    <col min="10487" max="10487" width="9.77734375" style="316" customWidth="1"/>
    <col min="10488" max="10488" width="10.5546875" style="316" customWidth="1"/>
    <col min="10489" max="10489" width="12.21875" style="316" customWidth="1"/>
    <col min="10490" max="10490" width="11.21875" style="316" customWidth="1"/>
    <col min="10491" max="10491" width="6.77734375" style="316" customWidth="1"/>
    <col min="10492" max="10731" width="30.5546875" style="316" customWidth="1"/>
    <col min="10732" max="10732" width="6.5546875" style="316" customWidth="1"/>
    <col min="10733" max="10733" width="7.5546875" style="316" customWidth="1"/>
    <col min="10734" max="10734" width="4.77734375" style="316" customWidth="1"/>
    <col min="10735" max="10735" width="11.77734375" style="316" customWidth="1"/>
    <col min="10736" max="10736" width="9.77734375" style="316" customWidth="1"/>
    <col min="10737" max="10737" width="3" style="316" customWidth="1"/>
    <col min="10738" max="10738" width="7.21875" style="316" customWidth="1"/>
    <col min="10739" max="10739" width="22.77734375" style="316" customWidth="1"/>
    <col min="10740" max="10740" width="7.21875" style="316" customWidth="1"/>
    <col min="10741" max="10741" width="9" style="316" hidden="1" customWidth="1"/>
    <col min="10742" max="10742" width="8.77734375" style="316" customWidth="1"/>
    <col min="10743" max="10743" width="9.77734375" style="316" customWidth="1"/>
    <col min="10744" max="10744" width="10.5546875" style="316" customWidth="1"/>
    <col min="10745" max="10745" width="12.21875" style="316" customWidth="1"/>
    <col min="10746" max="10746" width="11.21875" style="316" customWidth="1"/>
    <col min="10747" max="10747" width="6.77734375" style="316" customWidth="1"/>
    <col min="10748" max="10987" width="30.5546875" style="316" customWidth="1"/>
    <col min="10988" max="10988" width="6.5546875" style="316" customWidth="1"/>
    <col min="10989" max="10989" width="7.5546875" style="316" customWidth="1"/>
    <col min="10990" max="10990" width="4.77734375" style="316" customWidth="1"/>
    <col min="10991" max="10991" width="11.77734375" style="316" customWidth="1"/>
    <col min="10992" max="10992" width="9.77734375" style="316" customWidth="1"/>
    <col min="10993" max="10993" width="3" style="316" customWidth="1"/>
    <col min="10994" max="10994" width="7.21875" style="316" customWidth="1"/>
    <col min="10995" max="10995" width="22.77734375" style="316" customWidth="1"/>
    <col min="10996" max="10996" width="7.21875" style="316" customWidth="1"/>
    <col min="10997" max="10997" width="9" style="316" hidden="1" customWidth="1"/>
    <col min="10998" max="10998" width="8.77734375" style="316" customWidth="1"/>
    <col min="10999" max="10999" width="9.77734375" style="316" customWidth="1"/>
    <col min="11000" max="11000" width="10.5546875" style="316" customWidth="1"/>
    <col min="11001" max="11001" width="12.21875" style="316" customWidth="1"/>
    <col min="11002" max="11002" width="11.21875" style="316" customWidth="1"/>
    <col min="11003" max="11003" width="6.77734375" style="316" customWidth="1"/>
    <col min="11004" max="11243" width="30.5546875" style="316" customWidth="1"/>
    <col min="11244" max="11244" width="6.5546875" style="316" customWidth="1"/>
    <col min="11245" max="11245" width="7.5546875" style="316" customWidth="1"/>
    <col min="11246" max="11246" width="4.77734375" style="316" customWidth="1"/>
    <col min="11247" max="11247" width="11.77734375" style="316" customWidth="1"/>
    <col min="11248" max="11248" width="9.77734375" style="316" customWidth="1"/>
    <col min="11249" max="11249" width="3" style="316" customWidth="1"/>
    <col min="11250" max="11250" width="7.21875" style="316" customWidth="1"/>
    <col min="11251" max="11251" width="22.77734375" style="316" customWidth="1"/>
    <col min="11252" max="11252" width="7.21875" style="316" customWidth="1"/>
    <col min="11253" max="11253" width="9" style="316" hidden="1" customWidth="1"/>
    <col min="11254" max="11254" width="8.77734375" style="316" customWidth="1"/>
    <col min="11255" max="11255" width="9.77734375" style="316" customWidth="1"/>
    <col min="11256" max="11256" width="10.5546875" style="316" customWidth="1"/>
    <col min="11257" max="11257" width="12.21875" style="316" customWidth="1"/>
    <col min="11258" max="11258" width="11.21875" style="316" customWidth="1"/>
    <col min="11259" max="11259" width="6.77734375" style="316" customWidth="1"/>
    <col min="11260" max="11499" width="30.5546875" style="316" customWidth="1"/>
    <col min="11500" max="11500" width="6.5546875" style="316" customWidth="1"/>
    <col min="11501" max="11501" width="7.5546875" style="316" customWidth="1"/>
    <col min="11502" max="11502" width="4.77734375" style="316" customWidth="1"/>
    <col min="11503" max="11503" width="11.77734375" style="316" customWidth="1"/>
    <col min="11504" max="11504" width="9.77734375" style="316" customWidth="1"/>
    <col min="11505" max="11505" width="3" style="316" customWidth="1"/>
    <col min="11506" max="11506" width="7.21875" style="316" customWidth="1"/>
    <col min="11507" max="11507" width="22.77734375" style="316" customWidth="1"/>
    <col min="11508" max="11508" width="7.21875" style="316" customWidth="1"/>
    <col min="11509" max="11509" width="9" style="316" hidden="1" customWidth="1"/>
    <col min="11510" max="11510" width="8.77734375" style="316" customWidth="1"/>
    <col min="11511" max="11511" width="9.77734375" style="316" customWidth="1"/>
    <col min="11512" max="11512" width="10.5546875" style="316" customWidth="1"/>
    <col min="11513" max="11513" width="12.21875" style="316" customWidth="1"/>
    <col min="11514" max="11514" width="11.21875" style="316" customWidth="1"/>
    <col min="11515" max="11515" width="6.77734375" style="316" customWidth="1"/>
    <col min="11516" max="11755" width="30.5546875" style="316" customWidth="1"/>
    <col min="11756" max="11756" width="6.5546875" style="316" customWidth="1"/>
    <col min="11757" max="11757" width="7.5546875" style="316" customWidth="1"/>
    <col min="11758" max="11758" width="4.77734375" style="316" customWidth="1"/>
    <col min="11759" max="11759" width="11.77734375" style="316" customWidth="1"/>
    <col min="11760" max="11760" width="9.77734375" style="316" customWidth="1"/>
    <col min="11761" max="11761" width="3" style="316" customWidth="1"/>
    <col min="11762" max="11762" width="7.21875" style="316" customWidth="1"/>
    <col min="11763" max="11763" width="22.77734375" style="316" customWidth="1"/>
    <col min="11764" max="11764" width="7.21875" style="316" customWidth="1"/>
    <col min="11765" max="11765" width="9" style="316" hidden="1" customWidth="1"/>
    <col min="11766" max="11766" width="8.77734375" style="316" customWidth="1"/>
    <col min="11767" max="11767" width="9.77734375" style="316" customWidth="1"/>
    <col min="11768" max="11768" width="10.5546875" style="316" customWidth="1"/>
    <col min="11769" max="11769" width="12.21875" style="316" customWidth="1"/>
    <col min="11770" max="11770" width="11.21875" style="316" customWidth="1"/>
    <col min="11771" max="11771" width="6.77734375" style="316" customWidth="1"/>
    <col min="11772" max="12011" width="30.5546875" style="316" customWidth="1"/>
    <col min="12012" max="12012" width="6.5546875" style="316" customWidth="1"/>
    <col min="12013" max="12013" width="7.5546875" style="316" customWidth="1"/>
    <col min="12014" max="12014" width="4.77734375" style="316" customWidth="1"/>
    <col min="12015" max="12015" width="11.77734375" style="316" customWidth="1"/>
    <col min="12016" max="12016" width="9.77734375" style="316" customWidth="1"/>
    <col min="12017" max="12017" width="3" style="316" customWidth="1"/>
    <col min="12018" max="12018" width="7.21875" style="316" customWidth="1"/>
    <col min="12019" max="12019" width="22.77734375" style="316" customWidth="1"/>
    <col min="12020" max="12020" width="7.21875" style="316" customWidth="1"/>
    <col min="12021" max="12021" width="9" style="316" hidden="1" customWidth="1"/>
    <col min="12022" max="12022" width="8.77734375" style="316" customWidth="1"/>
    <col min="12023" max="12023" width="9.77734375" style="316" customWidth="1"/>
    <col min="12024" max="12024" width="10.5546875" style="316" customWidth="1"/>
    <col min="12025" max="12025" width="12.21875" style="316" customWidth="1"/>
    <col min="12026" max="12026" width="11.21875" style="316" customWidth="1"/>
    <col min="12027" max="12027" width="6.77734375" style="316" customWidth="1"/>
    <col min="12028" max="12267" width="30.5546875" style="316" customWidth="1"/>
    <col min="12268" max="12268" width="6.5546875" style="316" customWidth="1"/>
    <col min="12269" max="12269" width="7.5546875" style="316" customWidth="1"/>
    <col min="12270" max="12270" width="4.77734375" style="316" customWidth="1"/>
    <col min="12271" max="12271" width="11.77734375" style="316" customWidth="1"/>
    <col min="12272" max="12272" width="9.77734375" style="316" customWidth="1"/>
    <col min="12273" max="12273" width="3" style="316" customWidth="1"/>
    <col min="12274" max="12274" width="7.21875" style="316" customWidth="1"/>
    <col min="12275" max="12275" width="22.77734375" style="316" customWidth="1"/>
    <col min="12276" max="12276" width="7.21875" style="316" customWidth="1"/>
    <col min="12277" max="12277" width="9" style="316" hidden="1" customWidth="1"/>
    <col min="12278" max="12278" width="8.77734375" style="316" customWidth="1"/>
    <col min="12279" max="12279" width="9.77734375" style="316" customWidth="1"/>
    <col min="12280" max="12280" width="10.5546875" style="316" customWidth="1"/>
    <col min="12281" max="12281" width="12.21875" style="316" customWidth="1"/>
    <col min="12282" max="12282" width="11.21875" style="316" customWidth="1"/>
    <col min="12283" max="12283" width="6.77734375" style="316" customWidth="1"/>
    <col min="12284" max="12523" width="30.5546875" style="316" customWidth="1"/>
    <col min="12524" max="12524" width="6.5546875" style="316" customWidth="1"/>
    <col min="12525" max="12525" width="7.5546875" style="316" customWidth="1"/>
    <col min="12526" max="12526" width="4.77734375" style="316" customWidth="1"/>
    <col min="12527" max="12527" width="11.77734375" style="316" customWidth="1"/>
    <col min="12528" max="12528" width="9.77734375" style="316" customWidth="1"/>
    <col min="12529" max="12529" width="3" style="316" customWidth="1"/>
    <col min="12530" max="12530" width="7.21875" style="316" customWidth="1"/>
    <col min="12531" max="12531" width="22.77734375" style="316" customWidth="1"/>
    <col min="12532" max="12532" width="7.21875" style="316" customWidth="1"/>
    <col min="12533" max="12533" width="9" style="316" hidden="1" customWidth="1"/>
    <col min="12534" max="12534" width="8.77734375" style="316" customWidth="1"/>
    <col min="12535" max="12535" width="9.77734375" style="316" customWidth="1"/>
    <col min="12536" max="12536" width="10.5546875" style="316" customWidth="1"/>
    <col min="12537" max="12537" width="12.21875" style="316" customWidth="1"/>
    <col min="12538" max="12538" width="11.21875" style="316" customWidth="1"/>
    <col min="12539" max="12539" width="6.77734375" style="316" customWidth="1"/>
    <col min="12540" max="12779" width="30.5546875" style="316" customWidth="1"/>
    <col min="12780" max="12780" width="6.5546875" style="316" customWidth="1"/>
    <col min="12781" max="12781" width="7.5546875" style="316" customWidth="1"/>
    <col min="12782" max="12782" width="4.77734375" style="316" customWidth="1"/>
    <col min="12783" max="12783" width="11.77734375" style="316" customWidth="1"/>
    <col min="12784" max="12784" width="9.77734375" style="316" customWidth="1"/>
    <col min="12785" max="12785" width="3" style="316" customWidth="1"/>
    <col min="12786" max="12786" width="7.21875" style="316" customWidth="1"/>
    <col min="12787" max="12787" width="22.77734375" style="316" customWidth="1"/>
    <col min="12788" max="12788" width="7.21875" style="316" customWidth="1"/>
    <col min="12789" max="12789" width="9" style="316" hidden="1" customWidth="1"/>
    <col min="12790" max="12790" width="8.77734375" style="316" customWidth="1"/>
    <col min="12791" max="12791" width="9.77734375" style="316" customWidth="1"/>
    <col min="12792" max="12792" width="10.5546875" style="316" customWidth="1"/>
    <col min="12793" max="12793" width="12.21875" style="316" customWidth="1"/>
    <col min="12794" max="12794" width="11.21875" style="316" customWidth="1"/>
    <col min="12795" max="12795" width="6.77734375" style="316" customWidth="1"/>
    <col min="12796" max="13035" width="30.5546875" style="316" customWidth="1"/>
    <col min="13036" max="13036" width="6.5546875" style="316" customWidth="1"/>
    <col min="13037" max="13037" width="7.5546875" style="316" customWidth="1"/>
    <col min="13038" max="13038" width="4.77734375" style="316" customWidth="1"/>
    <col min="13039" max="13039" width="11.77734375" style="316" customWidth="1"/>
    <col min="13040" max="13040" width="9.77734375" style="316" customWidth="1"/>
    <col min="13041" max="13041" width="3" style="316" customWidth="1"/>
    <col min="13042" max="13042" width="7.21875" style="316" customWidth="1"/>
    <col min="13043" max="13043" width="22.77734375" style="316" customWidth="1"/>
    <col min="13044" max="13044" width="7.21875" style="316" customWidth="1"/>
    <col min="13045" max="13045" width="9" style="316" hidden="1" customWidth="1"/>
    <col min="13046" max="13046" width="8.77734375" style="316" customWidth="1"/>
    <col min="13047" max="13047" width="9.77734375" style="316" customWidth="1"/>
    <col min="13048" max="13048" width="10.5546875" style="316" customWidth="1"/>
    <col min="13049" max="13049" width="12.21875" style="316" customWidth="1"/>
    <col min="13050" max="13050" width="11.21875" style="316" customWidth="1"/>
    <col min="13051" max="13051" width="6.77734375" style="316" customWidth="1"/>
    <col min="13052" max="13291" width="30.5546875" style="316" customWidth="1"/>
    <col min="13292" max="13292" width="6.5546875" style="316" customWidth="1"/>
    <col min="13293" max="13293" width="7.5546875" style="316" customWidth="1"/>
    <col min="13294" max="13294" width="4.77734375" style="316" customWidth="1"/>
    <col min="13295" max="13295" width="11.77734375" style="316" customWidth="1"/>
    <col min="13296" max="13296" width="9.77734375" style="316" customWidth="1"/>
    <col min="13297" max="13297" width="3" style="316" customWidth="1"/>
    <col min="13298" max="13298" width="7.21875" style="316" customWidth="1"/>
    <col min="13299" max="13299" width="22.77734375" style="316" customWidth="1"/>
    <col min="13300" max="13300" width="7.21875" style="316" customWidth="1"/>
    <col min="13301" max="13301" width="9" style="316" hidden="1" customWidth="1"/>
    <col min="13302" max="13302" width="8.77734375" style="316" customWidth="1"/>
    <col min="13303" max="13303" width="9.77734375" style="316" customWidth="1"/>
    <col min="13304" max="13304" width="10.5546875" style="316" customWidth="1"/>
    <col min="13305" max="13305" width="12.21875" style="316" customWidth="1"/>
    <col min="13306" max="13306" width="11.21875" style="316" customWidth="1"/>
    <col min="13307" max="13307" width="6.77734375" style="316" customWidth="1"/>
    <col min="13308" max="13547" width="30.5546875" style="316" customWidth="1"/>
    <col min="13548" max="13548" width="6.5546875" style="316" customWidth="1"/>
    <col min="13549" max="13549" width="7.5546875" style="316" customWidth="1"/>
    <col min="13550" max="13550" width="4.77734375" style="316" customWidth="1"/>
    <col min="13551" max="13551" width="11.77734375" style="316" customWidth="1"/>
    <col min="13552" max="13552" width="9.77734375" style="316" customWidth="1"/>
    <col min="13553" max="13553" width="3" style="316" customWidth="1"/>
    <col min="13554" max="13554" width="7.21875" style="316" customWidth="1"/>
    <col min="13555" max="13555" width="22.77734375" style="316" customWidth="1"/>
    <col min="13556" max="13556" width="7.21875" style="316" customWidth="1"/>
    <col min="13557" max="13557" width="9" style="316" hidden="1" customWidth="1"/>
    <col min="13558" max="13558" width="8.77734375" style="316" customWidth="1"/>
    <col min="13559" max="13559" width="9.77734375" style="316" customWidth="1"/>
    <col min="13560" max="13560" width="10.5546875" style="316" customWidth="1"/>
    <col min="13561" max="13561" width="12.21875" style="316" customWidth="1"/>
    <col min="13562" max="13562" width="11.21875" style="316" customWidth="1"/>
    <col min="13563" max="13563" width="6.77734375" style="316" customWidth="1"/>
    <col min="13564" max="13803" width="30.5546875" style="316" customWidth="1"/>
    <col min="13804" max="13804" width="6.5546875" style="316" customWidth="1"/>
    <col min="13805" max="13805" width="7.5546875" style="316" customWidth="1"/>
    <col min="13806" max="13806" width="4.77734375" style="316" customWidth="1"/>
    <col min="13807" max="13807" width="11.77734375" style="316" customWidth="1"/>
    <col min="13808" max="13808" width="9.77734375" style="316" customWidth="1"/>
    <col min="13809" max="13809" width="3" style="316" customWidth="1"/>
    <col min="13810" max="13810" width="7.21875" style="316" customWidth="1"/>
    <col min="13811" max="13811" width="22.77734375" style="316" customWidth="1"/>
    <col min="13812" max="13812" width="7.21875" style="316" customWidth="1"/>
    <col min="13813" max="13813" width="9" style="316" hidden="1" customWidth="1"/>
    <col min="13814" max="13814" width="8.77734375" style="316" customWidth="1"/>
    <col min="13815" max="13815" width="9.77734375" style="316" customWidth="1"/>
    <col min="13816" max="13816" width="10.5546875" style="316" customWidth="1"/>
    <col min="13817" max="13817" width="12.21875" style="316" customWidth="1"/>
    <col min="13818" max="13818" width="11.21875" style="316" customWidth="1"/>
    <col min="13819" max="13819" width="6.77734375" style="316" customWidth="1"/>
    <col min="13820" max="14059" width="30.5546875" style="316" customWidth="1"/>
    <col min="14060" max="14060" width="6.5546875" style="316" customWidth="1"/>
    <col min="14061" max="14061" width="7.5546875" style="316" customWidth="1"/>
    <col min="14062" max="14062" width="4.77734375" style="316" customWidth="1"/>
    <col min="14063" max="14063" width="11.77734375" style="316" customWidth="1"/>
    <col min="14064" max="14064" width="9.77734375" style="316" customWidth="1"/>
    <col min="14065" max="14065" width="3" style="316" customWidth="1"/>
    <col min="14066" max="14066" width="7.21875" style="316" customWidth="1"/>
    <col min="14067" max="14067" width="22.77734375" style="316" customWidth="1"/>
    <col min="14068" max="14068" width="7.21875" style="316" customWidth="1"/>
    <col min="14069" max="14069" width="9" style="316" hidden="1" customWidth="1"/>
    <col min="14070" max="14070" width="8.77734375" style="316" customWidth="1"/>
    <col min="14071" max="14071" width="9.77734375" style="316" customWidth="1"/>
    <col min="14072" max="14072" width="10.5546875" style="316" customWidth="1"/>
    <col min="14073" max="14073" width="12.21875" style="316" customWidth="1"/>
    <col min="14074" max="14074" width="11.21875" style="316" customWidth="1"/>
    <col min="14075" max="14075" width="6.77734375" style="316" customWidth="1"/>
    <col min="14076" max="14315" width="30.5546875" style="316" customWidth="1"/>
    <col min="14316" max="14316" width="6.5546875" style="316" customWidth="1"/>
    <col min="14317" max="14317" width="7.5546875" style="316" customWidth="1"/>
    <col min="14318" max="14318" width="4.77734375" style="316" customWidth="1"/>
    <col min="14319" max="14319" width="11.77734375" style="316" customWidth="1"/>
    <col min="14320" max="14320" width="9.77734375" style="316" customWidth="1"/>
    <col min="14321" max="14321" width="3" style="316" customWidth="1"/>
    <col min="14322" max="14322" width="7.21875" style="316" customWidth="1"/>
    <col min="14323" max="14323" width="22.77734375" style="316" customWidth="1"/>
    <col min="14324" max="14324" width="7.21875" style="316" customWidth="1"/>
    <col min="14325" max="14325" width="9" style="316" hidden="1" customWidth="1"/>
    <col min="14326" max="14326" width="8.77734375" style="316" customWidth="1"/>
    <col min="14327" max="14327" width="9.77734375" style="316" customWidth="1"/>
    <col min="14328" max="14328" width="10.5546875" style="316" customWidth="1"/>
    <col min="14329" max="14329" width="12.21875" style="316" customWidth="1"/>
    <col min="14330" max="14330" width="11.21875" style="316" customWidth="1"/>
    <col min="14331" max="14331" width="6.77734375" style="316" customWidth="1"/>
    <col min="14332" max="14571" width="30.5546875" style="316" customWidth="1"/>
    <col min="14572" max="14572" width="6.5546875" style="316" customWidth="1"/>
    <col min="14573" max="14573" width="7.5546875" style="316" customWidth="1"/>
    <col min="14574" max="14574" width="4.77734375" style="316" customWidth="1"/>
    <col min="14575" max="14575" width="11.77734375" style="316" customWidth="1"/>
    <col min="14576" max="14576" width="9.77734375" style="316" customWidth="1"/>
    <col min="14577" max="14577" width="3" style="316" customWidth="1"/>
    <col min="14578" max="14578" width="7.21875" style="316" customWidth="1"/>
    <col min="14579" max="14579" width="22.77734375" style="316" customWidth="1"/>
    <col min="14580" max="14580" width="7.21875" style="316" customWidth="1"/>
    <col min="14581" max="14581" width="9" style="316" hidden="1" customWidth="1"/>
    <col min="14582" max="14582" width="8.77734375" style="316" customWidth="1"/>
    <col min="14583" max="14583" width="9.77734375" style="316" customWidth="1"/>
    <col min="14584" max="14584" width="10.5546875" style="316" customWidth="1"/>
    <col min="14585" max="14585" width="12.21875" style="316" customWidth="1"/>
    <col min="14586" max="14586" width="11.21875" style="316" customWidth="1"/>
    <col min="14587" max="14587" width="6.77734375" style="316" customWidth="1"/>
    <col min="14588" max="14827" width="30.5546875" style="316" customWidth="1"/>
    <col min="14828" max="14828" width="6.5546875" style="316" customWidth="1"/>
    <col min="14829" max="14829" width="7.5546875" style="316" customWidth="1"/>
    <col min="14830" max="14830" width="4.77734375" style="316" customWidth="1"/>
    <col min="14831" max="14831" width="11.77734375" style="316" customWidth="1"/>
    <col min="14832" max="14832" width="9.77734375" style="316" customWidth="1"/>
    <col min="14833" max="14833" width="3" style="316" customWidth="1"/>
    <col min="14834" max="14834" width="7.21875" style="316" customWidth="1"/>
    <col min="14835" max="14835" width="22.77734375" style="316" customWidth="1"/>
    <col min="14836" max="14836" width="7.21875" style="316" customWidth="1"/>
    <col min="14837" max="14837" width="9" style="316" hidden="1" customWidth="1"/>
    <col min="14838" max="14838" width="8.77734375" style="316" customWidth="1"/>
    <col min="14839" max="14839" width="9.77734375" style="316" customWidth="1"/>
    <col min="14840" max="14840" width="10.5546875" style="316" customWidth="1"/>
    <col min="14841" max="14841" width="12.21875" style="316" customWidth="1"/>
    <col min="14842" max="14842" width="11.21875" style="316" customWidth="1"/>
    <col min="14843" max="14843" width="6.77734375" style="316" customWidth="1"/>
    <col min="14844" max="15083" width="30.5546875" style="316" customWidth="1"/>
    <col min="15084" max="15084" width="6.5546875" style="316" customWidth="1"/>
    <col min="15085" max="15085" width="7.5546875" style="316" customWidth="1"/>
    <col min="15086" max="15086" width="4.77734375" style="316" customWidth="1"/>
    <col min="15087" max="15087" width="11.77734375" style="316" customWidth="1"/>
    <col min="15088" max="15088" width="9.77734375" style="316" customWidth="1"/>
    <col min="15089" max="15089" width="3" style="316" customWidth="1"/>
    <col min="15090" max="15090" width="7.21875" style="316" customWidth="1"/>
    <col min="15091" max="15091" width="22.77734375" style="316" customWidth="1"/>
    <col min="15092" max="15092" width="7.21875" style="316" customWidth="1"/>
    <col min="15093" max="15093" width="9" style="316" hidden="1" customWidth="1"/>
    <col min="15094" max="15094" width="8.77734375" style="316" customWidth="1"/>
    <col min="15095" max="15095" width="9.77734375" style="316" customWidth="1"/>
    <col min="15096" max="15096" width="10.5546875" style="316" customWidth="1"/>
    <col min="15097" max="15097" width="12.21875" style="316" customWidth="1"/>
    <col min="15098" max="15098" width="11.21875" style="316" customWidth="1"/>
    <col min="15099" max="15099" width="6.77734375" style="316" customWidth="1"/>
    <col min="15100" max="15339" width="30.5546875" style="316" customWidth="1"/>
    <col min="15340" max="15340" width="6.5546875" style="316" customWidth="1"/>
    <col min="15341" max="15341" width="7.5546875" style="316" customWidth="1"/>
    <col min="15342" max="15342" width="4.77734375" style="316" customWidth="1"/>
    <col min="15343" max="15343" width="11.77734375" style="316" customWidth="1"/>
    <col min="15344" max="15344" width="9.77734375" style="316" customWidth="1"/>
    <col min="15345" max="15345" width="3" style="316" customWidth="1"/>
    <col min="15346" max="15346" width="7.21875" style="316" customWidth="1"/>
    <col min="15347" max="15347" width="22.77734375" style="316" customWidth="1"/>
    <col min="15348" max="15348" width="7.21875" style="316" customWidth="1"/>
    <col min="15349" max="15349" width="9" style="316" hidden="1" customWidth="1"/>
    <col min="15350" max="15350" width="8.77734375" style="316" customWidth="1"/>
    <col min="15351" max="15351" width="9.77734375" style="316" customWidth="1"/>
    <col min="15352" max="15352" width="10.5546875" style="316" customWidth="1"/>
    <col min="15353" max="15353" width="12.21875" style="316" customWidth="1"/>
    <col min="15354" max="15354" width="11.21875" style="316" customWidth="1"/>
    <col min="15355" max="15355" width="6.77734375" style="316" customWidth="1"/>
    <col min="15356" max="15595" width="30.5546875" style="316" customWidth="1"/>
    <col min="15596" max="15596" width="6.5546875" style="316" customWidth="1"/>
    <col min="15597" max="15597" width="7.5546875" style="316" customWidth="1"/>
    <col min="15598" max="15598" width="4.77734375" style="316" customWidth="1"/>
    <col min="15599" max="15599" width="11.77734375" style="316" customWidth="1"/>
    <col min="15600" max="15600" width="9.77734375" style="316" customWidth="1"/>
    <col min="15601" max="15601" width="3" style="316" customWidth="1"/>
    <col min="15602" max="15602" width="7.21875" style="316" customWidth="1"/>
    <col min="15603" max="15603" width="22.77734375" style="316" customWidth="1"/>
    <col min="15604" max="15604" width="7.21875" style="316" customWidth="1"/>
    <col min="15605" max="15605" width="9" style="316" hidden="1" customWidth="1"/>
    <col min="15606" max="15606" width="8.77734375" style="316" customWidth="1"/>
    <col min="15607" max="15607" width="9.77734375" style="316" customWidth="1"/>
    <col min="15608" max="15608" width="10.5546875" style="316" customWidth="1"/>
    <col min="15609" max="15609" width="12.21875" style="316" customWidth="1"/>
    <col min="15610" max="15610" width="11.21875" style="316" customWidth="1"/>
    <col min="15611" max="15611" width="6.77734375" style="316" customWidth="1"/>
    <col min="15612" max="15851" width="30.5546875" style="316" customWidth="1"/>
    <col min="15852" max="15852" width="6.5546875" style="316" customWidth="1"/>
    <col min="15853" max="15853" width="7.5546875" style="316" customWidth="1"/>
    <col min="15854" max="15854" width="4.77734375" style="316" customWidth="1"/>
    <col min="15855" max="15855" width="11.77734375" style="316" customWidth="1"/>
    <col min="15856" max="15856" width="9.77734375" style="316" customWidth="1"/>
    <col min="15857" max="15857" width="3" style="316" customWidth="1"/>
    <col min="15858" max="15858" width="7.21875" style="316" customWidth="1"/>
    <col min="15859" max="15859" width="22.77734375" style="316" customWidth="1"/>
    <col min="15860" max="15860" width="7.21875" style="316" customWidth="1"/>
    <col min="15861" max="15861" width="9" style="316" hidden="1" customWidth="1"/>
    <col min="15862" max="15862" width="8.77734375" style="316" customWidth="1"/>
    <col min="15863" max="15863" width="9.77734375" style="316" customWidth="1"/>
    <col min="15864" max="15864" width="10.5546875" style="316" customWidth="1"/>
    <col min="15865" max="15865" width="12.21875" style="316" customWidth="1"/>
    <col min="15866" max="15866" width="11.21875" style="316" customWidth="1"/>
    <col min="15867" max="15867" width="6.77734375" style="316" customWidth="1"/>
    <col min="15868" max="16107" width="30.5546875" style="316" customWidth="1"/>
    <col min="16108" max="16108" width="6.5546875" style="316" customWidth="1"/>
    <col min="16109" max="16109" width="7.5546875" style="316" customWidth="1"/>
    <col min="16110" max="16110" width="4.77734375" style="316" customWidth="1"/>
    <col min="16111" max="16111" width="11.77734375" style="316" customWidth="1"/>
    <col min="16112" max="16112" width="9.77734375" style="316" customWidth="1"/>
    <col min="16113" max="16113" width="3" style="316" customWidth="1"/>
    <col min="16114" max="16114" width="7.21875" style="316" customWidth="1"/>
    <col min="16115" max="16115" width="22.77734375" style="316" customWidth="1"/>
    <col min="16116" max="16116" width="7.21875" style="316" customWidth="1"/>
    <col min="16117" max="16117" width="9" style="316" hidden="1" customWidth="1"/>
    <col min="16118" max="16118" width="8.77734375" style="316" customWidth="1"/>
    <col min="16119" max="16119" width="9.77734375" style="316" customWidth="1"/>
    <col min="16120" max="16120" width="10.5546875" style="316" customWidth="1"/>
    <col min="16121" max="16121" width="12.21875" style="316" customWidth="1"/>
    <col min="16122" max="16122" width="11.21875" style="316" customWidth="1"/>
    <col min="16123" max="16123" width="6.77734375" style="316" customWidth="1"/>
    <col min="16124" max="16384" width="30.5546875" style="316" customWidth="1"/>
  </cols>
  <sheetData>
    <row r="1" spans="1:24" ht="15.6">
      <c r="A1" s="1250" t="s">
        <v>48</v>
      </c>
      <c r="B1" s="1251"/>
      <c r="C1" s="1251"/>
      <c r="D1" s="1251"/>
      <c r="E1" s="1251"/>
      <c r="F1" s="1251"/>
      <c r="G1" s="1251"/>
      <c r="H1" s="1251"/>
      <c r="I1" s="1251"/>
      <c r="J1" s="1251"/>
      <c r="K1" s="1251"/>
      <c r="L1" s="1251"/>
      <c r="M1" s="1251"/>
      <c r="N1" s="1251"/>
      <c r="O1" s="1251"/>
      <c r="P1" s="1251"/>
      <c r="Q1" s="1251"/>
      <c r="R1" s="1251"/>
      <c r="S1" s="1251"/>
      <c r="T1" s="1251"/>
      <c r="U1" s="1251"/>
      <c r="V1" s="1251"/>
      <c r="W1" s="1251"/>
      <c r="X1" s="1252"/>
    </row>
    <row r="2" spans="1:24" ht="15.6">
      <c r="A2" s="1253" t="s">
        <v>49</v>
      </c>
      <c r="B2" s="1254"/>
      <c r="C2" s="1254"/>
      <c r="D2" s="1254"/>
      <c r="E2" s="1254"/>
      <c r="F2" s="1254"/>
      <c r="G2" s="1254"/>
      <c r="H2" s="1254"/>
      <c r="I2" s="1254"/>
      <c r="J2" s="1254"/>
      <c r="K2" s="1254"/>
      <c r="L2" s="1254"/>
      <c r="M2" s="1254"/>
      <c r="N2" s="1254"/>
      <c r="O2" s="1254"/>
      <c r="P2" s="1254"/>
      <c r="Q2" s="1254"/>
      <c r="R2" s="1254"/>
      <c r="S2" s="1254"/>
      <c r="T2" s="1254"/>
      <c r="U2" s="1254"/>
      <c r="V2" s="1254"/>
      <c r="W2" s="1254"/>
      <c r="X2" s="1255"/>
    </row>
    <row r="3" spans="1:24" ht="15.6">
      <c r="A3" s="1253" t="s">
        <v>50</v>
      </c>
      <c r="B3" s="1254"/>
      <c r="C3" s="1254"/>
      <c r="D3" s="1254"/>
      <c r="E3" s="1254"/>
      <c r="F3" s="1254"/>
      <c r="G3" s="1254"/>
      <c r="H3" s="1254"/>
      <c r="I3" s="1254"/>
      <c r="J3" s="1254"/>
      <c r="K3" s="1254"/>
      <c r="L3" s="1254"/>
      <c r="M3" s="1254"/>
      <c r="N3" s="1254"/>
      <c r="O3" s="1254"/>
      <c r="P3" s="1254"/>
      <c r="Q3" s="1254"/>
      <c r="R3" s="1254"/>
      <c r="S3" s="1254"/>
      <c r="T3" s="1254"/>
      <c r="U3" s="1254"/>
      <c r="V3" s="1254"/>
      <c r="W3" s="1254"/>
      <c r="X3" s="1255"/>
    </row>
    <row r="4" spans="1:24" ht="15.6">
      <c r="A4" s="329"/>
      <c r="B4" s="493"/>
      <c r="C4" s="329"/>
      <c r="D4" s="329"/>
      <c r="E4" s="329"/>
      <c r="F4" s="329"/>
      <c r="G4" s="329"/>
      <c r="H4" s="329"/>
      <c r="I4" s="329"/>
      <c r="J4" s="329"/>
      <c r="K4" s="329"/>
      <c r="L4" s="329"/>
      <c r="M4" s="329"/>
      <c r="N4" s="329"/>
      <c r="O4" s="329"/>
      <c r="P4" s="329"/>
      <c r="Q4" s="329"/>
      <c r="R4" s="329"/>
      <c r="S4" s="329"/>
      <c r="T4" s="329"/>
      <c r="U4" s="329"/>
      <c r="V4" s="329"/>
      <c r="W4" s="329"/>
      <c r="X4" s="329"/>
    </row>
    <row r="6" spans="1:24">
      <c r="A6" s="316" t="s">
        <v>182</v>
      </c>
    </row>
    <row r="7" spans="1:24" ht="13.05" customHeight="1">
      <c r="A7" s="1291" t="s">
        <v>167</v>
      </c>
      <c r="B7" s="1291" t="s">
        <v>168</v>
      </c>
      <c r="C7" s="1293" t="s">
        <v>183</v>
      </c>
      <c r="D7" s="1291" t="s">
        <v>169</v>
      </c>
      <c r="E7" s="1292" t="s">
        <v>228</v>
      </c>
      <c r="F7" s="1292" t="s">
        <v>229</v>
      </c>
      <c r="G7" s="1292" t="s">
        <v>230</v>
      </c>
    </row>
    <row r="8" spans="1:24">
      <c r="A8" s="1292"/>
      <c r="B8" s="1292"/>
      <c r="C8" s="1293"/>
      <c r="D8" s="1292"/>
      <c r="E8" s="1294"/>
      <c r="F8" s="1294"/>
      <c r="G8" s="1294"/>
    </row>
    <row r="9" spans="1:24" ht="14.4">
      <c r="A9" s="320">
        <v>1</v>
      </c>
      <c r="B9" s="321" t="s">
        <v>234</v>
      </c>
      <c r="C9" s="322"/>
      <c r="D9" s="309"/>
      <c r="E9" s="328"/>
      <c r="F9" s="320"/>
      <c r="G9" s="315"/>
    </row>
    <row r="10" spans="1:24" ht="14.25" customHeight="1">
      <c r="A10" s="320">
        <f>A9+1</f>
        <v>2</v>
      </c>
      <c r="B10" s="315" t="s">
        <v>250</v>
      </c>
      <c r="C10" s="322"/>
      <c r="D10" s="315"/>
      <c r="E10" s="315"/>
      <c r="F10" s="315" t="s">
        <v>192</v>
      </c>
      <c r="G10" s="322"/>
    </row>
    <row r="11" spans="1:24">
      <c r="A11" s="320">
        <f t="shared" ref="A11:A40" si="0">A10+1</f>
        <v>3</v>
      </c>
      <c r="B11" s="315" t="s">
        <v>366</v>
      </c>
      <c r="C11" s="322"/>
      <c r="D11" s="315"/>
      <c r="E11" s="315"/>
      <c r="F11" s="315" t="s">
        <v>192</v>
      </c>
      <c r="G11" s="322"/>
    </row>
    <row r="12" spans="1:24" ht="15.6">
      <c r="A12" s="320">
        <f t="shared" si="0"/>
        <v>4</v>
      </c>
      <c r="B12" s="315" t="s">
        <v>402</v>
      </c>
      <c r="C12" s="322"/>
      <c r="D12" s="315"/>
      <c r="E12" s="315"/>
      <c r="F12" s="315"/>
      <c r="G12" s="322"/>
      <c r="I12" s="330"/>
    </row>
    <row r="13" spans="1:24">
      <c r="A13" s="320">
        <f t="shared" si="0"/>
        <v>5</v>
      </c>
      <c r="B13" s="315" t="s">
        <v>403</v>
      </c>
      <c r="C13" s="322"/>
      <c r="D13" s="315"/>
      <c r="E13" s="315"/>
      <c r="F13" s="315" t="s">
        <v>1268</v>
      </c>
      <c r="G13" s="322"/>
      <c r="H13" s="316" t="s">
        <v>1269</v>
      </c>
    </row>
    <row r="14" spans="1:24">
      <c r="A14" s="320">
        <f t="shared" si="0"/>
        <v>6</v>
      </c>
      <c r="B14" s="315" t="s">
        <v>1081</v>
      </c>
      <c r="C14" s="322"/>
      <c r="D14" s="315"/>
      <c r="E14" s="315"/>
      <c r="F14" s="315"/>
      <c r="G14" s="322"/>
    </row>
    <row r="15" spans="1:24">
      <c r="A15" s="320">
        <f t="shared" si="0"/>
        <v>7</v>
      </c>
      <c r="B15" s="315" t="s">
        <v>368</v>
      </c>
      <c r="C15" s="322"/>
      <c r="D15" s="315"/>
      <c r="E15" s="315"/>
      <c r="F15" s="315" t="s">
        <v>192</v>
      </c>
      <c r="G15" s="322"/>
    </row>
    <row r="16" spans="1:24">
      <c r="A16" s="320">
        <f t="shared" si="0"/>
        <v>8</v>
      </c>
      <c r="B16" s="315" t="s">
        <v>231</v>
      </c>
      <c r="C16" s="337"/>
      <c r="D16" s="337"/>
      <c r="E16" s="337"/>
      <c r="F16" s="337"/>
      <c r="G16" s="337"/>
    </row>
    <row r="17" spans="1:7">
      <c r="A17" s="320">
        <f t="shared" si="0"/>
        <v>9</v>
      </c>
      <c r="B17" s="315" t="s">
        <v>236</v>
      </c>
      <c r="C17" s="315"/>
      <c r="D17" s="337"/>
      <c r="E17" s="337"/>
      <c r="F17" s="337"/>
      <c r="G17" s="337"/>
    </row>
    <row r="18" spans="1:7">
      <c r="A18" s="320">
        <f t="shared" si="0"/>
        <v>10</v>
      </c>
      <c r="B18" s="320" t="s">
        <v>397</v>
      </c>
      <c r="C18" s="336"/>
      <c r="D18" s="336"/>
      <c r="E18" s="490"/>
      <c r="F18" s="336"/>
      <c r="G18" s="337"/>
    </row>
    <row r="19" spans="1:7">
      <c r="A19" s="320">
        <f t="shared" si="0"/>
        <v>11</v>
      </c>
      <c r="B19" s="320" t="s">
        <v>245</v>
      </c>
      <c r="C19" s="336"/>
      <c r="D19" s="336"/>
      <c r="E19" s="336"/>
      <c r="F19" s="336"/>
      <c r="G19" s="336"/>
    </row>
    <row r="20" spans="1:7">
      <c r="A20" s="320">
        <f t="shared" si="0"/>
        <v>12</v>
      </c>
      <c r="B20" s="315" t="s">
        <v>336</v>
      </c>
      <c r="C20" s="333"/>
      <c r="D20" s="337"/>
      <c r="E20" s="337"/>
      <c r="F20" s="337"/>
      <c r="G20" s="333"/>
    </row>
    <row r="21" spans="1:7">
      <c r="A21" s="320">
        <f t="shared" si="0"/>
        <v>13</v>
      </c>
      <c r="B21" s="315" t="s">
        <v>252</v>
      </c>
      <c r="C21" s="333"/>
      <c r="D21" s="337"/>
      <c r="E21" s="337"/>
      <c r="F21" s="337"/>
      <c r="G21" s="333"/>
    </row>
    <row r="22" spans="1:7">
      <c r="A22" s="320">
        <f t="shared" si="0"/>
        <v>14</v>
      </c>
      <c r="B22" s="315" t="s">
        <v>255</v>
      </c>
      <c r="C22" s="337"/>
      <c r="D22" s="337"/>
      <c r="E22" s="337"/>
      <c r="F22" s="337"/>
      <c r="G22" s="337"/>
    </row>
    <row r="23" spans="1:7">
      <c r="A23" s="320">
        <f t="shared" si="0"/>
        <v>15</v>
      </c>
      <c r="B23" s="315" t="s">
        <v>289</v>
      </c>
      <c r="C23" s="333"/>
      <c r="D23" s="337"/>
      <c r="E23" s="337"/>
      <c r="F23" s="337"/>
      <c r="G23" s="333"/>
    </row>
    <row r="24" spans="1:7">
      <c r="A24" s="320">
        <f t="shared" si="0"/>
        <v>16</v>
      </c>
      <c r="B24" s="315" t="s">
        <v>314</v>
      </c>
      <c r="C24" s="333"/>
      <c r="D24" s="337"/>
      <c r="E24" s="337"/>
      <c r="F24" s="337"/>
      <c r="G24" s="333"/>
    </row>
    <row r="25" spans="1:7">
      <c r="A25" s="320">
        <f t="shared" si="0"/>
        <v>17</v>
      </c>
      <c r="B25" s="315" t="s">
        <v>427</v>
      </c>
      <c r="C25" s="333"/>
      <c r="D25" s="337"/>
      <c r="E25" s="337"/>
      <c r="F25" s="337"/>
      <c r="G25" s="333"/>
    </row>
    <row r="26" spans="1:7">
      <c r="A26" s="320">
        <f t="shared" si="0"/>
        <v>18</v>
      </c>
      <c r="B26" s="315" t="s">
        <v>432</v>
      </c>
      <c r="C26" s="333"/>
      <c r="D26" s="337"/>
      <c r="E26" s="337"/>
      <c r="F26" s="337"/>
      <c r="G26" s="333"/>
    </row>
    <row r="27" spans="1:7">
      <c r="A27" s="320">
        <f t="shared" si="0"/>
        <v>19</v>
      </c>
      <c r="B27" s="315" t="s">
        <v>1255</v>
      </c>
      <c r="C27" s="333"/>
      <c r="D27" s="337"/>
      <c r="E27" s="337"/>
      <c r="F27" s="337"/>
      <c r="G27" s="333"/>
    </row>
    <row r="28" spans="1:7">
      <c r="A28" s="320">
        <f t="shared" si="0"/>
        <v>20</v>
      </c>
      <c r="B28" s="315" t="s">
        <v>1256</v>
      </c>
      <c r="C28" s="333"/>
      <c r="D28" s="337"/>
      <c r="E28" s="337"/>
      <c r="F28" s="337"/>
      <c r="G28" s="333"/>
    </row>
    <row r="29" spans="1:7">
      <c r="A29" s="320">
        <f t="shared" si="0"/>
        <v>21</v>
      </c>
      <c r="B29" s="315" t="s">
        <v>1254</v>
      </c>
      <c r="C29" s="333"/>
      <c r="D29" s="337"/>
      <c r="E29" s="337"/>
      <c r="F29" s="337"/>
      <c r="G29" s="333"/>
    </row>
    <row r="30" spans="1:7">
      <c r="A30" s="320">
        <f t="shared" si="0"/>
        <v>22</v>
      </c>
      <c r="B30" s="315" t="s">
        <v>1257</v>
      </c>
      <c r="C30" s="333"/>
      <c r="D30" s="337"/>
      <c r="E30" s="337"/>
      <c r="F30" s="337"/>
      <c r="G30" s="333"/>
    </row>
    <row r="31" spans="1:7">
      <c r="A31" s="320">
        <f t="shared" si="0"/>
        <v>23</v>
      </c>
      <c r="B31" s="315" t="s">
        <v>1258</v>
      </c>
      <c r="C31" s="333"/>
      <c r="D31" s="337"/>
      <c r="E31" s="337"/>
      <c r="F31" s="337"/>
      <c r="G31" s="333"/>
    </row>
    <row r="32" spans="1:7">
      <c r="A32" s="320">
        <f t="shared" si="0"/>
        <v>24</v>
      </c>
      <c r="B32" s="315" t="s">
        <v>288</v>
      </c>
      <c r="C32" s="333"/>
      <c r="D32" s="337"/>
      <c r="E32" s="337"/>
      <c r="F32" s="337"/>
      <c r="G32" s="333"/>
    </row>
    <row r="33" spans="1:7">
      <c r="A33" s="320">
        <f t="shared" si="0"/>
        <v>25</v>
      </c>
      <c r="B33" s="315" t="s">
        <v>704</v>
      </c>
      <c r="C33" s="333"/>
      <c r="D33" s="337"/>
      <c r="E33" s="337"/>
      <c r="F33" s="337"/>
      <c r="G33" s="333"/>
    </row>
    <row r="34" spans="1:7">
      <c r="A34" s="320">
        <f t="shared" si="0"/>
        <v>26</v>
      </c>
      <c r="B34" s="315" t="s">
        <v>1264</v>
      </c>
      <c r="C34" s="333"/>
      <c r="D34" s="337"/>
      <c r="E34" s="337"/>
      <c r="F34" s="337"/>
      <c r="G34" s="333"/>
    </row>
    <row r="35" spans="1:7">
      <c r="A35" s="320">
        <f t="shared" si="0"/>
        <v>27</v>
      </c>
      <c r="B35" s="315" t="s">
        <v>1265</v>
      </c>
      <c r="C35" s="333"/>
      <c r="D35" s="337"/>
      <c r="E35" s="337"/>
      <c r="F35" s="337"/>
      <c r="G35" s="333"/>
    </row>
    <row r="36" spans="1:7">
      <c r="A36" s="320">
        <f t="shared" si="0"/>
        <v>28</v>
      </c>
      <c r="B36" s="315" t="s">
        <v>1263</v>
      </c>
      <c r="C36" s="322"/>
      <c r="D36" s="337"/>
      <c r="E36" s="337"/>
      <c r="F36" s="337"/>
      <c r="G36" s="333"/>
    </row>
    <row r="37" spans="1:7">
      <c r="A37" s="320">
        <f t="shared" si="0"/>
        <v>29</v>
      </c>
      <c r="B37" s="315" t="s">
        <v>695</v>
      </c>
      <c r="C37" s="322"/>
      <c r="D37" s="337"/>
      <c r="E37" s="337"/>
      <c r="F37" s="337"/>
      <c r="G37" s="333"/>
    </row>
    <row r="38" spans="1:7">
      <c r="A38" s="320">
        <f t="shared" si="0"/>
        <v>30</v>
      </c>
      <c r="B38" s="315" t="s">
        <v>1273</v>
      </c>
      <c r="C38" s="322"/>
      <c r="D38" s="337"/>
      <c r="E38" s="337"/>
      <c r="F38" s="337"/>
      <c r="G38" s="333"/>
    </row>
    <row r="39" spans="1:7">
      <c r="A39" s="336">
        <f t="shared" si="0"/>
        <v>31</v>
      </c>
      <c r="B39" s="528" t="s">
        <v>774</v>
      </c>
      <c r="C39" s="333"/>
      <c r="D39" s="337"/>
      <c r="E39" s="337"/>
      <c r="F39" s="337"/>
      <c r="G39" s="333"/>
    </row>
    <row r="40" spans="1:7">
      <c r="A40" s="336">
        <f t="shared" si="0"/>
        <v>32</v>
      </c>
      <c r="B40" s="528" t="s">
        <v>780</v>
      </c>
      <c r="C40" s="333"/>
      <c r="D40" s="337"/>
      <c r="E40" s="337"/>
      <c r="F40" s="337"/>
      <c r="G40" s="333"/>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271" priority="1"/>
    <cfRule type="duplicateValues" dxfId="270" priority="9"/>
    <cfRule type="duplicateValues" dxfId="269" priority="10"/>
    <cfRule type="duplicateValues" dxfId="268" priority="15"/>
    <cfRule type="duplicateValues" dxfId="267" priority="16"/>
  </conditionalFormatting>
  <conditionalFormatting sqref="B10 B7:B8">
    <cfRule type="duplicateValues" dxfId="266" priority="1879"/>
  </conditionalFormatting>
  <conditionalFormatting sqref="B10:B38 B1:B8 B41:B1048576">
    <cfRule type="duplicateValues" dxfId="265" priority="21"/>
  </conditionalFormatting>
  <conditionalFormatting sqref="B18:B22 B7:B8 B10:B13 B16">
    <cfRule type="duplicateValues" dxfId="264" priority="2012" stopIfTrue="1"/>
    <cfRule type="duplicateValues" dxfId="263" priority="2013"/>
  </conditionalFormatting>
  <conditionalFormatting sqref="B18:B22 B7:B8 B16 B10:B13">
    <cfRule type="duplicateValues" dxfId="262" priority="2022"/>
  </conditionalFormatting>
  <conditionalFormatting sqref="B23:B38 B1:B6 B41:B1048576">
    <cfRule type="duplicateValues" dxfId="261" priority="35"/>
  </conditionalFormatting>
  <conditionalFormatting sqref="B23:B38 B41:B64911">
    <cfRule type="duplicateValues" dxfId="260" priority="2036" stopIfTrue="1"/>
  </conditionalFormatting>
  <conditionalFormatting sqref="B23:B38 B41:B1048576">
    <cfRule type="duplicateValues" dxfId="259" priority="53"/>
  </conditionalFormatting>
  <conditionalFormatting sqref="D10">
    <cfRule type="duplicateValues" dxfId="258" priority="1893"/>
    <cfRule type="duplicateValues" dxfId="257" priority="1894"/>
    <cfRule type="duplicateValues" dxfId="256"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4"/>
  <cols>
    <col min="6" max="6" width="11.6640625" bestFit="1" customWidth="1"/>
    <col min="7" max="7" width="11.5546875" bestFit="1" customWidth="1"/>
    <col min="8" max="8" width="10.44140625" bestFit="1" customWidth="1"/>
  </cols>
  <sheetData>
    <row r="1" spans="2:8">
      <c r="B1" s="821" t="s">
        <v>1554</v>
      </c>
      <c r="C1" s="821" t="s">
        <v>1082</v>
      </c>
      <c r="D1" s="821" t="s">
        <v>1056</v>
      </c>
      <c r="E1" s="310"/>
      <c r="F1" s="821" t="s">
        <v>170</v>
      </c>
      <c r="G1" s="827" t="s">
        <v>171</v>
      </c>
      <c r="H1" s="310" t="s">
        <v>1555</v>
      </c>
    </row>
    <row r="2" spans="2:8">
      <c r="B2" s="588">
        <v>1</v>
      </c>
      <c r="C2" s="589" t="s">
        <v>233</v>
      </c>
      <c r="D2" s="589" t="s">
        <v>147</v>
      </c>
      <c r="E2" s="594"/>
      <c r="F2" s="594" t="s">
        <v>174</v>
      </c>
      <c r="G2" s="592">
        <v>45799</v>
      </c>
      <c r="H2" s="592">
        <v>45812</v>
      </c>
    </row>
    <row r="3" spans="2:8">
      <c r="B3" s="588">
        <f>B2+1</f>
        <v>2</v>
      </c>
      <c r="C3" s="590" t="s">
        <v>441</v>
      </c>
      <c r="D3" s="590" t="s">
        <v>206</v>
      </c>
      <c r="E3" s="594"/>
      <c r="F3" s="594" t="s">
        <v>174</v>
      </c>
      <c r="G3" s="593">
        <v>45807</v>
      </c>
      <c r="H3" s="593">
        <v>45813</v>
      </c>
    </row>
    <row r="4" spans="2:8">
      <c r="B4" s="588">
        <f t="shared" ref="B4:B26" si="0">B3+1</f>
        <v>3</v>
      </c>
      <c r="C4" s="589" t="s">
        <v>1285</v>
      </c>
      <c r="D4" s="589" t="s">
        <v>80</v>
      </c>
      <c r="E4" s="594"/>
      <c r="F4" s="594" t="s">
        <v>256</v>
      </c>
      <c r="G4" s="592">
        <v>45805</v>
      </c>
      <c r="H4" s="592">
        <v>45814</v>
      </c>
    </row>
    <row r="5" spans="2:8">
      <c r="B5" s="588">
        <f t="shared" si="0"/>
        <v>4</v>
      </c>
      <c r="C5" s="590" t="s">
        <v>1310</v>
      </c>
      <c r="D5" s="590" t="s">
        <v>80</v>
      </c>
      <c r="E5" s="594"/>
      <c r="F5" s="594" t="s">
        <v>174</v>
      </c>
      <c r="G5" s="823">
        <v>45809</v>
      </c>
      <c r="H5" s="823">
        <v>45815</v>
      </c>
    </row>
    <row r="6" spans="2:8">
      <c r="B6" s="588">
        <f t="shared" si="0"/>
        <v>5</v>
      </c>
      <c r="C6" s="590" t="s">
        <v>775</v>
      </c>
      <c r="D6" s="590" t="s">
        <v>147</v>
      </c>
      <c r="E6" s="594"/>
      <c r="F6" s="594" t="s">
        <v>174</v>
      </c>
      <c r="G6" s="592">
        <v>45810</v>
      </c>
      <c r="H6" s="592">
        <v>45816</v>
      </c>
    </row>
    <row r="7" spans="2:8">
      <c r="B7" s="588">
        <f t="shared" si="0"/>
        <v>6</v>
      </c>
      <c r="C7" s="590" t="s">
        <v>357</v>
      </c>
      <c r="D7" s="590" t="s">
        <v>147</v>
      </c>
      <c r="E7" s="594"/>
      <c r="F7" s="594" t="s">
        <v>174</v>
      </c>
      <c r="G7" s="592">
        <v>45810</v>
      </c>
      <c r="H7" s="592">
        <v>45818</v>
      </c>
    </row>
    <row r="8" spans="2:8">
      <c r="B8" s="588">
        <f t="shared" si="0"/>
        <v>7</v>
      </c>
      <c r="C8" s="590" t="s">
        <v>1312</v>
      </c>
      <c r="D8" s="590" t="s">
        <v>90</v>
      </c>
      <c r="E8" s="594"/>
      <c r="F8" s="594" t="s">
        <v>174</v>
      </c>
      <c r="G8" s="593">
        <v>45877</v>
      </c>
      <c r="H8" s="824">
        <v>45820</v>
      </c>
    </row>
    <row r="9" spans="2:8">
      <c r="B9" s="588">
        <f t="shared" si="0"/>
        <v>8</v>
      </c>
      <c r="C9" s="590" t="s">
        <v>778</v>
      </c>
      <c r="D9" s="590" t="s">
        <v>147</v>
      </c>
      <c r="E9" s="594"/>
      <c r="F9" s="594" t="s">
        <v>174</v>
      </c>
      <c r="G9" s="593">
        <v>45812</v>
      </c>
      <c r="H9" s="593">
        <v>45820</v>
      </c>
    </row>
    <row r="10" spans="2:8">
      <c r="B10" s="588">
        <f t="shared" si="0"/>
        <v>9</v>
      </c>
      <c r="C10" s="590" t="s">
        <v>1311</v>
      </c>
      <c r="D10" s="590" t="s">
        <v>108</v>
      </c>
      <c r="E10" s="594"/>
      <c r="F10" s="594" t="s">
        <v>174</v>
      </c>
      <c r="G10" s="592">
        <v>45813</v>
      </c>
      <c r="H10" s="592">
        <v>45823</v>
      </c>
    </row>
    <row r="11" spans="2:8">
      <c r="B11" s="588">
        <f t="shared" si="0"/>
        <v>10</v>
      </c>
      <c r="C11" s="589" t="s">
        <v>356</v>
      </c>
      <c r="D11" s="589" t="s">
        <v>206</v>
      </c>
      <c r="E11" s="594"/>
      <c r="F11" s="594" t="s">
        <v>174</v>
      </c>
      <c r="G11" s="592">
        <v>45818</v>
      </c>
      <c r="H11" s="592">
        <v>45823</v>
      </c>
    </row>
    <row r="12" spans="2:8">
      <c r="B12" s="588">
        <f t="shared" si="0"/>
        <v>11</v>
      </c>
      <c r="C12" s="590" t="s">
        <v>158</v>
      </c>
      <c r="D12" s="590" t="s">
        <v>80</v>
      </c>
      <c r="E12" s="594"/>
      <c r="F12" s="594" t="s">
        <v>174</v>
      </c>
      <c r="G12" s="593">
        <v>45816</v>
      </c>
      <c r="H12" s="592">
        <v>45823</v>
      </c>
    </row>
    <row r="13" spans="2:8">
      <c r="B13" s="588">
        <f t="shared" si="0"/>
        <v>12</v>
      </c>
      <c r="C13" s="590" t="s">
        <v>124</v>
      </c>
      <c r="D13" s="590" t="s">
        <v>80</v>
      </c>
      <c r="E13" s="594"/>
      <c r="F13" s="594" t="s">
        <v>174</v>
      </c>
      <c r="G13" s="592">
        <v>45821</v>
      </c>
      <c r="H13" s="823">
        <v>45824</v>
      </c>
    </row>
    <row r="14" spans="2:8">
      <c r="B14" s="588">
        <f t="shared" si="0"/>
        <v>13</v>
      </c>
      <c r="C14" s="590" t="s">
        <v>777</v>
      </c>
      <c r="D14" s="590" t="s">
        <v>147</v>
      </c>
      <c r="E14" s="594"/>
      <c r="F14" s="594" t="s">
        <v>174</v>
      </c>
      <c r="G14" s="592">
        <v>45821</v>
      </c>
      <c r="H14" s="592">
        <v>45824</v>
      </c>
    </row>
    <row r="15" spans="2:8">
      <c r="B15" s="588">
        <f t="shared" si="0"/>
        <v>14</v>
      </c>
      <c r="C15" s="590" t="s">
        <v>122</v>
      </c>
      <c r="D15" s="590" t="s">
        <v>97</v>
      </c>
      <c r="E15" s="594"/>
      <c r="F15" s="594" t="s">
        <v>174</v>
      </c>
      <c r="G15" s="593">
        <v>45824</v>
      </c>
      <c r="H15" s="824">
        <v>45828</v>
      </c>
    </row>
    <row r="16" spans="2:8">
      <c r="B16" s="588">
        <f t="shared" si="0"/>
        <v>15</v>
      </c>
      <c r="C16" s="590" t="s">
        <v>774</v>
      </c>
      <c r="D16" s="590" t="s">
        <v>147</v>
      </c>
      <c r="E16" s="594"/>
      <c r="F16" s="594" t="s">
        <v>174</v>
      </c>
      <c r="G16" s="592">
        <v>45823</v>
      </c>
      <c r="H16" s="592">
        <v>45829</v>
      </c>
    </row>
    <row r="17" spans="2:8">
      <c r="B17" s="588">
        <f t="shared" si="0"/>
        <v>16</v>
      </c>
      <c r="C17" s="591" t="s">
        <v>780</v>
      </c>
      <c r="D17" s="591" t="s">
        <v>147</v>
      </c>
      <c r="E17" s="595"/>
      <c r="F17" s="595" t="s">
        <v>174</v>
      </c>
      <c r="G17" s="596">
        <v>45823</v>
      </c>
      <c r="H17" s="596">
        <v>45830</v>
      </c>
    </row>
    <row r="18" spans="2:8">
      <c r="B18" s="588">
        <f t="shared" si="0"/>
        <v>17</v>
      </c>
      <c r="C18" s="591" t="s">
        <v>379</v>
      </c>
      <c r="D18" s="591" t="s">
        <v>84</v>
      </c>
      <c r="E18" s="595"/>
      <c r="F18" s="595" t="s">
        <v>256</v>
      </c>
      <c r="G18" s="596">
        <v>45824</v>
      </c>
      <c r="H18" s="596">
        <v>45831</v>
      </c>
    </row>
    <row r="19" spans="2:8">
      <c r="B19" s="588">
        <f t="shared" si="0"/>
        <v>18</v>
      </c>
      <c r="C19" s="576" t="s">
        <v>773</v>
      </c>
      <c r="D19" s="576" t="s">
        <v>147</v>
      </c>
      <c r="E19" s="320"/>
      <c r="F19" s="320" t="s">
        <v>174</v>
      </c>
      <c r="G19" s="600">
        <v>45830</v>
      </c>
      <c r="H19" s="600">
        <v>45833</v>
      </c>
    </row>
    <row r="20" spans="2:8">
      <c r="B20" s="588">
        <f t="shared" si="0"/>
        <v>19</v>
      </c>
      <c r="C20" s="587" t="s">
        <v>776</v>
      </c>
      <c r="D20" s="587" t="s">
        <v>147</v>
      </c>
      <c r="E20" s="796"/>
      <c r="F20" s="796" t="s">
        <v>174</v>
      </c>
      <c r="G20" s="601">
        <v>45830</v>
      </c>
      <c r="H20" s="601">
        <v>45833</v>
      </c>
    </row>
    <row r="21" spans="2:8">
      <c r="B21" s="588">
        <f t="shared" si="0"/>
        <v>20</v>
      </c>
      <c r="C21" s="604" t="s">
        <v>1432</v>
      </c>
      <c r="D21" s="604" t="s">
        <v>84</v>
      </c>
      <c r="E21" s="797"/>
      <c r="F21" s="797" t="s">
        <v>174</v>
      </c>
      <c r="G21" s="605">
        <v>45828</v>
      </c>
      <c r="H21" s="825">
        <v>45834</v>
      </c>
    </row>
    <row r="22" spans="2:8">
      <c r="B22" s="588">
        <f t="shared" si="0"/>
        <v>21</v>
      </c>
      <c r="C22" s="576" t="s">
        <v>1263</v>
      </c>
      <c r="D22" s="576" t="s">
        <v>90</v>
      </c>
      <c r="E22" s="320"/>
      <c r="F22" s="320" t="s">
        <v>174</v>
      </c>
      <c r="G22" s="603">
        <v>45825</v>
      </c>
      <c r="H22" s="606">
        <v>45835</v>
      </c>
    </row>
    <row r="23" spans="2:8">
      <c r="B23" s="588">
        <f t="shared" si="0"/>
        <v>22</v>
      </c>
      <c r="C23" s="587" t="s">
        <v>336</v>
      </c>
      <c r="D23" s="587" t="s">
        <v>150</v>
      </c>
      <c r="E23" s="796"/>
      <c r="F23" s="796" t="s">
        <v>256</v>
      </c>
      <c r="G23" s="510">
        <v>45833</v>
      </c>
      <c r="H23" s="826">
        <v>45838</v>
      </c>
    </row>
    <row r="24" spans="2:8">
      <c r="B24" s="588">
        <f t="shared" si="0"/>
        <v>23</v>
      </c>
      <c r="C24" s="576" t="s">
        <v>1313</v>
      </c>
      <c r="D24" s="576" t="s">
        <v>80</v>
      </c>
      <c r="E24" s="320"/>
      <c r="F24" s="320" t="s">
        <v>174</v>
      </c>
      <c r="G24" s="600">
        <v>45818</v>
      </c>
      <c r="H24" s="789">
        <v>45838</v>
      </c>
    </row>
    <row r="25" spans="2:8">
      <c r="B25" s="588">
        <f t="shared" si="0"/>
        <v>24</v>
      </c>
      <c r="C25" s="514" t="s">
        <v>772</v>
      </c>
      <c r="D25" s="514" t="s">
        <v>150</v>
      </c>
      <c r="E25" s="315"/>
      <c r="F25" s="315" t="s">
        <v>174</v>
      </c>
      <c r="G25" s="606">
        <v>45833</v>
      </c>
      <c r="H25" s="789">
        <v>45838</v>
      </c>
    </row>
    <row r="26" spans="2:8">
      <c r="B26" s="588">
        <f t="shared" si="0"/>
        <v>25</v>
      </c>
      <c r="C26" s="514" t="s">
        <v>781</v>
      </c>
      <c r="D26" s="514" t="s">
        <v>147</v>
      </c>
      <c r="E26" s="315"/>
      <c r="F26" s="315" t="s">
        <v>174</v>
      </c>
      <c r="G26" s="510">
        <v>45833</v>
      </c>
      <c r="H26" s="789">
        <v>45838</v>
      </c>
    </row>
  </sheetData>
  <conditionalFormatting sqref="C1">
    <cfRule type="duplicateValues" dxfId="255" priority="1"/>
  </conditionalFormatting>
  <conditionalFormatting sqref="C2:C9 C11:C26">
    <cfRule type="duplicateValues" dxfId="254" priority="6"/>
    <cfRule type="duplicateValues" dxfId="253" priority="7"/>
    <cfRule type="duplicateValues" dxfId="252" priority="8" stopIfTrue="1"/>
  </conditionalFormatting>
  <conditionalFormatting sqref="C2:C26">
    <cfRule type="duplicateValues" dxfId="251" priority="2"/>
  </conditionalFormatting>
  <conditionalFormatting sqref="C10">
    <cfRule type="duplicateValues" dxfId="250" priority="3"/>
    <cfRule type="duplicateValues" dxfId="249" priority="4"/>
    <cfRule type="duplicateValues" dxfId="248"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H25"/>
  <sheetViews>
    <sheetView topLeftCell="A3" zoomScale="90" zoomScaleNormal="90" zoomScaleSheetLayoutView="90" workbookViewId="0">
      <selection activeCell="S14" sqref="S14:S15"/>
    </sheetView>
  </sheetViews>
  <sheetFormatPr defaultColWidth="9" defaultRowHeight="14.4"/>
  <cols>
    <col min="1" max="1" width="4.21875" style="1055" customWidth="1"/>
    <col min="2" max="2" width="8.44140625" style="799" customWidth="1"/>
    <col min="3" max="3" width="1" style="1055" hidden="1" customWidth="1"/>
    <col min="4" max="4" width="7" style="1055" customWidth="1"/>
    <col min="5" max="5" width="15.44140625" style="1055" bestFit="1" customWidth="1"/>
    <col min="6" max="7" width="4.6640625" style="1055" hidden="1" customWidth="1"/>
    <col min="8" max="8" width="9.33203125" style="1055" hidden="1" customWidth="1"/>
    <col min="9" max="9" width="12.77734375" style="1055" hidden="1" customWidth="1"/>
    <col min="10" max="10" width="4.5546875" style="1055" hidden="1" customWidth="1"/>
    <col min="11" max="11" width="3.109375" style="1055" hidden="1" customWidth="1"/>
    <col min="12" max="12" width="9.77734375" style="1055" customWidth="1"/>
    <col min="13" max="13" width="14.88671875" style="357" customWidth="1"/>
    <col min="14" max="14" width="12" style="357" customWidth="1"/>
    <col min="15" max="15" width="31.33203125" style="1055" bestFit="1" customWidth="1"/>
    <col min="16" max="16" width="15.21875" style="1055" hidden="1" customWidth="1"/>
    <col min="17" max="17" width="34.5546875" style="1055" customWidth="1"/>
    <col min="18" max="246" width="30.5546875" style="1055" customWidth="1"/>
    <col min="247" max="247" width="6.5546875" style="1055" customWidth="1"/>
    <col min="248" max="248" width="7.5546875" style="1055" customWidth="1"/>
    <col min="249" max="249" width="4.77734375" style="1055" customWidth="1"/>
    <col min="250" max="250" width="11.77734375" style="1055" customWidth="1"/>
    <col min="251" max="251" width="9.77734375" style="1055" customWidth="1"/>
    <col min="252" max="252" width="3" style="1055" customWidth="1"/>
    <col min="253" max="253" width="7.21875" style="1055" customWidth="1"/>
    <col min="254" max="254" width="22.77734375" style="1055" customWidth="1"/>
    <col min="255" max="255" width="7.21875" style="1055" customWidth="1"/>
    <col min="256" max="256" width="9" style="1055" hidden="1" customWidth="1"/>
    <col min="257" max="257" width="8.77734375" style="1055" customWidth="1"/>
    <col min="258" max="258" width="9.77734375" style="1055" customWidth="1"/>
    <col min="259" max="259" width="10.5546875" style="1055" customWidth="1"/>
    <col min="260" max="260" width="12.21875" style="1055" customWidth="1"/>
    <col min="261" max="261" width="11.21875" style="1055" customWidth="1"/>
    <col min="262" max="262" width="6.77734375" style="1055" customWidth="1"/>
    <col min="263" max="502" width="30.5546875" style="1055" customWidth="1"/>
    <col min="503" max="503" width="6.5546875" style="1055" customWidth="1"/>
    <col min="504" max="504" width="7.5546875" style="1055" customWidth="1"/>
    <col min="505" max="505" width="4.77734375" style="1055" customWidth="1"/>
    <col min="506" max="506" width="11.77734375" style="1055" customWidth="1"/>
    <col min="507" max="507" width="9.77734375" style="1055" customWidth="1"/>
    <col min="508" max="508" width="3" style="1055" customWidth="1"/>
    <col min="509" max="509" width="7.21875" style="1055" customWidth="1"/>
    <col min="510" max="510" width="22.77734375" style="1055" customWidth="1"/>
    <col min="511" max="511" width="7.21875" style="1055" customWidth="1"/>
    <col min="512" max="512" width="9" style="1055" hidden="1" customWidth="1"/>
    <col min="513" max="513" width="8.77734375" style="1055" customWidth="1"/>
    <col min="514" max="514" width="9.77734375" style="1055" customWidth="1"/>
    <col min="515" max="515" width="10.5546875" style="1055" customWidth="1"/>
    <col min="516" max="516" width="12.21875" style="1055" customWidth="1"/>
    <col min="517" max="517" width="11.21875" style="1055" customWidth="1"/>
    <col min="518" max="518" width="6.77734375" style="1055" customWidth="1"/>
    <col min="519" max="758" width="30.5546875" style="1055" customWidth="1"/>
    <col min="759" max="759" width="6.5546875" style="1055" customWidth="1"/>
    <col min="760" max="760" width="7.5546875" style="1055" customWidth="1"/>
    <col min="761" max="761" width="4.77734375" style="1055" customWidth="1"/>
    <col min="762" max="762" width="11.77734375" style="1055" customWidth="1"/>
    <col min="763" max="763" width="9.77734375" style="1055" customWidth="1"/>
    <col min="764" max="764" width="3" style="1055" customWidth="1"/>
    <col min="765" max="765" width="7.21875" style="1055" customWidth="1"/>
    <col min="766" max="766" width="22.77734375" style="1055" customWidth="1"/>
    <col min="767" max="767" width="7.21875" style="1055" customWidth="1"/>
    <col min="768" max="768" width="9" style="1055" hidden="1" customWidth="1"/>
    <col min="769" max="769" width="8.77734375" style="1055" customWidth="1"/>
    <col min="770" max="770" width="9.77734375" style="1055" customWidth="1"/>
    <col min="771" max="771" width="10.5546875" style="1055" customWidth="1"/>
    <col min="772" max="772" width="12.21875" style="1055" customWidth="1"/>
    <col min="773" max="773" width="11.21875" style="1055" customWidth="1"/>
    <col min="774" max="774" width="6.77734375" style="1055" customWidth="1"/>
    <col min="775" max="1014" width="30.5546875" style="1055" customWidth="1"/>
    <col min="1015" max="1015" width="6.5546875" style="1055" customWidth="1"/>
    <col min="1016" max="1016" width="7.5546875" style="1055" customWidth="1"/>
    <col min="1017" max="1017" width="4.77734375" style="1055" customWidth="1"/>
    <col min="1018" max="1018" width="11.77734375" style="1055" customWidth="1"/>
    <col min="1019" max="1019" width="9.77734375" style="1055" customWidth="1"/>
    <col min="1020" max="1020" width="3" style="1055" customWidth="1"/>
    <col min="1021" max="1021" width="7.21875" style="1055" customWidth="1"/>
    <col min="1022" max="1022" width="22.77734375" style="1055" customWidth="1"/>
    <col min="1023" max="1023" width="7.21875" style="1055" customWidth="1"/>
    <col min="1024" max="1024" width="9" style="1055" hidden="1" customWidth="1"/>
    <col min="1025" max="1025" width="8.77734375" style="1055" customWidth="1"/>
    <col min="1026" max="1026" width="9.77734375" style="1055" customWidth="1"/>
    <col min="1027" max="1027" width="10.5546875" style="1055" customWidth="1"/>
    <col min="1028" max="1028" width="12.21875" style="1055" customWidth="1"/>
    <col min="1029" max="1029" width="11.21875" style="1055" customWidth="1"/>
    <col min="1030" max="1030" width="6.77734375" style="1055" customWidth="1"/>
    <col min="1031" max="1270" width="30.5546875" style="1055" customWidth="1"/>
    <col min="1271" max="1271" width="6.5546875" style="1055" customWidth="1"/>
    <col min="1272" max="1272" width="7.5546875" style="1055" customWidth="1"/>
    <col min="1273" max="1273" width="4.77734375" style="1055" customWidth="1"/>
    <col min="1274" max="1274" width="11.77734375" style="1055" customWidth="1"/>
    <col min="1275" max="1275" width="9.77734375" style="1055" customWidth="1"/>
    <col min="1276" max="1276" width="3" style="1055" customWidth="1"/>
    <col min="1277" max="1277" width="7.21875" style="1055" customWidth="1"/>
    <col min="1278" max="1278" width="22.77734375" style="1055" customWidth="1"/>
    <col min="1279" max="1279" width="7.21875" style="1055" customWidth="1"/>
    <col min="1280" max="1280" width="9" style="1055" hidden="1" customWidth="1"/>
    <col min="1281" max="1281" width="8.77734375" style="1055" customWidth="1"/>
    <col min="1282" max="1282" width="9.77734375" style="1055" customWidth="1"/>
    <col min="1283" max="1283" width="10.5546875" style="1055" customWidth="1"/>
    <col min="1284" max="1284" width="12.21875" style="1055" customWidth="1"/>
    <col min="1285" max="1285" width="11.21875" style="1055" customWidth="1"/>
    <col min="1286" max="1286" width="6.77734375" style="1055" customWidth="1"/>
    <col min="1287" max="1526" width="30.5546875" style="1055" customWidth="1"/>
    <col min="1527" max="1527" width="6.5546875" style="1055" customWidth="1"/>
    <col min="1528" max="1528" width="7.5546875" style="1055" customWidth="1"/>
    <col min="1529" max="1529" width="4.77734375" style="1055" customWidth="1"/>
    <col min="1530" max="1530" width="11.77734375" style="1055" customWidth="1"/>
    <col min="1531" max="1531" width="9.77734375" style="1055" customWidth="1"/>
    <col min="1532" max="1532" width="3" style="1055" customWidth="1"/>
    <col min="1533" max="1533" width="7.21875" style="1055" customWidth="1"/>
    <col min="1534" max="1534" width="22.77734375" style="1055" customWidth="1"/>
    <col min="1535" max="1535" width="7.21875" style="1055" customWidth="1"/>
    <col min="1536" max="1536" width="9" style="1055" hidden="1" customWidth="1"/>
    <col min="1537" max="1537" width="8.77734375" style="1055" customWidth="1"/>
    <col min="1538" max="1538" width="9.77734375" style="1055" customWidth="1"/>
    <col min="1539" max="1539" width="10.5546875" style="1055" customWidth="1"/>
    <col min="1540" max="1540" width="12.21875" style="1055" customWidth="1"/>
    <col min="1541" max="1541" width="11.21875" style="1055" customWidth="1"/>
    <col min="1542" max="1542" width="6.77734375" style="1055" customWidth="1"/>
    <col min="1543" max="1782" width="30.5546875" style="1055" customWidth="1"/>
    <col min="1783" max="1783" width="6.5546875" style="1055" customWidth="1"/>
    <col min="1784" max="1784" width="7.5546875" style="1055" customWidth="1"/>
    <col min="1785" max="1785" width="4.77734375" style="1055" customWidth="1"/>
    <col min="1786" max="1786" width="11.77734375" style="1055" customWidth="1"/>
    <col min="1787" max="1787" width="9.77734375" style="1055" customWidth="1"/>
    <col min="1788" max="1788" width="3" style="1055" customWidth="1"/>
    <col min="1789" max="1789" width="7.21875" style="1055" customWidth="1"/>
    <col min="1790" max="1790" width="22.77734375" style="1055" customWidth="1"/>
    <col min="1791" max="1791" width="7.21875" style="1055" customWidth="1"/>
    <col min="1792" max="1792" width="9" style="1055" hidden="1" customWidth="1"/>
    <col min="1793" max="1793" width="8.77734375" style="1055" customWidth="1"/>
    <col min="1794" max="1794" width="9.77734375" style="1055" customWidth="1"/>
    <col min="1795" max="1795" width="10.5546875" style="1055" customWidth="1"/>
    <col min="1796" max="1796" width="12.21875" style="1055" customWidth="1"/>
    <col min="1797" max="1797" width="11.21875" style="1055" customWidth="1"/>
    <col min="1798" max="1798" width="6.77734375" style="1055" customWidth="1"/>
    <col min="1799" max="2038" width="30.5546875" style="1055" customWidth="1"/>
    <col min="2039" max="2039" width="6.5546875" style="1055" customWidth="1"/>
    <col min="2040" max="2040" width="7.5546875" style="1055" customWidth="1"/>
    <col min="2041" max="2041" width="4.77734375" style="1055" customWidth="1"/>
    <col min="2042" max="2042" width="11.77734375" style="1055" customWidth="1"/>
    <col min="2043" max="2043" width="9.77734375" style="1055" customWidth="1"/>
    <col min="2044" max="2044" width="3" style="1055" customWidth="1"/>
    <col min="2045" max="2045" width="7.21875" style="1055" customWidth="1"/>
    <col min="2046" max="2046" width="22.77734375" style="1055" customWidth="1"/>
    <col min="2047" max="2047" width="7.21875" style="1055" customWidth="1"/>
    <col min="2048" max="2048" width="9" style="1055" hidden="1" customWidth="1"/>
    <col min="2049" max="2049" width="8.77734375" style="1055" customWidth="1"/>
    <col min="2050" max="2050" width="9.77734375" style="1055" customWidth="1"/>
    <col min="2051" max="2051" width="10.5546875" style="1055" customWidth="1"/>
    <col min="2052" max="2052" width="12.21875" style="1055" customWidth="1"/>
    <col min="2053" max="2053" width="11.21875" style="1055" customWidth="1"/>
    <col min="2054" max="2054" width="6.77734375" style="1055" customWidth="1"/>
    <col min="2055" max="2294" width="30.5546875" style="1055" customWidth="1"/>
    <col min="2295" max="2295" width="6.5546875" style="1055" customWidth="1"/>
    <col min="2296" max="2296" width="7.5546875" style="1055" customWidth="1"/>
    <col min="2297" max="2297" width="4.77734375" style="1055" customWidth="1"/>
    <col min="2298" max="2298" width="11.77734375" style="1055" customWidth="1"/>
    <col min="2299" max="2299" width="9.77734375" style="1055" customWidth="1"/>
    <col min="2300" max="2300" width="3" style="1055" customWidth="1"/>
    <col min="2301" max="2301" width="7.21875" style="1055" customWidth="1"/>
    <col min="2302" max="2302" width="22.77734375" style="1055" customWidth="1"/>
    <col min="2303" max="2303" width="7.21875" style="1055" customWidth="1"/>
    <col min="2304" max="2304" width="9" style="1055" hidden="1" customWidth="1"/>
    <col min="2305" max="2305" width="8.77734375" style="1055" customWidth="1"/>
    <col min="2306" max="2306" width="9.77734375" style="1055" customWidth="1"/>
    <col min="2307" max="2307" width="10.5546875" style="1055" customWidth="1"/>
    <col min="2308" max="2308" width="12.21875" style="1055" customWidth="1"/>
    <col min="2309" max="2309" width="11.21875" style="1055" customWidth="1"/>
    <col min="2310" max="2310" width="6.77734375" style="1055" customWidth="1"/>
    <col min="2311" max="2550" width="30.5546875" style="1055" customWidth="1"/>
    <col min="2551" max="2551" width="6.5546875" style="1055" customWidth="1"/>
    <col min="2552" max="2552" width="7.5546875" style="1055" customWidth="1"/>
    <col min="2553" max="2553" width="4.77734375" style="1055" customWidth="1"/>
    <col min="2554" max="2554" width="11.77734375" style="1055" customWidth="1"/>
    <col min="2555" max="2555" width="9.77734375" style="1055" customWidth="1"/>
    <col min="2556" max="2556" width="3" style="1055" customWidth="1"/>
    <col min="2557" max="2557" width="7.21875" style="1055" customWidth="1"/>
    <col min="2558" max="2558" width="22.77734375" style="1055" customWidth="1"/>
    <col min="2559" max="2559" width="7.21875" style="1055" customWidth="1"/>
    <col min="2560" max="2560" width="9" style="1055" hidden="1" customWidth="1"/>
    <col min="2561" max="2561" width="8.77734375" style="1055" customWidth="1"/>
    <col min="2562" max="2562" width="9.77734375" style="1055" customWidth="1"/>
    <col min="2563" max="2563" width="10.5546875" style="1055" customWidth="1"/>
    <col min="2564" max="2564" width="12.21875" style="1055" customWidth="1"/>
    <col min="2565" max="2565" width="11.21875" style="1055" customWidth="1"/>
    <col min="2566" max="2566" width="6.77734375" style="1055" customWidth="1"/>
    <col min="2567" max="2806" width="30.5546875" style="1055" customWidth="1"/>
    <col min="2807" max="2807" width="6.5546875" style="1055" customWidth="1"/>
    <col min="2808" max="2808" width="7.5546875" style="1055" customWidth="1"/>
    <col min="2809" max="2809" width="4.77734375" style="1055" customWidth="1"/>
    <col min="2810" max="2810" width="11.77734375" style="1055" customWidth="1"/>
    <col min="2811" max="2811" width="9.77734375" style="1055" customWidth="1"/>
    <col min="2812" max="2812" width="3" style="1055" customWidth="1"/>
    <col min="2813" max="2813" width="7.21875" style="1055" customWidth="1"/>
    <col min="2814" max="2814" width="22.77734375" style="1055" customWidth="1"/>
    <col min="2815" max="2815" width="7.21875" style="1055" customWidth="1"/>
    <col min="2816" max="2816" width="9" style="1055" hidden="1" customWidth="1"/>
    <col min="2817" max="2817" width="8.77734375" style="1055" customWidth="1"/>
    <col min="2818" max="2818" width="9.77734375" style="1055" customWidth="1"/>
    <col min="2819" max="2819" width="10.5546875" style="1055" customWidth="1"/>
    <col min="2820" max="2820" width="12.21875" style="1055" customWidth="1"/>
    <col min="2821" max="2821" width="11.21875" style="1055" customWidth="1"/>
    <col min="2822" max="2822" width="6.77734375" style="1055" customWidth="1"/>
    <col min="2823" max="3062" width="30.5546875" style="1055" customWidth="1"/>
    <col min="3063" max="3063" width="6.5546875" style="1055" customWidth="1"/>
    <col min="3064" max="3064" width="7.5546875" style="1055" customWidth="1"/>
    <col min="3065" max="3065" width="4.77734375" style="1055" customWidth="1"/>
    <col min="3066" max="3066" width="11.77734375" style="1055" customWidth="1"/>
    <col min="3067" max="3067" width="9.77734375" style="1055" customWidth="1"/>
    <col min="3068" max="3068" width="3" style="1055" customWidth="1"/>
    <col min="3069" max="3069" width="7.21875" style="1055" customWidth="1"/>
    <col min="3070" max="3070" width="22.77734375" style="1055" customWidth="1"/>
    <col min="3071" max="3071" width="7.21875" style="1055" customWidth="1"/>
    <col min="3072" max="3072" width="9" style="1055" hidden="1" customWidth="1"/>
    <col min="3073" max="3073" width="8.77734375" style="1055" customWidth="1"/>
    <col min="3074" max="3074" width="9.77734375" style="1055" customWidth="1"/>
    <col min="3075" max="3075" width="10.5546875" style="1055" customWidth="1"/>
    <col min="3076" max="3076" width="12.21875" style="1055" customWidth="1"/>
    <col min="3077" max="3077" width="11.21875" style="1055" customWidth="1"/>
    <col min="3078" max="3078" width="6.77734375" style="1055" customWidth="1"/>
    <col min="3079" max="3318" width="30.5546875" style="1055" customWidth="1"/>
    <col min="3319" max="3319" width="6.5546875" style="1055" customWidth="1"/>
    <col min="3320" max="3320" width="7.5546875" style="1055" customWidth="1"/>
    <col min="3321" max="3321" width="4.77734375" style="1055" customWidth="1"/>
    <col min="3322" max="3322" width="11.77734375" style="1055" customWidth="1"/>
    <col min="3323" max="3323" width="9.77734375" style="1055" customWidth="1"/>
    <col min="3324" max="3324" width="3" style="1055" customWidth="1"/>
    <col min="3325" max="3325" width="7.21875" style="1055" customWidth="1"/>
    <col min="3326" max="3326" width="22.77734375" style="1055" customWidth="1"/>
    <col min="3327" max="3327" width="7.21875" style="1055" customWidth="1"/>
    <col min="3328" max="3328" width="9" style="1055" hidden="1" customWidth="1"/>
    <col min="3329" max="3329" width="8.77734375" style="1055" customWidth="1"/>
    <col min="3330" max="3330" width="9.77734375" style="1055" customWidth="1"/>
    <col min="3331" max="3331" width="10.5546875" style="1055" customWidth="1"/>
    <col min="3332" max="3332" width="12.21875" style="1055" customWidth="1"/>
    <col min="3333" max="3333" width="11.21875" style="1055" customWidth="1"/>
    <col min="3334" max="3334" width="6.77734375" style="1055" customWidth="1"/>
    <col min="3335" max="3574" width="30.5546875" style="1055" customWidth="1"/>
    <col min="3575" max="3575" width="6.5546875" style="1055" customWidth="1"/>
    <col min="3576" max="3576" width="7.5546875" style="1055" customWidth="1"/>
    <col min="3577" max="3577" width="4.77734375" style="1055" customWidth="1"/>
    <col min="3578" max="3578" width="11.77734375" style="1055" customWidth="1"/>
    <col min="3579" max="3579" width="9.77734375" style="1055" customWidth="1"/>
    <col min="3580" max="3580" width="3" style="1055" customWidth="1"/>
    <col min="3581" max="3581" width="7.21875" style="1055" customWidth="1"/>
    <col min="3582" max="3582" width="22.77734375" style="1055" customWidth="1"/>
    <col min="3583" max="3583" width="7.21875" style="1055" customWidth="1"/>
    <col min="3584" max="3584" width="9" style="1055" hidden="1" customWidth="1"/>
    <col min="3585" max="3585" width="8.77734375" style="1055" customWidth="1"/>
    <col min="3586" max="3586" width="9.77734375" style="1055" customWidth="1"/>
    <col min="3587" max="3587" width="10.5546875" style="1055" customWidth="1"/>
    <col min="3588" max="3588" width="12.21875" style="1055" customWidth="1"/>
    <col min="3589" max="3589" width="11.21875" style="1055" customWidth="1"/>
    <col min="3590" max="3590" width="6.77734375" style="1055" customWidth="1"/>
    <col min="3591" max="3830" width="30.5546875" style="1055" customWidth="1"/>
    <col min="3831" max="3831" width="6.5546875" style="1055" customWidth="1"/>
    <col min="3832" max="3832" width="7.5546875" style="1055" customWidth="1"/>
    <col min="3833" max="3833" width="4.77734375" style="1055" customWidth="1"/>
    <col min="3834" max="3834" width="11.77734375" style="1055" customWidth="1"/>
    <col min="3835" max="3835" width="9.77734375" style="1055" customWidth="1"/>
    <col min="3836" max="3836" width="3" style="1055" customWidth="1"/>
    <col min="3837" max="3837" width="7.21875" style="1055" customWidth="1"/>
    <col min="3838" max="3838" width="22.77734375" style="1055" customWidth="1"/>
    <col min="3839" max="3839" width="7.21875" style="1055" customWidth="1"/>
    <col min="3840" max="3840" width="9" style="1055" hidden="1" customWidth="1"/>
    <col min="3841" max="3841" width="8.77734375" style="1055" customWidth="1"/>
    <col min="3842" max="3842" width="9.77734375" style="1055" customWidth="1"/>
    <col min="3843" max="3843" width="10.5546875" style="1055" customWidth="1"/>
    <col min="3844" max="3844" width="12.21875" style="1055" customWidth="1"/>
    <col min="3845" max="3845" width="11.21875" style="1055" customWidth="1"/>
    <col min="3846" max="3846" width="6.77734375" style="1055" customWidth="1"/>
    <col min="3847" max="4086" width="30.5546875" style="1055" customWidth="1"/>
    <col min="4087" max="4087" width="6.5546875" style="1055" customWidth="1"/>
    <col min="4088" max="4088" width="7.5546875" style="1055" customWidth="1"/>
    <col min="4089" max="4089" width="4.77734375" style="1055" customWidth="1"/>
    <col min="4090" max="4090" width="11.77734375" style="1055" customWidth="1"/>
    <col min="4091" max="4091" width="9.77734375" style="1055" customWidth="1"/>
    <col min="4092" max="4092" width="3" style="1055" customWidth="1"/>
    <col min="4093" max="4093" width="7.21875" style="1055" customWidth="1"/>
    <col min="4094" max="4094" width="22.77734375" style="1055" customWidth="1"/>
    <col min="4095" max="4095" width="7.21875" style="1055" customWidth="1"/>
    <col min="4096" max="4096" width="9" style="1055" hidden="1" customWidth="1"/>
    <col min="4097" max="4097" width="8.77734375" style="1055" customWidth="1"/>
    <col min="4098" max="4098" width="9.77734375" style="1055" customWidth="1"/>
    <col min="4099" max="4099" width="10.5546875" style="1055" customWidth="1"/>
    <col min="4100" max="4100" width="12.21875" style="1055" customWidth="1"/>
    <col min="4101" max="4101" width="11.21875" style="1055" customWidth="1"/>
    <col min="4102" max="4102" width="6.77734375" style="1055" customWidth="1"/>
    <col min="4103" max="4342" width="30.5546875" style="1055" customWidth="1"/>
    <col min="4343" max="4343" width="6.5546875" style="1055" customWidth="1"/>
    <col min="4344" max="4344" width="7.5546875" style="1055" customWidth="1"/>
    <col min="4345" max="4345" width="4.77734375" style="1055" customWidth="1"/>
    <col min="4346" max="4346" width="11.77734375" style="1055" customWidth="1"/>
    <col min="4347" max="4347" width="9.77734375" style="1055" customWidth="1"/>
    <col min="4348" max="4348" width="3" style="1055" customWidth="1"/>
    <col min="4349" max="4349" width="7.21875" style="1055" customWidth="1"/>
    <col min="4350" max="4350" width="22.77734375" style="1055" customWidth="1"/>
    <col min="4351" max="4351" width="7.21875" style="1055" customWidth="1"/>
    <col min="4352" max="4352" width="9" style="1055" hidden="1" customWidth="1"/>
    <col min="4353" max="4353" width="8.77734375" style="1055" customWidth="1"/>
    <col min="4354" max="4354" width="9.77734375" style="1055" customWidth="1"/>
    <col min="4355" max="4355" width="10.5546875" style="1055" customWidth="1"/>
    <col min="4356" max="4356" width="12.21875" style="1055" customWidth="1"/>
    <col min="4357" max="4357" width="11.21875" style="1055" customWidth="1"/>
    <col min="4358" max="4358" width="6.77734375" style="1055" customWidth="1"/>
    <col min="4359" max="4598" width="30.5546875" style="1055" customWidth="1"/>
    <col min="4599" max="4599" width="6.5546875" style="1055" customWidth="1"/>
    <col min="4600" max="4600" width="7.5546875" style="1055" customWidth="1"/>
    <col min="4601" max="4601" width="4.77734375" style="1055" customWidth="1"/>
    <col min="4602" max="4602" width="11.77734375" style="1055" customWidth="1"/>
    <col min="4603" max="4603" width="9.77734375" style="1055" customWidth="1"/>
    <col min="4604" max="4604" width="3" style="1055" customWidth="1"/>
    <col min="4605" max="4605" width="7.21875" style="1055" customWidth="1"/>
    <col min="4606" max="4606" width="22.77734375" style="1055" customWidth="1"/>
    <col min="4607" max="4607" width="7.21875" style="1055" customWidth="1"/>
    <col min="4608" max="4608" width="9" style="1055" hidden="1" customWidth="1"/>
    <col min="4609" max="4609" width="8.77734375" style="1055" customWidth="1"/>
    <col min="4610" max="4610" width="9.77734375" style="1055" customWidth="1"/>
    <col min="4611" max="4611" width="10.5546875" style="1055" customWidth="1"/>
    <col min="4612" max="4612" width="12.21875" style="1055" customWidth="1"/>
    <col min="4613" max="4613" width="11.21875" style="1055" customWidth="1"/>
    <col min="4614" max="4614" width="6.77734375" style="1055" customWidth="1"/>
    <col min="4615" max="4854" width="30.5546875" style="1055" customWidth="1"/>
    <col min="4855" max="4855" width="6.5546875" style="1055" customWidth="1"/>
    <col min="4856" max="4856" width="7.5546875" style="1055" customWidth="1"/>
    <col min="4857" max="4857" width="4.77734375" style="1055" customWidth="1"/>
    <col min="4858" max="4858" width="11.77734375" style="1055" customWidth="1"/>
    <col min="4859" max="4859" width="9.77734375" style="1055" customWidth="1"/>
    <col min="4860" max="4860" width="3" style="1055" customWidth="1"/>
    <col min="4861" max="4861" width="7.21875" style="1055" customWidth="1"/>
    <col min="4862" max="4862" width="22.77734375" style="1055" customWidth="1"/>
    <col min="4863" max="4863" width="7.21875" style="1055" customWidth="1"/>
    <col min="4864" max="4864" width="9" style="1055" hidden="1" customWidth="1"/>
    <col min="4865" max="4865" width="8.77734375" style="1055" customWidth="1"/>
    <col min="4866" max="4866" width="9.77734375" style="1055" customWidth="1"/>
    <col min="4867" max="4867" width="10.5546875" style="1055" customWidth="1"/>
    <col min="4868" max="4868" width="12.21875" style="1055" customWidth="1"/>
    <col min="4869" max="4869" width="11.21875" style="1055" customWidth="1"/>
    <col min="4870" max="4870" width="6.77734375" style="1055" customWidth="1"/>
    <col min="4871" max="5110" width="30.5546875" style="1055" customWidth="1"/>
    <col min="5111" max="5111" width="6.5546875" style="1055" customWidth="1"/>
    <col min="5112" max="5112" width="7.5546875" style="1055" customWidth="1"/>
    <col min="5113" max="5113" width="4.77734375" style="1055" customWidth="1"/>
    <col min="5114" max="5114" width="11.77734375" style="1055" customWidth="1"/>
    <col min="5115" max="5115" width="9.77734375" style="1055" customWidth="1"/>
    <col min="5116" max="5116" width="3" style="1055" customWidth="1"/>
    <col min="5117" max="5117" width="7.21875" style="1055" customWidth="1"/>
    <col min="5118" max="5118" width="22.77734375" style="1055" customWidth="1"/>
    <col min="5119" max="5119" width="7.21875" style="1055" customWidth="1"/>
    <col min="5120" max="5120" width="9" style="1055" hidden="1" customWidth="1"/>
    <col min="5121" max="5121" width="8.77734375" style="1055" customWidth="1"/>
    <col min="5122" max="5122" width="9.77734375" style="1055" customWidth="1"/>
    <col min="5123" max="5123" width="10.5546875" style="1055" customWidth="1"/>
    <col min="5124" max="5124" width="12.21875" style="1055" customWidth="1"/>
    <col min="5125" max="5125" width="11.21875" style="1055" customWidth="1"/>
    <col min="5126" max="5126" width="6.77734375" style="1055" customWidth="1"/>
    <col min="5127" max="5366" width="30.5546875" style="1055" customWidth="1"/>
    <col min="5367" max="5367" width="6.5546875" style="1055" customWidth="1"/>
    <col min="5368" max="5368" width="7.5546875" style="1055" customWidth="1"/>
    <col min="5369" max="5369" width="4.77734375" style="1055" customWidth="1"/>
    <col min="5370" max="5370" width="11.77734375" style="1055" customWidth="1"/>
    <col min="5371" max="5371" width="9.77734375" style="1055" customWidth="1"/>
    <col min="5372" max="5372" width="3" style="1055" customWidth="1"/>
    <col min="5373" max="5373" width="7.21875" style="1055" customWidth="1"/>
    <col min="5374" max="5374" width="22.77734375" style="1055" customWidth="1"/>
    <col min="5375" max="5375" width="7.21875" style="1055" customWidth="1"/>
    <col min="5376" max="5376" width="9" style="1055" hidden="1" customWidth="1"/>
    <col min="5377" max="5377" width="8.77734375" style="1055" customWidth="1"/>
    <col min="5378" max="5378" width="9.77734375" style="1055" customWidth="1"/>
    <col min="5379" max="5379" width="10.5546875" style="1055" customWidth="1"/>
    <col min="5380" max="5380" width="12.21875" style="1055" customWidth="1"/>
    <col min="5381" max="5381" width="11.21875" style="1055" customWidth="1"/>
    <col min="5382" max="5382" width="6.77734375" style="1055" customWidth="1"/>
    <col min="5383" max="5622" width="30.5546875" style="1055" customWidth="1"/>
    <col min="5623" max="5623" width="6.5546875" style="1055" customWidth="1"/>
    <col min="5624" max="5624" width="7.5546875" style="1055" customWidth="1"/>
    <col min="5625" max="5625" width="4.77734375" style="1055" customWidth="1"/>
    <col min="5626" max="5626" width="11.77734375" style="1055" customWidth="1"/>
    <col min="5627" max="5627" width="9.77734375" style="1055" customWidth="1"/>
    <col min="5628" max="5628" width="3" style="1055" customWidth="1"/>
    <col min="5629" max="5629" width="7.21875" style="1055" customWidth="1"/>
    <col min="5630" max="5630" width="22.77734375" style="1055" customWidth="1"/>
    <col min="5631" max="5631" width="7.21875" style="1055" customWidth="1"/>
    <col min="5632" max="5632" width="9" style="1055" hidden="1" customWidth="1"/>
    <col min="5633" max="5633" width="8.77734375" style="1055" customWidth="1"/>
    <col min="5634" max="5634" width="9.77734375" style="1055" customWidth="1"/>
    <col min="5635" max="5635" width="10.5546875" style="1055" customWidth="1"/>
    <col min="5636" max="5636" width="12.21875" style="1055" customWidth="1"/>
    <col min="5637" max="5637" width="11.21875" style="1055" customWidth="1"/>
    <col min="5638" max="5638" width="6.77734375" style="1055" customWidth="1"/>
    <col min="5639" max="5878" width="30.5546875" style="1055" customWidth="1"/>
    <col min="5879" max="5879" width="6.5546875" style="1055" customWidth="1"/>
    <col min="5880" max="5880" width="7.5546875" style="1055" customWidth="1"/>
    <col min="5881" max="5881" width="4.77734375" style="1055" customWidth="1"/>
    <col min="5882" max="5882" width="11.77734375" style="1055" customWidth="1"/>
    <col min="5883" max="5883" width="9.77734375" style="1055" customWidth="1"/>
    <col min="5884" max="5884" width="3" style="1055" customWidth="1"/>
    <col min="5885" max="5885" width="7.21875" style="1055" customWidth="1"/>
    <col min="5886" max="5886" width="22.77734375" style="1055" customWidth="1"/>
    <col min="5887" max="5887" width="7.21875" style="1055" customWidth="1"/>
    <col min="5888" max="5888" width="9" style="1055" hidden="1" customWidth="1"/>
    <col min="5889" max="5889" width="8.77734375" style="1055" customWidth="1"/>
    <col min="5890" max="5890" width="9.77734375" style="1055" customWidth="1"/>
    <col min="5891" max="5891" width="10.5546875" style="1055" customWidth="1"/>
    <col min="5892" max="5892" width="12.21875" style="1055" customWidth="1"/>
    <col min="5893" max="5893" width="11.21875" style="1055" customWidth="1"/>
    <col min="5894" max="5894" width="6.77734375" style="1055" customWidth="1"/>
    <col min="5895" max="6134" width="30.5546875" style="1055" customWidth="1"/>
    <col min="6135" max="6135" width="6.5546875" style="1055" customWidth="1"/>
    <col min="6136" max="6136" width="7.5546875" style="1055" customWidth="1"/>
    <col min="6137" max="6137" width="4.77734375" style="1055" customWidth="1"/>
    <col min="6138" max="6138" width="11.77734375" style="1055" customWidth="1"/>
    <col min="6139" max="6139" width="9.77734375" style="1055" customWidth="1"/>
    <col min="6140" max="6140" width="3" style="1055" customWidth="1"/>
    <col min="6141" max="6141" width="7.21875" style="1055" customWidth="1"/>
    <col min="6142" max="6142" width="22.77734375" style="1055" customWidth="1"/>
    <col min="6143" max="6143" width="7.21875" style="1055" customWidth="1"/>
    <col min="6144" max="6144" width="9" style="1055" hidden="1" customWidth="1"/>
    <col min="6145" max="6145" width="8.77734375" style="1055" customWidth="1"/>
    <col min="6146" max="6146" width="9.77734375" style="1055" customWidth="1"/>
    <col min="6147" max="6147" width="10.5546875" style="1055" customWidth="1"/>
    <col min="6148" max="6148" width="12.21875" style="1055" customWidth="1"/>
    <col min="6149" max="6149" width="11.21875" style="1055" customWidth="1"/>
    <col min="6150" max="6150" width="6.77734375" style="1055" customWidth="1"/>
    <col min="6151" max="6390" width="30.5546875" style="1055" customWidth="1"/>
    <col min="6391" max="6391" width="6.5546875" style="1055" customWidth="1"/>
    <col min="6392" max="6392" width="7.5546875" style="1055" customWidth="1"/>
    <col min="6393" max="6393" width="4.77734375" style="1055" customWidth="1"/>
    <col min="6394" max="6394" width="11.77734375" style="1055" customWidth="1"/>
    <col min="6395" max="6395" width="9.77734375" style="1055" customWidth="1"/>
    <col min="6396" max="6396" width="3" style="1055" customWidth="1"/>
    <col min="6397" max="6397" width="7.21875" style="1055" customWidth="1"/>
    <col min="6398" max="6398" width="22.77734375" style="1055" customWidth="1"/>
    <col min="6399" max="6399" width="7.21875" style="1055" customWidth="1"/>
    <col min="6400" max="6400" width="9" style="1055" hidden="1" customWidth="1"/>
    <col min="6401" max="6401" width="8.77734375" style="1055" customWidth="1"/>
    <col min="6402" max="6402" width="9.77734375" style="1055" customWidth="1"/>
    <col min="6403" max="6403" width="10.5546875" style="1055" customWidth="1"/>
    <col min="6404" max="6404" width="12.21875" style="1055" customWidth="1"/>
    <col min="6405" max="6405" width="11.21875" style="1055" customWidth="1"/>
    <col min="6406" max="6406" width="6.77734375" style="1055" customWidth="1"/>
    <col min="6407" max="6646" width="30.5546875" style="1055" customWidth="1"/>
    <col min="6647" max="6647" width="6.5546875" style="1055" customWidth="1"/>
    <col min="6648" max="6648" width="7.5546875" style="1055" customWidth="1"/>
    <col min="6649" max="6649" width="4.77734375" style="1055" customWidth="1"/>
    <col min="6650" max="6650" width="11.77734375" style="1055" customWidth="1"/>
    <col min="6651" max="6651" width="9.77734375" style="1055" customWidth="1"/>
    <col min="6652" max="6652" width="3" style="1055" customWidth="1"/>
    <col min="6653" max="6653" width="7.21875" style="1055" customWidth="1"/>
    <col min="6654" max="6654" width="22.77734375" style="1055" customWidth="1"/>
    <col min="6655" max="6655" width="7.21875" style="1055" customWidth="1"/>
    <col min="6656" max="6656" width="9" style="1055" hidden="1" customWidth="1"/>
    <col min="6657" max="6657" width="8.77734375" style="1055" customWidth="1"/>
    <col min="6658" max="6658" width="9.77734375" style="1055" customWidth="1"/>
    <col min="6659" max="6659" width="10.5546875" style="1055" customWidth="1"/>
    <col min="6660" max="6660" width="12.21875" style="1055" customWidth="1"/>
    <col min="6661" max="6661" width="11.21875" style="1055" customWidth="1"/>
    <col min="6662" max="6662" width="6.77734375" style="1055" customWidth="1"/>
    <col min="6663" max="6902" width="30.5546875" style="1055" customWidth="1"/>
    <col min="6903" max="6903" width="6.5546875" style="1055" customWidth="1"/>
    <col min="6904" max="6904" width="7.5546875" style="1055" customWidth="1"/>
    <col min="6905" max="6905" width="4.77734375" style="1055" customWidth="1"/>
    <col min="6906" max="6906" width="11.77734375" style="1055" customWidth="1"/>
    <col min="6907" max="6907" width="9.77734375" style="1055" customWidth="1"/>
    <col min="6908" max="6908" width="3" style="1055" customWidth="1"/>
    <col min="6909" max="6909" width="7.21875" style="1055" customWidth="1"/>
    <col min="6910" max="6910" width="22.77734375" style="1055" customWidth="1"/>
    <col min="6911" max="6911" width="7.21875" style="1055" customWidth="1"/>
    <col min="6912" max="6912" width="9" style="1055" hidden="1" customWidth="1"/>
    <col min="6913" max="6913" width="8.77734375" style="1055" customWidth="1"/>
    <col min="6914" max="6914" width="9.77734375" style="1055" customWidth="1"/>
    <col min="6915" max="6915" width="10.5546875" style="1055" customWidth="1"/>
    <col min="6916" max="6916" width="12.21875" style="1055" customWidth="1"/>
    <col min="6917" max="6917" width="11.21875" style="1055" customWidth="1"/>
    <col min="6918" max="6918" width="6.77734375" style="1055" customWidth="1"/>
    <col min="6919" max="7158" width="30.5546875" style="1055" customWidth="1"/>
    <col min="7159" max="7159" width="6.5546875" style="1055" customWidth="1"/>
    <col min="7160" max="7160" width="7.5546875" style="1055" customWidth="1"/>
    <col min="7161" max="7161" width="4.77734375" style="1055" customWidth="1"/>
    <col min="7162" max="7162" width="11.77734375" style="1055" customWidth="1"/>
    <col min="7163" max="7163" width="9.77734375" style="1055" customWidth="1"/>
    <col min="7164" max="7164" width="3" style="1055" customWidth="1"/>
    <col min="7165" max="7165" width="7.21875" style="1055" customWidth="1"/>
    <col min="7166" max="7166" width="22.77734375" style="1055" customWidth="1"/>
    <col min="7167" max="7167" width="7.21875" style="1055" customWidth="1"/>
    <col min="7168" max="7168" width="9" style="1055" hidden="1" customWidth="1"/>
    <col min="7169" max="7169" width="8.77734375" style="1055" customWidth="1"/>
    <col min="7170" max="7170" width="9.77734375" style="1055" customWidth="1"/>
    <col min="7171" max="7171" width="10.5546875" style="1055" customWidth="1"/>
    <col min="7172" max="7172" width="12.21875" style="1055" customWidth="1"/>
    <col min="7173" max="7173" width="11.21875" style="1055" customWidth="1"/>
    <col min="7174" max="7174" width="6.77734375" style="1055" customWidth="1"/>
    <col min="7175" max="7414" width="30.5546875" style="1055" customWidth="1"/>
    <col min="7415" max="7415" width="6.5546875" style="1055" customWidth="1"/>
    <col min="7416" max="7416" width="7.5546875" style="1055" customWidth="1"/>
    <col min="7417" max="7417" width="4.77734375" style="1055" customWidth="1"/>
    <col min="7418" max="7418" width="11.77734375" style="1055" customWidth="1"/>
    <col min="7419" max="7419" width="9.77734375" style="1055" customWidth="1"/>
    <col min="7420" max="7420" width="3" style="1055" customWidth="1"/>
    <col min="7421" max="7421" width="7.21875" style="1055" customWidth="1"/>
    <col min="7422" max="7422" width="22.77734375" style="1055" customWidth="1"/>
    <col min="7423" max="7423" width="7.21875" style="1055" customWidth="1"/>
    <col min="7424" max="7424" width="9" style="1055" hidden="1" customWidth="1"/>
    <col min="7425" max="7425" width="8.77734375" style="1055" customWidth="1"/>
    <col min="7426" max="7426" width="9.77734375" style="1055" customWidth="1"/>
    <col min="7427" max="7427" width="10.5546875" style="1055" customWidth="1"/>
    <col min="7428" max="7428" width="12.21875" style="1055" customWidth="1"/>
    <col min="7429" max="7429" width="11.21875" style="1055" customWidth="1"/>
    <col min="7430" max="7430" width="6.77734375" style="1055" customWidth="1"/>
    <col min="7431" max="7670" width="30.5546875" style="1055" customWidth="1"/>
    <col min="7671" max="7671" width="6.5546875" style="1055" customWidth="1"/>
    <col min="7672" max="7672" width="7.5546875" style="1055" customWidth="1"/>
    <col min="7673" max="7673" width="4.77734375" style="1055" customWidth="1"/>
    <col min="7674" max="7674" width="11.77734375" style="1055" customWidth="1"/>
    <col min="7675" max="7675" width="9.77734375" style="1055" customWidth="1"/>
    <col min="7676" max="7676" width="3" style="1055" customWidth="1"/>
    <col min="7677" max="7677" width="7.21875" style="1055" customWidth="1"/>
    <col min="7678" max="7678" width="22.77734375" style="1055" customWidth="1"/>
    <col min="7679" max="7679" width="7.21875" style="1055" customWidth="1"/>
    <col min="7680" max="7680" width="9" style="1055" hidden="1" customWidth="1"/>
    <col min="7681" max="7681" width="8.77734375" style="1055" customWidth="1"/>
    <col min="7682" max="7682" width="9.77734375" style="1055" customWidth="1"/>
    <col min="7683" max="7683" width="10.5546875" style="1055" customWidth="1"/>
    <col min="7684" max="7684" width="12.21875" style="1055" customWidth="1"/>
    <col min="7685" max="7685" width="11.21875" style="1055" customWidth="1"/>
    <col min="7686" max="7686" width="6.77734375" style="1055" customWidth="1"/>
    <col min="7687" max="7926" width="30.5546875" style="1055" customWidth="1"/>
    <col min="7927" max="7927" width="6.5546875" style="1055" customWidth="1"/>
    <col min="7928" max="7928" width="7.5546875" style="1055" customWidth="1"/>
    <col min="7929" max="7929" width="4.77734375" style="1055" customWidth="1"/>
    <col min="7930" max="7930" width="11.77734375" style="1055" customWidth="1"/>
    <col min="7931" max="7931" width="9.77734375" style="1055" customWidth="1"/>
    <col min="7932" max="7932" width="3" style="1055" customWidth="1"/>
    <col min="7933" max="7933" width="7.21875" style="1055" customWidth="1"/>
    <col min="7934" max="7934" width="22.77734375" style="1055" customWidth="1"/>
    <col min="7935" max="7935" width="7.21875" style="1055" customWidth="1"/>
    <col min="7936" max="7936" width="9" style="1055" hidden="1" customWidth="1"/>
    <col min="7937" max="7937" width="8.77734375" style="1055" customWidth="1"/>
    <col min="7938" max="7938" width="9.77734375" style="1055" customWidth="1"/>
    <col min="7939" max="7939" width="10.5546875" style="1055" customWidth="1"/>
    <col min="7940" max="7940" width="12.21875" style="1055" customWidth="1"/>
    <col min="7941" max="7941" width="11.21875" style="1055" customWidth="1"/>
    <col min="7942" max="7942" width="6.77734375" style="1055" customWidth="1"/>
    <col min="7943" max="8182" width="30.5546875" style="1055" customWidth="1"/>
    <col min="8183" max="8183" width="6.5546875" style="1055" customWidth="1"/>
    <col min="8184" max="8184" width="7.5546875" style="1055" customWidth="1"/>
    <col min="8185" max="8185" width="4.77734375" style="1055" customWidth="1"/>
    <col min="8186" max="8186" width="11.77734375" style="1055" customWidth="1"/>
    <col min="8187" max="8187" width="9.77734375" style="1055" customWidth="1"/>
    <col min="8188" max="8188" width="3" style="1055" customWidth="1"/>
    <col min="8189" max="8189" width="7.21875" style="1055" customWidth="1"/>
    <col min="8190" max="8190" width="22.77734375" style="1055" customWidth="1"/>
    <col min="8191" max="8191" width="7.21875" style="1055" customWidth="1"/>
    <col min="8192" max="8192" width="9" style="1055" hidden="1" customWidth="1"/>
    <col min="8193" max="8193" width="8.77734375" style="1055" customWidth="1"/>
    <col min="8194" max="8194" width="9.77734375" style="1055" customWidth="1"/>
    <col min="8195" max="8195" width="10.5546875" style="1055" customWidth="1"/>
    <col min="8196" max="8196" width="12.21875" style="1055" customWidth="1"/>
    <col min="8197" max="8197" width="11.21875" style="1055" customWidth="1"/>
    <col min="8198" max="8198" width="6.77734375" style="1055" customWidth="1"/>
    <col min="8199" max="8438" width="30.5546875" style="1055" customWidth="1"/>
    <col min="8439" max="8439" width="6.5546875" style="1055" customWidth="1"/>
    <col min="8440" max="8440" width="7.5546875" style="1055" customWidth="1"/>
    <col min="8441" max="8441" width="4.77734375" style="1055" customWidth="1"/>
    <col min="8442" max="8442" width="11.77734375" style="1055" customWidth="1"/>
    <col min="8443" max="8443" width="9.77734375" style="1055" customWidth="1"/>
    <col min="8444" max="8444" width="3" style="1055" customWidth="1"/>
    <col min="8445" max="8445" width="7.21875" style="1055" customWidth="1"/>
    <col min="8446" max="8446" width="22.77734375" style="1055" customWidth="1"/>
    <col min="8447" max="8447" width="7.21875" style="1055" customWidth="1"/>
    <col min="8448" max="8448" width="9" style="1055" hidden="1" customWidth="1"/>
    <col min="8449" max="8449" width="8.77734375" style="1055" customWidth="1"/>
    <col min="8450" max="8450" width="9.77734375" style="1055" customWidth="1"/>
    <col min="8451" max="8451" width="10.5546875" style="1055" customWidth="1"/>
    <col min="8452" max="8452" width="12.21875" style="1055" customWidth="1"/>
    <col min="8453" max="8453" width="11.21875" style="1055" customWidth="1"/>
    <col min="8454" max="8454" width="6.77734375" style="1055" customWidth="1"/>
    <col min="8455" max="8694" width="30.5546875" style="1055" customWidth="1"/>
    <col min="8695" max="8695" width="6.5546875" style="1055" customWidth="1"/>
    <col min="8696" max="8696" width="7.5546875" style="1055" customWidth="1"/>
    <col min="8697" max="8697" width="4.77734375" style="1055" customWidth="1"/>
    <col min="8698" max="8698" width="11.77734375" style="1055" customWidth="1"/>
    <col min="8699" max="8699" width="9.77734375" style="1055" customWidth="1"/>
    <col min="8700" max="8700" width="3" style="1055" customWidth="1"/>
    <col min="8701" max="8701" width="7.21875" style="1055" customWidth="1"/>
    <col min="8702" max="8702" width="22.77734375" style="1055" customWidth="1"/>
    <col min="8703" max="8703" width="7.21875" style="1055" customWidth="1"/>
    <col min="8704" max="8704" width="9" style="1055" hidden="1" customWidth="1"/>
    <col min="8705" max="8705" width="8.77734375" style="1055" customWidth="1"/>
    <col min="8706" max="8706" width="9.77734375" style="1055" customWidth="1"/>
    <col min="8707" max="8707" width="10.5546875" style="1055" customWidth="1"/>
    <col min="8708" max="8708" width="12.21875" style="1055" customWidth="1"/>
    <col min="8709" max="8709" width="11.21875" style="1055" customWidth="1"/>
    <col min="8710" max="8710" width="6.77734375" style="1055" customWidth="1"/>
    <col min="8711" max="8950" width="30.5546875" style="1055" customWidth="1"/>
    <col min="8951" max="8951" width="6.5546875" style="1055" customWidth="1"/>
    <col min="8952" max="8952" width="7.5546875" style="1055" customWidth="1"/>
    <col min="8953" max="8953" width="4.77734375" style="1055" customWidth="1"/>
    <col min="8954" max="8954" width="11.77734375" style="1055" customWidth="1"/>
    <col min="8955" max="8955" width="9.77734375" style="1055" customWidth="1"/>
    <col min="8956" max="8956" width="3" style="1055" customWidth="1"/>
    <col min="8957" max="8957" width="7.21875" style="1055" customWidth="1"/>
    <col min="8958" max="8958" width="22.77734375" style="1055" customWidth="1"/>
    <col min="8959" max="8959" width="7.21875" style="1055" customWidth="1"/>
    <col min="8960" max="8960" width="9" style="1055" hidden="1" customWidth="1"/>
    <col min="8961" max="8961" width="8.77734375" style="1055" customWidth="1"/>
    <col min="8962" max="8962" width="9.77734375" style="1055" customWidth="1"/>
    <col min="8963" max="8963" width="10.5546875" style="1055" customWidth="1"/>
    <col min="8964" max="8964" width="12.21875" style="1055" customWidth="1"/>
    <col min="8965" max="8965" width="11.21875" style="1055" customWidth="1"/>
    <col min="8966" max="8966" width="6.77734375" style="1055" customWidth="1"/>
    <col min="8967" max="9206" width="30.5546875" style="1055" customWidth="1"/>
    <col min="9207" max="9207" width="6.5546875" style="1055" customWidth="1"/>
    <col min="9208" max="9208" width="7.5546875" style="1055" customWidth="1"/>
    <col min="9209" max="9209" width="4.77734375" style="1055" customWidth="1"/>
    <col min="9210" max="9210" width="11.77734375" style="1055" customWidth="1"/>
    <col min="9211" max="9211" width="9.77734375" style="1055" customWidth="1"/>
    <col min="9212" max="9212" width="3" style="1055" customWidth="1"/>
    <col min="9213" max="9213" width="7.21875" style="1055" customWidth="1"/>
    <col min="9214" max="9214" width="22.77734375" style="1055" customWidth="1"/>
    <col min="9215" max="9215" width="7.21875" style="1055" customWidth="1"/>
    <col min="9216" max="9216" width="9" style="1055" hidden="1" customWidth="1"/>
    <col min="9217" max="9217" width="8.77734375" style="1055" customWidth="1"/>
    <col min="9218" max="9218" width="9.77734375" style="1055" customWidth="1"/>
    <col min="9219" max="9219" width="10.5546875" style="1055" customWidth="1"/>
    <col min="9220" max="9220" width="12.21875" style="1055" customWidth="1"/>
    <col min="9221" max="9221" width="11.21875" style="1055" customWidth="1"/>
    <col min="9222" max="9222" width="6.77734375" style="1055" customWidth="1"/>
    <col min="9223" max="9462" width="30.5546875" style="1055" customWidth="1"/>
    <col min="9463" max="9463" width="6.5546875" style="1055" customWidth="1"/>
    <col min="9464" max="9464" width="7.5546875" style="1055" customWidth="1"/>
    <col min="9465" max="9465" width="4.77734375" style="1055" customWidth="1"/>
    <col min="9466" max="9466" width="11.77734375" style="1055" customWidth="1"/>
    <col min="9467" max="9467" width="9.77734375" style="1055" customWidth="1"/>
    <col min="9468" max="9468" width="3" style="1055" customWidth="1"/>
    <col min="9469" max="9469" width="7.21875" style="1055" customWidth="1"/>
    <col min="9470" max="9470" width="22.77734375" style="1055" customWidth="1"/>
    <col min="9471" max="9471" width="7.21875" style="1055" customWidth="1"/>
    <col min="9472" max="9472" width="9" style="1055" hidden="1" customWidth="1"/>
    <col min="9473" max="9473" width="8.77734375" style="1055" customWidth="1"/>
    <col min="9474" max="9474" width="9.77734375" style="1055" customWidth="1"/>
    <col min="9475" max="9475" width="10.5546875" style="1055" customWidth="1"/>
    <col min="9476" max="9476" width="12.21875" style="1055" customWidth="1"/>
    <col min="9477" max="9477" width="11.21875" style="1055" customWidth="1"/>
    <col min="9478" max="9478" width="6.77734375" style="1055" customWidth="1"/>
    <col min="9479" max="9718" width="30.5546875" style="1055" customWidth="1"/>
    <col min="9719" max="9719" width="6.5546875" style="1055" customWidth="1"/>
    <col min="9720" max="9720" width="7.5546875" style="1055" customWidth="1"/>
    <col min="9721" max="9721" width="4.77734375" style="1055" customWidth="1"/>
    <col min="9722" max="9722" width="11.77734375" style="1055" customWidth="1"/>
    <col min="9723" max="9723" width="9.77734375" style="1055" customWidth="1"/>
    <col min="9724" max="9724" width="3" style="1055" customWidth="1"/>
    <col min="9725" max="9725" width="7.21875" style="1055" customWidth="1"/>
    <col min="9726" max="9726" width="22.77734375" style="1055" customWidth="1"/>
    <col min="9727" max="9727" width="7.21875" style="1055" customWidth="1"/>
    <col min="9728" max="9728" width="9" style="1055" hidden="1" customWidth="1"/>
    <col min="9729" max="9729" width="8.77734375" style="1055" customWidth="1"/>
    <col min="9730" max="9730" width="9.77734375" style="1055" customWidth="1"/>
    <col min="9731" max="9731" width="10.5546875" style="1055" customWidth="1"/>
    <col min="9732" max="9732" width="12.21875" style="1055" customWidth="1"/>
    <col min="9733" max="9733" width="11.21875" style="1055" customWidth="1"/>
    <col min="9734" max="9734" width="6.77734375" style="1055" customWidth="1"/>
    <col min="9735" max="9974" width="30.5546875" style="1055" customWidth="1"/>
    <col min="9975" max="9975" width="6.5546875" style="1055" customWidth="1"/>
    <col min="9976" max="9976" width="7.5546875" style="1055" customWidth="1"/>
    <col min="9977" max="9977" width="4.77734375" style="1055" customWidth="1"/>
    <col min="9978" max="9978" width="11.77734375" style="1055" customWidth="1"/>
    <col min="9979" max="9979" width="9.77734375" style="1055" customWidth="1"/>
    <col min="9980" max="9980" width="3" style="1055" customWidth="1"/>
    <col min="9981" max="9981" width="7.21875" style="1055" customWidth="1"/>
    <col min="9982" max="9982" width="22.77734375" style="1055" customWidth="1"/>
    <col min="9983" max="9983" width="7.21875" style="1055" customWidth="1"/>
    <col min="9984" max="9984" width="9" style="1055" hidden="1" customWidth="1"/>
    <col min="9985" max="9985" width="8.77734375" style="1055" customWidth="1"/>
    <col min="9986" max="9986" width="9.77734375" style="1055" customWidth="1"/>
    <col min="9987" max="9987" width="10.5546875" style="1055" customWidth="1"/>
    <col min="9988" max="9988" width="12.21875" style="1055" customWidth="1"/>
    <col min="9989" max="9989" width="11.21875" style="1055" customWidth="1"/>
    <col min="9990" max="9990" width="6.77734375" style="1055" customWidth="1"/>
    <col min="9991" max="10230" width="30.5546875" style="1055" customWidth="1"/>
    <col min="10231" max="10231" width="6.5546875" style="1055" customWidth="1"/>
    <col min="10232" max="10232" width="7.5546875" style="1055" customWidth="1"/>
    <col min="10233" max="10233" width="4.77734375" style="1055" customWidth="1"/>
    <col min="10234" max="10234" width="11.77734375" style="1055" customWidth="1"/>
    <col min="10235" max="10235" width="9.77734375" style="1055" customWidth="1"/>
    <col min="10236" max="10236" width="3" style="1055" customWidth="1"/>
    <col min="10237" max="10237" width="7.21875" style="1055" customWidth="1"/>
    <col min="10238" max="10238" width="22.77734375" style="1055" customWidth="1"/>
    <col min="10239" max="10239" width="7.21875" style="1055" customWidth="1"/>
    <col min="10240" max="10240" width="9" style="1055" hidden="1" customWidth="1"/>
    <col min="10241" max="10241" width="8.77734375" style="1055" customWidth="1"/>
    <col min="10242" max="10242" width="9.77734375" style="1055" customWidth="1"/>
    <col min="10243" max="10243" width="10.5546875" style="1055" customWidth="1"/>
    <col min="10244" max="10244" width="12.21875" style="1055" customWidth="1"/>
    <col min="10245" max="10245" width="11.21875" style="1055" customWidth="1"/>
    <col min="10246" max="10246" width="6.77734375" style="1055" customWidth="1"/>
    <col min="10247" max="10486" width="30.5546875" style="1055" customWidth="1"/>
    <col min="10487" max="10487" width="6.5546875" style="1055" customWidth="1"/>
    <col min="10488" max="10488" width="7.5546875" style="1055" customWidth="1"/>
    <col min="10489" max="10489" width="4.77734375" style="1055" customWidth="1"/>
    <col min="10490" max="10490" width="11.77734375" style="1055" customWidth="1"/>
    <col min="10491" max="10491" width="9.77734375" style="1055" customWidth="1"/>
    <col min="10492" max="10492" width="3" style="1055" customWidth="1"/>
    <col min="10493" max="10493" width="7.21875" style="1055" customWidth="1"/>
    <col min="10494" max="10494" width="22.77734375" style="1055" customWidth="1"/>
    <col min="10495" max="10495" width="7.21875" style="1055" customWidth="1"/>
    <col min="10496" max="10496" width="9" style="1055" hidden="1" customWidth="1"/>
    <col min="10497" max="10497" width="8.77734375" style="1055" customWidth="1"/>
    <col min="10498" max="10498" width="9.77734375" style="1055" customWidth="1"/>
    <col min="10499" max="10499" width="10.5546875" style="1055" customWidth="1"/>
    <col min="10500" max="10500" width="12.21875" style="1055" customWidth="1"/>
    <col min="10501" max="10501" width="11.21875" style="1055" customWidth="1"/>
    <col min="10502" max="10502" width="6.77734375" style="1055" customWidth="1"/>
    <col min="10503" max="10742" width="30.5546875" style="1055" customWidth="1"/>
    <col min="10743" max="10743" width="6.5546875" style="1055" customWidth="1"/>
    <col min="10744" max="10744" width="7.5546875" style="1055" customWidth="1"/>
    <col min="10745" max="10745" width="4.77734375" style="1055" customWidth="1"/>
    <col min="10746" max="10746" width="11.77734375" style="1055" customWidth="1"/>
    <col min="10747" max="10747" width="9.77734375" style="1055" customWidth="1"/>
    <col min="10748" max="10748" width="3" style="1055" customWidth="1"/>
    <col min="10749" max="10749" width="7.21875" style="1055" customWidth="1"/>
    <col min="10750" max="10750" width="22.77734375" style="1055" customWidth="1"/>
    <col min="10751" max="10751" width="7.21875" style="1055" customWidth="1"/>
    <col min="10752" max="10752" width="9" style="1055" hidden="1" customWidth="1"/>
    <col min="10753" max="10753" width="8.77734375" style="1055" customWidth="1"/>
    <col min="10754" max="10754" width="9.77734375" style="1055" customWidth="1"/>
    <col min="10755" max="10755" width="10.5546875" style="1055" customWidth="1"/>
    <col min="10756" max="10756" width="12.21875" style="1055" customWidth="1"/>
    <col min="10757" max="10757" width="11.21875" style="1055" customWidth="1"/>
    <col min="10758" max="10758" width="6.77734375" style="1055" customWidth="1"/>
    <col min="10759" max="10998" width="30.5546875" style="1055" customWidth="1"/>
    <col min="10999" max="10999" width="6.5546875" style="1055" customWidth="1"/>
    <col min="11000" max="11000" width="7.5546875" style="1055" customWidth="1"/>
    <col min="11001" max="11001" width="4.77734375" style="1055" customWidth="1"/>
    <col min="11002" max="11002" width="11.77734375" style="1055" customWidth="1"/>
    <col min="11003" max="11003" width="9.77734375" style="1055" customWidth="1"/>
    <col min="11004" max="11004" width="3" style="1055" customWidth="1"/>
    <col min="11005" max="11005" width="7.21875" style="1055" customWidth="1"/>
    <col min="11006" max="11006" width="22.77734375" style="1055" customWidth="1"/>
    <col min="11007" max="11007" width="7.21875" style="1055" customWidth="1"/>
    <col min="11008" max="11008" width="9" style="1055" hidden="1" customWidth="1"/>
    <col min="11009" max="11009" width="8.77734375" style="1055" customWidth="1"/>
    <col min="11010" max="11010" width="9.77734375" style="1055" customWidth="1"/>
    <col min="11011" max="11011" width="10.5546875" style="1055" customWidth="1"/>
    <col min="11012" max="11012" width="12.21875" style="1055" customWidth="1"/>
    <col min="11013" max="11013" width="11.21875" style="1055" customWidth="1"/>
    <col min="11014" max="11014" width="6.77734375" style="1055" customWidth="1"/>
    <col min="11015" max="11254" width="30.5546875" style="1055" customWidth="1"/>
    <col min="11255" max="11255" width="6.5546875" style="1055" customWidth="1"/>
    <col min="11256" max="11256" width="7.5546875" style="1055" customWidth="1"/>
    <col min="11257" max="11257" width="4.77734375" style="1055" customWidth="1"/>
    <col min="11258" max="11258" width="11.77734375" style="1055" customWidth="1"/>
    <col min="11259" max="11259" width="9.77734375" style="1055" customWidth="1"/>
    <col min="11260" max="11260" width="3" style="1055" customWidth="1"/>
    <col min="11261" max="11261" width="7.21875" style="1055" customWidth="1"/>
    <col min="11262" max="11262" width="22.77734375" style="1055" customWidth="1"/>
    <col min="11263" max="11263" width="7.21875" style="1055" customWidth="1"/>
    <col min="11264" max="11264" width="9" style="1055" hidden="1" customWidth="1"/>
    <col min="11265" max="11265" width="8.77734375" style="1055" customWidth="1"/>
    <col min="11266" max="11266" width="9.77734375" style="1055" customWidth="1"/>
    <col min="11267" max="11267" width="10.5546875" style="1055" customWidth="1"/>
    <col min="11268" max="11268" width="12.21875" style="1055" customWidth="1"/>
    <col min="11269" max="11269" width="11.21875" style="1055" customWidth="1"/>
    <col min="11270" max="11270" width="6.77734375" style="1055" customWidth="1"/>
    <col min="11271" max="11510" width="30.5546875" style="1055" customWidth="1"/>
    <col min="11511" max="11511" width="6.5546875" style="1055" customWidth="1"/>
    <col min="11512" max="11512" width="7.5546875" style="1055" customWidth="1"/>
    <col min="11513" max="11513" width="4.77734375" style="1055" customWidth="1"/>
    <col min="11514" max="11514" width="11.77734375" style="1055" customWidth="1"/>
    <col min="11515" max="11515" width="9.77734375" style="1055" customWidth="1"/>
    <col min="11516" max="11516" width="3" style="1055" customWidth="1"/>
    <col min="11517" max="11517" width="7.21875" style="1055" customWidth="1"/>
    <col min="11518" max="11518" width="22.77734375" style="1055" customWidth="1"/>
    <col min="11519" max="11519" width="7.21875" style="1055" customWidth="1"/>
    <col min="11520" max="11520" width="9" style="1055" hidden="1" customWidth="1"/>
    <col min="11521" max="11521" width="8.77734375" style="1055" customWidth="1"/>
    <col min="11522" max="11522" width="9.77734375" style="1055" customWidth="1"/>
    <col min="11523" max="11523" width="10.5546875" style="1055" customWidth="1"/>
    <col min="11524" max="11524" width="12.21875" style="1055" customWidth="1"/>
    <col min="11525" max="11525" width="11.21875" style="1055" customWidth="1"/>
    <col min="11526" max="11526" width="6.77734375" style="1055" customWidth="1"/>
    <col min="11527" max="11766" width="30.5546875" style="1055" customWidth="1"/>
    <col min="11767" max="11767" width="6.5546875" style="1055" customWidth="1"/>
    <col min="11768" max="11768" width="7.5546875" style="1055" customWidth="1"/>
    <col min="11769" max="11769" width="4.77734375" style="1055" customWidth="1"/>
    <col min="11770" max="11770" width="11.77734375" style="1055" customWidth="1"/>
    <col min="11771" max="11771" width="9.77734375" style="1055" customWidth="1"/>
    <col min="11772" max="11772" width="3" style="1055" customWidth="1"/>
    <col min="11773" max="11773" width="7.21875" style="1055" customWidth="1"/>
    <col min="11774" max="11774" width="22.77734375" style="1055" customWidth="1"/>
    <col min="11775" max="11775" width="7.21875" style="1055" customWidth="1"/>
    <col min="11776" max="11776" width="9" style="1055" hidden="1" customWidth="1"/>
    <col min="11777" max="11777" width="8.77734375" style="1055" customWidth="1"/>
    <col min="11778" max="11778" width="9.77734375" style="1055" customWidth="1"/>
    <col min="11779" max="11779" width="10.5546875" style="1055" customWidth="1"/>
    <col min="11780" max="11780" width="12.21875" style="1055" customWidth="1"/>
    <col min="11781" max="11781" width="11.21875" style="1055" customWidth="1"/>
    <col min="11782" max="11782" width="6.77734375" style="1055" customWidth="1"/>
    <col min="11783" max="12022" width="30.5546875" style="1055" customWidth="1"/>
    <col min="12023" max="12023" width="6.5546875" style="1055" customWidth="1"/>
    <col min="12024" max="12024" width="7.5546875" style="1055" customWidth="1"/>
    <col min="12025" max="12025" width="4.77734375" style="1055" customWidth="1"/>
    <col min="12026" max="12026" width="11.77734375" style="1055" customWidth="1"/>
    <col min="12027" max="12027" width="9.77734375" style="1055" customWidth="1"/>
    <col min="12028" max="12028" width="3" style="1055" customWidth="1"/>
    <col min="12029" max="12029" width="7.21875" style="1055" customWidth="1"/>
    <col min="12030" max="12030" width="22.77734375" style="1055" customWidth="1"/>
    <col min="12031" max="12031" width="7.21875" style="1055" customWidth="1"/>
    <col min="12032" max="12032" width="9" style="1055" hidden="1" customWidth="1"/>
    <col min="12033" max="12033" width="8.77734375" style="1055" customWidth="1"/>
    <col min="12034" max="12034" width="9.77734375" style="1055" customWidth="1"/>
    <col min="12035" max="12035" width="10.5546875" style="1055" customWidth="1"/>
    <col min="12036" max="12036" width="12.21875" style="1055" customWidth="1"/>
    <col min="12037" max="12037" width="11.21875" style="1055" customWidth="1"/>
    <col min="12038" max="12038" width="6.77734375" style="1055" customWidth="1"/>
    <col min="12039" max="12278" width="30.5546875" style="1055" customWidth="1"/>
    <col min="12279" max="12279" width="6.5546875" style="1055" customWidth="1"/>
    <col min="12280" max="12280" width="7.5546875" style="1055" customWidth="1"/>
    <col min="12281" max="12281" width="4.77734375" style="1055" customWidth="1"/>
    <col min="12282" max="12282" width="11.77734375" style="1055" customWidth="1"/>
    <col min="12283" max="12283" width="9.77734375" style="1055" customWidth="1"/>
    <col min="12284" max="12284" width="3" style="1055" customWidth="1"/>
    <col min="12285" max="12285" width="7.21875" style="1055" customWidth="1"/>
    <col min="12286" max="12286" width="22.77734375" style="1055" customWidth="1"/>
    <col min="12287" max="12287" width="7.21875" style="1055" customWidth="1"/>
    <col min="12288" max="12288" width="9" style="1055" hidden="1" customWidth="1"/>
    <col min="12289" max="12289" width="8.77734375" style="1055" customWidth="1"/>
    <col min="12290" max="12290" width="9.77734375" style="1055" customWidth="1"/>
    <col min="12291" max="12291" width="10.5546875" style="1055" customWidth="1"/>
    <col min="12292" max="12292" width="12.21875" style="1055" customWidth="1"/>
    <col min="12293" max="12293" width="11.21875" style="1055" customWidth="1"/>
    <col min="12294" max="12294" width="6.77734375" style="1055" customWidth="1"/>
    <col min="12295" max="12534" width="30.5546875" style="1055" customWidth="1"/>
    <col min="12535" max="12535" width="6.5546875" style="1055" customWidth="1"/>
    <col min="12536" max="12536" width="7.5546875" style="1055" customWidth="1"/>
    <col min="12537" max="12537" width="4.77734375" style="1055" customWidth="1"/>
    <col min="12538" max="12538" width="11.77734375" style="1055" customWidth="1"/>
    <col min="12539" max="12539" width="9.77734375" style="1055" customWidth="1"/>
    <col min="12540" max="12540" width="3" style="1055" customWidth="1"/>
    <col min="12541" max="12541" width="7.21875" style="1055" customWidth="1"/>
    <col min="12542" max="12542" width="22.77734375" style="1055" customWidth="1"/>
    <col min="12543" max="12543" width="7.21875" style="1055" customWidth="1"/>
    <col min="12544" max="12544" width="9" style="1055" hidden="1" customWidth="1"/>
    <col min="12545" max="12545" width="8.77734375" style="1055" customWidth="1"/>
    <col min="12546" max="12546" width="9.77734375" style="1055" customWidth="1"/>
    <col min="12547" max="12547" width="10.5546875" style="1055" customWidth="1"/>
    <col min="12548" max="12548" width="12.21875" style="1055" customWidth="1"/>
    <col min="12549" max="12549" width="11.21875" style="1055" customWidth="1"/>
    <col min="12550" max="12550" width="6.77734375" style="1055" customWidth="1"/>
    <col min="12551" max="12790" width="30.5546875" style="1055" customWidth="1"/>
    <col min="12791" max="12791" width="6.5546875" style="1055" customWidth="1"/>
    <col min="12792" max="12792" width="7.5546875" style="1055" customWidth="1"/>
    <col min="12793" max="12793" width="4.77734375" style="1055" customWidth="1"/>
    <col min="12794" max="12794" width="11.77734375" style="1055" customWidth="1"/>
    <col min="12795" max="12795" width="9.77734375" style="1055" customWidth="1"/>
    <col min="12796" max="12796" width="3" style="1055" customWidth="1"/>
    <col min="12797" max="12797" width="7.21875" style="1055" customWidth="1"/>
    <col min="12798" max="12798" width="22.77734375" style="1055" customWidth="1"/>
    <col min="12799" max="12799" width="7.21875" style="1055" customWidth="1"/>
    <col min="12800" max="12800" width="9" style="1055" hidden="1" customWidth="1"/>
    <col min="12801" max="12801" width="8.77734375" style="1055" customWidth="1"/>
    <col min="12802" max="12802" width="9.77734375" style="1055" customWidth="1"/>
    <col min="12803" max="12803" width="10.5546875" style="1055" customWidth="1"/>
    <col min="12804" max="12804" width="12.21875" style="1055" customWidth="1"/>
    <col min="12805" max="12805" width="11.21875" style="1055" customWidth="1"/>
    <col min="12806" max="12806" width="6.77734375" style="1055" customWidth="1"/>
    <col min="12807" max="13046" width="30.5546875" style="1055" customWidth="1"/>
    <col min="13047" max="13047" width="6.5546875" style="1055" customWidth="1"/>
    <col min="13048" max="13048" width="7.5546875" style="1055" customWidth="1"/>
    <col min="13049" max="13049" width="4.77734375" style="1055" customWidth="1"/>
    <col min="13050" max="13050" width="11.77734375" style="1055" customWidth="1"/>
    <col min="13051" max="13051" width="9.77734375" style="1055" customWidth="1"/>
    <col min="13052" max="13052" width="3" style="1055" customWidth="1"/>
    <col min="13053" max="13053" width="7.21875" style="1055" customWidth="1"/>
    <col min="13054" max="13054" width="22.77734375" style="1055" customWidth="1"/>
    <col min="13055" max="13055" width="7.21875" style="1055" customWidth="1"/>
    <col min="13056" max="13056" width="9" style="1055" hidden="1" customWidth="1"/>
    <col min="13057" max="13057" width="8.77734375" style="1055" customWidth="1"/>
    <col min="13058" max="13058" width="9.77734375" style="1055" customWidth="1"/>
    <col min="13059" max="13059" width="10.5546875" style="1055" customWidth="1"/>
    <col min="13060" max="13060" width="12.21875" style="1055" customWidth="1"/>
    <col min="13061" max="13061" width="11.21875" style="1055" customWidth="1"/>
    <col min="13062" max="13062" width="6.77734375" style="1055" customWidth="1"/>
    <col min="13063" max="13302" width="30.5546875" style="1055" customWidth="1"/>
    <col min="13303" max="13303" width="6.5546875" style="1055" customWidth="1"/>
    <col min="13304" max="13304" width="7.5546875" style="1055" customWidth="1"/>
    <col min="13305" max="13305" width="4.77734375" style="1055" customWidth="1"/>
    <col min="13306" max="13306" width="11.77734375" style="1055" customWidth="1"/>
    <col min="13307" max="13307" width="9.77734375" style="1055" customWidth="1"/>
    <col min="13308" max="13308" width="3" style="1055" customWidth="1"/>
    <col min="13309" max="13309" width="7.21875" style="1055" customWidth="1"/>
    <col min="13310" max="13310" width="22.77734375" style="1055" customWidth="1"/>
    <col min="13311" max="13311" width="7.21875" style="1055" customWidth="1"/>
    <col min="13312" max="13312" width="9" style="1055" hidden="1" customWidth="1"/>
    <col min="13313" max="13313" width="8.77734375" style="1055" customWidth="1"/>
    <col min="13314" max="13314" width="9.77734375" style="1055" customWidth="1"/>
    <col min="13315" max="13315" width="10.5546875" style="1055" customWidth="1"/>
    <col min="13316" max="13316" width="12.21875" style="1055" customWidth="1"/>
    <col min="13317" max="13317" width="11.21875" style="1055" customWidth="1"/>
    <col min="13318" max="13318" width="6.77734375" style="1055" customWidth="1"/>
    <col min="13319" max="13558" width="30.5546875" style="1055" customWidth="1"/>
    <col min="13559" max="13559" width="6.5546875" style="1055" customWidth="1"/>
    <col min="13560" max="13560" width="7.5546875" style="1055" customWidth="1"/>
    <col min="13561" max="13561" width="4.77734375" style="1055" customWidth="1"/>
    <col min="13562" max="13562" width="11.77734375" style="1055" customWidth="1"/>
    <col min="13563" max="13563" width="9.77734375" style="1055" customWidth="1"/>
    <col min="13564" max="13564" width="3" style="1055" customWidth="1"/>
    <col min="13565" max="13565" width="7.21875" style="1055" customWidth="1"/>
    <col min="13566" max="13566" width="22.77734375" style="1055" customWidth="1"/>
    <col min="13567" max="13567" width="7.21875" style="1055" customWidth="1"/>
    <col min="13568" max="13568" width="9" style="1055" hidden="1" customWidth="1"/>
    <col min="13569" max="13569" width="8.77734375" style="1055" customWidth="1"/>
    <col min="13570" max="13570" width="9.77734375" style="1055" customWidth="1"/>
    <col min="13571" max="13571" width="10.5546875" style="1055" customWidth="1"/>
    <col min="13572" max="13572" width="12.21875" style="1055" customWidth="1"/>
    <col min="13573" max="13573" width="11.21875" style="1055" customWidth="1"/>
    <col min="13574" max="13574" width="6.77734375" style="1055" customWidth="1"/>
    <col min="13575" max="13814" width="30.5546875" style="1055" customWidth="1"/>
    <col min="13815" max="13815" width="6.5546875" style="1055" customWidth="1"/>
    <col min="13816" max="13816" width="7.5546875" style="1055" customWidth="1"/>
    <col min="13817" max="13817" width="4.77734375" style="1055" customWidth="1"/>
    <col min="13818" max="13818" width="11.77734375" style="1055" customWidth="1"/>
    <col min="13819" max="13819" width="9.77734375" style="1055" customWidth="1"/>
    <col min="13820" max="13820" width="3" style="1055" customWidth="1"/>
    <col min="13821" max="13821" width="7.21875" style="1055" customWidth="1"/>
    <col min="13822" max="13822" width="22.77734375" style="1055" customWidth="1"/>
    <col min="13823" max="13823" width="7.21875" style="1055" customWidth="1"/>
    <col min="13824" max="13824" width="9" style="1055" hidden="1" customWidth="1"/>
    <col min="13825" max="13825" width="8.77734375" style="1055" customWidth="1"/>
    <col min="13826" max="13826" width="9.77734375" style="1055" customWidth="1"/>
    <col min="13827" max="13827" width="10.5546875" style="1055" customWidth="1"/>
    <col min="13828" max="13828" width="12.21875" style="1055" customWidth="1"/>
    <col min="13829" max="13829" width="11.21875" style="1055" customWidth="1"/>
    <col min="13830" max="13830" width="6.77734375" style="1055" customWidth="1"/>
    <col min="13831" max="14070" width="30.5546875" style="1055" customWidth="1"/>
    <col min="14071" max="14071" width="6.5546875" style="1055" customWidth="1"/>
    <col min="14072" max="14072" width="7.5546875" style="1055" customWidth="1"/>
    <col min="14073" max="14073" width="4.77734375" style="1055" customWidth="1"/>
    <col min="14074" max="14074" width="11.77734375" style="1055" customWidth="1"/>
    <col min="14075" max="14075" width="9.77734375" style="1055" customWidth="1"/>
    <col min="14076" max="14076" width="3" style="1055" customWidth="1"/>
    <col min="14077" max="14077" width="7.21875" style="1055" customWidth="1"/>
    <col min="14078" max="14078" width="22.77734375" style="1055" customWidth="1"/>
    <col min="14079" max="14079" width="7.21875" style="1055" customWidth="1"/>
    <col min="14080" max="14080" width="9" style="1055" hidden="1" customWidth="1"/>
    <col min="14081" max="14081" width="8.77734375" style="1055" customWidth="1"/>
    <col min="14082" max="14082" width="9.77734375" style="1055" customWidth="1"/>
    <col min="14083" max="14083" width="10.5546875" style="1055" customWidth="1"/>
    <col min="14084" max="14084" width="12.21875" style="1055" customWidth="1"/>
    <col min="14085" max="14085" width="11.21875" style="1055" customWidth="1"/>
    <col min="14086" max="14086" width="6.77734375" style="1055" customWidth="1"/>
    <col min="14087" max="14326" width="30.5546875" style="1055" customWidth="1"/>
    <col min="14327" max="14327" width="6.5546875" style="1055" customWidth="1"/>
    <col min="14328" max="14328" width="7.5546875" style="1055" customWidth="1"/>
    <col min="14329" max="14329" width="4.77734375" style="1055" customWidth="1"/>
    <col min="14330" max="14330" width="11.77734375" style="1055" customWidth="1"/>
    <col min="14331" max="14331" width="9.77734375" style="1055" customWidth="1"/>
    <col min="14332" max="14332" width="3" style="1055" customWidth="1"/>
    <col min="14333" max="14333" width="7.21875" style="1055" customWidth="1"/>
    <col min="14334" max="14334" width="22.77734375" style="1055" customWidth="1"/>
    <col min="14335" max="14335" width="7.21875" style="1055" customWidth="1"/>
    <col min="14336" max="14336" width="9" style="1055" hidden="1" customWidth="1"/>
    <col min="14337" max="14337" width="8.77734375" style="1055" customWidth="1"/>
    <col min="14338" max="14338" width="9.77734375" style="1055" customWidth="1"/>
    <col min="14339" max="14339" width="10.5546875" style="1055" customWidth="1"/>
    <col min="14340" max="14340" width="12.21875" style="1055" customWidth="1"/>
    <col min="14341" max="14341" width="11.21875" style="1055" customWidth="1"/>
    <col min="14342" max="14342" width="6.77734375" style="1055" customWidth="1"/>
    <col min="14343" max="14582" width="30.5546875" style="1055" customWidth="1"/>
    <col min="14583" max="14583" width="6.5546875" style="1055" customWidth="1"/>
    <col min="14584" max="14584" width="7.5546875" style="1055" customWidth="1"/>
    <col min="14585" max="14585" width="4.77734375" style="1055" customWidth="1"/>
    <col min="14586" max="14586" width="11.77734375" style="1055" customWidth="1"/>
    <col min="14587" max="14587" width="9.77734375" style="1055" customWidth="1"/>
    <col min="14588" max="14588" width="3" style="1055" customWidth="1"/>
    <col min="14589" max="14589" width="7.21875" style="1055" customWidth="1"/>
    <col min="14590" max="14590" width="22.77734375" style="1055" customWidth="1"/>
    <col min="14591" max="14591" width="7.21875" style="1055" customWidth="1"/>
    <col min="14592" max="14592" width="9" style="1055" hidden="1" customWidth="1"/>
    <col min="14593" max="14593" width="8.77734375" style="1055" customWidth="1"/>
    <col min="14594" max="14594" width="9.77734375" style="1055" customWidth="1"/>
    <col min="14595" max="14595" width="10.5546875" style="1055" customWidth="1"/>
    <col min="14596" max="14596" width="12.21875" style="1055" customWidth="1"/>
    <col min="14597" max="14597" width="11.21875" style="1055" customWidth="1"/>
    <col min="14598" max="14598" width="6.77734375" style="1055" customWidth="1"/>
    <col min="14599" max="14838" width="30.5546875" style="1055" customWidth="1"/>
    <col min="14839" max="14839" width="6.5546875" style="1055" customWidth="1"/>
    <col min="14840" max="14840" width="7.5546875" style="1055" customWidth="1"/>
    <col min="14841" max="14841" width="4.77734375" style="1055" customWidth="1"/>
    <col min="14842" max="14842" width="11.77734375" style="1055" customWidth="1"/>
    <col min="14843" max="14843" width="9.77734375" style="1055" customWidth="1"/>
    <col min="14844" max="14844" width="3" style="1055" customWidth="1"/>
    <col min="14845" max="14845" width="7.21875" style="1055" customWidth="1"/>
    <col min="14846" max="14846" width="22.77734375" style="1055" customWidth="1"/>
    <col min="14847" max="14847" width="7.21875" style="1055" customWidth="1"/>
    <col min="14848" max="14848" width="9" style="1055" hidden="1" customWidth="1"/>
    <col min="14849" max="14849" width="8.77734375" style="1055" customWidth="1"/>
    <col min="14850" max="14850" width="9.77734375" style="1055" customWidth="1"/>
    <col min="14851" max="14851" width="10.5546875" style="1055" customWidth="1"/>
    <col min="14852" max="14852" width="12.21875" style="1055" customWidth="1"/>
    <col min="14853" max="14853" width="11.21875" style="1055" customWidth="1"/>
    <col min="14854" max="14854" width="6.77734375" style="1055" customWidth="1"/>
    <col min="14855" max="15094" width="30.5546875" style="1055" customWidth="1"/>
    <col min="15095" max="15095" width="6.5546875" style="1055" customWidth="1"/>
    <col min="15096" max="15096" width="7.5546875" style="1055" customWidth="1"/>
    <col min="15097" max="15097" width="4.77734375" style="1055" customWidth="1"/>
    <col min="15098" max="15098" width="11.77734375" style="1055" customWidth="1"/>
    <col min="15099" max="15099" width="9.77734375" style="1055" customWidth="1"/>
    <col min="15100" max="15100" width="3" style="1055" customWidth="1"/>
    <col min="15101" max="15101" width="7.21875" style="1055" customWidth="1"/>
    <col min="15102" max="15102" width="22.77734375" style="1055" customWidth="1"/>
    <col min="15103" max="15103" width="7.21875" style="1055" customWidth="1"/>
    <col min="15104" max="15104" width="9" style="1055" hidden="1" customWidth="1"/>
    <col min="15105" max="15105" width="8.77734375" style="1055" customWidth="1"/>
    <col min="15106" max="15106" width="9.77734375" style="1055" customWidth="1"/>
    <col min="15107" max="15107" width="10.5546875" style="1055" customWidth="1"/>
    <col min="15108" max="15108" width="12.21875" style="1055" customWidth="1"/>
    <col min="15109" max="15109" width="11.21875" style="1055" customWidth="1"/>
    <col min="15110" max="15110" width="6.77734375" style="1055" customWidth="1"/>
    <col min="15111" max="15350" width="30.5546875" style="1055" customWidth="1"/>
    <col min="15351" max="15351" width="6.5546875" style="1055" customWidth="1"/>
    <col min="15352" max="15352" width="7.5546875" style="1055" customWidth="1"/>
    <col min="15353" max="15353" width="4.77734375" style="1055" customWidth="1"/>
    <col min="15354" max="15354" width="11.77734375" style="1055" customWidth="1"/>
    <col min="15355" max="15355" width="9.77734375" style="1055" customWidth="1"/>
    <col min="15356" max="15356" width="3" style="1055" customWidth="1"/>
    <col min="15357" max="15357" width="7.21875" style="1055" customWidth="1"/>
    <col min="15358" max="15358" width="22.77734375" style="1055" customWidth="1"/>
    <col min="15359" max="15359" width="7.21875" style="1055" customWidth="1"/>
    <col min="15360" max="15360" width="9" style="1055" hidden="1" customWidth="1"/>
    <col min="15361" max="15361" width="8.77734375" style="1055" customWidth="1"/>
    <col min="15362" max="15362" width="9.77734375" style="1055" customWidth="1"/>
    <col min="15363" max="15363" width="10.5546875" style="1055" customWidth="1"/>
    <col min="15364" max="15364" width="12.21875" style="1055" customWidth="1"/>
    <col min="15365" max="15365" width="11.21875" style="1055" customWidth="1"/>
    <col min="15366" max="15366" width="6.77734375" style="1055" customWidth="1"/>
    <col min="15367" max="15606" width="30.5546875" style="1055" customWidth="1"/>
    <col min="15607" max="15607" width="6.5546875" style="1055" customWidth="1"/>
    <col min="15608" max="15608" width="7.5546875" style="1055" customWidth="1"/>
    <col min="15609" max="15609" width="4.77734375" style="1055" customWidth="1"/>
    <col min="15610" max="15610" width="11.77734375" style="1055" customWidth="1"/>
    <col min="15611" max="15611" width="9.77734375" style="1055" customWidth="1"/>
    <col min="15612" max="15612" width="3" style="1055" customWidth="1"/>
    <col min="15613" max="15613" width="7.21875" style="1055" customWidth="1"/>
    <col min="15614" max="15614" width="22.77734375" style="1055" customWidth="1"/>
    <col min="15615" max="15615" width="7.21875" style="1055" customWidth="1"/>
    <col min="15616" max="15616" width="9" style="1055" hidden="1" customWidth="1"/>
    <col min="15617" max="15617" width="8.77734375" style="1055" customWidth="1"/>
    <col min="15618" max="15618" width="9.77734375" style="1055" customWidth="1"/>
    <col min="15619" max="15619" width="10.5546875" style="1055" customWidth="1"/>
    <col min="15620" max="15620" width="12.21875" style="1055" customWidth="1"/>
    <col min="15621" max="15621" width="11.21875" style="1055" customWidth="1"/>
    <col min="15622" max="15622" width="6.77734375" style="1055" customWidth="1"/>
    <col min="15623" max="15862" width="30.5546875" style="1055" customWidth="1"/>
    <col min="15863" max="15863" width="6.5546875" style="1055" customWidth="1"/>
    <col min="15864" max="15864" width="7.5546875" style="1055" customWidth="1"/>
    <col min="15865" max="15865" width="4.77734375" style="1055" customWidth="1"/>
    <col min="15866" max="15866" width="11.77734375" style="1055" customWidth="1"/>
    <col min="15867" max="15867" width="9.77734375" style="1055" customWidth="1"/>
    <col min="15868" max="15868" width="3" style="1055" customWidth="1"/>
    <col min="15869" max="15869" width="7.21875" style="1055" customWidth="1"/>
    <col min="15870" max="15870" width="22.77734375" style="1055" customWidth="1"/>
    <col min="15871" max="15871" width="7.21875" style="1055" customWidth="1"/>
    <col min="15872" max="15872" width="9" style="1055" hidden="1" customWidth="1"/>
    <col min="15873" max="15873" width="8.77734375" style="1055" customWidth="1"/>
    <col min="15874" max="15874" width="9.77734375" style="1055" customWidth="1"/>
    <col min="15875" max="15875" width="10.5546875" style="1055" customWidth="1"/>
    <col min="15876" max="15876" width="12.21875" style="1055" customWidth="1"/>
    <col min="15877" max="15877" width="11.21875" style="1055" customWidth="1"/>
    <col min="15878" max="15878" width="6.77734375" style="1055" customWidth="1"/>
    <col min="15879" max="16118" width="30.5546875" style="1055" customWidth="1"/>
    <col min="16119" max="16119" width="6.5546875" style="1055" customWidth="1"/>
    <col min="16120" max="16120" width="7.5546875" style="1055" customWidth="1"/>
    <col min="16121" max="16121" width="4.77734375" style="1055" customWidth="1"/>
    <col min="16122" max="16122" width="11.77734375" style="1055" customWidth="1"/>
    <col min="16123" max="16123" width="9.77734375" style="1055" customWidth="1"/>
    <col min="16124" max="16124" width="3" style="1055" customWidth="1"/>
    <col min="16125" max="16125" width="7.21875" style="1055" customWidth="1"/>
    <col min="16126" max="16126" width="22.77734375" style="1055" customWidth="1"/>
    <col min="16127" max="16127" width="7.21875" style="1055" customWidth="1"/>
    <col min="16128" max="16128" width="9" style="1055" hidden="1" customWidth="1"/>
    <col min="16129" max="16129" width="8.77734375" style="1055" customWidth="1"/>
    <col min="16130" max="16130" width="9.77734375" style="1055" customWidth="1"/>
    <col min="16131" max="16131" width="10.5546875" style="1055" customWidth="1"/>
    <col min="16132" max="16132" width="12.21875" style="1055" customWidth="1"/>
    <col min="16133" max="16133" width="11.21875" style="1055" customWidth="1"/>
    <col min="16134" max="16134" width="6.77734375" style="1055" customWidth="1"/>
    <col min="16135" max="16384" width="30.5546875" style="1055" customWidth="1"/>
  </cols>
  <sheetData>
    <row r="1" spans="1:35" ht="15.6">
      <c r="A1" s="1335" t="s">
        <v>48</v>
      </c>
      <c r="B1" s="1336"/>
      <c r="C1" s="1336"/>
      <c r="D1" s="1336"/>
      <c r="E1" s="1336"/>
      <c r="F1" s="1336"/>
      <c r="G1" s="1336"/>
      <c r="H1" s="1336"/>
      <c r="I1" s="1336"/>
      <c r="J1" s="1336"/>
      <c r="K1" s="1336"/>
      <c r="L1" s="1336"/>
      <c r="M1" s="1336"/>
      <c r="N1" s="1336"/>
      <c r="O1" s="1336"/>
      <c r="P1" s="1336"/>
      <c r="Q1" s="1336"/>
      <c r="R1" s="1336"/>
      <c r="S1" s="1336"/>
      <c r="T1" s="1336"/>
      <c r="U1" s="1336"/>
      <c r="V1" s="1336"/>
      <c r="W1" s="1336"/>
      <c r="X1" s="1336"/>
      <c r="Y1" s="1336"/>
      <c r="Z1" s="1336"/>
      <c r="AA1" s="1336"/>
      <c r="AB1" s="1336"/>
      <c r="AC1" s="1336"/>
      <c r="AD1" s="1336"/>
      <c r="AE1" s="1336"/>
      <c r="AF1" s="1336"/>
      <c r="AG1" s="1336"/>
      <c r="AH1" s="1336"/>
      <c r="AI1" s="1337"/>
    </row>
    <row r="2" spans="1:35" ht="15.6">
      <c r="A2" s="1338" t="s">
        <v>49</v>
      </c>
      <c r="B2" s="1339"/>
      <c r="C2" s="1339"/>
      <c r="D2" s="1339"/>
      <c r="E2" s="1339"/>
      <c r="F2" s="1339"/>
      <c r="G2" s="1339"/>
      <c r="H2" s="1339"/>
      <c r="I2" s="1339"/>
      <c r="J2" s="1339"/>
      <c r="K2" s="1339"/>
      <c r="L2" s="1339"/>
      <c r="M2" s="1339"/>
      <c r="N2" s="1339"/>
      <c r="O2" s="1339"/>
      <c r="P2" s="1339"/>
      <c r="Q2" s="1339"/>
      <c r="R2" s="1339"/>
      <c r="S2" s="1339"/>
      <c r="T2" s="1339"/>
      <c r="U2" s="1339"/>
      <c r="V2" s="1339"/>
      <c r="W2" s="1339"/>
      <c r="X2" s="1339"/>
      <c r="Y2" s="1339"/>
      <c r="Z2" s="1339"/>
      <c r="AA2" s="1339"/>
      <c r="AB2" s="1339"/>
      <c r="AC2" s="1339"/>
      <c r="AD2" s="1339"/>
      <c r="AE2" s="1339"/>
      <c r="AF2" s="1339"/>
      <c r="AG2" s="1339"/>
      <c r="AH2" s="1339"/>
      <c r="AI2" s="1340"/>
    </row>
    <row r="3" spans="1:35" ht="15.6">
      <c r="A3" s="1338" t="s">
        <v>50</v>
      </c>
      <c r="B3" s="1339"/>
      <c r="C3" s="1339"/>
      <c r="D3" s="1339"/>
      <c r="E3" s="1339"/>
      <c r="F3" s="1339"/>
      <c r="G3" s="1339"/>
      <c r="H3" s="1339"/>
      <c r="I3" s="1339"/>
      <c r="J3" s="1339"/>
      <c r="K3" s="1339"/>
      <c r="L3" s="1339"/>
      <c r="M3" s="1339"/>
      <c r="N3" s="1339"/>
      <c r="O3" s="1339"/>
      <c r="P3" s="1339"/>
      <c r="Q3" s="1339"/>
      <c r="R3" s="1339"/>
      <c r="S3" s="1339"/>
      <c r="T3" s="1339"/>
      <c r="U3" s="1339"/>
      <c r="V3" s="1339"/>
      <c r="W3" s="1339"/>
      <c r="X3" s="1339"/>
      <c r="Y3" s="1339"/>
      <c r="Z3" s="1339"/>
      <c r="AA3" s="1339"/>
      <c r="AB3" s="1339"/>
      <c r="AC3" s="1339"/>
      <c r="AD3" s="1339"/>
      <c r="AE3" s="1339"/>
      <c r="AF3" s="1339"/>
      <c r="AG3" s="1339"/>
      <c r="AH3" s="1339"/>
      <c r="AI3" s="1340"/>
    </row>
    <row r="5" spans="1:35">
      <c r="A5" s="1055" t="s">
        <v>182</v>
      </c>
      <c r="O5" s="57"/>
    </row>
    <row r="6" spans="1:35" ht="13.8">
      <c r="A6" s="1291" t="s">
        <v>167</v>
      </c>
      <c r="B6" s="1341" t="s">
        <v>168</v>
      </c>
      <c r="C6" s="1293" t="s">
        <v>183</v>
      </c>
      <c r="D6" s="1185"/>
      <c r="E6" s="1291" t="s">
        <v>169</v>
      </c>
      <c r="F6" s="1292" t="s">
        <v>1013</v>
      </c>
      <c r="G6" s="1292" t="s">
        <v>1496</v>
      </c>
      <c r="H6" s="1292" t="s">
        <v>1143</v>
      </c>
      <c r="I6" s="1292" t="s">
        <v>1497</v>
      </c>
      <c r="J6" s="1292" t="s">
        <v>1498</v>
      </c>
      <c r="K6" s="1292" t="s">
        <v>184</v>
      </c>
      <c r="L6" s="1291" t="s">
        <v>185</v>
      </c>
      <c r="M6" s="1291"/>
      <c r="N6" s="1291"/>
      <c r="O6" s="1291"/>
      <c r="P6" s="1291"/>
    </row>
    <row r="7" spans="1:35" ht="27.6">
      <c r="A7" s="1292"/>
      <c r="B7" s="1342"/>
      <c r="C7" s="1293"/>
      <c r="D7" s="1186" t="s">
        <v>1849</v>
      </c>
      <c r="E7" s="1292"/>
      <c r="F7" s="1343"/>
      <c r="G7" s="1294"/>
      <c r="H7" s="1294"/>
      <c r="I7" s="1294"/>
      <c r="J7" s="1294"/>
      <c r="K7" s="1294"/>
      <c r="L7" s="1292"/>
      <c r="M7" s="312" t="s">
        <v>186</v>
      </c>
      <c r="N7" s="312" t="s">
        <v>172</v>
      </c>
      <c r="O7" s="311" t="s">
        <v>187</v>
      </c>
      <c r="P7" s="311" t="s">
        <v>188</v>
      </c>
      <c r="Q7" s="311" t="s">
        <v>20</v>
      </c>
    </row>
    <row r="8" spans="1:35" ht="15.6">
      <c r="A8" s="318">
        <v>1</v>
      </c>
      <c r="B8" s="772" t="s">
        <v>83</v>
      </c>
      <c r="C8" s="313"/>
      <c r="D8" s="1187" t="s">
        <v>1608</v>
      </c>
      <c r="E8" s="1196" t="s">
        <v>1817</v>
      </c>
      <c r="F8" s="1182"/>
      <c r="G8" s="910"/>
      <c r="H8" s="910"/>
      <c r="I8" s="795"/>
      <c r="J8" s="910"/>
      <c r="K8" s="794"/>
      <c r="L8" s="1183" t="s">
        <v>256</v>
      </c>
      <c r="M8" s="962">
        <v>46059</v>
      </c>
      <c r="N8" s="1226">
        <v>46064</v>
      </c>
      <c r="O8" s="1184" t="s">
        <v>1846</v>
      </c>
      <c r="P8" s="320"/>
      <c r="Q8" s="909" t="s">
        <v>175</v>
      </c>
    </row>
    <row r="9" spans="1:35">
      <c r="A9" s="318">
        <f>A8+1</f>
        <v>2</v>
      </c>
      <c r="B9" s="1188" t="s">
        <v>1820</v>
      </c>
      <c r="C9" s="320"/>
      <c r="D9" s="320" t="s">
        <v>1609</v>
      </c>
      <c r="E9" s="1196" t="s">
        <v>1827</v>
      </c>
      <c r="F9" s="1182"/>
      <c r="G9" s="320"/>
      <c r="H9" s="320"/>
      <c r="I9" s="320"/>
      <c r="J9" s="320"/>
      <c r="K9" s="320"/>
      <c r="L9" s="1183" t="s">
        <v>256</v>
      </c>
      <c r="M9" s="1189">
        <v>46064</v>
      </c>
      <c r="N9" s="1189">
        <v>46067</v>
      </c>
      <c r="O9" s="1184" t="s">
        <v>1846</v>
      </c>
      <c r="P9" s="320"/>
      <c r="Q9" s="909" t="s">
        <v>175</v>
      </c>
    </row>
    <row r="10" spans="1:35">
      <c r="A10" s="318">
        <f t="shared" ref="A10:A25" si="0">A9+1</f>
        <v>3</v>
      </c>
      <c r="B10" s="1188" t="s">
        <v>1163</v>
      </c>
      <c r="C10" s="320"/>
      <c r="D10" s="320" t="s">
        <v>1608</v>
      </c>
      <c r="E10" s="1196" t="s">
        <v>147</v>
      </c>
      <c r="F10" s="1182"/>
      <c r="G10" s="320"/>
      <c r="H10" s="320"/>
      <c r="I10" s="320"/>
      <c r="J10" s="320"/>
      <c r="K10" s="320"/>
      <c r="L10" s="1183" t="s">
        <v>256</v>
      </c>
      <c r="M10" s="1189">
        <v>46065</v>
      </c>
      <c r="N10" s="1189">
        <v>46069</v>
      </c>
      <c r="O10" s="1184" t="s">
        <v>1846</v>
      </c>
      <c r="P10" s="320"/>
      <c r="Q10" s="909" t="s">
        <v>175</v>
      </c>
    </row>
    <row r="11" spans="1:35">
      <c r="A11" s="318">
        <f t="shared" si="0"/>
        <v>4</v>
      </c>
      <c r="B11" s="1188" t="s">
        <v>1821</v>
      </c>
      <c r="C11" s="320"/>
      <c r="D11" s="320" t="s">
        <v>1609</v>
      </c>
      <c r="E11" s="1196" t="s">
        <v>1827</v>
      </c>
      <c r="F11" s="320"/>
      <c r="G11" s="320"/>
      <c r="H11" s="320"/>
      <c r="I11" s="320"/>
      <c r="J11" s="320"/>
      <c r="K11" s="320"/>
      <c r="L11" s="1183" t="s">
        <v>256</v>
      </c>
      <c r="M11" s="1189">
        <v>46068</v>
      </c>
      <c r="N11" s="1189">
        <v>46071</v>
      </c>
      <c r="O11" s="1184" t="s">
        <v>1846</v>
      </c>
      <c r="P11" s="320"/>
      <c r="Q11" s="909" t="s">
        <v>175</v>
      </c>
    </row>
    <row r="12" spans="1:35">
      <c r="A12" s="318">
        <f t="shared" si="0"/>
        <v>5</v>
      </c>
      <c r="B12" s="1188" t="s">
        <v>1162</v>
      </c>
      <c r="C12" s="320"/>
      <c r="D12" s="320" t="s">
        <v>1608</v>
      </c>
      <c r="E12" s="320" t="s">
        <v>147</v>
      </c>
      <c r="F12" s="320"/>
      <c r="G12" s="320"/>
      <c r="H12" s="320"/>
      <c r="I12" s="320"/>
      <c r="J12" s="320"/>
      <c r="K12" s="320"/>
      <c r="L12" s="1183" t="s">
        <v>256</v>
      </c>
      <c r="M12" s="1189">
        <v>46070</v>
      </c>
      <c r="N12" s="1189">
        <v>46073</v>
      </c>
      <c r="O12" s="1184" t="s">
        <v>1846</v>
      </c>
      <c r="P12" s="320"/>
      <c r="Q12" s="909" t="s">
        <v>175</v>
      </c>
    </row>
    <row r="13" spans="1:35">
      <c r="A13" s="318">
        <f t="shared" si="0"/>
        <v>6</v>
      </c>
      <c r="B13" s="1188" t="s">
        <v>466</v>
      </c>
      <c r="C13" s="320"/>
      <c r="D13" s="320" t="s">
        <v>1609</v>
      </c>
      <c r="E13" s="1196" t="s">
        <v>1826</v>
      </c>
      <c r="F13" s="1182"/>
      <c r="G13" s="320"/>
      <c r="H13" s="320"/>
      <c r="I13" s="320"/>
      <c r="J13" s="320"/>
      <c r="K13" s="320"/>
      <c r="L13" s="1183" t="s">
        <v>256</v>
      </c>
      <c r="M13" s="1189">
        <v>46064</v>
      </c>
      <c r="N13" s="1189">
        <v>46081</v>
      </c>
      <c r="O13" s="1184" t="s">
        <v>1846</v>
      </c>
      <c r="P13" s="320"/>
      <c r="Q13" s="909" t="s">
        <v>175</v>
      </c>
      <c r="R13" s="1208"/>
    </row>
    <row r="14" spans="1:35">
      <c r="A14" s="318">
        <f t="shared" si="0"/>
        <v>7</v>
      </c>
      <c r="B14" s="595" t="s">
        <v>81</v>
      </c>
      <c r="C14" s="320"/>
      <c r="D14" s="320" t="s">
        <v>1851</v>
      </c>
      <c r="E14" s="320" t="s">
        <v>1812</v>
      </c>
      <c r="F14" s="320"/>
      <c r="G14" s="320"/>
      <c r="H14" s="320"/>
      <c r="I14" s="320"/>
      <c r="J14" s="320"/>
      <c r="K14" s="320"/>
      <c r="L14" s="1183" t="s">
        <v>256</v>
      </c>
      <c r="M14" s="1189">
        <v>46072</v>
      </c>
      <c r="N14" s="1189">
        <v>46081</v>
      </c>
      <c r="O14" s="1184" t="s">
        <v>1846</v>
      </c>
      <c r="P14" s="320"/>
      <c r="Q14" s="909" t="s">
        <v>175</v>
      </c>
      <c r="AD14" s="1055">
        <v>185</v>
      </c>
    </row>
    <row r="15" spans="1:35">
      <c r="A15" s="318">
        <f t="shared" si="0"/>
        <v>8</v>
      </c>
      <c r="B15" s="1188" t="s">
        <v>1708</v>
      </c>
      <c r="C15" s="320"/>
      <c r="D15" s="320" t="s">
        <v>1609</v>
      </c>
      <c r="E15" s="320" t="s">
        <v>147</v>
      </c>
      <c r="F15" s="320"/>
      <c r="G15" s="320"/>
      <c r="H15" s="320"/>
      <c r="I15" s="320"/>
      <c r="J15" s="320"/>
      <c r="K15" s="320"/>
      <c r="L15" s="320" t="s">
        <v>256</v>
      </c>
      <c r="M15" s="321" t="s">
        <v>1855</v>
      </c>
      <c r="N15" s="1225">
        <v>46092</v>
      </c>
      <c r="O15" s="1184" t="s">
        <v>1846</v>
      </c>
      <c r="P15" s="1205"/>
      <c r="Q15" s="909" t="s">
        <v>175</v>
      </c>
    </row>
    <row r="16" spans="1:35">
      <c r="A16" s="318">
        <f t="shared" si="0"/>
        <v>9</v>
      </c>
      <c r="B16" s="1201" t="s">
        <v>1252</v>
      </c>
      <c r="C16" s="797"/>
      <c r="D16" s="797" t="s">
        <v>1609</v>
      </c>
      <c r="E16" s="797" t="s">
        <v>1828</v>
      </c>
      <c r="F16" s="797"/>
      <c r="G16" s="797"/>
      <c r="H16" s="797"/>
      <c r="I16" s="797"/>
      <c r="J16" s="797"/>
      <c r="K16" s="797"/>
      <c r="L16" s="1202" t="s">
        <v>256</v>
      </c>
      <c r="M16" s="1203">
        <v>46081</v>
      </c>
      <c r="N16" s="1207">
        <v>46094</v>
      </c>
      <c r="O16" s="1204" t="s">
        <v>1846</v>
      </c>
      <c r="Q16" s="909" t="s">
        <v>175</v>
      </c>
      <c r="AD16" s="1055">
        <v>5</v>
      </c>
    </row>
    <row r="17" spans="1:17">
      <c r="A17" s="318">
        <f t="shared" si="0"/>
        <v>10</v>
      </c>
      <c r="B17" s="1188" t="s">
        <v>1822</v>
      </c>
      <c r="C17" s="320"/>
      <c r="D17" s="320" t="s">
        <v>1609</v>
      </c>
      <c r="E17" s="320" t="s">
        <v>1827</v>
      </c>
      <c r="F17" s="320"/>
      <c r="G17" s="320"/>
      <c r="H17" s="320"/>
      <c r="I17" s="320"/>
      <c r="J17" s="320"/>
      <c r="K17" s="320"/>
      <c r="L17" s="320" t="s">
        <v>256</v>
      </c>
      <c r="M17" s="1189">
        <v>46093</v>
      </c>
      <c r="N17" s="1189">
        <v>46096</v>
      </c>
      <c r="O17" s="1184" t="s">
        <v>1846</v>
      </c>
      <c r="P17" s="320"/>
      <c r="Q17" s="909" t="s">
        <v>175</v>
      </c>
    </row>
    <row r="18" spans="1:17">
      <c r="A18" s="318">
        <f t="shared" si="0"/>
        <v>11</v>
      </c>
      <c r="B18" s="1209" t="s">
        <v>1823</v>
      </c>
      <c r="C18" s="797"/>
      <c r="D18" s="797" t="s">
        <v>1609</v>
      </c>
      <c r="E18" s="797" t="s">
        <v>147</v>
      </c>
      <c r="F18" s="797"/>
      <c r="G18" s="797"/>
      <c r="H18" s="797"/>
      <c r="I18" s="797"/>
      <c r="J18" s="797"/>
      <c r="K18" s="797"/>
      <c r="L18" s="797" t="s">
        <v>256</v>
      </c>
      <c r="M18" s="1203">
        <v>46094</v>
      </c>
      <c r="N18" s="1203">
        <v>46097</v>
      </c>
      <c r="O18" s="1204" t="s">
        <v>1846</v>
      </c>
      <c r="Q18" s="909" t="s">
        <v>175</v>
      </c>
    </row>
    <row r="19" spans="1:17">
      <c r="A19" s="318">
        <f t="shared" si="0"/>
        <v>12</v>
      </c>
      <c r="B19" s="1206" t="s">
        <v>1824</v>
      </c>
      <c r="C19" s="320"/>
      <c r="D19" s="320" t="s">
        <v>1609</v>
      </c>
      <c r="E19" s="320" t="s">
        <v>150</v>
      </c>
      <c r="F19" s="320"/>
      <c r="G19" s="320"/>
      <c r="H19" s="320"/>
      <c r="I19" s="320"/>
      <c r="J19" s="320"/>
      <c r="K19" s="320"/>
      <c r="L19" s="320" t="s">
        <v>256</v>
      </c>
      <c r="M19" s="1189">
        <v>46096</v>
      </c>
      <c r="N19" s="1189">
        <v>46098</v>
      </c>
      <c r="O19" s="1184" t="s">
        <v>1846</v>
      </c>
      <c r="P19" s="320"/>
      <c r="Q19" s="909" t="s">
        <v>175</v>
      </c>
    </row>
    <row r="20" spans="1:17">
      <c r="A20" s="318">
        <f t="shared" si="0"/>
        <v>13</v>
      </c>
      <c r="B20" s="1206" t="s">
        <v>466</v>
      </c>
      <c r="C20" s="320"/>
      <c r="D20" s="320" t="s">
        <v>1608</v>
      </c>
      <c r="E20" s="320" t="s">
        <v>1811</v>
      </c>
      <c r="F20" s="320"/>
      <c r="G20" s="320"/>
      <c r="H20" s="320"/>
      <c r="I20" s="320"/>
      <c r="J20" s="320"/>
      <c r="K20" s="320"/>
      <c r="L20" s="320" t="s">
        <v>256</v>
      </c>
      <c r="M20" s="1189">
        <v>46091</v>
      </c>
      <c r="N20" s="1189">
        <v>46103</v>
      </c>
      <c r="O20" s="1184" t="s">
        <v>1846</v>
      </c>
      <c r="P20" s="1205"/>
      <c r="Q20" s="909" t="s">
        <v>175</v>
      </c>
    </row>
    <row r="21" spans="1:17">
      <c r="A21" s="318">
        <f t="shared" si="0"/>
        <v>14</v>
      </c>
      <c r="B21" s="1188" t="s">
        <v>1825</v>
      </c>
      <c r="C21" s="320"/>
      <c r="D21" s="320" t="s">
        <v>1609</v>
      </c>
      <c r="E21" s="320" t="s">
        <v>1827</v>
      </c>
      <c r="F21" s="320"/>
      <c r="G21" s="320"/>
      <c r="H21" s="320"/>
      <c r="I21" s="320"/>
      <c r="J21" s="320"/>
      <c r="K21" s="320"/>
      <c r="L21" s="320" t="s">
        <v>256</v>
      </c>
      <c r="M21" s="1189">
        <v>46105</v>
      </c>
      <c r="N21" s="1189">
        <v>46108</v>
      </c>
      <c r="O21" s="1184" t="s">
        <v>1846</v>
      </c>
      <c r="Q21" s="909" t="s">
        <v>175</v>
      </c>
    </row>
    <row r="22" spans="1:17">
      <c r="A22" s="318">
        <f t="shared" si="0"/>
        <v>15</v>
      </c>
      <c r="B22" s="1188" t="s">
        <v>500</v>
      </c>
      <c r="C22" s="320"/>
      <c r="D22" s="320" t="s">
        <v>1608</v>
      </c>
      <c r="E22" s="320" t="s">
        <v>147</v>
      </c>
      <c r="F22" s="320"/>
      <c r="G22" s="320"/>
      <c r="H22" s="320"/>
      <c r="I22" s="320"/>
      <c r="J22" s="320"/>
      <c r="K22" s="320"/>
      <c r="L22" s="320" t="s">
        <v>256</v>
      </c>
      <c r="M22" s="1189">
        <v>46101</v>
      </c>
      <c r="N22" s="1189">
        <v>46112</v>
      </c>
      <c r="O22" s="1184" t="s">
        <v>1846</v>
      </c>
      <c r="P22" s="320"/>
      <c r="Q22" s="909" t="s">
        <v>175</v>
      </c>
    </row>
    <row r="23" spans="1:17">
      <c r="A23" s="318">
        <f>A25+1</f>
        <v>18</v>
      </c>
      <c r="B23" s="1188" t="s">
        <v>499</v>
      </c>
      <c r="C23" s="320"/>
      <c r="D23" s="320" t="s">
        <v>1608</v>
      </c>
      <c r="E23" s="320" t="s">
        <v>147</v>
      </c>
      <c r="F23" s="320"/>
      <c r="G23" s="320"/>
      <c r="H23" s="320"/>
      <c r="I23" s="320"/>
      <c r="J23" s="320"/>
      <c r="K23" s="320"/>
      <c r="L23" s="320" t="s">
        <v>256</v>
      </c>
      <c r="M23" s="1189">
        <v>46112</v>
      </c>
      <c r="N23" s="1225">
        <v>46114</v>
      </c>
      <c r="O23" s="1184" t="s">
        <v>1846</v>
      </c>
      <c r="P23" s="320"/>
      <c r="Q23" s="909" t="s">
        <v>175</v>
      </c>
    </row>
    <row r="24" spans="1:17" ht="28.8">
      <c r="A24" s="318">
        <f>A22+1</f>
        <v>16</v>
      </c>
      <c r="B24" s="595" t="s">
        <v>83</v>
      </c>
      <c r="C24" s="320"/>
      <c r="D24" s="320" t="s">
        <v>1609</v>
      </c>
      <c r="E24" s="320" t="s">
        <v>1811</v>
      </c>
      <c r="F24" s="320"/>
      <c r="G24" s="320"/>
      <c r="H24" s="320"/>
      <c r="I24" s="320"/>
      <c r="J24" s="320"/>
      <c r="K24" s="320"/>
      <c r="L24" s="320" t="s">
        <v>256</v>
      </c>
      <c r="M24" s="1189">
        <v>46101</v>
      </c>
      <c r="N24" s="321"/>
      <c r="O24" s="1184" t="s">
        <v>1846</v>
      </c>
      <c r="P24" s="320"/>
      <c r="Q24" s="1212" t="s">
        <v>1858</v>
      </c>
    </row>
    <row r="25" spans="1:17">
      <c r="A25" s="318">
        <f t="shared" si="0"/>
        <v>17</v>
      </c>
      <c r="B25" s="1188" t="s">
        <v>1149</v>
      </c>
      <c r="C25" s="320"/>
      <c r="D25" s="320" t="s">
        <v>1609</v>
      </c>
      <c r="E25" s="320" t="s">
        <v>150</v>
      </c>
      <c r="F25" s="320"/>
      <c r="G25" s="320"/>
      <c r="H25" s="320"/>
      <c r="I25" s="320"/>
      <c r="J25" s="320"/>
      <c r="K25" s="320"/>
      <c r="L25" s="320" t="s">
        <v>256</v>
      </c>
      <c r="M25" s="1189">
        <v>46108</v>
      </c>
      <c r="N25" s="321"/>
      <c r="O25" s="1184" t="s">
        <v>1846</v>
      </c>
      <c r="P25" s="320"/>
      <c r="Q25" s="320" t="s">
        <v>1863</v>
      </c>
    </row>
  </sheetData>
  <autoFilter ref="A7:WVN8" xr:uid="{00000000-0001-0000-0700-000000000000}">
    <sortState xmlns:xlrd2="http://schemas.microsoft.com/office/spreadsheetml/2017/richdata2" ref="A9:WVN9">
      <sortCondition ref="N7:N8"/>
    </sortState>
  </autoFilter>
  <mergeCells count="15">
    <mergeCell ref="A1:AI1"/>
    <mergeCell ref="A2:AI2"/>
    <mergeCell ref="A3:AI3"/>
    <mergeCell ref="M6:P6"/>
    <mergeCell ref="A6:A7"/>
    <mergeCell ref="B6:B7"/>
    <mergeCell ref="C6:C7"/>
    <mergeCell ref="E6:E7"/>
    <mergeCell ref="K6:K7"/>
    <mergeCell ref="L6:L7"/>
    <mergeCell ref="F6:F7"/>
    <mergeCell ref="G6:G7"/>
    <mergeCell ref="H6:H7"/>
    <mergeCell ref="I6:I7"/>
    <mergeCell ref="J6:J7"/>
  </mergeCells>
  <phoneticPr fontId="144" type="noConversion"/>
  <conditionalFormatting sqref="B6:B7">
    <cfRule type="duplicateValues" dxfId="247" priority="17566"/>
  </conditionalFormatting>
  <conditionalFormatting sqref="B6:B7 B9:B64951">
    <cfRule type="duplicateValues" dxfId="246" priority="17567" stopIfTrue="1"/>
  </conditionalFormatting>
  <conditionalFormatting sqref="B1:B1048576">
    <cfRule type="duplicateValues" dxfId="245" priority="17569"/>
    <cfRule type="duplicateValues" dxfId="244" priority="17570"/>
    <cfRule type="duplicateValues" dxfId="243" priority="17571"/>
  </conditionalFormatting>
  <conditionalFormatting sqref="B1:B1048576">
    <cfRule type="duplicateValues" dxfId="242" priority="17578"/>
    <cfRule type="duplicateValues" dxfId="241" priority="17579"/>
  </conditionalFormatting>
  <conditionalFormatting sqref="B1:B1048576">
    <cfRule type="duplicateValues" dxfId="240" priority="17584"/>
  </conditionalFormatting>
  <conditionalFormatting sqref="B6:B7 B9:B1048576">
    <cfRule type="duplicateValues" dxfId="239" priority="17593"/>
  </conditionalFormatting>
  <conditionalFormatting sqref="B1:B1048576">
    <cfRule type="duplicateValues" dxfId="238" priority="17596"/>
  </conditionalFormatting>
  <conditionalFormatting sqref="C8:D8">
    <cfRule type="duplicateValues" dxfId="237" priority="17599"/>
    <cfRule type="duplicateValues" dxfId="236" priority="17600"/>
    <cfRule type="duplicateValues" dxfId="235" priority="17601" stopIfTrue="1"/>
  </conditionalFormatting>
  <conditionalFormatting sqref="E1:E1048576">
    <cfRule type="duplicateValues" dxfId="234" priority="17602"/>
  </conditionalFormatting>
  <dataValidations count="1">
    <dataValidation type="list" allowBlank="1" showInputMessage="1" showErrorMessage="1" sqref="C65008:D65016 C130544:D130552 C196080:D196088 C261616:D261624 C327152:D327160 C392688:D392696 C458224:D458232 C523760:D523768 C589296:D589304 C654832:D654840 C720368:D720376 C785904:D785912 C851440:D851448 C916976:D916984 C982512:D982520 IO64972:IO64980 IO130508:IO130516 IO196044:IO196052 IO261580:IO261588 IO327116:IO327124 IO392652:IO392660 IO458188:IO458196 IO523724:IO523732 IO589260:IO589268 IO654796:IO654804 IO720332:IO720340 IO785868:IO785876 IO851404:IO851412 IO916940:IO916948 IO982476:IO982484 SK64972:SK64980 SK130508:SK130516 SK196044:SK196052 SK261580:SK261588 SK327116:SK327124 SK392652:SK392660 SK458188:SK458196 SK523724:SK523732 SK589260:SK589268 SK654796:SK654804 SK720332:SK720340 SK785868:SK785876 SK851404:SK851412 SK916940:SK916948 SK982476:SK982484 ACG64972:ACG64980 ACG130508:ACG130516 ACG196044:ACG196052 ACG261580:ACG261588 ACG327116:ACG327124 ACG392652:ACG392660 ACG458188:ACG458196 ACG523724:ACG523732 ACG589260:ACG589268 ACG654796:ACG654804 ACG720332:ACG720340 ACG785868:ACG785876 ACG851404:ACG851412 ACG916940:ACG916948 ACG982476:ACG982484 AMC64972:AMC64980 AMC130508:AMC130516 AMC196044:AMC196052 AMC261580:AMC261588 AMC327116:AMC327124 AMC392652:AMC392660 AMC458188:AMC458196 AMC523724:AMC523732 AMC589260:AMC589268 AMC654796:AMC654804 AMC720332:AMC720340 AMC785868:AMC785876 AMC851404:AMC851412 AMC916940:AMC916948 AMC982476:AMC982484 AVY64972:AVY64980 AVY130508:AVY130516 AVY196044:AVY196052 AVY261580:AVY261588 AVY327116:AVY327124 AVY392652:AVY392660 AVY458188:AVY458196 AVY523724:AVY523732 AVY589260:AVY589268 AVY654796:AVY654804 AVY720332:AVY720340 AVY785868:AVY785876 AVY851404:AVY851412 AVY916940:AVY916948 AVY982476:AVY982484 BFU64972:BFU64980 BFU130508:BFU130516 BFU196044:BFU196052 BFU261580:BFU261588 BFU327116:BFU327124 BFU392652:BFU392660 BFU458188:BFU458196 BFU523724:BFU523732 BFU589260:BFU589268 BFU654796:BFU654804 BFU720332:BFU720340 BFU785868:BFU785876 BFU851404:BFU851412 BFU916940:BFU916948 BFU982476:BFU982484 BPQ64972:BPQ64980 BPQ130508:BPQ130516 BPQ196044:BPQ196052 BPQ261580:BPQ261588 BPQ327116:BPQ327124 BPQ392652:BPQ392660 BPQ458188:BPQ458196 BPQ523724:BPQ523732 BPQ589260:BPQ589268 BPQ654796:BPQ654804 BPQ720332:BPQ720340 BPQ785868:BPQ785876 BPQ851404:BPQ851412 BPQ916940:BPQ916948 BPQ982476:BPQ982484 BZM64972:BZM64980 BZM130508:BZM130516 BZM196044:BZM196052 BZM261580:BZM261588 BZM327116:BZM327124 BZM392652:BZM392660 BZM458188:BZM458196 BZM523724:BZM523732 BZM589260:BZM589268 BZM654796:BZM654804 BZM720332:BZM720340 BZM785868:BZM785876 BZM851404:BZM851412 BZM916940:BZM916948 BZM982476:BZM982484 CJI64972:CJI64980 CJI130508:CJI130516 CJI196044:CJI196052 CJI261580:CJI261588 CJI327116:CJI327124 CJI392652:CJI392660 CJI458188:CJI458196 CJI523724:CJI523732 CJI589260:CJI589268 CJI654796:CJI654804 CJI720332:CJI720340 CJI785868:CJI785876 CJI851404:CJI851412 CJI916940:CJI916948 CJI982476:CJI982484 CTE64972:CTE64980 CTE130508:CTE130516 CTE196044:CTE196052 CTE261580:CTE261588 CTE327116:CTE327124 CTE392652:CTE392660 CTE458188:CTE458196 CTE523724:CTE523732 CTE589260:CTE589268 CTE654796:CTE654804 CTE720332:CTE720340 CTE785868:CTE785876 CTE851404:CTE851412 CTE916940:CTE916948 CTE982476:CTE982484 DDA64972:DDA64980 DDA130508:DDA130516 DDA196044:DDA196052 DDA261580:DDA261588 DDA327116:DDA327124 DDA392652:DDA392660 DDA458188:DDA458196 DDA523724:DDA523732 DDA589260:DDA589268 DDA654796:DDA654804 DDA720332:DDA720340 DDA785868:DDA785876 DDA851404:DDA851412 DDA916940:DDA916948 DDA982476:DDA982484 DMW64972:DMW64980 DMW130508:DMW130516 DMW196044:DMW196052 DMW261580:DMW261588 DMW327116:DMW327124 DMW392652:DMW392660 DMW458188:DMW458196 DMW523724:DMW523732 DMW589260:DMW589268 DMW654796:DMW654804 DMW720332:DMW720340 DMW785868:DMW785876 DMW851404:DMW851412 DMW916940:DMW916948 DMW982476:DMW982484 DWS64972:DWS64980 DWS130508:DWS130516 DWS196044:DWS196052 DWS261580:DWS261588 DWS327116:DWS327124 DWS392652:DWS392660 DWS458188:DWS458196 DWS523724:DWS523732 DWS589260:DWS589268 DWS654796:DWS654804 DWS720332:DWS720340 DWS785868:DWS785876 DWS851404:DWS851412 DWS916940:DWS916948 DWS982476:DWS982484 EGO64972:EGO64980 EGO130508:EGO130516 EGO196044:EGO196052 EGO261580:EGO261588 EGO327116:EGO327124 EGO392652:EGO392660 EGO458188:EGO458196 EGO523724:EGO523732 EGO589260:EGO589268 EGO654796:EGO654804 EGO720332:EGO720340 EGO785868:EGO785876 EGO851404:EGO851412 EGO916940:EGO916948 EGO982476:EGO982484 EQK64972:EQK64980 EQK130508:EQK130516 EQK196044:EQK196052 EQK261580:EQK261588 EQK327116:EQK327124 EQK392652:EQK392660 EQK458188:EQK458196 EQK523724:EQK523732 EQK589260:EQK589268 EQK654796:EQK654804 EQK720332:EQK720340 EQK785868:EQK785876 EQK851404:EQK851412 EQK916940:EQK916948 EQK982476:EQK982484 FAG64972:FAG64980 FAG130508:FAG130516 FAG196044:FAG196052 FAG261580:FAG261588 FAG327116:FAG327124 FAG392652:FAG392660 FAG458188:FAG458196 FAG523724:FAG523732 FAG589260:FAG589268 FAG654796:FAG654804 FAG720332:FAG720340 FAG785868:FAG785876 FAG851404:FAG851412 FAG916940:FAG916948 FAG982476:FAG982484 FKC64972:FKC64980 FKC130508:FKC130516 FKC196044:FKC196052 FKC261580:FKC261588 FKC327116:FKC327124 FKC392652:FKC392660 FKC458188:FKC458196 FKC523724:FKC523732 FKC589260:FKC589268 FKC654796:FKC654804 FKC720332:FKC720340 FKC785868:FKC785876 FKC851404:FKC851412 FKC916940:FKC916948 FKC982476:FKC982484 FTY64972:FTY64980 FTY130508:FTY130516 FTY196044:FTY196052 FTY261580:FTY261588 FTY327116:FTY327124 FTY392652:FTY392660 FTY458188:FTY458196 FTY523724:FTY523732 FTY589260:FTY589268 FTY654796:FTY654804 FTY720332:FTY720340 FTY785868:FTY785876 FTY851404:FTY851412 FTY916940:FTY916948 FTY982476:FTY982484 GDU64972:GDU64980 GDU130508:GDU130516 GDU196044:GDU196052 GDU261580:GDU261588 GDU327116:GDU327124 GDU392652:GDU392660 GDU458188:GDU458196 GDU523724:GDU523732 GDU589260:GDU589268 GDU654796:GDU654804 GDU720332:GDU720340 GDU785868:GDU785876 GDU851404:GDU851412 GDU916940:GDU916948 GDU982476:GDU982484 GNQ64972:GNQ64980 GNQ130508:GNQ130516 GNQ196044:GNQ196052 GNQ261580:GNQ261588 GNQ327116:GNQ327124 GNQ392652:GNQ392660 GNQ458188:GNQ458196 GNQ523724:GNQ523732 GNQ589260:GNQ589268 GNQ654796:GNQ654804 GNQ720332:GNQ720340 GNQ785868:GNQ785876 GNQ851404:GNQ851412 GNQ916940:GNQ916948 GNQ982476:GNQ982484 GXM64972:GXM64980 GXM130508:GXM130516 GXM196044:GXM196052 GXM261580:GXM261588 GXM327116:GXM327124 GXM392652:GXM392660 GXM458188:GXM458196 GXM523724:GXM523732 GXM589260:GXM589268 GXM654796:GXM654804 GXM720332:GXM720340 GXM785868:GXM785876 GXM851404:GXM851412 GXM916940:GXM916948 GXM982476:GXM982484 HHI64972:HHI64980 HHI130508:HHI130516 HHI196044:HHI196052 HHI261580:HHI261588 HHI327116:HHI327124 HHI392652:HHI392660 HHI458188:HHI458196 HHI523724:HHI523732 HHI589260:HHI589268 HHI654796:HHI654804 HHI720332:HHI720340 HHI785868:HHI785876 HHI851404:HHI851412 HHI916940:HHI916948 HHI982476:HHI982484 HRE64972:HRE64980 HRE130508:HRE130516 HRE196044:HRE196052 HRE261580:HRE261588 HRE327116:HRE327124 HRE392652:HRE392660 HRE458188:HRE458196 HRE523724:HRE523732 HRE589260:HRE589268 HRE654796:HRE654804 HRE720332:HRE720340 HRE785868:HRE785876 HRE851404:HRE851412 HRE916940:HRE916948 HRE982476:HRE982484 IBA64972:IBA64980 IBA130508:IBA130516 IBA196044:IBA196052 IBA261580:IBA261588 IBA327116:IBA327124 IBA392652:IBA392660 IBA458188:IBA458196 IBA523724:IBA523732 IBA589260:IBA589268 IBA654796:IBA654804 IBA720332:IBA720340 IBA785868:IBA785876 IBA851404:IBA851412 IBA916940:IBA916948 IBA982476:IBA982484 IKW64972:IKW64980 IKW130508:IKW130516 IKW196044:IKW196052 IKW261580:IKW261588 IKW327116:IKW327124 IKW392652:IKW392660 IKW458188:IKW458196 IKW523724:IKW523732 IKW589260:IKW589268 IKW654796:IKW654804 IKW720332:IKW720340 IKW785868:IKW785876 IKW851404:IKW851412 IKW916940:IKW916948 IKW982476:IKW982484 IUS64972:IUS64980 IUS130508:IUS130516 IUS196044:IUS196052 IUS261580:IUS261588 IUS327116:IUS327124 IUS392652:IUS392660 IUS458188:IUS458196 IUS523724:IUS523732 IUS589260:IUS589268 IUS654796:IUS654804 IUS720332:IUS720340 IUS785868:IUS785876 IUS851404:IUS851412 IUS916940:IUS916948 IUS982476:IUS982484 JEO64972:JEO64980 JEO130508:JEO130516 JEO196044:JEO196052 JEO261580:JEO261588 JEO327116:JEO327124 JEO392652:JEO392660 JEO458188:JEO458196 JEO523724:JEO523732 JEO589260:JEO589268 JEO654796:JEO654804 JEO720332:JEO720340 JEO785868:JEO785876 JEO851404:JEO851412 JEO916940:JEO916948 JEO982476:JEO982484 JOK64972:JOK64980 JOK130508:JOK130516 JOK196044:JOK196052 JOK261580:JOK261588 JOK327116:JOK327124 JOK392652:JOK392660 JOK458188:JOK458196 JOK523724:JOK523732 JOK589260:JOK589268 JOK654796:JOK654804 JOK720332:JOK720340 JOK785868:JOK785876 JOK851404:JOK851412 JOK916940:JOK916948 JOK982476:JOK982484 JYG64972:JYG64980 JYG130508:JYG130516 JYG196044:JYG196052 JYG261580:JYG261588 JYG327116:JYG327124 JYG392652:JYG392660 JYG458188:JYG458196 JYG523724:JYG523732 JYG589260:JYG589268 JYG654796:JYG654804 JYG720332:JYG720340 JYG785868:JYG785876 JYG851404:JYG851412 JYG916940:JYG916948 JYG982476:JYG982484 KIC64972:KIC64980 KIC130508:KIC130516 KIC196044:KIC196052 KIC261580:KIC261588 KIC327116:KIC327124 KIC392652:KIC392660 KIC458188:KIC458196 KIC523724:KIC523732 KIC589260:KIC589268 KIC654796:KIC654804 KIC720332:KIC720340 KIC785868:KIC785876 KIC851404:KIC851412 KIC916940:KIC916948 KIC982476:KIC982484 KRY64972:KRY64980 KRY130508:KRY130516 KRY196044:KRY196052 KRY261580:KRY261588 KRY327116:KRY327124 KRY392652:KRY392660 KRY458188:KRY458196 KRY523724:KRY523732 KRY589260:KRY589268 KRY654796:KRY654804 KRY720332:KRY720340 KRY785868:KRY785876 KRY851404:KRY851412 KRY916940:KRY916948 KRY982476:KRY982484 LBU64972:LBU64980 LBU130508:LBU130516 LBU196044:LBU196052 LBU261580:LBU261588 LBU327116:LBU327124 LBU392652:LBU392660 LBU458188:LBU458196 LBU523724:LBU523732 LBU589260:LBU589268 LBU654796:LBU654804 LBU720332:LBU720340 LBU785868:LBU785876 LBU851404:LBU851412 LBU916940:LBU916948 LBU982476:LBU982484 LLQ64972:LLQ64980 LLQ130508:LLQ130516 LLQ196044:LLQ196052 LLQ261580:LLQ261588 LLQ327116:LLQ327124 LLQ392652:LLQ392660 LLQ458188:LLQ458196 LLQ523724:LLQ523732 LLQ589260:LLQ589268 LLQ654796:LLQ654804 LLQ720332:LLQ720340 LLQ785868:LLQ785876 LLQ851404:LLQ851412 LLQ916940:LLQ916948 LLQ982476:LLQ982484 LVM64972:LVM64980 LVM130508:LVM130516 LVM196044:LVM196052 LVM261580:LVM261588 LVM327116:LVM327124 LVM392652:LVM392660 LVM458188:LVM458196 LVM523724:LVM523732 LVM589260:LVM589268 LVM654796:LVM654804 LVM720332:LVM720340 LVM785868:LVM785876 LVM851404:LVM851412 LVM916940:LVM916948 LVM982476:LVM982484 MFI64972:MFI64980 MFI130508:MFI130516 MFI196044:MFI196052 MFI261580:MFI261588 MFI327116:MFI327124 MFI392652:MFI392660 MFI458188:MFI458196 MFI523724:MFI523732 MFI589260:MFI589268 MFI654796:MFI654804 MFI720332:MFI720340 MFI785868:MFI785876 MFI851404:MFI851412 MFI916940:MFI916948 MFI982476:MFI982484 MPE64972:MPE64980 MPE130508:MPE130516 MPE196044:MPE196052 MPE261580:MPE261588 MPE327116:MPE327124 MPE392652:MPE392660 MPE458188:MPE458196 MPE523724:MPE523732 MPE589260:MPE589268 MPE654796:MPE654804 MPE720332:MPE720340 MPE785868:MPE785876 MPE851404:MPE851412 MPE916940:MPE916948 MPE982476:MPE982484 MZA64972:MZA64980 MZA130508:MZA130516 MZA196044:MZA196052 MZA261580:MZA261588 MZA327116:MZA327124 MZA392652:MZA392660 MZA458188:MZA458196 MZA523724:MZA523732 MZA589260:MZA589268 MZA654796:MZA654804 MZA720332:MZA720340 MZA785868:MZA785876 MZA851404:MZA851412 MZA916940:MZA916948 MZA982476:MZA982484 NIW64972:NIW64980 NIW130508:NIW130516 NIW196044:NIW196052 NIW261580:NIW261588 NIW327116:NIW327124 NIW392652:NIW392660 NIW458188:NIW458196 NIW523724:NIW523732 NIW589260:NIW589268 NIW654796:NIW654804 NIW720332:NIW720340 NIW785868:NIW785876 NIW851404:NIW851412 NIW916940:NIW916948 NIW982476:NIW982484 NSS64972:NSS64980 NSS130508:NSS130516 NSS196044:NSS196052 NSS261580:NSS261588 NSS327116:NSS327124 NSS392652:NSS392660 NSS458188:NSS458196 NSS523724:NSS523732 NSS589260:NSS589268 NSS654796:NSS654804 NSS720332:NSS720340 NSS785868:NSS785876 NSS851404:NSS851412 NSS916940:NSS916948 NSS982476:NSS982484 OCO64972:OCO64980 OCO130508:OCO130516 OCO196044:OCO196052 OCO261580:OCO261588 OCO327116:OCO327124 OCO392652:OCO392660 OCO458188:OCO458196 OCO523724:OCO523732 OCO589260:OCO589268 OCO654796:OCO654804 OCO720332:OCO720340 OCO785868:OCO785876 OCO851404:OCO851412 OCO916940:OCO916948 OCO982476:OCO982484 OMK64972:OMK64980 OMK130508:OMK130516 OMK196044:OMK196052 OMK261580:OMK261588 OMK327116:OMK327124 OMK392652:OMK392660 OMK458188:OMK458196 OMK523724:OMK523732 OMK589260:OMK589268 OMK654796:OMK654804 OMK720332:OMK720340 OMK785868:OMK785876 OMK851404:OMK851412 OMK916940:OMK916948 OMK982476:OMK982484 OWG64972:OWG64980 OWG130508:OWG130516 OWG196044:OWG196052 OWG261580:OWG261588 OWG327116:OWG327124 OWG392652:OWG392660 OWG458188:OWG458196 OWG523724:OWG523732 OWG589260:OWG589268 OWG654796:OWG654804 OWG720332:OWG720340 OWG785868:OWG785876 OWG851404:OWG851412 OWG916940:OWG916948 OWG982476:OWG982484 PGC64972:PGC64980 PGC130508:PGC130516 PGC196044:PGC196052 PGC261580:PGC261588 PGC327116:PGC327124 PGC392652:PGC392660 PGC458188:PGC458196 PGC523724:PGC523732 PGC589260:PGC589268 PGC654796:PGC654804 PGC720332:PGC720340 PGC785868:PGC785876 PGC851404:PGC851412 PGC916940:PGC916948 PGC982476:PGC982484 PPY64972:PPY64980 PPY130508:PPY130516 PPY196044:PPY196052 PPY261580:PPY261588 PPY327116:PPY327124 PPY392652:PPY392660 PPY458188:PPY458196 PPY523724:PPY523732 PPY589260:PPY589268 PPY654796:PPY654804 PPY720332:PPY720340 PPY785868:PPY785876 PPY851404:PPY851412 PPY916940:PPY916948 PPY982476:PPY982484 PZU64972:PZU64980 PZU130508:PZU130516 PZU196044:PZU196052 PZU261580:PZU261588 PZU327116:PZU327124 PZU392652:PZU392660 PZU458188:PZU458196 PZU523724:PZU523732 PZU589260:PZU589268 PZU654796:PZU654804 PZU720332:PZU720340 PZU785868:PZU785876 PZU851404:PZU851412 PZU916940:PZU916948 PZU982476:PZU982484 QJQ64972:QJQ64980 QJQ130508:QJQ130516 QJQ196044:QJQ196052 QJQ261580:QJQ261588 QJQ327116:QJQ327124 QJQ392652:QJQ392660 QJQ458188:QJQ458196 QJQ523724:QJQ523732 QJQ589260:QJQ589268 QJQ654796:QJQ654804 QJQ720332:QJQ720340 QJQ785868:QJQ785876 QJQ851404:QJQ851412 QJQ916940:QJQ916948 QJQ982476:QJQ982484 QTM64972:QTM64980 QTM130508:QTM130516 QTM196044:QTM196052 QTM261580:QTM261588 QTM327116:QTM327124 QTM392652:QTM392660 QTM458188:QTM458196 QTM523724:QTM523732 QTM589260:QTM589268 QTM654796:QTM654804 QTM720332:QTM720340 QTM785868:QTM785876 QTM851404:QTM851412 QTM916940:QTM916948 QTM982476:QTM982484 RDI64972:RDI64980 RDI130508:RDI130516 RDI196044:RDI196052 RDI261580:RDI261588 RDI327116:RDI327124 RDI392652:RDI392660 RDI458188:RDI458196 RDI523724:RDI523732 RDI589260:RDI589268 RDI654796:RDI654804 RDI720332:RDI720340 RDI785868:RDI785876 RDI851404:RDI851412 RDI916940:RDI916948 RDI982476:RDI982484 RNE64972:RNE64980 RNE130508:RNE130516 RNE196044:RNE196052 RNE261580:RNE261588 RNE327116:RNE327124 RNE392652:RNE392660 RNE458188:RNE458196 RNE523724:RNE523732 RNE589260:RNE589268 RNE654796:RNE654804 RNE720332:RNE720340 RNE785868:RNE785876 RNE851404:RNE851412 RNE916940:RNE916948 RNE982476:RNE982484 RXA64972:RXA64980 RXA130508:RXA130516 RXA196044:RXA196052 RXA261580:RXA261588 RXA327116:RXA327124 RXA392652:RXA392660 RXA458188:RXA458196 RXA523724:RXA523732 RXA589260:RXA589268 RXA654796:RXA654804 RXA720332:RXA720340 RXA785868:RXA785876 RXA851404:RXA851412 RXA916940:RXA916948 RXA982476:RXA982484 SGW64972:SGW64980 SGW130508:SGW130516 SGW196044:SGW196052 SGW261580:SGW261588 SGW327116:SGW327124 SGW392652:SGW392660 SGW458188:SGW458196 SGW523724:SGW523732 SGW589260:SGW589268 SGW654796:SGW654804 SGW720332:SGW720340 SGW785868:SGW785876 SGW851404:SGW851412 SGW916940:SGW916948 SGW982476:SGW982484 SQS64972:SQS64980 SQS130508:SQS130516 SQS196044:SQS196052 SQS261580:SQS261588 SQS327116:SQS327124 SQS392652:SQS392660 SQS458188:SQS458196 SQS523724:SQS523732 SQS589260:SQS589268 SQS654796:SQS654804 SQS720332:SQS720340 SQS785868:SQS785876 SQS851404:SQS851412 SQS916940:SQS916948 SQS982476:SQS982484 TAO64972:TAO64980 TAO130508:TAO130516 TAO196044:TAO196052 TAO261580:TAO261588 TAO327116:TAO327124 TAO392652:TAO392660 TAO458188:TAO458196 TAO523724:TAO523732 TAO589260:TAO589268 TAO654796:TAO654804 TAO720332:TAO720340 TAO785868:TAO785876 TAO851404:TAO851412 TAO916940:TAO916948 TAO982476:TAO982484 TKK64972:TKK64980 TKK130508:TKK130516 TKK196044:TKK196052 TKK261580:TKK261588 TKK327116:TKK327124 TKK392652:TKK392660 TKK458188:TKK458196 TKK523724:TKK523732 TKK589260:TKK589268 TKK654796:TKK654804 TKK720332:TKK720340 TKK785868:TKK785876 TKK851404:TKK851412 TKK916940:TKK916948 TKK982476:TKK982484 TUG64972:TUG64980 TUG130508:TUG130516 TUG196044:TUG196052 TUG261580:TUG261588 TUG327116:TUG327124 TUG392652:TUG392660 TUG458188:TUG458196 TUG523724:TUG523732 TUG589260:TUG589268 TUG654796:TUG654804 TUG720332:TUG720340 TUG785868:TUG785876 TUG851404:TUG851412 TUG916940:TUG916948 TUG982476:TUG982484 UEC64972:UEC64980 UEC130508:UEC130516 UEC196044:UEC196052 UEC261580:UEC261588 UEC327116:UEC327124 UEC392652:UEC392660 UEC458188:UEC458196 UEC523724:UEC523732 UEC589260:UEC589268 UEC654796:UEC654804 UEC720332:UEC720340 UEC785868:UEC785876 UEC851404:UEC851412 UEC916940:UEC916948 UEC982476:UEC982484 UNY64972:UNY64980 UNY130508:UNY130516 UNY196044:UNY196052 UNY261580:UNY261588 UNY327116:UNY327124 UNY392652:UNY392660 UNY458188:UNY458196 UNY523724:UNY523732 UNY589260:UNY589268 UNY654796:UNY654804 UNY720332:UNY720340 UNY785868:UNY785876 UNY851404:UNY851412 UNY916940:UNY916948 UNY982476:UNY982484 UXU64972:UXU64980 UXU130508:UXU130516 UXU196044:UXU196052 UXU261580:UXU261588 UXU327116:UXU327124 UXU392652:UXU392660 UXU458188:UXU458196 UXU523724:UXU523732 UXU589260:UXU589268 UXU654796:UXU654804 UXU720332:UXU720340 UXU785868:UXU785876 UXU851404:UXU851412 UXU916940:UXU916948 UXU982476:UXU982484 VHQ64972:VHQ64980 VHQ130508:VHQ130516 VHQ196044:VHQ196052 VHQ261580:VHQ261588 VHQ327116:VHQ327124 VHQ392652:VHQ392660 VHQ458188:VHQ458196 VHQ523724:VHQ523732 VHQ589260:VHQ589268 VHQ654796:VHQ654804 VHQ720332:VHQ720340 VHQ785868:VHQ785876 VHQ851404:VHQ851412 VHQ916940:VHQ916948 VHQ982476:VHQ982484 VRM64972:VRM64980 VRM130508:VRM130516 VRM196044:VRM196052 VRM261580:VRM261588 VRM327116:VRM327124 VRM392652:VRM392660 VRM458188:VRM458196 VRM523724:VRM523732 VRM589260:VRM589268 VRM654796:VRM654804 VRM720332:VRM720340 VRM785868:VRM785876 VRM851404:VRM851412 VRM916940:VRM916948 VRM982476:VRM982484 WBI64972:WBI64980 WBI130508:WBI130516 WBI196044:WBI196052 WBI261580:WBI261588 WBI327116:WBI327124 WBI392652:WBI392660 WBI458188:WBI458196 WBI523724:WBI523732 WBI589260:WBI589268 WBI654796:WBI654804 WBI720332:WBI720340 WBI785868:WBI785876 WBI851404:WBI851412 WBI916940:WBI916948 WBI982476:WBI982484 WLE64972:WLE64980 WLE130508:WLE130516 WLE196044:WLE196052 WLE261580:WLE261588 WLE327116:WLE327124 WLE392652:WLE392660 WLE458188:WLE458196 WLE523724:WLE523732 WLE589260:WLE589268 WLE654796:WLE654804 WLE720332:WLE720340 WLE785868:WLE785876 WLE851404:WLE851412 WLE916940:WLE916948 WLE982476:WLE982484 WVA64972:WVA64980 WVA130508:WVA130516 WVA196044:WVA196052 WVA261580:WVA261588 WVA327116:WVA327124 WVA392652:WVA392660 WVA458188:WVA458196 WVA523724:WVA523732 WVA589260:WVA589268 WVA654796:WVA654804 WVA720332:WVA720340 WVA785868:WVA785876 WVA851404:WVA851412 WVA916940:WVA916948 WVA982476:WVA982484"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4"/>
  <sheetData>
    <row r="3" spans="3:19">
      <c r="O3" s="811" t="s">
        <v>1523</v>
      </c>
    </row>
    <row r="4" spans="3:19">
      <c r="C4" s="803" t="s">
        <v>1082</v>
      </c>
      <c r="D4" s="803" t="s">
        <v>1056</v>
      </c>
      <c r="E4" s="803" t="s">
        <v>1514</v>
      </c>
      <c r="F4" s="803" t="s">
        <v>1085</v>
      </c>
    </row>
    <row r="5" spans="3:19">
      <c r="C5" s="590" t="s">
        <v>441</v>
      </c>
      <c r="D5" s="590" t="s">
        <v>206</v>
      </c>
      <c r="E5" s="793">
        <v>1.86</v>
      </c>
      <c r="F5" s="793">
        <v>12.47</v>
      </c>
      <c r="O5" s="590" t="s">
        <v>1310</v>
      </c>
      <c r="P5" s="590" t="s">
        <v>80</v>
      </c>
      <c r="Q5" s="315">
        <v>1.6</v>
      </c>
      <c r="R5" s="315">
        <v>13.129999999999999</v>
      </c>
    </row>
    <row r="6" spans="3:19">
      <c r="C6" s="804" t="s">
        <v>1311</v>
      </c>
      <c r="D6" s="804" t="s">
        <v>108</v>
      </c>
      <c r="E6" s="798">
        <v>2.93</v>
      </c>
      <c r="F6" s="798">
        <v>20.34</v>
      </c>
      <c r="O6" s="590" t="s">
        <v>1312</v>
      </c>
      <c r="P6" s="590" t="s">
        <v>90</v>
      </c>
      <c r="Q6" s="315">
        <v>2.93</v>
      </c>
      <c r="R6" s="315">
        <v>20.34</v>
      </c>
    </row>
    <row r="7" spans="3:19">
      <c r="C7" s="310"/>
      <c r="D7" s="805" t="s">
        <v>1513</v>
      </c>
      <c r="E7" s="310">
        <f>SUM(E5:E6)</f>
        <v>4.79</v>
      </c>
      <c r="F7" s="310">
        <f>SUM(F5:F6)</f>
        <v>32.81</v>
      </c>
      <c r="G7" s="805"/>
      <c r="J7" s="806" t="s">
        <v>1525</v>
      </c>
      <c r="O7" s="590" t="s">
        <v>124</v>
      </c>
      <c r="P7" s="590" t="s">
        <v>80</v>
      </c>
      <c r="Q7" s="315">
        <v>1.6</v>
      </c>
      <c r="R7" s="315">
        <v>13.129999999999999</v>
      </c>
    </row>
    <row r="8" spans="3:19">
      <c r="C8" s="805" t="s">
        <v>1513</v>
      </c>
      <c r="D8" s="805" t="s">
        <v>1515</v>
      </c>
      <c r="E8" s="310">
        <f>E7*1.54*6/10</f>
        <v>4.4259599999999999</v>
      </c>
      <c r="F8" s="310">
        <f>F7*1.54*3/5.5</f>
        <v>27.560400000000005</v>
      </c>
      <c r="G8" s="310">
        <f>SUM(E8:F8)</f>
        <v>31.986360000000005</v>
      </c>
      <c r="J8" s="807" t="s">
        <v>1524</v>
      </c>
      <c r="O8" s="590" t="s">
        <v>122</v>
      </c>
      <c r="P8" s="590" t="s">
        <v>97</v>
      </c>
      <c r="Q8" s="594">
        <v>1.68</v>
      </c>
      <c r="R8" s="594">
        <v>12.41</v>
      </c>
    </row>
    <row r="9" spans="3:19">
      <c r="C9" s="805" t="s">
        <v>1513</v>
      </c>
      <c r="D9" s="805" t="s">
        <v>1516</v>
      </c>
      <c r="E9" s="310">
        <f>E8*1.54*3/10</f>
        <v>2.0447935199999998</v>
      </c>
      <c r="F9" s="310">
        <f>F8*1.54*1.5/5.5</f>
        <v>11.575368000000003</v>
      </c>
      <c r="G9" s="310">
        <f>SUM(E9:F9)</f>
        <v>13.620161520000003</v>
      </c>
      <c r="J9" s="310">
        <v>18.48</v>
      </c>
      <c r="O9" s="604" t="s">
        <v>1432</v>
      </c>
      <c r="P9" s="604" t="s">
        <v>84</v>
      </c>
      <c r="Q9" s="594">
        <v>1.68</v>
      </c>
      <c r="R9" s="594">
        <v>12.41</v>
      </c>
    </row>
    <row r="10" spans="3:19">
      <c r="C10" s="805" t="s">
        <v>1517</v>
      </c>
      <c r="D10" s="805" t="s">
        <v>1515</v>
      </c>
      <c r="E10" s="310"/>
      <c r="F10" s="310"/>
      <c r="G10" s="310">
        <f>G8*1600/1000</f>
        <v>51.178176000000008</v>
      </c>
      <c r="H10" s="803" t="s">
        <v>1518</v>
      </c>
      <c r="J10" s="310">
        <v>14.67</v>
      </c>
      <c r="O10" s="587" t="s">
        <v>336</v>
      </c>
      <c r="P10" s="587" t="s">
        <v>150</v>
      </c>
      <c r="Q10" s="793">
        <v>1.86</v>
      </c>
      <c r="R10" s="793">
        <v>12.47</v>
      </c>
    </row>
    <row r="11" spans="3:19">
      <c r="C11" s="805" t="s">
        <v>1517</v>
      </c>
      <c r="D11" s="805" t="s">
        <v>1516</v>
      </c>
      <c r="E11" s="310"/>
      <c r="F11" s="310"/>
      <c r="G11" s="310">
        <f>G9*1600/1000</f>
        <v>21.792258432000008</v>
      </c>
      <c r="H11" s="803" t="s">
        <v>1518</v>
      </c>
      <c r="J11" s="310">
        <f>SUM(J9:J10)</f>
        <v>33.15</v>
      </c>
      <c r="Q11">
        <f>SUM(Q5:Q10)</f>
        <v>11.35</v>
      </c>
      <c r="R11">
        <f>SUM(R5:R10)</f>
        <v>83.889999999999986</v>
      </c>
    </row>
    <row r="12" spans="3:19">
      <c r="O12" s="805" t="s">
        <v>1513</v>
      </c>
      <c r="P12" s="805" t="s">
        <v>1515</v>
      </c>
      <c r="Q12" s="310">
        <f>Q11*1.54*6/10</f>
        <v>10.487399999999999</v>
      </c>
      <c r="R12" s="310">
        <f>R11*1.54*3/5.5</f>
        <v>70.46759999999999</v>
      </c>
      <c r="S12" s="310">
        <f>SUM(Q12:R12)</f>
        <v>80.954999999999984</v>
      </c>
    </row>
    <row r="13" spans="3:19">
      <c r="O13" s="805" t="s">
        <v>1513</v>
      </c>
      <c r="P13" s="805" t="s">
        <v>1516</v>
      </c>
      <c r="Q13" s="310">
        <f>Q12*1.54*3/10</f>
        <v>4.8451788000000002</v>
      </c>
      <c r="R13" s="310">
        <f>R12*1.54*1.5/5.5</f>
        <v>29.596391999999994</v>
      </c>
      <c r="S13" s="310">
        <f>SUM(Q13:R13)</f>
        <v>34.441570799999994</v>
      </c>
    </row>
    <row r="14" spans="3:19">
      <c r="C14" s="505" t="s">
        <v>179</v>
      </c>
      <c r="D14" s="505" t="s">
        <v>147</v>
      </c>
      <c r="E14" s="793">
        <v>1.57</v>
      </c>
      <c r="F14" s="793">
        <v>11.05</v>
      </c>
      <c r="O14" s="805" t="s">
        <v>1517</v>
      </c>
      <c r="P14" s="805" t="s">
        <v>1515</v>
      </c>
      <c r="Q14" s="310"/>
      <c r="R14" s="310"/>
      <c r="S14" s="310">
        <f>S12*1600/1000</f>
        <v>129.52799999999996</v>
      </c>
    </row>
    <row r="15" spans="3:19">
      <c r="C15" s="505" t="s">
        <v>204</v>
      </c>
      <c r="D15" s="505" t="s">
        <v>150</v>
      </c>
      <c r="E15" s="793">
        <v>1.86</v>
      </c>
      <c r="F15" s="793">
        <v>12.47</v>
      </c>
      <c r="O15" s="805" t="s">
        <v>1517</v>
      </c>
      <c r="P15" s="805" t="s">
        <v>1516</v>
      </c>
      <c r="Q15" s="310"/>
      <c r="R15" s="310"/>
      <c r="S15" s="310">
        <f>S13*1600/1000</f>
        <v>55.106513279999994</v>
      </c>
    </row>
    <row r="16" spans="3:19">
      <c r="C16" s="508" t="s">
        <v>217</v>
      </c>
      <c r="D16" s="505" t="s">
        <v>212</v>
      </c>
      <c r="E16" s="793">
        <v>1.86</v>
      </c>
      <c r="F16" s="793">
        <v>12.47</v>
      </c>
    </row>
    <row r="17" spans="3:21">
      <c r="C17" s="509" t="s">
        <v>227</v>
      </c>
      <c r="D17" s="505" t="s">
        <v>206</v>
      </c>
      <c r="E17" s="793">
        <v>1.86</v>
      </c>
      <c r="F17" s="793">
        <v>12.47</v>
      </c>
    </row>
    <row r="18" spans="3:21">
      <c r="C18" s="322" t="s">
        <v>222</v>
      </c>
      <c r="D18" s="322" t="s">
        <v>147</v>
      </c>
      <c r="E18" s="793">
        <v>1.57</v>
      </c>
      <c r="F18" s="793">
        <v>11.05</v>
      </c>
      <c r="O18" s="813" t="s">
        <v>1499</v>
      </c>
    </row>
    <row r="19" spans="3:21">
      <c r="C19" s="322" t="s">
        <v>241</v>
      </c>
      <c r="D19" s="322" t="s">
        <v>150</v>
      </c>
      <c r="E19" s="793">
        <v>1.86</v>
      </c>
      <c r="F19" s="793">
        <v>12.47</v>
      </c>
      <c r="O19" s="588"/>
      <c r="P19" s="590" t="s">
        <v>775</v>
      </c>
      <c r="Q19" s="590" t="s">
        <v>147</v>
      </c>
      <c r="R19" s="793">
        <v>1.57</v>
      </c>
      <c r="S19" s="793">
        <v>11.05</v>
      </c>
    </row>
    <row r="20" spans="3:21">
      <c r="C20" s="322" t="s">
        <v>244</v>
      </c>
      <c r="D20" s="322" t="s">
        <v>212</v>
      </c>
      <c r="E20" s="793">
        <v>1.86</v>
      </c>
      <c r="F20" s="793">
        <v>12.47</v>
      </c>
      <c r="O20" s="588"/>
      <c r="P20" s="590" t="s">
        <v>158</v>
      </c>
      <c r="Q20" s="590" t="s">
        <v>80</v>
      </c>
      <c r="R20" s="315">
        <v>1.6</v>
      </c>
      <c r="S20" s="315">
        <v>13.129999999999999</v>
      </c>
    </row>
    <row r="21" spans="3:21">
      <c r="C21" s="322" t="s">
        <v>370</v>
      </c>
      <c r="D21" s="322" t="s">
        <v>147</v>
      </c>
      <c r="E21" s="793">
        <v>1.57</v>
      </c>
      <c r="F21" s="793">
        <v>11.05</v>
      </c>
      <c r="O21" s="588"/>
      <c r="P21" s="590" t="s">
        <v>774</v>
      </c>
      <c r="Q21" s="590" t="s">
        <v>147</v>
      </c>
      <c r="R21" s="793">
        <v>1.57</v>
      </c>
      <c r="S21" s="793">
        <v>11.05</v>
      </c>
    </row>
    <row r="22" spans="3:21">
      <c r="C22" s="322" t="s">
        <v>254</v>
      </c>
      <c r="D22" s="322" t="s">
        <v>147</v>
      </c>
      <c r="E22" s="793">
        <v>1.57</v>
      </c>
      <c r="F22" s="793">
        <v>11.05</v>
      </c>
      <c r="O22" s="507"/>
      <c r="P22" s="576" t="s">
        <v>773</v>
      </c>
      <c r="Q22" s="576" t="s">
        <v>147</v>
      </c>
      <c r="R22" s="793">
        <v>1.57</v>
      </c>
      <c r="S22" s="793">
        <v>11.05</v>
      </c>
    </row>
    <row r="23" spans="3:21">
      <c r="C23" s="322" t="s">
        <v>390</v>
      </c>
      <c r="D23" s="322" t="s">
        <v>147</v>
      </c>
      <c r="E23" s="793">
        <v>1.08</v>
      </c>
      <c r="F23" s="793">
        <v>8.68</v>
      </c>
      <c r="O23" s="507"/>
      <c r="P23" s="514" t="s">
        <v>772</v>
      </c>
      <c r="Q23" s="514" t="s">
        <v>150</v>
      </c>
      <c r="R23" s="793">
        <v>1.86</v>
      </c>
      <c r="S23" s="793">
        <v>12.47</v>
      </c>
    </row>
    <row r="24" spans="3:21">
      <c r="C24" s="322" t="s">
        <v>1270</v>
      </c>
      <c r="D24" s="322" t="s">
        <v>80</v>
      </c>
      <c r="E24" s="315">
        <v>1.6</v>
      </c>
      <c r="F24" s="315">
        <v>13.129999999999999</v>
      </c>
      <c r="R24">
        <f>SUM(R19:R23)</f>
        <v>8.17</v>
      </c>
      <c r="S24">
        <f>SUM(S19:S23)</f>
        <v>58.75</v>
      </c>
    </row>
    <row r="25" spans="3:21">
      <c r="C25" s="590" t="s">
        <v>357</v>
      </c>
      <c r="D25" s="590" t="s">
        <v>147</v>
      </c>
      <c r="E25" s="793">
        <v>1.57</v>
      </c>
      <c r="F25" s="793">
        <v>11.05</v>
      </c>
      <c r="O25" s="805"/>
      <c r="P25" s="805" t="s">
        <v>1513</v>
      </c>
      <c r="Q25" s="805" t="s">
        <v>1515</v>
      </c>
      <c r="R25" s="310">
        <f>R24*1.54*6/10</f>
        <v>7.5490799999999991</v>
      </c>
      <c r="S25" s="310">
        <f>S24*1.54*3/5.5</f>
        <v>49.35</v>
      </c>
      <c r="T25" s="310">
        <f>SUM(R25:S25)</f>
        <v>56.899079999999998</v>
      </c>
    </row>
    <row r="26" spans="3:21">
      <c r="C26" s="589" t="s">
        <v>356</v>
      </c>
      <c r="D26" s="589" t="s">
        <v>206</v>
      </c>
      <c r="E26" s="793">
        <v>1.86</v>
      </c>
      <c r="F26" s="793">
        <v>12.47</v>
      </c>
      <c r="O26" s="805"/>
      <c r="P26" s="805" t="s">
        <v>1513</v>
      </c>
      <c r="Q26" s="805" t="s">
        <v>1516</v>
      </c>
      <c r="R26" s="310">
        <f>R25*1.54*3/10</f>
        <v>3.4876749599999997</v>
      </c>
      <c r="S26" s="310">
        <f>S25*1.54*1.5/5.5</f>
        <v>20.727</v>
      </c>
      <c r="T26" s="310">
        <f>SUM(R26:S26)</f>
        <v>24.21467496</v>
      </c>
    </row>
    <row r="27" spans="3:21">
      <c r="C27" s="576" t="s">
        <v>1263</v>
      </c>
      <c r="D27" s="576" t="s">
        <v>90</v>
      </c>
      <c r="E27" s="315">
        <v>2.93</v>
      </c>
      <c r="F27" s="315">
        <v>20.34</v>
      </c>
      <c r="O27" s="805"/>
      <c r="P27" s="805" t="s">
        <v>1517</v>
      </c>
      <c r="Q27" s="805" t="s">
        <v>1515</v>
      </c>
      <c r="R27" s="310"/>
      <c r="S27" s="310"/>
      <c r="T27" s="310">
        <f>T25*1600/1000</f>
        <v>91.038527999999985</v>
      </c>
    </row>
    <row r="28" spans="3:21">
      <c r="C28" s="800" t="s">
        <v>1506</v>
      </c>
      <c r="D28" s="587" t="s">
        <v>80</v>
      </c>
      <c r="E28" s="315">
        <v>1.6</v>
      </c>
      <c r="F28" s="315">
        <v>13.129999999999999</v>
      </c>
      <c r="O28" s="805"/>
      <c r="P28" s="805" t="s">
        <v>1517</v>
      </c>
      <c r="Q28" s="805" t="s">
        <v>1516</v>
      </c>
      <c r="R28" s="310"/>
      <c r="S28" s="310"/>
      <c r="T28" s="310">
        <f>T26*1600/1000</f>
        <v>38.743479936</v>
      </c>
    </row>
    <row r="29" spans="3:21">
      <c r="E29">
        <f>SUM(E14:E28)</f>
        <v>26.220000000000002</v>
      </c>
      <c r="F29">
        <f>SUM(F14:F28)</f>
        <v>185.35</v>
      </c>
      <c r="U29" t="s">
        <v>821</v>
      </c>
    </row>
    <row r="30" spans="3:21">
      <c r="C30" s="805" t="s">
        <v>1513</v>
      </c>
      <c r="D30" s="805" t="s">
        <v>1515</v>
      </c>
      <c r="E30" s="310">
        <f>E29*1.54*6/10</f>
        <v>24.22728</v>
      </c>
      <c r="F30" s="310">
        <f>F29*1.54*3/5.5</f>
        <v>155.69399999999999</v>
      </c>
      <c r="G30" s="310">
        <f>SUM(E30:F30)</f>
        <v>179.92128</v>
      </c>
      <c r="O30" t="s">
        <v>65</v>
      </c>
      <c r="P30" s="805" t="s">
        <v>1517</v>
      </c>
      <c r="Q30" s="805" t="s">
        <v>1515</v>
      </c>
      <c r="T30">
        <f>16.74+14.83+18.51+18.5</f>
        <v>68.58</v>
      </c>
      <c r="U30">
        <f>T27-T30</f>
        <v>22.458527999999987</v>
      </c>
    </row>
    <row r="31" spans="3:21">
      <c r="C31" s="805" t="s">
        <v>1513</v>
      </c>
      <c r="D31" s="805" t="s">
        <v>1516</v>
      </c>
      <c r="E31" s="310">
        <f>E30*1.54*3/10</f>
        <v>11.193003360000001</v>
      </c>
      <c r="F31" s="310">
        <f>F30*1.54*1.5/5.5</f>
        <v>65.391480000000001</v>
      </c>
      <c r="G31" s="310">
        <f>SUM(E31:F31)</f>
        <v>76.584483360000007</v>
      </c>
    </row>
    <row r="32" spans="3:21">
      <c r="C32" s="805" t="s">
        <v>1517</v>
      </c>
      <c r="D32" s="805" t="s">
        <v>1515</v>
      </c>
      <c r="E32" s="310"/>
      <c r="F32" s="310"/>
      <c r="G32" s="310">
        <f>G30*1600/1000</f>
        <v>287.87404800000002</v>
      </c>
    </row>
    <row r="33" spans="3:7">
      <c r="C33" s="805" t="s">
        <v>1517</v>
      </c>
      <c r="D33" s="805" t="s">
        <v>1516</v>
      </c>
      <c r="E33" s="310"/>
      <c r="F33" s="310"/>
      <c r="G33" s="310">
        <f>G31*1600/1000</f>
        <v>122.535173376</v>
      </c>
    </row>
  </sheetData>
  <conditionalFormatting sqref="C5">
    <cfRule type="duplicateValues" dxfId="233" priority="17"/>
    <cfRule type="duplicateValues" dxfId="232" priority="18"/>
    <cfRule type="duplicateValues" dxfId="231" priority="19" stopIfTrue="1"/>
  </conditionalFormatting>
  <conditionalFormatting sqref="C6">
    <cfRule type="duplicateValues" dxfId="230" priority="14"/>
    <cfRule type="duplicateValues" dxfId="229" priority="15"/>
    <cfRule type="duplicateValues" dxfId="228" priority="16" stopIfTrue="1"/>
  </conditionalFormatting>
  <conditionalFormatting sqref="C14:C17">
    <cfRule type="duplicateValues" dxfId="227" priority="12"/>
  </conditionalFormatting>
  <conditionalFormatting sqref="C14:C27">
    <cfRule type="duplicateValues" dxfId="226" priority="10"/>
    <cfRule type="duplicateValues" dxfId="225" priority="11"/>
    <cfRule type="duplicateValues" dxfId="224" priority="13" stopIfTrue="1"/>
  </conditionalFormatting>
  <conditionalFormatting sqref="C14:C28">
    <cfRule type="duplicateValues" dxfId="223" priority="9"/>
  </conditionalFormatting>
  <conditionalFormatting sqref="O5:O10">
    <cfRule type="duplicateValues" dxfId="222" priority="5"/>
    <cfRule type="duplicateValues" dxfId="221" priority="6"/>
    <cfRule type="duplicateValues" dxfId="220" priority="7"/>
    <cfRule type="duplicateValues" dxfId="219" priority="8" stopIfTrue="1"/>
  </conditionalFormatting>
  <conditionalFormatting sqref="P19:P23">
    <cfRule type="duplicateValues" dxfId="218" priority="1"/>
    <cfRule type="duplicateValues" dxfId="217" priority="2" stopIfTrue="1"/>
    <cfRule type="duplicateValues" dxfId="216" priority="3"/>
    <cfRule type="duplicateValues" dxfId="215" priority="4"/>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4"/>
  <cols>
    <col min="6" max="7" width="9.21875" bestFit="1" customWidth="1"/>
    <col min="8" max="8" width="22.33203125" bestFit="1" customWidth="1"/>
    <col min="9" max="9" width="27" bestFit="1" customWidth="1"/>
  </cols>
  <sheetData>
    <row r="2" spans="1:9">
      <c r="A2" s="507">
        <v>1</v>
      </c>
      <c r="B2" s="587" t="s">
        <v>376</v>
      </c>
      <c r="C2" s="514" t="s">
        <v>84</v>
      </c>
      <c r="D2" s="315"/>
      <c r="E2" s="315" t="s">
        <v>256</v>
      </c>
      <c r="F2" s="510">
        <v>45831</v>
      </c>
      <c r="G2" s="510">
        <v>45842</v>
      </c>
      <c r="H2" s="855" t="s">
        <v>1566</v>
      </c>
      <c r="I2" s="506" t="s">
        <v>175</v>
      </c>
    </row>
    <row r="3" spans="1:9">
      <c r="A3" s="507">
        <f>A2+1</f>
        <v>2</v>
      </c>
      <c r="B3" s="507" t="s">
        <v>784</v>
      </c>
      <c r="C3" s="507" t="s">
        <v>147</v>
      </c>
      <c r="D3" s="507"/>
      <c r="E3" s="320" t="s">
        <v>174</v>
      </c>
      <c r="F3" s="600">
        <v>45835</v>
      </c>
      <c r="G3" s="510">
        <v>45843</v>
      </c>
      <c r="H3" s="507" t="s">
        <v>1434</v>
      </c>
      <c r="I3" s="506" t="s">
        <v>175</v>
      </c>
    </row>
    <row r="4" spans="1:9">
      <c r="A4" s="507">
        <f t="shared" ref="A4:A51" si="0">A3+1</f>
        <v>3</v>
      </c>
      <c r="B4" s="790" t="s">
        <v>691</v>
      </c>
      <c r="C4" s="791" t="s">
        <v>93</v>
      </c>
      <c r="D4" s="798"/>
      <c r="E4" s="798" t="s">
        <v>174</v>
      </c>
      <c r="F4" s="792">
        <v>45833</v>
      </c>
      <c r="G4" s="510">
        <v>45844</v>
      </c>
      <c r="H4" s="322" t="s">
        <v>1253</v>
      </c>
      <c r="I4" s="506" t="s">
        <v>175</v>
      </c>
    </row>
    <row r="5" spans="1:9">
      <c r="A5" s="507">
        <f t="shared" si="0"/>
        <v>4</v>
      </c>
      <c r="B5" s="507" t="s">
        <v>782</v>
      </c>
      <c r="C5" s="507" t="s">
        <v>147</v>
      </c>
      <c r="D5" s="507"/>
      <c r="E5" s="320" t="s">
        <v>174</v>
      </c>
      <c r="F5" s="600">
        <v>45842</v>
      </c>
      <c r="G5" s="600">
        <v>45846</v>
      </c>
      <c r="H5" s="507" t="s">
        <v>1434</v>
      </c>
      <c r="I5" s="506" t="s">
        <v>175</v>
      </c>
    </row>
    <row r="6" spans="1:9">
      <c r="A6" s="507">
        <f t="shared" si="0"/>
        <v>5</v>
      </c>
      <c r="B6" s="322" t="s">
        <v>1495</v>
      </c>
      <c r="C6" s="322" t="s">
        <v>80</v>
      </c>
      <c r="D6" s="322"/>
      <c r="E6" s="315" t="s">
        <v>174</v>
      </c>
      <c r="F6" s="510">
        <v>45841</v>
      </c>
      <c r="G6" s="600">
        <v>45846</v>
      </c>
      <c r="H6" s="322" t="s">
        <v>1499</v>
      </c>
      <c r="I6" s="506" t="s">
        <v>175</v>
      </c>
    </row>
    <row r="7" spans="1:9">
      <c r="A7" s="507">
        <f t="shared" si="0"/>
        <v>6</v>
      </c>
      <c r="B7" s="587" t="s">
        <v>234</v>
      </c>
      <c r="C7" s="587" t="s">
        <v>153</v>
      </c>
      <c r="D7" s="587" t="s">
        <v>418</v>
      </c>
      <c r="E7" s="587" t="s">
        <v>174</v>
      </c>
      <c r="F7" s="789">
        <v>45836</v>
      </c>
      <c r="G7" s="789">
        <v>45848</v>
      </c>
      <c r="H7" s="801" t="s">
        <v>1510</v>
      </c>
      <c r="I7" s="506" t="s">
        <v>175</v>
      </c>
    </row>
    <row r="8" spans="1:9">
      <c r="A8" s="507">
        <f t="shared" si="0"/>
        <v>7</v>
      </c>
      <c r="B8" s="602" t="s">
        <v>427</v>
      </c>
      <c r="C8" s="602" t="s">
        <v>212</v>
      </c>
      <c r="D8" s="322"/>
      <c r="E8" s="315" t="s">
        <v>174</v>
      </c>
      <c r="F8" s="510">
        <v>45842</v>
      </c>
      <c r="G8" s="789">
        <v>45848</v>
      </c>
      <c r="H8" s="354" t="s">
        <v>1512</v>
      </c>
      <c r="I8" s="506" t="s">
        <v>175</v>
      </c>
    </row>
    <row r="9" spans="1:9">
      <c r="A9" s="507">
        <f t="shared" si="0"/>
        <v>8</v>
      </c>
      <c r="B9" s="800" t="s">
        <v>783</v>
      </c>
      <c r="C9" s="587" t="s">
        <v>147</v>
      </c>
      <c r="D9" s="796"/>
      <c r="E9" s="796" t="s">
        <v>174</v>
      </c>
      <c r="F9" s="601">
        <v>45845</v>
      </c>
      <c r="G9" s="789">
        <v>45848</v>
      </c>
      <c r="H9" s="602" t="s">
        <v>1434</v>
      </c>
      <c r="I9" s="506" t="s">
        <v>175</v>
      </c>
    </row>
    <row r="10" spans="1:9">
      <c r="A10" s="507">
        <f t="shared" si="0"/>
        <v>9</v>
      </c>
      <c r="B10" s="587" t="s">
        <v>133</v>
      </c>
      <c r="C10" s="587" t="s">
        <v>132</v>
      </c>
      <c r="D10" s="587"/>
      <c r="E10" s="587" t="s">
        <v>174</v>
      </c>
      <c r="F10" s="789">
        <v>45835</v>
      </c>
      <c r="G10" s="789">
        <v>45849</v>
      </c>
      <c r="H10" s="855" t="s">
        <v>1566</v>
      </c>
      <c r="I10" s="506" t="s">
        <v>175</v>
      </c>
    </row>
    <row r="11" spans="1:9">
      <c r="A11" s="507">
        <f t="shared" si="0"/>
        <v>10</v>
      </c>
      <c r="B11" s="800" t="s">
        <v>754</v>
      </c>
      <c r="C11" s="587" t="s">
        <v>147</v>
      </c>
      <c r="D11" s="796"/>
      <c r="E11" s="796" t="s">
        <v>174</v>
      </c>
      <c r="F11" s="601">
        <v>45845</v>
      </c>
      <c r="G11" s="789">
        <v>45849</v>
      </c>
      <c r="H11" s="800" t="s">
        <v>1494</v>
      </c>
      <c r="I11" s="506" t="s">
        <v>175</v>
      </c>
    </row>
    <row r="12" spans="1:9">
      <c r="A12" s="507">
        <f t="shared" si="0"/>
        <v>11</v>
      </c>
      <c r="B12" s="514" t="s">
        <v>785</v>
      </c>
      <c r="C12" s="514" t="s">
        <v>147</v>
      </c>
      <c r="D12" s="315"/>
      <c r="E12" s="315" t="s">
        <v>174</v>
      </c>
      <c r="F12" s="510">
        <v>45848</v>
      </c>
      <c r="G12" s="510">
        <v>45850</v>
      </c>
      <c r="H12" s="602" t="s">
        <v>1434</v>
      </c>
      <c r="I12" s="506" t="s">
        <v>175</v>
      </c>
    </row>
    <row r="13" spans="1:9">
      <c r="A13" s="507">
        <f t="shared" si="0"/>
        <v>12</v>
      </c>
      <c r="B13" s="800" t="s">
        <v>755</v>
      </c>
      <c r="C13" s="587" t="s">
        <v>206</v>
      </c>
      <c r="D13" s="796"/>
      <c r="E13" s="796" t="s">
        <v>174</v>
      </c>
      <c r="F13" s="601">
        <v>45847</v>
      </c>
      <c r="G13" s="601">
        <v>45851</v>
      </c>
      <c r="H13" s="800" t="s">
        <v>1494</v>
      </c>
      <c r="I13" s="506" t="s">
        <v>175</v>
      </c>
    </row>
    <row r="14" spans="1:9">
      <c r="A14" s="507">
        <f t="shared" si="0"/>
        <v>13</v>
      </c>
      <c r="B14" s="514" t="s">
        <v>770</v>
      </c>
      <c r="C14" s="514" t="s">
        <v>150</v>
      </c>
      <c r="D14" s="514"/>
      <c r="E14" s="315" t="s">
        <v>174</v>
      </c>
      <c r="F14" s="606">
        <v>45847</v>
      </c>
      <c r="G14" s="601">
        <v>45851</v>
      </c>
      <c r="H14" s="514" t="s">
        <v>1499</v>
      </c>
      <c r="I14" s="506" t="s">
        <v>175</v>
      </c>
    </row>
    <row r="15" spans="1:9">
      <c r="A15" s="507">
        <f t="shared" si="0"/>
        <v>14</v>
      </c>
      <c r="B15" s="514" t="s">
        <v>729</v>
      </c>
      <c r="C15" s="514" t="s">
        <v>150</v>
      </c>
      <c r="D15" s="315"/>
      <c r="E15" s="315" t="s">
        <v>174</v>
      </c>
      <c r="F15" s="510">
        <v>45848</v>
      </c>
      <c r="G15" s="601">
        <v>45852</v>
      </c>
      <c r="H15" s="322" t="s">
        <v>1523</v>
      </c>
      <c r="I15" s="506" t="s">
        <v>175</v>
      </c>
    </row>
    <row r="16" spans="1:9">
      <c r="A16" s="507">
        <f t="shared" si="0"/>
        <v>15</v>
      </c>
      <c r="B16" s="602" t="s">
        <v>703</v>
      </c>
      <c r="C16" s="602" t="s">
        <v>147</v>
      </c>
      <c r="D16" s="507"/>
      <c r="E16" s="320" t="s">
        <v>174</v>
      </c>
      <c r="F16" s="600">
        <v>45842</v>
      </c>
      <c r="G16" s="601">
        <v>45852</v>
      </c>
      <c r="H16" s="354" t="s">
        <v>1504</v>
      </c>
      <c r="I16" s="506" t="s">
        <v>175</v>
      </c>
    </row>
    <row r="17" spans="1:9">
      <c r="A17" s="507">
        <f t="shared" si="0"/>
        <v>16</v>
      </c>
      <c r="B17" s="514" t="s">
        <v>786</v>
      </c>
      <c r="C17" s="514" t="s">
        <v>147</v>
      </c>
      <c r="D17" s="315"/>
      <c r="E17" s="315" t="s">
        <v>174</v>
      </c>
      <c r="F17" s="510">
        <v>45851</v>
      </c>
      <c r="G17" s="601">
        <v>45853</v>
      </c>
      <c r="H17" s="602" t="s">
        <v>1434</v>
      </c>
      <c r="I17" s="506" t="s">
        <v>175</v>
      </c>
    </row>
    <row r="18" spans="1:9">
      <c r="A18" s="507">
        <f t="shared" si="0"/>
        <v>17</v>
      </c>
      <c r="B18" s="800" t="s">
        <v>1505</v>
      </c>
      <c r="C18" s="587" t="s">
        <v>132</v>
      </c>
      <c r="D18" s="315"/>
      <c r="E18" s="315" t="s">
        <v>174</v>
      </c>
      <c r="F18" s="510">
        <v>45847</v>
      </c>
      <c r="G18" s="601">
        <v>45854</v>
      </c>
      <c r="H18" s="354" t="s">
        <v>1507</v>
      </c>
      <c r="I18" s="506" t="s">
        <v>175</v>
      </c>
    </row>
    <row r="19" spans="1:9">
      <c r="A19" s="507">
        <f t="shared" si="0"/>
        <v>18</v>
      </c>
      <c r="B19" s="800" t="s">
        <v>1273</v>
      </c>
      <c r="C19" s="587" t="s">
        <v>80</v>
      </c>
      <c r="D19" s="320"/>
      <c r="E19" s="320" t="s">
        <v>174</v>
      </c>
      <c r="F19" s="600">
        <v>45846</v>
      </c>
      <c r="G19" s="601">
        <v>45854</v>
      </c>
      <c r="H19" s="354" t="s">
        <v>1521</v>
      </c>
      <c r="I19" s="506" t="s">
        <v>175</v>
      </c>
    </row>
    <row r="20" spans="1:9">
      <c r="A20" s="507">
        <f t="shared" si="0"/>
        <v>19</v>
      </c>
      <c r="B20" s="514" t="s">
        <v>728</v>
      </c>
      <c r="C20" s="514" t="s">
        <v>147</v>
      </c>
      <c r="D20" s="315"/>
      <c r="E20" s="315" t="s">
        <v>174</v>
      </c>
      <c r="F20" s="510">
        <v>45852</v>
      </c>
      <c r="G20" s="601">
        <v>45854</v>
      </c>
      <c r="H20" s="322" t="s">
        <v>1523</v>
      </c>
      <c r="I20" s="506" t="s">
        <v>175</v>
      </c>
    </row>
    <row r="21" spans="1:9">
      <c r="A21" s="507">
        <f t="shared" si="0"/>
        <v>20</v>
      </c>
      <c r="B21" s="514" t="s">
        <v>768</v>
      </c>
      <c r="C21" s="514" t="s">
        <v>147</v>
      </c>
      <c r="D21" s="514"/>
      <c r="E21" s="315" t="s">
        <v>174</v>
      </c>
      <c r="F21" s="510">
        <v>45852</v>
      </c>
      <c r="G21" s="601">
        <v>45854</v>
      </c>
      <c r="H21" s="514" t="s">
        <v>1499</v>
      </c>
      <c r="I21" s="506" t="s">
        <v>175</v>
      </c>
    </row>
    <row r="22" spans="1:9">
      <c r="A22" s="507">
        <f t="shared" si="0"/>
        <v>21</v>
      </c>
      <c r="B22" s="514" t="s">
        <v>1526</v>
      </c>
      <c r="C22" s="514" t="s">
        <v>102</v>
      </c>
      <c r="D22" s="315"/>
      <c r="E22" s="315" t="s">
        <v>174</v>
      </c>
      <c r="F22" s="510">
        <v>45850</v>
      </c>
      <c r="G22" s="601">
        <v>45855</v>
      </c>
      <c r="H22" s="800" t="s">
        <v>1494</v>
      </c>
      <c r="I22" s="506" t="s">
        <v>175</v>
      </c>
    </row>
    <row r="23" spans="1:9">
      <c r="A23" s="507">
        <f t="shared" si="0"/>
        <v>22</v>
      </c>
      <c r="B23" s="354" t="s">
        <v>1519</v>
      </c>
      <c r="C23" s="315" t="s">
        <v>1520</v>
      </c>
      <c r="D23" s="315"/>
      <c r="E23" s="315" t="s">
        <v>174</v>
      </c>
      <c r="F23" s="510">
        <v>45848</v>
      </c>
      <c r="G23" s="601">
        <v>45856</v>
      </c>
      <c r="H23" s="354" t="s">
        <v>1522</v>
      </c>
      <c r="I23" s="506" t="s">
        <v>175</v>
      </c>
    </row>
    <row r="24" spans="1:9">
      <c r="A24" s="507">
        <f t="shared" si="0"/>
        <v>23</v>
      </c>
      <c r="B24" s="514" t="s">
        <v>787</v>
      </c>
      <c r="C24" s="514" t="s">
        <v>147</v>
      </c>
      <c r="D24" s="315"/>
      <c r="E24" s="315" t="s">
        <v>174</v>
      </c>
      <c r="F24" s="510">
        <v>45853</v>
      </c>
      <c r="G24" s="601">
        <v>45856</v>
      </c>
      <c r="H24" s="602" t="s">
        <v>1434</v>
      </c>
      <c r="I24" s="506" t="s">
        <v>175</v>
      </c>
    </row>
    <row r="25" spans="1:9">
      <c r="A25" s="507">
        <f t="shared" si="0"/>
        <v>24</v>
      </c>
      <c r="B25" s="322" t="s">
        <v>344</v>
      </c>
      <c r="C25" s="322" t="s">
        <v>84</v>
      </c>
      <c r="D25" s="322"/>
      <c r="E25" s="315" t="s">
        <v>174</v>
      </c>
      <c r="F25" s="510">
        <v>45846</v>
      </c>
      <c r="G25" s="601">
        <v>45857</v>
      </c>
      <c r="H25" s="354" t="s">
        <v>1511</v>
      </c>
      <c r="I25" s="506" t="s">
        <v>175</v>
      </c>
    </row>
    <row r="26" spans="1:9">
      <c r="A26" s="507">
        <f t="shared" si="0"/>
        <v>25</v>
      </c>
      <c r="B26" s="514" t="s">
        <v>727</v>
      </c>
      <c r="C26" s="514" t="s">
        <v>147</v>
      </c>
      <c r="D26" s="514"/>
      <c r="E26" s="514" t="s">
        <v>174</v>
      </c>
      <c r="F26" s="606">
        <v>45855</v>
      </c>
      <c r="G26" s="789">
        <v>45859</v>
      </c>
      <c r="H26" s="514" t="s">
        <v>1523</v>
      </c>
      <c r="I26" s="506" t="s">
        <v>175</v>
      </c>
    </row>
    <row r="27" spans="1:9">
      <c r="A27" s="507">
        <f t="shared" si="0"/>
        <v>26</v>
      </c>
      <c r="B27" s="514" t="s">
        <v>1543</v>
      </c>
      <c r="C27" s="514" t="s">
        <v>102</v>
      </c>
      <c r="D27" s="514"/>
      <c r="E27" s="514" t="s">
        <v>174</v>
      </c>
      <c r="F27" s="606">
        <v>45855</v>
      </c>
      <c r="G27" s="789">
        <v>45859</v>
      </c>
      <c r="H27" s="801" t="s">
        <v>1494</v>
      </c>
      <c r="I27" s="506" t="s">
        <v>175</v>
      </c>
    </row>
    <row r="28" spans="1:9">
      <c r="A28" s="507">
        <f t="shared" si="0"/>
        <v>27</v>
      </c>
      <c r="B28" s="514" t="s">
        <v>767</v>
      </c>
      <c r="C28" s="514" t="s">
        <v>150</v>
      </c>
      <c r="D28" s="514"/>
      <c r="E28" s="514" t="s">
        <v>174</v>
      </c>
      <c r="F28" s="606">
        <v>45854</v>
      </c>
      <c r="G28" s="789">
        <v>45859</v>
      </c>
      <c r="H28" s="514" t="s">
        <v>1499</v>
      </c>
      <c r="I28" s="506" t="s">
        <v>175</v>
      </c>
    </row>
    <row r="29" spans="1:9">
      <c r="A29" s="507">
        <f t="shared" si="0"/>
        <v>28</v>
      </c>
      <c r="B29" s="514" t="s">
        <v>788</v>
      </c>
      <c r="C29" s="514" t="s">
        <v>147</v>
      </c>
      <c r="D29" s="315"/>
      <c r="E29" s="514" t="s">
        <v>174</v>
      </c>
      <c r="F29" s="606">
        <v>45857</v>
      </c>
      <c r="G29" s="601">
        <v>45861</v>
      </c>
      <c r="H29" s="602" t="s">
        <v>1434</v>
      </c>
      <c r="I29" s="506" t="s">
        <v>175</v>
      </c>
    </row>
    <row r="30" spans="1:9">
      <c r="A30" s="507">
        <f t="shared" si="0"/>
        <v>29</v>
      </c>
      <c r="B30" s="587" t="s">
        <v>830</v>
      </c>
      <c r="C30" s="587" t="s">
        <v>102</v>
      </c>
      <c r="D30" s="576"/>
      <c r="E30" s="576" t="s">
        <v>174</v>
      </c>
      <c r="F30" s="603">
        <v>45853</v>
      </c>
      <c r="G30" s="601">
        <v>45862</v>
      </c>
      <c r="H30" s="828" t="s">
        <v>1504</v>
      </c>
      <c r="I30" s="506" t="s">
        <v>175</v>
      </c>
    </row>
    <row r="31" spans="1:9">
      <c r="A31" s="507">
        <f t="shared" si="0"/>
        <v>30</v>
      </c>
      <c r="B31" s="514" t="s">
        <v>131</v>
      </c>
      <c r="C31" s="514" t="s">
        <v>132</v>
      </c>
      <c r="D31" s="514"/>
      <c r="E31" s="514" t="s">
        <v>174</v>
      </c>
      <c r="F31" s="606">
        <v>45851</v>
      </c>
      <c r="G31" s="601">
        <v>45862</v>
      </c>
      <c r="H31" s="855" t="s">
        <v>1566</v>
      </c>
      <c r="I31" s="506" t="s">
        <v>175</v>
      </c>
    </row>
    <row r="32" spans="1:9">
      <c r="A32" s="507">
        <f t="shared" si="0"/>
        <v>31</v>
      </c>
      <c r="B32" s="514" t="s">
        <v>148</v>
      </c>
      <c r="C32" s="514" t="s">
        <v>147</v>
      </c>
      <c r="D32" s="514"/>
      <c r="E32" s="514" t="s">
        <v>174</v>
      </c>
      <c r="F32" s="606">
        <v>45860</v>
      </c>
      <c r="G32" s="601">
        <v>45862</v>
      </c>
      <c r="H32" s="514" t="s">
        <v>1523</v>
      </c>
      <c r="I32" s="506" t="s">
        <v>175</v>
      </c>
    </row>
    <row r="33" spans="1:9">
      <c r="A33" s="507">
        <f t="shared" si="0"/>
        <v>32</v>
      </c>
      <c r="B33" s="514" t="s">
        <v>769</v>
      </c>
      <c r="C33" s="514" t="s">
        <v>147</v>
      </c>
      <c r="D33" s="514"/>
      <c r="E33" s="514" t="s">
        <v>174</v>
      </c>
      <c r="F33" s="789">
        <v>45860</v>
      </c>
      <c r="G33" s="601">
        <v>45863</v>
      </c>
      <c r="H33" s="514" t="s">
        <v>1499</v>
      </c>
      <c r="I33" s="506" t="s">
        <v>175</v>
      </c>
    </row>
    <row r="34" spans="1:9">
      <c r="A34" s="507">
        <f t="shared" si="0"/>
        <v>33</v>
      </c>
      <c r="B34" s="514" t="s">
        <v>708</v>
      </c>
      <c r="C34" s="514" t="s">
        <v>150</v>
      </c>
      <c r="D34" s="514"/>
      <c r="E34" s="514" t="s">
        <v>174</v>
      </c>
      <c r="F34" s="606">
        <v>45853</v>
      </c>
      <c r="G34" s="601">
        <v>45864</v>
      </c>
      <c r="H34" s="514" t="s">
        <v>1527</v>
      </c>
      <c r="I34" s="506" t="s">
        <v>175</v>
      </c>
    </row>
    <row r="35" spans="1:9">
      <c r="A35" s="507">
        <f t="shared" si="0"/>
        <v>34</v>
      </c>
      <c r="B35" s="791" t="s">
        <v>760</v>
      </c>
      <c r="C35" s="791" t="s">
        <v>150</v>
      </c>
      <c r="D35" s="791"/>
      <c r="E35" s="791" t="s">
        <v>174</v>
      </c>
      <c r="F35" s="829">
        <v>45860</v>
      </c>
      <c r="G35" s="601">
        <v>45864</v>
      </c>
      <c r="H35" s="830" t="s">
        <v>1494</v>
      </c>
      <c r="I35" s="506" t="s">
        <v>175</v>
      </c>
    </row>
    <row r="36" spans="1:9">
      <c r="A36" s="507">
        <f t="shared" si="0"/>
        <v>35</v>
      </c>
      <c r="B36" s="514" t="s">
        <v>349</v>
      </c>
      <c r="C36" s="514" t="s">
        <v>147</v>
      </c>
      <c r="D36" s="514"/>
      <c r="E36" s="514" t="s">
        <v>174</v>
      </c>
      <c r="F36" s="606">
        <v>45849</v>
      </c>
      <c r="G36" s="601">
        <v>45865</v>
      </c>
      <c r="H36" s="828" t="s">
        <v>1510</v>
      </c>
      <c r="I36" s="506" t="s">
        <v>175</v>
      </c>
    </row>
    <row r="37" spans="1:9">
      <c r="A37" s="507">
        <f t="shared" si="0"/>
        <v>36</v>
      </c>
      <c r="B37" s="514" t="s">
        <v>731</v>
      </c>
      <c r="C37" s="514" t="s">
        <v>206</v>
      </c>
      <c r="D37" s="514"/>
      <c r="E37" s="514" t="s">
        <v>174</v>
      </c>
      <c r="F37" s="606">
        <v>45862</v>
      </c>
      <c r="G37" s="601">
        <v>45865</v>
      </c>
      <c r="H37" s="514" t="s">
        <v>1523</v>
      </c>
      <c r="I37" s="506" t="s">
        <v>175</v>
      </c>
    </row>
    <row r="38" spans="1:9">
      <c r="A38" s="507">
        <f t="shared" si="0"/>
        <v>37</v>
      </c>
      <c r="B38" s="354" t="s">
        <v>1556</v>
      </c>
      <c r="C38" s="514" t="s">
        <v>150</v>
      </c>
      <c r="D38" s="315"/>
      <c r="E38" s="514" t="s">
        <v>174</v>
      </c>
      <c r="F38" s="510">
        <v>45862</v>
      </c>
      <c r="G38" s="601">
        <v>45865</v>
      </c>
      <c r="H38" s="322" t="s">
        <v>1434</v>
      </c>
      <c r="I38" s="506" t="s">
        <v>175</v>
      </c>
    </row>
    <row r="39" spans="1:9">
      <c r="A39" s="507">
        <f t="shared" si="0"/>
        <v>38</v>
      </c>
      <c r="B39" s="801" t="s">
        <v>695</v>
      </c>
      <c r="C39" s="587" t="s">
        <v>80</v>
      </c>
      <c r="D39" s="514"/>
      <c r="E39" s="514" t="s">
        <v>174</v>
      </c>
      <c r="F39" s="606">
        <v>45859</v>
      </c>
      <c r="G39" s="601">
        <v>45866</v>
      </c>
      <c r="H39" s="828" t="s">
        <v>1507</v>
      </c>
      <c r="I39" s="506" t="s">
        <v>175</v>
      </c>
    </row>
    <row r="40" spans="1:9">
      <c r="A40" s="507">
        <f t="shared" si="0"/>
        <v>39</v>
      </c>
      <c r="B40" s="587" t="s">
        <v>391</v>
      </c>
      <c r="C40" s="587" t="s">
        <v>150</v>
      </c>
      <c r="D40" s="587"/>
      <c r="E40" s="587" t="s">
        <v>174</v>
      </c>
      <c r="F40" s="789">
        <v>45851</v>
      </c>
      <c r="G40" s="601">
        <v>45867</v>
      </c>
      <c r="H40" s="587" t="s">
        <v>218</v>
      </c>
      <c r="I40" s="506" t="s">
        <v>175</v>
      </c>
    </row>
    <row r="41" spans="1:9">
      <c r="A41" s="507">
        <f t="shared" si="0"/>
        <v>40</v>
      </c>
      <c r="B41" s="514" t="s">
        <v>758</v>
      </c>
      <c r="C41" s="514" t="s">
        <v>150</v>
      </c>
      <c r="D41" s="514"/>
      <c r="E41" s="514" t="s">
        <v>174</v>
      </c>
      <c r="F41" s="789">
        <v>45863</v>
      </c>
      <c r="G41" s="601">
        <v>45867</v>
      </c>
      <c r="H41" s="801" t="s">
        <v>1494</v>
      </c>
      <c r="I41" s="506" t="s">
        <v>175</v>
      </c>
    </row>
    <row r="42" spans="1:9">
      <c r="A42" s="507">
        <f t="shared" si="0"/>
        <v>41</v>
      </c>
      <c r="B42" s="514" t="s">
        <v>145</v>
      </c>
      <c r="C42" s="514" t="s">
        <v>147</v>
      </c>
      <c r="D42" s="514"/>
      <c r="E42" s="514" t="s">
        <v>174</v>
      </c>
      <c r="F42" s="606">
        <v>45865</v>
      </c>
      <c r="G42" s="601">
        <v>45868</v>
      </c>
      <c r="H42" s="514" t="s">
        <v>1523</v>
      </c>
      <c r="I42" s="506" t="s">
        <v>175</v>
      </c>
    </row>
    <row r="43" spans="1:9">
      <c r="A43" s="507">
        <f t="shared" si="0"/>
        <v>42</v>
      </c>
      <c r="B43" s="354" t="s">
        <v>1308</v>
      </c>
      <c r="C43" s="514" t="s">
        <v>147</v>
      </c>
      <c r="D43" s="315"/>
      <c r="E43" s="514" t="s">
        <v>174</v>
      </c>
      <c r="F43" s="510">
        <v>45865</v>
      </c>
      <c r="G43" s="601">
        <v>45868</v>
      </c>
      <c r="H43" s="322" t="s">
        <v>1434</v>
      </c>
      <c r="I43" s="506" t="s">
        <v>175</v>
      </c>
    </row>
    <row r="44" spans="1:9">
      <c r="A44" s="507">
        <f t="shared" si="0"/>
        <v>43</v>
      </c>
      <c r="B44" s="514" t="s">
        <v>156</v>
      </c>
      <c r="C44" s="514" t="s">
        <v>157</v>
      </c>
      <c r="D44" s="514"/>
      <c r="E44" s="514" t="s">
        <v>174</v>
      </c>
      <c r="F44" s="789">
        <v>45863</v>
      </c>
      <c r="G44" s="601">
        <v>45869</v>
      </c>
      <c r="H44" s="514" t="s">
        <v>1499</v>
      </c>
      <c r="I44" s="506" t="s">
        <v>175</v>
      </c>
    </row>
    <row r="45" spans="1:9">
      <c r="A45" s="507">
        <f t="shared" si="0"/>
        <v>44</v>
      </c>
      <c r="B45" s="514" t="s">
        <v>763</v>
      </c>
      <c r="C45" s="514" t="s">
        <v>147</v>
      </c>
      <c r="D45" s="514"/>
      <c r="E45" s="514" t="s">
        <v>174</v>
      </c>
      <c r="F45" s="789">
        <v>45867</v>
      </c>
      <c r="G45" s="601">
        <v>45869</v>
      </c>
      <c r="H45" s="801" t="s">
        <v>1494</v>
      </c>
      <c r="I45" s="506" t="s">
        <v>175</v>
      </c>
    </row>
    <row r="46" spans="1:9">
      <c r="A46" s="507">
        <f t="shared" si="0"/>
        <v>45</v>
      </c>
      <c r="B46" s="514" t="s">
        <v>730</v>
      </c>
      <c r="C46" s="514" t="s">
        <v>147</v>
      </c>
      <c r="D46" s="514"/>
      <c r="E46" s="514" t="s">
        <v>174</v>
      </c>
      <c r="F46" s="601">
        <v>45868</v>
      </c>
      <c r="G46" s="601">
        <v>45869</v>
      </c>
      <c r="H46" s="514" t="s">
        <v>1523</v>
      </c>
      <c r="I46" s="506" t="s">
        <v>175</v>
      </c>
    </row>
    <row r="47" spans="1:9">
      <c r="A47" s="507">
        <f t="shared" si="0"/>
        <v>46</v>
      </c>
      <c r="B47" s="514" t="s">
        <v>715</v>
      </c>
      <c r="C47" s="514" t="s">
        <v>212</v>
      </c>
      <c r="D47" s="514"/>
      <c r="E47" s="514" t="s">
        <v>174</v>
      </c>
      <c r="F47" s="606">
        <v>45863</v>
      </c>
      <c r="G47" s="601">
        <v>45869</v>
      </c>
      <c r="H47" s="514" t="s">
        <v>1504</v>
      </c>
      <c r="I47" s="506" t="s">
        <v>175</v>
      </c>
    </row>
    <row r="48" spans="1:9">
      <c r="A48" s="507">
        <f t="shared" si="0"/>
        <v>47</v>
      </c>
      <c r="B48" s="857" t="s">
        <v>139</v>
      </c>
      <c r="C48" s="587" t="s">
        <v>1542</v>
      </c>
      <c r="D48" s="514"/>
      <c r="E48" s="514" t="s">
        <v>174</v>
      </c>
      <c r="F48" s="606">
        <v>45855</v>
      </c>
      <c r="G48" s="601">
        <v>45869</v>
      </c>
      <c r="H48" s="828" t="s">
        <v>1521</v>
      </c>
      <c r="I48" s="506" t="s">
        <v>175</v>
      </c>
    </row>
    <row r="49" spans="1:9">
      <c r="A49" s="507">
        <f t="shared" si="0"/>
        <v>48</v>
      </c>
      <c r="B49" s="598" t="s">
        <v>386</v>
      </c>
      <c r="C49" s="587" t="s">
        <v>90</v>
      </c>
      <c r="D49" s="587"/>
      <c r="E49" s="587" t="s">
        <v>256</v>
      </c>
      <c r="F49" s="789">
        <v>45818</v>
      </c>
      <c r="G49" s="601">
        <v>45869</v>
      </c>
      <c r="H49" s="831" t="s">
        <v>1559</v>
      </c>
      <c r="I49" s="506" t="s">
        <v>175</v>
      </c>
    </row>
    <row r="50" spans="1:9">
      <c r="A50" s="507">
        <f t="shared" si="0"/>
        <v>49</v>
      </c>
      <c r="B50" s="858" t="s">
        <v>123</v>
      </c>
      <c r="C50" s="791" t="s">
        <v>80</v>
      </c>
      <c r="D50" s="791"/>
      <c r="E50" s="791" t="s">
        <v>174</v>
      </c>
      <c r="F50" s="854">
        <v>45862</v>
      </c>
      <c r="G50" s="601">
        <v>45869</v>
      </c>
      <c r="H50" s="855" t="s">
        <v>1566</v>
      </c>
      <c r="I50" s="506" t="s">
        <v>175</v>
      </c>
    </row>
    <row r="51" spans="1:9">
      <c r="A51" s="507">
        <f t="shared" si="0"/>
        <v>50</v>
      </c>
      <c r="B51" s="599" t="s">
        <v>1560</v>
      </c>
      <c r="C51" s="514" t="s">
        <v>90</v>
      </c>
      <c r="D51" s="514"/>
      <c r="E51" s="514" t="s">
        <v>174</v>
      </c>
      <c r="F51" s="606">
        <v>45861</v>
      </c>
      <c r="G51" s="601">
        <v>45869</v>
      </c>
      <c r="H51" s="828" t="s">
        <v>1522</v>
      </c>
      <c r="I51" s="506" t="s">
        <v>175</v>
      </c>
    </row>
  </sheetData>
  <conditionalFormatting sqref="B2:B8 B10 B12 B14:B17 B20:B22 B24:B29 B31:B37 B40:B42 B44:B47 B49:B50">
    <cfRule type="duplicateValues" dxfId="214" priority="9"/>
    <cfRule type="duplicateValues" dxfId="213" priority="11" stopIfTrue="1"/>
  </conditionalFormatting>
  <conditionalFormatting sqref="B2:B8">
    <cfRule type="duplicateValues" dxfId="212" priority="10"/>
  </conditionalFormatting>
  <conditionalFormatting sqref="B2:B37 B39:B42 B44:B51">
    <cfRule type="duplicateValues" dxfId="211" priority="7"/>
    <cfRule type="duplicateValues" dxfId="210" priority="8"/>
  </conditionalFormatting>
  <conditionalFormatting sqref="B30">
    <cfRule type="duplicateValues" dxfId="209" priority="4"/>
    <cfRule type="duplicateValues" dxfId="208" priority="5"/>
    <cfRule type="duplicateValues" dxfId="207" priority="6" stopIfTrue="1"/>
  </conditionalFormatting>
  <conditionalFormatting sqref="B51">
    <cfRule type="duplicateValues" dxfId="206" priority="1"/>
    <cfRule type="duplicateValues" dxfId="205" priority="2"/>
    <cfRule type="duplicateValues" dxfId="204"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4"/>
  <cols>
    <col min="7" max="7" width="18.109375" bestFit="1" customWidth="1"/>
    <col min="8" max="8" width="9.21875" bestFit="1" customWidth="1"/>
    <col min="9" max="9" width="10.44140625" bestFit="1" customWidth="1"/>
  </cols>
  <sheetData>
    <row r="4" spans="4:10">
      <c r="D4" s="310" t="s">
        <v>1611</v>
      </c>
      <c r="E4" s="310" t="s">
        <v>1136</v>
      </c>
      <c r="F4" s="310" t="s">
        <v>1056</v>
      </c>
      <c r="G4" s="310" t="s">
        <v>1612</v>
      </c>
      <c r="H4" s="310" t="s">
        <v>171</v>
      </c>
      <c r="I4" s="310" t="s">
        <v>1555</v>
      </c>
    </row>
    <row r="5" spans="4:10">
      <c r="D5" s="310">
        <v>1</v>
      </c>
      <c r="E5" s="310" t="s">
        <v>784</v>
      </c>
      <c r="F5" s="310" t="s">
        <v>147</v>
      </c>
      <c r="G5" s="310" t="s">
        <v>1585</v>
      </c>
      <c r="H5" s="603">
        <v>45898</v>
      </c>
      <c r="I5" s="603">
        <v>45904</v>
      </c>
      <c r="J5" t="s">
        <v>1441</v>
      </c>
    </row>
    <row r="6" spans="4:10">
      <c r="D6" s="310">
        <f>D5+1</f>
        <v>2</v>
      </c>
      <c r="E6" s="310" t="s">
        <v>232</v>
      </c>
      <c r="F6" s="310" t="s">
        <v>150</v>
      </c>
      <c r="G6" s="310" t="s">
        <v>1508</v>
      </c>
      <c r="H6" s="603">
        <v>45901</v>
      </c>
      <c r="I6" s="603">
        <v>45905</v>
      </c>
      <c r="J6" t="s">
        <v>1441</v>
      </c>
    </row>
    <row r="7" spans="4:10">
      <c r="D7" s="310">
        <f t="shared" ref="D7:D34" si="0">D6+1</f>
        <v>3</v>
      </c>
      <c r="E7" s="310" t="s">
        <v>767</v>
      </c>
      <c r="F7" s="310" t="s">
        <v>150</v>
      </c>
      <c r="G7" s="310" t="s">
        <v>1586</v>
      </c>
      <c r="H7" s="603">
        <v>45896</v>
      </c>
      <c r="I7" s="603">
        <v>45909</v>
      </c>
      <c r="J7" t="s">
        <v>1441</v>
      </c>
    </row>
    <row r="8" spans="4:10">
      <c r="D8" s="310">
        <f t="shared" si="0"/>
        <v>4</v>
      </c>
      <c r="E8" s="310" t="s">
        <v>191</v>
      </c>
      <c r="F8" s="310" t="s">
        <v>147</v>
      </c>
      <c r="G8" s="310" t="s">
        <v>1508</v>
      </c>
      <c r="H8" s="603">
        <v>45905</v>
      </c>
      <c r="I8" s="603">
        <v>45909</v>
      </c>
      <c r="J8" t="s">
        <v>1441</v>
      </c>
    </row>
    <row r="9" spans="4:10">
      <c r="D9" s="310">
        <f t="shared" si="0"/>
        <v>5</v>
      </c>
      <c r="E9" s="310" t="s">
        <v>783</v>
      </c>
      <c r="F9" s="310" t="s">
        <v>147</v>
      </c>
      <c r="G9" s="310" t="s">
        <v>1585</v>
      </c>
      <c r="H9" s="603">
        <v>45905</v>
      </c>
      <c r="I9" s="603">
        <v>45910</v>
      </c>
      <c r="J9" t="s">
        <v>1441</v>
      </c>
    </row>
    <row r="10" spans="4:10">
      <c r="D10" s="310">
        <f t="shared" si="0"/>
        <v>6</v>
      </c>
      <c r="E10" s="310" t="s">
        <v>189</v>
      </c>
      <c r="F10" s="310" t="s">
        <v>150</v>
      </c>
      <c r="G10" s="310" t="s">
        <v>1567</v>
      </c>
      <c r="H10" s="603">
        <v>45898</v>
      </c>
      <c r="I10" s="603">
        <v>45911</v>
      </c>
      <c r="J10" t="s">
        <v>1441</v>
      </c>
    </row>
    <row r="11" spans="4:10">
      <c r="D11" s="310">
        <f t="shared" si="0"/>
        <v>7</v>
      </c>
      <c r="E11" s="310" t="s">
        <v>1270</v>
      </c>
      <c r="F11" s="310" t="s">
        <v>80</v>
      </c>
      <c r="G11" s="310" t="s">
        <v>1590</v>
      </c>
      <c r="H11" s="603">
        <v>45901</v>
      </c>
      <c r="I11" s="603">
        <v>45911</v>
      </c>
      <c r="J11" t="s">
        <v>1441</v>
      </c>
    </row>
    <row r="12" spans="4:10">
      <c r="D12" s="310">
        <f t="shared" si="0"/>
        <v>8</v>
      </c>
      <c r="E12" s="310" t="s">
        <v>786</v>
      </c>
      <c r="F12" s="310" t="s">
        <v>147</v>
      </c>
      <c r="G12" s="310" t="s">
        <v>1585</v>
      </c>
      <c r="H12" s="603">
        <v>45911</v>
      </c>
      <c r="I12" s="603">
        <v>45914</v>
      </c>
      <c r="J12" t="s">
        <v>1441</v>
      </c>
    </row>
    <row r="13" spans="4:10">
      <c r="D13" s="310">
        <f t="shared" si="0"/>
        <v>9</v>
      </c>
      <c r="E13" s="310" t="s">
        <v>768</v>
      </c>
      <c r="F13" s="310" t="s">
        <v>147</v>
      </c>
      <c r="G13" s="310" t="s">
        <v>1586</v>
      </c>
      <c r="H13" s="603">
        <v>45909</v>
      </c>
      <c r="I13" s="603">
        <v>45914</v>
      </c>
      <c r="J13" t="s">
        <v>1441</v>
      </c>
    </row>
    <row r="14" spans="4:10">
      <c r="D14" s="310">
        <f t="shared" si="0"/>
        <v>10</v>
      </c>
      <c r="E14" s="310" t="s">
        <v>356</v>
      </c>
      <c r="F14" s="310" t="s">
        <v>206</v>
      </c>
      <c r="G14" s="310" t="s">
        <v>1508</v>
      </c>
      <c r="H14" s="603">
        <v>45909</v>
      </c>
      <c r="I14" s="603">
        <v>45914</v>
      </c>
      <c r="J14" t="s">
        <v>1441</v>
      </c>
    </row>
    <row r="15" spans="4:10">
      <c r="D15" s="310">
        <f t="shared" si="0"/>
        <v>11</v>
      </c>
      <c r="E15" s="310" t="s">
        <v>258</v>
      </c>
      <c r="F15" s="310" t="s">
        <v>147</v>
      </c>
      <c r="G15" s="310" t="s">
        <v>1590</v>
      </c>
      <c r="H15" s="603">
        <v>45901</v>
      </c>
      <c r="I15" s="603">
        <v>45915</v>
      </c>
      <c r="J15" t="s">
        <v>1441</v>
      </c>
    </row>
    <row r="16" spans="4:10">
      <c r="D16" s="310">
        <f t="shared" si="0"/>
        <v>12</v>
      </c>
      <c r="E16" s="310" t="s">
        <v>349</v>
      </c>
      <c r="F16" s="310" t="s">
        <v>147</v>
      </c>
      <c r="G16" s="310" t="s">
        <v>1567</v>
      </c>
      <c r="H16" s="603">
        <v>45911</v>
      </c>
      <c r="I16" s="603">
        <v>45915</v>
      </c>
      <c r="J16" t="s">
        <v>1441</v>
      </c>
    </row>
    <row r="17" spans="4:10">
      <c r="D17" s="310">
        <f t="shared" si="0"/>
        <v>13</v>
      </c>
      <c r="E17" s="310" t="s">
        <v>146</v>
      </c>
      <c r="F17" s="310" t="s">
        <v>147</v>
      </c>
      <c r="G17" s="310" t="s">
        <v>1587</v>
      </c>
      <c r="H17" s="603">
        <v>45897</v>
      </c>
      <c r="I17" s="603">
        <v>45916</v>
      </c>
      <c r="J17" t="s">
        <v>1441</v>
      </c>
    </row>
    <row r="18" spans="4:10">
      <c r="D18" s="310">
        <f t="shared" si="0"/>
        <v>14</v>
      </c>
      <c r="E18" s="310" t="s">
        <v>787</v>
      </c>
      <c r="F18" s="310" t="s">
        <v>147</v>
      </c>
      <c r="G18" s="310" t="s">
        <v>1585</v>
      </c>
      <c r="H18" s="603">
        <v>45914</v>
      </c>
      <c r="I18" s="603">
        <v>45919</v>
      </c>
      <c r="J18" t="s">
        <v>1441</v>
      </c>
    </row>
    <row r="19" spans="4:10">
      <c r="D19" s="310">
        <f t="shared" si="0"/>
        <v>15</v>
      </c>
      <c r="E19" s="310" t="s">
        <v>769</v>
      </c>
      <c r="F19" s="310" t="s">
        <v>147</v>
      </c>
      <c r="G19" s="310" t="s">
        <v>1586</v>
      </c>
      <c r="H19" s="603">
        <v>45914</v>
      </c>
      <c r="I19" s="603">
        <v>45919</v>
      </c>
      <c r="J19" t="s">
        <v>1441</v>
      </c>
    </row>
    <row r="20" spans="4:10">
      <c r="D20" s="310">
        <f t="shared" si="0"/>
        <v>16</v>
      </c>
      <c r="E20" s="310" t="s">
        <v>762</v>
      </c>
      <c r="F20" s="310" t="s">
        <v>150</v>
      </c>
      <c r="G20" s="310" t="s">
        <v>1602</v>
      </c>
      <c r="H20" s="603">
        <v>45911</v>
      </c>
      <c r="I20" s="603">
        <v>45917</v>
      </c>
      <c r="J20" t="s">
        <v>1441</v>
      </c>
    </row>
    <row r="21" spans="4:10">
      <c r="D21" s="310">
        <f t="shared" si="0"/>
        <v>17</v>
      </c>
      <c r="E21" s="310" t="s">
        <v>761</v>
      </c>
      <c r="F21" s="310" t="s">
        <v>150</v>
      </c>
      <c r="G21" s="310" t="s">
        <v>1603</v>
      </c>
      <c r="H21" s="603">
        <v>45911</v>
      </c>
      <c r="I21" s="603">
        <v>45917</v>
      </c>
      <c r="J21" t="s">
        <v>1441</v>
      </c>
    </row>
    <row r="22" spans="4:10">
      <c r="D22" s="310">
        <f t="shared" si="0"/>
        <v>18</v>
      </c>
      <c r="E22" s="310" t="s">
        <v>759</v>
      </c>
      <c r="F22" s="310" t="s">
        <v>147</v>
      </c>
      <c r="G22" s="310" t="s">
        <v>1602</v>
      </c>
      <c r="H22" s="603">
        <v>45918</v>
      </c>
      <c r="I22" s="603">
        <v>45920</v>
      </c>
      <c r="J22" t="s">
        <v>1441</v>
      </c>
    </row>
    <row r="23" spans="4:10">
      <c r="D23" s="310">
        <f t="shared" si="0"/>
        <v>19</v>
      </c>
      <c r="E23" s="310" t="s">
        <v>763</v>
      </c>
      <c r="F23" s="310" t="s">
        <v>147</v>
      </c>
      <c r="G23" s="310" t="s">
        <v>1603</v>
      </c>
      <c r="H23" s="603">
        <v>45918</v>
      </c>
      <c r="I23" s="603">
        <v>45920</v>
      </c>
      <c r="J23" t="s">
        <v>1441</v>
      </c>
    </row>
    <row r="24" spans="4:10">
      <c r="D24" s="310">
        <f t="shared" si="0"/>
        <v>20</v>
      </c>
      <c r="E24" s="310" t="s">
        <v>382</v>
      </c>
      <c r="F24" s="310" t="s">
        <v>150</v>
      </c>
      <c r="G24" s="310" t="s">
        <v>1591</v>
      </c>
      <c r="H24" s="603">
        <v>45911</v>
      </c>
      <c r="I24" s="603">
        <v>45921</v>
      </c>
      <c r="J24" t="s">
        <v>1441</v>
      </c>
    </row>
    <row r="25" spans="4:10">
      <c r="D25" s="310">
        <f t="shared" si="0"/>
        <v>21</v>
      </c>
      <c r="E25" s="310" t="s">
        <v>1273</v>
      </c>
      <c r="F25" s="310" t="s">
        <v>80</v>
      </c>
      <c r="G25" s="310" t="s">
        <v>1508</v>
      </c>
      <c r="H25" s="603">
        <v>45914</v>
      </c>
      <c r="I25" s="603">
        <v>45921</v>
      </c>
      <c r="J25" t="s">
        <v>1441</v>
      </c>
    </row>
    <row r="26" spans="4:10">
      <c r="D26" s="310">
        <f t="shared" si="0"/>
        <v>22</v>
      </c>
      <c r="E26" s="310" t="s">
        <v>148</v>
      </c>
      <c r="F26" s="310" t="s">
        <v>147</v>
      </c>
      <c r="G26" s="310" t="s">
        <v>1587</v>
      </c>
      <c r="H26" s="603">
        <v>45917</v>
      </c>
      <c r="I26" s="603">
        <v>45922</v>
      </c>
      <c r="J26" t="s">
        <v>1441</v>
      </c>
    </row>
    <row r="27" spans="4:10">
      <c r="D27" s="310">
        <f t="shared" si="0"/>
        <v>23</v>
      </c>
      <c r="E27" s="310" t="s">
        <v>760</v>
      </c>
      <c r="F27" s="310" t="s">
        <v>150</v>
      </c>
      <c r="G27" s="310" t="s">
        <v>1602</v>
      </c>
      <c r="H27" s="603">
        <v>45921</v>
      </c>
      <c r="I27" s="603">
        <v>45923</v>
      </c>
      <c r="J27" t="s">
        <v>1441</v>
      </c>
    </row>
    <row r="28" spans="4:10">
      <c r="D28" s="310">
        <f t="shared" si="0"/>
        <v>24</v>
      </c>
      <c r="E28" s="310" t="s">
        <v>764</v>
      </c>
      <c r="F28" s="310" t="s">
        <v>206</v>
      </c>
      <c r="G28" s="310" t="s">
        <v>1603</v>
      </c>
      <c r="H28" s="603">
        <v>45921</v>
      </c>
      <c r="I28" s="603">
        <v>45923</v>
      </c>
      <c r="J28" t="s">
        <v>1441</v>
      </c>
    </row>
    <row r="29" spans="4:10">
      <c r="D29" s="310">
        <f t="shared" si="0"/>
        <v>25</v>
      </c>
      <c r="E29" s="310" t="s">
        <v>788</v>
      </c>
      <c r="F29" s="310" t="s">
        <v>147</v>
      </c>
      <c r="G29" s="310" t="s">
        <v>1585</v>
      </c>
      <c r="H29" s="603">
        <v>45920</v>
      </c>
      <c r="I29" s="603">
        <v>45923</v>
      </c>
      <c r="J29" t="s">
        <v>1441</v>
      </c>
    </row>
    <row r="30" spans="4:10">
      <c r="D30" s="310">
        <f t="shared" si="0"/>
        <v>26</v>
      </c>
      <c r="E30" s="310" t="s">
        <v>134</v>
      </c>
      <c r="F30" s="310" t="s">
        <v>147</v>
      </c>
      <c r="G30" s="310" t="s">
        <v>1590</v>
      </c>
      <c r="H30" s="603">
        <v>45915</v>
      </c>
      <c r="I30" s="603">
        <v>45924</v>
      </c>
      <c r="J30" t="s">
        <v>1441</v>
      </c>
    </row>
    <row r="31" spans="4:10">
      <c r="D31" s="310">
        <f t="shared" si="0"/>
        <v>27</v>
      </c>
      <c r="E31" s="310" t="s">
        <v>427</v>
      </c>
      <c r="F31" s="310" t="s">
        <v>212</v>
      </c>
      <c r="G31" s="310" t="s">
        <v>1508</v>
      </c>
      <c r="H31" s="603">
        <v>45924</v>
      </c>
      <c r="I31" s="603">
        <v>45926</v>
      </c>
      <c r="J31" t="s">
        <v>1441</v>
      </c>
    </row>
    <row r="32" spans="4:10">
      <c r="D32" s="310">
        <f t="shared" si="0"/>
        <v>28</v>
      </c>
      <c r="E32" s="310" t="s">
        <v>758</v>
      </c>
      <c r="F32" s="310" t="s">
        <v>206</v>
      </c>
      <c r="G32" s="310" t="s">
        <v>1603</v>
      </c>
      <c r="H32" s="603">
        <v>45922</v>
      </c>
      <c r="I32" s="603">
        <v>45927</v>
      </c>
      <c r="J32" t="s">
        <v>1441</v>
      </c>
    </row>
    <row r="33" spans="4:10">
      <c r="D33" s="310">
        <f t="shared" si="0"/>
        <v>29</v>
      </c>
      <c r="E33" s="310" t="s">
        <v>755</v>
      </c>
      <c r="F33" s="310" t="s">
        <v>206</v>
      </c>
      <c r="G33" s="310" t="s">
        <v>1602</v>
      </c>
      <c r="H33" s="603">
        <v>45924</v>
      </c>
      <c r="I33" s="603">
        <v>45927</v>
      </c>
      <c r="J33" t="s">
        <v>1441</v>
      </c>
    </row>
    <row r="34" spans="4:10">
      <c r="D34" s="310">
        <f t="shared" si="0"/>
        <v>30</v>
      </c>
      <c r="E34" s="310" t="s">
        <v>1307</v>
      </c>
      <c r="F34" s="310" t="s">
        <v>150</v>
      </c>
      <c r="G34" s="310" t="s">
        <v>1585</v>
      </c>
      <c r="H34" s="603">
        <v>45924</v>
      </c>
      <c r="I34" s="603">
        <v>45927</v>
      </c>
      <c r="J34" t="s">
        <v>1441</v>
      </c>
    </row>
  </sheetData>
  <conditionalFormatting sqref="H5:I34">
    <cfRule type="duplicateValues" dxfId="203" priority="1" stopIfTrue="1"/>
    <cfRule type="duplicateValues" dxfId="202" priority="2"/>
    <cfRule type="duplicateValues" dxfId="201" priority="3"/>
    <cfRule type="duplicateValues" dxfId="200" priority="4"/>
    <cfRule type="duplicateValues" dxfId="199" priority="5"/>
    <cfRule type="duplicateValues" dxfId="198" priority="6"/>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L20" sqref="L20"/>
    </sheetView>
  </sheetViews>
  <sheetFormatPr defaultColWidth="8.77734375" defaultRowHeight="14.4"/>
  <cols>
    <col min="1" max="1" width="10.44140625" bestFit="1" customWidth="1"/>
    <col min="2" max="2" width="42.21875" bestFit="1" customWidth="1"/>
    <col min="3" max="3" width="17.109375" bestFit="1" customWidth="1"/>
    <col min="4" max="4" width="11.88671875" bestFit="1" customWidth="1"/>
    <col min="5" max="5" width="11.21875" bestFit="1" customWidth="1"/>
    <col min="6" max="6" width="14.5546875" bestFit="1" customWidth="1"/>
    <col min="7" max="7" width="12.77734375" bestFit="1" customWidth="1"/>
    <col min="8" max="8" width="14.6640625" bestFit="1" customWidth="1"/>
    <col min="9" max="9" width="14.33203125" bestFit="1" customWidth="1"/>
    <col min="10" max="10" width="15.109375" bestFit="1" customWidth="1"/>
    <col min="11" max="11" width="17.44140625" bestFit="1" customWidth="1"/>
  </cols>
  <sheetData>
    <row r="1" spans="1:11">
      <c r="A1" s="905" t="s">
        <v>1631</v>
      </c>
      <c r="B1" s="905" t="s">
        <v>1632</v>
      </c>
      <c r="C1" s="905" t="s">
        <v>1633</v>
      </c>
      <c r="D1" s="905" t="s">
        <v>1634</v>
      </c>
      <c r="E1" s="905" t="s">
        <v>1635</v>
      </c>
      <c r="F1" s="905" t="s">
        <v>1636</v>
      </c>
      <c r="G1" s="905" t="s">
        <v>1637</v>
      </c>
      <c r="H1" s="905" t="s">
        <v>1638</v>
      </c>
      <c r="I1" s="905" t="s">
        <v>1639</v>
      </c>
      <c r="J1" s="905" t="s">
        <v>1640</v>
      </c>
      <c r="K1" s="905" t="s">
        <v>1641</v>
      </c>
    </row>
    <row r="2" spans="1:11" ht="27.6">
      <c r="A2" s="906" t="s">
        <v>1642</v>
      </c>
      <c r="B2" s="907" t="s">
        <v>1643</v>
      </c>
      <c r="C2" s="907" t="s">
        <v>1644</v>
      </c>
      <c r="D2" s="908">
        <v>45632</v>
      </c>
      <c r="E2" s="908">
        <v>46178</v>
      </c>
      <c r="F2" s="908" t="s">
        <v>1653</v>
      </c>
      <c r="G2" s="908" t="s">
        <v>1654</v>
      </c>
      <c r="H2" s="907"/>
      <c r="I2" s="907" t="s">
        <v>1655</v>
      </c>
      <c r="J2" s="953" t="s">
        <v>1790</v>
      </c>
      <c r="K2" s="907"/>
    </row>
    <row r="3" spans="1:11">
      <c r="A3" s="906"/>
      <c r="B3" s="907"/>
      <c r="C3" s="907"/>
      <c r="D3" s="908"/>
      <c r="E3" s="908"/>
      <c r="F3" s="908"/>
      <c r="G3" s="908"/>
      <c r="H3" s="907"/>
      <c r="I3" s="907"/>
      <c r="J3" s="907"/>
      <c r="K3" s="907"/>
    </row>
    <row r="4" spans="1:11">
      <c r="A4" s="907"/>
      <c r="B4" s="907"/>
      <c r="C4" s="907"/>
      <c r="D4" s="907"/>
      <c r="E4" s="907"/>
      <c r="F4" s="907"/>
      <c r="G4" s="907"/>
      <c r="H4" s="907"/>
      <c r="I4" s="907"/>
      <c r="J4" s="907"/>
      <c r="K4" s="907"/>
    </row>
    <row r="5" spans="1:11">
      <c r="A5" s="907"/>
      <c r="B5" s="907"/>
      <c r="C5" s="907"/>
      <c r="D5" s="907"/>
      <c r="E5" s="907"/>
      <c r="F5" s="907"/>
      <c r="G5" s="907"/>
      <c r="H5" s="907"/>
      <c r="I5" s="907"/>
      <c r="J5" s="907"/>
      <c r="K5" s="907"/>
    </row>
    <row r="6" spans="1:11">
      <c r="A6" s="907"/>
      <c r="B6" s="907"/>
      <c r="C6" s="907"/>
      <c r="D6" s="907"/>
      <c r="E6" s="907"/>
      <c r="F6" s="907"/>
      <c r="G6" s="907"/>
      <c r="H6" s="907"/>
      <c r="I6" s="907"/>
      <c r="J6" s="907"/>
      <c r="K6" s="907"/>
    </row>
    <row r="7" spans="1:11">
      <c r="A7" s="907"/>
      <c r="B7" s="907"/>
      <c r="C7" s="907"/>
      <c r="D7" s="907"/>
      <c r="E7" s="907"/>
      <c r="F7" s="907"/>
      <c r="G7" s="907"/>
      <c r="H7" s="907"/>
      <c r="I7" s="907"/>
      <c r="J7" s="907"/>
      <c r="K7" s="907"/>
    </row>
    <row r="8" spans="1:11">
      <c r="A8" s="907"/>
      <c r="B8" s="907"/>
      <c r="C8" s="907"/>
      <c r="D8" s="907"/>
      <c r="E8" s="907"/>
      <c r="F8" s="907"/>
      <c r="G8" s="907"/>
      <c r="H8" s="907"/>
      <c r="I8" s="907"/>
      <c r="J8" s="907"/>
      <c r="K8" s="907"/>
    </row>
    <row r="9" spans="1:11">
      <c r="A9" s="907"/>
      <c r="B9" s="907"/>
      <c r="C9" s="907"/>
      <c r="D9" s="907"/>
      <c r="E9" s="907"/>
      <c r="F9" s="907"/>
      <c r="G9" s="907"/>
      <c r="H9" s="907"/>
      <c r="I9" s="907"/>
      <c r="J9" s="907"/>
      <c r="K9" s="907"/>
    </row>
    <row r="10" spans="1:11">
      <c r="A10" s="907"/>
      <c r="B10" s="907"/>
      <c r="C10" s="907"/>
      <c r="D10" s="907"/>
      <c r="E10" s="907"/>
      <c r="F10" s="907"/>
      <c r="G10" s="1200"/>
      <c r="H10" s="907"/>
      <c r="I10" s="907"/>
      <c r="J10" s="907"/>
      <c r="K10" s="907"/>
    </row>
    <row r="11" spans="1:11">
      <c r="A11" s="907"/>
      <c r="B11" s="907"/>
      <c r="C11" s="907"/>
      <c r="D11" s="907"/>
      <c r="E11" s="907"/>
      <c r="F11" s="907"/>
      <c r="G11" s="1200"/>
      <c r="H11" s="907"/>
      <c r="I11" s="907"/>
      <c r="J11" s="876"/>
      <c r="K11" s="907"/>
    </row>
    <row r="12" spans="1:11">
      <c r="A12" s="876"/>
      <c r="B12" s="876"/>
      <c r="C12" s="876"/>
      <c r="D12" s="876"/>
      <c r="E12" s="876"/>
      <c r="F12" s="876"/>
      <c r="G12" s="1200"/>
      <c r="H12" s="876"/>
      <c r="I12" s="876"/>
      <c r="J12" s="876"/>
      <c r="K12" s="907"/>
    </row>
    <row r="13" spans="1:11">
      <c r="A13" s="876"/>
      <c r="B13" s="876"/>
      <c r="C13" s="876"/>
      <c r="D13" s="876"/>
      <c r="E13" s="876"/>
      <c r="F13" s="876"/>
      <c r="G13" s="1200"/>
      <c r="H13" s="876"/>
      <c r="I13" s="876"/>
      <c r="J13" s="876"/>
      <c r="K13" s="907"/>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4"/>
  <cols>
    <col min="1" max="1" width="10.109375" style="538" customWidth="1"/>
    <col min="2" max="2" width="9" style="538"/>
    <col min="3" max="3" width="7.88671875" style="538" customWidth="1"/>
    <col min="4" max="4" width="11.77734375" style="538" hidden="1" customWidth="1"/>
    <col min="5" max="5" width="18.88671875" style="538" bestFit="1" customWidth="1"/>
    <col min="6" max="6" width="12.77734375" style="538" customWidth="1"/>
    <col min="7" max="7" width="10.5546875" style="538" bestFit="1" customWidth="1"/>
    <col min="8" max="8" width="23.109375" style="538" bestFit="1" customWidth="1"/>
    <col min="9" max="9" width="0" style="538" hidden="1" customWidth="1"/>
    <col min="10" max="10" width="10.21875" style="538" hidden="1" customWidth="1"/>
    <col min="11" max="12" width="0" style="538" hidden="1" customWidth="1"/>
    <col min="13" max="13" width="8.33203125" style="538" hidden="1" customWidth="1"/>
    <col min="14" max="15" width="10.77734375" style="538" bestFit="1" customWidth="1"/>
    <col min="16" max="16" width="13.77734375" style="538" customWidth="1"/>
    <col min="17" max="18" width="9" style="538"/>
    <col min="19" max="23" width="0" style="538" hidden="1" customWidth="1"/>
    <col min="24" max="24" width="20.5546875" style="538" hidden="1" customWidth="1"/>
    <col min="25" max="25" width="13.21875" style="538" hidden="1" customWidth="1"/>
    <col min="26" max="16384" width="9" style="538"/>
  </cols>
  <sheetData>
    <row r="1" spans="1:22" ht="15.6">
      <c r="A1" s="1335" t="s">
        <v>48</v>
      </c>
      <c r="B1" s="1336"/>
      <c r="C1" s="1336"/>
      <c r="D1" s="1336"/>
      <c r="E1" s="1336"/>
      <c r="F1" s="1336"/>
      <c r="G1" s="1336"/>
      <c r="H1" s="1337"/>
      <c r="I1" s="911"/>
      <c r="J1" s="911"/>
      <c r="K1" s="911"/>
      <c r="L1" s="911"/>
      <c r="M1" s="911"/>
      <c r="N1" s="911"/>
      <c r="O1" s="911"/>
      <c r="P1" s="911"/>
      <c r="Q1" s="911"/>
      <c r="R1" s="911"/>
      <c r="S1" s="911"/>
      <c r="T1" s="911"/>
      <c r="U1" s="911"/>
      <c r="V1" s="911"/>
    </row>
    <row r="2" spans="1:22" ht="15.45" customHeight="1">
      <c r="A2" s="1338" t="s">
        <v>49</v>
      </c>
      <c r="B2" s="1339"/>
      <c r="C2" s="1339"/>
      <c r="D2" s="1339"/>
      <c r="E2" s="1339"/>
      <c r="F2" s="1339"/>
      <c r="G2" s="1339"/>
      <c r="H2" s="1340"/>
      <c r="I2" s="912"/>
      <c r="J2" s="912"/>
      <c r="K2" s="912"/>
      <c r="L2" s="912"/>
      <c r="M2" s="912"/>
      <c r="N2" s="912"/>
      <c r="O2" s="912"/>
      <c r="P2" s="912"/>
      <c r="Q2" s="912"/>
      <c r="R2" s="912"/>
      <c r="S2" s="912"/>
      <c r="T2" s="912"/>
      <c r="U2" s="912"/>
      <c r="V2" s="912"/>
    </row>
    <row r="3" spans="1:22" ht="15.45" customHeight="1">
      <c r="A3" s="1338" t="s">
        <v>50</v>
      </c>
      <c r="B3" s="1339"/>
      <c r="C3" s="1339"/>
      <c r="D3" s="1339"/>
      <c r="E3" s="1339"/>
      <c r="F3" s="1339"/>
      <c r="G3" s="1339"/>
      <c r="H3" s="1340"/>
      <c r="I3" s="912"/>
      <c r="J3" s="912"/>
      <c r="K3" s="912"/>
      <c r="L3" s="912"/>
      <c r="M3" s="912"/>
      <c r="N3" s="912"/>
      <c r="O3" s="912"/>
      <c r="P3" s="912"/>
      <c r="Q3" s="912"/>
      <c r="R3" s="912"/>
      <c r="S3" s="912"/>
      <c r="T3" s="912"/>
      <c r="U3" s="912"/>
      <c r="V3" s="912"/>
    </row>
    <row r="4" spans="1:22">
      <c r="A4" s="958"/>
      <c r="H4" s="957"/>
    </row>
    <row r="5" spans="1:22" ht="41.4">
      <c r="A5" s="955" t="s">
        <v>167</v>
      </c>
      <c r="B5" s="311" t="s">
        <v>1627</v>
      </c>
      <c r="C5" s="311" t="s">
        <v>169</v>
      </c>
      <c r="D5" s="311" t="s">
        <v>1628</v>
      </c>
      <c r="E5" s="311" t="s">
        <v>1629</v>
      </c>
      <c r="F5" s="311" t="s">
        <v>171</v>
      </c>
      <c r="G5" s="309" t="s">
        <v>1630</v>
      </c>
      <c r="H5" s="956" t="s">
        <v>20</v>
      </c>
    </row>
    <row r="6" spans="1:22">
      <c r="A6" s="964">
        <v>1</v>
      </c>
      <c r="B6" s="965" t="s">
        <v>180</v>
      </c>
      <c r="C6" s="966" t="s">
        <v>150</v>
      </c>
      <c r="D6" s="959">
        <v>11.145</v>
      </c>
      <c r="E6" s="966" t="s">
        <v>1508</v>
      </c>
      <c r="F6" s="966">
        <v>45831</v>
      </c>
      <c r="G6" s="966">
        <v>45836</v>
      </c>
      <c r="H6" s="967" t="s">
        <v>1441</v>
      </c>
      <c r="M6" s="913"/>
      <c r="N6" s="913"/>
      <c r="O6" s="913"/>
    </row>
    <row r="7" spans="1:22">
      <c r="A7" s="964">
        <f t="shared" ref="A7:A79" si="0">A6+1</f>
        <v>2</v>
      </c>
      <c r="B7" s="965" t="s">
        <v>204</v>
      </c>
      <c r="C7" s="966" t="s">
        <v>150</v>
      </c>
      <c r="D7" s="408">
        <v>11.997</v>
      </c>
      <c r="E7" s="966" t="s">
        <v>1508</v>
      </c>
      <c r="F7" s="966">
        <v>45836</v>
      </c>
      <c r="G7" s="966">
        <v>45840</v>
      </c>
      <c r="H7" s="967" t="s">
        <v>1441</v>
      </c>
      <c r="M7" s="913"/>
      <c r="N7" s="913"/>
      <c r="O7" s="913"/>
    </row>
    <row r="8" spans="1:22">
      <c r="A8" s="964">
        <f t="shared" si="0"/>
        <v>3</v>
      </c>
      <c r="B8" s="965" t="s">
        <v>195</v>
      </c>
      <c r="C8" s="966" t="s">
        <v>147</v>
      </c>
      <c r="D8" s="959">
        <v>11.145</v>
      </c>
      <c r="E8" s="966" t="s">
        <v>1509</v>
      </c>
      <c r="F8" s="966">
        <v>45837</v>
      </c>
      <c r="G8" s="966">
        <v>45843</v>
      </c>
      <c r="H8" s="967" t="s">
        <v>1441</v>
      </c>
      <c r="M8" s="914"/>
      <c r="N8" s="914"/>
      <c r="O8" s="914"/>
    </row>
    <row r="9" spans="1:22">
      <c r="A9" s="964">
        <f t="shared" si="0"/>
        <v>4</v>
      </c>
      <c r="B9" s="965" t="s">
        <v>205</v>
      </c>
      <c r="C9" s="966" t="s">
        <v>206</v>
      </c>
      <c r="D9" s="959">
        <v>13.071999999999999</v>
      </c>
      <c r="E9" s="966" t="s">
        <v>1508</v>
      </c>
      <c r="F9" s="966">
        <v>45841</v>
      </c>
      <c r="G9" s="966">
        <v>45843</v>
      </c>
      <c r="H9" s="967" t="s">
        <v>1441</v>
      </c>
      <c r="M9" s="913"/>
      <c r="N9" s="913"/>
      <c r="O9" s="913"/>
    </row>
    <row r="10" spans="1:22">
      <c r="A10" s="964">
        <f t="shared" si="0"/>
        <v>5</v>
      </c>
      <c r="B10" s="965" t="s">
        <v>203</v>
      </c>
      <c r="C10" s="966" t="s">
        <v>147</v>
      </c>
      <c r="D10" s="959">
        <v>11.145</v>
      </c>
      <c r="E10" s="966" t="s">
        <v>1508</v>
      </c>
      <c r="F10" s="966">
        <v>45845</v>
      </c>
      <c r="G10" s="966">
        <v>45848</v>
      </c>
      <c r="H10" s="967" t="s">
        <v>1441</v>
      </c>
      <c r="M10" s="913"/>
      <c r="N10" s="913"/>
      <c r="O10" s="913"/>
    </row>
    <row r="11" spans="1:22">
      <c r="A11" s="964">
        <f t="shared" si="0"/>
        <v>6</v>
      </c>
      <c r="B11" s="965" t="s">
        <v>179</v>
      </c>
      <c r="C11" s="966" t="s">
        <v>147</v>
      </c>
      <c r="D11" s="959">
        <v>11.145</v>
      </c>
      <c r="E11" s="966" t="s">
        <v>1508</v>
      </c>
      <c r="F11" s="966">
        <v>45849</v>
      </c>
      <c r="G11" s="966">
        <v>45852</v>
      </c>
      <c r="H11" s="967" t="s">
        <v>1441</v>
      </c>
      <c r="M11" s="913">
        <v>185</v>
      </c>
      <c r="N11" s="913"/>
      <c r="O11" s="913"/>
    </row>
    <row r="12" spans="1:22">
      <c r="A12" s="964">
        <f t="shared" si="0"/>
        <v>7</v>
      </c>
      <c r="B12" s="965" t="s">
        <v>173</v>
      </c>
      <c r="C12" s="966" t="s">
        <v>147</v>
      </c>
      <c r="D12" s="959">
        <v>11.145</v>
      </c>
      <c r="E12" s="966" t="s">
        <v>1508</v>
      </c>
      <c r="F12" s="966">
        <v>45853</v>
      </c>
      <c r="G12" s="966">
        <v>45856</v>
      </c>
      <c r="H12" s="967" t="s">
        <v>1441</v>
      </c>
      <c r="M12" s="913"/>
      <c r="N12" s="913"/>
      <c r="O12" s="913"/>
    </row>
    <row r="13" spans="1:22">
      <c r="A13" s="964">
        <f t="shared" si="0"/>
        <v>8</v>
      </c>
      <c r="B13" s="965" t="s">
        <v>176</v>
      </c>
      <c r="C13" s="966" t="s">
        <v>147</v>
      </c>
      <c r="D13" s="959">
        <v>11.145</v>
      </c>
      <c r="E13" s="966" t="s">
        <v>1508</v>
      </c>
      <c r="F13" s="966">
        <v>45857</v>
      </c>
      <c r="G13" s="966">
        <v>45860</v>
      </c>
      <c r="H13" s="967" t="s">
        <v>1441</v>
      </c>
      <c r="K13" s="538">
        <v>90</v>
      </c>
      <c r="M13" s="538">
        <v>24</v>
      </c>
    </row>
    <row r="14" spans="1:22">
      <c r="A14" s="964">
        <f t="shared" si="0"/>
        <v>9</v>
      </c>
      <c r="B14" s="965" t="s">
        <v>177</v>
      </c>
      <c r="C14" s="966" t="s">
        <v>147</v>
      </c>
      <c r="D14" s="959">
        <v>11.145</v>
      </c>
      <c r="E14" s="966" t="s">
        <v>1508</v>
      </c>
      <c r="F14" s="966">
        <v>45860</v>
      </c>
      <c r="G14" s="966">
        <v>45863</v>
      </c>
      <c r="H14" s="967" t="s">
        <v>1441</v>
      </c>
    </row>
    <row r="15" spans="1:22">
      <c r="A15" s="964">
        <f t="shared" si="0"/>
        <v>10</v>
      </c>
      <c r="B15" s="965" t="s">
        <v>178</v>
      </c>
      <c r="C15" s="966" t="s">
        <v>150</v>
      </c>
      <c r="D15" s="408">
        <v>11.997</v>
      </c>
      <c r="E15" s="966" t="s">
        <v>1508</v>
      </c>
      <c r="F15" s="966">
        <v>45863</v>
      </c>
      <c r="G15" s="966">
        <v>45866</v>
      </c>
      <c r="H15" s="967" t="s">
        <v>1441</v>
      </c>
    </row>
    <row r="16" spans="1:22">
      <c r="A16" s="964">
        <f t="shared" si="0"/>
        <v>11</v>
      </c>
      <c r="B16" s="965" t="s">
        <v>201</v>
      </c>
      <c r="C16" s="966" t="s">
        <v>147</v>
      </c>
      <c r="D16" s="959">
        <v>11.145</v>
      </c>
      <c r="E16" s="968" t="s">
        <v>1508</v>
      </c>
      <c r="F16" s="966">
        <v>45867</v>
      </c>
      <c r="G16" s="966">
        <v>45869</v>
      </c>
      <c r="H16" s="967" t="s">
        <v>1441</v>
      </c>
    </row>
    <row r="17" spans="1:12">
      <c r="A17" s="964">
        <f t="shared" si="0"/>
        <v>12</v>
      </c>
      <c r="B17" s="965" t="s">
        <v>261</v>
      </c>
      <c r="C17" s="321" t="s">
        <v>147</v>
      </c>
      <c r="D17" s="959">
        <v>11.145</v>
      </c>
      <c r="E17" s="968" t="s">
        <v>1567</v>
      </c>
      <c r="F17" s="966">
        <v>45862</v>
      </c>
      <c r="G17" s="966">
        <v>45869</v>
      </c>
      <c r="H17" s="967" t="s">
        <v>1441</v>
      </c>
    </row>
    <row r="18" spans="1:12">
      <c r="A18" s="964">
        <f t="shared" si="0"/>
        <v>13</v>
      </c>
      <c r="B18" s="965" t="s">
        <v>200</v>
      </c>
      <c r="C18" s="965" t="s">
        <v>147</v>
      </c>
      <c r="D18" s="959">
        <v>11.145</v>
      </c>
      <c r="E18" s="968" t="s">
        <v>1508</v>
      </c>
      <c r="F18" s="966">
        <v>45870</v>
      </c>
      <c r="G18" s="966">
        <v>45873</v>
      </c>
      <c r="H18" s="967" t="s">
        <v>1441</v>
      </c>
      <c r="J18" s="538">
        <v>41</v>
      </c>
    </row>
    <row r="19" spans="1:12">
      <c r="A19" s="964">
        <f t="shared" si="0"/>
        <v>14</v>
      </c>
      <c r="B19" s="965" t="s">
        <v>215</v>
      </c>
      <c r="C19" s="965" t="s">
        <v>212</v>
      </c>
      <c r="D19" s="965">
        <v>13.958</v>
      </c>
      <c r="E19" s="968" t="s">
        <v>1567</v>
      </c>
      <c r="F19" s="966">
        <v>45870</v>
      </c>
      <c r="G19" s="966">
        <v>45877</v>
      </c>
      <c r="H19" s="967" t="s">
        <v>1441</v>
      </c>
    </row>
    <row r="20" spans="1:12">
      <c r="A20" s="964">
        <f t="shared" si="0"/>
        <v>15</v>
      </c>
      <c r="B20" s="965" t="s">
        <v>1310</v>
      </c>
      <c r="C20" s="965" t="s">
        <v>80</v>
      </c>
      <c r="D20" s="965">
        <v>18.727009000000002</v>
      </c>
      <c r="E20" s="968" t="s">
        <v>1508</v>
      </c>
      <c r="F20" s="966">
        <v>45873</v>
      </c>
      <c r="G20" s="966">
        <v>45878</v>
      </c>
      <c r="H20" s="967" t="s">
        <v>1441</v>
      </c>
    </row>
    <row r="21" spans="1:12">
      <c r="A21" s="964">
        <f t="shared" si="0"/>
        <v>16</v>
      </c>
      <c r="B21" s="965" t="s">
        <v>223</v>
      </c>
      <c r="C21" s="965" t="s">
        <v>212</v>
      </c>
      <c r="D21" s="965">
        <v>13.958</v>
      </c>
      <c r="E21" s="968" t="s">
        <v>1567</v>
      </c>
      <c r="F21" s="966">
        <v>45877</v>
      </c>
      <c r="G21" s="966">
        <v>45885</v>
      </c>
      <c r="H21" s="969" t="s">
        <v>1441</v>
      </c>
    </row>
    <row r="22" spans="1:12">
      <c r="A22" s="964">
        <f t="shared" si="0"/>
        <v>17</v>
      </c>
      <c r="B22" s="965" t="s">
        <v>124</v>
      </c>
      <c r="C22" s="965" t="s">
        <v>80</v>
      </c>
      <c r="D22" s="965">
        <v>18.727009000000002</v>
      </c>
      <c r="E22" s="968" t="s">
        <v>1508</v>
      </c>
      <c r="F22" s="966">
        <v>45879</v>
      </c>
      <c r="G22" s="966">
        <v>45885</v>
      </c>
      <c r="H22" s="969" t="s">
        <v>1441</v>
      </c>
    </row>
    <row r="23" spans="1:12">
      <c r="A23" s="964">
        <f t="shared" si="0"/>
        <v>18</v>
      </c>
      <c r="B23" s="965" t="s">
        <v>222</v>
      </c>
      <c r="C23" s="965" t="s">
        <v>147</v>
      </c>
      <c r="D23" s="959">
        <v>11.145</v>
      </c>
      <c r="E23" s="968" t="s">
        <v>1567</v>
      </c>
      <c r="F23" s="966">
        <v>45886</v>
      </c>
      <c r="G23" s="966">
        <v>45892</v>
      </c>
      <c r="H23" s="969" t="s">
        <v>1441</v>
      </c>
    </row>
    <row r="24" spans="1:12">
      <c r="A24" s="964">
        <f t="shared" si="0"/>
        <v>19</v>
      </c>
      <c r="B24" s="965" t="s">
        <v>1569</v>
      </c>
      <c r="C24" s="965" t="s">
        <v>90</v>
      </c>
      <c r="D24" s="965">
        <v>21.41</v>
      </c>
      <c r="E24" s="968" t="s">
        <v>1508</v>
      </c>
      <c r="F24" s="966">
        <v>45886</v>
      </c>
      <c r="G24" s="966">
        <v>45892</v>
      </c>
      <c r="H24" s="969" t="s">
        <v>1441</v>
      </c>
    </row>
    <row r="25" spans="1:12">
      <c r="A25" s="964">
        <f t="shared" si="0"/>
        <v>20</v>
      </c>
      <c r="B25" s="965" t="s">
        <v>226</v>
      </c>
      <c r="C25" s="965" t="s">
        <v>206</v>
      </c>
      <c r="D25" s="959">
        <v>13.071999999999999</v>
      </c>
      <c r="E25" s="968" t="s">
        <v>1567</v>
      </c>
      <c r="F25" s="966">
        <v>45892</v>
      </c>
      <c r="G25" s="966">
        <v>45897</v>
      </c>
      <c r="H25" s="969" t="s">
        <v>1441</v>
      </c>
    </row>
    <row r="26" spans="1:12">
      <c r="A26" s="964">
        <f t="shared" si="0"/>
        <v>21</v>
      </c>
      <c r="B26" s="965" t="s">
        <v>221</v>
      </c>
      <c r="C26" s="965" t="s">
        <v>212</v>
      </c>
      <c r="D26" s="965">
        <v>13.958</v>
      </c>
      <c r="E26" s="968" t="s">
        <v>1508</v>
      </c>
      <c r="F26" s="966">
        <v>45892</v>
      </c>
      <c r="G26" s="966">
        <v>45897</v>
      </c>
      <c r="H26" s="969" t="s">
        <v>1441</v>
      </c>
    </row>
    <row r="27" spans="1:12">
      <c r="A27" s="964">
        <f t="shared" si="0"/>
        <v>22</v>
      </c>
      <c r="B27" s="965" t="s">
        <v>785</v>
      </c>
      <c r="C27" s="965" t="s">
        <v>147</v>
      </c>
      <c r="D27" s="959">
        <v>11.145</v>
      </c>
      <c r="E27" s="965" t="s">
        <v>1585</v>
      </c>
      <c r="F27" s="966">
        <v>45896</v>
      </c>
      <c r="G27" s="966">
        <v>45898</v>
      </c>
      <c r="H27" s="969" t="s">
        <v>1441</v>
      </c>
    </row>
    <row r="28" spans="1:12">
      <c r="A28" s="964">
        <f t="shared" si="0"/>
        <v>23</v>
      </c>
      <c r="B28" s="965" t="s">
        <v>181</v>
      </c>
      <c r="C28" s="965" t="s">
        <v>147</v>
      </c>
      <c r="D28" s="959">
        <v>11.145</v>
      </c>
      <c r="E28" s="965" t="s">
        <v>1574</v>
      </c>
      <c r="F28" s="970">
        <v>45892</v>
      </c>
      <c r="G28" s="966">
        <v>45900</v>
      </c>
      <c r="H28" s="969" t="s">
        <v>1441</v>
      </c>
      <c r="I28" s="919"/>
      <c r="K28" s="919"/>
      <c r="L28" s="919"/>
    </row>
    <row r="29" spans="1:12">
      <c r="A29" s="964">
        <f t="shared" si="0"/>
        <v>24</v>
      </c>
      <c r="B29" s="965" t="s">
        <v>233</v>
      </c>
      <c r="C29" s="965" t="s">
        <v>147</v>
      </c>
      <c r="D29" s="959">
        <v>11.145</v>
      </c>
      <c r="E29" s="968" t="s">
        <v>1508</v>
      </c>
      <c r="F29" s="966">
        <v>45898</v>
      </c>
      <c r="G29" s="966">
        <v>45900</v>
      </c>
      <c r="H29" s="969" t="s">
        <v>1441</v>
      </c>
      <c r="I29" s="919"/>
    </row>
    <row r="30" spans="1:12">
      <c r="A30" s="964">
        <f t="shared" si="0"/>
        <v>25</v>
      </c>
      <c r="B30" s="965" t="s">
        <v>784</v>
      </c>
      <c r="C30" s="965" t="s">
        <v>147</v>
      </c>
      <c r="D30" s="959">
        <v>11.145</v>
      </c>
      <c r="E30" s="965" t="s">
        <v>1585</v>
      </c>
      <c r="F30" s="966">
        <v>45898</v>
      </c>
      <c r="G30" s="966">
        <v>45904</v>
      </c>
      <c r="H30" s="969" t="s">
        <v>1441</v>
      </c>
      <c r="I30" s="919"/>
    </row>
    <row r="31" spans="1:12">
      <c r="A31" s="964">
        <f t="shared" si="0"/>
        <v>26</v>
      </c>
      <c r="B31" s="965" t="s">
        <v>232</v>
      </c>
      <c r="C31" s="965" t="s">
        <v>150</v>
      </c>
      <c r="D31" s="408">
        <v>11.997</v>
      </c>
      <c r="E31" s="968" t="s">
        <v>1508</v>
      </c>
      <c r="F31" s="966">
        <v>45901</v>
      </c>
      <c r="G31" s="966">
        <v>45905</v>
      </c>
      <c r="H31" s="969" t="s">
        <v>1441</v>
      </c>
      <c r="I31" s="919"/>
    </row>
    <row r="32" spans="1:12">
      <c r="A32" s="964">
        <f t="shared" si="0"/>
        <v>27</v>
      </c>
      <c r="B32" s="965" t="s">
        <v>767</v>
      </c>
      <c r="C32" s="965" t="s">
        <v>150</v>
      </c>
      <c r="D32" s="408">
        <v>11.997</v>
      </c>
      <c r="E32" s="965" t="s">
        <v>1586</v>
      </c>
      <c r="F32" s="966">
        <v>45896</v>
      </c>
      <c r="G32" s="966">
        <v>45909</v>
      </c>
      <c r="H32" s="969" t="s">
        <v>1441</v>
      </c>
      <c r="I32" s="919"/>
    </row>
    <row r="33" spans="1:10">
      <c r="A33" s="964">
        <f t="shared" si="0"/>
        <v>28</v>
      </c>
      <c r="B33" s="965" t="s">
        <v>191</v>
      </c>
      <c r="C33" s="965" t="s">
        <v>147</v>
      </c>
      <c r="D33" s="959">
        <v>11.145</v>
      </c>
      <c r="E33" s="968" t="s">
        <v>1508</v>
      </c>
      <c r="F33" s="966">
        <v>45905</v>
      </c>
      <c r="G33" s="966">
        <v>45909</v>
      </c>
      <c r="H33" s="969" t="s">
        <v>1441</v>
      </c>
      <c r="I33" s="920" t="s">
        <v>1598</v>
      </c>
      <c r="J33" s="920" t="s">
        <v>1599</v>
      </c>
    </row>
    <row r="34" spans="1:10">
      <c r="A34" s="964">
        <f t="shared" si="0"/>
        <v>29</v>
      </c>
      <c r="B34" s="965" t="s">
        <v>783</v>
      </c>
      <c r="C34" s="965" t="s">
        <v>147</v>
      </c>
      <c r="D34" s="959">
        <v>11.145</v>
      </c>
      <c r="E34" s="965" t="s">
        <v>1585</v>
      </c>
      <c r="F34" s="966">
        <v>45905</v>
      </c>
      <c r="G34" s="966">
        <v>45910</v>
      </c>
      <c r="H34" s="969" t="s">
        <v>1441</v>
      </c>
    </row>
    <row r="35" spans="1:10">
      <c r="A35" s="964">
        <f t="shared" si="0"/>
        <v>30</v>
      </c>
      <c r="B35" s="965" t="s">
        <v>189</v>
      </c>
      <c r="C35" s="965" t="s">
        <v>150</v>
      </c>
      <c r="D35" s="408">
        <v>11.997</v>
      </c>
      <c r="E35" s="968" t="s">
        <v>1567</v>
      </c>
      <c r="F35" s="966">
        <v>45898</v>
      </c>
      <c r="G35" s="966">
        <v>45911</v>
      </c>
      <c r="H35" s="969" t="s">
        <v>1441</v>
      </c>
    </row>
    <row r="36" spans="1:10">
      <c r="A36" s="964">
        <f t="shared" si="0"/>
        <v>31</v>
      </c>
      <c r="B36" s="965" t="s">
        <v>1270</v>
      </c>
      <c r="C36" s="965" t="s">
        <v>80</v>
      </c>
      <c r="D36" s="965">
        <v>18.727009000000002</v>
      </c>
      <c r="E36" s="965" t="s">
        <v>1590</v>
      </c>
      <c r="F36" s="966">
        <v>45901</v>
      </c>
      <c r="G36" s="966">
        <v>45911</v>
      </c>
      <c r="H36" s="969" t="s">
        <v>1441</v>
      </c>
    </row>
    <row r="37" spans="1:10">
      <c r="A37" s="964">
        <f t="shared" si="0"/>
        <v>32</v>
      </c>
      <c r="B37" s="965" t="s">
        <v>786</v>
      </c>
      <c r="C37" s="965" t="s">
        <v>147</v>
      </c>
      <c r="D37" s="959">
        <v>11.145</v>
      </c>
      <c r="E37" s="965" t="s">
        <v>1585</v>
      </c>
      <c r="F37" s="966">
        <v>45911</v>
      </c>
      <c r="G37" s="966">
        <v>45914</v>
      </c>
      <c r="H37" s="969" t="s">
        <v>1441</v>
      </c>
      <c r="I37" s="921"/>
    </row>
    <row r="38" spans="1:10">
      <c r="A38" s="964">
        <f t="shared" si="0"/>
        <v>33</v>
      </c>
      <c r="B38" s="965" t="s">
        <v>768</v>
      </c>
      <c r="C38" s="965" t="s">
        <v>147</v>
      </c>
      <c r="D38" s="959">
        <v>11.145</v>
      </c>
      <c r="E38" s="965" t="s">
        <v>1586</v>
      </c>
      <c r="F38" s="966">
        <v>45909</v>
      </c>
      <c r="G38" s="966">
        <v>45914</v>
      </c>
      <c r="H38" s="969" t="s">
        <v>1441</v>
      </c>
      <c r="I38" s="921"/>
    </row>
    <row r="39" spans="1:10">
      <c r="A39" s="964">
        <f t="shared" si="0"/>
        <v>34</v>
      </c>
      <c r="B39" s="965" t="s">
        <v>356</v>
      </c>
      <c r="C39" s="965" t="s">
        <v>206</v>
      </c>
      <c r="D39" s="959">
        <v>13.071999999999999</v>
      </c>
      <c r="E39" s="968" t="s">
        <v>1508</v>
      </c>
      <c r="F39" s="966">
        <v>45909</v>
      </c>
      <c r="G39" s="966">
        <v>45914</v>
      </c>
      <c r="H39" s="969" t="s">
        <v>1441</v>
      </c>
      <c r="J39" s="922" t="s">
        <v>1601</v>
      </c>
    </row>
    <row r="40" spans="1:10">
      <c r="A40" s="964">
        <f t="shared" si="0"/>
        <v>35</v>
      </c>
      <c r="B40" s="965" t="s">
        <v>258</v>
      </c>
      <c r="C40" s="965" t="s">
        <v>147</v>
      </c>
      <c r="D40" s="959">
        <v>11.145</v>
      </c>
      <c r="E40" s="965" t="s">
        <v>1590</v>
      </c>
      <c r="F40" s="966">
        <v>45901</v>
      </c>
      <c r="G40" s="966">
        <v>45915</v>
      </c>
      <c r="H40" s="969" t="s">
        <v>1441</v>
      </c>
      <c r="I40" s="921"/>
    </row>
    <row r="41" spans="1:10">
      <c r="A41" s="964">
        <f t="shared" si="0"/>
        <v>36</v>
      </c>
      <c r="B41" s="965" t="s">
        <v>349</v>
      </c>
      <c r="C41" s="965" t="s">
        <v>147</v>
      </c>
      <c r="D41" s="959">
        <v>11.145</v>
      </c>
      <c r="E41" s="968" t="s">
        <v>1567</v>
      </c>
      <c r="F41" s="966">
        <v>45911</v>
      </c>
      <c r="G41" s="966">
        <v>45915</v>
      </c>
      <c r="H41" s="969" t="s">
        <v>1441</v>
      </c>
      <c r="I41" s="923" t="s">
        <v>148</v>
      </c>
    </row>
    <row r="42" spans="1:10">
      <c r="A42" s="964">
        <f t="shared" si="0"/>
        <v>37</v>
      </c>
      <c r="B42" s="965" t="s">
        <v>146</v>
      </c>
      <c r="C42" s="965" t="s">
        <v>147</v>
      </c>
      <c r="D42" s="959">
        <v>11.145</v>
      </c>
      <c r="E42" s="965" t="s">
        <v>1780</v>
      </c>
      <c r="F42" s="966">
        <v>45897</v>
      </c>
      <c r="G42" s="966">
        <v>45916</v>
      </c>
      <c r="H42" s="969" t="s">
        <v>1441</v>
      </c>
    </row>
    <row r="43" spans="1:10">
      <c r="A43" s="964">
        <f t="shared" si="0"/>
        <v>38</v>
      </c>
      <c r="B43" s="965" t="s">
        <v>787</v>
      </c>
      <c r="C43" s="965" t="s">
        <v>147</v>
      </c>
      <c r="D43" s="959">
        <v>11.145</v>
      </c>
      <c r="E43" s="965" t="s">
        <v>1585</v>
      </c>
      <c r="F43" s="966">
        <v>45914</v>
      </c>
      <c r="G43" s="966">
        <v>45919</v>
      </c>
      <c r="H43" s="969" t="s">
        <v>1441</v>
      </c>
      <c r="I43" s="924" t="s">
        <v>788</v>
      </c>
    </row>
    <row r="44" spans="1:10">
      <c r="A44" s="964">
        <f t="shared" si="0"/>
        <v>39</v>
      </c>
      <c r="B44" s="965" t="s">
        <v>769</v>
      </c>
      <c r="C44" s="965" t="s">
        <v>147</v>
      </c>
      <c r="D44" s="959">
        <v>11.145</v>
      </c>
      <c r="E44" s="965" t="s">
        <v>1586</v>
      </c>
      <c r="F44" s="966">
        <v>45914</v>
      </c>
      <c r="G44" s="966">
        <v>45919</v>
      </c>
      <c r="H44" s="969" t="s">
        <v>1441</v>
      </c>
      <c r="I44" s="924" t="s">
        <v>770</v>
      </c>
    </row>
    <row r="45" spans="1:10">
      <c r="A45" s="964">
        <f t="shared" si="0"/>
        <v>40</v>
      </c>
      <c r="B45" s="965" t="s">
        <v>762</v>
      </c>
      <c r="C45" s="965" t="s">
        <v>150</v>
      </c>
      <c r="D45" s="408">
        <v>11.997</v>
      </c>
      <c r="E45" s="965" t="s">
        <v>1602</v>
      </c>
      <c r="F45" s="966">
        <v>45911</v>
      </c>
      <c r="G45" s="966">
        <v>45917</v>
      </c>
      <c r="H45" s="969" t="s">
        <v>1441</v>
      </c>
    </row>
    <row r="46" spans="1:10">
      <c r="A46" s="964">
        <f t="shared" si="0"/>
        <v>41</v>
      </c>
      <c r="B46" s="965" t="s">
        <v>761</v>
      </c>
      <c r="C46" s="965" t="s">
        <v>150</v>
      </c>
      <c r="D46" s="408">
        <v>11.997</v>
      </c>
      <c r="E46" s="965" t="s">
        <v>1603</v>
      </c>
      <c r="F46" s="966">
        <v>45911</v>
      </c>
      <c r="G46" s="966">
        <v>45917</v>
      </c>
      <c r="H46" s="969" t="s">
        <v>1441</v>
      </c>
      <c r="I46" s="924" t="s">
        <v>759</v>
      </c>
    </row>
    <row r="47" spans="1:10">
      <c r="A47" s="964">
        <f t="shared" si="0"/>
        <v>42</v>
      </c>
      <c r="B47" s="965" t="s">
        <v>759</v>
      </c>
      <c r="C47" s="965" t="s">
        <v>147</v>
      </c>
      <c r="D47" s="959">
        <v>11.145</v>
      </c>
      <c r="E47" s="965" t="s">
        <v>1602</v>
      </c>
      <c r="F47" s="966">
        <v>45918</v>
      </c>
      <c r="G47" s="966">
        <v>45920</v>
      </c>
      <c r="H47" s="969" t="s">
        <v>1441</v>
      </c>
      <c r="I47" s="925" t="s">
        <v>760</v>
      </c>
      <c r="J47" s="926" t="s">
        <v>758</v>
      </c>
    </row>
    <row r="48" spans="1:10">
      <c r="A48" s="964">
        <f t="shared" si="0"/>
        <v>43</v>
      </c>
      <c r="B48" s="965" t="s">
        <v>763</v>
      </c>
      <c r="C48" s="965" t="s">
        <v>147</v>
      </c>
      <c r="D48" s="959">
        <v>11.145</v>
      </c>
      <c r="E48" s="965" t="s">
        <v>1603</v>
      </c>
      <c r="F48" s="966">
        <v>45918</v>
      </c>
      <c r="G48" s="966">
        <v>45920</v>
      </c>
      <c r="H48" s="969" t="s">
        <v>1441</v>
      </c>
      <c r="I48" s="927" t="s">
        <v>764</v>
      </c>
      <c r="J48" s="926"/>
    </row>
    <row r="49" spans="1:18">
      <c r="A49" s="964">
        <f t="shared" si="0"/>
        <v>44</v>
      </c>
      <c r="B49" s="965" t="s">
        <v>382</v>
      </c>
      <c r="C49" s="965" t="s">
        <v>150</v>
      </c>
      <c r="D49" s="408">
        <v>11.997</v>
      </c>
      <c r="E49" s="965" t="s">
        <v>1591</v>
      </c>
      <c r="F49" s="966">
        <v>45911</v>
      </c>
      <c r="G49" s="966">
        <v>45921</v>
      </c>
      <c r="H49" s="969" t="s">
        <v>1441</v>
      </c>
      <c r="I49" s="926" t="s">
        <v>253</v>
      </c>
      <c r="J49" s="928"/>
    </row>
    <row r="50" spans="1:18">
      <c r="A50" s="964">
        <f t="shared" si="0"/>
        <v>45</v>
      </c>
      <c r="B50" s="965" t="s">
        <v>1273</v>
      </c>
      <c r="C50" s="965" t="s">
        <v>80</v>
      </c>
      <c r="D50" s="965">
        <v>18.727009000000002</v>
      </c>
      <c r="E50" s="968" t="s">
        <v>1508</v>
      </c>
      <c r="F50" s="966">
        <v>45914</v>
      </c>
      <c r="G50" s="966">
        <v>45921</v>
      </c>
      <c r="H50" s="969" t="s">
        <v>1441</v>
      </c>
      <c r="I50" s="926"/>
      <c r="J50" s="928"/>
    </row>
    <row r="51" spans="1:18">
      <c r="A51" s="964">
        <f t="shared" si="0"/>
        <v>46</v>
      </c>
      <c r="B51" s="965" t="s">
        <v>148</v>
      </c>
      <c r="C51" s="965" t="s">
        <v>147</v>
      </c>
      <c r="D51" s="959">
        <v>11.145</v>
      </c>
      <c r="E51" s="965" t="s">
        <v>1780</v>
      </c>
      <c r="F51" s="966">
        <v>45917</v>
      </c>
      <c r="G51" s="966">
        <v>45922</v>
      </c>
      <c r="H51" s="969" t="s">
        <v>1441</v>
      </c>
      <c r="I51" s="926"/>
      <c r="J51" s="926"/>
      <c r="L51" s="929" t="s">
        <v>217</v>
      </c>
      <c r="M51" s="924" t="s">
        <v>238</v>
      </c>
    </row>
    <row r="52" spans="1:18">
      <c r="A52" s="964">
        <f t="shared" si="0"/>
        <v>47</v>
      </c>
      <c r="B52" s="965" t="s">
        <v>760</v>
      </c>
      <c r="C52" s="965" t="s">
        <v>150</v>
      </c>
      <c r="D52" s="408">
        <v>11.997</v>
      </c>
      <c r="E52" s="965" t="s">
        <v>1602</v>
      </c>
      <c r="F52" s="966">
        <v>45921</v>
      </c>
      <c r="G52" s="966">
        <v>45923</v>
      </c>
      <c r="H52" s="969" t="s">
        <v>1441</v>
      </c>
      <c r="I52" s="929" t="s">
        <v>1286</v>
      </c>
      <c r="J52" s="930" t="s">
        <v>192</v>
      </c>
      <c r="K52" s="924" t="s">
        <v>253</v>
      </c>
    </row>
    <row r="53" spans="1:18">
      <c r="A53" s="964">
        <f t="shared" si="0"/>
        <v>48</v>
      </c>
      <c r="B53" s="965" t="s">
        <v>764</v>
      </c>
      <c r="C53" s="965" t="s">
        <v>206</v>
      </c>
      <c r="D53" s="959">
        <v>13.071999999999999</v>
      </c>
      <c r="E53" s="965" t="s">
        <v>1603</v>
      </c>
      <c r="F53" s="966">
        <v>45921</v>
      </c>
      <c r="G53" s="966">
        <v>45923</v>
      </c>
      <c r="H53" s="969" t="s">
        <v>1441</v>
      </c>
      <c r="I53" s="926"/>
    </row>
    <row r="54" spans="1:18">
      <c r="A54" s="964">
        <f t="shared" si="0"/>
        <v>49</v>
      </c>
      <c r="B54" s="965" t="s">
        <v>788</v>
      </c>
      <c r="C54" s="965" t="s">
        <v>147</v>
      </c>
      <c r="D54" s="959">
        <v>11.145</v>
      </c>
      <c r="E54" s="965" t="s">
        <v>1585</v>
      </c>
      <c r="F54" s="966">
        <v>45920</v>
      </c>
      <c r="G54" s="966">
        <v>45923</v>
      </c>
      <c r="H54" s="969" t="s">
        <v>1441</v>
      </c>
    </row>
    <row r="55" spans="1:18">
      <c r="A55" s="964">
        <f t="shared" si="0"/>
        <v>50</v>
      </c>
      <c r="B55" s="965" t="s">
        <v>134</v>
      </c>
      <c r="C55" s="965" t="s">
        <v>147</v>
      </c>
      <c r="D55" s="959">
        <v>11.145</v>
      </c>
      <c r="E55" s="965" t="s">
        <v>1590</v>
      </c>
      <c r="F55" s="966">
        <v>45915</v>
      </c>
      <c r="G55" s="966">
        <v>45924</v>
      </c>
      <c r="H55" s="969" t="s">
        <v>1441</v>
      </c>
      <c r="I55" s="931" t="s">
        <v>1605</v>
      </c>
      <c r="J55" s="932"/>
      <c r="K55" s="933"/>
    </row>
    <row r="56" spans="1:18">
      <c r="A56" s="964">
        <f t="shared" si="0"/>
        <v>51</v>
      </c>
      <c r="B56" s="965" t="s">
        <v>427</v>
      </c>
      <c r="C56" s="965" t="s">
        <v>212</v>
      </c>
      <c r="D56" s="965">
        <v>13.958</v>
      </c>
      <c r="E56" s="968" t="s">
        <v>1508</v>
      </c>
      <c r="F56" s="966">
        <v>45924</v>
      </c>
      <c r="G56" s="966">
        <v>45926</v>
      </c>
      <c r="H56" s="969" t="s">
        <v>1441</v>
      </c>
      <c r="I56" s="921" t="s">
        <v>240</v>
      </c>
      <c r="J56" s="928">
        <v>45915</v>
      </c>
      <c r="K56" s="924" t="s">
        <v>123</v>
      </c>
      <c r="L56" s="927" t="s">
        <v>385</v>
      </c>
    </row>
    <row r="57" spans="1:18">
      <c r="A57" s="964">
        <f t="shared" si="0"/>
        <v>52</v>
      </c>
      <c r="B57" s="965" t="s">
        <v>758</v>
      </c>
      <c r="C57" s="965" t="s">
        <v>206</v>
      </c>
      <c r="D57" s="959">
        <v>13.071999999999999</v>
      </c>
      <c r="E57" s="965" t="s">
        <v>1603</v>
      </c>
      <c r="F57" s="966">
        <v>45922</v>
      </c>
      <c r="G57" s="966">
        <v>45927</v>
      </c>
      <c r="H57" s="969" t="s">
        <v>1441</v>
      </c>
    </row>
    <row r="58" spans="1:18">
      <c r="A58" s="964">
        <f t="shared" si="0"/>
        <v>53</v>
      </c>
      <c r="B58" s="965" t="s">
        <v>755</v>
      </c>
      <c r="C58" s="965" t="s">
        <v>206</v>
      </c>
      <c r="D58" s="959">
        <v>13.071999999999999</v>
      </c>
      <c r="E58" s="965" t="s">
        <v>1602</v>
      </c>
      <c r="F58" s="966">
        <v>45924</v>
      </c>
      <c r="G58" s="966">
        <v>45927</v>
      </c>
      <c r="H58" s="969" t="s">
        <v>1441</v>
      </c>
    </row>
    <row r="59" spans="1:18">
      <c r="A59" s="964">
        <f t="shared" si="0"/>
        <v>54</v>
      </c>
      <c r="B59" s="965" t="s">
        <v>1307</v>
      </c>
      <c r="C59" s="965" t="s">
        <v>150</v>
      </c>
      <c r="D59" s="408">
        <v>11.997</v>
      </c>
      <c r="E59" s="965" t="s">
        <v>1585</v>
      </c>
      <c r="F59" s="966">
        <v>45924</v>
      </c>
      <c r="G59" s="966">
        <v>45927</v>
      </c>
      <c r="H59" s="969" t="s">
        <v>1441</v>
      </c>
      <c r="I59" s="921"/>
      <c r="J59" s="928"/>
      <c r="K59" s="924"/>
      <c r="L59" s="927"/>
    </row>
    <row r="60" spans="1:18">
      <c r="A60" s="964">
        <f t="shared" si="0"/>
        <v>55</v>
      </c>
      <c r="B60" s="965" t="s">
        <v>227</v>
      </c>
      <c r="C60" s="965" t="s">
        <v>206</v>
      </c>
      <c r="D60" s="959">
        <v>13.071999999999999</v>
      </c>
      <c r="E60" s="965" t="s">
        <v>1567</v>
      </c>
      <c r="F60" s="966">
        <v>45919</v>
      </c>
      <c r="G60" s="966">
        <v>45927</v>
      </c>
      <c r="H60" s="969" t="s">
        <v>1441</v>
      </c>
      <c r="I60" s="924"/>
      <c r="J60" s="932"/>
      <c r="K60" s="933"/>
    </row>
    <row r="61" spans="1:18">
      <c r="A61" s="964">
        <f t="shared" si="0"/>
        <v>56</v>
      </c>
      <c r="B61" s="971" t="s">
        <v>432</v>
      </c>
      <c r="C61" s="965" t="s">
        <v>147</v>
      </c>
      <c r="D61" s="959">
        <v>11.145</v>
      </c>
      <c r="E61" s="968" t="s">
        <v>1508</v>
      </c>
      <c r="F61" s="966">
        <v>45927</v>
      </c>
      <c r="G61" s="966">
        <v>45929</v>
      </c>
      <c r="H61" s="969" t="s">
        <v>1441</v>
      </c>
      <c r="N61" s="928">
        <v>45929</v>
      </c>
    </row>
    <row r="62" spans="1:18">
      <c r="A62" s="964">
        <f t="shared" si="0"/>
        <v>57</v>
      </c>
      <c r="B62" s="965" t="s">
        <v>729</v>
      </c>
      <c r="C62" s="965" t="s">
        <v>150</v>
      </c>
      <c r="D62" s="408">
        <v>11.997</v>
      </c>
      <c r="E62" s="965" t="s">
        <v>1780</v>
      </c>
      <c r="F62" s="966">
        <v>45923</v>
      </c>
      <c r="G62" s="966">
        <v>45929</v>
      </c>
      <c r="H62" s="969" t="s">
        <v>1441</v>
      </c>
      <c r="N62" s="928">
        <v>45930</v>
      </c>
      <c r="O62" s="934" t="s">
        <v>730</v>
      </c>
    </row>
    <row r="63" spans="1:18">
      <c r="A63" s="964">
        <f t="shared" si="0"/>
        <v>58</v>
      </c>
      <c r="B63" s="965" t="s">
        <v>1308</v>
      </c>
      <c r="C63" s="965" t="s">
        <v>147</v>
      </c>
      <c r="D63" s="959">
        <v>11.145</v>
      </c>
      <c r="E63" s="965" t="s">
        <v>1585</v>
      </c>
      <c r="F63" s="966">
        <v>45927</v>
      </c>
      <c r="G63" s="966">
        <v>45930</v>
      </c>
      <c r="H63" s="969" t="s">
        <v>1441</v>
      </c>
      <c r="I63" s="924"/>
      <c r="J63" s="932"/>
      <c r="K63" s="933"/>
      <c r="N63" s="928">
        <v>45929</v>
      </c>
      <c r="O63" s="934" t="s">
        <v>780</v>
      </c>
      <c r="P63" s="935" t="s">
        <v>781</v>
      </c>
      <c r="Q63" s="934" t="s">
        <v>1571</v>
      </c>
      <c r="R63" s="934" t="s">
        <v>1305</v>
      </c>
    </row>
    <row r="64" spans="1:18">
      <c r="A64" s="964">
        <f t="shared" si="0"/>
        <v>59</v>
      </c>
      <c r="B64" s="965" t="s">
        <v>770</v>
      </c>
      <c r="C64" s="965" t="s">
        <v>150</v>
      </c>
      <c r="D64" s="408">
        <v>11.997</v>
      </c>
      <c r="E64" s="965" t="s">
        <v>1660</v>
      </c>
      <c r="F64" s="966">
        <v>45920</v>
      </c>
      <c r="G64" s="966">
        <v>45930</v>
      </c>
      <c r="H64" s="969" t="s">
        <v>1441</v>
      </c>
      <c r="N64" s="936">
        <v>45929</v>
      </c>
      <c r="O64" s="934" t="s">
        <v>772</v>
      </c>
    </row>
    <row r="65" spans="1:26">
      <c r="A65" s="964">
        <f t="shared" si="0"/>
        <v>60</v>
      </c>
      <c r="B65" s="965" t="s">
        <v>754</v>
      </c>
      <c r="C65" s="965" t="s">
        <v>147</v>
      </c>
      <c r="D65" s="959">
        <v>11.145</v>
      </c>
      <c r="E65" s="965" t="s">
        <v>1602</v>
      </c>
      <c r="F65" s="966">
        <v>45927</v>
      </c>
      <c r="G65" s="966">
        <v>45930</v>
      </c>
      <c r="H65" s="969" t="s">
        <v>1441</v>
      </c>
    </row>
    <row r="66" spans="1:26">
      <c r="A66" s="964">
        <f t="shared" si="0"/>
        <v>61</v>
      </c>
      <c r="B66" s="971" t="s">
        <v>1543</v>
      </c>
      <c r="C66" s="971" t="s">
        <v>102</v>
      </c>
      <c r="D66" s="408">
        <f>(14703.841+4275.97)/1000</f>
        <v>18.979811000000002</v>
      </c>
      <c r="E66" s="971" t="s">
        <v>1603</v>
      </c>
      <c r="F66" s="972">
        <v>45927</v>
      </c>
      <c r="G66" s="966">
        <v>45930</v>
      </c>
      <c r="H66" s="969" t="s">
        <v>1441</v>
      </c>
      <c r="N66" s="928">
        <v>45929</v>
      </c>
      <c r="O66" s="934" t="s">
        <v>1526</v>
      </c>
    </row>
    <row r="67" spans="1:26">
      <c r="A67" s="964">
        <f t="shared" si="0"/>
        <v>62</v>
      </c>
      <c r="B67" s="965" t="s">
        <v>253</v>
      </c>
      <c r="C67" s="965" t="s">
        <v>147</v>
      </c>
      <c r="D67" s="959">
        <v>11.145</v>
      </c>
      <c r="E67" s="965" t="s">
        <v>1591</v>
      </c>
      <c r="F67" s="966">
        <v>45923</v>
      </c>
      <c r="G67" s="966">
        <v>45931</v>
      </c>
      <c r="H67" s="969" t="s">
        <v>1441</v>
      </c>
    </row>
    <row r="68" spans="1:26">
      <c r="A68" s="964">
        <f t="shared" si="0"/>
        <v>63</v>
      </c>
      <c r="B68" s="965" t="s">
        <v>772</v>
      </c>
      <c r="C68" s="965" t="s">
        <v>150</v>
      </c>
      <c r="D68" s="408">
        <v>11.997</v>
      </c>
      <c r="E68" s="965" t="s">
        <v>1660</v>
      </c>
      <c r="F68" s="966">
        <v>45930</v>
      </c>
      <c r="G68" s="966">
        <v>45933</v>
      </c>
      <c r="H68" s="969" t="s">
        <v>1441</v>
      </c>
      <c r="N68" s="928"/>
      <c r="O68" s="934"/>
    </row>
    <row r="69" spans="1:26">
      <c r="A69" s="964">
        <f t="shared" si="0"/>
        <v>64</v>
      </c>
      <c r="B69" s="965" t="s">
        <v>780</v>
      </c>
      <c r="C69" s="965" t="s">
        <v>147</v>
      </c>
      <c r="D69" s="959">
        <v>11.145</v>
      </c>
      <c r="E69" s="965" t="s">
        <v>1585</v>
      </c>
      <c r="F69" s="966">
        <v>45930</v>
      </c>
      <c r="G69" s="966">
        <v>45933</v>
      </c>
      <c r="H69" s="969" t="s">
        <v>1441</v>
      </c>
      <c r="N69" s="928"/>
      <c r="O69" s="934"/>
    </row>
    <row r="70" spans="1:26">
      <c r="A70" s="964">
        <f t="shared" si="0"/>
        <v>65</v>
      </c>
      <c r="B70" s="965" t="s">
        <v>730</v>
      </c>
      <c r="C70" s="965" t="s">
        <v>147</v>
      </c>
      <c r="D70" s="959">
        <v>11.145</v>
      </c>
      <c r="E70" s="965" t="s">
        <v>1780</v>
      </c>
      <c r="F70" s="966">
        <v>45929</v>
      </c>
      <c r="G70" s="966">
        <v>45935</v>
      </c>
      <c r="H70" s="969" t="s">
        <v>1441</v>
      </c>
      <c r="N70" s="928"/>
    </row>
    <row r="71" spans="1:26">
      <c r="A71" s="964">
        <f t="shared" si="0"/>
        <v>66</v>
      </c>
      <c r="B71" s="965" t="s">
        <v>773</v>
      </c>
      <c r="C71" s="965" t="s">
        <v>147</v>
      </c>
      <c r="D71" s="959">
        <v>11.145</v>
      </c>
      <c r="E71" s="965" t="s">
        <v>1660</v>
      </c>
      <c r="F71" s="966">
        <v>45933</v>
      </c>
      <c r="G71" s="966">
        <v>45935</v>
      </c>
      <c r="H71" s="969" t="s">
        <v>1441</v>
      </c>
      <c r="N71" s="928"/>
      <c r="O71" s="934"/>
    </row>
    <row r="72" spans="1:26">
      <c r="A72" s="964">
        <f t="shared" si="0"/>
        <v>67</v>
      </c>
      <c r="B72" s="965" t="s">
        <v>1560</v>
      </c>
      <c r="C72" s="965" t="s">
        <v>90</v>
      </c>
      <c r="D72" s="965">
        <v>21.41</v>
      </c>
      <c r="E72" s="968" t="s">
        <v>1508</v>
      </c>
      <c r="F72" s="966">
        <v>45930</v>
      </c>
      <c r="G72" s="966">
        <v>45937</v>
      </c>
      <c r="H72" s="967" t="s">
        <v>1441</v>
      </c>
      <c r="X72" s="937" t="s">
        <v>1614</v>
      </c>
      <c r="Y72" s="915" t="e">
        <f>#REF!*0.18</f>
        <v>#REF!</v>
      </c>
    </row>
    <row r="73" spans="1:26" ht="43.2">
      <c r="A73" s="964">
        <f t="shared" si="0"/>
        <v>68</v>
      </c>
      <c r="B73" s="965" t="s">
        <v>1526</v>
      </c>
      <c r="C73" s="965" t="s">
        <v>102</v>
      </c>
      <c r="D73" s="408">
        <f>(14703.841+4275.97)/1000</f>
        <v>18.979811000000002</v>
      </c>
      <c r="E73" s="965" t="s">
        <v>1602</v>
      </c>
      <c r="F73" s="966">
        <v>45931</v>
      </c>
      <c r="G73" s="966">
        <v>45937</v>
      </c>
      <c r="H73" s="967" t="s">
        <v>1441</v>
      </c>
      <c r="N73" s="938" t="s">
        <v>1621</v>
      </c>
      <c r="S73" s="918" t="s">
        <v>222</v>
      </c>
      <c r="T73" s="918" t="s">
        <v>147</v>
      </c>
      <c r="V73" s="934" t="s">
        <v>147</v>
      </c>
      <c r="W73" s="538">
        <v>3</v>
      </c>
      <c r="X73" s="538">
        <v>11.15</v>
      </c>
      <c r="Y73" s="538">
        <f>X73*W73</f>
        <v>33.450000000000003</v>
      </c>
      <c r="Z73" s="538">
        <f>511-72</f>
        <v>439</v>
      </c>
    </row>
    <row r="74" spans="1:26">
      <c r="A74" s="964">
        <f t="shared" si="0"/>
        <v>69</v>
      </c>
      <c r="B74" s="965" t="s">
        <v>155</v>
      </c>
      <c r="C74" s="965" t="s">
        <v>157</v>
      </c>
      <c r="D74" s="973">
        <f>(16972.938+2884.468+1298.28+5135.312)/1000</f>
        <v>26.290997999999998</v>
      </c>
      <c r="E74" s="965" t="s">
        <v>1603</v>
      </c>
      <c r="F74" s="966">
        <v>45931</v>
      </c>
      <c r="G74" s="966">
        <v>45938</v>
      </c>
      <c r="H74" s="967" t="s">
        <v>1441</v>
      </c>
      <c r="Y74" s="538">
        <v>9000</v>
      </c>
    </row>
    <row r="75" spans="1:26">
      <c r="A75" s="964">
        <f t="shared" si="0"/>
        <v>70</v>
      </c>
      <c r="B75" s="965" t="s">
        <v>1495</v>
      </c>
      <c r="C75" s="965" t="s">
        <v>80</v>
      </c>
      <c r="D75" s="965">
        <v>18.727009000000002</v>
      </c>
      <c r="E75" s="965" t="s">
        <v>1660</v>
      </c>
      <c r="F75" s="966">
        <v>45935</v>
      </c>
      <c r="G75" s="966">
        <v>45940</v>
      </c>
      <c r="H75" s="967" t="s">
        <v>1441</v>
      </c>
      <c r="S75" s="917" t="s">
        <v>223</v>
      </c>
      <c r="T75" s="916" t="s">
        <v>212</v>
      </c>
    </row>
    <row r="76" spans="1:26">
      <c r="A76" s="964">
        <f t="shared" si="0"/>
        <v>71</v>
      </c>
      <c r="B76" s="965" t="s">
        <v>751</v>
      </c>
      <c r="C76" s="965" t="s">
        <v>150</v>
      </c>
      <c r="D76" s="408">
        <v>11.997</v>
      </c>
      <c r="E76" s="965" t="s">
        <v>1602</v>
      </c>
      <c r="F76" s="966">
        <v>45938</v>
      </c>
      <c r="G76" s="966">
        <v>45940</v>
      </c>
      <c r="H76" s="967" t="s">
        <v>1441</v>
      </c>
      <c r="S76" s="939"/>
      <c r="T76" s="940"/>
    </row>
    <row r="77" spans="1:26">
      <c r="A77" s="964">
        <f t="shared" si="0"/>
        <v>72</v>
      </c>
      <c r="B77" s="965" t="s">
        <v>1571</v>
      </c>
      <c r="C77" s="965" t="s">
        <v>90</v>
      </c>
      <c r="D77" s="965">
        <v>21.41</v>
      </c>
      <c r="E77" s="965" t="s">
        <v>1585</v>
      </c>
      <c r="F77" s="966">
        <v>45933</v>
      </c>
      <c r="G77" s="966">
        <v>45940</v>
      </c>
      <c r="H77" s="967" t="s">
        <v>1441</v>
      </c>
      <c r="X77" s="941" t="s">
        <v>1354</v>
      </c>
      <c r="Y77" s="942" t="e">
        <f>SUM(Y72:Y72)</f>
        <v>#REF!</v>
      </c>
    </row>
    <row r="78" spans="1:26">
      <c r="A78" s="964">
        <f t="shared" si="0"/>
        <v>73</v>
      </c>
      <c r="B78" s="965" t="s">
        <v>731</v>
      </c>
      <c r="C78" s="965" t="s">
        <v>206</v>
      </c>
      <c r="D78" s="959">
        <v>13.071999999999999</v>
      </c>
      <c r="E78" s="965" t="s">
        <v>1780</v>
      </c>
      <c r="F78" s="966">
        <v>45935</v>
      </c>
      <c r="G78" s="966">
        <v>45941</v>
      </c>
      <c r="H78" s="967" t="s">
        <v>1441</v>
      </c>
      <c r="X78" s="934" t="s">
        <v>1613</v>
      </c>
      <c r="Y78" s="915" t="e">
        <f>Y77*0.05</f>
        <v>#REF!</v>
      </c>
    </row>
    <row r="79" spans="1:26">
      <c r="A79" s="964">
        <f t="shared" si="0"/>
        <v>74</v>
      </c>
      <c r="B79" s="965" t="s">
        <v>752</v>
      </c>
      <c r="C79" s="965" t="s">
        <v>150</v>
      </c>
      <c r="D79" s="408">
        <v>11.997</v>
      </c>
      <c r="E79" s="965" t="s">
        <v>1602</v>
      </c>
      <c r="F79" s="966">
        <v>45940</v>
      </c>
      <c r="G79" s="966">
        <v>45941</v>
      </c>
      <c r="H79" s="967" t="s">
        <v>1441</v>
      </c>
      <c r="X79" s="934" t="s">
        <v>1615</v>
      </c>
      <c r="Y79" s="915" t="e">
        <f>Y77*0.01</f>
        <v>#REF!</v>
      </c>
    </row>
    <row r="80" spans="1:26">
      <c r="A80" s="964">
        <f t="shared" ref="A80:A143" si="1">A79+1</f>
        <v>75</v>
      </c>
      <c r="B80" s="965" t="s">
        <v>158</v>
      </c>
      <c r="C80" s="965" t="s">
        <v>80</v>
      </c>
      <c r="D80" s="965">
        <v>18.727009000000002</v>
      </c>
      <c r="E80" s="965" t="s">
        <v>1660</v>
      </c>
      <c r="F80" s="966">
        <v>45940</v>
      </c>
      <c r="G80" s="966">
        <v>45942</v>
      </c>
      <c r="H80" s="967" t="s">
        <v>1441</v>
      </c>
      <c r="X80" s="934" t="s">
        <v>1616</v>
      </c>
      <c r="Y80" s="915" t="e">
        <f>Y77*0.1</f>
        <v>#REF!</v>
      </c>
    </row>
    <row r="81" spans="1:25">
      <c r="A81" s="964">
        <f t="shared" si="1"/>
        <v>76</v>
      </c>
      <c r="B81" s="965" t="s">
        <v>1519</v>
      </c>
      <c r="C81" s="965" t="s">
        <v>80</v>
      </c>
      <c r="D81" s="965">
        <v>18.727009000000002</v>
      </c>
      <c r="E81" s="965" t="s">
        <v>1508</v>
      </c>
      <c r="F81" s="966">
        <v>45938</v>
      </c>
      <c r="G81" s="966">
        <v>45943</v>
      </c>
      <c r="H81" s="967" t="s">
        <v>1441</v>
      </c>
      <c r="N81" s="943"/>
      <c r="X81" s="934" t="s">
        <v>1617</v>
      </c>
      <c r="Y81" s="915" t="e">
        <f>Y77*0.2</f>
        <v>#REF!</v>
      </c>
    </row>
    <row r="82" spans="1:25">
      <c r="A82" s="964">
        <f t="shared" si="1"/>
        <v>77</v>
      </c>
      <c r="B82" s="965" t="s">
        <v>744</v>
      </c>
      <c r="C82" s="965" t="s">
        <v>147</v>
      </c>
      <c r="D82" s="959">
        <v>11.145</v>
      </c>
      <c r="E82" s="965" t="s">
        <v>1603</v>
      </c>
      <c r="F82" s="966">
        <v>45938</v>
      </c>
      <c r="G82" s="966">
        <v>45943</v>
      </c>
      <c r="H82" s="967" t="s">
        <v>1441</v>
      </c>
      <c r="X82" s="934" t="s">
        <v>1618</v>
      </c>
      <c r="Y82" s="538">
        <v>600000</v>
      </c>
    </row>
    <row r="83" spans="1:25" ht="20.55" customHeight="1">
      <c r="A83" s="964">
        <f t="shared" si="1"/>
        <v>78</v>
      </c>
      <c r="B83" s="965" t="s">
        <v>385</v>
      </c>
      <c r="C83" s="965" t="s">
        <v>80</v>
      </c>
      <c r="D83" s="965">
        <v>18.727009000000002</v>
      </c>
      <c r="E83" s="965" t="s">
        <v>1574</v>
      </c>
      <c r="F83" s="966">
        <v>45926</v>
      </c>
      <c r="G83" s="966">
        <v>45945</v>
      </c>
      <c r="H83" s="967" t="s">
        <v>1441</v>
      </c>
      <c r="X83" s="944" t="s">
        <v>1620</v>
      </c>
      <c r="Y83" s="915" t="e">
        <f>Y77*0.1</f>
        <v>#REF!</v>
      </c>
    </row>
    <row r="84" spans="1:25" ht="18">
      <c r="A84" s="964">
        <f t="shared" si="1"/>
        <v>79</v>
      </c>
      <c r="B84" s="965" t="s">
        <v>1305</v>
      </c>
      <c r="C84" s="965" t="s">
        <v>90</v>
      </c>
      <c r="D84" s="965">
        <v>21.41</v>
      </c>
      <c r="E84" s="965" t="s">
        <v>1585</v>
      </c>
      <c r="F84" s="966">
        <v>45940</v>
      </c>
      <c r="G84" s="966">
        <v>45945</v>
      </c>
      <c r="H84" s="967" t="s">
        <v>1441</v>
      </c>
      <c r="X84" s="945" t="s">
        <v>1619</v>
      </c>
      <c r="Y84" s="946" t="e">
        <f>Y77-#REF!-Y82</f>
        <v>#REF!</v>
      </c>
    </row>
    <row r="85" spans="1:25">
      <c r="A85" s="964">
        <f t="shared" si="1"/>
        <v>80</v>
      </c>
      <c r="B85" s="965" t="s">
        <v>727</v>
      </c>
      <c r="C85" s="965" t="s">
        <v>147</v>
      </c>
      <c r="D85" s="959">
        <v>11.145</v>
      </c>
      <c r="E85" s="965" t="s">
        <v>1780</v>
      </c>
      <c r="F85" s="966">
        <v>45941</v>
      </c>
      <c r="G85" s="966">
        <v>45945</v>
      </c>
      <c r="H85" s="967" t="s">
        <v>1441</v>
      </c>
    </row>
    <row r="86" spans="1:25">
      <c r="A86" s="964">
        <f t="shared" si="1"/>
        <v>81</v>
      </c>
      <c r="B86" s="965" t="s">
        <v>154</v>
      </c>
      <c r="C86" s="965" t="s">
        <v>80</v>
      </c>
      <c r="D86" s="965">
        <v>18.727009000000002</v>
      </c>
      <c r="E86" s="965" t="s">
        <v>1602</v>
      </c>
      <c r="F86" s="966">
        <v>45941</v>
      </c>
      <c r="G86" s="966">
        <v>45946</v>
      </c>
      <c r="H86" s="967" t="s">
        <v>1441</v>
      </c>
    </row>
    <row r="87" spans="1:25">
      <c r="A87" s="964">
        <f t="shared" si="1"/>
        <v>82</v>
      </c>
      <c r="B87" s="965" t="s">
        <v>776</v>
      </c>
      <c r="C87" s="965" t="s">
        <v>147</v>
      </c>
      <c r="D87" s="959">
        <v>11.145</v>
      </c>
      <c r="E87" s="965" t="s">
        <v>1660</v>
      </c>
      <c r="F87" s="966">
        <v>45942</v>
      </c>
      <c r="G87" s="966">
        <v>45945</v>
      </c>
      <c r="H87" s="967" t="s">
        <v>1441</v>
      </c>
    </row>
    <row r="88" spans="1:25">
      <c r="A88" s="964">
        <f t="shared" si="1"/>
        <v>83</v>
      </c>
      <c r="B88" s="965" t="s">
        <v>745</v>
      </c>
      <c r="C88" s="965" t="s">
        <v>147</v>
      </c>
      <c r="D88" s="959">
        <v>11.145</v>
      </c>
      <c r="E88" s="965" t="s">
        <v>1603</v>
      </c>
      <c r="F88" s="966">
        <v>45943</v>
      </c>
      <c r="G88" s="966">
        <v>45946</v>
      </c>
      <c r="H88" s="967" t="s">
        <v>1441</v>
      </c>
    </row>
    <row r="89" spans="1:25">
      <c r="A89" s="964">
        <f t="shared" si="1"/>
        <v>84</v>
      </c>
      <c r="B89" s="965" t="s">
        <v>695</v>
      </c>
      <c r="C89" s="965" t="s">
        <v>80</v>
      </c>
      <c r="D89" s="965">
        <v>18.727009000000002</v>
      </c>
      <c r="E89" s="965" t="s">
        <v>1508</v>
      </c>
      <c r="F89" s="966">
        <v>45943</v>
      </c>
      <c r="G89" s="966">
        <v>45948</v>
      </c>
      <c r="H89" s="967" t="s">
        <v>1441</v>
      </c>
    </row>
    <row r="90" spans="1:25">
      <c r="A90" s="964">
        <f t="shared" si="1"/>
        <v>85</v>
      </c>
      <c r="B90" s="965" t="s">
        <v>145</v>
      </c>
      <c r="C90" s="965" t="s">
        <v>147</v>
      </c>
      <c r="D90" s="959">
        <v>11.145</v>
      </c>
      <c r="E90" s="965" t="s">
        <v>1780</v>
      </c>
      <c r="F90" s="966">
        <v>45945</v>
      </c>
      <c r="G90" s="966">
        <v>45949</v>
      </c>
      <c r="H90" s="967" t="s">
        <v>1441</v>
      </c>
    </row>
    <row r="91" spans="1:25">
      <c r="A91" s="964">
        <f t="shared" si="1"/>
        <v>86</v>
      </c>
      <c r="B91" s="965" t="s">
        <v>746</v>
      </c>
      <c r="C91" s="965" t="s">
        <v>147</v>
      </c>
      <c r="D91" s="959">
        <v>11.145</v>
      </c>
      <c r="E91" s="965" t="s">
        <v>1603</v>
      </c>
      <c r="F91" s="966">
        <v>45946</v>
      </c>
      <c r="G91" s="966">
        <v>45949</v>
      </c>
      <c r="H91" s="967" t="s">
        <v>1441</v>
      </c>
    </row>
    <row r="92" spans="1:25">
      <c r="A92" s="964">
        <f t="shared" si="1"/>
        <v>87</v>
      </c>
      <c r="B92" s="965" t="s">
        <v>1249</v>
      </c>
      <c r="C92" s="965" t="s">
        <v>147</v>
      </c>
      <c r="D92" s="959">
        <v>11.145</v>
      </c>
      <c r="E92" s="974" t="s">
        <v>1585</v>
      </c>
      <c r="F92" s="966">
        <v>45946</v>
      </c>
      <c r="G92" s="966">
        <v>45949</v>
      </c>
      <c r="H92" s="967" t="s">
        <v>1441</v>
      </c>
    </row>
    <row r="93" spans="1:25">
      <c r="A93" s="964">
        <f t="shared" si="1"/>
        <v>88</v>
      </c>
      <c r="B93" s="965" t="s">
        <v>775</v>
      </c>
      <c r="C93" s="965" t="s">
        <v>147</v>
      </c>
      <c r="D93" s="959">
        <v>11.145</v>
      </c>
      <c r="E93" s="965" t="s">
        <v>1660</v>
      </c>
      <c r="F93" s="966">
        <v>45945</v>
      </c>
      <c r="G93" s="966">
        <v>45949</v>
      </c>
      <c r="H93" s="967" t="s">
        <v>1441</v>
      </c>
    </row>
    <row r="94" spans="1:25">
      <c r="A94" s="964">
        <f t="shared" si="1"/>
        <v>89</v>
      </c>
      <c r="B94" s="965" t="s">
        <v>774</v>
      </c>
      <c r="C94" s="965" t="s">
        <v>147</v>
      </c>
      <c r="D94" s="959">
        <v>11.145</v>
      </c>
      <c r="E94" s="974" t="s">
        <v>1660</v>
      </c>
      <c r="F94" s="966">
        <v>45949</v>
      </c>
      <c r="G94" s="966">
        <v>45952</v>
      </c>
      <c r="H94" s="967" t="s">
        <v>1441</v>
      </c>
    </row>
    <row r="95" spans="1:25">
      <c r="A95" s="964">
        <f t="shared" si="1"/>
        <v>90</v>
      </c>
      <c r="B95" s="965" t="s">
        <v>781</v>
      </c>
      <c r="C95" s="965" t="s">
        <v>147</v>
      </c>
      <c r="D95" s="959">
        <v>11.145</v>
      </c>
      <c r="E95" s="974" t="s">
        <v>1585</v>
      </c>
      <c r="F95" s="966">
        <v>45949</v>
      </c>
      <c r="G95" s="966">
        <v>45952</v>
      </c>
      <c r="H95" s="967" t="s">
        <v>1441</v>
      </c>
    </row>
    <row r="96" spans="1:25">
      <c r="A96" s="964">
        <f t="shared" si="1"/>
        <v>91</v>
      </c>
      <c r="B96" s="965" t="s">
        <v>1303</v>
      </c>
      <c r="C96" s="965" t="s">
        <v>90</v>
      </c>
      <c r="D96" s="965">
        <v>21.41</v>
      </c>
      <c r="E96" s="965" t="s">
        <v>1602</v>
      </c>
      <c r="F96" s="966">
        <v>45946</v>
      </c>
      <c r="G96" s="966">
        <v>45953</v>
      </c>
      <c r="H96" s="967" t="s">
        <v>1441</v>
      </c>
      <c r="N96" s="947"/>
    </row>
    <row r="97" spans="1:14">
      <c r="A97" s="964">
        <f t="shared" si="1"/>
        <v>92</v>
      </c>
      <c r="B97" s="965" t="s">
        <v>738</v>
      </c>
      <c r="C97" s="965" t="s">
        <v>147</v>
      </c>
      <c r="D97" s="959">
        <v>11.145</v>
      </c>
      <c r="E97" s="965" t="s">
        <v>1780</v>
      </c>
      <c r="F97" s="970">
        <v>45949</v>
      </c>
      <c r="G97" s="966">
        <v>45954</v>
      </c>
      <c r="H97" s="967" t="s">
        <v>1441</v>
      </c>
    </row>
    <row r="98" spans="1:14">
      <c r="A98" s="964">
        <f t="shared" si="1"/>
        <v>93</v>
      </c>
      <c r="B98" s="965" t="s">
        <v>357</v>
      </c>
      <c r="C98" s="965" t="s">
        <v>147</v>
      </c>
      <c r="D98" s="959">
        <v>11.145</v>
      </c>
      <c r="E98" s="965" t="s">
        <v>1625</v>
      </c>
      <c r="F98" s="966">
        <v>45949</v>
      </c>
      <c r="G98" s="966">
        <v>45954</v>
      </c>
      <c r="H98" s="967" t="s">
        <v>1441</v>
      </c>
      <c r="N98" s="948"/>
    </row>
    <row r="99" spans="1:14">
      <c r="A99" s="964">
        <f t="shared" si="1"/>
        <v>94</v>
      </c>
      <c r="B99" s="965" t="s">
        <v>152</v>
      </c>
      <c r="C99" s="965" t="s">
        <v>153</v>
      </c>
      <c r="D99" s="965">
        <f>(13334+4777.506)/1000</f>
        <v>18.111506000000002</v>
      </c>
      <c r="E99" s="965" t="s">
        <v>1603</v>
      </c>
      <c r="F99" s="970">
        <v>45949</v>
      </c>
      <c r="G99" s="966">
        <v>45954</v>
      </c>
      <c r="H99" s="967" t="s">
        <v>1441</v>
      </c>
      <c r="N99" s="949"/>
    </row>
    <row r="100" spans="1:14">
      <c r="A100" s="964">
        <f t="shared" si="1"/>
        <v>95</v>
      </c>
      <c r="B100" s="965" t="s">
        <v>1300</v>
      </c>
      <c r="C100" s="965" t="s">
        <v>150</v>
      </c>
      <c r="D100" s="408">
        <v>11.997</v>
      </c>
      <c r="E100" s="965" t="s">
        <v>1602</v>
      </c>
      <c r="F100" s="966">
        <v>45954</v>
      </c>
      <c r="G100" s="966">
        <v>45956</v>
      </c>
      <c r="H100" s="967" t="s">
        <v>1441</v>
      </c>
      <c r="N100" s="947"/>
    </row>
    <row r="101" spans="1:14">
      <c r="A101" s="964">
        <f t="shared" si="1"/>
        <v>96</v>
      </c>
      <c r="B101" s="965" t="s">
        <v>1565</v>
      </c>
      <c r="C101" s="965" t="s">
        <v>88</v>
      </c>
      <c r="D101" s="965">
        <f>(14703.841+2903.104+1061.94+ 5513.756)/1000</f>
        <v>24.182641</v>
      </c>
      <c r="E101" s="965" t="s">
        <v>1508</v>
      </c>
      <c r="F101" s="966">
        <v>45949</v>
      </c>
      <c r="G101" s="966">
        <v>45957</v>
      </c>
      <c r="H101" s="967" t="s">
        <v>1441</v>
      </c>
      <c r="N101" s="950"/>
    </row>
    <row r="102" spans="1:14">
      <c r="A102" s="964">
        <f t="shared" si="1"/>
        <v>97</v>
      </c>
      <c r="B102" s="965" t="s">
        <v>779</v>
      </c>
      <c r="C102" s="965" t="s">
        <v>147</v>
      </c>
      <c r="D102" s="965"/>
      <c r="E102" s="965" t="s">
        <v>1660</v>
      </c>
      <c r="F102" s="966">
        <v>45953</v>
      </c>
      <c r="G102" s="966">
        <v>45956</v>
      </c>
      <c r="H102" s="967" t="s">
        <v>1441</v>
      </c>
    </row>
    <row r="103" spans="1:14">
      <c r="A103" s="964">
        <f t="shared" si="1"/>
        <v>98</v>
      </c>
      <c r="B103" s="965" t="s">
        <v>782</v>
      </c>
      <c r="C103" s="965" t="s">
        <v>147</v>
      </c>
      <c r="D103" s="965"/>
      <c r="E103" s="965" t="s">
        <v>1585</v>
      </c>
      <c r="F103" s="966">
        <v>45953</v>
      </c>
      <c r="G103" s="966">
        <v>45957</v>
      </c>
      <c r="H103" s="967" t="s">
        <v>1441</v>
      </c>
    </row>
    <row r="104" spans="1:14">
      <c r="A104" s="964">
        <f t="shared" si="1"/>
        <v>99</v>
      </c>
      <c r="B104" s="965" t="s">
        <v>778</v>
      </c>
      <c r="C104" s="965" t="s">
        <v>147</v>
      </c>
      <c r="D104" s="965"/>
      <c r="E104" s="965" t="s">
        <v>1660</v>
      </c>
      <c r="F104" s="966">
        <v>45957</v>
      </c>
      <c r="G104" s="966">
        <v>45958</v>
      </c>
      <c r="H104" s="967" t="s">
        <v>1441</v>
      </c>
      <c r="N104" s="951"/>
    </row>
    <row r="105" spans="1:14">
      <c r="A105" s="964">
        <f t="shared" si="1"/>
        <v>100</v>
      </c>
      <c r="B105" s="965" t="s">
        <v>149</v>
      </c>
      <c r="C105" s="965" t="s">
        <v>90</v>
      </c>
      <c r="D105" s="965"/>
      <c r="E105" s="965" t="s">
        <v>1603</v>
      </c>
      <c r="F105" s="966">
        <v>45957</v>
      </c>
      <c r="G105" s="966">
        <v>45959</v>
      </c>
      <c r="H105" s="969" t="s">
        <v>1441</v>
      </c>
    </row>
    <row r="106" spans="1:14">
      <c r="A106" s="964">
        <f t="shared" si="1"/>
        <v>101</v>
      </c>
      <c r="B106" s="965" t="s">
        <v>123</v>
      </c>
      <c r="C106" s="965" t="s">
        <v>80</v>
      </c>
      <c r="D106" s="965">
        <v>18.727009000000002</v>
      </c>
      <c r="E106" s="965" t="s">
        <v>1625</v>
      </c>
      <c r="F106" s="966">
        <v>45954</v>
      </c>
      <c r="G106" s="966">
        <v>45961</v>
      </c>
      <c r="H106" s="967" t="s">
        <v>1441</v>
      </c>
      <c r="N106" s="952"/>
    </row>
    <row r="107" spans="1:14">
      <c r="A107" s="964">
        <f t="shared" si="1"/>
        <v>102</v>
      </c>
      <c r="B107" s="965" t="s">
        <v>144</v>
      </c>
      <c r="C107" s="965" t="s">
        <v>80</v>
      </c>
      <c r="D107" s="965">
        <v>18.727009000000002</v>
      </c>
      <c r="E107" s="965" t="s">
        <v>1780</v>
      </c>
      <c r="F107" s="966">
        <v>45954</v>
      </c>
      <c r="G107" s="966">
        <v>45961</v>
      </c>
      <c r="H107" s="967" t="s">
        <v>1441</v>
      </c>
      <c r="N107" s="952"/>
    </row>
    <row r="108" spans="1:14">
      <c r="A108" s="964">
        <f t="shared" si="1"/>
        <v>103</v>
      </c>
      <c r="B108" s="965" t="s">
        <v>777</v>
      </c>
      <c r="C108" s="965" t="s">
        <v>147</v>
      </c>
      <c r="D108" s="965"/>
      <c r="E108" s="965" t="s">
        <v>1660</v>
      </c>
      <c r="F108" s="966">
        <v>45958</v>
      </c>
      <c r="G108" s="966">
        <v>45961</v>
      </c>
      <c r="H108" s="969" t="s">
        <v>1441</v>
      </c>
    </row>
    <row r="109" spans="1:14">
      <c r="A109" s="964">
        <f t="shared" si="1"/>
        <v>104</v>
      </c>
      <c r="B109" s="965" t="s">
        <v>1589</v>
      </c>
      <c r="C109" s="965" t="s">
        <v>102</v>
      </c>
      <c r="D109" s="965"/>
      <c r="E109" s="965" t="s">
        <v>1602</v>
      </c>
      <c r="F109" s="966">
        <v>45956</v>
      </c>
      <c r="G109" s="966">
        <v>45958</v>
      </c>
      <c r="H109" s="969" t="s">
        <v>1441</v>
      </c>
      <c r="N109" s="952"/>
    </row>
    <row r="110" spans="1:14">
      <c r="A110" s="964">
        <f t="shared" si="1"/>
        <v>105</v>
      </c>
      <c r="B110" s="965" t="s">
        <v>1606</v>
      </c>
      <c r="C110" s="965" t="s">
        <v>84</v>
      </c>
      <c r="D110" s="965"/>
      <c r="E110" s="965" t="s">
        <v>1585</v>
      </c>
      <c r="F110" s="966">
        <v>45957</v>
      </c>
      <c r="G110" s="966">
        <v>45962</v>
      </c>
      <c r="H110" s="969" t="s">
        <v>1441</v>
      </c>
    </row>
    <row r="111" spans="1:14">
      <c r="A111" s="964">
        <f t="shared" si="1"/>
        <v>106</v>
      </c>
      <c r="B111" s="965" t="s">
        <v>429</v>
      </c>
      <c r="C111" s="965" t="s">
        <v>97</v>
      </c>
      <c r="D111" s="965"/>
      <c r="E111" s="965" t="s">
        <v>1508</v>
      </c>
      <c r="F111" s="966">
        <v>45957</v>
      </c>
      <c r="G111" s="966">
        <v>45963</v>
      </c>
      <c r="H111" s="969" t="s">
        <v>1441</v>
      </c>
    </row>
    <row r="112" spans="1:14">
      <c r="A112" s="964">
        <f t="shared" si="1"/>
        <v>107</v>
      </c>
      <c r="B112" s="965" t="s">
        <v>1570</v>
      </c>
      <c r="C112" s="965" t="s">
        <v>80</v>
      </c>
      <c r="D112" s="965"/>
      <c r="E112" s="965" t="s">
        <v>1602</v>
      </c>
      <c r="F112" s="966">
        <v>45959</v>
      </c>
      <c r="G112" s="966">
        <v>45963</v>
      </c>
      <c r="H112" s="969" t="s">
        <v>1441</v>
      </c>
    </row>
    <row r="113" spans="1:14">
      <c r="A113" s="964">
        <f t="shared" si="1"/>
        <v>108</v>
      </c>
      <c r="B113" s="965" t="s">
        <v>1299</v>
      </c>
      <c r="C113" s="965" t="s">
        <v>212</v>
      </c>
      <c r="D113" s="965"/>
      <c r="E113" s="965" t="s">
        <v>1603</v>
      </c>
      <c r="F113" s="966">
        <v>45959</v>
      </c>
      <c r="G113" s="966">
        <v>45964</v>
      </c>
      <c r="H113" s="969" t="s">
        <v>1441</v>
      </c>
    </row>
    <row r="114" spans="1:14">
      <c r="A114" s="964">
        <f t="shared" si="1"/>
        <v>109</v>
      </c>
      <c r="B114" s="965" t="s">
        <v>724</v>
      </c>
      <c r="C114" s="965" t="s">
        <v>147</v>
      </c>
      <c r="D114" s="965"/>
      <c r="E114" s="965" t="s">
        <v>1780</v>
      </c>
      <c r="F114" s="966">
        <v>45962</v>
      </c>
      <c r="G114" s="966">
        <v>45965</v>
      </c>
      <c r="H114" s="969" t="s">
        <v>1441</v>
      </c>
    </row>
    <row r="115" spans="1:14">
      <c r="A115" s="964">
        <f t="shared" si="1"/>
        <v>110</v>
      </c>
      <c r="B115" s="965" t="s">
        <v>344</v>
      </c>
      <c r="C115" s="975" t="s">
        <v>84</v>
      </c>
      <c r="D115" s="975"/>
      <c r="E115" s="965" t="s">
        <v>1625</v>
      </c>
      <c r="F115" s="976">
        <v>45962</v>
      </c>
      <c r="G115" s="966">
        <v>45966</v>
      </c>
      <c r="H115" s="969" t="s">
        <v>1441</v>
      </c>
    </row>
    <row r="116" spans="1:14">
      <c r="A116" s="964">
        <f t="shared" si="1"/>
        <v>111</v>
      </c>
      <c r="B116" s="965" t="s">
        <v>715</v>
      </c>
      <c r="C116" s="965" t="s">
        <v>150</v>
      </c>
      <c r="D116" s="965"/>
      <c r="E116" s="965" t="s">
        <v>1660</v>
      </c>
      <c r="F116" s="966">
        <v>45962</v>
      </c>
      <c r="G116" s="966">
        <v>45966</v>
      </c>
      <c r="H116" s="969" t="s">
        <v>1441</v>
      </c>
    </row>
    <row r="117" spans="1:14">
      <c r="A117" s="964">
        <f t="shared" si="1"/>
        <v>112</v>
      </c>
      <c r="B117" s="965" t="s">
        <v>1304</v>
      </c>
      <c r="C117" s="965" t="s">
        <v>212</v>
      </c>
      <c r="D117" s="965"/>
      <c r="E117" s="965" t="s">
        <v>1603</v>
      </c>
      <c r="F117" s="966">
        <v>45965</v>
      </c>
      <c r="G117" s="966">
        <v>45967</v>
      </c>
      <c r="H117" s="969" t="s">
        <v>1441</v>
      </c>
    </row>
    <row r="118" spans="1:14" ht="12.45" customHeight="1">
      <c r="A118" s="964">
        <f t="shared" si="1"/>
        <v>113</v>
      </c>
      <c r="B118" s="965" t="s">
        <v>722</v>
      </c>
      <c r="C118" s="965" t="s">
        <v>147</v>
      </c>
      <c r="D118" s="965"/>
      <c r="E118" s="965" t="s">
        <v>1780</v>
      </c>
      <c r="F118" s="966">
        <v>45966</v>
      </c>
      <c r="G118" s="966">
        <v>45968</v>
      </c>
      <c r="H118" s="969" t="s">
        <v>1441</v>
      </c>
      <c r="I118" s="954" t="s">
        <v>1626</v>
      </c>
    </row>
    <row r="119" spans="1:14">
      <c r="A119" s="964">
        <f t="shared" si="1"/>
        <v>114</v>
      </c>
      <c r="B119" s="965" t="s">
        <v>1597</v>
      </c>
      <c r="C119" s="965" t="s">
        <v>90</v>
      </c>
      <c r="D119" s="965"/>
      <c r="E119" s="965" t="s">
        <v>1602</v>
      </c>
      <c r="F119" s="966">
        <v>45964</v>
      </c>
      <c r="G119" s="966">
        <v>45969</v>
      </c>
      <c r="H119" s="969" t="s">
        <v>1441</v>
      </c>
    </row>
    <row r="120" spans="1:14">
      <c r="A120" s="964">
        <f t="shared" si="1"/>
        <v>115</v>
      </c>
      <c r="B120" s="965" t="s">
        <v>719</v>
      </c>
      <c r="C120" s="965" t="s">
        <v>150</v>
      </c>
      <c r="D120" s="965"/>
      <c r="E120" s="965" t="s">
        <v>1660</v>
      </c>
      <c r="F120" s="966">
        <v>45967</v>
      </c>
      <c r="G120" s="966">
        <v>45970</v>
      </c>
      <c r="H120" s="969" t="s">
        <v>1441</v>
      </c>
    </row>
    <row r="121" spans="1:14">
      <c r="A121" s="964">
        <f t="shared" si="1"/>
        <v>116</v>
      </c>
      <c r="B121" s="965" t="s">
        <v>1286</v>
      </c>
      <c r="C121" s="965" t="s">
        <v>80</v>
      </c>
      <c r="D121" s="965">
        <v>18.727009000000002</v>
      </c>
      <c r="E121" s="965" t="s">
        <v>1625</v>
      </c>
      <c r="F121" s="966">
        <v>45967</v>
      </c>
      <c r="G121" s="966">
        <v>45971</v>
      </c>
      <c r="H121" s="967" t="s">
        <v>1441</v>
      </c>
    </row>
    <row r="122" spans="1:14">
      <c r="A122" s="964">
        <f t="shared" si="1"/>
        <v>117</v>
      </c>
      <c r="B122" s="965" t="s">
        <v>139</v>
      </c>
      <c r="C122" s="965" t="s">
        <v>97</v>
      </c>
      <c r="D122" s="965"/>
      <c r="E122" s="965" t="s">
        <v>1508</v>
      </c>
      <c r="F122" s="966">
        <v>45964</v>
      </c>
      <c r="G122" s="966">
        <v>45971</v>
      </c>
      <c r="H122" s="969" t="s">
        <v>1441</v>
      </c>
    </row>
    <row r="123" spans="1:14">
      <c r="A123" s="964">
        <f t="shared" si="1"/>
        <v>118</v>
      </c>
      <c r="B123" s="965" t="s">
        <v>725</v>
      </c>
      <c r="C123" s="965" t="s">
        <v>147</v>
      </c>
      <c r="D123" s="965"/>
      <c r="E123" s="965" t="s">
        <v>1780</v>
      </c>
      <c r="F123" s="966">
        <v>45969</v>
      </c>
      <c r="G123" s="966">
        <v>45972</v>
      </c>
      <c r="H123" s="969" t="s">
        <v>1441</v>
      </c>
    </row>
    <row r="124" spans="1:14">
      <c r="A124" s="964">
        <f t="shared" si="1"/>
        <v>119</v>
      </c>
      <c r="B124" s="965" t="s">
        <v>151</v>
      </c>
      <c r="C124" s="965" t="s">
        <v>153</v>
      </c>
      <c r="D124" s="965"/>
      <c r="E124" s="965" t="s">
        <v>1603</v>
      </c>
      <c r="F124" s="966">
        <v>45967</v>
      </c>
      <c r="G124" s="966">
        <v>45973</v>
      </c>
      <c r="H124" s="965" t="s">
        <v>1441</v>
      </c>
    </row>
    <row r="125" spans="1:14">
      <c r="A125" s="964">
        <f t="shared" si="1"/>
        <v>120</v>
      </c>
      <c r="B125" s="965" t="s">
        <v>162</v>
      </c>
      <c r="C125" s="965" t="s">
        <v>82</v>
      </c>
      <c r="D125" s="965"/>
      <c r="E125" s="965" t="s">
        <v>1585</v>
      </c>
      <c r="F125" s="966">
        <v>45962</v>
      </c>
      <c r="G125" s="966">
        <v>45975</v>
      </c>
      <c r="H125" s="965" t="s">
        <v>1441</v>
      </c>
      <c r="N125" s="960" t="s">
        <v>1309</v>
      </c>
    </row>
    <row r="126" spans="1:14">
      <c r="A126" s="964">
        <f t="shared" si="1"/>
        <v>121</v>
      </c>
      <c r="B126" s="965" t="s">
        <v>833</v>
      </c>
      <c r="C126" s="965" t="s">
        <v>80</v>
      </c>
      <c r="D126" s="965"/>
      <c r="E126" s="965" t="s">
        <v>1660</v>
      </c>
      <c r="F126" s="966">
        <v>45970</v>
      </c>
      <c r="G126" s="966">
        <v>45975</v>
      </c>
      <c r="H126" s="965" t="s">
        <v>1441</v>
      </c>
      <c r="N126" s="960" t="s">
        <v>728</v>
      </c>
    </row>
    <row r="127" spans="1:14">
      <c r="A127" s="964">
        <f t="shared" si="1"/>
        <v>122</v>
      </c>
      <c r="B127" s="965" t="s">
        <v>720</v>
      </c>
      <c r="C127" s="965" t="s">
        <v>150</v>
      </c>
      <c r="D127" s="408">
        <v>11.997</v>
      </c>
      <c r="E127" s="965" t="s">
        <v>1661</v>
      </c>
      <c r="F127" s="965" t="s">
        <v>1657</v>
      </c>
      <c r="G127" s="966">
        <v>45976</v>
      </c>
      <c r="H127" s="965" t="s">
        <v>1441</v>
      </c>
      <c r="N127" s="960"/>
    </row>
    <row r="128" spans="1:14">
      <c r="A128" s="964">
        <f t="shared" si="1"/>
        <v>123</v>
      </c>
      <c r="B128" s="974" t="s">
        <v>234</v>
      </c>
      <c r="C128" s="974" t="s">
        <v>153</v>
      </c>
      <c r="D128" s="977">
        <f>(13334+4777.506)/1000</f>
        <v>18.111506000000002</v>
      </c>
      <c r="E128" s="974" t="s">
        <v>1625</v>
      </c>
      <c r="F128" s="974" t="s">
        <v>1656</v>
      </c>
      <c r="G128" s="966">
        <v>45976</v>
      </c>
      <c r="H128" s="965" t="s">
        <v>1441</v>
      </c>
    </row>
    <row r="129" spans="1:16">
      <c r="A129" s="964">
        <f t="shared" si="1"/>
        <v>124</v>
      </c>
      <c r="B129" s="965" t="s">
        <v>156</v>
      </c>
      <c r="C129" s="965" t="s">
        <v>157</v>
      </c>
      <c r="D129" s="965"/>
      <c r="E129" s="965" t="s">
        <v>1603</v>
      </c>
      <c r="F129" s="965" t="s">
        <v>1659</v>
      </c>
      <c r="G129" s="966">
        <v>45978</v>
      </c>
      <c r="H129" s="965" t="s">
        <v>1441</v>
      </c>
      <c r="N129" s="928">
        <v>45978</v>
      </c>
    </row>
    <row r="130" spans="1:16">
      <c r="A130" s="964">
        <f t="shared" si="1"/>
        <v>125</v>
      </c>
      <c r="B130" s="965" t="s">
        <v>1572</v>
      </c>
      <c r="C130" s="965" t="s">
        <v>153</v>
      </c>
      <c r="D130" s="965"/>
      <c r="E130" s="974" t="s">
        <v>1625</v>
      </c>
      <c r="F130" s="966">
        <v>45976</v>
      </c>
      <c r="G130" s="966">
        <v>45981</v>
      </c>
      <c r="H130" s="965" t="s">
        <v>1441</v>
      </c>
    </row>
    <row r="131" spans="1:16">
      <c r="A131" s="964">
        <f t="shared" si="1"/>
        <v>126</v>
      </c>
      <c r="B131" s="974" t="s">
        <v>1505</v>
      </c>
      <c r="C131" s="974" t="s">
        <v>132</v>
      </c>
      <c r="D131" s="974"/>
      <c r="E131" s="974" t="s">
        <v>1508</v>
      </c>
      <c r="F131" s="970">
        <v>45974</v>
      </c>
      <c r="G131" s="970">
        <v>45981</v>
      </c>
      <c r="H131" s="974" t="s">
        <v>1441</v>
      </c>
    </row>
    <row r="132" spans="1:16">
      <c r="A132" s="964">
        <f t="shared" si="1"/>
        <v>127</v>
      </c>
      <c r="B132" s="965" t="s">
        <v>728</v>
      </c>
      <c r="C132" s="965" t="s">
        <v>147</v>
      </c>
      <c r="D132" s="965"/>
      <c r="E132" s="965" t="s">
        <v>1661</v>
      </c>
      <c r="F132" s="966">
        <v>45976</v>
      </c>
      <c r="G132" s="966">
        <v>45981</v>
      </c>
      <c r="H132" s="965" t="s">
        <v>1441</v>
      </c>
      <c r="N132" s="928">
        <v>45980</v>
      </c>
    </row>
    <row r="133" spans="1:16">
      <c r="A133" s="964">
        <f t="shared" si="1"/>
        <v>128</v>
      </c>
      <c r="B133" s="965" t="s">
        <v>159</v>
      </c>
      <c r="C133" s="965" t="s">
        <v>84</v>
      </c>
      <c r="D133" s="965"/>
      <c r="E133" s="965" t="s">
        <v>1603</v>
      </c>
      <c r="F133" s="966">
        <v>45977</v>
      </c>
      <c r="G133" s="966">
        <v>45982</v>
      </c>
      <c r="H133" s="965" t="s">
        <v>1441</v>
      </c>
      <c r="N133" s="928"/>
    </row>
    <row r="134" spans="1:16">
      <c r="A134" s="964">
        <f t="shared" si="1"/>
        <v>129</v>
      </c>
      <c r="B134" s="965" t="s">
        <v>1309</v>
      </c>
      <c r="C134" s="965" t="s">
        <v>97</v>
      </c>
      <c r="D134" s="965"/>
      <c r="E134" s="965" t="s">
        <v>1585</v>
      </c>
      <c r="F134" s="970">
        <v>45975</v>
      </c>
      <c r="G134" s="966">
        <v>45983</v>
      </c>
      <c r="H134" s="965" t="s">
        <v>1441</v>
      </c>
      <c r="N134" s="928">
        <v>45980</v>
      </c>
      <c r="O134" s="928">
        <v>45983</v>
      </c>
    </row>
    <row r="135" spans="1:16">
      <c r="A135" s="964">
        <f t="shared" si="1"/>
        <v>130</v>
      </c>
      <c r="B135" s="965" t="s">
        <v>347</v>
      </c>
      <c r="C135" s="965" t="s">
        <v>150</v>
      </c>
      <c r="D135" s="965"/>
      <c r="E135" s="974" t="s">
        <v>1625</v>
      </c>
      <c r="F135" s="966">
        <v>45982</v>
      </c>
      <c r="G135" s="966">
        <v>45986</v>
      </c>
      <c r="H135" s="965" t="s">
        <v>1441</v>
      </c>
      <c r="N135" s="928">
        <v>45985</v>
      </c>
      <c r="O135" s="961" t="s">
        <v>217</v>
      </c>
    </row>
    <row r="136" spans="1:16">
      <c r="A136" s="964">
        <f t="shared" si="1"/>
        <v>131</v>
      </c>
      <c r="B136" s="965" t="s">
        <v>1301</v>
      </c>
      <c r="C136" s="965" t="s">
        <v>206</v>
      </c>
      <c r="D136" s="965"/>
      <c r="E136" s="965" t="s">
        <v>1603</v>
      </c>
      <c r="F136" s="966">
        <v>45982</v>
      </c>
      <c r="G136" s="966">
        <v>45986</v>
      </c>
      <c r="H136" s="965" t="s">
        <v>1441</v>
      </c>
      <c r="N136" s="928">
        <v>45985</v>
      </c>
      <c r="O136" s="961" t="s">
        <v>739</v>
      </c>
      <c r="P136" s="961" t="s">
        <v>1664</v>
      </c>
    </row>
    <row r="137" spans="1:16">
      <c r="A137" s="964">
        <f t="shared" si="1"/>
        <v>132</v>
      </c>
      <c r="B137" s="965" t="s">
        <v>739</v>
      </c>
      <c r="C137" s="965" t="s">
        <v>147</v>
      </c>
      <c r="D137" s="965"/>
      <c r="E137" s="965" t="s">
        <v>1603</v>
      </c>
      <c r="F137" s="966">
        <v>45986</v>
      </c>
      <c r="G137" s="966">
        <v>45988</v>
      </c>
      <c r="H137" s="965" t="s">
        <v>1441</v>
      </c>
    </row>
    <row r="138" spans="1:16">
      <c r="A138" s="964">
        <f t="shared" si="1"/>
        <v>133</v>
      </c>
      <c r="B138" s="965" t="s">
        <v>1568</v>
      </c>
      <c r="C138" s="965" t="s">
        <v>153</v>
      </c>
      <c r="D138" s="965"/>
      <c r="E138" s="965" t="s">
        <v>1585</v>
      </c>
      <c r="F138" s="966">
        <v>45984</v>
      </c>
      <c r="G138" s="966">
        <v>45989</v>
      </c>
      <c r="H138" s="979" t="s">
        <v>1441</v>
      </c>
      <c r="N138" s="928">
        <v>45988</v>
      </c>
    </row>
    <row r="139" spans="1:16">
      <c r="A139" s="964">
        <f t="shared" si="1"/>
        <v>134</v>
      </c>
      <c r="B139" s="965" t="s">
        <v>832</v>
      </c>
      <c r="C139" s="965" t="s">
        <v>102</v>
      </c>
      <c r="D139" s="965"/>
      <c r="E139" s="965" t="s">
        <v>1661</v>
      </c>
      <c r="F139" s="966">
        <v>45982</v>
      </c>
      <c r="G139" s="966">
        <v>45989</v>
      </c>
      <c r="H139" s="979" t="s">
        <v>1441</v>
      </c>
      <c r="N139" s="928">
        <v>45987</v>
      </c>
      <c r="O139" s="963" t="s">
        <v>834</v>
      </c>
      <c r="P139" s="961" t="s">
        <v>716</v>
      </c>
    </row>
    <row r="140" spans="1:16">
      <c r="A140" s="964">
        <f t="shared" si="1"/>
        <v>135</v>
      </c>
      <c r="B140" s="965" t="s">
        <v>386</v>
      </c>
      <c r="C140" s="965" t="s">
        <v>90</v>
      </c>
      <c r="D140" s="965"/>
      <c r="E140" s="965" t="s">
        <v>1508</v>
      </c>
      <c r="F140" s="966">
        <v>45983</v>
      </c>
      <c r="G140" s="966">
        <v>45990</v>
      </c>
      <c r="H140" s="981" t="s">
        <v>1441</v>
      </c>
      <c r="N140" s="928">
        <v>45986</v>
      </c>
      <c r="O140" s="961" t="s">
        <v>389</v>
      </c>
    </row>
    <row r="141" spans="1:16">
      <c r="A141" s="964">
        <f t="shared" si="1"/>
        <v>136</v>
      </c>
      <c r="B141" s="965" t="s">
        <v>217</v>
      </c>
      <c r="C141" s="965" t="s">
        <v>212</v>
      </c>
      <c r="D141" s="965"/>
      <c r="E141" s="978" t="s">
        <v>1625</v>
      </c>
      <c r="F141" s="966">
        <v>45986</v>
      </c>
      <c r="G141" s="966">
        <v>45991</v>
      </c>
      <c r="H141" s="982" t="s">
        <v>1441</v>
      </c>
    </row>
    <row r="142" spans="1:16">
      <c r="A142" s="964">
        <f t="shared" si="1"/>
        <v>137</v>
      </c>
      <c r="B142" s="965" t="s">
        <v>740</v>
      </c>
      <c r="C142" s="965" t="s">
        <v>150</v>
      </c>
      <c r="D142" s="965"/>
      <c r="E142" s="965" t="s">
        <v>1603</v>
      </c>
      <c r="F142" s="966">
        <v>45989</v>
      </c>
      <c r="G142" s="966">
        <v>45991</v>
      </c>
      <c r="H142" s="982" t="s">
        <v>1441</v>
      </c>
    </row>
    <row r="143" spans="1:16">
      <c r="A143" s="964">
        <f t="shared" si="1"/>
        <v>138</v>
      </c>
      <c r="B143" s="983" t="s">
        <v>750</v>
      </c>
      <c r="C143" s="983" t="s">
        <v>150</v>
      </c>
      <c r="D143" s="57"/>
      <c r="E143" s="965" t="s">
        <v>1603</v>
      </c>
      <c r="F143" s="313">
        <v>45992</v>
      </c>
      <c r="G143" s="313">
        <v>45994</v>
      </c>
      <c r="H143" s="984" t="s">
        <v>1441</v>
      </c>
    </row>
    <row r="144" spans="1:16">
      <c r="A144" s="964">
        <f t="shared" ref="A144:A162" si="2">A143+1</f>
        <v>139</v>
      </c>
      <c r="B144" s="57" t="s">
        <v>834</v>
      </c>
      <c r="C144" s="979" t="s">
        <v>93</v>
      </c>
      <c r="D144" s="57"/>
      <c r="E144" s="965" t="s">
        <v>1661</v>
      </c>
      <c r="F144" s="313">
        <v>45989</v>
      </c>
      <c r="G144" s="313">
        <v>45996</v>
      </c>
      <c r="H144" s="1004" t="s">
        <v>1441</v>
      </c>
    </row>
    <row r="145" spans="1:15">
      <c r="A145" s="964">
        <f t="shared" si="2"/>
        <v>140</v>
      </c>
      <c r="B145" s="983" t="s">
        <v>231</v>
      </c>
      <c r="C145" s="983" t="s">
        <v>147</v>
      </c>
      <c r="D145" s="57"/>
      <c r="E145" s="978" t="s">
        <v>1625</v>
      </c>
      <c r="F145" s="313">
        <v>45992</v>
      </c>
      <c r="G145" s="313">
        <v>45996</v>
      </c>
      <c r="H145" s="1004" t="s">
        <v>1441</v>
      </c>
    </row>
    <row r="146" spans="1:15">
      <c r="A146" s="964">
        <f t="shared" si="2"/>
        <v>141</v>
      </c>
      <c r="B146" s="57" t="s">
        <v>160</v>
      </c>
      <c r="C146" s="979" t="s">
        <v>112</v>
      </c>
      <c r="D146" s="57"/>
      <c r="E146" s="965" t="s">
        <v>1585</v>
      </c>
      <c r="F146" s="313">
        <v>45989</v>
      </c>
      <c r="G146" s="313">
        <v>45998</v>
      </c>
      <c r="H146" s="57" t="s">
        <v>1441</v>
      </c>
    </row>
    <row r="147" spans="1:15">
      <c r="A147" s="964">
        <f t="shared" si="2"/>
        <v>142</v>
      </c>
      <c r="B147" s="981" t="s">
        <v>133</v>
      </c>
      <c r="C147" s="57" t="s">
        <v>97</v>
      </c>
      <c r="D147" s="57"/>
      <c r="E147" s="965" t="s">
        <v>1508</v>
      </c>
      <c r="F147" s="313">
        <v>45990</v>
      </c>
      <c r="G147" s="313">
        <v>45998</v>
      </c>
      <c r="H147" s="1005" t="s">
        <v>1441</v>
      </c>
    </row>
    <row r="148" spans="1:15">
      <c r="A148" s="964">
        <f t="shared" si="2"/>
        <v>143</v>
      </c>
      <c r="B148" s="1006" t="s">
        <v>748</v>
      </c>
      <c r="C148" s="1006" t="s">
        <v>212</v>
      </c>
      <c r="D148" s="57"/>
      <c r="E148" s="965" t="s">
        <v>1603</v>
      </c>
      <c r="F148" s="313">
        <v>45997</v>
      </c>
      <c r="G148" s="313">
        <v>46001</v>
      </c>
      <c r="H148" s="1009" t="s">
        <v>1441</v>
      </c>
    </row>
    <row r="149" spans="1:15">
      <c r="A149" s="964">
        <f t="shared" si="2"/>
        <v>144</v>
      </c>
      <c r="B149" s="1006" t="s">
        <v>125</v>
      </c>
      <c r="C149" s="1006" t="s">
        <v>97</v>
      </c>
      <c r="D149" s="57"/>
      <c r="E149" s="978" t="s">
        <v>1625</v>
      </c>
      <c r="F149" s="313">
        <v>45997</v>
      </c>
      <c r="G149" s="313">
        <v>46002</v>
      </c>
      <c r="H149" s="57" t="s">
        <v>1441</v>
      </c>
    </row>
    <row r="150" spans="1:15">
      <c r="A150" s="964">
        <f t="shared" si="2"/>
        <v>145</v>
      </c>
      <c r="B150" s="57" t="s">
        <v>708</v>
      </c>
      <c r="C150" s="57" t="s">
        <v>150</v>
      </c>
      <c r="D150" s="57"/>
      <c r="E150" s="965" t="s">
        <v>1661</v>
      </c>
      <c r="F150" s="313">
        <v>45997</v>
      </c>
      <c r="G150" s="313">
        <v>46003</v>
      </c>
      <c r="H150" s="57" t="s">
        <v>1441</v>
      </c>
    </row>
    <row r="151" spans="1:15">
      <c r="A151" s="964">
        <f t="shared" si="2"/>
        <v>146</v>
      </c>
      <c r="B151" s="1008" t="s">
        <v>1662</v>
      </c>
      <c r="C151" s="1008" t="s">
        <v>84</v>
      </c>
      <c r="D151" s="57"/>
      <c r="E151" s="965" t="s">
        <v>1603</v>
      </c>
      <c r="F151" s="313">
        <v>46000</v>
      </c>
      <c r="G151" s="313">
        <v>46004</v>
      </c>
      <c r="H151" s="57" t="s">
        <v>1441</v>
      </c>
      <c r="O151" s="1007"/>
    </row>
    <row r="152" spans="1:15">
      <c r="A152" s="964">
        <f t="shared" si="2"/>
        <v>147</v>
      </c>
      <c r="B152" s="57" t="s">
        <v>161</v>
      </c>
      <c r="C152" s="57" t="s">
        <v>112</v>
      </c>
      <c r="D152" s="57"/>
      <c r="E152" s="965" t="s">
        <v>1585</v>
      </c>
      <c r="F152" s="313">
        <v>45998</v>
      </c>
      <c r="G152" s="313">
        <v>46005</v>
      </c>
      <c r="H152" s="57" t="s">
        <v>1441</v>
      </c>
    </row>
    <row r="153" spans="1:15">
      <c r="A153" s="964">
        <f t="shared" si="2"/>
        <v>148</v>
      </c>
      <c r="B153" s="57" t="s">
        <v>707</v>
      </c>
      <c r="C153" s="57" t="s">
        <v>206</v>
      </c>
      <c r="D153" s="57"/>
      <c r="E153" s="965" t="s">
        <v>1661</v>
      </c>
      <c r="F153" s="313">
        <v>46003</v>
      </c>
      <c r="G153" s="313">
        <v>46007</v>
      </c>
      <c r="H153" s="1014" t="s">
        <v>1441</v>
      </c>
    </row>
    <row r="154" spans="1:15">
      <c r="A154" s="964">
        <f t="shared" si="2"/>
        <v>149</v>
      </c>
      <c r="B154" s="57" t="s">
        <v>1265</v>
      </c>
      <c r="C154" s="57" t="s">
        <v>80</v>
      </c>
      <c r="D154" s="57"/>
      <c r="E154" s="978" t="s">
        <v>1625</v>
      </c>
      <c r="F154" s="313">
        <v>46003</v>
      </c>
      <c r="G154" s="313">
        <v>46007</v>
      </c>
      <c r="H154" s="1014" t="s">
        <v>1441</v>
      </c>
    </row>
    <row r="155" spans="1:15">
      <c r="A155" s="964">
        <f t="shared" si="2"/>
        <v>150</v>
      </c>
      <c r="B155" s="57" t="s">
        <v>336</v>
      </c>
      <c r="C155" s="57" t="s">
        <v>150</v>
      </c>
      <c r="D155" s="57"/>
      <c r="E155" s="1012" t="s">
        <v>1783</v>
      </c>
      <c r="F155" s="313">
        <v>45997</v>
      </c>
      <c r="G155" s="313">
        <v>46007</v>
      </c>
      <c r="H155" s="57" t="s">
        <v>1441</v>
      </c>
    </row>
    <row r="156" spans="1:15">
      <c r="A156" s="964">
        <f t="shared" si="2"/>
        <v>151</v>
      </c>
      <c r="B156" s="57" t="s">
        <v>439</v>
      </c>
      <c r="C156" s="57" t="s">
        <v>150</v>
      </c>
      <c r="D156" s="57"/>
      <c r="E156" s="1012" t="s">
        <v>1784</v>
      </c>
      <c r="F156" s="313">
        <v>46004</v>
      </c>
      <c r="G156" s="313">
        <v>46009</v>
      </c>
      <c r="H156" s="57" t="s">
        <v>1441</v>
      </c>
    </row>
    <row r="157" spans="1:15">
      <c r="A157" s="964">
        <f t="shared" si="2"/>
        <v>152</v>
      </c>
      <c r="B157" s="965" t="s">
        <v>411</v>
      </c>
      <c r="C157" s="965" t="s">
        <v>147</v>
      </c>
      <c r="D157" s="965"/>
      <c r="E157" s="1014" t="s">
        <v>1786</v>
      </c>
      <c r="F157" s="966">
        <v>45948</v>
      </c>
      <c r="G157" s="966"/>
      <c r="H157" s="1011" t="s">
        <v>242</v>
      </c>
    </row>
    <row r="158" spans="1:15">
      <c r="A158" s="964">
        <f t="shared" si="2"/>
        <v>153</v>
      </c>
      <c r="B158" s="57" t="s">
        <v>376</v>
      </c>
      <c r="C158" s="57" t="s">
        <v>84</v>
      </c>
      <c r="D158" s="57"/>
      <c r="E158" s="57" t="s">
        <v>1782</v>
      </c>
      <c r="F158" s="313">
        <v>45998</v>
      </c>
      <c r="G158" s="57"/>
      <c r="H158" s="1008" t="s">
        <v>242</v>
      </c>
    </row>
    <row r="159" spans="1:15">
      <c r="A159" s="964">
        <f t="shared" si="2"/>
        <v>154</v>
      </c>
      <c r="B159" s="57" t="s">
        <v>368</v>
      </c>
      <c r="C159" s="57" t="s">
        <v>212</v>
      </c>
      <c r="D159" s="57"/>
      <c r="E159" s="1010" t="s">
        <v>1781</v>
      </c>
      <c r="F159" s="313">
        <v>46003</v>
      </c>
      <c r="G159" s="57"/>
      <c r="H159" s="1015" t="s">
        <v>242</v>
      </c>
    </row>
    <row r="160" spans="1:15">
      <c r="A160" s="964">
        <f t="shared" si="2"/>
        <v>155</v>
      </c>
      <c r="B160" s="57" t="s">
        <v>164</v>
      </c>
      <c r="C160" s="57" t="s">
        <v>90</v>
      </c>
      <c r="D160" s="57"/>
      <c r="E160" s="965" t="s">
        <v>1585</v>
      </c>
      <c r="F160" s="313">
        <v>46005</v>
      </c>
      <c r="G160" s="57"/>
      <c r="H160" s="57" t="s">
        <v>242</v>
      </c>
    </row>
    <row r="161" spans="1:8">
      <c r="A161" s="964">
        <f t="shared" si="2"/>
        <v>156</v>
      </c>
      <c r="B161" s="1014" t="s">
        <v>1264</v>
      </c>
      <c r="C161" s="1014" t="s">
        <v>93</v>
      </c>
      <c r="D161" s="57"/>
      <c r="E161" s="978" t="s">
        <v>1625</v>
      </c>
      <c r="F161" s="313">
        <v>46008</v>
      </c>
      <c r="G161" s="57"/>
      <c r="H161" s="1014" t="s">
        <v>1785</v>
      </c>
    </row>
    <row r="162" spans="1:8">
      <c r="A162" s="964">
        <f t="shared" si="2"/>
        <v>157</v>
      </c>
      <c r="B162" s="57" t="s">
        <v>438</v>
      </c>
      <c r="C162" s="57" t="s">
        <v>150</v>
      </c>
      <c r="D162" s="57"/>
      <c r="E162" s="1012" t="s">
        <v>1784</v>
      </c>
      <c r="F162" s="313">
        <v>46009</v>
      </c>
      <c r="G162" s="57"/>
      <c r="H162" s="57" t="s">
        <v>1785</v>
      </c>
    </row>
    <row r="308" spans="30:30">
      <c r="AD308" s="538">
        <v>185</v>
      </c>
    </row>
    <row r="309" spans="30:30">
      <c r="AD309" s="538">
        <v>5</v>
      </c>
    </row>
  </sheetData>
  <mergeCells count="3">
    <mergeCell ref="A1:H1"/>
    <mergeCell ref="A2:H2"/>
    <mergeCell ref="A3:H3"/>
  </mergeCells>
  <phoneticPr fontId="137" type="noConversion"/>
  <conditionalFormatting sqref="B5">
    <cfRule type="duplicateValues" dxfId="197" priority="2201"/>
    <cfRule type="duplicateValues" dxfId="196" priority="2202"/>
    <cfRule type="duplicateValues" dxfId="195" priority="2203" stopIfTrue="1"/>
  </conditionalFormatting>
  <conditionalFormatting sqref="B6:B21">
    <cfRule type="duplicateValues" dxfId="194" priority="2738"/>
  </conditionalFormatting>
  <conditionalFormatting sqref="B23">
    <cfRule type="duplicateValues" dxfId="193" priority="77"/>
  </conditionalFormatting>
  <conditionalFormatting sqref="B111:B113 B109">
    <cfRule type="duplicateValues" dxfId="192" priority="11384"/>
    <cfRule type="duplicateValues" dxfId="191" priority="11385"/>
  </conditionalFormatting>
  <conditionalFormatting sqref="B111:B114 B109">
    <cfRule type="duplicateValues" dxfId="190" priority="11388"/>
  </conditionalFormatting>
  <conditionalFormatting sqref="B122 B115:B119">
    <cfRule type="duplicateValues" dxfId="189" priority="11402"/>
  </conditionalFormatting>
  <conditionalFormatting sqref="B123">
    <cfRule type="duplicateValues" dxfId="188" priority="14"/>
  </conditionalFormatting>
  <conditionalFormatting sqref="B124:B134 B138 B157">
    <cfRule type="duplicateValues" dxfId="187" priority="12078"/>
    <cfRule type="duplicateValues" dxfId="186" priority="12079"/>
  </conditionalFormatting>
  <conditionalFormatting sqref="B125">
    <cfRule type="duplicateValues" dxfId="185" priority="5"/>
  </conditionalFormatting>
  <conditionalFormatting sqref="B138 B124 B126:B134">
    <cfRule type="duplicateValues" dxfId="184" priority="12614"/>
  </conditionalFormatting>
  <conditionalFormatting sqref="B138 B130:B134">
    <cfRule type="duplicateValues" dxfId="183" priority="12618"/>
  </conditionalFormatting>
  <conditionalFormatting sqref="B157">
    <cfRule type="duplicateValues" dxfId="182" priority="7"/>
    <cfRule type="duplicateValues" dxfId="181" priority="8"/>
    <cfRule type="duplicateValues" dxfId="180" priority="9"/>
  </conditionalFormatting>
  <conditionalFormatting sqref="B158:B1048576 B139:B156 B135:B137 B1:B123">
    <cfRule type="duplicateValues" dxfId="179" priority="15722"/>
  </conditionalFormatting>
  <conditionalFormatting sqref="B158:B1048576 B139:B156 B135:B137 B120:B121 B110 B1:B107">
    <cfRule type="duplicateValues" dxfId="178" priority="15727"/>
  </conditionalFormatting>
  <conditionalFormatting sqref="B158:B1048576 B139:B156 B135:B137 B120:B121 B110 B57:C57 B4:B44 B45:C48 B49:B51 B54:B56 E45:G46 B52:C53 B58:B107">
    <cfRule type="duplicateValues" dxfId="177" priority="15734"/>
  </conditionalFormatting>
  <conditionalFormatting sqref="D7 D15 D31:D32 D35 D45:D46 D49 D52 D59 D62 D64">
    <cfRule type="cellIs" dxfId="176" priority="65" operator="greaterThan">
      <formula>45839</formula>
    </cfRule>
  </conditionalFormatting>
  <conditionalFormatting sqref="D64 D62 D59 D52 D49 D45:D46 D35 D31:D32 D15 D7">
    <cfRule type="duplicateValues" dxfId="175" priority="7425"/>
    <cfRule type="duplicateValues" dxfId="174" priority="7426"/>
    <cfRule type="duplicateValues" dxfId="173" priority="7427"/>
  </conditionalFormatting>
  <conditionalFormatting sqref="D66">
    <cfRule type="duplicateValues" dxfId="172" priority="59"/>
    <cfRule type="duplicateValues" dxfId="171" priority="60"/>
    <cfRule type="duplicateValues" dxfId="170" priority="62"/>
  </conditionalFormatting>
  <conditionalFormatting sqref="D66:D68">
    <cfRule type="cellIs" dxfId="169" priority="26" operator="greaterThan">
      <formula>45839</formula>
    </cfRule>
  </conditionalFormatting>
  <conditionalFormatting sqref="D68">
    <cfRule type="duplicateValues" dxfId="168" priority="27"/>
    <cfRule type="duplicateValues" dxfId="167" priority="28"/>
    <cfRule type="duplicateValues" dxfId="166" priority="29"/>
  </conditionalFormatting>
  <conditionalFormatting sqref="D73">
    <cfRule type="cellIs" dxfId="165" priority="38" operator="greaterThan">
      <formula>45839</formula>
    </cfRule>
    <cfRule type="duplicateValues" dxfId="164" priority="39"/>
    <cfRule type="duplicateValues" dxfId="163" priority="40"/>
    <cfRule type="duplicateValues" dxfId="162" priority="41"/>
  </conditionalFormatting>
  <conditionalFormatting sqref="D76 D79">
    <cfRule type="cellIs" dxfId="161" priority="34" operator="greaterThan">
      <formula>45839</formula>
    </cfRule>
  </conditionalFormatting>
  <conditionalFormatting sqref="D79 D76">
    <cfRule type="duplicateValues" dxfId="160" priority="35"/>
    <cfRule type="duplicateValues" dxfId="159" priority="36"/>
    <cfRule type="duplicateValues" dxfId="158" priority="37"/>
  </conditionalFormatting>
  <conditionalFormatting sqref="D100">
    <cfRule type="cellIs" dxfId="157" priority="30" operator="greaterThan">
      <formula>45839</formula>
    </cfRule>
    <cfRule type="duplicateValues" dxfId="156" priority="31"/>
    <cfRule type="duplicateValues" dxfId="155" priority="32"/>
    <cfRule type="duplicateValues" dxfId="154" priority="33"/>
  </conditionalFormatting>
  <conditionalFormatting sqref="D127">
    <cfRule type="cellIs" dxfId="153" priority="1" operator="greaterThan">
      <formula>45839</formula>
    </cfRule>
    <cfRule type="duplicateValues" dxfId="152" priority="2"/>
    <cfRule type="duplicateValues" dxfId="151" priority="3"/>
    <cfRule type="duplicateValues" dxfId="150" priority="4"/>
  </conditionalFormatting>
  <conditionalFormatting sqref="E57 E52:E53 E47:E48">
    <cfRule type="duplicateValues" dxfId="149" priority="6919"/>
  </conditionalFormatting>
  <conditionalFormatting sqref="E58">
    <cfRule type="duplicateValues" dxfId="148" priority="75"/>
  </conditionalFormatting>
  <conditionalFormatting sqref="E65">
    <cfRule type="duplicateValues" dxfId="147" priority="73"/>
  </conditionalFormatting>
  <conditionalFormatting sqref="E66">
    <cfRule type="duplicateValues" dxfId="146" priority="74"/>
  </conditionalFormatting>
  <conditionalFormatting sqref="E73">
    <cfRule type="duplicateValues" dxfId="145" priority="68"/>
  </conditionalFormatting>
  <conditionalFormatting sqref="E74">
    <cfRule type="duplicateValues" dxfId="144" priority="67"/>
  </conditionalFormatting>
  <conditionalFormatting sqref="E76">
    <cfRule type="duplicateValues" dxfId="143" priority="46"/>
  </conditionalFormatting>
  <conditionalFormatting sqref="E79">
    <cfRule type="duplicateValues" dxfId="142" priority="44"/>
  </conditionalFormatting>
  <conditionalFormatting sqref="E82">
    <cfRule type="duplicateValues" dxfId="141" priority="45"/>
  </conditionalFormatting>
  <conditionalFormatting sqref="E86">
    <cfRule type="duplicateValues" dxfId="140" priority="43"/>
  </conditionalFormatting>
  <conditionalFormatting sqref="E88">
    <cfRule type="duplicateValues" dxfId="139" priority="42"/>
  </conditionalFormatting>
  <conditionalFormatting sqref="S73 S75:S76">
    <cfRule type="duplicateValues" dxfId="138" priority="7456"/>
  </conditionalFormatting>
  <conditionalFormatting sqref="S73">
    <cfRule type="duplicateValues" dxfId="137" priority="70"/>
  </conditionalFormatting>
  <conditionalFormatting sqref="S75:S76">
    <cfRule type="duplicateValues" dxfId="136" priority="7455"/>
  </conditionalFormatting>
  <hyperlinks>
    <hyperlink ref="X72" r:id="rId1" xr:uid="{5B55A7A2-1A7C-46E5-A5E4-F3CF07C36DDA}"/>
  </hyperlinks>
  <pageMargins left="0.7" right="0.7" top="0.75" bottom="0.75" header="0.3" footer="0.3"/>
  <pageSetup orientation="portrait"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4"/>
  <cols>
    <col min="1" max="1" width="10.6640625" style="1003" bestFit="1" customWidth="1"/>
    <col min="2" max="2" width="10" style="778" customWidth="1"/>
    <col min="3" max="3" width="10.33203125" bestFit="1" customWidth="1"/>
    <col min="4" max="4" width="14.6640625" style="980" customWidth="1"/>
    <col min="5" max="5" width="16.44140625" bestFit="1" customWidth="1"/>
    <col min="6" max="6" width="16.33203125" bestFit="1" customWidth="1"/>
  </cols>
  <sheetData>
    <row r="1" spans="1:6">
      <c r="A1" s="993" t="s">
        <v>1701</v>
      </c>
      <c r="B1" s="993" t="s">
        <v>1702</v>
      </c>
      <c r="C1" s="898" t="s">
        <v>1703</v>
      </c>
      <c r="D1" s="994" t="s">
        <v>1704</v>
      </c>
      <c r="E1" s="898" t="s">
        <v>1705</v>
      </c>
      <c r="F1" s="898" t="s">
        <v>1706</v>
      </c>
    </row>
    <row r="2" spans="1:6" hidden="1">
      <c r="A2" s="995" t="s">
        <v>1450</v>
      </c>
      <c r="B2" s="985" t="s">
        <v>483</v>
      </c>
      <c r="C2" s="409" t="e">
        <f>VLOOKUP(A2,Foundation!$B$8:$Q$294,10, 0)</f>
        <v>#N/A</v>
      </c>
      <c r="D2" s="409" t="e">
        <f>VLOOKUP(A2,Foundation!$B$8:$Q$277,12, 0)</f>
        <v>#N/A</v>
      </c>
      <c r="E2" s="409" t="e">
        <f>VLOOKUP(A2,'Erection Compiled '!$B$2:$R$340,10, 0)</f>
        <v>#N/A</v>
      </c>
      <c r="F2" s="409" t="e">
        <f>VLOOKUP(A2,Earthing!$C$7:$H$307,4, 0)</f>
        <v>#N/A</v>
      </c>
    </row>
    <row r="3" spans="1:6" hidden="1">
      <c r="A3" s="995" t="s">
        <v>466</v>
      </c>
      <c r="B3" s="985" t="s">
        <v>1707</v>
      </c>
      <c r="C3" s="409">
        <f>VLOOKUP(A3,Foundation!$B$8:$Q$294,10, 0)</f>
        <v>0</v>
      </c>
      <c r="D3" s="409">
        <f>VLOOKUP(A3,Foundation!$B$8:$Q$277,12, 0)</f>
        <v>46064</v>
      </c>
      <c r="E3" s="409" t="e">
        <f>VLOOKUP(A3,'Erection Compiled '!$B$2:$R$340,10, 0)</f>
        <v>#N/A</v>
      </c>
      <c r="F3" s="409" t="e">
        <f>VLOOKUP(A3,Earthing!$C$7:$H$307,4, 0)</f>
        <v>#N/A</v>
      </c>
    </row>
    <row r="4" spans="1:6" hidden="1">
      <c r="A4" s="995" t="s">
        <v>1666</v>
      </c>
      <c r="B4" s="985" t="s">
        <v>90</v>
      </c>
      <c r="C4" s="409" t="e">
        <f>VLOOKUP(A4,Foundation!$B$8:$Q$294,10, 0)</f>
        <v>#N/A</v>
      </c>
      <c r="D4" s="409" t="e">
        <f>VLOOKUP(A4,Foundation!$B$8:$Q$277,12, 0)</f>
        <v>#N/A</v>
      </c>
      <c r="E4" s="409" t="e">
        <f>VLOOKUP(A4,'Erection Compiled '!$B$2:$R$340,10, 0)</f>
        <v>#N/A</v>
      </c>
      <c r="F4" s="409" t="e">
        <f>VLOOKUP(A4,Earthing!$C$7:$H$307,4, 0)</f>
        <v>#N/A</v>
      </c>
    </row>
    <row r="5" spans="1:6" hidden="1">
      <c r="A5" s="995" t="s">
        <v>1252</v>
      </c>
      <c r="B5" s="985" t="s">
        <v>90</v>
      </c>
      <c r="C5" s="409">
        <f>VLOOKUP(A5,Foundation!$B$8:$Q$294,10, 0)</f>
        <v>0</v>
      </c>
      <c r="D5" s="409">
        <f>VLOOKUP(A5,Foundation!$B$8:$Q$277,12, 0)</f>
        <v>46081</v>
      </c>
      <c r="E5" s="409" t="e">
        <f>VLOOKUP(A5,'Erection Compiled '!$B$2:$R$340,10, 0)</f>
        <v>#N/A</v>
      </c>
      <c r="F5" s="409" t="e">
        <f>VLOOKUP(A5,Earthing!$C$7:$H$307,4, 0)</f>
        <v>#N/A</v>
      </c>
    </row>
    <row r="6" spans="1:6" hidden="1">
      <c r="A6" s="995" t="s">
        <v>1708</v>
      </c>
      <c r="B6" s="985" t="s">
        <v>1696</v>
      </c>
      <c r="C6" s="409">
        <f>VLOOKUP(A6,Foundation!$B$8:$Q$294,10, 0)</f>
        <v>0</v>
      </c>
      <c r="D6" s="409" t="str">
        <f>VLOOKUP(A6,Foundation!$B$8:$Q$277,12, 0)</f>
        <v>08-03-226</v>
      </c>
      <c r="E6" s="409" t="e">
        <f>VLOOKUP(A6,'Erection Compiled '!$B$2:$R$340,10, 0)</f>
        <v>#N/A</v>
      </c>
      <c r="F6" s="409" t="e">
        <f>VLOOKUP(A6,Earthing!$C$7:$H$307,4, 0)</f>
        <v>#N/A</v>
      </c>
    </row>
    <row r="7" spans="1:6" hidden="1">
      <c r="A7" s="995" t="s">
        <v>77</v>
      </c>
      <c r="B7" s="985" t="s">
        <v>1696</v>
      </c>
      <c r="C7" s="409" t="e">
        <f>VLOOKUP(A7,Foundation!$B$8:$Q$294,10, 0)</f>
        <v>#N/A</v>
      </c>
      <c r="D7" s="409" t="e">
        <f>VLOOKUP(A7,Foundation!$B$8:$Q$277,12, 0)</f>
        <v>#N/A</v>
      </c>
      <c r="E7" s="409" t="e">
        <f>VLOOKUP(A7,'Erection Compiled '!$B$2:$R$340,10, 0)</f>
        <v>#N/A</v>
      </c>
      <c r="F7" s="409" t="e">
        <f>VLOOKUP(A7,Earthing!$C$7:$H$307,4, 0)</f>
        <v>#N/A</v>
      </c>
    </row>
    <row r="8" spans="1:6" hidden="1">
      <c r="A8" s="995" t="s">
        <v>1149</v>
      </c>
      <c r="B8" s="985" t="s">
        <v>108</v>
      </c>
      <c r="C8" s="409">
        <f>VLOOKUP(A8,Foundation!$B$8:$Q$294,10, 0)</f>
        <v>0</v>
      </c>
      <c r="D8" s="409">
        <f>VLOOKUP(A8,Foundation!$B$8:$Q$277,12, 0)</f>
        <v>46108</v>
      </c>
      <c r="E8" s="409" t="e">
        <f>VLOOKUP(A8,'Erection Compiled '!$B$2:$R$340,10, 0)</f>
        <v>#N/A</v>
      </c>
      <c r="F8" s="409" t="e">
        <f>VLOOKUP(A8,Earthing!$C$7:$H$307,4, 0)</f>
        <v>#N/A</v>
      </c>
    </row>
    <row r="9" spans="1:6" hidden="1">
      <c r="A9" s="995" t="s">
        <v>79</v>
      </c>
      <c r="B9" s="985" t="s">
        <v>82</v>
      </c>
      <c r="C9" s="409" t="e">
        <f>VLOOKUP(A9,Foundation!$B$8:$Q$294,10, 0)</f>
        <v>#N/A</v>
      </c>
      <c r="D9" s="409" t="e">
        <f>VLOOKUP(A9,Foundation!$B$8:$Q$277,12, 0)</f>
        <v>#N/A</v>
      </c>
      <c r="E9" s="409" t="e">
        <f>VLOOKUP(A9,'Erection Compiled '!$B$2:$R$340,10, 0)</f>
        <v>#N/A</v>
      </c>
      <c r="F9" s="409" t="e">
        <f>VLOOKUP(A9,Earthing!$C$7:$H$307,4, 0)</f>
        <v>#N/A</v>
      </c>
    </row>
    <row r="10" spans="1:6" hidden="1">
      <c r="A10" s="995" t="s">
        <v>1667</v>
      </c>
      <c r="B10" s="985" t="s">
        <v>112</v>
      </c>
      <c r="C10" s="409" t="e">
        <f>VLOOKUP(A10,Foundation!$B$8:$Q$294,10, 0)</f>
        <v>#N/A</v>
      </c>
      <c r="D10" s="409" t="e">
        <f>VLOOKUP(A10,Foundation!$B$8:$Q$277,12, 0)</f>
        <v>#N/A</v>
      </c>
      <c r="E10" s="409" t="e">
        <f>VLOOKUP(A10,'Erection Compiled '!$B$2:$R$340,10, 0)</f>
        <v>#N/A</v>
      </c>
      <c r="F10" s="409" t="e">
        <f>VLOOKUP(A10,Earthing!$C$7:$H$307,4, 0)</f>
        <v>#N/A</v>
      </c>
    </row>
    <row r="11" spans="1:6" hidden="1">
      <c r="A11" s="995" t="s">
        <v>499</v>
      </c>
      <c r="B11" s="985" t="s">
        <v>147</v>
      </c>
      <c r="C11" s="409">
        <f>VLOOKUP(A11,Foundation!$B$8:$Q$294,10, 0)</f>
        <v>0</v>
      </c>
      <c r="D11" s="409">
        <f>VLOOKUP(A11,Foundation!$B$8:$Q$277,12, 0)</f>
        <v>46112</v>
      </c>
      <c r="E11" s="409" t="e">
        <f>VLOOKUP(A11,'Erection Compiled '!$B$2:$R$340,10, 0)</f>
        <v>#N/A</v>
      </c>
      <c r="F11" s="409" t="e">
        <f>VLOOKUP(A11,Earthing!$C$7:$H$307,4, 0)</f>
        <v>#N/A</v>
      </c>
    </row>
    <row r="12" spans="1:6" hidden="1">
      <c r="A12" s="995" t="s">
        <v>500</v>
      </c>
      <c r="B12" s="985" t="s">
        <v>147</v>
      </c>
      <c r="C12" s="409">
        <f>VLOOKUP(A12,Foundation!$B$8:$Q$294,10, 0)</f>
        <v>0</v>
      </c>
      <c r="D12" s="409">
        <f>VLOOKUP(A12,Foundation!$B$8:$Q$277,12, 0)</f>
        <v>46101</v>
      </c>
      <c r="E12" s="409" t="e">
        <f>VLOOKUP(A12,'Erection Compiled '!$B$2:$R$340,10, 0)</f>
        <v>#N/A</v>
      </c>
      <c r="F12" s="409" t="e">
        <f>VLOOKUP(A12,Earthing!$C$7:$H$307,4, 0)</f>
        <v>#N/A</v>
      </c>
    </row>
    <row r="13" spans="1:6" hidden="1">
      <c r="A13" s="995" t="s">
        <v>1709</v>
      </c>
      <c r="B13" s="985" t="s">
        <v>147</v>
      </c>
      <c r="C13" s="409" t="e">
        <f>VLOOKUP(A13,Foundation!$B$8:$Q$294,10, 0)</f>
        <v>#N/A</v>
      </c>
      <c r="D13" s="409" t="e">
        <f>VLOOKUP(A13,Foundation!$B$8:$Q$277,12, 0)</f>
        <v>#N/A</v>
      </c>
      <c r="E13" s="409" t="e">
        <f>VLOOKUP(A13,'Erection Compiled '!$B$2:$R$340,10, 0)</f>
        <v>#N/A</v>
      </c>
      <c r="F13" s="409" t="e">
        <f>VLOOKUP(A13,Earthing!$C$7:$H$307,4, 0)</f>
        <v>#N/A</v>
      </c>
    </row>
    <row r="14" spans="1:6" hidden="1">
      <c r="A14" s="995" t="s">
        <v>1710</v>
      </c>
      <c r="B14" s="985" t="s">
        <v>147</v>
      </c>
      <c r="C14" s="409" t="e">
        <f>VLOOKUP(A14,Foundation!$B$8:$Q$294,10, 0)</f>
        <v>#N/A</v>
      </c>
      <c r="D14" s="409" t="e">
        <f>VLOOKUP(A14,Foundation!$B$8:$Q$277,12, 0)</f>
        <v>#N/A</v>
      </c>
      <c r="E14" s="409" t="e">
        <f>VLOOKUP(A14,'Erection Compiled '!$B$2:$R$340,10, 0)</f>
        <v>#N/A</v>
      </c>
      <c r="F14" s="409" t="e">
        <f>VLOOKUP(A14,Earthing!$C$7:$H$307,4, 0)</f>
        <v>#N/A</v>
      </c>
    </row>
    <row r="15" spans="1:6" hidden="1">
      <c r="A15" s="995" t="s">
        <v>1711</v>
      </c>
      <c r="B15" s="985" t="s">
        <v>147</v>
      </c>
      <c r="C15" s="409" t="e">
        <f>VLOOKUP(A15,Foundation!$B$8:$Q$294,10, 0)</f>
        <v>#N/A</v>
      </c>
      <c r="D15" s="409" t="e">
        <f>VLOOKUP(A15,Foundation!$B$8:$Q$277,12, 0)</f>
        <v>#N/A</v>
      </c>
      <c r="E15" s="409" t="e">
        <f>VLOOKUP(A15,'Erection Compiled '!$B$2:$R$340,10, 0)</f>
        <v>#N/A</v>
      </c>
      <c r="F15" s="409" t="e">
        <f>VLOOKUP(A15,Earthing!$C$7:$H$307,4, 0)</f>
        <v>#N/A</v>
      </c>
    </row>
    <row r="16" spans="1:6" hidden="1">
      <c r="A16" s="995" t="s">
        <v>1712</v>
      </c>
      <c r="B16" s="985" t="s">
        <v>206</v>
      </c>
      <c r="C16" s="409" t="e">
        <f>VLOOKUP(A16,Foundation!$B$8:$Q$294,10, 0)</f>
        <v>#N/A</v>
      </c>
      <c r="D16" s="409" t="e">
        <f>VLOOKUP(A16,Foundation!$B$8:$Q$277,12, 0)</f>
        <v>#N/A</v>
      </c>
      <c r="E16" s="409" t="e">
        <f>VLOOKUP(A16,'Erection Compiled '!$B$2:$R$340,10, 0)</f>
        <v>#N/A</v>
      </c>
      <c r="F16" s="409" t="e">
        <f>VLOOKUP(A16,Earthing!$C$7:$H$307,4, 0)</f>
        <v>#N/A</v>
      </c>
    </row>
    <row r="17" spans="1:6" hidden="1">
      <c r="A17" s="995" t="s">
        <v>1713</v>
      </c>
      <c r="B17" s="985" t="s">
        <v>84</v>
      </c>
      <c r="C17" s="409" t="e">
        <f>VLOOKUP(A17,Foundation!$B$8:$Q$294,10, 0)</f>
        <v>#N/A</v>
      </c>
      <c r="D17" s="409" t="e">
        <f>VLOOKUP(A17,Foundation!$B$8:$Q$277,12, 0)</f>
        <v>#N/A</v>
      </c>
      <c r="E17" s="409" t="e">
        <f>VLOOKUP(A17,'Erection Compiled '!$B$2:$R$340,10, 0)</f>
        <v>#N/A</v>
      </c>
      <c r="F17" s="409" t="e">
        <f>VLOOKUP(A17,Earthing!$C$7:$H$307,4, 0)</f>
        <v>#N/A</v>
      </c>
    </row>
    <row r="18" spans="1:6" hidden="1">
      <c r="A18" s="995" t="s">
        <v>1714</v>
      </c>
      <c r="B18" s="985" t="s">
        <v>206</v>
      </c>
      <c r="C18" s="409" t="e">
        <f>VLOOKUP(A18,Foundation!$B$8:$Q$294,10, 0)</f>
        <v>#N/A</v>
      </c>
      <c r="D18" s="409" t="e">
        <f>VLOOKUP(A18,Foundation!$B$8:$Q$277,12, 0)</f>
        <v>#N/A</v>
      </c>
      <c r="E18" s="409" t="e">
        <f>VLOOKUP(A18,'Erection Compiled '!$B$2:$R$340,10, 0)</f>
        <v>#N/A</v>
      </c>
      <c r="F18" s="409" t="e">
        <f>VLOOKUP(A18,Earthing!$C$7:$H$307,4, 0)</f>
        <v>#N/A</v>
      </c>
    </row>
    <row r="19" spans="1:6" hidden="1">
      <c r="A19" s="995" t="s">
        <v>1715</v>
      </c>
      <c r="B19" s="985" t="s">
        <v>90</v>
      </c>
      <c r="C19" s="409" t="e">
        <f>VLOOKUP(A19,Foundation!$B$8:$Q$294,10, 0)</f>
        <v>#N/A</v>
      </c>
      <c r="D19" s="409" t="e">
        <f>VLOOKUP(A19,Foundation!$B$8:$Q$277,12, 0)</f>
        <v>#N/A</v>
      </c>
      <c r="E19" s="409" t="e">
        <f>VLOOKUP(A19,'Erection Compiled '!$B$2:$R$340,10, 0)</f>
        <v>#N/A</v>
      </c>
      <c r="F19" s="409" t="e">
        <f>VLOOKUP(A19,Earthing!$C$7:$H$307,4, 0)</f>
        <v>#N/A</v>
      </c>
    </row>
    <row r="20" spans="1:6" hidden="1">
      <c r="A20" s="995" t="s">
        <v>1716</v>
      </c>
      <c r="B20" s="985" t="s">
        <v>147</v>
      </c>
      <c r="C20" s="409" t="e">
        <f>VLOOKUP(A20,Foundation!$B$8:$Q$294,10, 0)</f>
        <v>#N/A</v>
      </c>
      <c r="D20" s="409" t="e">
        <f>VLOOKUP(A20,Foundation!$B$8:$Q$277,12, 0)</f>
        <v>#N/A</v>
      </c>
      <c r="E20" s="409" t="e">
        <f>VLOOKUP(A20,'Erection Compiled '!$B$2:$R$340,10, 0)</f>
        <v>#N/A</v>
      </c>
      <c r="F20" s="409" t="e">
        <f>VLOOKUP(A20,Earthing!$C$7:$H$307,4, 0)</f>
        <v>#N/A</v>
      </c>
    </row>
    <row r="21" spans="1:6" hidden="1">
      <c r="A21" s="995" t="s">
        <v>1717</v>
      </c>
      <c r="B21" s="985" t="s">
        <v>90</v>
      </c>
      <c r="C21" s="409" t="e">
        <f>VLOOKUP(A21,Foundation!$B$8:$Q$294,10, 0)</f>
        <v>#N/A</v>
      </c>
      <c r="D21" s="409" t="e">
        <f>VLOOKUP(A21,Foundation!$B$8:$Q$277,12, 0)</f>
        <v>#N/A</v>
      </c>
      <c r="E21" s="409" t="e">
        <f>VLOOKUP(A21,'Erection Compiled '!$B$2:$R$340,10, 0)</f>
        <v>#N/A</v>
      </c>
      <c r="F21" s="409" t="e">
        <f>VLOOKUP(A21,Earthing!$C$7:$H$307,4, 0)</f>
        <v>#N/A</v>
      </c>
    </row>
    <row r="22" spans="1:6" hidden="1">
      <c r="A22" s="995" t="s">
        <v>1718</v>
      </c>
      <c r="B22" s="985" t="s">
        <v>102</v>
      </c>
      <c r="C22" s="409" t="e">
        <f>VLOOKUP(A22,Foundation!$B$8:$Q$294,10, 0)</f>
        <v>#N/A</v>
      </c>
      <c r="D22" s="409" t="e">
        <f>VLOOKUP(A22,Foundation!$B$8:$Q$277,12, 0)</f>
        <v>#N/A</v>
      </c>
      <c r="E22" s="409" t="e">
        <f>VLOOKUP(A22,'Erection Compiled '!$B$2:$R$340,10, 0)</f>
        <v>#N/A</v>
      </c>
      <c r="F22" s="409" t="e">
        <f>VLOOKUP(A22,Earthing!$C$7:$H$307,4, 0)</f>
        <v>#N/A</v>
      </c>
    </row>
    <row r="23" spans="1:6" hidden="1">
      <c r="A23" s="995" t="s">
        <v>1719</v>
      </c>
      <c r="B23" s="985" t="s">
        <v>102</v>
      </c>
      <c r="C23" s="409" t="e">
        <f>VLOOKUP(A23,Foundation!$B$8:$Q$294,10, 0)</f>
        <v>#N/A</v>
      </c>
      <c r="D23" s="409" t="e">
        <f>VLOOKUP(A23,Foundation!$B$8:$Q$277,12, 0)</f>
        <v>#N/A</v>
      </c>
      <c r="E23" s="409" t="e">
        <f>VLOOKUP(A23,'Erection Compiled '!$B$2:$R$340,10, 0)</f>
        <v>#N/A</v>
      </c>
      <c r="F23" s="409" t="e">
        <f>VLOOKUP(A23,Earthing!$C$7:$H$307,4, 0)</f>
        <v>#N/A</v>
      </c>
    </row>
    <row r="24" spans="1:6" hidden="1">
      <c r="A24" s="995" t="s">
        <v>81</v>
      </c>
      <c r="B24" s="985" t="s">
        <v>80</v>
      </c>
      <c r="C24" s="409">
        <f>VLOOKUP(A24,Foundation!$B$8:$Q$294,10, 0)</f>
        <v>0</v>
      </c>
      <c r="D24" s="409">
        <f>VLOOKUP(A24,Foundation!$B$8:$Q$277,12, 0)</f>
        <v>46072</v>
      </c>
      <c r="E24" s="409" t="e">
        <f>VLOOKUP(A24,'Erection Compiled '!$B$2:$R$340,10, 0)</f>
        <v>#N/A</v>
      </c>
      <c r="F24" s="409" t="e">
        <f>VLOOKUP(A24,Earthing!$C$7:$H$307,4, 0)</f>
        <v>#N/A</v>
      </c>
    </row>
    <row r="25" spans="1:6" hidden="1">
      <c r="A25" s="995" t="s">
        <v>1720</v>
      </c>
      <c r="B25" s="985" t="s">
        <v>80</v>
      </c>
      <c r="C25" s="409" t="e">
        <f>VLOOKUP(A25,Foundation!$B$8:$Q$294,10, 0)</f>
        <v>#N/A</v>
      </c>
      <c r="D25" s="409" t="e">
        <f>VLOOKUP(A25,Foundation!$B$8:$Q$277,12, 0)</f>
        <v>#N/A</v>
      </c>
      <c r="E25" s="409" t="e">
        <f>VLOOKUP(A25,'Erection Compiled '!$B$2:$R$340,10, 0)</f>
        <v>#N/A</v>
      </c>
      <c r="F25" s="409" t="e">
        <f>VLOOKUP(A25,Earthing!$C$7:$H$307,4, 0)</f>
        <v>#N/A</v>
      </c>
    </row>
    <row r="26" spans="1:6" hidden="1">
      <c r="A26" s="995" t="s">
        <v>120</v>
      </c>
      <c r="B26" s="985" t="s">
        <v>97</v>
      </c>
      <c r="C26" s="409" t="e">
        <f>VLOOKUP(A26,Foundation!$B$8:$Q$294,10, 0)</f>
        <v>#N/A</v>
      </c>
      <c r="D26" s="409" t="e">
        <f>VLOOKUP(A26,Foundation!$B$8:$Q$277,12, 0)</f>
        <v>#N/A</v>
      </c>
      <c r="E26" s="409" t="e">
        <f>VLOOKUP(A26,'Erection Compiled '!$B$2:$R$340,10, 0)</f>
        <v>#N/A</v>
      </c>
      <c r="F26" s="409" t="e">
        <f>VLOOKUP(A26,Earthing!$C$7:$H$307,4, 0)</f>
        <v>#N/A</v>
      </c>
    </row>
    <row r="27" spans="1:6" hidden="1">
      <c r="A27" s="995" t="s">
        <v>1721</v>
      </c>
      <c r="B27" s="985" t="s">
        <v>102</v>
      </c>
      <c r="C27" s="409" t="e">
        <f>VLOOKUP(A27,Foundation!$B$8:$Q$294,10, 0)</f>
        <v>#N/A</v>
      </c>
      <c r="D27" s="409" t="e">
        <f>VLOOKUP(A27,Foundation!$B$8:$Q$277,12, 0)</f>
        <v>#N/A</v>
      </c>
      <c r="E27" s="409" t="e">
        <f>VLOOKUP(A27,'Erection Compiled '!$B$2:$R$340,10, 0)</f>
        <v>#N/A</v>
      </c>
      <c r="F27" s="409" t="e">
        <f>VLOOKUP(A27,Earthing!$C$7:$H$307,4, 0)</f>
        <v>#N/A</v>
      </c>
    </row>
    <row r="28" spans="1:6" hidden="1">
      <c r="A28" s="995" t="s">
        <v>1722</v>
      </c>
      <c r="B28" s="985" t="s">
        <v>147</v>
      </c>
      <c r="C28" s="409" t="e">
        <f>VLOOKUP(A28,Foundation!$B$8:$Q$294,10, 0)</f>
        <v>#N/A</v>
      </c>
      <c r="D28" s="409" t="e">
        <f>VLOOKUP(A28,Foundation!$B$8:$Q$277,12, 0)</f>
        <v>#N/A</v>
      </c>
      <c r="E28" s="409" t="e">
        <f>VLOOKUP(A28,'Erection Compiled '!$B$2:$R$340,10, 0)</f>
        <v>#N/A</v>
      </c>
      <c r="F28" s="409" t="e">
        <f>VLOOKUP(A28,Earthing!$C$7:$H$307,4, 0)</f>
        <v>#N/A</v>
      </c>
    </row>
    <row r="29" spans="1:6" hidden="1">
      <c r="A29" s="995" t="s">
        <v>1723</v>
      </c>
      <c r="B29" s="985" t="s">
        <v>157</v>
      </c>
      <c r="C29" s="409" t="e">
        <f>VLOOKUP(A29,Foundation!$B$8:$Q$294,10, 0)</f>
        <v>#N/A</v>
      </c>
      <c r="D29" s="409" t="e">
        <f>VLOOKUP(A29,Foundation!$B$8:$Q$277,12, 0)</f>
        <v>#N/A</v>
      </c>
      <c r="E29" s="409" t="e">
        <f>VLOOKUP(A29,'Erection Compiled '!$B$2:$R$340,10, 0)</f>
        <v>#N/A</v>
      </c>
      <c r="F29" s="409" t="e">
        <f>VLOOKUP(A29,Earthing!$C$7:$H$307,4, 0)</f>
        <v>#N/A</v>
      </c>
    </row>
    <row r="30" spans="1:6" hidden="1">
      <c r="A30" s="995" t="s">
        <v>1724</v>
      </c>
      <c r="B30" s="985" t="s">
        <v>212</v>
      </c>
      <c r="C30" s="409" t="e">
        <f>VLOOKUP(A30,Foundation!$B$8:$Q$294,10, 0)</f>
        <v>#N/A</v>
      </c>
      <c r="D30" s="409" t="e">
        <f>VLOOKUP(A30,Foundation!$B$8:$Q$277,12, 0)</f>
        <v>#N/A</v>
      </c>
      <c r="E30" s="409" t="e">
        <f>VLOOKUP(A30,'Erection Compiled '!$B$2:$R$340,10, 0)</f>
        <v>#N/A</v>
      </c>
      <c r="F30" s="409" t="e">
        <f>VLOOKUP(A30,Earthing!$C$7:$H$307,4, 0)</f>
        <v>#N/A</v>
      </c>
    </row>
    <row r="31" spans="1:6" hidden="1">
      <c r="A31" s="995" t="s">
        <v>1725</v>
      </c>
      <c r="B31" s="985" t="s">
        <v>147</v>
      </c>
      <c r="C31" s="409" t="e">
        <f>VLOOKUP(A31,Foundation!$B$8:$Q$294,10, 0)</f>
        <v>#N/A</v>
      </c>
      <c r="D31" s="409" t="e">
        <f>VLOOKUP(A31,Foundation!$B$8:$Q$277,12, 0)</f>
        <v>#N/A</v>
      </c>
      <c r="E31" s="409" t="e">
        <f>VLOOKUP(A31,'Erection Compiled '!$B$2:$R$340,10, 0)</f>
        <v>#N/A</v>
      </c>
      <c r="F31" s="409" t="e">
        <f>VLOOKUP(A31,Earthing!$C$7:$H$307,4, 0)</f>
        <v>#N/A</v>
      </c>
    </row>
    <row r="32" spans="1:6" hidden="1">
      <c r="A32" s="995" t="s">
        <v>1726</v>
      </c>
      <c r="B32" s="985" t="s">
        <v>150</v>
      </c>
      <c r="C32" s="409" t="e">
        <f>VLOOKUP(A32,Foundation!$B$8:$Q$294,10, 0)</f>
        <v>#N/A</v>
      </c>
      <c r="D32" s="409" t="e">
        <f>VLOOKUP(A32,Foundation!$B$8:$Q$277,12, 0)</f>
        <v>#N/A</v>
      </c>
      <c r="E32" s="409" t="e">
        <f>VLOOKUP(A32,'Erection Compiled '!$B$2:$R$340,10, 0)</f>
        <v>#N/A</v>
      </c>
      <c r="F32" s="409" t="e">
        <f>VLOOKUP(A32,Earthing!$C$7:$H$307,4, 0)</f>
        <v>#N/A</v>
      </c>
    </row>
    <row r="33" spans="1:6" hidden="1">
      <c r="A33" s="995" t="s">
        <v>1727</v>
      </c>
      <c r="B33" s="985" t="s">
        <v>150</v>
      </c>
      <c r="C33" s="409" t="e">
        <f>VLOOKUP(A33,Foundation!$B$8:$Q$294,10, 0)</f>
        <v>#N/A</v>
      </c>
      <c r="D33" s="409" t="e">
        <f>VLOOKUP(A33,Foundation!$B$8:$Q$277,12, 0)</f>
        <v>#N/A</v>
      </c>
      <c r="E33" s="409" t="e">
        <f>VLOOKUP(A33,'Erection Compiled '!$B$2:$R$340,10, 0)</f>
        <v>#N/A</v>
      </c>
      <c r="F33" s="409" t="e">
        <f>VLOOKUP(A33,Earthing!$C$7:$H$307,4, 0)</f>
        <v>#N/A</v>
      </c>
    </row>
    <row r="34" spans="1:6" hidden="1">
      <c r="A34" s="996" t="s">
        <v>83</v>
      </c>
      <c r="B34" s="986" t="s">
        <v>84</v>
      </c>
      <c r="C34" s="409">
        <f>VLOOKUP(A34,Foundation!$B$8:$Q$294,10, 0)</f>
        <v>0</v>
      </c>
      <c r="D34" s="409">
        <f>VLOOKUP(A34,Foundation!$B$8:$Q$277,12, 0)</f>
        <v>46059</v>
      </c>
      <c r="E34" s="409" t="e">
        <f>VLOOKUP(A34,'Erection Compiled '!$B$2:$R$340,10, 0)</f>
        <v>#N/A</v>
      </c>
      <c r="F34" s="409" t="e">
        <f>VLOOKUP(A34,Earthing!$C$7:$H$307,4, 0)</f>
        <v>#N/A</v>
      </c>
    </row>
    <row r="35" spans="1:6" hidden="1">
      <c r="A35" s="996" t="s">
        <v>503</v>
      </c>
      <c r="B35" s="986" t="s">
        <v>147</v>
      </c>
      <c r="C35" s="409" t="e">
        <f>VLOOKUP(A35,Foundation!$B$8:$Q$294,10, 0)</f>
        <v>#N/A</v>
      </c>
      <c r="D35" s="409" t="e">
        <f>VLOOKUP(A35,Foundation!$B$8:$Q$277,12, 0)</f>
        <v>#N/A</v>
      </c>
      <c r="E35" s="409" t="e">
        <f>VLOOKUP(A35,'Erection Compiled '!$B$2:$R$340,10, 0)</f>
        <v>#N/A</v>
      </c>
      <c r="F35" s="409" t="e">
        <f>VLOOKUP(A35,Earthing!$C$7:$H$307,4, 0)</f>
        <v>#N/A</v>
      </c>
    </row>
    <row r="36" spans="1:6" hidden="1">
      <c r="A36" s="996" t="s">
        <v>506</v>
      </c>
      <c r="B36" s="986" t="s">
        <v>147</v>
      </c>
      <c r="C36" s="409" t="e">
        <f>VLOOKUP(A36,Foundation!$B$8:$Q$294,10, 0)</f>
        <v>#N/A</v>
      </c>
      <c r="D36" s="409" t="e">
        <f>VLOOKUP(A36,Foundation!$B$8:$Q$277,12, 0)</f>
        <v>#N/A</v>
      </c>
      <c r="E36" s="409" t="e">
        <f>VLOOKUP(A36,'Erection Compiled '!$B$2:$R$340,10, 0)</f>
        <v>#N/A</v>
      </c>
      <c r="F36" s="409" t="e">
        <f>VLOOKUP(A36,Earthing!$C$7:$H$307,4, 0)</f>
        <v>#N/A</v>
      </c>
    </row>
    <row r="37" spans="1:6" hidden="1">
      <c r="A37" s="996" t="s">
        <v>507</v>
      </c>
      <c r="B37" s="986" t="s">
        <v>147</v>
      </c>
      <c r="C37" s="409" t="e">
        <f>VLOOKUP(A37,Foundation!$B$8:$Q$294,10, 0)</f>
        <v>#N/A</v>
      </c>
      <c r="D37" s="409" t="e">
        <f>VLOOKUP(A37,Foundation!$B$8:$Q$277,12, 0)</f>
        <v>#N/A</v>
      </c>
      <c r="E37" s="409" t="e">
        <f>VLOOKUP(A37,'Erection Compiled '!$B$2:$R$340,10, 0)</f>
        <v>#N/A</v>
      </c>
      <c r="F37" s="409" t="e">
        <f>VLOOKUP(A37,Earthing!$C$7:$H$307,4, 0)</f>
        <v>#N/A</v>
      </c>
    </row>
    <row r="38" spans="1:6" hidden="1">
      <c r="A38" s="996" t="s">
        <v>508</v>
      </c>
      <c r="B38" s="986" t="s">
        <v>147</v>
      </c>
      <c r="C38" s="409" t="e">
        <f>VLOOKUP(A38,Foundation!$B$8:$Q$294,10, 0)</f>
        <v>#N/A</v>
      </c>
      <c r="D38" s="409" t="e">
        <f>VLOOKUP(A38,Foundation!$B$8:$Q$277,12, 0)</f>
        <v>#N/A</v>
      </c>
      <c r="E38" s="409" t="e">
        <f>VLOOKUP(A38,'Erection Compiled '!$B$2:$R$340,10, 0)</f>
        <v>#N/A</v>
      </c>
      <c r="F38" s="409" t="e">
        <f>VLOOKUP(A38,Earthing!$C$7:$H$307,4, 0)</f>
        <v>#N/A</v>
      </c>
    </row>
    <row r="39" spans="1:6" hidden="1">
      <c r="A39" s="996" t="s">
        <v>509</v>
      </c>
      <c r="B39" s="986" t="s">
        <v>147</v>
      </c>
      <c r="C39" s="409" t="e">
        <f>VLOOKUP(A39,Foundation!$B$8:$Q$294,10, 0)</f>
        <v>#N/A</v>
      </c>
      <c r="D39" s="409" t="e">
        <f>VLOOKUP(A39,Foundation!$B$8:$Q$277,12, 0)</f>
        <v>#N/A</v>
      </c>
      <c r="E39" s="409" t="e">
        <f>VLOOKUP(A39,'Erection Compiled '!$B$2:$R$340,10, 0)</f>
        <v>#N/A</v>
      </c>
      <c r="F39" s="409" t="e">
        <f>VLOOKUP(A39,Earthing!$C$7:$H$307,4, 0)</f>
        <v>#N/A</v>
      </c>
    </row>
    <row r="40" spans="1:6" hidden="1">
      <c r="A40" s="996" t="s">
        <v>510</v>
      </c>
      <c r="B40" s="986" t="s">
        <v>147</v>
      </c>
      <c r="C40" s="409" t="e">
        <f>VLOOKUP(A40,Foundation!$B$8:$Q$294,10, 0)</f>
        <v>#N/A</v>
      </c>
      <c r="D40" s="409" t="e">
        <f>VLOOKUP(A40,Foundation!$B$8:$Q$277,12, 0)</f>
        <v>#N/A</v>
      </c>
      <c r="E40" s="409" t="e">
        <f>VLOOKUP(A40,'Erection Compiled '!$B$2:$R$340,10, 0)</f>
        <v>#N/A</v>
      </c>
      <c r="F40" s="409" t="e">
        <f>VLOOKUP(A40,Earthing!$C$7:$H$307,4, 0)</f>
        <v>#N/A</v>
      </c>
    </row>
    <row r="41" spans="1:6" hidden="1">
      <c r="A41" s="996" t="s">
        <v>1169</v>
      </c>
      <c r="B41" s="986" t="s">
        <v>147</v>
      </c>
      <c r="C41" s="409" t="e">
        <f>VLOOKUP(A41,Foundation!$B$8:$Q$294,10, 0)</f>
        <v>#N/A</v>
      </c>
      <c r="D41" s="409" t="e">
        <f>VLOOKUP(A41,Foundation!$B$8:$Q$277,12, 0)</f>
        <v>#N/A</v>
      </c>
      <c r="E41" s="409" t="e">
        <f>VLOOKUP(A41,'Erection Compiled '!$B$2:$R$340,10, 0)</f>
        <v>#N/A</v>
      </c>
      <c r="F41" s="409" t="e">
        <f>VLOOKUP(A41,Earthing!$C$7:$H$307,4, 0)</f>
        <v>#N/A</v>
      </c>
    </row>
    <row r="42" spans="1:6" hidden="1">
      <c r="A42" s="996" t="s">
        <v>1170</v>
      </c>
      <c r="B42" s="986" t="s">
        <v>150</v>
      </c>
      <c r="C42" s="409" t="e">
        <f>VLOOKUP(A42,Foundation!$B$8:$Q$294,10, 0)</f>
        <v>#N/A</v>
      </c>
      <c r="D42" s="409" t="e">
        <f>VLOOKUP(A42,Foundation!$B$8:$Q$277,12, 0)</f>
        <v>#N/A</v>
      </c>
      <c r="E42" s="409" t="e">
        <f>VLOOKUP(A42,'Erection Compiled '!$B$2:$R$340,10, 0)</f>
        <v>#N/A</v>
      </c>
      <c r="F42" s="409" t="e">
        <f>VLOOKUP(A42,Earthing!$C$7:$H$307,4, 0)</f>
        <v>#N/A</v>
      </c>
    </row>
    <row r="43" spans="1:6" hidden="1">
      <c r="A43" s="996" t="s">
        <v>1171</v>
      </c>
      <c r="B43" s="986" t="s">
        <v>147</v>
      </c>
      <c r="C43" s="409" t="e">
        <f>VLOOKUP(A43,Foundation!$B$8:$Q$294,10, 0)</f>
        <v>#N/A</v>
      </c>
      <c r="D43" s="409" t="e">
        <f>VLOOKUP(A43,Foundation!$B$8:$Q$277,12, 0)</f>
        <v>#N/A</v>
      </c>
      <c r="E43" s="409" t="e">
        <f>VLOOKUP(A43,'Erection Compiled '!$B$2:$R$340,10, 0)</f>
        <v>#N/A</v>
      </c>
      <c r="F43" s="409" t="e">
        <f>VLOOKUP(A43,Earthing!$C$7:$H$307,4, 0)</f>
        <v>#N/A</v>
      </c>
    </row>
    <row r="44" spans="1:6" hidden="1">
      <c r="A44" s="996" t="s">
        <v>1172</v>
      </c>
      <c r="B44" s="986" t="s">
        <v>150</v>
      </c>
      <c r="C44" s="409" t="e">
        <f>VLOOKUP(A44,Foundation!$B$8:$Q$294,10, 0)</f>
        <v>#N/A</v>
      </c>
      <c r="D44" s="409" t="e">
        <f>VLOOKUP(A44,Foundation!$B$8:$Q$277,12, 0)</f>
        <v>#N/A</v>
      </c>
      <c r="E44" s="409" t="e">
        <f>VLOOKUP(A44,'Erection Compiled '!$B$2:$R$340,10, 0)</f>
        <v>#N/A</v>
      </c>
      <c r="F44" s="409" t="e">
        <f>VLOOKUP(A44,Earthing!$C$7:$H$307,4, 0)</f>
        <v>#N/A</v>
      </c>
    </row>
    <row r="45" spans="1:6" hidden="1">
      <c r="A45" s="996" t="s">
        <v>85</v>
      </c>
      <c r="B45" s="986" t="s">
        <v>84</v>
      </c>
      <c r="C45" s="409" t="e">
        <f>VLOOKUP(A45,Foundation!$B$8:$Q$294,10, 0)</f>
        <v>#N/A</v>
      </c>
      <c r="D45" s="409" t="e">
        <f>VLOOKUP(A45,Foundation!$B$8:$Q$277,12, 0)</f>
        <v>#N/A</v>
      </c>
      <c r="E45" s="409" t="e">
        <f>VLOOKUP(A45,'Erection Compiled '!$B$2:$R$340,10, 0)</f>
        <v>#N/A</v>
      </c>
      <c r="F45" s="409" t="e">
        <f>VLOOKUP(A45,Earthing!$C$7:$H$307,4, 0)</f>
        <v>#N/A</v>
      </c>
    </row>
    <row r="46" spans="1:6" hidden="1">
      <c r="A46" s="996" t="s">
        <v>1173</v>
      </c>
      <c r="B46" s="986" t="s">
        <v>147</v>
      </c>
      <c r="C46" s="409" t="e">
        <f>VLOOKUP(A46,Foundation!$B$8:$Q$294,10, 0)</f>
        <v>#N/A</v>
      </c>
      <c r="D46" s="409" t="e">
        <f>VLOOKUP(A46,Foundation!$B$8:$Q$277,12, 0)</f>
        <v>#N/A</v>
      </c>
      <c r="E46" s="409" t="e">
        <f>VLOOKUP(A46,'Erection Compiled '!$B$2:$R$340,10, 0)</f>
        <v>#N/A</v>
      </c>
      <c r="F46" s="409" t="e">
        <f>VLOOKUP(A46,Earthing!$C$7:$H$307,4, 0)</f>
        <v>#N/A</v>
      </c>
    </row>
    <row r="47" spans="1:6" hidden="1">
      <c r="A47" s="996" t="s">
        <v>1174</v>
      </c>
      <c r="B47" s="986" t="s">
        <v>147</v>
      </c>
      <c r="C47" s="409" t="e">
        <f>VLOOKUP(A47,Foundation!$B$8:$Q$294,10, 0)</f>
        <v>#N/A</v>
      </c>
      <c r="D47" s="409" t="e">
        <f>VLOOKUP(A47,Foundation!$B$8:$Q$277,12, 0)</f>
        <v>#N/A</v>
      </c>
      <c r="E47" s="409" t="e">
        <f>VLOOKUP(A47,'Erection Compiled '!$B$2:$R$340,10, 0)</f>
        <v>#N/A</v>
      </c>
      <c r="F47" s="409" t="e">
        <f>VLOOKUP(A47,Earthing!$C$7:$H$307,4, 0)</f>
        <v>#N/A</v>
      </c>
    </row>
    <row r="48" spans="1:6" hidden="1">
      <c r="A48" s="996" t="s">
        <v>1175</v>
      </c>
      <c r="B48" s="986" t="s">
        <v>147</v>
      </c>
      <c r="C48" s="409" t="e">
        <f>VLOOKUP(A48,Foundation!$B$8:$Q$294,10, 0)</f>
        <v>#N/A</v>
      </c>
      <c r="D48" s="409" t="e">
        <f>VLOOKUP(A48,Foundation!$B$8:$Q$277,12, 0)</f>
        <v>#N/A</v>
      </c>
      <c r="E48" s="409" t="e">
        <f>VLOOKUP(A48,'Erection Compiled '!$B$2:$R$340,10, 0)</f>
        <v>#N/A</v>
      </c>
      <c r="F48" s="409" t="e">
        <f>VLOOKUP(A48,Earthing!$C$7:$H$307,4, 0)</f>
        <v>#N/A</v>
      </c>
    </row>
    <row r="49" spans="1:6" hidden="1">
      <c r="A49" s="996" t="s">
        <v>1176</v>
      </c>
      <c r="B49" s="986" t="s">
        <v>150</v>
      </c>
      <c r="C49" s="409" t="e">
        <f>VLOOKUP(A49,Foundation!$B$8:$Q$294,10, 0)</f>
        <v>#N/A</v>
      </c>
      <c r="D49" s="409" t="e">
        <f>VLOOKUP(A49,Foundation!$B$8:$Q$277,12, 0)</f>
        <v>#N/A</v>
      </c>
      <c r="E49" s="409" t="e">
        <f>VLOOKUP(A49,'Erection Compiled '!$B$2:$R$340,10, 0)</f>
        <v>#N/A</v>
      </c>
      <c r="F49" s="409" t="e">
        <f>VLOOKUP(A49,Earthing!$C$7:$H$307,4, 0)</f>
        <v>#N/A</v>
      </c>
    </row>
    <row r="50" spans="1:6" hidden="1">
      <c r="A50" s="996" t="s">
        <v>86</v>
      </c>
      <c r="B50" s="986" t="s">
        <v>84</v>
      </c>
      <c r="C50" s="409" t="e">
        <f>VLOOKUP(A50,Foundation!$B$8:$Q$294,10, 0)</f>
        <v>#N/A</v>
      </c>
      <c r="D50" s="409" t="e">
        <f>VLOOKUP(A50,Foundation!$B$8:$Q$277,12, 0)</f>
        <v>#N/A</v>
      </c>
      <c r="E50" s="409" t="e">
        <f>VLOOKUP(A50,'Erection Compiled '!$B$2:$R$340,10, 0)</f>
        <v>#N/A</v>
      </c>
      <c r="F50" s="409" t="e">
        <f>VLOOKUP(A50,Earthing!$C$7:$H$307,4, 0)</f>
        <v>#N/A</v>
      </c>
    </row>
    <row r="51" spans="1:6" hidden="1">
      <c r="A51" s="996" t="s">
        <v>1177</v>
      </c>
      <c r="B51" s="986" t="s">
        <v>150</v>
      </c>
      <c r="C51" s="409" t="e">
        <f>VLOOKUP(A51,Foundation!$B$8:$Q$294,10, 0)</f>
        <v>#N/A</v>
      </c>
      <c r="D51" s="409" t="e">
        <f>VLOOKUP(A51,Foundation!$B$8:$Q$277,12, 0)</f>
        <v>#N/A</v>
      </c>
      <c r="E51" s="409" t="e">
        <f>VLOOKUP(A51,'Erection Compiled '!$B$2:$R$340,10, 0)</f>
        <v>#N/A</v>
      </c>
      <c r="F51" s="409" t="e">
        <f>VLOOKUP(A51,Earthing!$C$7:$H$307,4, 0)</f>
        <v>#N/A</v>
      </c>
    </row>
    <row r="52" spans="1:6" hidden="1">
      <c r="A52" s="996" t="s">
        <v>1178</v>
      </c>
      <c r="B52" s="986" t="s">
        <v>206</v>
      </c>
      <c r="C52" s="409" t="e">
        <f>VLOOKUP(A52,Foundation!$B$8:$Q$294,10, 0)</f>
        <v>#N/A</v>
      </c>
      <c r="D52" s="409" t="e">
        <f>VLOOKUP(A52,Foundation!$B$8:$Q$277,12, 0)</f>
        <v>#N/A</v>
      </c>
      <c r="E52" s="409" t="e">
        <f>VLOOKUP(A52,'Erection Compiled '!$B$2:$R$340,10, 0)</f>
        <v>#N/A</v>
      </c>
      <c r="F52" s="409" t="e">
        <f>VLOOKUP(A52,Earthing!$C$7:$H$307,4, 0)</f>
        <v>#N/A</v>
      </c>
    </row>
    <row r="53" spans="1:6" hidden="1">
      <c r="A53" s="996" t="s">
        <v>1179</v>
      </c>
      <c r="B53" s="986" t="s">
        <v>147</v>
      </c>
      <c r="C53" s="409" t="e">
        <f>VLOOKUP(A53,Foundation!$B$8:$Q$294,10, 0)</f>
        <v>#N/A</v>
      </c>
      <c r="D53" s="409" t="e">
        <f>VLOOKUP(A53,Foundation!$B$8:$Q$277,12, 0)</f>
        <v>#N/A</v>
      </c>
      <c r="E53" s="409" t="e">
        <f>VLOOKUP(A53,'Erection Compiled '!$B$2:$R$340,10, 0)</f>
        <v>#N/A</v>
      </c>
      <c r="F53" s="409" t="e">
        <f>VLOOKUP(A53,Earthing!$C$7:$H$307,4, 0)</f>
        <v>#N/A</v>
      </c>
    </row>
    <row r="54" spans="1:6" hidden="1">
      <c r="A54" s="996" t="s">
        <v>1180</v>
      </c>
      <c r="B54" s="986" t="s">
        <v>150</v>
      </c>
      <c r="C54" s="409" t="e">
        <f>VLOOKUP(A54,Foundation!$B$8:$Q$294,10, 0)</f>
        <v>#N/A</v>
      </c>
      <c r="D54" s="409" t="e">
        <f>VLOOKUP(A54,Foundation!$B$8:$Q$277,12, 0)</f>
        <v>#N/A</v>
      </c>
      <c r="E54" s="409" t="e">
        <f>VLOOKUP(A54,'Erection Compiled '!$B$2:$R$340,10, 0)</f>
        <v>#N/A</v>
      </c>
      <c r="F54" s="409" t="e">
        <f>VLOOKUP(A54,Earthing!$C$7:$H$307,4, 0)</f>
        <v>#N/A</v>
      </c>
    </row>
    <row r="55" spans="1:6" hidden="1">
      <c r="A55" s="996" t="s">
        <v>1181</v>
      </c>
      <c r="B55" s="986" t="s">
        <v>97</v>
      </c>
      <c r="C55" s="409" t="e">
        <f>VLOOKUP(A55,Foundation!$B$8:$Q$294,10, 0)</f>
        <v>#N/A</v>
      </c>
      <c r="D55" s="409" t="e">
        <f>VLOOKUP(A55,Foundation!$B$8:$Q$277,12, 0)</f>
        <v>#N/A</v>
      </c>
      <c r="E55" s="409" t="e">
        <f>VLOOKUP(A55,'Erection Compiled '!$B$2:$R$340,10, 0)</f>
        <v>#N/A</v>
      </c>
      <c r="F55" s="409" t="e">
        <f>VLOOKUP(A55,Earthing!$C$7:$H$307,4, 0)</f>
        <v>#N/A</v>
      </c>
    </row>
    <row r="56" spans="1:6" hidden="1">
      <c r="A56" s="996" t="s">
        <v>87</v>
      </c>
      <c r="B56" s="986" t="s">
        <v>102</v>
      </c>
      <c r="C56" s="409" t="e">
        <f>VLOOKUP(A56,Foundation!$B$8:$Q$294,10, 0)</f>
        <v>#N/A</v>
      </c>
      <c r="D56" s="409" t="e">
        <f>VLOOKUP(A56,Foundation!$B$8:$Q$277,12, 0)</f>
        <v>#N/A</v>
      </c>
      <c r="E56" s="409" t="e">
        <f>VLOOKUP(A56,'Erection Compiled '!$B$2:$R$340,10, 0)</f>
        <v>#N/A</v>
      </c>
      <c r="F56" s="409" t="e">
        <f>VLOOKUP(A56,Earthing!$C$7:$H$307,4, 0)</f>
        <v>#N/A</v>
      </c>
    </row>
    <row r="57" spans="1:6" hidden="1">
      <c r="A57" s="996" t="s">
        <v>1182</v>
      </c>
      <c r="B57" s="986" t="s">
        <v>150</v>
      </c>
      <c r="C57" s="409" t="e">
        <f>VLOOKUP(A57,Foundation!$B$8:$Q$294,10, 0)</f>
        <v>#N/A</v>
      </c>
      <c r="D57" s="409" t="e">
        <f>VLOOKUP(A57,Foundation!$B$8:$Q$277,12, 0)</f>
        <v>#N/A</v>
      </c>
      <c r="E57" s="409" t="e">
        <f>VLOOKUP(A57,'Erection Compiled '!$B$2:$R$340,10, 0)</f>
        <v>#N/A</v>
      </c>
      <c r="F57" s="409" t="e">
        <f>VLOOKUP(A57,Earthing!$C$7:$H$307,4, 0)</f>
        <v>#N/A</v>
      </c>
    </row>
    <row r="58" spans="1:6" hidden="1">
      <c r="A58" s="996" t="s">
        <v>1183</v>
      </c>
      <c r="B58" s="986" t="s">
        <v>147</v>
      </c>
      <c r="C58" s="409" t="e">
        <f>VLOOKUP(A58,Foundation!$B$8:$Q$294,10, 0)</f>
        <v>#N/A</v>
      </c>
      <c r="D58" s="409" t="e">
        <f>VLOOKUP(A58,Foundation!$B$8:$Q$277,12, 0)</f>
        <v>#N/A</v>
      </c>
      <c r="E58" s="409" t="e">
        <f>VLOOKUP(A58,'Erection Compiled '!$B$2:$R$340,10, 0)</f>
        <v>#N/A</v>
      </c>
      <c r="F58" s="409" t="e">
        <f>VLOOKUP(A58,Earthing!$C$7:$H$307,4, 0)</f>
        <v>#N/A</v>
      </c>
    </row>
    <row r="59" spans="1:6" hidden="1">
      <c r="A59" s="996" t="s">
        <v>1184</v>
      </c>
      <c r="B59" s="986" t="s">
        <v>150</v>
      </c>
      <c r="C59" s="409" t="e">
        <f>VLOOKUP(A59,Foundation!$B$8:$Q$294,10, 0)</f>
        <v>#N/A</v>
      </c>
      <c r="D59" s="409" t="e">
        <f>VLOOKUP(A59,Foundation!$B$8:$Q$277,12, 0)</f>
        <v>#N/A</v>
      </c>
      <c r="E59" s="409" t="e">
        <f>VLOOKUP(A59,'Erection Compiled '!$B$2:$R$340,10, 0)</f>
        <v>#N/A</v>
      </c>
      <c r="F59" s="409" t="e">
        <f>VLOOKUP(A59,Earthing!$C$7:$H$307,4, 0)</f>
        <v>#N/A</v>
      </c>
    </row>
    <row r="60" spans="1:6" hidden="1">
      <c r="A60" s="996" t="s">
        <v>1185</v>
      </c>
      <c r="B60" s="986" t="s">
        <v>206</v>
      </c>
      <c r="C60" s="409" t="e">
        <f>VLOOKUP(A60,Foundation!$B$8:$Q$294,10, 0)</f>
        <v>#N/A</v>
      </c>
      <c r="D60" s="409" t="e">
        <f>VLOOKUP(A60,Foundation!$B$8:$Q$277,12, 0)</f>
        <v>#N/A</v>
      </c>
      <c r="E60" s="409" t="e">
        <f>VLOOKUP(A60,'Erection Compiled '!$B$2:$R$340,10, 0)</f>
        <v>#N/A</v>
      </c>
      <c r="F60" s="409" t="e">
        <f>VLOOKUP(A60,Earthing!$C$7:$H$307,4, 0)</f>
        <v>#N/A</v>
      </c>
    </row>
    <row r="61" spans="1:6" hidden="1">
      <c r="A61" s="996" t="s">
        <v>1186</v>
      </c>
      <c r="B61" s="986" t="s">
        <v>147</v>
      </c>
      <c r="C61" s="409" t="e">
        <f>VLOOKUP(A61,Foundation!$B$8:$Q$294,10, 0)</f>
        <v>#N/A</v>
      </c>
      <c r="D61" s="409" t="e">
        <f>VLOOKUP(A61,Foundation!$B$8:$Q$277,12, 0)</f>
        <v>#N/A</v>
      </c>
      <c r="E61" s="409" t="e">
        <f>VLOOKUP(A61,'Erection Compiled '!$B$2:$R$340,10, 0)</f>
        <v>#N/A</v>
      </c>
      <c r="F61" s="409" t="e">
        <f>VLOOKUP(A61,Earthing!$C$7:$H$307,4, 0)</f>
        <v>#N/A</v>
      </c>
    </row>
    <row r="62" spans="1:6" hidden="1">
      <c r="A62" s="996" t="s">
        <v>1187</v>
      </c>
      <c r="B62" s="986" t="s">
        <v>147</v>
      </c>
      <c r="C62" s="409" t="e">
        <f>VLOOKUP(A62,Foundation!$B$8:$Q$294,10, 0)</f>
        <v>#N/A</v>
      </c>
      <c r="D62" s="409" t="e">
        <f>VLOOKUP(A62,Foundation!$B$8:$Q$277,12, 0)</f>
        <v>#N/A</v>
      </c>
      <c r="E62" s="409" t="e">
        <f>VLOOKUP(A62,'Erection Compiled '!$B$2:$R$340,10, 0)</f>
        <v>#N/A</v>
      </c>
      <c r="F62" s="409" t="e">
        <f>VLOOKUP(A62,Earthing!$C$7:$H$307,4, 0)</f>
        <v>#N/A</v>
      </c>
    </row>
    <row r="63" spans="1:6" hidden="1">
      <c r="A63" s="996" t="s">
        <v>1188</v>
      </c>
      <c r="B63" s="986" t="s">
        <v>147</v>
      </c>
      <c r="C63" s="409" t="e">
        <f>VLOOKUP(A63,Foundation!$B$8:$Q$294,10, 0)</f>
        <v>#N/A</v>
      </c>
      <c r="D63" s="409" t="e">
        <f>VLOOKUP(A63,Foundation!$B$8:$Q$277,12, 0)</f>
        <v>#N/A</v>
      </c>
      <c r="E63" s="409" t="e">
        <f>VLOOKUP(A63,'Erection Compiled '!$B$2:$R$340,10, 0)</f>
        <v>#N/A</v>
      </c>
      <c r="F63" s="409" t="e">
        <f>VLOOKUP(A63,Earthing!$C$7:$H$307,4, 0)</f>
        <v>#N/A</v>
      </c>
    </row>
    <row r="64" spans="1:6" hidden="1">
      <c r="A64" s="996" t="s">
        <v>1189</v>
      </c>
      <c r="B64" s="986" t="s">
        <v>147</v>
      </c>
      <c r="C64" s="409" t="e">
        <f>VLOOKUP(A64,Foundation!$B$8:$Q$294,10, 0)</f>
        <v>#N/A</v>
      </c>
      <c r="D64" s="409" t="e">
        <f>VLOOKUP(A64,Foundation!$B$8:$Q$277,12, 0)</f>
        <v>#N/A</v>
      </c>
      <c r="E64" s="409" t="e">
        <f>VLOOKUP(A64,'Erection Compiled '!$B$2:$R$340,10, 0)</f>
        <v>#N/A</v>
      </c>
      <c r="F64" s="409" t="e">
        <f>VLOOKUP(A64,Earthing!$C$7:$H$307,4, 0)</f>
        <v>#N/A</v>
      </c>
    </row>
    <row r="65" spans="1:6" hidden="1">
      <c r="A65" s="996" t="s">
        <v>1190</v>
      </c>
      <c r="B65" s="986" t="s">
        <v>84</v>
      </c>
      <c r="C65" s="409" t="e">
        <f>VLOOKUP(A65,Foundation!$B$8:$Q$294,10, 0)</f>
        <v>#N/A</v>
      </c>
      <c r="D65" s="409" t="e">
        <f>VLOOKUP(A65,Foundation!$B$8:$Q$277,12, 0)</f>
        <v>#N/A</v>
      </c>
      <c r="E65" s="409" t="e">
        <f>VLOOKUP(A65,'Erection Compiled '!$B$2:$R$340,10, 0)</f>
        <v>#N/A</v>
      </c>
      <c r="F65" s="409" t="e">
        <f>VLOOKUP(A65,Earthing!$C$7:$H$307,4, 0)</f>
        <v>#N/A</v>
      </c>
    </row>
    <row r="66" spans="1:6" hidden="1">
      <c r="A66" s="996" t="s">
        <v>1191</v>
      </c>
      <c r="B66" s="986" t="s">
        <v>147</v>
      </c>
      <c r="C66" s="409" t="e">
        <f>VLOOKUP(A66,Foundation!$B$8:$Q$294,10, 0)</f>
        <v>#N/A</v>
      </c>
      <c r="D66" s="409" t="e">
        <f>VLOOKUP(A66,Foundation!$B$8:$Q$277,12, 0)</f>
        <v>#N/A</v>
      </c>
      <c r="E66" s="409" t="e">
        <f>VLOOKUP(A66,'Erection Compiled '!$B$2:$R$340,10, 0)</f>
        <v>#N/A</v>
      </c>
      <c r="F66" s="409" t="e">
        <f>VLOOKUP(A66,Earthing!$C$7:$H$307,4, 0)</f>
        <v>#N/A</v>
      </c>
    </row>
    <row r="67" spans="1:6" hidden="1">
      <c r="A67" s="996" t="s">
        <v>1192</v>
      </c>
      <c r="B67" s="986" t="s">
        <v>150</v>
      </c>
      <c r="C67" s="409" t="e">
        <f>VLOOKUP(A67,Foundation!$B$8:$Q$294,10, 0)</f>
        <v>#N/A</v>
      </c>
      <c r="D67" s="409" t="e">
        <f>VLOOKUP(A67,Foundation!$B$8:$Q$277,12, 0)</f>
        <v>#N/A</v>
      </c>
      <c r="E67" s="409" t="e">
        <f>VLOOKUP(A67,'Erection Compiled '!$B$2:$R$340,10, 0)</f>
        <v>#N/A</v>
      </c>
      <c r="F67" s="409" t="e">
        <f>VLOOKUP(A67,Earthing!$C$7:$H$307,4, 0)</f>
        <v>#N/A</v>
      </c>
    </row>
    <row r="68" spans="1:6" hidden="1">
      <c r="A68" s="996" t="s">
        <v>1193</v>
      </c>
      <c r="B68" s="986" t="s">
        <v>150</v>
      </c>
      <c r="C68" s="409" t="e">
        <f>VLOOKUP(A68,Foundation!$B$8:$Q$294,10, 0)</f>
        <v>#N/A</v>
      </c>
      <c r="D68" s="409" t="e">
        <f>VLOOKUP(A68,Foundation!$B$8:$Q$277,12, 0)</f>
        <v>#N/A</v>
      </c>
      <c r="E68" s="409" t="e">
        <f>VLOOKUP(A68,'Erection Compiled '!$B$2:$R$340,10, 0)</f>
        <v>#N/A</v>
      </c>
      <c r="F68" s="409" t="e">
        <f>VLOOKUP(A68,Earthing!$C$7:$H$307,4, 0)</f>
        <v>#N/A</v>
      </c>
    </row>
    <row r="69" spans="1:6" hidden="1">
      <c r="A69" s="996" t="s">
        <v>1194</v>
      </c>
      <c r="B69" s="986" t="s">
        <v>150</v>
      </c>
      <c r="C69" s="409" t="e">
        <f>VLOOKUP(A69,Foundation!$B$8:$Q$294,10, 0)</f>
        <v>#N/A</v>
      </c>
      <c r="D69" s="409" t="e">
        <f>VLOOKUP(A69,Foundation!$B$8:$Q$277,12, 0)</f>
        <v>#N/A</v>
      </c>
      <c r="E69" s="409" t="e">
        <f>VLOOKUP(A69,'Erection Compiled '!$B$2:$R$340,10, 0)</f>
        <v>#N/A</v>
      </c>
      <c r="F69" s="409" t="e">
        <f>VLOOKUP(A69,Earthing!$C$7:$H$307,4, 0)</f>
        <v>#N/A</v>
      </c>
    </row>
    <row r="70" spans="1:6" hidden="1">
      <c r="A70" s="996" t="s">
        <v>1195</v>
      </c>
      <c r="B70" s="986" t="s">
        <v>147</v>
      </c>
      <c r="C70" s="409" t="e">
        <f>VLOOKUP(A70,Foundation!$B$8:$Q$294,10, 0)</f>
        <v>#N/A</v>
      </c>
      <c r="D70" s="409" t="e">
        <f>VLOOKUP(A70,Foundation!$B$8:$Q$277,12, 0)</f>
        <v>#N/A</v>
      </c>
      <c r="E70" s="409" t="e">
        <f>VLOOKUP(A70,'Erection Compiled '!$B$2:$R$340,10, 0)</f>
        <v>#N/A</v>
      </c>
      <c r="F70" s="409" t="e">
        <f>VLOOKUP(A70,Earthing!$C$7:$H$307,4, 0)</f>
        <v>#N/A</v>
      </c>
    </row>
    <row r="71" spans="1:6" hidden="1">
      <c r="A71" s="996" t="s">
        <v>1196</v>
      </c>
      <c r="B71" s="986" t="s">
        <v>206</v>
      </c>
      <c r="C71" s="409" t="e">
        <f>VLOOKUP(A71,Foundation!$B$8:$Q$294,10, 0)</f>
        <v>#N/A</v>
      </c>
      <c r="D71" s="409" t="e">
        <f>VLOOKUP(A71,Foundation!$B$8:$Q$277,12, 0)</f>
        <v>#N/A</v>
      </c>
      <c r="E71" s="409" t="e">
        <f>VLOOKUP(A71,'Erection Compiled '!$B$2:$R$340,10, 0)</f>
        <v>#N/A</v>
      </c>
      <c r="F71" s="409" t="e">
        <f>VLOOKUP(A71,Earthing!$C$7:$H$307,4, 0)</f>
        <v>#N/A</v>
      </c>
    </row>
    <row r="72" spans="1:6" hidden="1">
      <c r="A72" s="996" t="s">
        <v>1668</v>
      </c>
      <c r="B72" s="986" t="s">
        <v>84</v>
      </c>
      <c r="C72" s="409" t="e">
        <f>VLOOKUP(A72,Foundation!$B$8:$Q$294,10, 0)</f>
        <v>#N/A</v>
      </c>
      <c r="D72" s="409" t="e">
        <f>VLOOKUP(A72,Foundation!$B$8:$Q$277,12, 0)</f>
        <v>#N/A</v>
      </c>
      <c r="E72" s="409" t="e">
        <f>VLOOKUP(A72,'Erection Compiled '!$B$2:$R$340,10, 0)</f>
        <v>#N/A</v>
      </c>
      <c r="F72" s="409" t="e">
        <f>VLOOKUP(A72,Earthing!$C$7:$H$307,4, 0)</f>
        <v>#N/A</v>
      </c>
    </row>
    <row r="73" spans="1:6" hidden="1">
      <c r="A73" s="996" t="s">
        <v>1197</v>
      </c>
      <c r="B73" s="986" t="s">
        <v>150</v>
      </c>
      <c r="C73" s="409" t="e">
        <f>VLOOKUP(A73,Foundation!$B$8:$Q$294,10, 0)</f>
        <v>#N/A</v>
      </c>
      <c r="D73" s="409" t="e">
        <f>VLOOKUP(A73,Foundation!$B$8:$Q$277,12, 0)</f>
        <v>#N/A</v>
      </c>
      <c r="E73" s="409" t="e">
        <f>VLOOKUP(A73,'Erection Compiled '!$B$2:$R$340,10, 0)</f>
        <v>#N/A</v>
      </c>
      <c r="F73" s="409" t="e">
        <f>VLOOKUP(A73,Earthing!$C$7:$H$307,4, 0)</f>
        <v>#N/A</v>
      </c>
    </row>
    <row r="74" spans="1:6" hidden="1">
      <c r="A74" s="996" t="s">
        <v>1198</v>
      </c>
      <c r="B74" s="986" t="s">
        <v>147</v>
      </c>
      <c r="C74" s="409" t="e">
        <f>VLOOKUP(A74,Foundation!$B$8:$Q$294,10, 0)</f>
        <v>#N/A</v>
      </c>
      <c r="D74" s="409" t="e">
        <f>VLOOKUP(A74,Foundation!$B$8:$Q$277,12, 0)</f>
        <v>#N/A</v>
      </c>
      <c r="E74" s="409" t="e">
        <f>VLOOKUP(A74,'Erection Compiled '!$B$2:$R$340,10, 0)</f>
        <v>#N/A</v>
      </c>
      <c r="F74" s="409" t="e">
        <f>VLOOKUP(A74,Earthing!$C$7:$H$307,4, 0)</f>
        <v>#N/A</v>
      </c>
    </row>
    <row r="75" spans="1:6" hidden="1">
      <c r="A75" s="996" t="s">
        <v>1199</v>
      </c>
      <c r="B75" s="986" t="s">
        <v>147</v>
      </c>
      <c r="C75" s="409" t="e">
        <f>VLOOKUP(A75,Foundation!$B$8:$Q$294,10, 0)</f>
        <v>#N/A</v>
      </c>
      <c r="D75" s="409" t="e">
        <f>VLOOKUP(A75,Foundation!$B$8:$Q$277,12, 0)</f>
        <v>#N/A</v>
      </c>
      <c r="E75" s="409" t="e">
        <f>VLOOKUP(A75,'Erection Compiled '!$B$2:$R$340,10, 0)</f>
        <v>#N/A</v>
      </c>
      <c r="F75" s="409" t="e">
        <f>VLOOKUP(A75,Earthing!$C$7:$H$307,4, 0)</f>
        <v>#N/A</v>
      </c>
    </row>
    <row r="76" spans="1:6" hidden="1">
      <c r="A76" s="996" t="s">
        <v>1200</v>
      </c>
      <c r="B76" s="986" t="s">
        <v>147</v>
      </c>
      <c r="C76" s="409" t="e">
        <f>VLOOKUP(A76,Foundation!$B$8:$Q$294,10, 0)</f>
        <v>#N/A</v>
      </c>
      <c r="D76" s="409" t="e">
        <f>VLOOKUP(A76,Foundation!$B$8:$Q$277,12, 0)</f>
        <v>#N/A</v>
      </c>
      <c r="E76" s="409" t="e">
        <f>VLOOKUP(A76,'Erection Compiled '!$B$2:$R$340,10, 0)</f>
        <v>#N/A</v>
      </c>
      <c r="F76" s="409" t="e">
        <f>VLOOKUP(A76,Earthing!$C$7:$H$307,4, 0)</f>
        <v>#N/A</v>
      </c>
    </row>
    <row r="77" spans="1:6" hidden="1">
      <c r="A77" s="996" t="s">
        <v>1201</v>
      </c>
      <c r="B77" s="986" t="s">
        <v>147</v>
      </c>
      <c r="C77" s="409" t="e">
        <f>VLOOKUP(A77,Foundation!$B$8:$Q$294,10, 0)</f>
        <v>#N/A</v>
      </c>
      <c r="D77" s="409" t="e">
        <f>VLOOKUP(A77,Foundation!$B$8:$Q$277,12, 0)</f>
        <v>#N/A</v>
      </c>
      <c r="E77" s="409" t="e">
        <f>VLOOKUP(A77,'Erection Compiled '!$B$2:$R$340,10, 0)</f>
        <v>#N/A</v>
      </c>
      <c r="F77" s="409" t="e">
        <f>VLOOKUP(A77,Earthing!$C$7:$H$307,4, 0)</f>
        <v>#N/A</v>
      </c>
    </row>
    <row r="78" spans="1:6" hidden="1">
      <c r="A78" s="996" t="s">
        <v>1202</v>
      </c>
      <c r="B78" s="986" t="s">
        <v>147</v>
      </c>
      <c r="C78" s="409" t="e">
        <f>VLOOKUP(A78,Foundation!$B$8:$Q$294,10, 0)</f>
        <v>#N/A</v>
      </c>
      <c r="D78" s="409" t="e">
        <f>VLOOKUP(A78,Foundation!$B$8:$Q$277,12, 0)</f>
        <v>#N/A</v>
      </c>
      <c r="E78" s="409" t="e">
        <f>VLOOKUP(A78,'Erection Compiled '!$B$2:$R$340,10, 0)</f>
        <v>#N/A</v>
      </c>
      <c r="F78" s="409" t="e">
        <f>VLOOKUP(A78,Earthing!$C$7:$H$307,4, 0)</f>
        <v>#N/A</v>
      </c>
    </row>
    <row r="79" spans="1:6" hidden="1">
      <c r="A79" s="996" t="s">
        <v>89</v>
      </c>
      <c r="B79" s="986" t="s">
        <v>84</v>
      </c>
      <c r="C79" s="409" t="e">
        <f>VLOOKUP(A79,Foundation!$B$8:$Q$294,10, 0)</f>
        <v>#N/A</v>
      </c>
      <c r="D79" s="409" t="e">
        <f>VLOOKUP(A79,Foundation!$B$8:$Q$277,12, 0)</f>
        <v>#N/A</v>
      </c>
      <c r="E79" s="409" t="e">
        <f>VLOOKUP(A79,'Erection Compiled '!$B$2:$R$340,10, 0)</f>
        <v>#N/A</v>
      </c>
      <c r="F79" s="409" t="e">
        <f>VLOOKUP(A79,Earthing!$C$7:$H$307,4, 0)</f>
        <v>#N/A</v>
      </c>
    </row>
    <row r="80" spans="1:6" hidden="1">
      <c r="A80" s="996" t="s">
        <v>1203</v>
      </c>
      <c r="B80" s="986" t="s">
        <v>147</v>
      </c>
      <c r="C80" s="409" t="e">
        <f>VLOOKUP(A80,Foundation!$B$8:$Q$294,10, 0)</f>
        <v>#N/A</v>
      </c>
      <c r="D80" s="409" t="e">
        <f>VLOOKUP(A80,Foundation!$B$8:$Q$277,12, 0)</f>
        <v>#N/A</v>
      </c>
      <c r="E80" s="409" t="e">
        <f>VLOOKUP(A80,'Erection Compiled '!$B$2:$R$340,10, 0)</f>
        <v>#N/A</v>
      </c>
      <c r="F80" s="409" t="e">
        <f>VLOOKUP(A80,Earthing!$C$7:$H$307,4, 0)</f>
        <v>#N/A</v>
      </c>
    </row>
    <row r="81" spans="1:6" hidden="1">
      <c r="A81" s="996" t="s">
        <v>1204</v>
      </c>
      <c r="B81" s="986" t="s">
        <v>150</v>
      </c>
      <c r="C81" s="409" t="e">
        <f>VLOOKUP(A81,Foundation!$B$8:$Q$294,10, 0)</f>
        <v>#N/A</v>
      </c>
      <c r="D81" s="409" t="e">
        <f>VLOOKUP(A81,Foundation!$B$8:$Q$277,12, 0)</f>
        <v>#N/A</v>
      </c>
      <c r="E81" s="409" t="e">
        <f>VLOOKUP(A81,'Erection Compiled '!$B$2:$R$340,10, 0)</f>
        <v>#N/A</v>
      </c>
      <c r="F81" s="409" t="e">
        <f>VLOOKUP(A81,Earthing!$C$7:$H$307,4, 0)</f>
        <v>#N/A</v>
      </c>
    </row>
    <row r="82" spans="1:6" hidden="1">
      <c r="A82" s="996" t="s">
        <v>91</v>
      </c>
      <c r="B82" s="986" t="s">
        <v>80</v>
      </c>
      <c r="C82" s="409" t="e">
        <f>VLOOKUP(A82,Foundation!$B$8:$Q$294,10, 0)</f>
        <v>#N/A</v>
      </c>
      <c r="D82" s="409" t="e">
        <f>VLOOKUP(A82,Foundation!$B$8:$Q$277,12, 0)</f>
        <v>#N/A</v>
      </c>
      <c r="E82" s="409" t="e">
        <f>VLOOKUP(A82,'Erection Compiled '!$B$2:$R$340,10, 0)</f>
        <v>#N/A</v>
      </c>
      <c r="F82" s="409" t="e">
        <f>VLOOKUP(A82,Earthing!$C$7:$H$307,4, 0)</f>
        <v>#N/A</v>
      </c>
    </row>
    <row r="83" spans="1:6" hidden="1">
      <c r="A83" s="996" t="s">
        <v>1205</v>
      </c>
      <c r="B83" s="986" t="s">
        <v>212</v>
      </c>
      <c r="C83" s="409" t="e">
        <f>VLOOKUP(A83,Foundation!$B$8:$Q$294,10, 0)</f>
        <v>#N/A</v>
      </c>
      <c r="D83" s="409" t="e">
        <f>VLOOKUP(A83,Foundation!$B$8:$Q$277,12, 0)</f>
        <v>#N/A</v>
      </c>
      <c r="E83" s="409" t="e">
        <f>VLOOKUP(A83,'Erection Compiled '!$B$2:$R$340,10, 0)</f>
        <v>#N/A</v>
      </c>
      <c r="F83" s="409" t="e">
        <f>VLOOKUP(A83,Earthing!$C$7:$H$307,4, 0)</f>
        <v>#N/A</v>
      </c>
    </row>
    <row r="84" spans="1:6" hidden="1">
      <c r="A84" s="996" t="s">
        <v>1206</v>
      </c>
      <c r="B84" s="986" t="s">
        <v>206</v>
      </c>
      <c r="C84" s="409" t="e">
        <f>VLOOKUP(A84,Foundation!$B$8:$Q$294,10, 0)</f>
        <v>#N/A</v>
      </c>
      <c r="D84" s="409" t="e">
        <f>VLOOKUP(A84,Foundation!$B$8:$Q$277,12, 0)</f>
        <v>#N/A</v>
      </c>
      <c r="E84" s="409" t="e">
        <f>VLOOKUP(A84,'Erection Compiled '!$B$2:$R$340,10, 0)</f>
        <v>#N/A</v>
      </c>
      <c r="F84" s="409" t="e">
        <f>VLOOKUP(A84,Earthing!$C$7:$H$307,4, 0)</f>
        <v>#N/A</v>
      </c>
    </row>
    <row r="85" spans="1:6" hidden="1">
      <c r="A85" s="996" t="s">
        <v>1207</v>
      </c>
      <c r="B85" s="986" t="s">
        <v>150</v>
      </c>
      <c r="C85" s="409" t="e">
        <f>VLOOKUP(A85,Foundation!$B$8:$Q$294,10, 0)</f>
        <v>#N/A</v>
      </c>
      <c r="D85" s="409" t="e">
        <f>VLOOKUP(A85,Foundation!$B$8:$Q$277,12, 0)</f>
        <v>#N/A</v>
      </c>
      <c r="E85" s="409" t="e">
        <f>VLOOKUP(A85,'Erection Compiled '!$B$2:$R$340,10, 0)</f>
        <v>#N/A</v>
      </c>
      <c r="F85" s="409" t="e">
        <f>VLOOKUP(A85,Earthing!$C$7:$H$307,4, 0)</f>
        <v>#N/A</v>
      </c>
    </row>
    <row r="86" spans="1:6" hidden="1">
      <c r="A86" s="996" t="s">
        <v>1669</v>
      </c>
      <c r="B86" s="986" t="s">
        <v>84</v>
      </c>
      <c r="C86" s="409" t="e">
        <f>VLOOKUP(A86,Foundation!$B$8:$Q$294,10, 0)</f>
        <v>#N/A</v>
      </c>
      <c r="D86" s="409" t="e">
        <f>VLOOKUP(A86,Foundation!$B$8:$Q$277,12, 0)</f>
        <v>#N/A</v>
      </c>
      <c r="E86" s="409" t="e">
        <f>VLOOKUP(A86,'Erection Compiled '!$B$2:$R$340,10, 0)</f>
        <v>#N/A</v>
      </c>
      <c r="F86" s="409" t="e">
        <f>VLOOKUP(A86,Earthing!$C$7:$H$307,4, 0)</f>
        <v>#N/A</v>
      </c>
    </row>
    <row r="87" spans="1:6" hidden="1">
      <c r="A87" s="996" t="s">
        <v>1208</v>
      </c>
      <c r="B87" s="986" t="s">
        <v>97</v>
      </c>
      <c r="C87" s="409" t="e">
        <f>VLOOKUP(A87,Foundation!$B$8:$Q$294,10, 0)</f>
        <v>#N/A</v>
      </c>
      <c r="D87" s="409" t="e">
        <f>VLOOKUP(A87,Foundation!$B$8:$Q$277,12, 0)</f>
        <v>#N/A</v>
      </c>
      <c r="E87" s="409" t="e">
        <f>VLOOKUP(A87,'Erection Compiled '!$B$2:$R$340,10, 0)</f>
        <v>#N/A</v>
      </c>
      <c r="F87" s="409" t="e">
        <f>VLOOKUP(A87,Earthing!$C$7:$H$307,4, 0)</f>
        <v>#N/A</v>
      </c>
    </row>
    <row r="88" spans="1:6" hidden="1">
      <c r="A88" s="996" t="s">
        <v>92</v>
      </c>
      <c r="B88" s="986" t="s">
        <v>88</v>
      </c>
      <c r="C88" s="409" t="e">
        <f>VLOOKUP(A88,Foundation!$B$8:$Q$294,10, 0)</f>
        <v>#N/A</v>
      </c>
      <c r="D88" s="409" t="e">
        <f>VLOOKUP(A88,Foundation!$B$8:$Q$277,12, 0)</f>
        <v>#N/A</v>
      </c>
      <c r="E88" s="409" t="e">
        <f>VLOOKUP(A88,'Erection Compiled '!$B$2:$R$340,10, 0)</f>
        <v>#N/A</v>
      </c>
      <c r="F88" s="409" t="e">
        <f>VLOOKUP(A88,Earthing!$C$7:$H$307,4, 0)</f>
        <v>#N/A</v>
      </c>
    </row>
    <row r="89" spans="1:6" hidden="1">
      <c r="A89" s="996" t="s">
        <v>1209</v>
      </c>
      <c r="B89" s="986" t="s">
        <v>206</v>
      </c>
      <c r="C89" s="409" t="e">
        <f>VLOOKUP(A89,Foundation!$B$8:$Q$294,10, 0)</f>
        <v>#N/A</v>
      </c>
      <c r="D89" s="409" t="e">
        <f>VLOOKUP(A89,Foundation!$B$8:$Q$277,12, 0)</f>
        <v>#N/A</v>
      </c>
      <c r="E89" s="409" t="e">
        <f>VLOOKUP(A89,'Erection Compiled '!$B$2:$R$340,10, 0)</f>
        <v>#N/A</v>
      </c>
      <c r="F89" s="409" t="e">
        <f>VLOOKUP(A89,Earthing!$C$7:$H$307,4, 0)</f>
        <v>#N/A</v>
      </c>
    </row>
    <row r="90" spans="1:6" hidden="1">
      <c r="A90" s="996" t="s">
        <v>94</v>
      </c>
      <c r="B90" s="986" t="s">
        <v>90</v>
      </c>
      <c r="C90" s="409" t="e">
        <f>VLOOKUP(A90,Foundation!$B$8:$Q$294,10, 0)</f>
        <v>#N/A</v>
      </c>
      <c r="D90" s="409" t="e">
        <f>VLOOKUP(A90,Foundation!$B$8:$Q$277,12, 0)</f>
        <v>#N/A</v>
      </c>
      <c r="E90" s="409" t="e">
        <f>VLOOKUP(A90,'Erection Compiled '!$B$2:$R$340,10, 0)</f>
        <v>#N/A</v>
      </c>
      <c r="F90" s="409" t="e">
        <f>VLOOKUP(A90,Earthing!$C$7:$H$307,4, 0)</f>
        <v>#N/A</v>
      </c>
    </row>
    <row r="91" spans="1:6" hidden="1">
      <c r="A91" s="996" t="s">
        <v>1210</v>
      </c>
      <c r="B91" s="986" t="s">
        <v>147</v>
      </c>
      <c r="C91" s="409" t="e">
        <f>VLOOKUP(A91,Foundation!$B$8:$Q$294,10, 0)</f>
        <v>#N/A</v>
      </c>
      <c r="D91" s="409" t="e">
        <f>VLOOKUP(A91,Foundation!$B$8:$Q$277,12, 0)</f>
        <v>#N/A</v>
      </c>
      <c r="E91" s="409" t="e">
        <f>VLOOKUP(A91,'Erection Compiled '!$B$2:$R$340,10, 0)</f>
        <v>#N/A</v>
      </c>
      <c r="F91" s="409" t="e">
        <f>VLOOKUP(A91,Earthing!$C$7:$H$307,4, 0)</f>
        <v>#N/A</v>
      </c>
    </row>
    <row r="92" spans="1:6" hidden="1">
      <c r="A92" s="996" t="s">
        <v>95</v>
      </c>
      <c r="B92" s="986" t="s">
        <v>84</v>
      </c>
      <c r="C92" s="409" t="e">
        <f>VLOOKUP(A92,Foundation!$B$8:$Q$294,10, 0)</f>
        <v>#N/A</v>
      </c>
      <c r="D92" s="409" t="e">
        <f>VLOOKUP(A92,Foundation!$B$8:$Q$277,12, 0)</f>
        <v>#N/A</v>
      </c>
      <c r="E92" s="409" t="e">
        <f>VLOOKUP(A92,'Erection Compiled '!$B$2:$R$340,10, 0)</f>
        <v>#N/A</v>
      </c>
      <c r="F92" s="409" t="e">
        <f>VLOOKUP(A92,Earthing!$C$7:$H$307,4, 0)</f>
        <v>#N/A</v>
      </c>
    </row>
    <row r="93" spans="1:6" hidden="1">
      <c r="A93" s="996" t="s">
        <v>1211</v>
      </c>
      <c r="B93" s="986" t="s">
        <v>147</v>
      </c>
      <c r="C93" s="409" t="e">
        <f>VLOOKUP(A93,Foundation!$B$8:$Q$294,10, 0)</f>
        <v>#N/A</v>
      </c>
      <c r="D93" s="409" t="e">
        <f>VLOOKUP(A93,Foundation!$B$8:$Q$277,12, 0)</f>
        <v>#N/A</v>
      </c>
      <c r="E93" s="409" t="e">
        <f>VLOOKUP(A93,'Erection Compiled '!$B$2:$R$340,10, 0)</f>
        <v>#N/A</v>
      </c>
      <c r="F93" s="409" t="e">
        <f>VLOOKUP(A93,Earthing!$C$7:$H$307,4, 0)</f>
        <v>#N/A</v>
      </c>
    </row>
    <row r="94" spans="1:6" hidden="1">
      <c r="A94" s="996" t="s">
        <v>1670</v>
      </c>
      <c r="B94" s="986" t="s">
        <v>80</v>
      </c>
      <c r="C94" s="409" t="e">
        <f>VLOOKUP(A94,Foundation!$B$8:$Q$294,10, 0)</f>
        <v>#N/A</v>
      </c>
      <c r="D94" s="409" t="e">
        <f>VLOOKUP(A94,Foundation!$B$8:$Q$277,12, 0)</f>
        <v>#N/A</v>
      </c>
      <c r="E94" s="409" t="e">
        <f>VLOOKUP(A94,'Erection Compiled '!$B$2:$R$340,10, 0)</f>
        <v>#N/A</v>
      </c>
      <c r="F94" s="409" t="e">
        <f>VLOOKUP(A94,Earthing!$C$7:$H$307,4, 0)</f>
        <v>#N/A</v>
      </c>
    </row>
    <row r="95" spans="1:6" hidden="1">
      <c r="A95" s="996" t="s">
        <v>1212</v>
      </c>
      <c r="B95" s="986" t="s">
        <v>206</v>
      </c>
      <c r="C95" s="409" t="e">
        <f>VLOOKUP(A95,Foundation!$B$8:$Q$294,10, 0)</f>
        <v>#N/A</v>
      </c>
      <c r="D95" s="409" t="e">
        <f>VLOOKUP(A95,Foundation!$B$8:$Q$277,12, 0)</f>
        <v>#N/A</v>
      </c>
      <c r="E95" s="409" t="e">
        <f>VLOOKUP(A95,'Erection Compiled '!$B$2:$R$340,10, 0)</f>
        <v>#N/A</v>
      </c>
      <c r="F95" s="409" t="e">
        <f>VLOOKUP(A95,Earthing!$C$7:$H$307,4, 0)</f>
        <v>#N/A</v>
      </c>
    </row>
    <row r="96" spans="1:6" hidden="1">
      <c r="A96" s="996" t="s">
        <v>1671</v>
      </c>
      <c r="B96" s="986" t="s">
        <v>90</v>
      </c>
      <c r="C96" s="409" t="e">
        <f>VLOOKUP(A96,Foundation!$B$8:$Q$294,10, 0)</f>
        <v>#N/A</v>
      </c>
      <c r="D96" s="409" t="e">
        <f>VLOOKUP(A96,Foundation!$B$8:$Q$277,12, 0)</f>
        <v>#N/A</v>
      </c>
      <c r="E96" s="409" t="e">
        <f>VLOOKUP(A96,'Erection Compiled '!$B$2:$R$340,10, 0)</f>
        <v>#N/A</v>
      </c>
      <c r="F96" s="409" t="e">
        <f>VLOOKUP(A96,Earthing!$C$7:$H$307,4, 0)</f>
        <v>#N/A</v>
      </c>
    </row>
    <row r="97" spans="1:6" hidden="1">
      <c r="A97" s="996" t="s">
        <v>1213</v>
      </c>
      <c r="B97" s="986" t="s">
        <v>150</v>
      </c>
      <c r="C97" s="409" t="e">
        <f>VLOOKUP(A97,Foundation!$B$8:$Q$294,10, 0)</f>
        <v>#N/A</v>
      </c>
      <c r="D97" s="409" t="e">
        <f>VLOOKUP(A97,Foundation!$B$8:$Q$277,12, 0)</f>
        <v>#N/A</v>
      </c>
      <c r="E97" s="409" t="e">
        <f>VLOOKUP(A97,'Erection Compiled '!$B$2:$R$340,10, 0)</f>
        <v>#N/A</v>
      </c>
      <c r="F97" s="409" t="e">
        <f>VLOOKUP(A97,Earthing!$C$7:$H$307,4, 0)</f>
        <v>#N/A</v>
      </c>
    </row>
    <row r="98" spans="1:6" hidden="1">
      <c r="A98" s="996" t="s">
        <v>1214</v>
      </c>
      <c r="B98" s="986" t="s">
        <v>147</v>
      </c>
      <c r="C98" s="409" t="e">
        <f>VLOOKUP(A98,Foundation!$B$8:$Q$294,10, 0)</f>
        <v>#N/A</v>
      </c>
      <c r="D98" s="409" t="e">
        <f>VLOOKUP(A98,Foundation!$B$8:$Q$277,12, 0)</f>
        <v>#N/A</v>
      </c>
      <c r="E98" s="409" t="e">
        <f>VLOOKUP(A98,'Erection Compiled '!$B$2:$R$340,10, 0)</f>
        <v>#N/A</v>
      </c>
      <c r="F98" s="409" t="e">
        <f>VLOOKUP(A98,Earthing!$C$7:$H$307,4, 0)</f>
        <v>#N/A</v>
      </c>
    </row>
    <row r="99" spans="1:6" hidden="1">
      <c r="A99" s="996" t="s">
        <v>1215</v>
      </c>
      <c r="B99" s="986" t="s">
        <v>150</v>
      </c>
      <c r="C99" s="409" t="e">
        <f>VLOOKUP(A99,Foundation!$B$8:$Q$294,10, 0)</f>
        <v>#N/A</v>
      </c>
      <c r="D99" s="409" t="e">
        <f>VLOOKUP(A99,Foundation!$B$8:$Q$277,12, 0)</f>
        <v>#N/A</v>
      </c>
      <c r="E99" s="409" t="e">
        <f>VLOOKUP(A99,'Erection Compiled '!$B$2:$R$340,10, 0)</f>
        <v>#N/A</v>
      </c>
      <c r="F99" s="409" t="e">
        <f>VLOOKUP(A99,Earthing!$C$7:$H$307,4, 0)</f>
        <v>#N/A</v>
      </c>
    </row>
    <row r="100" spans="1:6" hidden="1">
      <c r="A100" s="996" t="s">
        <v>96</v>
      </c>
      <c r="B100" s="986" t="s">
        <v>80</v>
      </c>
      <c r="C100" s="409" t="e">
        <f>VLOOKUP(A100,Foundation!$B$8:$Q$294,10, 0)</f>
        <v>#N/A</v>
      </c>
      <c r="D100" s="409" t="e">
        <f>VLOOKUP(A100,Foundation!$B$8:$Q$277,12, 0)</f>
        <v>#N/A</v>
      </c>
      <c r="E100" s="409" t="e">
        <f>VLOOKUP(A100,'Erection Compiled '!$B$2:$R$340,10, 0)</f>
        <v>#N/A</v>
      </c>
      <c r="F100" s="409" t="e">
        <f>VLOOKUP(A100,Earthing!$C$7:$H$307,4, 0)</f>
        <v>#N/A</v>
      </c>
    </row>
    <row r="101" spans="1:6" hidden="1">
      <c r="A101" s="996" t="s">
        <v>1216</v>
      </c>
      <c r="B101" s="986" t="s">
        <v>147</v>
      </c>
      <c r="C101" s="409" t="e">
        <f>VLOOKUP(A101,Foundation!$B$8:$Q$294,10, 0)</f>
        <v>#N/A</v>
      </c>
      <c r="D101" s="409" t="e">
        <f>VLOOKUP(A101,Foundation!$B$8:$Q$277,12, 0)</f>
        <v>#N/A</v>
      </c>
      <c r="E101" s="409" t="e">
        <f>VLOOKUP(A101,'Erection Compiled '!$B$2:$R$340,10, 0)</f>
        <v>#N/A</v>
      </c>
      <c r="F101" s="409" t="e">
        <f>VLOOKUP(A101,Earthing!$C$7:$H$307,4, 0)</f>
        <v>#N/A</v>
      </c>
    </row>
    <row r="102" spans="1:6" hidden="1">
      <c r="A102" s="996" t="s">
        <v>1217</v>
      </c>
      <c r="B102" s="986" t="s">
        <v>147</v>
      </c>
      <c r="C102" s="409" t="e">
        <f>VLOOKUP(A102,Foundation!$B$8:$Q$294,10, 0)</f>
        <v>#N/A</v>
      </c>
      <c r="D102" s="409" t="e">
        <f>VLOOKUP(A102,Foundation!$B$8:$Q$277,12, 0)</f>
        <v>#N/A</v>
      </c>
      <c r="E102" s="409" t="e">
        <f>VLOOKUP(A102,'Erection Compiled '!$B$2:$R$340,10, 0)</f>
        <v>#N/A</v>
      </c>
      <c r="F102" s="409" t="e">
        <f>VLOOKUP(A102,Earthing!$C$7:$H$307,4, 0)</f>
        <v>#N/A</v>
      </c>
    </row>
    <row r="103" spans="1:6" hidden="1">
      <c r="A103" s="996" t="s">
        <v>1218</v>
      </c>
      <c r="B103" s="986" t="s">
        <v>147</v>
      </c>
      <c r="C103" s="409" t="e">
        <f>VLOOKUP(A103,Foundation!$B$8:$Q$294,10, 0)</f>
        <v>#N/A</v>
      </c>
      <c r="D103" s="409" t="e">
        <f>VLOOKUP(A103,Foundation!$B$8:$Q$277,12, 0)</f>
        <v>#N/A</v>
      </c>
      <c r="E103" s="409" t="e">
        <f>VLOOKUP(A103,'Erection Compiled '!$B$2:$R$340,10, 0)</f>
        <v>#N/A</v>
      </c>
      <c r="F103" s="409" t="e">
        <f>VLOOKUP(A103,Earthing!$C$7:$H$307,4, 0)</f>
        <v>#N/A</v>
      </c>
    </row>
    <row r="104" spans="1:6" hidden="1">
      <c r="A104" s="996" t="s">
        <v>1219</v>
      </c>
      <c r="B104" s="986" t="s">
        <v>147</v>
      </c>
      <c r="C104" s="409" t="e">
        <f>VLOOKUP(A104,Foundation!$B$8:$Q$294,10, 0)</f>
        <v>#N/A</v>
      </c>
      <c r="D104" s="409" t="e">
        <f>VLOOKUP(A104,Foundation!$B$8:$Q$277,12, 0)</f>
        <v>#N/A</v>
      </c>
      <c r="E104" s="409" t="e">
        <f>VLOOKUP(A104,'Erection Compiled '!$B$2:$R$340,10, 0)</f>
        <v>#N/A</v>
      </c>
      <c r="F104" s="409" t="e">
        <f>VLOOKUP(A104,Earthing!$C$7:$H$307,4, 0)</f>
        <v>#N/A</v>
      </c>
    </row>
    <row r="105" spans="1:6" hidden="1">
      <c r="A105" s="996" t="s">
        <v>1220</v>
      </c>
      <c r="B105" s="986" t="s">
        <v>150</v>
      </c>
      <c r="C105" s="409" t="e">
        <f>VLOOKUP(A105,Foundation!$B$8:$Q$294,10, 0)</f>
        <v>#N/A</v>
      </c>
      <c r="D105" s="409" t="e">
        <f>VLOOKUP(A105,Foundation!$B$8:$Q$277,12, 0)</f>
        <v>#N/A</v>
      </c>
      <c r="E105" s="409" t="e">
        <f>VLOOKUP(A105,'Erection Compiled '!$B$2:$R$340,10, 0)</f>
        <v>#N/A</v>
      </c>
      <c r="F105" s="409" t="e">
        <f>VLOOKUP(A105,Earthing!$C$7:$H$307,4, 0)</f>
        <v>#N/A</v>
      </c>
    </row>
    <row r="106" spans="1:6" hidden="1">
      <c r="A106" s="997" t="s">
        <v>1221</v>
      </c>
      <c r="B106" s="986" t="s">
        <v>212</v>
      </c>
      <c r="C106" s="409" t="e">
        <f>VLOOKUP(A106,Foundation!$B$8:$Q$294,10, 0)</f>
        <v>#N/A</v>
      </c>
      <c r="D106" s="409" t="e">
        <f>VLOOKUP(A106,Foundation!$B$8:$Q$277,12, 0)</f>
        <v>#N/A</v>
      </c>
      <c r="E106" s="409" t="e">
        <f>VLOOKUP(A106,'Erection Compiled '!$B$2:$R$340,10, 0)</f>
        <v>#N/A</v>
      </c>
      <c r="F106" s="409" t="e">
        <f>VLOOKUP(A106,Earthing!$C$7:$H$307,4, 0)</f>
        <v>#N/A</v>
      </c>
    </row>
    <row r="107" spans="1:6" hidden="1">
      <c r="A107" s="996" t="s">
        <v>98</v>
      </c>
      <c r="B107" s="986" t="s">
        <v>108</v>
      </c>
      <c r="C107" s="409" t="e">
        <f>VLOOKUP(A107,Foundation!$B$8:$Q$294,10, 0)</f>
        <v>#N/A</v>
      </c>
      <c r="D107" s="409" t="e">
        <f>VLOOKUP(A107,Foundation!$B$8:$Q$277,12, 0)</f>
        <v>#N/A</v>
      </c>
      <c r="E107" s="409" t="e">
        <f>VLOOKUP(A107,'Erection Compiled '!$B$2:$R$340,10, 0)</f>
        <v>#N/A</v>
      </c>
      <c r="F107" s="409" t="e">
        <f>VLOOKUP(A107,Earthing!$C$7:$H$307,4, 0)</f>
        <v>#N/A</v>
      </c>
    </row>
    <row r="108" spans="1:6" hidden="1">
      <c r="A108" s="996" t="s">
        <v>1222</v>
      </c>
      <c r="B108" s="986" t="s">
        <v>147</v>
      </c>
      <c r="C108" s="409" t="e">
        <f>VLOOKUP(A108,Foundation!$B$8:$Q$294,10, 0)</f>
        <v>#N/A</v>
      </c>
      <c r="D108" s="409" t="e">
        <f>VLOOKUP(A108,Foundation!$B$8:$Q$277,12, 0)</f>
        <v>#N/A</v>
      </c>
      <c r="E108" s="409" t="e">
        <f>VLOOKUP(A108,'Erection Compiled '!$B$2:$R$340,10, 0)</f>
        <v>#N/A</v>
      </c>
      <c r="F108" s="409" t="e">
        <f>VLOOKUP(A108,Earthing!$C$7:$H$307,4, 0)</f>
        <v>#N/A</v>
      </c>
    </row>
    <row r="109" spans="1:6" hidden="1">
      <c r="A109" s="996" t="s">
        <v>1223</v>
      </c>
      <c r="B109" s="986" t="s">
        <v>206</v>
      </c>
      <c r="C109" s="409" t="e">
        <f>VLOOKUP(A109,Foundation!$B$8:$Q$294,10, 0)</f>
        <v>#N/A</v>
      </c>
      <c r="D109" s="409" t="e">
        <f>VLOOKUP(A109,Foundation!$B$8:$Q$277,12, 0)</f>
        <v>#N/A</v>
      </c>
      <c r="E109" s="409" t="e">
        <f>VLOOKUP(A109,'Erection Compiled '!$B$2:$R$340,10, 0)</f>
        <v>#N/A</v>
      </c>
      <c r="F109" s="409" t="e">
        <f>VLOOKUP(A109,Earthing!$C$7:$H$307,4, 0)</f>
        <v>#N/A</v>
      </c>
    </row>
    <row r="110" spans="1:6" hidden="1">
      <c r="A110" s="996" t="s">
        <v>1672</v>
      </c>
      <c r="B110" s="986" t="s">
        <v>153</v>
      </c>
      <c r="C110" s="409" t="e">
        <f>VLOOKUP(A110,Foundation!$B$8:$Q$294,10, 0)</f>
        <v>#N/A</v>
      </c>
      <c r="D110" s="409" t="e">
        <f>VLOOKUP(A110,Foundation!$B$8:$Q$277,12, 0)</f>
        <v>#N/A</v>
      </c>
      <c r="E110" s="409" t="e">
        <f>VLOOKUP(A110,'Erection Compiled '!$B$2:$R$340,10, 0)</f>
        <v>#N/A</v>
      </c>
      <c r="F110" s="409" t="e">
        <f>VLOOKUP(A110,Earthing!$C$7:$H$307,4, 0)</f>
        <v>#N/A</v>
      </c>
    </row>
    <row r="111" spans="1:6" hidden="1">
      <c r="A111" s="996" t="s">
        <v>99</v>
      </c>
      <c r="B111" s="986" t="s">
        <v>90</v>
      </c>
      <c r="C111" s="409" t="e">
        <f>VLOOKUP(A111,Foundation!$B$8:$Q$294,10, 0)</f>
        <v>#N/A</v>
      </c>
      <c r="D111" s="409" t="e">
        <f>VLOOKUP(A111,Foundation!$B$8:$Q$277,12, 0)</f>
        <v>#N/A</v>
      </c>
      <c r="E111" s="409" t="e">
        <f>VLOOKUP(A111,'Erection Compiled '!$B$2:$R$340,10, 0)</f>
        <v>#N/A</v>
      </c>
      <c r="F111" s="409" t="e">
        <f>VLOOKUP(A111,Earthing!$C$7:$H$307,4, 0)</f>
        <v>#N/A</v>
      </c>
    </row>
    <row r="112" spans="1:6" hidden="1">
      <c r="A112" s="996" t="s">
        <v>1224</v>
      </c>
      <c r="B112" s="986" t="s">
        <v>153</v>
      </c>
      <c r="C112" s="409" t="e">
        <f>VLOOKUP(A112,Foundation!$B$8:$Q$294,10, 0)</f>
        <v>#N/A</v>
      </c>
      <c r="D112" s="409" t="e">
        <f>VLOOKUP(A112,Foundation!$B$8:$Q$277,12, 0)</f>
        <v>#N/A</v>
      </c>
      <c r="E112" s="409" t="e">
        <f>VLOOKUP(A112,'Erection Compiled '!$B$2:$R$340,10, 0)</f>
        <v>#N/A</v>
      </c>
      <c r="F112" s="409" t="e">
        <f>VLOOKUP(A112,Earthing!$C$7:$H$307,4, 0)</f>
        <v>#N/A</v>
      </c>
    </row>
    <row r="113" spans="1:6" hidden="1">
      <c r="A113" s="996" t="s">
        <v>1225</v>
      </c>
      <c r="B113" s="986" t="s">
        <v>147</v>
      </c>
      <c r="C113" s="409" t="e">
        <f>VLOOKUP(A113,Foundation!$B$8:$Q$294,10, 0)</f>
        <v>#N/A</v>
      </c>
      <c r="D113" s="409" t="e">
        <f>VLOOKUP(A113,Foundation!$B$8:$Q$277,12, 0)</f>
        <v>#N/A</v>
      </c>
      <c r="E113" s="409" t="e">
        <f>VLOOKUP(A113,'Erection Compiled '!$B$2:$R$340,10, 0)</f>
        <v>#N/A</v>
      </c>
      <c r="F113" s="409" t="e">
        <f>VLOOKUP(A113,Earthing!$C$7:$H$307,4, 0)</f>
        <v>#N/A</v>
      </c>
    </row>
    <row r="114" spans="1:6" hidden="1">
      <c r="A114" s="996" t="s">
        <v>1226</v>
      </c>
      <c r="B114" s="986" t="s">
        <v>147</v>
      </c>
      <c r="C114" s="409" t="e">
        <f>VLOOKUP(A114,Foundation!$B$8:$Q$294,10, 0)</f>
        <v>#N/A</v>
      </c>
      <c r="D114" s="409" t="e">
        <f>VLOOKUP(A114,Foundation!$B$8:$Q$277,12, 0)</f>
        <v>#N/A</v>
      </c>
      <c r="E114" s="409" t="e">
        <f>VLOOKUP(A114,'Erection Compiled '!$B$2:$R$340,10, 0)</f>
        <v>#N/A</v>
      </c>
      <c r="F114" s="409" t="e">
        <f>VLOOKUP(A114,Earthing!$C$7:$H$307,4, 0)</f>
        <v>#N/A</v>
      </c>
    </row>
    <row r="115" spans="1:6" hidden="1">
      <c r="A115" s="996" t="s">
        <v>100</v>
      </c>
      <c r="B115" s="986" t="s">
        <v>88</v>
      </c>
      <c r="C115" s="409" t="e">
        <f>VLOOKUP(A115,Foundation!$B$8:$Q$294,10, 0)</f>
        <v>#N/A</v>
      </c>
      <c r="D115" s="409" t="e">
        <f>VLOOKUP(A115,Foundation!$B$8:$Q$277,12, 0)</f>
        <v>#N/A</v>
      </c>
      <c r="E115" s="409" t="e">
        <f>VLOOKUP(A115,'Erection Compiled '!$B$2:$R$340,10, 0)</f>
        <v>#N/A</v>
      </c>
      <c r="F115" s="409" t="e">
        <f>VLOOKUP(A115,Earthing!$C$7:$H$307,4, 0)</f>
        <v>#N/A</v>
      </c>
    </row>
    <row r="116" spans="1:6" hidden="1">
      <c r="A116" s="998" t="s">
        <v>1227</v>
      </c>
      <c r="B116" s="987" t="s">
        <v>212</v>
      </c>
      <c r="C116" s="409" t="e">
        <f>VLOOKUP(A116,Foundation!$B$8:$Q$294,10, 0)</f>
        <v>#N/A</v>
      </c>
      <c r="D116" s="409" t="e">
        <f>VLOOKUP(A116,Foundation!$B$8:$Q$277,12, 0)</f>
        <v>#N/A</v>
      </c>
      <c r="E116" s="409" t="e">
        <f>VLOOKUP(A116,'Erection Compiled '!$B$2:$R$340,10, 0)</f>
        <v>#N/A</v>
      </c>
      <c r="F116" s="409" t="e">
        <f>VLOOKUP(A116,Earthing!$C$7:$H$307,4, 0)</f>
        <v>#N/A</v>
      </c>
    </row>
    <row r="117" spans="1:6" hidden="1">
      <c r="A117" s="998" t="s">
        <v>1673</v>
      </c>
      <c r="B117" s="987" t="s">
        <v>157</v>
      </c>
      <c r="C117" s="409" t="e">
        <f>VLOOKUP(A117,Foundation!$B$8:$Q$294,10, 0)</f>
        <v>#N/A</v>
      </c>
      <c r="D117" s="409" t="e">
        <f>VLOOKUP(A117,Foundation!$B$8:$Q$277,12, 0)</f>
        <v>#N/A</v>
      </c>
      <c r="E117" s="409" t="e">
        <f>VLOOKUP(A117,'Erection Compiled '!$B$2:$R$340,10, 0)</f>
        <v>#N/A</v>
      </c>
      <c r="F117" s="409" t="e">
        <f>VLOOKUP(A117,Earthing!$C$7:$H$307,4, 0)</f>
        <v>#N/A</v>
      </c>
    </row>
    <row r="118" spans="1:6" hidden="1">
      <c r="A118" s="998" t="s">
        <v>1544</v>
      </c>
      <c r="B118" s="988" t="s">
        <v>1696</v>
      </c>
      <c r="C118" s="409" t="e">
        <f>VLOOKUP(A118,Foundation!$B$8:$Q$294,10, 0)</f>
        <v>#N/A</v>
      </c>
      <c r="D118" s="409" t="e">
        <f>VLOOKUP(A118,Foundation!$B$8:$Q$277,12, 0)</f>
        <v>#N/A</v>
      </c>
      <c r="E118" s="409" t="e">
        <f>VLOOKUP(A118,'Erection Compiled '!$B$2:$R$340,10, 0)</f>
        <v>#N/A</v>
      </c>
      <c r="F118" s="409" t="e">
        <f>VLOOKUP(A118,Earthing!$C$7:$H$307,4, 0)</f>
        <v>#N/A</v>
      </c>
    </row>
    <row r="119" spans="1:6" hidden="1">
      <c r="A119" s="998" t="s">
        <v>1546</v>
      </c>
      <c r="B119" s="988" t="s">
        <v>1696</v>
      </c>
      <c r="C119" s="409" t="e">
        <f>VLOOKUP(A119,Foundation!$B$8:$Q$294,10, 0)</f>
        <v>#N/A</v>
      </c>
      <c r="D119" s="409" t="e">
        <f>VLOOKUP(A119,Foundation!$B$8:$Q$277,12, 0)</f>
        <v>#N/A</v>
      </c>
      <c r="E119" s="409" t="e">
        <f>VLOOKUP(A119,'Erection Compiled '!$B$2:$R$340,10, 0)</f>
        <v>#N/A</v>
      </c>
      <c r="F119" s="409" t="e">
        <f>VLOOKUP(A119,Earthing!$C$7:$H$307,4, 0)</f>
        <v>#N/A</v>
      </c>
    </row>
    <row r="120" spans="1:6" hidden="1">
      <c r="A120" s="998" t="s">
        <v>1674</v>
      </c>
      <c r="B120" s="987" t="s">
        <v>84</v>
      </c>
      <c r="C120" s="409" t="e">
        <f>VLOOKUP(A120,Foundation!$B$8:$Q$294,10, 0)</f>
        <v>#N/A</v>
      </c>
      <c r="D120" s="409" t="e">
        <f>VLOOKUP(A120,Foundation!$B$8:$Q$277,12, 0)</f>
        <v>#N/A</v>
      </c>
      <c r="E120" s="409" t="e">
        <f>VLOOKUP(A120,'Erection Compiled '!$B$2:$R$340,10, 0)</f>
        <v>#N/A</v>
      </c>
      <c r="F120" s="409" t="e">
        <f>VLOOKUP(A120,Earthing!$C$7:$H$307,4, 0)</f>
        <v>#N/A</v>
      </c>
    </row>
    <row r="121" spans="1:6" hidden="1">
      <c r="A121" s="998" t="s">
        <v>101</v>
      </c>
      <c r="B121" s="987" t="s">
        <v>88</v>
      </c>
      <c r="C121" s="409" t="e">
        <f>VLOOKUP(A121,Foundation!$B$8:$Q$294,10, 0)</f>
        <v>#N/A</v>
      </c>
      <c r="D121" s="409" t="e">
        <f>VLOOKUP(A121,Foundation!$B$8:$Q$277,12, 0)</f>
        <v>#N/A</v>
      </c>
      <c r="E121" s="409" t="e">
        <f>VLOOKUP(A121,'Erection Compiled '!$B$2:$R$340,10, 0)</f>
        <v>#N/A</v>
      </c>
      <c r="F121" s="409" t="e">
        <f>VLOOKUP(A121,Earthing!$C$7:$H$307,4, 0)</f>
        <v>#N/A</v>
      </c>
    </row>
    <row r="122" spans="1:6" hidden="1">
      <c r="A122" s="998" t="s">
        <v>1550</v>
      </c>
      <c r="B122" s="987" t="s">
        <v>112</v>
      </c>
      <c r="C122" s="409" t="e">
        <f>VLOOKUP(A122,Foundation!$B$8:$Q$294,10, 0)</f>
        <v>#N/A</v>
      </c>
      <c r="D122" s="409" t="e">
        <f>VLOOKUP(A122,Foundation!$B$8:$Q$277,12, 0)</f>
        <v>#N/A</v>
      </c>
      <c r="E122" s="409" t="e">
        <f>VLOOKUP(A122,'Erection Compiled '!$B$2:$R$340,10, 0)</f>
        <v>#N/A</v>
      </c>
      <c r="F122" s="409" t="e">
        <f>VLOOKUP(A122,Earthing!$C$7:$H$307,4, 0)</f>
        <v>#N/A</v>
      </c>
    </row>
    <row r="123" spans="1:6" hidden="1">
      <c r="A123" s="998" t="s">
        <v>1229</v>
      </c>
      <c r="B123" s="987" t="s">
        <v>147</v>
      </c>
      <c r="C123" s="409" t="e">
        <f>VLOOKUP(A123,Foundation!$B$8:$Q$294,10, 0)</f>
        <v>#N/A</v>
      </c>
      <c r="D123" s="409" t="e">
        <f>VLOOKUP(A123,Foundation!$B$8:$Q$277,12, 0)</f>
        <v>#N/A</v>
      </c>
      <c r="E123" s="409" t="e">
        <f>VLOOKUP(A123,'Erection Compiled '!$B$2:$R$340,10, 0)</f>
        <v>#N/A</v>
      </c>
      <c r="F123" s="409" t="e">
        <f>VLOOKUP(A123,Earthing!$C$7:$H$307,4, 0)</f>
        <v>#N/A</v>
      </c>
    </row>
    <row r="124" spans="1:6" hidden="1">
      <c r="A124" s="998" t="s">
        <v>1230</v>
      </c>
      <c r="B124" s="987" t="s">
        <v>206</v>
      </c>
      <c r="C124" s="409" t="e">
        <f>VLOOKUP(A124,Foundation!$B$8:$Q$294,10, 0)</f>
        <v>#N/A</v>
      </c>
      <c r="D124" s="409" t="e">
        <f>VLOOKUP(A124,Foundation!$B$8:$Q$277,12, 0)</f>
        <v>#N/A</v>
      </c>
      <c r="E124" s="409" t="e">
        <f>VLOOKUP(A124,'Erection Compiled '!$B$2:$R$340,10, 0)</f>
        <v>#N/A</v>
      </c>
      <c r="F124" s="409" t="e">
        <f>VLOOKUP(A124,Earthing!$C$7:$H$307,4, 0)</f>
        <v>#N/A</v>
      </c>
    </row>
    <row r="125" spans="1:6" hidden="1">
      <c r="A125" s="998" t="s">
        <v>1647</v>
      </c>
      <c r="B125" s="987" t="s">
        <v>80</v>
      </c>
      <c r="C125" s="409" t="e">
        <f>VLOOKUP(A125,Foundation!$B$8:$Q$294,10, 0)</f>
        <v>#N/A</v>
      </c>
      <c r="D125" s="409" t="e">
        <f>VLOOKUP(A125,Foundation!$B$8:$Q$277,12, 0)</f>
        <v>#N/A</v>
      </c>
      <c r="E125" s="409" t="e">
        <f>VLOOKUP(A125,'Erection Compiled '!$B$2:$R$340,10, 0)</f>
        <v>#N/A</v>
      </c>
      <c r="F125" s="409" t="e">
        <f>VLOOKUP(A125,Earthing!$C$7:$H$307,4, 0)</f>
        <v>#N/A</v>
      </c>
    </row>
    <row r="126" spans="1:6" hidden="1">
      <c r="A126" s="998" t="s">
        <v>1233</v>
      </c>
      <c r="B126" s="987" t="s">
        <v>206</v>
      </c>
      <c r="C126" s="409" t="e">
        <f>VLOOKUP(A126,Foundation!$B$8:$Q$294,10, 0)</f>
        <v>#N/A</v>
      </c>
      <c r="D126" s="409" t="e">
        <f>VLOOKUP(A126,Foundation!$B$8:$Q$277,12, 0)</f>
        <v>#N/A</v>
      </c>
      <c r="E126" s="409" t="e">
        <f>VLOOKUP(A126,'Erection Compiled '!$B$2:$R$340,10, 0)</f>
        <v>#N/A</v>
      </c>
      <c r="F126" s="409" t="e">
        <f>VLOOKUP(A126,Earthing!$C$7:$H$307,4, 0)</f>
        <v>#N/A</v>
      </c>
    </row>
    <row r="127" spans="1:6" hidden="1">
      <c r="A127" s="998" t="s">
        <v>1234</v>
      </c>
      <c r="B127" s="987" t="s">
        <v>147</v>
      </c>
      <c r="C127" s="409" t="e">
        <f>VLOOKUP(A127,Foundation!$B$8:$Q$294,10, 0)</f>
        <v>#N/A</v>
      </c>
      <c r="D127" s="409" t="e">
        <f>VLOOKUP(A127,Foundation!$B$8:$Q$277,12, 0)</f>
        <v>#N/A</v>
      </c>
      <c r="E127" s="409" t="e">
        <f>VLOOKUP(A127,'Erection Compiled '!$B$2:$R$340,10, 0)</f>
        <v>#N/A</v>
      </c>
      <c r="F127" s="409" t="e">
        <f>VLOOKUP(A127,Earthing!$C$7:$H$307,4, 0)</f>
        <v>#N/A</v>
      </c>
    </row>
    <row r="128" spans="1:6" hidden="1">
      <c r="A128" s="998" t="s">
        <v>1235</v>
      </c>
      <c r="B128" s="987" t="s">
        <v>212</v>
      </c>
      <c r="C128" s="409" t="e">
        <f>VLOOKUP(A128,Foundation!$B$8:$Q$294,10, 0)</f>
        <v>#N/A</v>
      </c>
      <c r="D128" s="409" t="e">
        <f>VLOOKUP(A128,Foundation!$B$8:$Q$277,12, 0)</f>
        <v>#N/A</v>
      </c>
      <c r="E128" s="409" t="e">
        <f>VLOOKUP(A128,'Erection Compiled '!$B$2:$R$340,10, 0)</f>
        <v>#N/A</v>
      </c>
      <c r="F128" s="409" t="e">
        <f>VLOOKUP(A128,Earthing!$C$7:$H$307,4, 0)</f>
        <v>#N/A</v>
      </c>
    </row>
    <row r="129" spans="1:6" hidden="1">
      <c r="A129" s="998" t="s">
        <v>1648</v>
      </c>
      <c r="B129" s="987" t="s">
        <v>153</v>
      </c>
      <c r="C129" s="409" t="e">
        <f>VLOOKUP(A129,Foundation!$B$8:$Q$294,10, 0)</f>
        <v>#N/A</v>
      </c>
      <c r="D129" s="409" t="e">
        <f>VLOOKUP(A129,Foundation!$B$8:$Q$277,12, 0)</f>
        <v>#N/A</v>
      </c>
      <c r="E129" s="409" t="e">
        <f>VLOOKUP(A129,'Erection Compiled '!$B$2:$R$340,10, 0)</f>
        <v>#N/A</v>
      </c>
      <c r="F129" s="409" t="e">
        <f>VLOOKUP(A129,Earthing!$C$7:$H$307,4, 0)</f>
        <v>#N/A</v>
      </c>
    </row>
    <row r="130" spans="1:6" hidden="1">
      <c r="A130" s="998" t="s">
        <v>602</v>
      </c>
      <c r="B130" s="987" t="s">
        <v>150</v>
      </c>
      <c r="C130" s="409" t="e">
        <f>VLOOKUP(A130,Foundation!$B$8:$Q$294,10, 0)</f>
        <v>#N/A</v>
      </c>
      <c r="D130" s="409" t="e">
        <f>VLOOKUP(A130,Foundation!$B$8:$Q$277,12, 0)</f>
        <v>#N/A</v>
      </c>
      <c r="E130" s="409" t="e">
        <f>VLOOKUP(A130,'Erection Compiled '!$B$2:$R$340,10, 0)</f>
        <v>#N/A</v>
      </c>
      <c r="F130" s="409" t="e">
        <f>VLOOKUP(A130,Earthing!$C$7:$H$307,4, 0)</f>
        <v>#N/A</v>
      </c>
    </row>
    <row r="131" spans="1:6" hidden="1">
      <c r="A131" s="998" t="s">
        <v>103</v>
      </c>
      <c r="B131" s="987" t="s">
        <v>97</v>
      </c>
      <c r="C131" s="409" t="e">
        <f>VLOOKUP(A131,Foundation!$B$8:$Q$294,10, 0)</f>
        <v>#N/A</v>
      </c>
      <c r="D131" s="409" t="e">
        <f>VLOOKUP(A131,Foundation!$B$8:$Q$277,12, 0)</f>
        <v>#N/A</v>
      </c>
      <c r="E131" s="409" t="e">
        <f>VLOOKUP(A131,'Erection Compiled '!$B$2:$R$340,10, 0)</f>
        <v>#N/A</v>
      </c>
      <c r="F131" s="409" t="e">
        <f>VLOOKUP(A131,Earthing!$C$7:$H$307,4, 0)</f>
        <v>#N/A</v>
      </c>
    </row>
    <row r="132" spans="1:6" hidden="1">
      <c r="A132" s="998" t="s">
        <v>607</v>
      </c>
      <c r="B132" s="987" t="s">
        <v>206</v>
      </c>
      <c r="C132" s="409" t="e">
        <f>VLOOKUP(A132,Foundation!$B$8:$Q$294,10, 0)</f>
        <v>#N/A</v>
      </c>
      <c r="D132" s="409" t="e">
        <f>VLOOKUP(A132,Foundation!$B$8:$Q$277,12, 0)</f>
        <v>#N/A</v>
      </c>
      <c r="E132" s="409" t="e">
        <f>VLOOKUP(A132,'Erection Compiled '!$B$2:$R$340,10, 0)</f>
        <v>#N/A</v>
      </c>
      <c r="F132" s="409" t="e">
        <f>VLOOKUP(A132,Earthing!$C$7:$H$307,4, 0)</f>
        <v>#N/A</v>
      </c>
    </row>
    <row r="133" spans="1:6" hidden="1">
      <c r="A133" s="998" t="s">
        <v>608</v>
      </c>
      <c r="B133" s="987" t="s">
        <v>212</v>
      </c>
      <c r="C133" s="409" t="e">
        <f>VLOOKUP(A133,Foundation!$B$8:$Q$294,10, 0)</f>
        <v>#N/A</v>
      </c>
      <c r="D133" s="409" t="e">
        <f>VLOOKUP(A133,Foundation!$B$8:$Q$277,12, 0)</f>
        <v>#N/A</v>
      </c>
      <c r="E133" s="409" t="e">
        <f>VLOOKUP(A133,'Erection Compiled '!$B$2:$R$340,10, 0)</f>
        <v>#N/A</v>
      </c>
      <c r="F133" s="409" t="e">
        <f>VLOOKUP(A133,Earthing!$C$7:$H$307,4, 0)</f>
        <v>#N/A</v>
      </c>
    </row>
    <row r="134" spans="1:6" hidden="1">
      <c r="A134" s="998" t="s">
        <v>1551</v>
      </c>
      <c r="B134" s="987" t="s">
        <v>97</v>
      </c>
      <c r="C134" s="409" t="e">
        <f>VLOOKUP(A134,Foundation!$B$8:$Q$294,10, 0)</f>
        <v>#N/A</v>
      </c>
      <c r="D134" s="409" t="e">
        <f>VLOOKUP(A134,Foundation!$B$8:$Q$277,12, 0)</f>
        <v>#N/A</v>
      </c>
      <c r="E134" s="409" t="e">
        <f>VLOOKUP(A134,'Erection Compiled '!$B$2:$R$340,10, 0)</f>
        <v>#N/A</v>
      </c>
      <c r="F134" s="409" t="e">
        <f>VLOOKUP(A134,Earthing!$C$7:$H$307,4, 0)</f>
        <v>#N/A</v>
      </c>
    </row>
    <row r="135" spans="1:6" hidden="1">
      <c r="A135" s="998" t="s">
        <v>1649</v>
      </c>
      <c r="B135" s="987" t="s">
        <v>80</v>
      </c>
      <c r="C135" s="409" t="e">
        <f>VLOOKUP(A135,Foundation!$B$8:$Q$294,10, 0)</f>
        <v>#N/A</v>
      </c>
      <c r="D135" s="409" t="e">
        <f>VLOOKUP(A135,Foundation!$B$8:$Q$277,12, 0)</f>
        <v>#N/A</v>
      </c>
      <c r="E135" s="409" t="e">
        <f>VLOOKUP(A135,'Erection Compiled '!$B$2:$R$340,10, 0)</f>
        <v>#N/A</v>
      </c>
      <c r="F135" s="409" t="e">
        <f>VLOOKUP(A135,Earthing!$C$7:$H$307,4, 0)</f>
        <v>#N/A</v>
      </c>
    </row>
    <row r="136" spans="1:6" hidden="1">
      <c r="A136" s="998" t="s">
        <v>610</v>
      </c>
      <c r="B136" s="987" t="s">
        <v>147</v>
      </c>
      <c r="C136" s="409" t="e">
        <f>VLOOKUP(A136,Foundation!$B$8:$Q$294,10, 0)</f>
        <v>#N/A</v>
      </c>
      <c r="D136" s="409" t="e">
        <f>VLOOKUP(A136,Foundation!$B$8:$Q$277,12, 0)</f>
        <v>#N/A</v>
      </c>
      <c r="E136" s="409" t="e">
        <f>VLOOKUP(A136,'Erection Compiled '!$B$2:$R$340,10, 0)</f>
        <v>#N/A</v>
      </c>
      <c r="F136" s="409" t="e">
        <f>VLOOKUP(A136,Earthing!$C$7:$H$307,4, 0)</f>
        <v>#N/A</v>
      </c>
    </row>
    <row r="137" spans="1:6" hidden="1">
      <c r="A137" s="998" t="s">
        <v>611</v>
      </c>
      <c r="B137" s="987" t="s">
        <v>147</v>
      </c>
      <c r="C137" s="409" t="e">
        <f>VLOOKUP(A137,Foundation!$B$8:$Q$294,10, 0)</f>
        <v>#N/A</v>
      </c>
      <c r="D137" s="409" t="e">
        <f>VLOOKUP(A137,Foundation!$B$8:$Q$277,12, 0)</f>
        <v>#N/A</v>
      </c>
      <c r="E137" s="409" t="e">
        <f>VLOOKUP(A137,'Erection Compiled '!$B$2:$R$340,10, 0)</f>
        <v>#N/A</v>
      </c>
      <c r="F137" s="409" t="e">
        <f>VLOOKUP(A137,Earthing!$C$7:$H$307,4, 0)</f>
        <v>#N/A</v>
      </c>
    </row>
    <row r="138" spans="1:6" hidden="1">
      <c r="A138" s="998" t="s">
        <v>612</v>
      </c>
      <c r="B138" s="987" t="s">
        <v>147</v>
      </c>
      <c r="C138" s="409" t="e">
        <f>VLOOKUP(A138,Foundation!$B$8:$Q$294,10, 0)</f>
        <v>#N/A</v>
      </c>
      <c r="D138" s="409" t="e">
        <f>VLOOKUP(A138,Foundation!$B$8:$Q$277,12, 0)</f>
        <v>#N/A</v>
      </c>
      <c r="E138" s="409" t="e">
        <f>VLOOKUP(A138,'Erection Compiled '!$B$2:$R$340,10, 0)</f>
        <v>#N/A</v>
      </c>
      <c r="F138" s="409" t="e">
        <f>VLOOKUP(A138,Earthing!$C$7:$H$307,4, 0)</f>
        <v>#N/A</v>
      </c>
    </row>
    <row r="139" spans="1:6" hidden="1">
      <c r="A139" s="998" t="s">
        <v>104</v>
      </c>
      <c r="B139" s="987" t="s">
        <v>88</v>
      </c>
      <c r="C139" s="409" t="e">
        <f>VLOOKUP(A139,Foundation!$B$8:$Q$294,10, 0)</f>
        <v>#N/A</v>
      </c>
      <c r="D139" s="409" t="e">
        <f>VLOOKUP(A139,Foundation!$B$8:$Q$277,12, 0)</f>
        <v>#N/A</v>
      </c>
      <c r="E139" s="409" t="e">
        <f>VLOOKUP(A139,'Erection Compiled '!$B$2:$R$340,10, 0)</f>
        <v>#N/A</v>
      </c>
      <c r="F139" s="409" t="e">
        <f>VLOOKUP(A139,Earthing!$C$7:$H$307,4, 0)</f>
        <v>#N/A</v>
      </c>
    </row>
    <row r="140" spans="1:6" hidden="1">
      <c r="A140" s="998" t="s">
        <v>1675</v>
      </c>
      <c r="B140" s="987" t="s">
        <v>88</v>
      </c>
      <c r="C140" s="409" t="e">
        <f>VLOOKUP(A140,Foundation!$B$8:$Q$294,10, 0)</f>
        <v>#N/A</v>
      </c>
      <c r="D140" s="409" t="e">
        <f>VLOOKUP(A140,Foundation!$B$8:$Q$277,12, 0)</f>
        <v>#N/A</v>
      </c>
      <c r="E140" s="409" t="e">
        <f>VLOOKUP(A140,'Erection Compiled '!$B$2:$R$340,10, 0)</f>
        <v>#N/A</v>
      </c>
      <c r="F140" s="409" t="e">
        <f>VLOOKUP(A140,Earthing!$C$7:$H$307,4, 0)</f>
        <v>#N/A</v>
      </c>
    </row>
    <row r="141" spans="1:6" hidden="1">
      <c r="A141" s="998" t="s">
        <v>615</v>
      </c>
      <c r="B141" s="987" t="s">
        <v>150</v>
      </c>
      <c r="C141" s="409" t="e">
        <f>VLOOKUP(A141,Foundation!$B$8:$Q$294,10, 0)</f>
        <v>#N/A</v>
      </c>
      <c r="D141" s="409" t="e">
        <f>VLOOKUP(A141,Foundation!$B$8:$Q$277,12, 0)</f>
        <v>#N/A</v>
      </c>
      <c r="E141" s="409" t="e">
        <f>VLOOKUP(A141,'Erection Compiled '!$B$2:$R$340,10, 0)</f>
        <v>#N/A</v>
      </c>
      <c r="F141" s="409" t="e">
        <f>VLOOKUP(A141,Earthing!$C$7:$H$307,4, 0)</f>
        <v>#N/A</v>
      </c>
    </row>
    <row r="142" spans="1:6" hidden="1">
      <c r="A142" s="998" t="s">
        <v>616</v>
      </c>
      <c r="B142" s="987" t="s">
        <v>150</v>
      </c>
      <c r="C142" s="409" t="e">
        <f>VLOOKUP(A142,Foundation!$B$8:$Q$294,10, 0)</f>
        <v>#N/A</v>
      </c>
      <c r="D142" s="409" t="e">
        <f>VLOOKUP(A142,Foundation!$B$8:$Q$277,12, 0)</f>
        <v>#N/A</v>
      </c>
      <c r="E142" s="409" t="e">
        <f>VLOOKUP(A142,'Erection Compiled '!$B$2:$R$340,10, 0)</f>
        <v>#N/A</v>
      </c>
      <c r="F142" s="409" t="e">
        <f>VLOOKUP(A142,Earthing!$C$7:$H$307,4, 0)</f>
        <v>#N/A</v>
      </c>
    </row>
    <row r="143" spans="1:6" hidden="1">
      <c r="A143" s="998" t="s">
        <v>617</v>
      </c>
      <c r="B143" s="987" t="s">
        <v>212</v>
      </c>
      <c r="C143" s="409" t="e">
        <f>VLOOKUP(A143,Foundation!$B$8:$Q$294,10, 0)</f>
        <v>#N/A</v>
      </c>
      <c r="D143" s="409" t="e">
        <f>VLOOKUP(A143,Foundation!$B$8:$Q$277,12, 0)</f>
        <v>#N/A</v>
      </c>
      <c r="E143" s="409" t="e">
        <f>VLOOKUP(A143,'Erection Compiled '!$B$2:$R$340,10, 0)</f>
        <v>#N/A</v>
      </c>
      <c r="F143" s="409" t="e">
        <f>VLOOKUP(A143,Earthing!$C$7:$H$307,4, 0)</f>
        <v>#N/A</v>
      </c>
    </row>
    <row r="144" spans="1:6" hidden="1">
      <c r="A144" s="998" t="s">
        <v>1676</v>
      </c>
      <c r="B144" s="987" t="s">
        <v>84</v>
      </c>
      <c r="C144" s="409" t="e">
        <f>VLOOKUP(A144,Foundation!$B$8:$Q$294,10, 0)</f>
        <v>#N/A</v>
      </c>
      <c r="D144" s="409" t="e">
        <f>VLOOKUP(A144,Foundation!$B$8:$Q$277,12, 0)</f>
        <v>#N/A</v>
      </c>
      <c r="E144" s="409" t="e">
        <f>VLOOKUP(A144,'Erection Compiled '!$B$2:$R$340,10, 0)</f>
        <v>#N/A</v>
      </c>
      <c r="F144" s="409" t="e">
        <f>VLOOKUP(A144,Earthing!$C$7:$H$307,4, 0)</f>
        <v>#N/A</v>
      </c>
    </row>
    <row r="145" spans="1:6" hidden="1">
      <c r="A145" s="998" t="s">
        <v>1677</v>
      </c>
      <c r="B145" s="987" t="s">
        <v>93</v>
      </c>
      <c r="C145" s="409" t="e">
        <f>VLOOKUP(A145,Foundation!$B$8:$Q$294,10, 0)</f>
        <v>#N/A</v>
      </c>
      <c r="D145" s="409" t="e">
        <f>VLOOKUP(A145,Foundation!$B$8:$Q$277,12, 0)</f>
        <v>#N/A</v>
      </c>
      <c r="E145" s="409" t="e">
        <f>VLOOKUP(A145,'Erection Compiled '!$B$2:$R$340,10, 0)</f>
        <v>#N/A</v>
      </c>
      <c r="F145" s="409" t="e">
        <f>VLOOKUP(A145,Earthing!$C$7:$H$307,4, 0)</f>
        <v>#N/A</v>
      </c>
    </row>
    <row r="146" spans="1:6" hidden="1">
      <c r="A146" s="998" t="s">
        <v>620</v>
      </c>
      <c r="B146" s="987" t="s">
        <v>212</v>
      </c>
      <c r="C146" s="409" t="e">
        <f>VLOOKUP(A146,Foundation!$B$8:$Q$294,10, 0)</f>
        <v>#N/A</v>
      </c>
      <c r="D146" s="409" t="e">
        <f>VLOOKUP(A146,Foundation!$B$8:$Q$277,12, 0)</f>
        <v>#N/A</v>
      </c>
      <c r="E146" s="409" t="e">
        <f>VLOOKUP(A146,'Erection Compiled '!$B$2:$R$340,10, 0)</f>
        <v>#N/A</v>
      </c>
      <c r="F146" s="409" t="e">
        <f>VLOOKUP(A146,Earthing!$C$7:$H$307,4, 0)</f>
        <v>#N/A</v>
      </c>
    </row>
    <row r="147" spans="1:6" hidden="1">
      <c r="A147" s="998" t="s">
        <v>105</v>
      </c>
      <c r="B147" s="987" t="s">
        <v>88</v>
      </c>
      <c r="C147" s="409" t="e">
        <f>VLOOKUP(A147,Foundation!$B$8:$Q$294,10, 0)</f>
        <v>#N/A</v>
      </c>
      <c r="D147" s="409" t="e">
        <f>VLOOKUP(A147,Foundation!$B$8:$Q$277,12, 0)</f>
        <v>#N/A</v>
      </c>
      <c r="E147" s="409" t="e">
        <f>VLOOKUP(A147,'Erection Compiled '!$B$2:$R$340,10, 0)</f>
        <v>#N/A</v>
      </c>
      <c r="F147" s="409" t="e">
        <f>VLOOKUP(A147,Earthing!$C$7:$H$307,4, 0)</f>
        <v>#N/A</v>
      </c>
    </row>
    <row r="148" spans="1:6" hidden="1">
      <c r="A148" s="998" t="s">
        <v>622</v>
      </c>
      <c r="B148" s="987" t="s">
        <v>212</v>
      </c>
      <c r="C148" s="409" t="e">
        <f>VLOOKUP(A148,Foundation!$B$8:$Q$294,10, 0)</f>
        <v>#N/A</v>
      </c>
      <c r="D148" s="409" t="e">
        <f>VLOOKUP(A148,Foundation!$B$8:$Q$277,12, 0)</f>
        <v>#N/A</v>
      </c>
      <c r="E148" s="409" t="e">
        <f>VLOOKUP(A148,'Erection Compiled '!$B$2:$R$340,10, 0)</f>
        <v>#N/A</v>
      </c>
      <c r="F148" s="409" t="e">
        <f>VLOOKUP(A148,Earthing!$C$7:$H$307,4, 0)</f>
        <v>#N/A</v>
      </c>
    </row>
    <row r="149" spans="1:6" hidden="1">
      <c r="A149" s="998" t="s">
        <v>1650</v>
      </c>
      <c r="B149" s="987" t="s">
        <v>93</v>
      </c>
      <c r="C149" s="409" t="e">
        <f>VLOOKUP(A149,Foundation!$B$8:$Q$294,10, 0)</f>
        <v>#N/A</v>
      </c>
      <c r="D149" s="409" t="e">
        <f>VLOOKUP(A149,Foundation!$B$8:$Q$277,12, 0)</f>
        <v>#N/A</v>
      </c>
      <c r="E149" s="409" t="e">
        <f>VLOOKUP(A149,'Erection Compiled '!$B$2:$R$340,10, 0)</f>
        <v>#N/A</v>
      </c>
      <c r="F149" s="409" t="e">
        <f>VLOOKUP(A149,Earthing!$C$7:$H$307,4, 0)</f>
        <v>#N/A</v>
      </c>
    </row>
    <row r="150" spans="1:6" hidden="1">
      <c r="A150" s="998" t="s">
        <v>624</v>
      </c>
      <c r="B150" s="987" t="s">
        <v>212</v>
      </c>
      <c r="C150" s="409" t="e">
        <f>VLOOKUP(A150,Foundation!$B$8:$Q$294,10, 0)</f>
        <v>#N/A</v>
      </c>
      <c r="D150" s="409" t="e">
        <f>VLOOKUP(A150,Foundation!$B$8:$Q$277,12, 0)</f>
        <v>#N/A</v>
      </c>
      <c r="E150" s="409" t="e">
        <f>VLOOKUP(A150,'Erection Compiled '!$B$2:$R$340,10, 0)</f>
        <v>#N/A</v>
      </c>
      <c r="F150" s="409" t="e">
        <f>VLOOKUP(A150,Earthing!$C$7:$H$307,4, 0)</f>
        <v>#N/A</v>
      </c>
    </row>
    <row r="151" spans="1:6" hidden="1">
      <c r="A151" s="998" t="s">
        <v>625</v>
      </c>
      <c r="B151" s="987" t="s">
        <v>147</v>
      </c>
      <c r="C151" s="409" t="e">
        <f>VLOOKUP(A151,Foundation!$B$8:$Q$294,10, 0)</f>
        <v>#N/A</v>
      </c>
      <c r="D151" s="409" t="e">
        <f>VLOOKUP(A151,Foundation!$B$8:$Q$277,12, 0)</f>
        <v>#N/A</v>
      </c>
      <c r="E151" s="409" t="e">
        <f>VLOOKUP(A151,'Erection Compiled '!$B$2:$R$340,10, 0)</f>
        <v>#N/A</v>
      </c>
      <c r="F151" s="409" t="e">
        <f>VLOOKUP(A151,Earthing!$C$7:$H$307,4, 0)</f>
        <v>#N/A</v>
      </c>
    </row>
    <row r="152" spans="1:6" hidden="1">
      <c r="A152" s="998" t="s">
        <v>1357</v>
      </c>
      <c r="B152" s="987" t="s">
        <v>90</v>
      </c>
      <c r="C152" s="409" t="e">
        <f>VLOOKUP(A152,Foundation!$B$8:$Q$294,10, 0)</f>
        <v>#N/A</v>
      </c>
      <c r="D152" s="409" t="e">
        <f>VLOOKUP(A152,Foundation!$B$8:$Q$277,12, 0)</f>
        <v>#N/A</v>
      </c>
      <c r="E152" s="409" t="e">
        <f>VLOOKUP(A152,'Erection Compiled '!$B$2:$R$340,10, 0)</f>
        <v>#N/A</v>
      </c>
      <c r="F152" s="409" t="e">
        <f>VLOOKUP(A152,Earthing!$C$7:$H$307,4, 0)</f>
        <v>#N/A</v>
      </c>
    </row>
    <row r="153" spans="1:6" hidden="1">
      <c r="A153" s="998" t="s">
        <v>1651</v>
      </c>
      <c r="B153" s="987" t="s">
        <v>90</v>
      </c>
      <c r="C153" s="409" t="e">
        <f>VLOOKUP(A153,Foundation!$B$8:$Q$294,10, 0)</f>
        <v>#N/A</v>
      </c>
      <c r="D153" s="409" t="e">
        <f>VLOOKUP(A153,Foundation!$B$8:$Q$277,12, 0)</f>
        <v>#N/A</v>
      </c>
      <c r="E153" s="409" t="e">
        <f>VLOOKUP(A153,'Erection Compiled '!$B$2:$R$340,10, 0)</f>
        <v>#N/A</v>
      </c>
      <c r="F153" s="409" t="e">
        <f>VLOOKUP(A153,Earthing!$C$7:$H$307,4, 0)</f>
        <v>#N/A</v>
      </c>
    </row>
    <row r="154" spans="1:6" hidden="1">
      <c r="A154" s="998" t="s">
        <v>106</v>
      </c>
      <c r="B154" s="987" t="s">
        <v>84</v>
      </c>
      <c r="C154" s="409" t="e">
        <f>VLOOKUP(A154,Foundation!$B$8:$Q$294,10, 0)</f>
        <v>#N/A</v>
      </c>
      <c r="D154" s="409" t="e">
        <f>VLOOKUP(A154,Foundation!$B$8:$Q$277,12, 0)</f>
        <v>#N/A</v>
      </c>
      <c r="E154" s="409" t="e">
        <f>VLOOKUP(A154,'Erection Compiled '!$B$2:$R$340,10, 0)</f>
        <v>#N/A</v>
      </c>
      <c r="F154" s="409" t="e">
        <f>VLOOKUP(A154,Earthing!$C$7:$H$307,4, 0)</f>
        <v>#N/A</v>
      </c>
    </row>
    <row r="155" spans="1:6" hidden="1">
      <c r="A155" s="998" t="s">
        <v>629</v>
      </c>
      <c r="B155" s="987" t="s">
        <v>132</v>
      </c>
      <c r="C155" s="409" t="e">
        <f>VLOOKUP(A155,Foundation!$B$8:$Q$294,10, 0)</f>
        <v>#N/A</v>
      </c>
      <c r="D155" s="409" t="e">
        <f>VLOOKUP(A155,Foundation!$B$8:$Q$277,12, 0)</f>
        <v>#N/A</v>
      </c>
      <c r="E155" s="409" t="e">
        <f>VLOOKUP(A155,'Erection Compiled '!$B$2:$R$340,10, 0)</f>
        <v>#N/A</v>
      </c>
      <c r="F155" s="409" t="e">
        <f>VLOOKUP(A155,Earthing!$C$7:$H$307,4, 0)</f>
        <v>#N/A</v>
      </c>
    </row>
    <row r="156" spans="1:6" hidden="1">
      <c r="A156" s="998" t="s">
        <v>630</v>
      </c>
      <c r="B156" s="987" t="s">
        <v>150</v>
      </c>
      <c r="C156" s="409" t="e">
        <f>VLOOKUP(A156,Foundation!$B$8:$Q$294,10, 0)</f>
        <v>#N/A</v>
      </c>
      <c r="D156" s="409" t="e">
        <f>VLOOKUP(A156,Foundation!$B$8:$Q$277,12, 0)</f>
        <v>#N/A</v>
      </c>
      <c r="E156" s="409" t="e">
        <f>VLOOKUP(A156,'Erection Compiled '!$B$2:$R$340,10, 0)</f>
        <v>#N/A</v>
      </c>
      <c r="F156" s="409" t="e">
        <f>VLOOKUP(A156,Earthing!$C$7:$H$307,4, 0)</f>
        <v>#N/A</v>
      </c>
    </row>
    <row r="157" spans="1:6" hidden="1">
      <c r="A157" s="998" t="s">
        <v>631</v>
      </c>
      <c r="B157" s="987" t="s">
        <v>212</v>
      </c>
      <c r="C157" s="409" t="e">
        <f>VLOOKUP(A157,Foundation!$B$8:$Q$294,10, 0)</f>
        <v>#N/A</v>
      </c>
      <c r="D157" s="409" t="e">
        <f>VLOOKUP(A157,Foundation!$B$8:$Q$277,12, 0)</f>
        <v>#N/A</v>
      </c>
      <c r="E157" s="409" t="e">
        <f>VLOOKUP(A157,'Erection Compiled '!$B$2:$R$340,10, 0)</f>
        <v>#N/A</v>
      </c>
      <c r="F157" s="409" t="e">
        <f>VLOOKUP(A157,Earthing!$C$7:$H$307,4, 0)</f>
        <v>#N/A</v>
      </c>
    </row>
    <row r="158" spans="1:6" hidden="1">
      <c r="A158" s="998" t="s">
        <v>1552</v>
      </c>
      <c r="B158" s="987" t="s">
        <v>147</v>
      </c>
      <c r="C158" s="409" t="e">
        <f>VLOOKUP(A158,Foundation!$B$8:$Q$294,10, 0)</f>
        <v>#N/A</v>
      </c>
      <c r="D158" s="409" t="e">
        <f>VLOOKUP(A158,Foundation!$B$8:$Q$277,12, 0)</f>
        <v>#N/A</v>
      </c>
      <c r="E158" s="409" t="e">
        <f>VLOOKUP(A158,'Erection Compiled '!$B$2:$R$340,10, 0)</f>
        <v>#N/A</v>
      </c>
      <c r="F158" s="409" t="e">
        <f>VLOOKUP(A158,Earthing!$C$7:$H$307,4, 0)</f>
        <v>#N/A</v>
      </c>
    </row>
    <row r="159" spans="1:6" hidden="1">
      <c r="A159" s="998" t="s">
        <v>1553</v>
      </c>
      <c r="B159" s="987" t="s">
        <v>212</v>
      </c>
      <c r="C159" s="409" t="e">
        <f>VLOOKUP(A159,Foundation!$B$8:$Q$294,10, 0)</f>
        <v>#N/A</v>
      </c>
      <c r="D159" s="409" t="e">
        <f>VLOOKUP(A159,Foundation!$B$8:$Q$277,12, 0)</f>
        <v>#N/A</v>
      </c>
      <c r="E159" s="409" t="e">
        <f>VLOOKUP(A159,'Erection Compiled '!$B$2:$R$340,10, 0)</f>
        <v>#N/A</v>
      </c>
      <c r="F159" s="409" t="e">
        <f>VLOOKUP(A159,Earthing!$C$7:$H$307,4, 0)</f>
        <v>#N/A</v>
      </c>
    </row>
    <row r="160" spans="1:6" hidden="1">
      <c r="A160" s="998" t="s">
        <v>1652</v>
      </c>
      <c r="B160" s="987" t="s">
        <v>153</v>
      </c>
      <c r="C160" s="409" t="e">
        <f>VLOOKUP(A160,Foundation!$B$8:$Q$294,10, 0)</f>
        <v>#N/A</v>
      </c>
      <c r="D160" s="409" t="e">
        <f>VLOOKUP(A160,Foundation!$B$8:$Q$277,12, 0)</f>
        <v>#N/A</v>
      </c>
      <c r="E160" s="409" t="e">
        <f>VLOOKUP(A160,'Erection Compiled '!$B$2:$R$340,10, 0)</f>
        <v>#N/A</v>
      </c>
      <c r="F160" s="409" t="e">
        <f>VLOOKUP(A160,Earthing!$C$7:$H$307,4, 0)</f>
        <v>#N/A</v>
      </c>
    </row>
    <row r="161" spans="1:6" hidden="1">
      <c r="A161" s="998" t="s">
        <v>633</v>
      </c>
      <c r="B161" s="987" t="s">
        <v>206</v>
      </c>
      <c r="C161" s="409" t="e">
        <f>VLOOKUP(A161,Foundation!$B$8:$Q$294,10, 0)</f>
        <v>#N/A</v>
      </c>
      <c r="D161" s="409" t="e">
        <f>VLOOKUP(A161,Foundation!$B$8:$Q$277,12, 0)</f>
        <v>#N/A</v>
      </c>
      <c r="E161" s="409" t="e">
        <f>VLOOKUP(A161,'Erection Compiled '!$B$2:$R$340,10, 0)</f>
        <v>#N/A</v>
      </c>
      <c r="F161" s="409" t="e">
        <f>VLOOKUP(A161,Earthing!$C$7:$H$307,4, 0)</f>
        <v>#N/A</v>
      </c>
    </row>
    <row r="162" spans="1:6" hidden="1">
      <c r="A162" s="998" t="s">
        <v>634</v>
      </c>
      <c r="B162" s="987" t="s">
        <v>147</v>
      </c>
      <c r="C162" s="409" t="e">
        <f>VLOOKUP(A162,Foundation!$B$8:$Q$294,10, 0)</f>
        <v>#N/A</v>
      </c>
      <c r="D162" s="409" t="e">
        <f>VLOOKUP(A162,Foundation!$B$8:$Q$277,12, 0)</f>
        <v>#N/A</v>
      </c>
      <c r="E162" s="409" t="e">
        <f>VLOOKUP(A162,'Erection Compiled '!$B$2:$R$340,10, 0)</f>
        <v>#N/A</v>
      </c>
      <c r="F162" s="409" t="e">
        <f>VLOOKUP(A162,Earthing!$C$7:$H$307,4, 0)</f>
        <v>#N/A</v>
      </c>
    </row>
    <row r="163" spans="1:6" hidden="1">
      <c r="A163" s="998" t="s">
        <v>635</v>
      </c>
      <c r="B163" s="987" t="s">
        <v>147</v>
      </c>
      <c r="C163" s="409" t="e">
        <f>VLOOKUP(A163,Foundation!$B$8:$Q$294,10, 0)</f>
        <v>#N/A</v>
      </c>
      <c r="D163" s="409" t="e">
        <f>VLOOKUP(A163,Foundation!$B$8:$Q$277,12, 0)</f>
        <v>#N/A</v>
      </c>
      <c r="E163" s="409" t="e">
        <f>VLOOKUP(A163,'Erection Compiled '!$B$2:$R$340,10, 0)</f>
        <v>#N/A</v>
      </c>
      <c r="F163" s="409" t="e">
        <f>VLOOKUP(A163,Earthing!$C$7:$H$307,4, 0)</f>
        <v>#N/A</v>
      </c>
    </row>
    <row r="164" spans="1:6" hidden="1">
      <c r="A164" s="998" t="s">
        <v>636</v>
      </c>
      <c r="B164" s="987" t="s">
        <v>206</v>
      </c>
      <c r="C164" s="409" t="e">
        <f>VLOOKUP(A164,Foundation!$B$8:$Q$294,10, 0)</f>
        <v>#N/A</v>
      </c>
      <c r="D164" s="409" t="e">
        <f>VLOOKUP(A164,Foundation!$B$8:$Q$277,12, 0)</f>
        <v>#N/A</v>
      </c>
      <c r="E164" s="409" t="e">
        <f>VLOOKUP(A164,'Erection Compiled '!$B$2:$R$340,10, 0)</f>
        <v>#N/A</v>
      </c>
      <c r="F164" s="409" t="e">
        <f>VLOOKUP(A164,Earthing!$C$7:$H$307,4, 0)</f>
        <v>#N/A</v>
      </c>
    </row>
    <row r="165" spans="1:6" hidden="1">
      <c r="A165" s="998" t="s">
        <v>107</v>
      </c>
      <c r="B165" s="987" t="s">
        <v>108</v>
      </c>
      <c r="C165" s="409" t="e">
        <f>VLOOKUP(A165,Foundation!$B$8:$Q$294,10, 0)</f>
        <v>#N/A</v>
      </c>
      <c r="D165" s="409" t="e">
        <f>VLOOKUP(A165,Foundation!$B$8:$Q$277,12, 0)</f>
        <v>#N/A</v>
      </c>
      <c r="E165" s="409" t="e">
        <f>VLOOKUP(A165,'Erection Compiled '!$B$2:$R$340,10, 0)</f>
        <v>#N/A</v>
      </c>
      <c r="F165" s="409" t="e">
        <f>VLOOKUP(A165,Earthing!$C$7:$H$307,4, 0)</f>
        <v>#N/A</v>
      </c>
    </row>
    <row r="166" spans="1:6" hidden="1">
      <c r="A166" s="998" t="s">
        <v>639</v>
      </c>
      <c r="B166" s="987" t="s">
        <v>132</v>
      </c>
      <c r="C166" s="409" t="e">
        <f>VLOOKUP(A166,Foundation!$B$8:$Q$294,10, 0)</f>
        <v>#N/A</v>
      </c>
      <c r="D166" s="409" t="e">
        <f>VLOOKUP(A166,Foundation!$B$8:$Q$277,12, 0)</f>
        <v>#N/A</v>
      </c>
      <c r="E166" s="409" t="e">
        <f>VLOOKUP(A166,'Erection Compiled '!$B$2:$R$340,10, 0)</f>
        <v>#N/A</v>
      </c>
      <c r="F166" s="409" t="e">
        <f>VLOOKUP(A166,Earthing!$C$7:$H$307,4, 0)</f>
        <v>#N/A</v>
      </c>
    </row>
    <row r="167" spans="1:6" hidden="1">
      <c r="A167" s="998" t="s">
        <v>640</v>
      </c>
      <c r="B167" s="987" t="s">
        <v>206</v>
      </c>
      <c r="C167" s="409" t="e">
        <f>VLOOKUP(A167,Foundation!$B$8:$Q$294,10, 0)</f>
        <v>#N/A</v>
      </c>
      <c r="D167" s="409" t="e">
        <f>VLOOKUP(A167,Foundation!$B$8:$Q$277,12, 0)</f>
        <v>#N/A</v>
      </c>
      <c r="E167" s="409" t="e">
        <f>VLOOKUP(A167,'Erection Compiled '!$B$2:$R$340,10, 0)</f>
        <v>#N/A</v>
      </c>
      <c r="F167" s="409" t="e">
        <f>VLOOKUP(A167,Earthing!$C$7:$H$307,4, 0)</f>
        <v>#N/A</v>
      </c>
    </row>
    <row r="168" spans="1:6" hidden="1">
      <c r="A168" s="998" t="s">
        <v>1678</v>
      </c>
      <c r="B168" s="987" t="s">
        <v>84</v>
      </c>
      <c r="C168" s="409" t="e">
        <f>VLOOKUP(A168,Foundation!$B$8:$Q$294,10, 0)</f>
        <v>#N/A</v>
      </c>
      <c r="D168" s="409" t="e">
        <f>VLOOKUP(A168,Foundation!$B$8:$Q$277,12, 0)</f>
        <v>#N/A</v>
      </c>
      <c r="E168" s="409" t="e">
        <f>VLOOKUP(A168,'Erection Compiled '!$B$2:$R$340,10, 0)</f>
        <v>#N/A</v>
      </c>
      <c r="F168" s="409" t="e">
        <f>VLOOKUP(A168,Earthing!$C$7:$H$307,4, 0)</f>
        <v>#N/A</v>
      </c>
    </row>
    <row r="169" spans="1:6" hidden="1">
      <c r="A169" s="998" t="s">
        <v>642</v>
      </c>
      <c r="B169" s="987" t="s">
        <v>212</v>
      </c>
      <c r="C169" s="409" t="e">
        <f>VLOOKUP(A169,Foundation!$B$8:$Q$294,10, 0)</f>
        <v>#N/A</v>
      </c>
      <c r="D169" s="409" t="e">
        <f>VLOOKUP(A169,Foundation!$B$8:$Q$277,12, 0)</f>
        <v>#N/A</v>
      </c>
      <c r="E169" s="409" t="e">
        <f>VLOOKUP(A169,'Erection Compiled '!$B$2:$R$340,10, 0)</f>
        <v>#N/A</v>
      </c>
      <c r="F169" s="409" t="e">
        <f>VLOOKUP(A169,Earthing!$C$7:$H$307,4, 0)</f>
        <v>#N/A</v>
      </c>
    </row>
    <row r="170" spans="1:6" hidden="1">
      <c r="A170" s="998" t="s">
        <v>643</v>
      </c>
      <c r="B170" s="987" t="s">
        <v>147</v>
      </c>
      <c r="C170" s="409" t="e">
        <f>VLOOKUP(A170,Foundation!$B$8:$Q$294,10, 0)</f>
        <v>#N/A</v>
      </c>
      <c r="D170" s="409" t="e">
        <f>VLOOKUP(A170,Foundation!$B$8:$Q$277,12, 0)</f>
        <v>#N/A</v>
      </c>
      <c r="E170" s="409" t="e">
        <f>VLOOKUP(A170,'Erection Compiled '!$B$2:$R$340,10, 0)</f>
        <v>#N/A</v>
      </c>
      <c r="F170" s="409" t="e">
        <f>VLOOKUP(A170,Earthing!$C$7:$H$307,4, 0)</f>
        <v>#N/A</v>
      </c>
    </row>
    <row r="171" spans="1:6" hidden="1">
      <c r="A171" s="998" t="s">
        <v>644</v>
      </c>
      <c r="B171" s="987" t="s">
        <v>212</v>
      </c>
      <c r="C171" s="409" t="e">
        <f>VLOOKUP(A171,Foundation!$B$8:$Q$294,10, 0)</f>
        <v>#N/A</v>
      </c>
      <c r="D171" s="409" t="e">
        <f>VLOOKUP(A171,Foundation!$B$8:$Q$277,12, 0)</f>
        <v>#N/A</v>
      </c>
      <c r="E171" s="409" t="e">
        <f>VLOOKUP(A171,'Erection Compiled '!$B$2:$R$340,10, 0)</f>
        <v>#N/A</v>
      </c>
      <c r="F171" s="409" t="e">
        <f>VLOOKUP(A171,Earthing!$C$7:$H$307,4, 0)</f>
        <v>#N/A</v>
      </c>
    </row>
    <row r="172" spans="1:6" hidden="1">
      <c r="A172" s="998" t="s">
        <v>1663</v>
      </c>
      <c r="B172" s="987" t="s">
        <v>102</v>
      </c>
      <c r="C172" s="409" t="e">
        <f>VLOOKUP(A172,Foundation!$B$8:$Q$294,10, 0)</f>
        <v>#N/A</v>
      </c>
      <c r="D172" s="409" t="e">
        <f>VLOOKUP(A172,Foundation!$B$8:$Q$277,12, 0)</f>
        <v>#N/A</v>
      </c>
      <c r="E172" s="409" t="e">
        <f>VLOOKUP(A172,'Erection Compiled '!$B$2:$R$340,10, 0)</f>
        <v>#N/A</v>
      </c>
      <c r="F172" s="409" t="e">
        <f>VLOOKUP(A172,Earthing!$C$7:$H$307,4, 0)</f>
        <v>#N/A</v>
      </c>
    </row>
    <row r="173" spans="1:6" hidden="1">
      <c r="A173" s="998" t="s">
        <v>646</v>
      </c>
      <c r="B173" s="987" t="s">
        <v>212</v>
      </c>
      <c r="C173" s="409" t="e">
        <f>VLOOKUP(A173,Foundation!$B$8:$Q$294,10, 0)</f>
        <v>#N/A</v>
      </c>
      <c r="D173" s="409" t="e">
        <f>VLOOKUP(A173,Foundation!$B$8:$Q$277,12, 0)</f>
        <v>#N/A</v>
      </c>
      <c r="E173" s="409" t="e">
        <f>VLOOKUP(A173,'Erection Compiled '!$B$2:$R$340,10, 0)</f>
        <v>#N/A</v>
      </c>
      <c r="F173" s="409" t="e">
        <f>VLOOKUP(A173,Earthing!$C$7:$H$307,4, 0)</f>
        <v>#N/A</v>
      </c>
    </row>
    <row r="174" spans="1:6" hidden="1">
      <c r="A174" s="998" t="s">
        <v>647</v>
      </c>
      <c r="B174" s="987" t="s">
        <v>1236</v>
      </c>
      <c r="C174" s="409" t="e">
        <f>VLOOKUP(A174,Foundation!$B$8:$Q$294,10, 0)</f>
        <v>#N/A</v>
      </c>
      <c r="D174" s="409" t="e">
        <f>VLOOKUP(A174,Foundation!$B$8:$Q$277,12, 0)</f>
        <v>#N/A</v>
      </c>
      <c r="E174" s="409" t="e">
        <f>VLOOKUP(A174,'Erection Compiled '!$B$2:$R$340,10, 0)</f>
        <v>#N/A</v>
      </c>
      <c r="F174" s="409" t="e">
        <f>VLOOKUP(A174,Earthing!$C$7:$H$307,4, 0)</f>
        <v>#N/A</v>
      </c>
    </row>
    <row r="175" spans="1:6" hidden="1">
      <c r="A175" s="998" t="s">
        <v>648</v>
      </c>
      <c r="B175" s="987" t="s">
        <v>212</v>
      </c>
      <c r="C175" s="409" t="e">
        <f>VLOOKUP(A175,Foundation!$B$8:$Q$294,10, 0)</f>
        <v>#N/A</v>
      </c>
      <c r="D175" s="409" t="e">
        <f>VLOOKUP(A175,Foundation!$B$8:$Q$277,12, 0)</f>
        <v>#N/A</v>
      </c>
      <c r="E175" s="409" t="e">
        <f>VLOOKUP(A175,'Erection Compiled '!$B$2:$R$340,10, 0)</f>
        <v>#N/A</v>
      </c>
      <c r="F175" s="409" t="e">
        <f>VLOOKUP(A175,Earthing!$C$7:$H$307,4, 0)</f>
        <v>#N/A</v>
      </c>
    </row>
    <row r="176" spans="1:6" hidden="1">
      <c r="A176" s="998" t="s">
        <v>649</v>
      </c>
      <c r="B176" s="987" t="s">
        <v>212</v>
      </c>
      <c r="C176" s="409" t="e">
        <f>VLOOKUP(A176,Foundation!$B$8:$Q$294,10, 0)</f>
        <v>#N/A</v>
      </c>
      <c r="D176" s="409" t="e">
        <f>VLOOKUP(A176,Foundation!$B$8:$Q$277,12, 0)</f>
        <v>#N/A</v>
      </c>
      <c r="E176" s="409" t="e">
        <f>VLOOKUP(A176,'Erection Compiled '!$B$2:$R$340,10, 0)</f>
        <v>#N/A</v>
      </c>
      <c r="F176" s="409" t="e">
        <f>VLOOKUP(A176,Earthing!$C$7:$H$307,4, 0)</f>
        <v>#N/A</v>
      </c>
    </row>
    <row r="177" spans="1:6" hidden="1">
      <c r="A177" s="998" t="s">
        <v>650</v>
      </c>
      <c r="B177" s="987" t="s">
        <v>147</v>
      </c>
      <c r="C177" s="409" t="e">
        <f>VLOOKUP(A177,Foundation!$B$8:$Q$294,10, 0)</f>
        <v>#N/A</v>
      </c>
      <c r="D177" s="409" t="e">
        <f>VLOOKUP(A177,Foundation!$B$8:$Q$277,12, 0)</f>
        <v>#N/A</v>
      </c>
      <c r="E177" s="409" t="e">
        <f>VLOOKUP(A177,'Erection Compiled '!$B$2:$R$340,10, 0)</f>
        <v>#N/A</v>
      </c>
      <c r="F177" s="409" t="e">
        <f>VLOOKUP(A177,Earthing!$C$7:$H$307,4, 0)</f>
        <v>#N/A</v>
      </c>
    </row>
    <row r="178" spans="1:6" hidden="1">
      <c r="A178" s="998" t="s">
        <v>651</v>
      </c>
      <c r="B178" s="987" t="s">
        <v>150</v>
      </c>
      <c r="C178" s="409" t="e">
        <f>VLOOKUP(A178,Foundation!$B$8:$Q$294,10, 0)</f>
        <v>#N/A</v>
      </c>
      <c r="D178" s="409" t="e">
        <f>VLOOKUP(A178,Foundation!$B$8:$Q$277,12, 0)</f>
        <v>#N/A</v>
      </c>
      <c r="E178" s="409" t="e">
        <f>VLOOKUP(A178,'Erection Compiled '!$B$2:$R$340,10, 0)</f>
        <v>#N/A</v>
      </c>
      <c r="F178" s="409" t="e">
        <f>VLOOKUP(A178,Earthing!$C$7:$H$307,4, 0)</f>
        <v>#N/A</v>
      </c>
    </row>
    <row r="179" spans="1:6" hidden="1">
      <c r="A179" s="998" t="s">
        <v>652</v>
      </c>
      <c r="B179" s="987" t="s">
        <v>147</v>
      </c>
      <c r="C179" s="409" t="e">
        <f>VLOOKUP(A179,Foundation!$B$8:$Q$294,10, 0)</f>
        <v>#N/A</v>
      </c>
      <c r="D179" s="409" t="e">
        <f>VLOOKUP(A179,Foundation!$B$8:$Q$277,12, 0)</f>
        <v>#N/A</v>
      </c>
      <c r="E179" s="409" t="e">
        <f>VLOOKUP(A179,'Erection Compiled '!$B$2:$R$340,10, 0)</f>
        <v>#N/A</v>
      </c>
      <c r="F179" s="409" t="e">
        <f>VLOOKUP(A179,Earthing!$C$7:$H$307,4, 0)</f>
        <v>#N/A</v>
      </c>
    </row>
    <row r="180" spans="1:6" hidden="1">
      <c r="A180" s="998" t="s">
        <v>109</v>
      </c>
      <c r="B180" s="987" t="s">
        <v>93</v>
      </c>
      <c r="C180" s="409" t="e">
        <f>VLOOKUP(A180,Foundation!$B$8:$Q$294,10, 0)</f>
        <v>#N/A</v>
      </c>
      <c r="D180" s="409" t="e">
        <f>VLOOKUP(A180,Foundation!$B$8:$Q$277,12, 0)</f>
        <v>#N/A</v>
      </c>
      <c r="E180" s="409" t="e">
        <f>VLOOKUP(A180,'Erection Compiled '!$B$2:$R$340,10, 0)</f>
        <v>#N/A</v>
      </c>
      <c r="F180" s="409" t="e">
        <f>VLOOKUP(A180,Earthing!$C$7:$H$307,4, 0)</f>
        <v>#N/A</v>
      </c>
    </row>
    <row r="181" spans="1:6" hidden="1">
      <c r="A181" s="998" t="s">
        <v>110</v>
      </c>
      <c r="B181" s="987" t="s">
        <v>97</v>
      </c>
      <c r="C181" s="409" t="e">
        <f>VLOOKUP(A181,Foundation!$B$8:$Q$294,10, 0)</f>
        <v>#N/A</v>
      </c>
      <c r="D181" s="409" t="e">
        <f>VLOOKUP(A181,Foundation!$B$8:$Q$277,12, 0)</f>
        <v>#N/A</v>
      </c>
      <c r="E181" s="409" t="e">
        <f>VLOOKUP(A181,'Erection Compiled '!$B$2:$R$340,10, 0)</f>
        <v>#N/A</v>
      </c>
      <c r="F181" s="409" t="e">
        <f>VLOOKUP(A181,Earthing!$C$7:$H$307,4, 0)</f>
        <v>#N/A</v>
      </c>
    </row>
    <row r="182" spans="1:6" hidden="1">
      <c r="A182" s="998" t="s">
        <v>655</v>
      </c>
      <c r="B182" s="987" t="s">
        <v>212</v>
      </c>
      <c r="C182" s="409" t="e">
        <f>VLOOKUP(A182,Foundation!$B$8:$Q$294,10, 0)</f>
        <v>#N/A</v>
      </c>
      <c r="D182" s="409" t="e">
        <f>VLOOKUP(A182,Foundation!$B$8:$Q$277,12, 0)</f>
        <v>#N/A</v>
      </c>
      <c r="E182" s="409" t="e">
        <f>VLOOKUP(A182,'Erection Compiled '!$B$2:$R$340,10, 0)</f>
        <v>#N/A</v>
      </c>
      <c r="F182" s="409" t="e">
        <f>VLOOKUP(A182,Earthing!$C$7:$H$307,4, 0)</f>
        <v>#N/A</v>
      </c>
    </row>
    <row r="183" spans="1:6" hidden="1">
      <c r="A183" s="999" t="s">
        <v>1679</v>
      </c>
      <c r="B183" s="989" t="s">
        <v>112</v>
      </c>
      <c r="C183" s="409" t="e">
        <f>VLOOKUP(A183,Foundation!$B$8:$Q$294,10, 0)</f>
        <v>#N/A</v>
      </c>
      <c r="D183" s="409" t="e">
        <f>VLOOKUP(A183,Foundation!$B$8:$Q$277,12, 0)</f>
        <v>#N/A</v>
      </c>
      <c r="E183" s="409" t="e">
        <f>VLOOKUP(A183,'Erection Compiled '!$B$2:$R$340,10, 0)</f>
        <v>#N/A</v>
      </c>
      <c r="F183" s="409" t="e">
        <f>VLOOKUP(A183,Earthing!$C$7:$H$307,4, 0)</f>
        <v>#N/A</v>
      </c>
    </row>
    <row r="184" spans="1:6" hidden="1">
      <c r="A184" s="999" t="s">
        <v>657</v>
      </c>
      <c r="B184" s="989" t="s">
        <v>147</v>
      </c>
      <c r="C184" s="409" t="e">
        <f>VLOOKUP(A184,Foundation!$B$8:$Q$294,10, 0)</f>
        <v>#N/A</v>
      </c>
      <c r="D184" s="409" t="e">
        <f>VLOOKUP(A184,Foundation!$B$8:$Q$277,12, 0)</f>
        <v>#N/A</v>
      </c>
      <c r="E184" s="409" t="e">
        <f>VLOOKUP(A184,'Erection Compiled '!$B$2:$R$340,10, 0)</f>
        <v>#N/A</v>
      </c>
      <c r="F184" s="409" t="e">
        <f>VLOOKUP(A184,Earthing!$C$7:$H$307,4, 0)</f>
        <v>#N/A</v>
      </c>
    </row>
    <row r="185" spans="1:6" hidden="1">
      <c r="A185" s="999" t="s">
        <v>658</v>
      </c>
      <c r="B185" s="989" t="s">
        <v>206</v>
      </c>
      <c r="C185" s="409" t="e">
        <f>VLOOKUP(A185,Foundation!$B$8:$Q$294,10, 0)</f>
        <v>#N/A</v>
      </c>
      <c r="D185" s="409" t="e">
        <f>VLOOKUP(A185,Foundation!$B$8:$Q$277,12, 0)</f>
        <v>#N/A</v>
      </c>
      <c r="E185" s="409" t="e">
        <f>VLOOKUP(A185,'Erection Compiled '!$B$2:$R$340,10, 0)</f>
        <v>#N/A</v>
      </c>
      <c r="F185" s="409" t="e">
        <f>VLOOKUP(A185,Earthing!$C$7:$H$307,4, 0)</f>
        <v>#N/A</v>
      </c>
    </row>
    <row r="186" spans="1:6" hidden="1">
      <c r="A186" s="999" t="s">
        <v>659</v>
      </c>
      <c r="B186" s="989" t="s">
        <v>147</v>
      </c>
      <c r="C186" s="409" t="e">
        <f>VLOOKUP(A186,Foundation!$B$8:$Q$294,10, 0)</f>
        <v>#N/A</v>
      </c>
      <c r="D186" s="409" t="e">
        <f>VLOOKUP(A186,Foundation!$B$8:$Q$277,12, 0)</f>
        <v>#N/A</v>
      </c>
      <c r="E186" s="409" t="e">
        <f>VLOOKUP(A186,'Erection Compiled '!$B$2:$R$340,10, 0)</f>
        <v>#N/A</v>
      </c>
      <c r="F186" s="409" t="e">
        <f>VLOOKUP(A186,Earthing!$C$7:$H$307,4, 0)</f>
        <v>#N/A</v>
      </c>
    </row>
    <row r="187" spans="1:6" hidden="1">
      <c r="A187" s="999" t="s">
        <v>660</v>
      </c>
      <c r="B187" s="989" t="s">
        <v>206</v>
      </c>
      <c r="C187" s="409" t="e">
        <f>VLOOKUP(A187,Foundation!$B$8:$Q$294,10, 0)</f>
        <v>#N/A</v>
      </c>
      <c r="D187" s="409" t="e">
        <f>VLOOKUP(A187,Foundation!$B$8:$Q$277,12, 0)</f>
        <v>#N/A</v>
      </c>
      <c r="E187" s="409" t="e">
        <f>VLOOKUP(A187,'Erection Compiled '!$B$2:$R$340,10, 0)</f>
        <v>#N/A</v>
      </c>
      <c r="F187" s="409" t="e">
        <f>VLOOKUP(A187,Earthing!$C$7:$H$307,4, 0)</f>
        <v>#N/A</v>
      </c>
    </row>
    <row r="188" spans="1:6" hidden="1">
      <c r="A188" s="999" t="s">
        <v>111</v>
      </c>
      <c r="B188" s="989" t="s">
        <v>108</v>
      </c>
      <c r="C188" s="409" t="e">
        <f>VLOOKUP(A188,Foundation!$B$8:$Q$294,10, 0)</f>
        <v>#N/A</v>
      </c>
      <c r="D188" s="409" t="e">
        <f>VLOOKUP(A188,Foundation!$B$8:$Q$277,12, 0)</f>
        <v>#N/A</v>
      </c>
      <c r="E188" s="409" t="e">
        <f>VLOOKUP(A188,'Erection Compiled '!$B$2:$R$340,10, 0)</f>
        <v>#N/A</v>
      </c>
      <c r="F188" s="409" t="e">
        <f>VLOOKUP(A188,Earthing!$C$7:$H$307,4, 0)</f>
        <v>#N/A</v>
      </c>
    </row>
    <row r="189" spans="1:6" hidden="1">
      <c r="A189" s="999" t="s">
        <v>113</v>
      </c>
      <c r="B189" s="989" t="s">
        <v>112</v>
      </c>
      <c r="C189" s="409" t="e">
        <f>VLOOKUP(A189,Foundation!$B$8:$Q$294,10, 0)</f>
        <v>#N/A</v>
      </c>
      <c r="D189" s="409" t="e">
        <f>VLOOKUP(A189,Foundation!$B$8:$Q$277,12, 0)</f>
        <v>#N/A</v>
      </c>
      <c r="E189" s="409" t="e">
        <f>VLOOKUP(A189,'Erection Compiled '!$B$2:$R$340,10, 0)</f>
        <v>#N/A</v>
      </c>
      <c r="F189" s="409" t="e">
        <f>VLOOKUP(A189,Earthing!$C$7:$H$307,4, 0)</f>
        <v>#N/A</v>
      </c>
    </row>
    <row r="190" spans="1:6" hidden="1">
      <c r="A190" s="999" t="s">
        <v>663</v>
      </c>
      <c r="B190" s="989" t="s">
        <v>212</v>
      </c>
      <c r="C190" s="409" t="e">
        <f>VLOOKUP(A190,Foundation!$B$8:$Q$294,10, 0)</f>
        <v>#N/A</v>
      </c>
      <c r="D190" s="409" t="e">
        <f>VLOOKUP(A190,Foundation!$B$8:$Q$277,12, 0)</f>
        <v>#N/A</v>
      </c>
      <c r="E190" s="409" t="e">
        <f>VLOOKUP(A190,'Erection Compiled '!$B$2:$R$340,10, 0)</f>
        <v>#N/A</v>
      </c>
      <c r="F190" s="409" t="e">
        <f>VLOOKUP(A190,Earthing!$C$7:$H$307,4, 0)</f>
        <v>#N/A</v>
      </c>
    </row>
    <row r="191" spans="1:6" hidden="1">
      <c r="A191" s="999" t="s">
        <v>664</v>
      </c>
      <c r="B191" s="989" t="s">
        <v>212</v>
      </c>
      <c r="C191" s="409" t="e">
        <f>VLOOKUP(A191,Foundation!$B$8:$Q$294,10, 0)</f>
        <v>#N/A</v>
      </c>
      <c r="D191" s="409" t="e">
        <f>VLOOKUP(A191,Foundation!$B$8:$Q$277,12, 0)</f>
        <v>#N/A</v>
      </c>
      <c r="E191" s="409" t="e">
        <f>VLOOKUP(A191,'Erection Compiled '!$B$2:$R$340,10, 0)</f>
        <v>#N/A</v>
      </c>
      <c r="F191" s="409" t="e">
        <f>VLOOKUP(A191,Earthing!$C$7:$H$307,4, 0)</f>
        <v>#N/A</v>
      </c>
    </row>
    <row r="192" spans="1:6">
      <c r="A192" s="999" t="s">
        <v>1604</v>
      </c>
      <c r="B192" s="989" t="s">
        <v>108</v>
      </c>
      <c r="C192" s="409" t="e">
        <f>VLOOKUP(A192,Foundation!$B$8:$Q$294,10, 0)</f>
        <v>#N/A</v>
      </c>
      <c r="D192" s="409" t="e">
        <f>VLOOKUP(A192,Foundation!$B$8:$Q$277,12, 0)</f>
        <v>#N/A</v>
      </c>
      <c r="E192" s="409" t="e">
        <f>VLOOKUP(A192,'Erection Compiled '!$B$2:$R$340,10, 0)</f>
        <v>#N/A</v>
      </c>
      <c r="F192" s="409" t="e">
        <f>VLOOKUP(A192,Earthing!$C$7:$H$307,4, 0)</f>
        <v>#N/A</v>
      </c>
    </row>
    <row r="193" spans="1:6" hidden="1">
      <c r="A193" s="998" t="s">
        <v>1680</v>
      </c>
      <c r="B193" s="987" t="s">
        <v>108</v>
      </c>
      <c r="C193" s="409" t="e">
        <f>VLOOKUP(A193,Foundation!$B$8:$Q$294,10, 0)</f>
        <v>#N/A</v>
      </c>
      <c r="D193" s="409" t="e">
        <f>VLOOKUP(A193,Foundation!$B$8:$Q$277,12, 0)</f>
        <v>#N/A</v>
      </c>
      <c r="E193" s="409" t="e">
        <f>VLOOKUP(A193,'Erection Compiled '!$B$2:$R$340,10, 0)</f>
        <v>#N/A</v>
      </c>
      <c r="F193" s="409" t="e">
        <f>VLOOKUP(A193,Earthing!$C$7:$H$307,4, 0)</f>
        <v>#N/A</v>
      </c>
    </row>
    <row r="194" spans="1:6" hidden="1">
      <c r="A194" s="998" t="s">
        <v>1681</v>
      </c>
      <c r="B194" s="987" t="s">
        <v>112</v>
      </c>
      <c r="C194" s="409" t="e">
        <f>VLOOKUP(A194,Foundation!$B$8:$Q$294,10, 0)</f>
        <v>#N/A</v>
      </c>
      <c r="D194" s="409" t="e">
        <f>VLOOKUP(A194,Foundation!$B$8:$Q$277,12, 0)</f>
        <v>#N/A</v>
      </c>
      <c r="E194" s="409" t="e">
        <f>VLOOKUP(A194,'Erection Compiled '!$B$2:$R$340,10, 0)</f>
        <v>#N/A</v>
      </c>
      <c r="F194" s="409" t="e">
        <f>VLOOKUP(A194,Earthing!$C$7:$H$307,4, 0)</f>
        <v>#N/A</v>
      </c>
    </row>
    <row r="195" spans="1:6" hidden="1">
      <c r="A195" s="998" t="s">
        <v>114</v>
      </c>
      <c r="B195" s="987" t="s">
        <v>82</v>
      </c>
      <c r="C195" s="409" t="e">
        <f>VLOOKUP(A195,Foundation!$B$8:$Q$294,10, 0)</f>
        <v>#N/A</v>
      </c>
      <c r="D195" s="409" t="e">
        <f>VLOOKUP(A195,Foundation!$B$8:$Q$277,12, 0)</f>
        <v>#N/A</v>
      </c>
      <c r="E195" s="409" t="e">
        <f>VLOOKUP(A195,'Erection Compiled '!$B$2:$R$340,10, 0)</f>
        <v>#N/A</v>
      </c>
      <c r="F195" s="409" t="e">
        <f>VLOOKUP(A195,Earthing!$C$7:$H$307,4, 0)</f>
        <v>#N/A</v>
      </c>
    </row>
    <row r="196" spans="1:6" hidden="1">
      <c r="A196" s="998" t="s">
        <v>236</v>
      </c>
      <c r="B196" s="987" t="s">
        <v>150</v>
      </c>
      <c r="C196" s="409" t="e">
        <f>VLOOKUP(A196,Foundation!$B$8:$Q$294,10, 0)</f>
        <v>#N/A</v>
      </c>
      <c r="D196" s="409" t="e">
        <f>VLOOKUP(A196,Foundation!$B$8:$Q$277,12, 0)</f>
        <v>#N/A</v>
      </c>
      <c r="E196" s="409" t="e">
        <f>VLOOKUP(A196,'Erection Compiled '!$B$2:$R$340,10, 0)</f>
        <v>#N/A</v>
      </c>
      <c r="F196" s="409" t="e">
        <f>VLOOKUP(A196,Earthing!$C$7:$H$307,4, 0)</f>
        <v>#N/A</v>
      </c>
    </row>
    <row r="197" spans="1:6">
      <c r="A197" s="998" t="s">
        <v>237</v>
      </c>
      <c r="B197" s="987" t="s">
        <v>147</v>
      </c>
      <c r="C197" s="409" t="e">
        <f>VLOOKUP(A197,Foundation!$B$8:$Q$294,10, 0)</f>
        <v>#N/A</v>
      </c>
      <c r="D197" s="409" t="e">
        <f>VLOOKUP(A197,Foundation!$B$8:$Q$277,12, 0)</f>
        <v>#N/A</v>
      </c>
      <c r="E197" s="409" t="e">
        <f>VLOOKUP(A197,'Erection Compiled '!$B$2:$R$340,10, 0)</f>
        <v>#N/A</v>
      </c>
      <c r="F197" s="409" t="e">
        <f>VLOOKUP(A197,Earthing!$C$7:$H$307,4, 0)</f>
        <v>#N/A</v>
      </c>
    </row>
    <row r="198" spans="1:6">
      <c r="A198" s="998" t="s">
        <v>275</v>
      </c>
      <c r="B198" s="987" t="s">
        <v>150</v>
      </c>
      <c r="C198" s="409" t="e">
        <f>VLOOKUP(A198,Foundation!$B$8:$Q$294,10, 0)</f>
        <v>#N/A</v>
      </c>
      <c r="D198" s="409" t="e">
        <f>VLOOKUP(A198,Foundation!$B$8:$Q$277,12, 0)</f>
        <v>#N/A</v>
      </c>
      <c r="E198" s="409" t="e">
        <f>VLOOKUP(A198,'Erection Compiled '!$B$2:$R$340,10, 0)</f>
        <v>#N/A</v>
      </c>
      <c r="F198" s="409" t="e">
        <f>VLOOKUP(A198,Earthing!$C$7:$H$307,4, 0)</f>
        <v>#N/A</v>
      </c>
    </row>
    <row r="199" spans="1:6" hidden="1">
      <c r="A199" s="998" t="s">
        <v>1682</v>
      </c>
      <c r="B199" s="987" t="s">
        <v>153</v>
      </c>
      <c r="C199" s="409" t="e">
        <f>VLOOKUP(A199,Foundation!$B$8:$Q$294,10, 0)</f>
        <v>#N/A</v>
      </c>
      <c r="D199" s="409" t="e">
        <f>VLOOKUP(A199,Foundation!$B$8:$Q$277,12, 0)</f>
        <v>#N/A</v>
      </c>
      <c r="E199" s="409" t="e">
        <f>VLOOKUP(A199,'Erection Compiled '!$B$2:$R$340,10, 0)</f>
        <v>#N/A</v>
      </c>
      <c r="F199" s="409" t="e">
        <f>VLOOKUP(A199,Earthing!$C$7:$H$307,4, 0)</f>
        <v>#N/A</v>
      </c>
    </row>
    <row r="200" spans="1:6" hidden="1">
      <c r="A200" s="998" t="s">
        <v>277</v>
      </c>
      <c r="B200" s="987" t="s">
        <v>206</v>
      </c>
      <c r="C200" s="409" t="e">
        <f>VLOOKUP(A200,Foundation!$B$8:$Q$294,10, 0)</f>
        <v>#N/A</v>
      </c>
      <c r="D200" s="409" t="e">
        <f>VLOOKUP(A200,Foundation!$B$8:$Q$277,12, 0)</f>
        <v>#N/A</v>
      </c>
      <c r="E200" s="409" t="e">
        <f>VLOOKUP(A200,'Erection Compiled '!$B$2:$R$340,10, 0)</f>
        <v>#N/A</v>
      </c>
      <c r="F200" s="409" t="e">
        <f>VLOOKUP(A200,Earthing!$C$7:$H$307,4, 0)</f>
        <v>#N/A</v>
      </c>
    </row>
    <row r="201" spans="1:6" hidden="1">
      <c r="A201" s="998" t="s">
        <v>1683</v>
      </c>
      <c r="B201" s="987" t="s">
        <v>90</v>
      </c>
      <c r="C201" s="409" t="e">
        <f>VLOOKUP(A201,Foundation!$B$8:$Q$294,10, 0)</f>
        <v>#N/A</v>
      </c>
      <c r="D201" s="409" t="e">
        <f>VLOOKUP(A201,Foundation!$B$8:$Q$277,12, 0)</f>
        <v>#N/A</v>
      </c>
      <c r="E201" s="409" t="e">
        <f>VLOOKUP(A201,'Erection Compiled '!$B$2:$R$340,10, 0)</f>
        <v>#N/A</v>
      </c>
      <c r="F201" s="409" t="e">
        <f>VLOOKUP(A201,Earthing!$C$7:$H$307,4, 0)</f>
        <v>#N/A</v>
      </c>
    </row>
    <row r="202" spans="1:6" hidden="1">
      <c r="A202" s="998" t="s">
        <v>115</v>
      </c>
      <c r="B202" s="987" t="s">
        <v>80</v>
      </c>
      <c r="C202" s="409" t="e">
        <f>VLOOKUP(A202,Foundation!$B$8:$Q$294,10, 0)</f>
        <v>#N/A</v>
      </c>
      <c r="D202" s="409" t="e">
        <f>VLOOKUP(A202,Foundation!$B$8:$Q$277,12, 0)</f>
        <v>#N/A</v>
      </c>
      <c r="E202" s="409" t="e">
        <f>VLOOKUP(A202,'Erection Compiled '!$B$2:$R$340,10, 0)</f>
        <v>#N/A</v>
      </c>
      <c r="F202" s="409" t="e">
        <f>VLOOKUP(A202,Earthing!$C$7:$H$307,4, 0)</f>
        <v>#N/A</v>
      </c>
    </row>
    <row r="203" spans="1:6" hidden="1">
      <c r="A203" s="998" t="s">
        <v>280</v>
      </c>
      <c r="B203" s="987" t="s">
        <v>150</v>
      </c>
      <c r="C203" s="409" t="e">
        <f>VLOOKUP(A203,Foundation!$B$8:$Q$294,10, 0)</f>
        <v>#N/A</v>
      </c>
      <c r="D203" s="409" t="e">
        <f>VLOOKUP(A203,Foundation!$B$8:$Q$277,12, 0)</f>
        <v>#N/A</v>
      </c>
      <c r="E203" s="409" t="e">
        <f>VLOOKUP(A203,'Erection Compiled '!$B$2:$R$340,10, 0)</f>
        <v>#N/A</v>
      </c>
      <c r="F203" s="409" t="e">
        <f>VLOOKUP(A203,Earthing!$C$7:$H$307,4, 0)</f>
        <v>#N/A</v>
      </c>
    </row>
    <row r="204" spans="1:6" hidden="1">
      <c r="A204" s="998" t="s">
        <v>284</v>
      </c>
      <c r="B204" s="987" t="s">
        <v>206</v>
      </c>
      <c r="C204" s="409" t="e">
        <f>VLOOKUP(A204,Foundation!$B$8:$Q$294,10, 0)</f>
        <v>#N/A</v>
      </c>
      <c r="D204" s="409" t="e">
        <f>VLOOKUP(A204,Foundation!$B$8:$Q$277,12, 0)</f>
        <v>#N/A</v>
      </c>
      <c r="E204" s="409" t="e">
        <f>VLOOKUP(A204,'Erection Compiled '!$B$2:$R$340,10, 0)</f>
        <v>#N/A</v>
      </c>
      <c r="F204" s="409" t="e">
        <f>VLOOKUP(A204,Earthing!$C$7:$H$307,4, 0)</f>
        <v>#N/A</v>
      </c>
    </row>
    <row r="205" spans="1:6" hidden="1">
      <c r="A205" s="998" t="s">
        <v>285</v>
      </c>
      <c r="B205" s="987" t="s">
        <v>150</v>
      </c>
      <c r="C205" s="409" t="e">
        <f>VLOOKUP(A205,Foundation!$B$8:$Q$294,10, 0)</f>
        <v>#N/A</v>
      </c>
      <c r="D205" s="409" t="e">
        <f>VLOOKUP(A205,Foundation!$B$8:$Q$277,12, 0)</f>
        <v>#N/A</v>
      </c>
      <c r="E205" s="409" t="e">
        <f>VLOOKUP(A205,'Erection Compiled '!$B$2:$R$340,10, 0)</f>
        <v>#N/A</v>
      </c>
      <c r="F205" s="409" t="e">
        <f>VLOOKUP(A205,Earthing!$C$7:$H$307,4, 0)</f>
        <v>#N/A</v>
      </c>
    </row>
    <row r="206" spans="1:6" hidden="1">
      <c r="A206" s="998" t="s">
        <v>1684</v>
      </c>
      <c r="B206" s="987" t="s">
        <v>82</v>
      </c>
      <c r="C206" s="409" t="e">
        <f>VLOOKUP(A206,Foundation!$B$8:$Q$294,10, 0)</f>
        <v>#N/A</v>
      </c>
      <c r="D206" s="409" t="e">
        <f>VLOOKUP(A206,Foundation!$B$8:$Q$277,12, 0)</f>
        <v>#N/A</v>
      </c>
      <c r="E206" s="409" t="e">
        <f>VLOOKUP(A206,'Erection Compiled '!$B$2:$R$340,10, 0)</f>
        <v>#N/A</v>
      </c>
      <c r="F206" s="409" t="e">
        <f>VLOOKUP(A206,Earthing!$C$7:$H$307,4, 0)</f>
        <v>#N/A</v>
      </c>
    </row>
    <row r="207" spans="1:6" hidden="1">
      <c r="A207" s="998" t="s">
        <v>1685</v>
      </c>
      <c r="B207" s="987" t="s">
        <v>97</v>
      </c>
      <c r="C207" s="409" t="e">
        <f>VLOOKUP(A207,Foundation!$B$8:$Q$294,10, 0)</f>
        <v>#N/A</v>
      </c>
      <c r="D207" s="409" t="e">
        <f>VLOOKUP(A207,Foundation!$B$8:$Q$277,12, 0)</f>
        <v>#N/A</v>
      </c>
      <c r="E207" s="409" t="e">
        <f>VLOOKUP(A207,'Erection Compiled '!$B$2:$R$340,10, 0)</f>
        <v>#N/A</v>
      </c>
      <c r="F207" s="409" t="e">
        <f>VLOOKUP(A207,Earthing!$C$7:$H$307,4, 0)</f>
        <v>#N/A</v>
      </c>
    </row>
    <row r="208" spans="1:6">
      <c r="A208" s="998" t="s">
        <v>288</v>
      </c>
      <c r="B208" s="987" t="s">
        <v>97</v>
      </c>
      <c r="C208" s="409" t="e">
        <f>VLOOKUP(A208,Foundation!$B$8:$Q$294,10, 0)</f>
        <v>#N/A</v>
      </c>
      <c r="D208" s="409" t="e">
        <f>VLOOKUP(A208,Foundation!$B$8:$Q$277,12, 0)</f>
        <v>#N/A</v>
      </c>
      <c r="E208" s="409" t="e">
        <f>VLOOKUP(A208,'Erection Compiled '!$B$2:$R$340,10, 0)</f>
        <v>#N/A</v>
      </c>
      <c r="F208" s="409" t="e">
        <f>VLOOKUP(A208,Earthing!$C$7:$H$307,4, 0)</f>
        <v>#N/A</v>
      </c>
    </row>
    <row r="209" spans="1:6">
      <c r="A209" s="998" t="s">
        <v>289</v>
      </c>
      <c r="B209" s="987" t="s">
        <v>147</v>
      </c>
      <c r="C209" s="409" t="e">
        <f>VLOOKUP(A209,Foundation!$B$8:$Q$294,10, 0)</f>
        <v>#N/A</v>
      </c>
      <c r="D209" s="409" t="e">
        <f>VLOOKUP(A209,Foundation!$B$8:$Q$277,12, 0)</f>
        <v>#N/A</v>
      </c>
      <c r="E209" s="409" t="e">
        <f>VLOOKUP(A209,'Erection Compiled '!$B$2:$R$340,10, 0)</f>
        <v>#N/A</v>
      </c>
      <c r="F209" s="409" t="e">
        <f>VLOOKUP(A209,Earthing!$C$7:$H$307,4, 0)</f>
        <v>#N/A</v>
      </c>
    </row>
    <row r="210" spans="1:6" hidden="1">
      <c r="A210" s="998" t="s">
        <v>290</v>
      </c>
      <c r="B210" s="987" t="s">
        <v>97</v>
      </c>
      <c r="C210" s="409" t="e">
        <f>VLOOKUP(A210,Foundation!$B$8:$Q$294,10, 0)</f>
        <v>#N/A</v>
      </c>
      <c r="D210" s="409" t="e">
        <f>VLOOKUP(A210,Foundation!$B$8:$Q$277,12, 0)</f>
        <v>#N/A</v>
      </c>
      <c r="E210" s="409" t="e">
        <f>VLOOKUP(A210,'Erection Compiled '!$B$2:$R$340,10, 0)</f>
        <v>#N/A</v>
      </c>
      <c r="F210" s="409" t="e">
        <f>VLOOKUP(A210,Earthing!$C$7:$H$307,4, 0)</f>
        <v>#N/A</v>
      </c>
    </row>
    <row r="211" spans="1:6">
      <c r="A211" s="998" t="s">
        <v>291</v>
      </c>
      <c r="B211" s="987" t="s">
        <v>206</v>
      </c>
      <c r="C211" s="409" t="e">
        <f>VLOOKUP(A211,Foundation!$B$8:$Q$294,10, 0)</f>
        <v>#N/A</v>
      </c>
      <c r="D211" s="409" t="e">
        <f>VLOOKUP(A211,Foundation!$B$8:$Q$277,12, 0)</f>
        <v>#N/A</v>
      </c>
      <c r="E211" s="409" t="e">
        <f>VLOOKUP(A211,'Erection Compiled '!$B$2:$R$340,10, 0)</f>
        <v>#N/A</v>
      </c>
      <c r="F211" s="409" t="e">
        <f>VLOOKUP(A211,Earthing!$C$7:$H$307,4, 0)</f>
        <v>#N/A</v>
      </c>
    </row>
    <row r="212" spans="1:6">
      <c r="A212" s="998" t="s">
        <v>292</v>
      </c>
      <c r="B212" s="987" t="s">
        <v>206</v>
      </c>
      <c r="C212" s="409" t="e">
        <f>VLOOKUP(A212,Foundation!$B$8:$Q$294,10, 0)</f>
        <v>#N/A</v>
      </c>
      <c r="D212" s="409" t="e">
        <f>VLOOKUP(A212,Foundation!$B$8:$Q$277,12, 0)</f>
        <v>#N/A</v>
      </c>
      <c r="E212" s="409" t="e">
        <f>VLOOKUP(A212,'Erection Compiled '!$B$2:$R$340,10, 0)</f>
        <v>#N/A</v>
      </c>
      <c r="F212" s="409" t="e">
        <f>VLOOKUP(A212,Earthing!$C$7:$H$307,4, 0)</f>
        <v>#N/A</v>
      </c>
    </row>
    <row r="213" spans="1:6">
      <c r="A213" s="998" t="s">
        <v>1067</v>
      </c>
      <c r="B213" s="987" t="s">
        <v>97</v>
      </c>
      <c r="C213" s="409" t="e">
        <f>VLOOKUP(A213,Foundation!$B$8:$Q$294,10, 0)</f>
        <v>#N/A</v>
      </c>
      <c r="D213" s="409" t="e">
        <f>VLOOKUP(A213,Foundation!$B$8:$Q$277,12, 0)</f>
        <v>#N/A</v>
      </c>
      <c r="E213" s="409" t="e">
        <f>VLOOKUP(A213,'Erection Compiled '!$B$2:$R$340,10, 0)</f>
        <v>#N/A</v>
      </c>
      <c r="F213" s="409" t="e">
        <f>VLOOKUP(A213,Earthing!$C$7:$H$307,4, 0)</f>
        <v>#N/A</v>
      </c>
    </row>
    <row r="214" spans="1:6">
      <c r="A214" s="998" t="s">
        <v>1600</v>
      </c>
      <c r="B214" s="987" t="s">
        <v>97</v>
      </c>
      <c r="C214" s="409" t="e">
        <f>VLOOKUP(A214,Foundation!$B$8:$Q$294,10, 0)</f>
        <v>#N/A</v>
      </c>
      <c r="D214" s="409" t="e">
        <f>VLOOKUP(A214,Foundation!$B$8:$Q$277,12, 0)</f>
        <v>#N/A</v>
      </c>
      <c r="E214" s="409" t="e">
        <f>VLOOKUP(A214,'Erection Compiled '!$B$2:$R$340,10, 0)</f>
        <v>#N/A</v>
      </c>
      <c r="F214" s="409" t="e">
        <f>VLOOKUP(A214,Earthing!$C$7:$H$307,4, 0)</f>
        <v>#N/A</v>
      </c>
    </row>
    <row r="215" spans="1:6">
      <c r="A215" s="998" t="s">
        <v>116</v>
      </c>
      <c r="B215" s="987" t="s">
        <v>88</v>
      </c>
      <c r="C215" s="409" t="e">
        <f>VLOOKUP(A215,Foundation!$B$8:$Q$294,10, 0)</f>
        <v>#N/A</v>
      </c>
      <c r="D215" s="409" t="e">
        <f>VLOOKUP(A215,Foundation!$B$8:$Q$277,12, 0)</f>
        <v>#N/A</v>
      </c>
      <c r="E215" s="409" t="e">
        <f>VLOOKUP(A215,'Erection Compiled '!$B$2:$R$340,10, 0)</f>
        <v>#N/A</v>
      </c>
      <c r="F215" s="409" t="e">
        <f>VLOOKUP(A215,Earthing!$C$7:$H$307,4, 0)</f>
        <v>#N/A</v>
      </c>
    </row>
    <row r="216" spans="1:6" hidden="1">
      <c r="A216" s="998" t="s">
        <v>299</v>
      </c>
      <c r="B216" s="987" t="s">
        <v>147</v>
      </c>
      <c r="C216" s="409" t="e">
        <f>VLOOKUP(A216,Foundation!$B$8:$Q$294,10, 0)</f>
        <v>#N/A</v>
      </c>
      <c r="D216" s="409" t="e">
        <f>VLOOKUP(A216,Foundation!$B$8:$Q$277,12, 0)</f>
        <v>#N/A</v>
      </c>
      <c r="E216" s="409" t="e">
        <f>VLOOKUP(A216,'Erection Compiled '!$B$2:$R$340,10, 0)</f>
        <v>#N/A</v>
      </c>
      <c r="F216" s="409" t="e">
        <f>VLOOKUP(A216,Earthing!$C$7:$H$307,4, 0)</f>
        <v>#N/A</v>
      </c>
    </row>
    <row r="217" spans="1:6" hidden="1">
      <c r="A217" s="998" t="s">
        <v>1686</v>
      </c>
      <c r="B217" s="987" t="s">
        <v>90</v>
      </c>
      <c r="C217" s="409" t="e">
        <f>VLOOKUP(A217,Foundation!$B$8:$Q$294,10, 0)</f>
        <v>#N/A</v>
      </c>
      <c r="D217" s="409" t="e">
        <f>VLOOKUP(A217,Foundation!$B$8:$Q$277,12, 0)</f>
        <v>#N/A</v>
      </c>
      <c r="E217" s="409" t="e">
        <f>VLOOKUP(A217,'Erection Compiled '!$B$2:$R$340,10, 0)</f>
        <v>#N/A</v>
      </c>
      <c r="F217" s="409" t="e">
        <f>VLOOKUP(A217,Earthing!$C$7:$H$307,4, 0)</f>
        <v>#N/A</v>
      </c>
    </row>
    <row r="218" spans="1:6" hidden="1">
      <c r="A218" s="998" t="s">
        <v>301</v>
      </c>
      <c r="B218" s="987" t="s">
        <v>212</v>
      </c>
      <c r="C218" s="409" t="e">
        <f>VLOOKUP(A218,Foundation!$B$8:$Q$294,10, 0)</f>
        <v>#N/A</v>
      </c>
      <c r="D218" s="409" t="e">
        <f>VLOOKUP(A218,Foundation!$B$8:$Q$277,12, 0)</f>
        <v>#N/A</v>
      </c>
      <c r="E218" s="409" t="e">
        <f>VLOOKUP(A218,'Erection Compiled '!$B$2:$R$340,10, 0)</f>
        <v>#N/A</v>
      </c>
      <c r="F218" s="409" t="e">
        <f>VLOOKUP(A218,Earthing!$C$7:$H$307,4, 0)</f>
        <v>#N/A</v>
      </c>
    </row>
    <row r="219" spans="1:6" hidden="1">
      <c r="A219" s="998" t="s">
        <v>302</v>
      </c>
      <c r="B219" s="987" t="s">
        <v>150</v>
      </c>
      <c r="C219" s="409" t="e">
        <f>VLOOKUP(A219,Foundation!$B$8:$Q$294,10, 0)</f>
        <v>#N/A</v>
      </c>
      <c r="D219" s="409" t="e">
        <f>VLOOKUP(A219,Foundation!$B$8:$Q$277,12, 0)</f>
        <v>#N/A</v>
      </c>
      <c r="E219" s="409" t="e">
        <f>VLOOKUP(A219,'Erection Compiled '!$B$2:$R$340,10, 0)</f>
        <v>#N/A</v>
      </c>
      <c r="F219" s="409" t="e">
        <f>VLOOKUP(A219,Earthing!$C$7:$H$307,4, 0)</f>
        <v>#N/A</v>
      </c>
    </row>
    <row r="220" spans="1:6" hidden="1">
      <c r="A220" s="998" t="s">
        <v>303</v>
      </c>
      <c r="B220" s="987" t="s">
        <v>212</v>
      </c>
      <c r="C220" s="409" t="e">
        <f>VLOOKUP(A220,Foundation!$B$8:$Q$294,10, 0)</f>
        <v>#N/A</v>
      </c>
      <c r="D220" s="409" t="e">
        <f>VLOOKUP(A220,Foundation!$B$8:$Q$277,12, 0)</f>
        <v>#N/A</v>
      </c>
      <c r="E220" s="409" t="e">
        <f>VLOOKUP(A220,'Erection Compiled '!$B$2:$R$340,10, 0)</f>
        <v>#N/A</v>
      </c>
      <c r="F220" s="409" t="e">
        <f>VLOOKUP(A220,Earthing!$C$7:$H$307,4, 0)</f>
        <v>#N/A</v>
      </c>
    </row>
    <row r="221" spans="1:6" hidden="1">
      <c r="A221" s="998" t="s">
        <v>1687</v>
      </c>
      <c r="B221" s="987" t="s">
        <v>80</v>
      </c>
      <c r="C221" s="409" t="e">
        <f>VLOOKUP(A221,Foundation!$B$8:$Q$294,10, 0)</f>
        <v>#N/A</v>
      </c>
      <c r="D221" s="409" t="e">
        <f>VLOOKUP(A221,Foundation!$B$8:$Q$277,12, 0)</f>
        <v>#N/A</v>
      </c>
      <c r="E221" s="409" t="e">
        <f>VLOOKUP(A221,'Erection Compiled '!$B$2:$R$340,10, 0)</f>
        <v>#N/A</v>
      </c>
      <c r="F221" s="409" t="e">
        <f>VLOOKUP(A221,Earthing!$C$7:$H$307,4, 0)</f>
        <v>#N/A</v>
      </c>
    </row>
    <row r="222" spans="1:6" hidden="1">
      <c r="A222" s="998" t="s">
        <v>245</v>
      </c>
      <c r="B222" s="987" t="s">
        <v>212</v>
      </c>
      <c r="C222" s="409" t="e">
        <f>VLOOKUP(A222,Foundation!$B$8:$Q$294,10, 0)</f>
        <v>#N/A</v>
      </c>
      <c r="D222" s="409" t="e">
        <f>VLOOKUP(A222,Foundation!$B$8:$Q$277,12, 0)</f>
        <v>#N/A</v>
      </c>
      <c r="E222" s="409" t="e">
        <f>VLOOKUP(A222,'Erection Compiled '!$B$2:$R$340,10, 0)</f>
        <v>#N/A</v>
      </c>
      <c r="F222" s="409" t="e">
        <f>VLOOKUP(A222,Earthing!$C$7:$H$307,4, 0)</f>
        <v>#N/A</v>
      </c>
    </row>
    <row r="223" spans="1:6" hidden="1">
      <c r="A223" s="998" t="s">
        <v>117</v>
      </c>
      <c r="B223" s="987" t="s">
        <v>84</v>
      </c>
      <c r="C223" s="409" t="e">
        <f>VLOOKUP(A223,Foundation!$B$8:$Q$294,10, 0)</f>
        <v>#N/A</v>
      </c>
      <c r="D223" s="409" t="e">
        <f>VLOOKUP(A223,Foundation!$B$8:$Q$277,12, 0)</f>
        <v>#N/A</v>
      </c>
      <c r="E223" s="409" t="e">
        <f>VLOOKUP(A223,'Erection Compiled '!$B$2:$R$340,10, 0)</f>
        <v>#N/A</v>
      </c>
      <c r="F223" s="409" t="e">
        <f>VLOOKUP(A223,Earthing!$C$7:$H$307,4, 0)</f>
        <v>#N/A</v>
      </c>
    </row>
    <row r="224" spans="1:6" hidden="1">
      <c r="A224" s="998" t="s">
        <v>310</v>
      </c>
      <c r="B224" s="987" t="s">
        <v>147</v>
      </c>
      <c r="C224" s="409" t="e">
        <f>VLOOKUP(A224,Foundation!$B$8:$Q$294,10, 0)</f>
        <v>#N/A</v>
      </c>
      <c r="D224" s="409" t="e">
        <f>VLOOKUP(A224,Foundation!$B$8:$Q$277,12, 0)</f>
        <v>#N/A</v>
      </c>
      <c r="E224" s="409" t="e">
        <f>VLOOKUP(A224,'Erection Compiled '!$B$2:$R$340,10, 0)</f>
        <v>#N/A</v>
      </c>
      <c r="F224" s="409" t="e">
        <f>VLOOKUP(A224,Earthing!$C$7:$H$307,4, 0)</f>
        <v>#N/A</v>
      </c>
    </row>
    <row r="225" spans="1:6" hidden="1">
      <c r="A225" s="998" t="s">
        <v>311</v>
      </c>
      <c r="B225" s="987" t="s">
        <v>147</v>
      </c>
      <c r="C225" s="409" t="e">
        <f>VLOOKUP(A225,Foundation!$B$8:$Q$294,10, 0)</f>
        <v>#N/A</v>
      </c>
      <c r="D225" s="409" t="e">
        <f>VLOOKUP(A225,Foundation!$B$8:$Q$277,12, 0)</f>
        <v>#N/A</v>
      </c>
      <c r="E225" s="409" t="e">
        <f>VLOOKUP(A225,'Erection Compiled '!$B$2:$R$340,10, 0)</f>
        <v>#N/A</v>
      </c>
      <c r="F225" s="409" t="e">
        <f>VLOOKUP(A225,Earthing!$C$7:$H$307,4, 0)</f>
        <v>#N/A</v>
      </c>
    </row>
    <row r="226" spans="1:6" hidden="1">
      <c r="A226" s="998" t="s">
        <v>312</v>
      </c>
      <c r="B226" s="987" t="s">
        <v>212</v>
      </c>
      <c r="C226" s="409" t="e">
        <f>VLOOKUP(A226,Foundation!$B$8:$Q$294,10, 0)</f>
        <v>#N/A</v>
      </c>
      <c r="D226" s="409" t="e">
        <f>VLOOKUP(A226,Foundation!$B$8:$Q$277,12, 0)</f>
        <v>#N/A</v>
      </c>
      <c r="E226" s="409" t="e">
        <f>VLOOKUP(A226,'Erection Compiled '!$B$2:$R$340,10, 0)</f>
        <v>#N/A</v>
      </c>
      <c r="F226" s="409" t="e">
        <f>VLOOKUP(A226,Earthing!$C$7:$H$307,4, 0)</f>
        <v>#N/A</v>
      </c>
    </row>
    <row r="227" spans="1:6">
      <c r="A227" s="998" t="s">
        <v>246</v>
      </c>
      <c r="B227" s="987" t="s">
        <v>206</v>
      </c>
      <c r="C227" s="409" t="e">
        <f>VLOOKUP(A227,Foundation!$B$8:$Q$294,10, 0)</f>
        <v>#N/A</v>
      </c>
      <c r="D227" s="409" t="e">
        <f>VLOOKUP(A227,Foundation!$B$8:$Q$277,12, 0)</f>
        <v>#N/A</v>
      </c>
      <c r="E227" s="409" t="e">
        <f>VLOOKUP(A227,'Erection Compiled '!$B$2:$R$340,10, 0)</f>
        <v>#N/A</v>
      </c>
      <c r="F227" s="409" t="e">
        <f>VLOOKUP(A227,Earthing!$C$7:$H$307,4, 0)</f>
        <v>#N/A</v>
      </c>
    </row>
    <row r="228" spans="1:6">
      <c r="A228" s="998" t="s">
        <v>247</v>
      </c>
      <c r="B228" s="987" t="s">
        <v>206</v>
      </c>
      <c r="C228" s="409" t="e">
        <f>VLOOKUP(A228,Foundation!$B$8:$Q$294,10, 0)</f>
        <v>#N/A</v>
      </c>
      <c r="D228" s="409" t="e">
        <f>VLOOKUP(A228,Foundation!$B$8:$Q$277,12, 0)</f>
        <v>#N/A</v>
      </c>
      <c r="E228" s="409" t="e">
        <f>VLOOKUP(A228,'Erection Compiled '!$B$2:$R$340,10, 0)</f>
        <v>#N/A</v>
      </c>
      <c r="F228" s="409" t="e">
        <f>VLOOKUP(A228,Earthing!$C$7:$H$307,4, 0)</f>
        <v>#N/A</v>
      </c>
    </row>
    <row r="229" spans="1:6" hidden="1">
      <c r="A229" s="998" t="s">
        <v>1688</v>
      </c>
      <c r="B229" s="987" t="s">
        <v>80</v>
      </c>
      <c r="C229" s="409" t="e">
        <f>VLOOKUP(A229,Foundation!$B$8:$Q$294,10, 0)</f>
        <v>#N/A</v>
      </c>
      <c r="D229" s="409" t="e">
        <f>VLOOKUP(A229,Foundation!$B$8:$Q$277,12, 0)</f>
        <v>#N/A</v>
      </c>
      <c r="E229" s="409" t="e">
        <f>VLOOKUP(A229,'Erection Compiled '!$B$2:$R$340,10, 0)</f>
        <v>#N/A</v>
      </c>
      <c r="F229" s="409" t="e">
        <f>VLOOKUP(A229,Earthing!$C$7:$H$307,4, 0)</f>
        <v>#N/A</v>
      </c>
    </row>
    <row r="230" spans="1:6">
      <c r="A230" s="998" t="s">
        <v>314</v>
      </c>
      <c r="B230" s="987" t="s">
        <v>147</v>
      </c>
      <c r="C230" s="409" t="e">
        <f>VLOOKUP(A230,Foundation!$B$8:$Q$294,10, 0)</f>
        <v>#N/A</v>
      </c>
      <c r="D230" s="409" t="e">
        <f>VLOOKUP(A230,Foundation!$B$8:$Q$277,12, 0)</f>
        <v>#N/A</v>
      </c>
      <c r="E230" s="409" t="e">
        <f>VLOOKUP(A230,'Erection Compiled '!$B$2:$R$340,10, 0)</f>
        <v>#N/A</v>
      </c>
      <c r="F230" s="409" t="e">
        <f>VLOOKUP(A230,Earthing!$C$7:$H$307,4, 0)</f>
        <v>#N/A</v>
      </c>
    </row>
    <row r="231" spans="1:6" hidden="1">
      <c r="A231" s="998" t="s">
        <v>118</v>
      </c>
      <c r="B231" s="987" t="s">
        <v>88</v>
      </c>
      <c r="C231" s="409" t="e">
        <f>VLOOKUP(A231,Foundation!$B$8:$Q$294,10, 0)</f>
        <v>#N/A</v>
      </c>
      <c r="D231" s="409" t="e">
        <f>VLOOKUP(A231,Foundation!$B$8:$Q$277,12, 0)</f>
        <v>#N/A</v>
      </c>
      <c r="E231" s="409" t="e">
        <f>VLOOKUP(A231,'Erection Compiled '!$B$2:$R$340,10, 0)</f>
        <v>#N/A</v>
      </c>
      <c r="F231" s="409" t="e">
        <f>VLOOKUP(A231,Earthing!$C$7:$H$307,4, 0)</f>
        <v>#N/A</v>
      </c>
    </row>
    <row r="232" spans="1:6" hidden="1">
      <c r="A232" s="998" t="s">
        <v>316</v>
      </c>
      <c r="B232" s="987" t="s">
        <v>212</v>
      </c>
      <c r="C232" s="409" t="e">
        <f>VLOOKUP(A232,Foundation!$B$8:$Q$294,10, 0)</f>
        <v>#N/A</v>
      </c>
      <c r="D232" s="409" t="e">
        <f>VLOOKUP(A232,Foundation!$B$8:$Q$277,12, 0)</f>
        <v>#N/A</v>
      </c>
      <c r="E232" s="409" t="e">
        <f>VLOOKUP(A232,'Erection Compiled '!$B$2:$R$340,10, 0)</f>
        <v>#N/A</v>
      </c>
      <c r="F232" s="409" t="e">
        <f>VLOOKUP(A232,Earthing!$C$7:$H$307,4, 0)</f>
        <v>#N/A</v>
      </c>
    </row>
    <row r="233" spans="1:6" hidden="1">
      <c r="A233" s="998" t="s">
        <v>317</v>
      </c>
      <c r="B233" s="987" t="s">
        <v>212</v>
      </c>
      <c r="C233" s="409" t="e">
        <f>VLOOKUP(A233,Foundation!$B$8:$Q$294,10, 0)</f>
        <v>#N/A</v>
      </c>
      <c r="D233" s="409" t="e">
        <f>VLOOKUP(A233,Foundation!$B$8:$Q$277,12, 0)</f>
        <v>#N/A</v>
      </c>
      <c r="E233" s="409" t="e">
        <f>VLOOKUP(A233,'Erection Compiled '!$B$2:$R$340,10, 0)</f>
        <v>#N/A</v>
      </c>
      <c r="F233" s="409" t="e">
        <f>VLOOKUP(A233,Earthing!$C$7:$H$307,4, 0)</f>
        <v>#N/A</v>
      </c>
    </row>
    <row r="234" spans="1:6">
      <c r="A234" s="998" t="s">
        <v>238</v>
      </c>
      <c r="B234" s="987" t="s">
        <v>212</v>
      </c>
      <c r="C234" s="409" t="e">
        <f>VLOOKUP(A234,Foundation!$B$8:$Q$294,10, 0)</f>
        <v>#N/A</v>
      </c>
      <c r="D234" s="409" t="e">
        <f>VLOOKUP(A234,Foundation!$B$8:$Q$277,12, 0)</f>
        <v>#N/A</v>
      </c>
      <c r="E234" s="409" t="e">
        <f>VLOOKUP(A234,'Erection Compiled '!$B$2:$R$340,10, 0)</f>
        <v>#N/A</v>
      </c>
      <c r="F234" s="409" t="e">
        <f>VLOOKUP(A234,Earthing!$C$7:$H$307,4, 0)</f>
        <v>#N/A</v>
      </c>
    </row>
    <row r="235" spans="1:6">
      <c r="A235" s="998" t="s">
        <v>239</v>
      </c>
      <c r="B235" s="987" t="s">
        <v>212</v>
      </c>
      <c r="C235" s="409" t="e">
        <f>VLOOKUP(A235,Foundation!$B$8:$Q$294,10, 0)</f>
        <v>#N/A</v>
      </c>
      <c r="D235" s="409" t="e">
        <f>VLOOKUP(A235,Foundation!$B$8:$Q$277,12, 0)</f>
        <v>#N/A</v>
      </c>
      <c r="E235" s="409" t="e">
        <f>VLOOKUP(A235,'Erection Compiled '!$B$2:$R$340,10, 0)</f>
        <v>#N/A</v>
      </c>
      <c r="F235" s="409" t="e">
        <f>VLOOKUP(A235,Earthing!$C$7:$H$307,4, 0)</f>
        <v>#N/A</v>
      </c>
    </row>
    <row r="236" spans="1:6">
      <c r="A236" s="998" t="s">
        <v>319</v>
      </c>
      <c r="B236" s="987" t="s">
        <v>212</v>
      </c>
      <c r="C236" s="409" t="e">
        <f>VLOOKUP(A236,Foundation!$B$8:$Q$294,10, 0)</f>
        <v>#N/A</v>
      </c>
      <c r="D236" s="409" t="e">
        <f>VLOOKUP(A236,Foundation!$B$8:$Q$277,12, 0)</f>
        <v>#N/A</v>
      </c>
      <c r="E236" s="409" t="e">
        <f>VLOOKUP(A236,'Erection Compiled '!$B$2:$R$340,10, 0)</f>
        <v>#N/A</v>
      </c>
      <c r="F236" s="409" t="e">
        <f>VLOOKUP(A236,Earthing!$C$7:$H$307,4, 0)</f>
        <v>#N/A</v>
      </c>
    </row>
    <row r="237" spans="1:6">
      <c r="A237" s="998" t="s">
        <v>248</v>
      </c>
      <c r="B237" s="987" t="s">
        <v>150</v>
      </c>
      <c r="C237" s="409" t="e">
        <f>VLOOKUP(A237,Foundation!$B$8:$Q$294,10, 0)</f>
        <v>#N/A</v>
      </c>
      <c r="D237" s="409" t="e">
        <f>VLOOKUP(A237,Foundation!$B$8:$Q$277,12, 0)</f>
        <v>#N/A</v>
      </c>
      <c r="E237" s="409" t="e">
        <f>VLOOKUP(A237,'Erection Compiled '!$B$2:$R$340,10, 0)</f>
        <v>#N/A</v>
      </c>
      <c r="F237" s="409" t="e">
        <f>VLOOKUP(A237,Earthing!$C$7:$H$307,4, 0)</f>
        <v>#N/A</v>
      </c>
    </row>
    <row r="238" spans="1:6">
      <c r="A238" s="998" t="s">
        <v>249</v>
      </c>
      <c r="B238" s="987" t="s">
        <v>150</v>
      </c>
      <c r="C238" s="409" t="e">
        <f>VLOOKUP(A238,Foundation!$B$8:$Q$294,10, 0)</f>
        <v>#N/A</v>
      </c>
      <c r="D238" s="409" t="e">
        <f>VLOOKUP(A238,Foundation!$B$8:$Q$277,12, 0)</f>
        <v>#N/A</v>
      </c>
      <c r="E238" s="409" t="e">
        <f>VLOOKUP(A238,'Erection Compiled '!$B$2:$R$340,10, 0)</f>
        <v>#N/A</v>
      </c>
      <c r="F238" s="409" t="e">
        <f>VLOOKUP(A238,Earthing!$C$7:$H$307,4, 0)</f>
        <v>#N/A</v>
      </c>
    </row>
    <row r="239" spans="1:6">
      <c r="A239" s="998" t="s">
        <v>320</v>
      </c>
      <c r="B239" s="987" t="s">
        <v>90</v>
      </c>
      <c r="C239" s="409" t="e">
        <f>VLOOKUP(A239,Foundation!$B$8:$Q$294,10, 0)</f>
        <v>#N/A</v>
      </c>
      <c r="D239" s="409" t="e">
        <f>VLOOKUP(A239,Foundation!$B$8:$Q$277,12, 0)</f>
        <v>#N/A</v>
      </c>
      <c r="E239" s="409" t="e">
        <f>VLOOKUP(A239,'Erection Compiled '!$B$2:$R$340,10, 0)</f>
        <v>#N/A</v>
      </c>
      <c r="F239" s="409" t="e">
        <f>VLOOKUP(A239,Earthing!$C$7:$H$307,4, 0)</f>
        <v>#N/A</v>
      </c>
    </row>
    <row r="240" spans="1:6" hidden="1">
      <c r="A240" s="998" t="s">
        <v>321</v>
      </c>
      <c r="B240" s="987" t="s">
        <v>97</v>
      </c>
      <c r="C240" s="409" t="e">
        <f>VLOOKUP(A240,Foundation!$B$8:$Q$294,10, 0)</f>
        <v>#N/A</v>
      </c>
      <c r="D240" s="409" t="e">
        <f>VLOOKUP(A240,Foundation!$B$8:$Q$277,12, 0)</f>
        <v>#N/A</v>
      </c>
      <c r="E240" s="409" t="e">
        <f>VLOOKUP(A240,'Erection Compiled '!$B$2:$R$340,10, 0)</f>
        <v>#N/A</v>
      </c>
      <c r="F240" s="409" t="e">
        <f>VLOOKUP(A240,Earthing!$C$7:$H$307,4, 0)</f>
        <v>#N/A</v>
      </c>
    </row>
    <row r="241" spans="1:6">
      <c r="A241" s="998" t="s">
        <v>119</v>
      </c>
      <c r="B241" s="987" t="s">
        <v>90</v>
      </c>
      <c r="C241" s="409" t="e">
        <f>VLOOKUP(A241,Foundation!$B$8:$Q$294,10, 0)</f>
        <v>#N/A</v>
      </c>
      <c r="D241" s="409" t="e">
        <f>VLOOKUP(A241,Foundation!$B$8:$Q$277,12, 0)</f>
        <v>#N/A</v>
      </c>
      <c r="E241" s="409" t="e">
        <f>VLOOKUP(A241,'Erection Compiled '!$B$2:$R$340,10, 0)</f>
        <v>#N/A</v>
      </c>
      <c r="F241" s="409" t="e">
        <f>VLOOKUP(A241,Earthing!$C$7:$H$307,4, 0)</f>
        <v>#N/A</v>
      </c>
    </row>
    <row r="242" spans="1:6">
      <c r="A242" s="998" t="s">
        <v>211</v>
      </c>
      <c r="B242" s="987" t="s">
        <v>212</v>
      </c>
      <c r="C242" s="409" t="e">
        <f>VLOOKUP(A242,Foundation!$B$8:$Q$294,10, 0)</f>
        <v>#N/A</v>
      </c>
      <c r="D242" s="409" t="e">
        <f>VLOOKUP(A242,Foundation!$B$8:$Q$277,12, 0)</f>
        <v>#N/A</v>
      </c>
      <c r="E242" s="409" t="e">
        <f>VLOOKUP(A242,'Erection Compiled '!$B$2:$R$340,10, 0)</f>
        <v>#N/A</v>
      </c>
      <c r="F242" s="409" t="e">
        <f>VLOOKUP(A242,Earthing!$C$7:$H$307,4, 0)</f>
        <v>#N/A</v>
      </c>
    </row>
    <row r="243" spans="1:6">
      <c r="A243" s="998" t="s">
        <v>224</v>
      </c>
      <c r="B243" s="987" t="s">
        <v>147</v>
      </c>
      <c r="C243" s="409" t="e">
        <f>VLOOKUP(A243,Foundation!$B$8:$Q$294,10, 0)</f>
        <v>#N/A</v>
      </c>
      <c r="D243" s="409" t="e">
        <f>VLOOKUP(A243,Foundation!$B$8:$Q$277,12, 0)</f>
        <v>#N/A</v>
      </c>
      <c r="E243" s="409" t="e">
        <f>VLOOKUP(A243,'Erection Compiled '!$B$2:$R$340,10, 0)</f>
        <v>#N/A</v>
      </c>
      <c r="F243" s="409" t="e">
        <f>VLOOKUP(A243,Earthing!$C$7:$H$307,4, 0)</f>
        <v>#N/A</v>
      </c>
    </row>
    <row r="244" spans="1:6">
      <c r="A244" s="998" t="s">
        <v>225</v>
      </c>
      <c r="B244" s="987" t="s">
        <v>150</v>
      </c>
      <c r="C244" s="409" t="e">
        <f>VLOOKUP(A244,Foundation!$B$8:$Q$294,10, 0)</f>
        <v>#N/A</v>
      </c>
      <c r="D244" s="409" t="e">
        <f>VLOOKUP(A244,Foundation!$B$8:$Q$277,12, 0)</f>
        <v>#N/A</v>
      </c>
      <c r="E244" s="409" t="e">
        <f>VLOOKUP(A244,'Erection Compiled '!$B$2:$R$340,10, 0)</f>
        <v>#N/A</v>
      </c>
      <c r="F244" s="409" t="e">
        <f>VLOOKUP(A244,Earthing!$C$7:$H$307,4, 0)</f>
        <v>#N/A</v>
      </c>
    </row>
    <row r="245" spans="1:6" hidden="1">
      <c r="A245" s="998" t="s">
        <v>250</v>
      </c>
      <c r="B245" s="987" t="s">
        <v>212</v>
      </c>
      <c r="C245" s="409" t="e">
        <f>VLOOKUP(A245,Foundation!$B$8:$Q$294,10, 0)</f>
        <v>#N/A</v>
      </c>
      <c r="D245" s="409" t="e">
        <f>VLOOKUP(A245,Foundation!$B$8:$Q$277,12, 0)</f>
        <v>#N/A</v>
      </c>
      <c r="E245" s="409" t="e">
        <f>VLOOKUP(A245,'Erection Compiled '!$B$2:$R$340,10, 0)</f>
        <v>#N/A</v>
      </c>
      <c r="F245" s="409" t="e">
        <f>VLOOKUP(A245,Earthing!$C$7:$H$307,4, 0)</f>
        <v>#N/A</v>
      </c>
    </row>
    <row r="246" spans="1:6" hidden="1">
      <c r="A246" s="998" t="s">
        <v>322</v>
      </c>
      <c r="B246" s="987" t="s">
        <v>93</v>
      </c>
      <c r="C246" s="409" t="e">
        <f>VLOOKUP(A246,Foundation!$B$8:$Q$294,10, 0)</f>
        <v>#N/A</v>
      </c>
      <c r="D246" s="409" t="e">
        <f>VLOOKUP(A246,Foundation!$B$8:$Q$277,12, 0)</f>
        <v>#N/A</v>
      </c>
      <c r="E246" s="409" t="e">
        <f>VLOOKUP(A246,'Erection Compiled '!$B$2:$R$340,10, 0)</f>
        <v>#N/A</v>
      </c>
      <c r="F246" s="409" t="e">
        <f>VLOOKUP(A246,Earthing!$C$7:$H$307,4, 0)</f>
        <v>#N/A</v>
      </c>
    </row>
    <row r="247" spans="1:6" hidden="1">
      <c r="A247" s="998" t="s">
        <v>323</v>
      </c>
      <c r="B247" s="987" t="s">
        <v>206</v>
      </c>
      <c r="C247" s="409" t="e">
        <f>VLOOKUP(A247,Foundation!$B$8:$Q$294,10, 0)</f>
        <v>#N/A</v>
      </c>
      <c r="D247" s="409" t="e">
        <f>VLOOKUP(A247,Foundation!$B$8:$Q$277,12, 0)</f>
        <v>#N/A</v>
      </c>
      <c r="E247" s="409" t="e">
        <f>VLOOKUP(A247,'Erection Compiled '!$B$2:$R$340,10, 0)</f>
        <v>#N/A</v>
      </c>
      <c r="F247" s="409" t="e">
        <f>VLOOKUP(A247,Earthing!$C$7:$H$307,4, 0)</f>
        <v>#N/A</v>
      </c>
    </row>
    <row r="248" spans="1:6" hidden="1">
      <c r="A248" s="998" t="s">
        <v>324</v>
      </c>
      <c r="B248" s="987" t="s">
        <v>84</v>
      </c>
      <c r="C248" s="409" t="e">
        <f>VLOOKUP(A248,Foundation!$B$8:$Q$294,10, 0)</f>
        <v>#N/A</v>
      </c>
      <c r="D248" s="409" t="e">
        <f>VLOOKUP(A248,Foundation!$B$8:$Q$277,12, 0)</f>
        <v>#N/A</v>
      </c>
      <c r="E248" s="409" t="e">
        <f>VLOOKUP(A248,'Erection Compiled '!$B$2:$R$340,10, 0)</f>
        <v>#N/A</v>
      </c>
      <c r="F248" s="409" t="e">
        <f>VLOOKUP(A248,Earthing!$C$7:$H$307,4, 0)</f>
        <v>#N/A</v>
      </c>
    </row>
    <row r="249" spans="1:6" hidden="1">
      <c r="A249" s="998" t="s">
        <v>120</v>
      </c>
      <c r="B249" s="987" t="s">
        <v>97</v>
      </c>
      <c r="C249" s="409" t="e">
        <f>VLOOKUP(A249,Foundation!$B$8:$Q$294,10, 0)</f>
        <v>#N/A</v>
      </c>
      <c r="D249" s="409" t="e">
        <f>VLOOKUP(A249,Foundation!$B$8:$Q$277,12, 0)</f>
        <v>#N/A</v>
      </c>
      <c r="E249" s="409" t="e">
        <f>VLOOKUP(A249,'Erection Compiled '!$B$2:$R$340,10, 0)</f>
        <v>#N/A</v>
      </c>
      <c r="F249" s="409" t="e">
        <f>VLOOKUP(A249,Earthing!$C$7:$H$307,4, 0)</f>
        <v>#N/A</v>
      </c>
    </row>
    <row r="250" spans="1:6" hidden="1">
      <c r="A250" s="998" t="s">
        <v>1689</v>
      </c>
      <c r="B250" s="987" t="s">
        <v>108</v>
      </c>
      <c r="C250" s="409" t="e">
        <f>VLOOKUP(A250,Foundation!$B$8:$Q$294,10, 0)</f>
        <v>#N/A</v>
      </c>
      <c r="D250" s="409" t="e">
        <f>VLOOKUP(A250,Foundation!$B$8:$Q$277,12, 0)</f>
        <v>#N/A</v>
      </c>
      <c r="E250" s="409" t="e">
        <f>VLOOKUP(A250,'Erection Compiled '!$B$2:$R$340,10, 0)</f>
        <v>#N/A</v>
      </c>
      <c r="F250" s="409" t="e">
        <f>VLOOKUP(A250,Earthing!$C$7:$H$307,4, 0)</f>
        <v>#N/A</v>
      </c>
    </row>
    <row r="251" spans="1:6" hidden="1">
      <c r="A251" s="998" t="s">
        <v>327</v>
      </c>
      <c r="B251" s="987" t="s">
        <v>206</v>
      </c>
      <c r="C251" s="409" t="e">
        <f>VLOOKUP(A251,Foundation!$B$8:$Q$294,10, 0)</f>
        <v>#N/A</v>
      </c>
      <c r="D251" s="409" t="e">
        <f>VLOOKUP(A251,Foundation!$B$8:$Q$277,12, 0)</f>
        <v>#N/A</v>
      </c>
      <c r="E251" s="409" t="e">
        <f>VLOOKUP(A251,'Erection Compiled '!$B$2:$R$340,10, 0)</f>
        <v>#N/A</v>
      </c>
      <c r="F251" s="409" t="e">
        <f>VLOOKUP(A251,Earthing!$C$7:$H$307,4, 0)</f>
        <v>#N/A</v>
      </c>
    </row>
    <row r="252" spans="1:6" hidden="1">
      <c r="A252" s="998" t="s">
        <v>328</v>
      </c>
      <c r="B252" s="987" t="s">
        <v>147</v>
      </c>
      <c r="C252" s="409" t="e">
        <f>VLOOKUP(A252,Foundation!$B$8:$Q$294,10, 0)</f>
        <v>#N/A</v>
      </c>
      <c r="D252" s="409" t="e">
        <f>VLOOKUP(A252,Foundation!$B$8:$Q$277,12, 0)</f>
        <v>#N/A</v>
      </c>
      <c r="E252" s="409" t="e">
        <f>VLOOKUP(A252,'Erection Compiled '!$B$2:$R$340,10, 0)</f>
        <v>#N/A</v>
      </c>
      <c r="F252" s="409" t="e">
        <f>VLOOKUP(A252,Earthing!$C$7:$H$307,4, 0)</f>
        <v>#N/A</v>
      </c>
    </row>
    <row r="253" spans="1:6" hidden="1">
      <c r="A253" s="998" t="s">
        <v>329</v>
      </c>
      <c r="B253" s="987" t="s">
        <v>147</v>
      </c>
      <c r="C253" s="409" t="e">
        <f>VLOOKUP(A253,Foundation!$B$8:$Q$294,10, 0)</f>
        <v>#N/A</v>
      </c>
      <c r="D253" s="409" t="e">
        <f>VLOOKUP(A253,Foundation!$B$8:$Q$277,12, 0)</f>
        <v>#N/A</v>
      </c>
      <c r="E253" s="409" t="e">
        <f>VLOOKUP(A253,'Erection Compiled '!$B$2:$R$340,10, 0)</f>
        <v>#N/A</v>
      </c>
      <c r="F253" s="409" t="e">
        <f>VLOOKUP(A253,Earthing!$C$7:$H$307,4, 0)</f>
        <v>#N/A</v>
      </c>
    </row>
    <row r="254" spans="1:6" hidden="1">
      <c r="A254" s="998" t="s">
        <v>1048</v>
      </c>
      <c r="B254" s="987" t="s">
        <v>90</v>
      </c>
      <c r="C254" s="409" t="e">
        <f>VLOOKUP(A254,Foundation!$B$8:$Q$294,10, 0)</f>
        <v>#N/A</v>
      </c>
      <c r="D254" s="409" t="e">
        <f>VLOOKUP(A254,Foundation!$B$8:$Q$277,12, 0)</f>
        <v>#N/A</v>
      </c>
      <c r="E254" s="409" t="e">
        <f>VLOOKUP(A254,'Erection Compiled '!$B$2:$R$340,10, 0)</f>
        <v>#N/A</v>
      </c>
      <c r="F254" s="409" t="e">
        <f>VLOOKUP(A254,Earthing!$C$7:$H$307,4, 0)</f>
        <v>#N/A</v>
      </c>
    </row>
    <row r="255" spans="1:6">
      <c r="A255" s="998" t="s">
        <v>121</v>
      </c>
      <c r="B255" s="987" t="s">
        <v>84</v>
      </c>
      <c r="C255" s="409" t="e">
        <f>VLOOKUP(A255,Foundation!$B$8:$Q$294,10, 0)</f>
        <v>#N/A</v>
      </c>
      <c r="D255" s="409" t="e">
        <f>VLOOKUP(A255,Foundation!$B$8:$Q$277,12, 0)</f>
        <v>#N/A</v>
      </c>
      <c r="E255" s="409" t="e">
        <f>VLOOKUP(A255,'Erection Compiled '!$B$2:$R$340,10, 0)</f>
        <v>#N/A</v>
      </c>
      <c r="F255" s="409" t="e">
        <f>VLOOKUP(A255,Earthing!$C$7:$H$307,4, 0)</f>
        <v>#N/A</v>
      </c>
    </row>
    <row r="256" spans="1:6">
      <c r="A256" s="998" t="s">
        <v>251</v>
      </c>
      <c r="B256" s="987" t="s">
        <v>212</v>
      </c>
      <c r="C256" s="409" t="e">
        <f>VLOOKUP(A256,Foundation!$B$8:$Q$294,10, 0)</f>
        <v>#N/A</v>
      </c>
      <c r="D256" s="409" t="e">
        <f>VLOOKUP(A256,Foundation!$B$8:$Q$277,12, 0)</f>
        <v>#N/A</v>
      </c>
      <c r="E256" s="409" t="e">
        <f>VLOOKUP(A256,'Erection Compiled '!$B$2:$R$340,10, 0)</f>
        <v>#N/A</v>
      </c>
      <c r="F256" s="409" t="e">
        <f>VLOOKUP(A256,Earthing!$C$7:$H$307,4, 0)</f>
        <v>#N/A</v>
      </c>
    </row>
    <row r="257" spans="1:6">
      <c r="A257" s="998" t="s">
        <v>332</v>
      </c>
      <c r="B257" s="987" t="s">
        <v>147</v>
      </c>
      <c r="C257" s="409" t="e">
        <f>VLOOKUP(A257,Foundation!$B$8:$Q$294,10, 0)</f>
        <v>#N/A</v>
      </c>
      <c r="D257" s="409" t="e">
        <f>VLOOKUP(A257,Foundation!$B$8:$Q$277,12, 0)</f>
        <v>#N/A</v>
      </c>
      <c r="E257" s="409" t="e">
        <f>VLOOKUP(A257,'Erection Compiled '!$B$2:$R$340,10, 0)</f>
        <v>#N/A</v>
      </c>
      <c r="F257" s="409" t="e">
        <f>VLOOKUP(A257,Earthing!$C$7:$H$307,4, 0)</f>
        <v>#N/A</v>
      </c>
    </row>
    <row r="258" spans="1:6">
      <c r="A258" s="998" t="s">
        <v>333</v>
      </c>
      <c r="B258" s="987" t="s">
        <v>147</v>
      </c>
      <c r="C258" s="409" t="e">
        <f>VLOOKUP(A258,Foundation!$B$8:$Q$294,10, 0)</f>
        <v>#N/A</v>
      </c>
      <c r="D258" s="409" t="e">
        <f>VLOOKUP(A258,Foundation!$B$8:$Q$277,12, 0)</f>
        <v>#N/A</v>
      </c>
      <c r="E258" s="409" t="e">
        <f>VLOOKUP(A258,'Erection Compiled '!$B$2:$R$340,10, 0)</f>
        <v>#N/A</v>
      </c>
      <c r="F258" s="409" t="e">
        <f>VLOOKUP(A258,Earthing!$C$7:$H$307,4, 0)</f>
        <v>#N/A</v>
      </c>
    </row>
    <row r="259" spans="1:6">
      <c r="A259" s="998" t="s">
        <v>1069</v>
      </c>
      <c r="B259" s="987" t="s">
        <v>90</v>
      </c>
      <c r="C259" s="409" t="e">
        <f>VLOOKUP(A259,Foundation!$B$8:$Q$294,10, 0)</f>
        <v>#N/A</v>
      </c>
      <c r="D259" s="409" t="e">
        <f>VLOOKUP(A259,Foundation!$B$8:$Q$277,12, 0)</f>
        <v>#N/A</v>
      </c>
      <c r="E259" s="409" t="e">
        <f>VLOOKUP(A259,'Erection Compiled '!$B$2:$R$340,10, 0)</f>
        <v>#N/A</v>
      </c>
      <c r="F259" s="409" t="e">
        <f>VLOOKUP(A259,Earthing!$C$7:$H$307,4, 0)</f>
        <v>#N/A</v>
      </c>
    </row>
    <row r="260" spans="1:6">
      <c r="A260" s="998" t="s">
        <v>335</v>
      </c>
      <c r="B260" s="987" t="s">
        <v>150</v>
      </c>
      <c r="C260" s="409" t="e">
        <f>VLOOKUP(A260,Foundation!$B$8:$Q$294,10, 0)</f>
        <v>#N/A</v>
      </c>
      <c r="D260" s="409" t="e">
        <f>VLOOKUP(A260,Foundation!$B$8:$Q$277,12, 0)</f>
        <v>#N/A</v>
      </c>
      <c r="E260" s="409" t="e">
        <f>VLOOKUP(A260,'Erection Compiled '!$B$2:$R$340,10, 0)</f>
        <v>#N/A</v>
      </c>
      <c r="F260" s="409" t="e">
        <f>VLOOKUP(A260,Earthing!$C$7:$H$307,4, 0)</f>
        <v>#N/A</v>
      </c>
    </row>
    <row r="261" spans="1:6">
      <c r="A261" s="998" t="s">
        <v>336</v>
      </c>
      <c r="B261" s="987" t="s">
        <v>150</v>
      </c>
      <c r="C261" s="409" t="e">
        <f>VLOOKUP(A261,Foundation!$B$8:$Q$294,10, 0)</f>
        <v>#N/A</v>
      </c>
      <c r="D261" s="409" t="e">
        <f>VLOOKUP(A261,Foundation!$B$8:$Q$277,12, 0)</f>
        <v>#N/A</v>
      </c>
      <c r="E261" s="409" t="e">
        <f>VLOOKUP(A261,'Erection Compiled '!$B$2:$R$340,10, 0)</f>
        <v>#N/A</v>
      </c>
      <c r="F261" s="409" t="e">
        <f>VLOOKUP(A261,Earthing!$C$7:$H$307,4, 0)</f>
        <v>#N/A</v>
      </c>
    </row>
    <row r="262" spans="1:6">
      <c r="A262" s="998" t="s">
        <v>1432</v>
      </c>
      <c r="B262" s="987" t="s">
        <v>84</v>
      </c>
      <c r="C262" s="409" t="e">
        <f>VLOOKUP(A262,Foundation!$B$8:$Q$294,10, 0)</f>
        <v>#N/A</v>
      </c>
      <c r="D262" s="409" t="e">
        <f>VLOOKUP(A262,Foundation!$B$8:$Q$277,12, 0)</f>
        <v>#N/A</v>
      </c>
      <c r="E262" s="409" t="e">
        <f>VLOOKUP(A262,'Erection Compiled '!$B$2:$R$340,10, 0)</f>
        <v>#N/A</v>
      </c>
      <c r="F262" s="409" t="e">
        <f>VLOOKUP(A262,Earthing!$C$7:$H$307,4, 0)</f>
        <v>#N/A</v>
      </c>
    </row>
    <row r="263" spans="1:6">
      <c r="A263" s="998" t="s">
        <v>252</v>
      </c>
      <c r="B263" s="987" t="s">
        <v>147</v>
      </c>
      <c r="C263" s="409" t="e">
        <f>VLOOKUP(A263,Foundation!$B$8:$Q$294,10, 0)</f>
        <v>#N/A</v>
      </c>
      <c r="D263" s="409" t="e">
        <f>VLOOKUP(A263,Foundation!$B$8:$Q$277,12, 0)</f>
        <v>#N/A</v>
      </c>
      <c r="E263" s="409" t="e">
        <f>VLOOKUP(A263,'Erection Compiled '!$B$2:$R$340,10, 0)</f>
        <v>#N/A</v>
      </c>
      <c r="F263" s="409" t="e">
        <f>VLOOKUP(A263,Earthing!$C$7:$H$307,4, 0)</f>
        <v>#N/A</v>
      </c>
    </row>
    <row r="264" spans="1:6">
      <c r="A264" s="998" t="s">
        <v>122</v>
      </c>
      <c r="B264" s="987" t="s">
        <v>97</v>
      </c>
      <c r="C264" s="409" t="e">
        <f>VLOOKUP(A264,Foundation!$B$8:$Q$294,10, 0)</f>
        <v>#N/A</v>
      </c>
      <c r="D264" s="409" t="e">
        <f>VLOOKUP(A264,Foundation!$B$8:$Q$277,12, 0)</f>
        <v>#N/A</v>
      </c>
      <c r="E264" s="409" t="e">
        <f>VLOOKUP(A264,'Erection Compiled '!$B$2:$R$340,10, 0)</f>
        <v>#N/A</v>
      </c>
      <c r="F264" s="409" t="e">
        <f>VLOOKUP(A264,Earthing!$C$7:$H$307,4, 0)</f>
        <v>#N/A</v>
      </c>
    </row>
    <row r="265" spans="1:6">
      <c r="A265" s="1000" t="s">
        <v>125</v>
      </c>
      <c r="B265" s="990" t="s">
        <v>1728</v>
      </c>
      <c r="C265" s="409" t="e">
        <f>VLOOKUP(A265,Foundation!$B$8:$Q$294,10, 0)</f>
        <v>#N/A</v>
      </c>
      <c r="D265" s="409" t="e">
        <f>VLOOKUP(A265,Foundation!$B$8:$Q$277,12, 0)</f>
        <v>#N/A</v>
      </c>
      <c r="E265" s="409" t="e">
        <f>VLOOKUP(A265,'Erection Compiled '!$B$2:$R$340,10, 0)</f>
        <v>#N/A</v>
      </c>
      <c r="F265" s="409" t="e">
        <f>VLOOKUP(A265,Earthing!$C$7:$H$307,4, 0)</f>
        <v>#N/A</v>
      </c>
    </row>
    <row r="266" spans="1:6">
      <c r="A266" s="1000" t="s">
        <v>1741</v>
      </c>
      <c r="B266" s="990" t="s">
        <v>1729</v>
      </c>
      <c r="C266" s="409" t="e">
        <f>VLOOKUP(A266,Foundation!$B$8:$Q$294,10, 0)</f>
        <v>#N/A</v>
      </c>
      <c r="D266" s="409" t="e">
        <f>VLOOKUP(A266,Foundation!$B$8:$Q$277,12, 0)</f>
        <v>#N/A</v>
      </c>
      <c r="E266" s="409" t="e">
        <f>VLOOKUP(A266,'Erection Compiled '!$B$2:$R$340,10, 0)</f>
        <v>#N/A</v>
      </c>
      <c r="F266" s="409" t="e">
        <f>VLOOKUP(A266,Earthing!$C$7:$H$307,4, 0)</f>
        <v>#N/A</v>
      </c>
    </row>
    <row r="267" spans="1:6">
      <c r="A267" s="1000" t="s">
        <v>1742</v>
      </c>
      <c r="B267" s="990" t="s">
        <v>1730</v>
      </c>
      <c r="C267" s="409" t="e">
        <f>VLOOKUP(A267,Foundation!$B$8:$Q$294,10, 0)</f>
        <v>#N/A</v>
      </c>
      <c r="D267" s="409" t="e">
        <f>VLOOKUP(A267,Foundation!$B$8:$Q$277,12, 0)</f>
        <v>#N/A</v>
      </c>
      <c r="E267" s="409" t="e">
        <f>VLOOKUP(A267,'Erection Compiled '!$B$2:$R$340,10, 0)</f>
        <v>#N/A</v>
      </c>
      <c r="F267" s="409" t="e">
        <f>VLOOKUP(A267,Earthing!$C$7:$H$307,4, 0)</f>
        <v>#N/A</v>
      </c>
    </row>
    <row r="268" spans="1:6">
      <c r="A268" s="1000" t="s">
        <v>126</v>
      </c>
      <c r="B268" s="990" t="s">
        <v>1731</v>
      </c>
      <c r="C268" s="409" t="e">
        <f>VLOOKUP(A268,Foundation!$B$8:$Q$294,10, 0)</f>
        <v>#N/A</v>
      </c>
      <c r="D268" s="409" t="e">
        <f>VLOOKUP(A268,Foundation!$B$8:$Q$277,12, 0)</f>
        <v>#N/A</v>
      </c>
      <c r="E268" s="409" t="e">
        <f>VLOOKUP(A268,'Erection Compiled '!$B$2:$R$340,10, 0)</f>
        <v>#N/A</v>
      </c>
      <c r="F268" s="409" t="e">
        <f>VLOOKUP(A268,Earthing!$C$7:$H$307,4, 0)</f>
        <v>#N/A</v>
      </c>
    </row>
    <row r="269" spans="1:6">
      <c r="A269" s="1000" t="s">
        <v>1264</v>
      </c>
      <c r="B269" s="990" t="s">
        <v>1732</v>
      </c>
      <c r="C269" s="409" t="e">
        <f>VLOOKUP(A269,Foundation!$B$8:$Q$294,10, 0)</f>
        <v>#N/A</v>
      </c>
      <c r="D269" s="409" t="e">
        <f>VLOOKUP(A269,Foundation!$B$8:$Q$277,12, 0)</f>
        <v>#N/A</v>
      </c>
      <c r="E269" s="409" t="e">
        <f>VLOOKUP(A269,'Erection Compiled '!$B$2:$R$340,10, 0)</f>
        <v>#N/A</v>
      </c>
      <c r="F269" s="409" t="e">
        <f>VLOOKUP(A269,Earthing!$C$7:$H$307,4, 0)</f>
        <v>#N/A</v>
      </c>
    </row>
    <row r="270" spans="1:6">
      <c r="A270" s="1000" t="s">
        <v>1265</v>
      </c>
      <c r="B270" s="990" t="s">
        <v>1731</v>
      </c>
      <c r="C270" s="409" t="e">
        <f>VLOOKUP(A270,Foundation!$B$8:$Q$294,10, 0)</f>
        <v>#N/A</v>
      </c>
      <c r="D270" s="409" t="e">
        <f>VLOOKUP(A270,Foundation!$B$8:$Q$277,12, 0)</f>
        <v>#N/A</v>
      </c>
      <c r="E270" s="409" t="e">
        <f>VLOOKUP(A270,'Erection Compiled '!$B$2:$R$340,10, 0)</f>
        <v>#N/A</v>
      </c>
      <c r="F270" s="409" t="e">
        <f>VLOOKUP(A270,Earthing!$C$7:$H$307,4, 0)</f>
        <v>#N/A</v>
      </c>
    </row>
    <row r="271" spans="1:6">
      <c r="A271" s="1000" t="s">
        <v>1263</v>
      </c>
      <c r="B271" s="990" t="s">
        <v>1733</v>
      </c>
      <c r="C271" s="409" t="e">
        <f>VLOOKUP(A271,Foundation!$B$8:$Q$294,10, 0)</f>
        <v>#N/A</v>
      </c>
      <c r="D271" s="409" t="e">
        <f>VLOOKUP(A271,Foundation!$B$8:$Q$277,12, 0)</f>
        <v>#N/A</v>
      </c>
      <c r="E271" s="409" t="e">
        <f>VLOOKUP(A271,'Erection Compiled '!$B$2:$R$340,10, 0)</f>
        <v>#N/A</v>
      </c>
      <c r="F271" s="409" t="e">
        <f>VLOOKUP(A271,Earthing!$C$7:$H$307,4, 0)</f>
        <v>#N/A</v>
      </c>
    </row>
    <row r="272" spans="1:6">
      <c r="A272" s="1000" t="s">
        <v>1743</v>
      </c>
      <c r="B272" s="990" t="s">
        <v>1729</v>
      </c>
      <c r="C272" s="409" t="e">
        <f>VLOOKUP(A272,Foundation!$B$8:$Q$294,10, 0)</f>
        <v>#N/A</v>
      </c>
      <c r="D272" s="409" t="e">
        <f>VLOOKUP(A272,Foundation!$B$8:$Q$277,12, 0)</f>
        <v>#N/A</v>
      </c>
      <c r="E272" s="409" t="e">
        <f>VLOOKUP(A272,'Erection Compiled '!$B$2:$R$340,10, 0)</f>
        <v>#N/A</v>
      </c>
      <c r="F272" s="409" t="e">
        <f>VLOOKUP(A272,Earthing!$C$7:$H$307,4, 0)</f>
        <v>#N/A</v>
      </c>
    </row>
    <row r="273" spans="1:6">
      <c r="A273" s="1001" t="s">
        <v>127</v>
      </c>
      <c r="B273" s="991" t="s">
        <v>80</v>
      </c>
      <c r="C273" s="409" t="e">
        <f>VLOOKUP(A273,Foundation!$B$8:$Q$294,10, 0)</f>
        <v>#N/A</v>
      </c>
      <c r="D273" s="409" t="e">
        <f>VLOOKUP(A273,Foundation!$B$8:$Q$277,12, 0)</f>
        <v>#N/A</v>
      </c>
      <c r="E273" s="409" t="e">
        <f>VLOOKUP(A273,'Erection Compiled '!$B$2:$R$340,10, 0)</f>
        <v>#N/A</v>
      </c>
      <c r="F273" s="409" t="e">
        <f>VLOOKUP(A273,Earthing!$C$7:$H$307,4, 0)</f>
        <v>#N/A</v>
      </c>
    </row>
    <row r="274" spans="1:6">
      <c r="A274" s="1001" t="s">
        <v>241</v>
      </c>
      <c r="B274" s="991" t="s">
        <v>150</v>
      </c>
      <c r="C274" s="409" t="e">
        <f>VLOOKUP(A274,Foundation!$B$8:$Q$294,10, 0)</f>
        <v>#N/A</v>
      </c>
      <c r="D274" s="409" t="e">
        <f>VLOOKUP(A274,Foundation!$B$8:$Q$277,12, 0)</f>
        <v>#N/A</v>
      </c>
      <c r="E274" s="409" t="e">
        <f>VLOOKUP(A274,'Erection Compiled '!$B$2:$R$340,10, 0)</f>
        <v>#N/A</v>
      </c>
      <c r="F274" s="409" t="e">
        <f>VLOOKUP(A274,Earthing!$C$7:$H$307,4, 0)</f>
        <v>#N/A</v>
      </c>
    </row>
    <row r="275" spans="1:6">
      <c r="A275" s="1001" t="s">
        <v>244</v>
      </c>
      <c r="B275" s="991" t="s">
        <v>212</v>
      </c>
      <c r="C275" s="409" t="e">
        <f>VLOOKUP(A275,Foundation!$B$8:$Q$294,10, 0)</f>
        <v>#N/A</v>
      </c>
      <c r="D275" s="409" t="e">
        <f>VLOOKUP(A275,Foundation!$B$8:$Q$277,12, 0)</f>
        <v>#N/A</v>
      </c>
      <c r="E275" s="409" t="e">
        <f>VLOOKUP(A275,'Erection Compiled '!$B$2:$R$340,10, 0)</f>
        <v>#N/A</v>
      </c>
      <c r="F275" s="409" t="e">
        <f>VLOOKUP(A275,Earthing!$C$7:$H$307,4, 0)</f>
        <v>#N/A</v>
      </c>
    </row>
    <row r="276" spans="1:6">
      <c r="A276" s="1001" t="s">
        <v>1665</v>
      </c>
      <c r="B276" s="991" t="s">
        <v>93</v>
      </c>
      <c r="C276" s="409" t="e">
        <f>VLOOKUP(A276,Foundation!$B$8:$Q$294,10, 0)</f>
        <v>#N/A</v>
      </c>
      <c r="D276" s="409" t="e">
        <f>VLOOKUP(A276,Foundation!$B$8:$Q$277,12, 0)</f>
        <v>#N/A</v>
      </c>
      <c r="E276" s="409" t="e">
        <f>VLOOKUP(A276,'Erection Compiled '!$B$2:$R$340,10, 0)</f>
        <v>#N/A</v>
      </c>
      <c r="F276" s="409" t="e">
        <f>VLOOKUP(A276,Earthing!$C$7:$H$307,4, 0)</f>
        <v>#N/A</v>
      </c>
    </row>
    <row r="277" spans="1:6">
      <c r="A277" s="1001" t="s">
        <v>1646</v>
      </c>
      <c r="B277" s="991" t="s">
        <v>80</v>
      </c>
      <c r="C277" s="409" t="e">
        <f>VLOOKUP(A277,Foundation!$B$8:$Q$294,10, 0)</f>
        <v>#N/A</v>
      </c>
      <c r="D277" s="409" t="e">
        <f>VLOOKUP(A277,Foundation!$B$8:$Q$277,12, 0)</f>
        <v>#N/A</v>
      </c>
      <c r="E277" s="409" t="e">
        <f>VLOOKUP(A277,'Erection Compiled '!$B$2:$R$340,10, 0)</f>
        <v>#N/A</v>
      </c>
      <c r="F277" s="409" t="e">
        <f>VLOOKUP(A277,Earthing!$C$7:$H$307,4, 0)</f>
        <v>#N/A</v>
      </c>
    </row>
    <row r="278" spans="1:6">
      <c r="A278" s="1000" t="s">
        <v>1744</v>
      </c>
      <c r="B278" s="990" t="s">
        <v>1734</v>
      </c>
      <c r="C278" s="409" t="e">
        <f>VLOOKUP(A278,Foundation!$B$8:$Q$294,10, 0)</f>
        <v>#N/A</v>
      </c>
      <c r="D278" s="409" t="e">
        <f>VLOOKUP(A278,Foundation!$B$8:$Q$277,12, 0)</f>
        <v>#N/A</v>
      </c>
      <c r="E278" s="409" t="e">
        <f>VLOOKUP(A278,'Erection Compiled '!$B$2:$R$340,10, 0)</f>
        <v>#N/A</v>
      </c>
      <c r="F278" s="409" t="e">
        <f>VLOOKUP(A278,Earthing!$C$7:$H$307,4, 0)</f>
        <v>#N/A</v>
      </c>
    </row>
    <row r="279" spans="1:6">
      <c r="A279" s="1000" t="s">
        <v>1658</v>
      </c>
      <c r="B279" s="990" t="s">
        <v>1731</v>
      </c>
      <c r="C279" s="409" t="e">
        <f>VLOOKUP(A279,Foundation!$B$8:$Q$294,10, 0)</f>
        <v>#N/A</v>
      </c>
      <c r="D279" s="409" t="e">
        <f>VLOOKUP(A279,Foundation!$B$8:$Q$277,12, 0)</f>
        <v>#N/A</v>
      </c>
      <c r="E279" s="409" t="e">
        <f>VLOOKUP(A279,'Erection Compiled '!$B$2:$R$340,10, 0)</f>
        <v>#N/A</v>
      </c>
      <c r="F279" s="409" t="e">
        <f>VLOOKUP(A279,Earthing!$C$7:$H$307,4, 0)</f>
        <v>#N/A</v>
      </c>
    </row>
    <row r="280" spans="1:6">
      <c r="A280" s="1000" t="s">
        <v>1745</v>
      </c>
      <c r="B280" s="990" t="s">
        <v>1734</v>
      </c>
      <c r="C280" s="409" t="e">
        <f>VLOOKUP(A280,Foundation!$B$8:$Q$294,10, 0)</f>
        <v>#N/A</v>
      </c>
      <c r="D280" s="409" t="e">
        <f>VLOOKUP(A280,Foundation!$B$8:$Q$277,12, 0)</f>
        <v>#N/A</v>
      </c>
      <c r="E280" s="409" t="e">
        <f>VLOOKUP(A280,'Erection Compiled '!$B$2:$R$340,10, 0)</f>
        <v>#N/A</v>
      </c>
      <c r="F280" s="409" t="e">
        <f>VLOOKUP(A280,Earthing!$C$7:$H$307,4, 0)</f>
        <v>#N/A</v>
      </c>
    </row>
    <row r="281" spans="1:6">
      <c r="A281" s="1000" t="s">
        <v>128</v>
      </c>
      <c r="B281" s="990" t="s">
        <v>1733</v>
      </c>
      <c r="C281" s="409" t="e">
        <f>VLOOKUP(A281,Foundation!$B$8:$Q$294,10, 0)</f>
        <v>#N/A</v>
      </c>
      <c r="D281" s="409" t="e">
        <f>VLOOKUP(A281,Foundation!$B$8:$Q$277,12, 0)</f>
        <v>#N/A</v>
      </c>
      <c r="E281" s="409" t="e">
        <f>VLOOKUP(A281,'Erection Compiled '!$B$2:$R$340,10, 0)</f>
        <v>#N/A</v>
      </c>
      <c r="F281" s="409" t="e">
        <f>VLOOKUP(A281,Earthing!$C$7:$H$307,4, 0)</f>
        <v>#N/A</v>
      </c>
    </row>
    <row r="282" spans="1:6">
      <c r="A282" s="1000" t="s">
        <v>1746</v>
      </c>
      <c r="B282" s="990" t="s">
        <v>1729</v>
      </c>
      <c r="C282" s="409" t="e">
        <f>VLOOKUP(A282,Foundation!$B$8:$Q$294,10, 0)</f>
        <v>#N/A</v>
      </c>
      <c r="D282" s="409" t="e">
        <f>VLOOKUP(A282,Foundation!$B$8:$Q$277,12, 0)</f>
        <v>#N/A</v>
      </c>
      <c r="E282" s="409" t="e">
        <f>VLOOKUP(A282,'Erection Compiled '!$B$2:$R$340,10, 0)</f>
        <v>#N/A</v>
      </c>
      <c r="F282" s="409" t="e">
        <f>VLOOKUP(A282,Earthing!$C$7:$H$307,4, 0)</f>
        <v>#N/A</v>
      </c>
    </row>
    <row r="283" spans="1:6">
      <c r="A283" s="1000" t="s">
        <v>1747</v>
      </c>
      <c r="B283" s="990" t="s">
        <v>1729</v>
      </c>
      <c r="C283" s="409" t="e">
        <f>VLOOKUP(A283,Foundation!$B$8:$Q$294,10, 0)</f>
        <v>#N/A</v>
      </c>
      <c r="D283" s="409" t="e">
        <f>VLOOKUP(A283,Foundation!$B$8:$Q$277,12, 0)</f>
        <v>#N/A</v>
      </c>
      <c r="E283" s="409" t="e">
        <f>VLOOKUP(A283,'Erection Compiled '!$B$2:$R$340,10, 0)</f>
        <v>#N/A</v>
      </c>
      <c r="F283" s="409" t="e">
        <f>VLOOKUP(A283,Earthing!$C$7:$H$307,4, 0)</f>
        <v>#N/A</v>
      </c>
    </row>
    <row r="284" spans="1:6">
      <c r="A284" s="1000" t="s">
        <v>1748</v>
      </c>
      <c r="B284" s="990" t="s">
        <v>1729</v>
      </c>
      <c r="C284" s="409" t="e">
        <f>VLOOKUP(A284,Foundation!$B$8:$Q$294,10, 0)</f>
        <v>#N/A</v>
      </c>
      <c r="D284" s="409" t="e">
        <f>VLOOKUP(A284,Foundation!$B$8:$Q$277,12, 0)</f>
        <v>#N/A</v>
      </c>
      <c r="E284" s="409" t="e">
        <f>VLOOKUP(A284,'Erection Compiled '!$B$2:$R$340,10, 0)</f>
        <v>#N/A</v>
      </c>
      <c r="F284" s="409" t="e">
        <f>VLOOKUP(A284,Earthing!$C$7:$H$307,4, 0)</f>
        <v>#N/A</v>
      </c>
    </row>
    <row r="285" spans="1:6" hidden="1">
      <c r="A285" s="998" t="s">
        <v>129</v>
      </c>
      <c r="B285" s="987" t="s">
        <v>80</v>
      </c>
      <c r="C285" s="409" t="e">
        <f>VLOOKUP(A285,Foundation!$B$8:$Q$294,10, 0)</f>
        <v>#N/A</v>
      </c>
      <c r="D285" s="409" t="e">
        <f>VLOOKUP(A285,Foundation!$B$8:$Q$277,12, 0)</f>
        <v>#N/A</v>
      </c>
      <c r="E285" s="409" t="e">
        <f>VLOOKUP(A285,'Erection Compiled '!$B$2:$R$340,10, 0)</f>
        <v>#N/A</v>
      </c>
      <c r="F285" s="409" t="e">
        <f>VLOOKUP(A285,Earthing!$C$7:$H$307,4, 0)</f>
        <v>#N/A</v>
      </c>
    </row>
    <row r="286" spans="1:6" hidden="1">
      <c r="A286" s="998" t="s">
        <v>130</v>
      </c>
      <c r="B286" s="987" t="s">
        <v>80</v>
      </c>
      <c r="C286" s="409" t="e">
        <f>VLOOKUP(A286,Foundation!$B$8:$Q$294,10, 0)</f>
        <v>#N/A</v>
      </c>
      <c r="D286" s="409" t="e">
        <f>VLOOKUP(A286,Foundation!$B$8:$Q$277,12, 0)</f>
        <v>#N/A</v>
      </c>
      <c r="E286" s="409" t="e">
        <f>VLOOKUP(A286,'Erection Compiled '!$B$2:$R$340,10, 0)</f>
        <v>#N/A</v>
      </c>
      <c r="F286" s="409" t="e">
        <f>VLOOKUP(A286,Earthing!$C$7:$H$307,4, 0)</f>
        <v>#N/A</v>
      </c>
    </row>
    <row r="287" spans="1:6">
      <c r="A287" s="998" t="s">
        <v>131</v>
      </c>
      <c r="B287" s="987" t="s">
        <v>132</v>
      </c>
      <c r="C287" s="409" t="e">
        <f>VLOOKUP(A287,Foundation!$B$8:$Q$294,10, 0)</f>
        <v>#N/A</v>
      </c>
      <c r="D287" s="409" t="e">
        <f>VLOOKUP(A287,Foundation!$B$8:$Q$277,12, 0)</f>
        <v>#N/A</v>
      </c>
      <c r="E287" s="409" t="e">
        <f>VLOOKUP(A287,'Erection Compiled '!$B$2:$R$340,10, 0)</f>
        <v>#N/A</v>
      </c>
      <c r="F287" s="409" t="e">
        <f>VLOOKUP(A287,Earthing!$C$7:$H$307,4, 0)</f>
        <v>#N/A</v>
      </c>
    </row>
    <row r="288" spans="1:6">
      <c r="A288" s="998" t="s">
        <v>133</v>
      </c>
      <c r="B288" s="987" t="s">
        <v>97</v>
      </c>
      <c r="C288" s="409" t="e">
        <f>VLOOKUP(A288,Foundation!$B$8:$Q$294,10, 0)</f>
        <v>#N/A</v>
      </c>
      <c r="D288" s="409" t="e">
        <f>VLOOKUP(A288,Foundation!$B$8:$Q$277,12, 0)</f>
        <v>#N/A</v>
      </c>
      <c r="E288" s="409" t="e">
        <f>VLOOKUP(A288,'Erection Compiled '!$B$2:$R$340,10, 0)</f>
        <v>#N/A</v>
      </c>
      <c r="F288" s="409" t="e">
        <f>VLOOKUP(A288,Earthing!$C$7:$H$307,4, 0)</f>
        <v>#N/A</v>
      </c>
    </row>
    <row r="289" spans="1:6">
      <c r="A289" s="998" t="s">
        <v>376</v>
      </c>
      <c r="B289" s="987" t="s">
        <v>84</v>
      </c>
      <c r="C289" s="409" t="e">
        <f>VLOOKUP(A289,Foundation!$B$8:$Q$294,10, 0)</f>
        <v>#N/A</v>
      </c>
      <c r="D289" s="409" t="e">
        <f>VLOOKUP(A289,Foundation!$B$8:$Q$277,12, 0)</f>
        <v>#N/A</v>
      </c>
      <c r="E289" s="409" t="e">
        <f>VLOOKUP(A289,'Erection Compiled '!$B$2:$R$340,10, 0)</f>
        <v>#N/A</v>
      </c>
      <c r="F289" s="409" t="e">
        <f>VLOOKUP(A289,Earthing!$C$7:$H$307,4, 0)</f>
        <v>#N/A</v>
      </c>
    </row>
    <row r="290" spans="1:6">
      <c r="A290" s="998" t="s">
        <v>378</v>
      </c>
      <c r="B290" s="987" t="s">
        <v>212</v>
      </c>
      <c r="C290" s="409" t="e">
        <f>VLOOKUP(A290,Foundation!$B$8:$Q$294,10, 0)</f>
        <v>#N/A</v>
      </c>
      <c r="D290" s="409" t="e">
        <f>VLOOKUP(A290,Foundation!$B$8:$Q$277,12, 0)</f>
        <v>#N/A</v>
      </c>
      <c r="E290" s="409" t="e">
        <f>VLOOKUP(A290,'Erection Compiled '!$B$2:$R$340,10, 0)</f>
        <v>#N/A</v>
      </c>
      <c r="F290" s="409" t="e">
        <f>VLOOKUP(A290,Earthing!$C$7:$H$307,4, 0)</f>
        <v>#N/A</v>
      </c>
    </row>
    <row r="291" spans="1:6">
      <c r="A291" s="998" t="s">
        <v>379</v>
      </c>
      <c r="B291" s="987" t="s">
        <v>84</v>
      </c>
      <c r="C291" s="409" t="e">
        <f>VLOOKUP(A291,Foundation!$B$8:$Q$294,10, 0)</f>
        <v>#N/A</v>
      </c>
      <c r="D291" s="409" t="e">
        <f>VLOOKUP(A291,Foundation!$B$8:$Q$277,12, 0)</f>
        <v>#N/A</v>
      </c>
      <c r="E291" s="409" t="e">
        <f>VLOOKUP(A291,'Erection Compiled '!$B$2:$R$340,10, 0)</f>
        <v>#N/A</v>
      </c>
      <c r="F291" s="409" t="e">
        <f>VLOOKUP(A291,Earthing!$C$7:$H$307,4, 0)</f>
        <v>#N/A</v>
      </c>
    </row>
    <row r="292" spans="1:6">
      <c r="A292" s="998" t="s">
        <v>1285</v>
      </c>
      <c r="B292" s="987" t="s">
        <v>80</v>
      </c>
      <c r="C292" s="409" t="e">
        <f>VLOOKUP(A292,Foundation!$B$8:$Q$294,10, 0)</f>
        <v>#N/A</v>
      </c>
      <c r="D292" s="409" t="e">
        <f>VLOOKUP(A292,Foundation!$B$8:$Q$277,12, 0)</f>
        <v>#N/A</v>
      </c>
      <c r="E292" s="409" t="e">
        <f>VLOOKUP(A292,'Erection Compiled '!$B$2:$R$340,10, 0)</f>
        <v>#N/A</v>
      </c>
      <c r="F292" s="409" t="e">
        <f>VLOOKUP(A292,Earthing!$C$7:$H$307,4, 0)</f>
        <v>#N/A</v>
      </c>
    </row>
    <row r="293" spans="1:6">
      <c r="A293" s="998" t="s">
        <v>240</v>
      </c>
      <c r="B293" s="987" t="s">
        <v>147</v>
      </c>
      <c r="C293" s="409" t="e">
        <f>VLOOKUP(A293,Foundation!$B$8:$Q$294,10, 0)</f>
        <v>#N/A</v>
      </c>
      <c r="D293" s="409" t="e">
        <f>VLOOKUP(A293,Foundation!$B$8:$Q$277,12, 0)</f>
        <v>#N/A</v>
      </c>
      <c r="E293" s="409" t="e">
        <f>VLOOKUP(A293,'Erection Compiled '!$B$2:$R$340,10, 0)</f>
        <v>#N/A</v>
      </c>
      <c r="F293" s="409" t="e">
        <f>VLOOKUP(A293,Earthing!$C$7:$H$307,4, 0)</f>
        <v>#N/A</v>
      </c>
    </row>
    <row r="294" spans="1:6" hidden="1">
      <c r="A294" s="998" t="s">
        <v>387</v>
      </c>
      <c r="B294" s="987" t="s">
        <v>147</v>
      </c>
      <c r="C294" s="409" t="e">
        <f>VLOOKUP(A294,Foundation!$B$8:$Q$294,10, 0)</f>
        <v>#N/A</v>
      </c>
      <c r="D294" s="409" t="e">
        <f>VLOOKUP(A294,Foundation!$B$8:$Q$277,12, 0)</f>
        <v>#N/A</v>
      </c>
      <c r="E294" s="409" t="e">
        <f>VLOOKUP(A294,'Erection Compiled '!$B$2:$R$340,10, 0)</f>
        <v>#N/A</v>
      </c>
      <c r="F294" s="409" t="e">
        <f>VLOOKUP(A294,Earthing!$C$7:$H$307,4, 0)</f>
        <v>#N/A</v>
      </c>
    </row>
    <row r="295" spans="1:6">
      <c r="A295" s="998" t="s">
        <v>388</v>
      </c>
      <c r="B295" s="987" t="s">
        <v>135</v>
      </c>
      <c r="C295" s="409" t="e">
        <f>VLOOKUP(A295,Foundation!$B$8:$Q$294,10, 0)</f>
        <v>#N/A</v>
      </c>
      <c r="D295" s="409" t="e">
        <f>VLOOKUP(A295,Foundation!$B$8:$Q$277,12, 0)</f>
        <v>#N/A</v>
      </c>
      <c r="E295" s="409" t="e">
        <f>VLOOKUP(A295,'Erection Compiled '!$B$2:$R$340,10, 0)</f>
        <v>#N/A</v>
      </c>
      <c r="F295" s="409" t="e">
        <f>VLOOKUP(A295,Earthing!$C$7:$H$307,4, 0)</f>
        <v>#N/A</v>
      </c>
    </row>
    <row r="296" spans="1:6">
      <c r="A296" s="1000" t="s">
        <v>389</v>
      </c>
      <c r="B296" s="990" t="s">
        <v>1731</v>
      </c>
      <c r="C296" s="409" t="e">
        <f>VLOOKUP(A296,Foundation!$B$8:$Q$294,10, 0)</f>
        <v>#N/A</v>
      </c>
      <c r="D296" s="409" t="e">
        <f>VLOOKUP(A296,Foundation!$B$8:$Q$277,12, 0)</f>
        <v>#N/A</v>
      </c>
      <c r="E296" s="409" t="e">
        <f>VLOOKUP(A296,'Erection Compiled '!$B$2:$R$340,10, 0)</f>
        <v>#N/A</v>
      </c>
      <c r="F296" s="409" t="e">
        <f>VLOOKUP(A296,Earthing!$C$7:$H$307,4, 0)</f>
        <v>#N/A</v>
      </c>
    </row>
    <row r="297" spans="1:6">
      <c r="A297" s="1000" t="s">
        <v>1749</v>
      </c>
      <c r="B297" s="990" t="s">
        <v>1730</v>
      </c>
      <c r="C297" s="409" t="e">
        <f>VLOOKUP(A297,Foundation!$B$8:$Q$294,10, 0)</f>
        <v>#N/A</v>
      </c>
      <c r="D297" s="409" t="e">
        <f>VLOOKUP(A297,Foundation!$B$8:$Q$277,12, 0)</f>
        <v>#N/A</v>
      </c>
      <c r="E297" s="409" t="e">
        <f>VLOOKUP(A297,'Erection Compiled '!$B$2:$R$340,10, 0)</f>
        <v>#N/A</v>
      </c>
      <c r="F297" s="409" t="e">
        <f>VLOOKUP(A297,Earthing!$C$7:$H$307,4, 0)</f>
        <v>#N/A</v>
      </c>
    </row>
    <row r="298" spans="1:6">
      <c r="A298" s="1000" t="s">
        <v>1750</v>
      </c>
      <c r="B298" s="990" t="s">
        <v>1729</v>
      </c>
      <c r="C298" s="409" t="e">
        <f>VLOOKUP(A298,Foundation!$B$8:$Q$294,10, 0)</f>
        <v>#N/A</v>
      </c>
      <c r="D298" s="409" t="e">
        <f>VLOOKUP(A298,Foundation!$B$8:$Q$277,12, 0)</f>
        <v>#N/A</v>
      </c>
      <c r="E298" s="409" t="e">
        <f>VLOOKUP(A298,'Erection Compiled '!$B$2:$R$340,10, 0)</f>
        <v>#N/A</v>
      </c>
      <c r="F298" s="409" t="e">
        <f>VLOOKUP(A298,Earthing!$C$7:$H$307,4, 0)</f>
        <v>#N/A</v>
      </c>
    </row>
    <row r="299" spans="1:6">
      <c r="A299" s="1000" t="s">
        <v>1751</v>
      </c>
      <c r="B299" s="990" t="s">
        <v>1735</v>
      </c>
      <c r="C299" s="409" t="e">
        <f>VLOOKUP(A299,Foundation!$B$8:$Q$294,10, 0)</f>
        <v>#N/A</v>
      </c>
      <c r="D299" s="409" t="e">
        <f>VLOOKUP(A299,Foundation!$B$8:$Q$277,12, 0)</f>
        <v>#N/A</v>
      </c>
      <c r="E299" s="409" t="e">
        <f>VLOOKUP(A299,'Erection Compiled '!$B$2:$R$340,10, 0)</f>
        <v>#N/A</v>
      </c>
      <c r="F299" s="409" t="e">
        <f>VLOOKUP(A299,Earthing!$C$7:$H$307,4, 0)</f>
        <v>#N/A</v>
      </c>
    </row>
    <row r="300" spans="1:6" hidden="1">
      <c r="A300" s="1000" t="s">
        <v>1752</v>
      </c>
      <c r="B300" s="990" t="s">
        <v>1735</v>
      </c>
      <c r="C300" s="409" t="e">
        <f>VLOOKUP(A300,Foundation!$B$8:$Q$294,10, 0)</f>
        <v>#N/A</v>
      </c>
      <c r="D300" s="409" t="e">
        <f>VLOOKUP(A300,Foundation!$B$8:$Q$277,12, 0)</f>
        <v>#N/A</v>
      </c>
      <c r="E300" s="409" t="e">
        <f>VLOOKUP(A300,'Erection Compiled '!$B$2:$R$340,10, 0)</f>
        <v>#N/A</v>
      </c>
      <c r="F300" s="409" t="e">
        <f>VLOOKUP(A300,Earthing!$C$7:$H$307,4, 0)</f>
        <v>#N/A</v>
      </c>
    </row>
    <row r="301" spans="1:6">
      <c r="A301" s="1000" t="s">
        <v>136</v>
      </c>
      <c r="B301" s="990" t="s">
        <v>1736</v>
      </c>
      <c r="C301" s="409" t="e">
        <f>VLOOKUP(A301,Foundation!$B$8:$Q$294,10, 0)</f>
        <v>#N/A</v>
      </c>
      <c r="D301" s="409" t="e">
        <f>VLOOKUP(A301,Foundation!$B$8:$Q$277,12, 0)</f>
        <v>#N/A</v>
      </c>
      <c r="E301" s="409" t="e">
        <f>VLOOKUP(A301,'Erection Compiled '!$B$2:$R$340,10, 0)</f>
        <v>#N/A</v>
      </c>
      <c r="F301" s="409" t="e">
        <f>VLOOKUP(A301,Earthing!$C$7:$H$307,4, 0)</f>
        <v>#N/A</v>
      </c>
    </row>
    <row r="302" spans="1:6" hidden="1">
      <c r="A302" s="1000" t="s">
        <v>1279</v>
      </c>
      <c r="B302" s="990" t="s">
        <v>1733</v>
      </c>
      <c r="C302" s="409" t="e">
        <f>VLOOKUP(A302,Foundation!$B$8:$Q$294,10, 0)</f>
        <v>#N/A</v>
      </c>
      <c r="D302" s="409" t="e">
        <f>VLOOKUP(A302,Foundation!$B$8:$Q$277,12, 0)</f>
        <v>#N/A</v>
      </c>
      <c r="E302" s="409" t="e">
        <f>VLOOKUP(A302,'Erection Compiled '!$B$2:$R$340,10, 0)</f>
        <v>#N/A</v>
      </c>
      <c r="F302" s="409" t="e">
        <f>VLOOKUP(A302,Earthing!$C$7:$H$307,4, 0)</f>
        <v>#N/A</v>
      </c>
    </row>
    <row r="303" spans="1:6" hidden="1">
      <c r="A303" s="1000" t="s">
        <v>1463</v>
      </c>
      <c r="B303" s="990" t="s">
        <v>1733</v>
      </c>
      <c r="C303" s="409" t="e">
        <f>VLOOKUP(A303,Foundation!$B$8:$Q$294,10, 0)</f>
        <v>#N/A</v>
      </c>
      <c r="D303" s="409" t="e">
        <f>VLOOKUP(A303,Foundation!$B$8:$Q$277,12, 0)</f>
        <v>#N/A</v>
      </c>
      <c r="E303" s="409" t="e">
        <f>VLOOKUP(A303,'Erection Compiled '!$B$2:$R$340,10, 0)</f>
        <v>#N/A</v>
      </c>
      <c r="F303" s="409" t="e">
        <f>VLOOKUP(A303,Earthing!$C$7:$H$307,4, 0)</f>
        <v>#N/A</v>
      </c>
    </row>
    <row r="304" spans="1:6" hidden="1">
      <c r="A304" s="1000" t="s">
        <v>1753</v>
      </c>
      <c r="B304" s="990" t="s">
        <v>1730</v>
      </c>
      <c r="C304" s="409" t="e">
        <f>VLOOKUP(A304,Foundation!$B$8:$Q$294,10, 0)</f>
        <v>#N/A</v>
      </c>
      <c r="D304" s="409" t="e">
        <f>VLOOKUP(A304,Foundation!$B$8:$Q$277,12, 0)</f>
        <v>#N/A</v>
      </c>
      <c r="E304" s="409" t="e">
        <f>VLOOKUP(A304,'Erection Compiled '!$B$2:$R$340,10, 0)</f>
        <v>#N/A</v>
      </c>
      <c r="F304" s="409" t="e">
        <f>VLOOKUP(A304,Earthing!$C$7:$H$307,4, 0)</f>
        <v>#N/A</v>
      </c>
    </row>
    <row r="305" spans="1:6" hidden="1">
      <c r="A305" s="1000" t="s">
        <v>1754</v>
      </c>
      <c r="B305" s="990" t="s">
        <v>1735</v>
      </c>
      <c r="C305" s="409" t="e">
        <f>VLOOKUP(A305,Foundation!$B$8:$Q$294,10, 0)</f>
        <v>#N/A</v>
      </c>
      <c r="D305" s="409" t="e">
        <f>VLOOKUP(A305,Foundation!$B$8:$Q$277,12, 0)</f>
        <v>#N/A</v>
      </c>
      <c r="E305" s="409" t="e">
        <f>VLOOKUP(A305,'Erection Compiled '!$B$2:$R$340,10, 0)</f>
        <v>#N/A</v>
      </c>
      <c r="F305" s="409" t="e">
        <f>VLOOKUP(A305,Earthing!$C$7:$H$307,4, 0)</f>
        <v>#N/A</v>
      </c>
    </row>
    <row r="306" spans="1:6" hidden="1">
      <c r="A306" s="1000" t="s">
        <v>683</v>
      </c>
      <c r="B306" s="990" t="s">
        <v>1731</v>
      </c>
      <c r="C306" s="409" t="e">
        <f>VLOOKUP(A306,Foundation!$B$8:$Q$294,10, 0)</f>
        <v>#N/A</v>
      </c>
      <c r="D306" s="409" t="e">
        <f>VLOOKUP(A306,Foundation!$B$8:$Q$277,12, 0)</f>
        <v>#N/A</v>
      </c>
      <c r="E306" s="409" t="e">
        <f>VLOOKUP(A306,'Erection Compiled '!$B$2:$R$340,10, 0)</f>
        <v>#N/A</v>
      </c>
      <c r="F306" s="409" t="e">
        <f>VLOOKUP(A306,Earthing!$C$7:$H$307,4, 0)</f>
        <v>#N/A</v>
      </c>
    </row>
    <row r="307" spans="1:6">
      <c r="A307" s="998" t="s">
        <v>399</v>
      </c>
      <c r="B307" s="987" t="s">
        <v>206</v>
      </c>
      <c r="C307" s="409" t="e">
        <f>VLOOKUP(A307,Foundation!$B$8:$Q$294,10, 0)</f>
        <v>#N/A</v>
      </c>
      <c r="D307" s="409" t="e">
        <f>VLOOKUP(A307,Foundation!$B$8:$Q$277,12, 0)</f>
        <v>#N/A</v>
      </c>
      <c r="E307" s="409" t="e">
        <f>VLOOKUP(A307,'Erection Compiled '!$B$2:$R$340,10, 0)</f>
        <v>#N/A</v>
      </c>
      <c r="F307" s="409" t="e">
        <f>VLOOKUP(A307,Earthing!$C$7:$H$307,4, 0)</f>
        <v>#N/A</v>
      </c>
    </row>
    <row r="308" spans="1:6" hidden="1">
      <c r="A308" s="998" t="s">
        <v>684</v>
      </c>
      <c r="B308" s="987" t="s">
        <v>90</v>
      </c>
      <c r="C308" s="409" t="e">
        <f>VLOOKUP(A308,Foundation!$B$8:$Q$294,10, 0)</f>
        <v>#N/A</v>
      </c>
      <c r="D308" s="409" t="e">
        <f>VLOOKUP(A308,Foundation!$B$8:$Q$277,12, 0)</f>
        <v>#N/A</v>
      </c>
      <c r="E308" s="409" t="e">
        <f>VLOOKUP(A308,'Erection Compiled '!$B$2:$R$340,10, 0)</f>
        <v>#N/A</v>
      </c>
      <c r="F308" s="409" t="e">
        <f>VLOOKUP(A308,Earthing!$C$7:$H$307,4, 0)</f>
        <v>#N/A</v>
      </c>
    </row>
    <row r="309" spans="1:6" hidden="1">
      <c r="A309" s="998" t="s">
        <v>685</v>
      </c>
      <c r="B309" s="987" t="s">
        <v>108</v>
      </c>
      <c r="C309" s="409" t="e">
        <f>VLOOKUP(A309,Foundation!$B$8:$Q$294,10, 0)</f>
        <v>#N/A</v>
      </c>
      <c r="D309" s="409" t="e">
        <f>VLOOKUP(A309,Foundation!$B$8:$Q$277,12, 0)</f>
        <v>#N/A</v>
      </c>
      <c r="E309" s="409" t="e">
        <f>VLOOKUP(A309,'Erection Compiled '!$B$2:$R$340,10, 0)</f>
        <v>#N/A</v>
      </c>
      <c r="F309" s="409" t="e">
        <f>VLOOKUP(A309,Earthing!$C$7:$H$307,4, 0)</f>
        <v>#N/A</v>
      </c>
    </row>
    <row r="310" spans="1:6">
      <c r="A310" s="998" t="s">
        <v>402</v>
      </c>
      <c r="B310" s="987" t="s">
        <v>147</v>
      </c>
      <c r="C310" s="409" t="e">
        <f>VLOOKUP(A310,Foundation!$B$8:$Q$294,10, 0)</f>
        <v>#N/A</v>
      </c>
      <c r="D310" s="409" t="e">
        <f>VLOOKUP(A310,Foundation!$B$8:$Q$277,12, 0)</f>
        <v>#N/A</v>
      </c>
      <c r="E310" s="409" t="e">
        <f>VLOOKUP(A310,'Erection Compiled '!$B$2:$R$340,10, 0)</f>
        <v>#N/A</v>
      </c>
      <c r="F310" s="409" t="e">
        <f>VLOOKUP(A310,Earthing!$C$7:$H$307,4, 0)</f>
        <v>#N/A</v>
      </c>
    </row>
    <row r="311" spans="1:6">
      <c r="A311" s="998" t="s">
        <v>403</v>
      </c>
      <c r="B311" s="987" t="s">
        <v>147</v>
      </c>
      <c r="C311" s="409" t="e">
        <f>VLOOKUP(A311,Foundation!$B$8:$Q$294,10, 0)</f>
        <v>#N/A</v>
      </c>
      <c r="D311" s="409" t="e">
        <f>VLOOKUP(A311,Foundation!$B$8:$Q$277,12, 0)</f>
        <v>#N/A</v>
      </c>
      <c r="E311" s="409" t="e">
        <f>VLOOKUP(A311,'Erection Compiled '!$B$2:$R$340,10, 0)</f>
        <v>#N/A</v>
      </c>
      <c r="F311" s="409" t="e">
        <f>VLOOKUP(A311,Earthing!$C$7:$H$307,4, 0)</f>
        <v>#N/A</v>
      </c>
    </row>
    <row r="312" spans="1:6" hidden="1">
      <c r="A312" s="1002" t="s">
        <v>137</v>
      </c>
      <c r="B312" s="989" t="s">
        <v>80</v>
      </c>
      <c r="C312" s="409" t="e">
        <f>VLOOKUP(A312,Foundation!$B$8:$Q$294,10, 0)</f>
        <v>#N/A</v>
      </c>
      <c r="D312" s="409" t="e">
        <f>VLOOKUP(A312,Foundation!$B$8:$Q$277,12, 0)</f>
        <v>#N/A</v>
      </c>
      <c r="E312" s="409" t="e">
        <f>VLOOKUP(A312,'Erection Compiled '!$B$2:$R$340,10, 0)</f>
        <v>#N/A</v>
      </c>
      <c r="F312" s="409" t="e">
        <f>VLOOKUP(A312,Earthing!$C$7:$H$307,4, 0)</f>
        <v>#N/A</v>
      </c>
    </row>
    <row r="313" spans="1:6" hidden="1">
      <c r="A313" s="1002" t="s">
        <v>405</v>
      </c>
      <c r="B313" s="989" t="s">
        <v>206</v>
      </c>
      <c r="C313" s="409" t="e">
        <f>VLOOKUP(A313,Foundation!$B$8:$Q$294,10, 0)</f>
        <v>#N/A</v>
      </c>
      <c r="D313" s="409" t="e">
        <f>VLOOKUP(A313,Foundation!$B$8:$Q$277,12, 0)</f>
        <v>#N/A</v>
      </c>
      <c r="E313" s="409" t="e">
        <f>VLOOKUP(A313,'Erection Compiled '!$B$2:$R$340,10, 0)</f>
        <v>#N/A</v>
      </c>
      <c r="F313" s="409" t="e">
        <f>VLOOKUP(A313,Earthing!$C$7:$H$307,4, 0)</f>
        <v>#N/A</v>
      </c>
    </row>
    <row r="314" spans="1:6" hidden="1">
      <c r="A314" s="1002" t="s">
        <v>686</v>
      </c>
      <c r="B314" s="989" t="s">
        <v>90</v>
      </c>
      <c r="C314" s="409" t="e">
        <f>VLOOKUP(A314,Foundation!$B$8:$Q$294,10, 0)</f>
        <v>#N/A</v>
      </c>
      <c r="D314" s="409" t="e">
        <f>VLOOKUP(A314,Foundation!$B$8:$Q$277,12, 0)</f>
        <v>#N/A</v>
      </c>
      <c r="E314" s="409" t="e">
        <f>VLOOKUP(A314,'Erection Compiled '!$B$2:$R$340,10, 0)</f>
        <v>#N/A</v>
      </c>
      <c r="F314" s="409" t="e">
        <f>VLOOKUP(A314,Earthing!$C$7:$H$307,4, 0)</f>
        <v>#N/A</v>
      </c>
    </row>
    <row r="315" spans="1:6">
      <c r="A315" s="1002" t="s">
        <v>1690</v>
      </c>
      <c r="B315" s="989" t="s">
        <v>88</v>
      </c>
      <c r="C315" s="409" t="e">
        <f>VLOOKUP(A315,Foundation!$B$8:$Q$294,10, 0)</f>
        <v>#N/A</v>
      </c>
      <c r="D315" s="409" t="e">
        <f>VLOOKUP(A315,Foundation!$B$8:$Q$277,12, 0)</f>
        <v>#N/A</v>
      </c>
      <c r="E315" s="409" t="e">
        <f>VLOOKUP(A315,'Erection Compiled '!$B$2:$R$340,10, 0)</f>
        <v>#N/A</v>
      </c>
      <c r="F315" s="409" t="e">
        <f>VLOOKUP(A315,Earthing!$C$7:$H$307,4, 0)</f>
        <v>#N/A</v>
      </c>
    </row>
    <row r="316" spans="1:6">
      <c r="A316" s="1002" t="s">
        <v>1691</v>
      </c>
      <c r="B316" s="989" t="s">
        <v>97</v>
      </c>
      <c r="C316" s="409" t="e">
        <f>VLOOKUP(A316,Foundation!$B$8:$Q$294,10, 0)</f>
        <v>#N/A</v>
      </c>
      <c r="D316" s="409" t="e">
        <f>VLOOKUP(A316,Foundation!$B$8:$Q$277,12, 0)</f>
        <v>#N/A</v>
      </c>
      <c r="E316" s="409" t="e">
        <f>VLOOKUP(A316,'Erection Compiled '!$B$2:$R$340,10, 0)</f>
        <v>#N/A</v>
      </c>
      <c r="F316" s="409" t="e">
        <f>VLOOKUP(A316,Earthing!$C$7:$H$307,4, 0)</f>
        <v>#N/A</v>
      </c>
    </row>
    <row r="317" spans="1:6">
      <c r="A317" s="1002" t="s">
        <v>410</v>
      </c>
      <c r="B317" s="989" t="s">
        <v>147</v>
      </c>
      <c r="C317" s="409" t="e">
        <f>VLOOKUP(A317,Foundation!$B$8:$Q$294,10, 0)</f>
        <v>#N/A</v>
      </c>
      <c r="D317" s="409" t="e">
        <f>VLOOKUP(A317,Foundation!$B$8:$Q$277,12, 0)</f>
        <v>#N/A</v>
      </c>
      <c r="E317" s="409" t="e">
        <f>VLOOKUP(A317,'Erection Compiled '!$B$2:$R$340,10, 0)</f>
        <v>#N/A</v>
      </c>
      <c r="F317" s="409" t="e">
        <f>VLOOKUP(A317,Earthing!$C$7:$H$307,4, 0)</f>
        <v>#N/A</v>
      </c>
    </row>
    <row r="318" spans="1:6">
      <c r="A318" s="1002" t="s">
        <v>690</v>
      </c>
      <c r="B318" s="989" t="s">
        <v>90</v>
      </c>
      <c r="C318" s="409" t="e">
        <f>VLOOKUP(A318,Foundation!$B$8:$Q$294,10, 0)</f>
        <v>#N/A</v>
      </c>
      <c r="D318" s="409" t="e">
        <f>VLOOKUP(A318,Foundation!$B$8:$Q$277,12, 0)</f>
        <v>#N/A</v>
      </c>
      <c r="E318" s="409" t="e">
        <f>VLOOKUP(A318,'Erection Compiled '!$B$2:$R$340,10, 0)</f>
        <v>#N/A</v>
      </c>
      <c r="F318" s="409" t="e">
        <f>VLOOKUP(A318,Earthing!$C$7:$H$307,4, 0)</f>
        <v>#N/A</v>
      </c>
    </row>
    <row r="319" spans="1:6">
      <c r="A319" s="1002" t="s">
        <v>413</v>
      </c>
      <c r="B319" s="989" t="s">
        <v>150</v>
      </c>
      <c r="C319" s="409" t="e">
        <f>VLOOKUP(A319,Foundation!$B$8:$Q$294,10, 0)</f>
        <v>#N/A</v>
      </c>
      <c r="D319" s="409" t="e">
        <f>VLOOKUP(A319,Foundation!$B$8:$Q$277,12, 0)</f>
        <v>#N/A</v>
      </c>
      <c r="E319" s="409" t="e">
        <f>VLOOKUP(A319,'Erection Compiled '!$B$2:$R$340,10, 0)</f>
        <v>#N/A</v>
      </c>
      <c r="F319" s="409" t="e">
        <f>VLOOKUP(A319,Earthing!$C$7:$H$307,4, 0)</f>
        <v>#N/A</v>
      </c>
    </row>
    <row r="320" spans="1:6">
      <c r="A320" s="1002" t="s">
        <v>691</v>
      </c>
      <c r="B320" s="989" t="s">
        <v>93</v>
      </c>
      <c r="C320" s="409" t="e">
        <f>VLOOKUP(A320,Foundation!$B$8:$Q$294,10, 0)</f>
        <v>#N/A</v>
      </c>
      <c r="D320" s="409" t="e">
        <f>VLOOKUP(A320,Foundation!$B$8:$Q$277,12, 0)</f>
        <v>#N/A</v>
      </c>
      <c r="E320" s="409" t="e">
        <f>VLOOKUP(A320,'Erection Compiled '!$B$2:$R$340,10, 0)</f>
        <v>#N/A</v>
      </c>
      <c r="F320" s="409" t="e">
        <f>VLOOKUP(A320,Earthing!$C$7:$H$307,4, 0)</f>
        <v>#N/A</v>
      </c>
    </row>
    <row r="321" spans="1:6" hidden="1">
      <c r="A321" s="1002" t="s">
        <v>138</v>
      </c>
      <c r="B321" s="989" t="s">
        <v>108</v>
      </c>
      <c r="C321" s="409" t="e">
        <f>VLOOKUP(A321,Foundation!$B$8:$Q$294,10, 0)</f>
        <v>#N/A</v>
      </c>
      <c r="D321" s="409" t="e">
        <f>VLOOKUP(A321,Foundation!$B$8:$Q$277,12, 0)</f>
        <v>#N/A</v>
      </c>
      <c r="E321" s="409" t="e">
        <f>VLOOKUP(A321,'Erection Compiled '!$B$2:$R$340,10, 0)</f>
        <v>#N/A</v>
      </c>
      <c r="F321" s="409" t="e">
        <f>VLOOKUP(A321,Earthing!$C$7:$H$307,4, 0)</f>
        <v>#N/A</v>
      </c>
    </row>
    <row r="322" spans="1:6" hidden="1">
      <c r="A322" s="1002" t="s">
        <v>416</v>
      </c>
      <c r="B322" s="989" t="s">
        <v>212</v>
      </c>
      <c r="C322" s="409" t="e">
        <f>VLOOKUP(A322,Foundation!$B$8:$Q$294,10, 0)</f>
        <v>#N/A</v>
      </c>
      <c r="D322" s="409" t="e">
        <f>VLOOKUP(A322,Foundation!$B$8:$Q$277,12, 0)</f>
        <v>#N/A</v>
      </c>
      <c r="E322" s="409" t="e">
        <f>VLOOKUP(A322,'Erection Compiled '!$B$2:$R$340,10, 0)</f>
        <v>#N/A</v>
      </c>
      <c r="F322" s="409" t="e">
        <f>VLOOKUP(A322,Earthing!$C$7:$H$307,4, 0)</f>
        <v>#N/A</v>
      </c>
    </row>
    <row r="323" spans="1:6" hidden="1">
      <c r="A323" s="1002" t="s">
        <v>417</v>
      </c>
      <c r="B323" s="989" t="s">
        <v>80</v>
      </c>
      <c r="C323" s="409" t="e">
        <f>VLOOKUP(A323,Foundation!$B$8:$Q$294,10, 0)</f>
        <v>#N/A</v>
      </c>
      <c r="D323" s="409" t="e">
        <f>VLOOKUP(A323,Foundation!$B$8:$Q$277,12, 0)</f>
        <v>#N/A</v>
      </c>
      <c r="E323" s="409" t="e">
        <f>VLOOKUP(A323,'Erection Compiled '!$B$2:$R$340,10, 0)</f>
        <v>#N/A</v>
      </c>
      <c r="F323" s="409" t="e">
        <f>VLOOKUP(A323,Earthing!$C$7:$H$307,4, 0)</f>
        <v>#N/A</v>
      </c>
    </row>
    <row r="324" spans="1:6" hidden="1">
      <c r="A324" s="1002" t="s">
        <v>1692</v>
      </c>
      <c r="B324" s="989" t="s">
        <v>102</v>
      </c>
      <c r="C324" s="409" t="e">
        <f>VLOOKUP(A324,Foundation!$B$8:$Q$294,10, 0)</f>
        <v>#N/A</v>
      </c>
      <c r="D324" s="409" t="e">
        <f>VLOOKUP(A324,Foundation!$B$8:$Q$277,12, 0)</f>
        <v>#N/A</v>
      </c>
      <c r="E324" s="409" t="e">
        <f>VLOOKUP(A324,'Erection Compiled '!$B$2:$R$340,10, 0)</f>
        <v>#N/A</v>
      </c>
      <c r="F324" s="409" t="e">
        <f>VLOOKUP(A324,Earthing!$C$7:$H$307,4, 0)</f>
        <v>#N/A</v>
      </c>
    </row>
    <row r="325" spans="1:6">
      <c r="A325" s="1002" t="s">
        <v>1645</v>
      </c>
      <c r="B325" s="989" t="s">
        <v>90</v>
      </c>
      <c r="C325" s="409" t="e">
        <f>VLOOKUP(A325,Foundation!$B$8:$Q$294,10, 0)</f>
        <v>#N/A</v>
      </c>
      <c r="D325" s="409" t="e">
        <f>VLOOKUP(A325,Foundation!$B$8:$Q$277,12, 0)</f>
        <v>#N/A</v>
      </c>
      <c r="E325" s="409" t="e">
        <f>VLOOKUP(A325,'Erection Compiled '!$B$2:$R$340,10, 0)</f>
        <v>#N/A</v>
      </c>
      <c r="F325" s="409" t="e">
        <f>VLOOKUP(A325,Earthing!$C$7:$H$307,4, 0)</f>
        <v>#N/A</v>
      </c>
    </row>
    <row r="326" spans="1:6">
      <c r="A326" s="1002" t="s">
        <v>1313</v>
      </c>
      <c r="B326" s="989" t="s">
        <v>80</v>
      </c>
      <c r="C326" s="409" t="e">
        <f>VLOOKUP(A326,Foundation!$B$8:$Q$294,10, 0)</f>
        <v>#N/A</v>
      </c>
      <c r="D326" s="409" t="e">
        <f>VLOOKUP(A326,Foundation!$B$8:$Q$277,12, 0)</f>
        <v>#N/A</v>
      </c>
      <c r="E326" s="409" t="e">
        <f>VLOOKUP(A326,'Erection Compiled '!$B$2:$R$340,10, 0)</f>
        <v>#N/A</v>
      </c>
      <c r="F326" s="409" t="e">
        <f>VLOOKUP(A326,Earthing!$C$7:$H$307,4, 0)</f>
        <v>#N/A</v>
      </c>
    </row>
    <row r="327" spans="1:6">
      <c r="A327" s="1002" t="s">
        <v>140</v>
      </c>
      <c r="B327" s="989" t="s">
        <v>90</v>
      </c>
      <c r="C327" s="409" t="e">
        <f>VLOOKUP(A327,Foundation!$B$8:$Q$294,10, 0)</f>
        <v>#N/A</v>
      </c>
      <c r="D327" s="409" t="e">
        <f>VLOOKUP(A327,Foundation!$B$8:$Q$277,12, 0)</f>
        <v>#N/A</v>
      </c>
      <c r="E327" s="409" t="e">
        <f>VLOOKUP(A327,'Erection Compiled '!$B$2:$R$340,10, 0)</f>
        <v>#N/A</v>
      </c>
      <c r="F327" s="409" t="e">
        <f>VLOOKUP(A327,Earthing!$C$7:$H$307,4, 0)</f>
        <v>#N/A</v>
      </c>
    </row>
    <row r="328" spans="1:6">
      <c r="A328" s="1002" t="s">
        <v>434</v>
      </c>
      <c r="B328" s="989" t="s">
        <v>150</v>
      </c>
      <c r="C328" s="409" t="e">
        <f>VLOOKUP(A328,Foundation!$B$8:$Q$294,10, 0)</f>
        <v>#N/A</v>
      </c>
      <c r="D328" s="409" t="e">
        <f>VLOOKUP(A328,Foundation!$B$8:$Q$277,12, 0)</f>
        <v>#N/A</v>
      </c>
      <c r="E328" s="409" t="e">
        <f>VLOOKUP(A328,'Erection Compiled '!$B$2:$R$340,10, 0)</f>
        <v>#N/A</v>
      </c>
      <c r="F328" s="409" t="e">
        <f>VLOOKUP(A328,Earthing!$C$7:$H$307,4, 0)</f>
        <v>#N/A</v>
      </c>
    </row>
    <row r="329" spans="1:6" hidden="1">
      <c r="A329" s="1002" t="s">
        <v>435</v>
      </c>
      <c r="B329" s="989" t="s">
        <v>97</v>
      </c>
      <c r="C329" s="409" t="e">
        <f>VLOOKUP(A329,Foundation!$B$8:$Q$294,10, 0)</f>
        <v>#N/A</v>
      </c>
      <c r="D329" s="409" t="e">
        <f>VLOOKUP(A329,Foundation!$B$8:$Q$277,12, 0)</f>
        <v>#N/A</v>
      </c>
      <c r="E329" s="409" t="e">
        <f>VLOOKUP(A329,'Erection Compiled '!$B$2:$R$340,10, 0)</f>
        <v>#N/A</v>
      </c>
      <c r="F329" s="409" t="e">
        <f>VLOOKUP(A329,Earthing!$C$7:$H$307,4, 0)</f>
        <v>#N/A</v>
      </c>
    </row>
    <row r="330" spans="1:6">
      <c r="A330" s="1002" t="s">
        <v>1693</v>
      </c>
      <c r="B330" s="989" t="s">
        <v>102</v>
      </c>
      <c r="C330" s="409" t="e">
        <f>VLOOKUP(A330,Foundation!$B$8:$Q$294,10, 0)</f>
        <v>#N/A</v>
      </c>
      <c r="D330" s="409" t="e">
        <f>VLOOKUP(A330,Foundation!$B$8:$Q$277,12, 0)</f>
        <v>#N/A</v>
      </c>
      <c r="E330" s="409" t="e">
        <f>VLOOKUP(A330,'Erection Compiled '!$B$2:$R$340,10, 0)</f>
        <v>#N/A</v>
      </c>
      <c r="F330" s="409" t="e">
        <f>VLOOKUP(A330,Earthing!$C$7:$H$307,4, 0)</f>
        <v>#N/A</v>
      </c>
    </row>
    <row r="331" spans="1:6">
      <c r="A331" s="1002" t="s">
        <v>1311</v>
      </c>
      <c r="B331" s="989" t="s">
        <v>108</v>
      </c>
      <c r="C331" s="409" t="e">
        <f>VLOOKUP(A331,Foundation!$B$8:$Q$294,10, 0)</f>
        <v>#N/A</v>
      </c>
      <c r="D331" s="409" t="e">
        <f>VLOOKUP(A331,Foundation!$B$8:$Q$277,12, 0)</f>
        <v>#N/A</v>
      </c>
      <c r="E331" s="409" t="e">
        <f>VLOOKUP(A331,'Erection Compiled '!$B$2:$R$340,10, 0)</f>
        <v>#N/A</v>
      </c>
      <c r="F331" s="409" t="e">
        <f>VLOOKUP(A331,Earthing!$C$7:$H$307,4, 0)</f>
        <v>#N/A</v>
      </c>
    </row>
    <row r="332" spans="1:6">
      <c r="A332" s="1002" t="s">
        <v>438</v>
      </c>
      <c r="B332" s="989" t="s">
        <v>150</v>
      </c>
      <c r="C332" s="409" t="e">
        <f>VLOOKUP(A332,Foundation!$B$8:$Q$294,10, 0)</f>
        <v>#N/A</v>
      </c>
      <c r="D332" s="409" t="e">
        <f>VLOOKUP(A332,Foundation!$B$8:$Q$277,12, 0)</f>
        <v>#N/A</v>
      </c>
      <c r="E332" s="409" t="e">
        <f>VLOOKUP(A332,'Erection Compiled '!$B$2:$R$340,10, 0)</f>
        <v>#N/A</v>
      </c>
      <c r="F332" s="409" t="e">
        <f>VLOOKUP(A332,Earthing!$C$7:$H$307,4, 0)</f>
        <v>#N/A</v>
      </c>
    </row>
    <row r="333" spans="1:6">
      <c r="A333" s="1002" t="s">
        <v>439</v>
      </c>
      <c r="B333" s="989" t="s">
        <v>150</v>
      </c>
      <c r="C333" s="409" t="e">
        <f>VLOOKUP(A333,Foundation!$B$8:$Q$294,10, 0)</f>
        <v>#N/A</v>
      </c>
      <c r="D333" s="409" t="e">
        <f>VLOOKUP(A333,Foundation!$B$8:$Q$277,12, 0)</f>
        <v>#N/A</v>
      </c>
      <c r="E333" s="409" t="e">
        <f>VLOOKUP(A333,'Erection Compiled '!$B$2:$R$340,10, 0)</f>
        <v>#N/A</v>
      </c>
      <c r="F333" s="409" t="e">
        <f>VLOOKUP(A333,Earthing!$C$7:$H$307,4, 0)</f>
        <v>#N/A</v>
      </c>
    </row>
    <row r="334" spans="1:6" hidden="1">
      <c r="A334" s="1002" t="s">
        <v>1694</v>
      </c>
      <c r="B334" s="989" t="s">
        <v>80</v>
      </c>
      <c r="C334" s="409" t="e">
        <f>VLOOKUP(A334,Foundation!$B$8:$Q$294,10, 0)</f>
        <v>#N/A</v>
      </c>
      <c r="D334" s="409" t="e">
        <f>VLOOKUP(A334,Foundation!$B$8:$Q$277,12, 0)</f>
        <v>#N/A</v>
      </c>
      <c r="E334" s="409" t="e">
        <f>VLOOKUP(A334,'Erection Compiled '!$B$2:$R$340,10, 0)</f>
        <v>#N/A</v>
      </c>
      <c r="F334" s="409" t="e">
        <f>VLOOKUP(A334,Earthing!$C$7:$H$307,4, 0)</f>
        <v>#N/A</v>
      </c>
    </row>
    <row r="335" spans="1:6">
      <c r="A335" s="1002" t="s">
        <v>441</v>
      </c>
      <c r="B335" s="989" t="s">
        <v>206</v>
      </c>
      <c r="C335" s="409" t="e">
        <f>VLOOKUP(A335,Foundation!$B$8:$Q$294,10, 0)</f>
        <v>#N/A</v>
      </c>
      <c r="D335" s="409" t="e">
        <f>VLOOKUP(A335,Foundation!$B$8:$Q$277,12, 0)</f>
        <v>#N/A</v>
      </c>
      <c r="E335" s="409" t="e">
        <f>VLOOKUP(A335,'Erection Compiled '!$B$2:$R$340,10, 0)</f>
        <v>#N/A</v>
      </c>
      <c r="F335" s="409" t="e">
        <f>VLOOKUP(A335,Earthing!$C$7:$H$307,4, 0)</f>
        <v>#N/A</v>
      </c>
    </row>
    <row r="336" spans="1:6" hidden="1">
      <c r="A336" s="1002" t="s">
        <v>141</v>
      </c>
      <c r="B336" s="989" t="s">
        <v>90</v>
      </c>
      <c r="C336" s="409" t="e">
        <f>VLOOKUP(A336,Foundation!$B$8:$Q$294,10, 0)</f>
        <v>#N/A</v>
      </c>
      <c r="D336" s="409" t="e">
        <f>VLOOKUP(A336,Foundation!$B$8:$Q$277,12, 0)</f>
        <v>#N/A</v>
      </c>
      <c r="E336" s="409" t="e">
        <f>VLOOKUP(A336,'Erection Compiled '!$B$2:$R$340,10, 0)</f>
        <v>#N/A</v>
      </c>
      <c r="F336" s="409" t="e">
        <f>VLOOKUP(A336,Earthing!$C$7:$H$307,4, 0)</f>
        <v>#N/A</v>
      </c>
    </row>
    <row r="337" spans="1:6" hidden="1">
      <c r="A337" s="1002" t="s">
        <v>827</v>
      </c>
      <c r="B337" s="989" t="s">
        <v>93</v>
      </c>
      <c r="C337" s="409" t="e">
        <f>VLOOKUP(A337,Foundation!$B$8:$Q$294,10, 0)</f>
        <v>#N/A</v>
      </c>
      <c r="D337" s="409" t="e">
        <f>VLOOKUP(A337,Foundation!$B$8:$Q$277,12, 0)</f>
        <v>#N/A</v>
      </c>
      <c r="E337" s="409" t="e">
        <f>VLOOKUP(A337,'Erection Compiled '!$B$2:$R$340,10, 0)</f>
        <v>#N/A</v>
      </c>
      <c r="F337" s="409" t="e">
        <f>VLOOKUP(A337,Earthing!$C$7:$H$307,4, 0)</f>
        <v>#N/A</v>
      </c>
    </row>
    <row r="338" spans="1:6" hidden="1">
      <c r="A338" s="1002" t="s">
        <v>698</v>
      </c>
      <c r="B338" s="989" t="s">
        <v>150</v>
      </c>
      <c r="C338" s="409" t="e">
        <f>VLOOKUP(A338,Foundation!$B$8:$Q$294,10, 0)</f>
        <v>#N/A</v>
      </c>
      <c r="D338" s="409" t="e">
        <f>VLOOKUP(A338,Foundation!$B$8:$Q$277,12, 0)</f>
        <v>#N/A</v>
      </c>
      <c r="E338" s="409" t="e">
        <f>VLOOKUP(A338,'Erection Compiled '!$B$2:$R$340,10, 0)</f>
        <v>#N/A</v>
      </c>
      <c r="F338" s="409" t="e">
        <f>VLOOKUP(A338,Earthing!$C$7:$H$307,4, 0)</f>
        <v>#N/A</v>
      </c>
    </row>
    <row r="339" spans="1:6" hidden="1">
      <c r="A339" s="1002" t="s">
        <v>699</v>
      </c>
      <c r="B339" s="989" t="s">
        <v>150</v>
      </c>
      <c r="C339" s="409" t="e">
        <f>VLOOKUP(A339,Foundation!$B$8:$Q$294,10, 0)</f>
        <v>#N/A</v>
      </c>
      <c r="D339" s="409" t="e">
        <f>VLOOKUP(A339,Foundation!$B$8:$Q$277,12, 0)</f>
        <v>#N/A</v>
      </c>
      <c r="E339" s="409" t="e">
        <f>VLOOKUP(A339,'Erection Compiled '!$B$2:$R$340,10, 0)</f>
        <v>#N/A</v>
      </c>
      <c r="F339" s="409" t="e">
        <f>VLOOKUP(A339,Earthing!$C$7:$H$307,4, 0)</f>
        <v>#N/A</v>
      </c>
    </row>
    <row r="340" spans="1:6">
      <c r="A340" s="1002" t="s">
        <v>828</v>
      </c>
      <c r="B340" s="989" t="s">
        <v>80</v>
      </c>
      <c r="C340" s="409" t="e">
        <f>VLOOKUP(A340,Foundation!$B$8:$Q$294,10, 0)</f>
        <v>#N/A</v>
      </c>
      <c r="D340" s="409" t="e">
        <f>VLOOKUP(A340,Foundation!$B$8:$Q$277,12, 0)</f>
        <v>#N/A</v>
      </c>
      <c r="E340" s="409" t="e">
        <f>VLOOKUP(A340,'Erection Compiled '!$B$2:$R$340,10, 0)</f>
        <v>#N/A</v>
      </c>
      <c r="F340" s="409" t="e">
        <f>VLOOKUP(A340,Earthing!$C$7:$H$307,4, 0)</f>
        <v>#N/A</v>
      </c>
    </row>
    <row r="341" spans="1:6">
      <c r="A341" s="1002" t="s">
        <v>829</v>
      </c>
      <c r="B341" s="989" t="s">
        <v>102</v>
      </c>
      <c r="C341" s="409" t="e">
        <f>VLOOKUP(A341,Foundation!$B$8:$Q$294,10, 0)</f>
        <v>#N/A</v>
      </c>
      <c r="D341" s="409" t="e">
        <f>VLOOKUP(A341,Foundation!$B$8:$Q$277,12, 0)</f>
        <v>#N/A</v>
      </c>
      <c r="E341" s="409" t="e">
        <f>VLOOKUP(A341,'Erection Compiled '!$B$2:$R$340,10, 0)</f>
        <v>#N/A</v>
      </c>
      <c r="F341" s="409" t="e">
        <f>VLOOKUP(A341,Earthing!$C$7:$H$307,4, 0)</f>
        <v>#N/A</v>
      </c>
    </row>
    <row r="342" spans="1:6">
      <c r="A342" s="1002" t="s">
        <v>830</v>
      </c>
      <c r="B342" s="989" t="s">
        <v>102</v>
      </c>
      <c r="C342" s="409" t="e">
        <f>VLOOKUP(A342,Foundation!$B$8:$Q$294,10, 0)</f>
        <v>#N/A</v>
      </c>
      <c r="D342" s="409" t="e">
        <f>VLOOKUP(A342,Foundation!$B$8:$Q$277,12, 0)</f>
        <v>#N/A</v>
      </c>
      <c r="E342" s="409" t="e">
        <f>VLOOKUP(A342,'Erection Compiled '!$B$2:$R$340,10, 0)</f>
        <v>#N/A</v>
      </c>
      <c r="F342" s="409" t="e">
        <f>VLOOKUP(A342,Earthing!$C$7:$H$307,4, 0)</f>
        <v>#N/A</v>
      </c>
    </row>
    <row r="343" spans="1:6">
      <c r="A343" s="1002" t="s">
        <v>703</v>
      </c>
      <c r="B343" s="989" t="s">
        <v>147</v>
      </c>
      <c r="C343" s="409" t="e">
        <f>VLOOKUP(A343,Foundation!$B$8:$Q$294,10, 0)</f>
        <v>#N/A</v>
      </c>
      <c r="D343" s="409" t="e">
        <f>VLOOKUP(A343,Foundation!$B$8:$Q$277,12, 0)</f>
        <v>#N/A</v>
      </c>
      <c r="E343" s="409" t="e">
        <f>VLOOKUP(A343,'Erection Compiled '!$B$2:$R$340,10, 0)</f>
        <v>#N/A</v>
      </c>
      <c r="F343" s="409" t="e">
        <f>VLOOKUP(A343,Earthing!$C$7:$H$307,4, 0)</f>
        <v>#N/A</v>
      </c>
    </row>
    <row r="344" spans="1:6">
      <c r="A344" s="1002" t="s">
        <v>704</v>
      </c>
      <c r="B344" s="989" t="s">
        <v>147</v>
      </c>
      <c r="C344" s="409" t="e">
        <f>VLOOKUP(A344,Foundation!$B$8:$Q$294,10, 0)</f>
        <v>#N/A</v>
      </c>
      <c r="D344" s="409" t="e">
        <f>VLOOKUP(A344,Foundation!$B$8:$Q$277,12, 0)</f>
        <v>#N/A</v>
      </c>
      <c r="E344" s="409" t="e">
        <f>VLOOKUP(A344,'Erection Compiled '!$B$2:$R$340,10, 0)</f>
        <v>#N/A</v>
      </c>
      <c r="F344" s="409" t="e">
        <f>VLOOKUP(A344,Earthing!$C$7:$H$307,4, 0)</f>
        <v>#N/A</v>
      </c>
    </row>
    <row r="345" spans="1:6">
      <c r="A345" s="1002" t="s">
        <v>705</v>
      </c>
      <c r="B345" s="989" t="s">
        <v>147</v>
      </c>
      <c r="C345" s="409" t="e">
        <f>VLOOKUP(A345,Foundation!$B$8:$Q$294,10, 0)</f>
        <v>#N/A</v>
      </c>
      <c r="D345" s="409" t="e">
        <f>VLOOKUP(A345,Foundation!$B$8:$Q$277,12, 0)</f>
        <v>#N/A</v>
      </c>
      <c r="E345" s="409" t="e">
        <f>VLOOKUP(A345,'Erection Compiled '!$B$2:$R$340,10, 0)</f>
        <v>#N/A</v>
      </c>
      <c r="F345" s="409" t="e">
        <f>VLOOKUP(A345,Earthing!$C$7:$H$307,4, 0)</f>
        <v>#N/A</v>
      </c>
    </row>
    <row r="346" spans="1:6">
      <c r="A346" s="1002" t="s">
        <v>142</v>
      </c>
      <c r="B346" s="989" t="s">
        <v>93</v>
      </c>
      <c r="C346" s="409" t="e">
        <f>VLOOKUP(A346,Foundation!$B$8:$Q$294,10, 0)</f>
        <v>#N/A</v>
      </c>
      <c r="D346" s="409" t="e">
        <f>VLOOKUP(A346,Foundation!$B$8:$Q$277,12, 0)</f>
        <v>#N/A</v>
      </c>
      <c r="E346" s="409" t="e">
        <f>VLOOKUP(A346,'Erection Compiled '!$B$2:$R$340,10, 0)</f>
        <v>#N/A</v>
      </c>
      <c r="F346" s="409" t="e">
        <f>VLOOKUP(A346,Earthing!$C$7:$H$307,4, 0)</f>
        <v>#N/A</v>
      </c>
    </row>
    <row r="347" spans="1:6">
      <c r="A347" s="1002" t="s">
        <v>707</v>
      </c>
      <c r="B347" s="989" t="s">
        <v>206</v>
      </c>
      <c r="C347" s="409" t="e">
        <f>VLOOKUP(A347,Foundation!$B$8:$Q$294,10, 0)</f>
        <v>#N/A</v>
      </c>
      <c r="D347" s="409" t="e">
        <f>VLOOKUP(A347,Foundation!$B$8:$Q$277,12, 0)</f>
        <v>#N/A</v>
      </c>
      <c r="E347" s="409" t="e">
        <f>VLOOKUP(A347,'Erection Compiled '!$B$2:$R$340,10, 0)</f>
        <v>#N/A</v>
      </c>
      <c r="F347" s="409" t="e">
        <f>VLOOKUP(A347,Earthing!$C$7:$H$307,4, 0)</f>
        <v>#N/A</v>
      </c>
    </row>
    <row r="348" spans="1:6">
      <c r="A348" s="1002" t="s">
        <v>708</v>
      </c>
      <c r="B348" s="989" t="s">
        <v>150</v>
      </c>
      <c r="C348" s="409" t="e">
        <f>VLOOKUP(A348,Foundation!$B$8:$Q$294,10, 0)</f>
        <v>#N/A</v>
      </c>
      <c r="D348" s="409" t="e">
        <f>VLOOKUP(A348,Foundation!$B$8:$Q$277,12, 0)</f>
        <v>#N/A</v>
      </c>
      <c r="E348" s="409" t="e">
        <f>VLOOKUP(A348,'Erection Compiled '!$B$2:$R$340,10, 0)</f>
        <v>#N/A</v>
      </c>
      <c r="F348" s="409" t="e">
        <f>VLOOKUP(A348,Earthing!$C$7:$H$307,4, 0)</f>
        <v>#N/A</v>
      </c>
    </row>
    <row r="349" spans="1:6">
      <c r="A349" s="1002" t="s">
        <v>709</v>
      </c>
      <c r="B349" s="989" t="s">
        <v>206</v>
      </c>
      <c r="C349" s="409" t="e">
        <f>VLOOKUP(A349,Foundation!$B$8:$Q$294,10, 0)</f>
        <v>#N/A</v>
      </c>
      <c r="D349" s="409" t="e">
        <f>VLOOKUP(A349,Foundation!$B$8:$Q$277,12, 0)</f>
        <v>#N/A</v>
      </c>
      <c r="E349" s="409" t="e">
        <f>VLOOKUP(A349,'Erection Compiled '!$B$2:$R$340,10, 0)</f>
        <v>#N/A</v>
      </c>
      <c r="F349" s="409" t="e">
        <f>VLOOKUP(A349,Earthing!$C$7:$H$307,4, 0)</f>
        <v>#N/A</v>
      </c>
    </row>
    <row r="350" spans="1:6" hidden="1">
      <c r="A350" s="1002" t="s">
        <v>831</v>
      </c>
      <c r="B350" s="989" t="s">
        <v>157</v>
      </c>
      <c r="C350" s="409" t="e">
        <f>VLOOKUP(A350,Foundation!$B$8:$Q$294,10, 0)</f>
        <v>#N/A</v>
      </c>
      <c r="D350" s="409" t="e">
        <f>VLOOKUP(A350,Foundation!$B$8:$Q$277,12, 0)</f>
        <v>#N/A</v>
      </c>
      <c r="E350" s="409" t="e">
        <f>VLOOKUP(A350,'Erection Compiled '!$B$2:$R$340,10, 0)</f>
        <v>#N/A</v>
      </c>
      <c r="F350" s="409" t="e">
        <f>VLOOKUP(A350,Earthing!$C$7:$H$307,4, 0)</f>
        <v>#N/A</v>
      </c>
    </row>
    <row r="351" spans="1:6">
      <c r="A351" s="1002" t="s">
        <v>711</v>
      </c>
      <c r="B351" s="989" t="s">
        <v>212</v>
      </c>
      <c r="C351" s="409" t="e">
        <f>VLOOKUP(A351,Foundation!$B$8:$Q$294,10, 0)</f>
        <v>#N/A</v>
      </c>
      <c r="D351" s="409" t="e">
        <f>VLOOKUP(A351,Foundation!$B$8:$Q$277,12, 0)</f>
        <v>#N/A</v>
      </c>
      <c r="E351" s="409" t="e">
        <f>VLOOKUP(A351,'Erection Compiled '!$B$2:$R$340,10, 0)</f>
        <v>#N/A</v>
      </c>
      <c r="F351" s="409" t="e">
        <f>VLOOKUP(A351,Earthing!$C$7:$H$307,4, 0)</f>
        <v>#N/A</v>
      </c>
    </row>
    <row r="352" spans="1:6">
      <c r="A352" s="1002" t="s">
        <v>713</v>
      </c>
      <c r="B352" s="989" t="s">
        <v>206</v>
      </c>
      <c r="C352" s="409" t="e">
        <f>VLOOKUP(A352,Foundation!$B$8:$Q$294,10, 0)</f>
        <v>#N/A</v>
      </c>
      <c r="D352" s="409" t="e">
        <f>VLOOKUP(A352,Foundation!$B$8:$Q$277,12, 0)</f>
        <v>#N/A</v>
      </c>
      <c r="E352" s="409" t="e">
        <f>VLOOKUP(A352,'Erection Compiled '!$B$2:$R$340,10, 0)</f>
        <v>#N/A</v>
      </c>
      <c r="F352" s="409" t="e">
        <f>VLOOKUP(A352,Earthing!$C$7:$H$307,4, 0)</f>
        <v>#N/A</v>
      </c>
    </row>
    <row r="353" spans="1:6">
      <c r="A353" s="1002" t="s">
        <v>716</v>
      </c>
      <c r="B353" s="989" t="s">
        <v>212</v>
      </c>
      <c r="C353" s="409" t="e">
        <f>VLOOKUP(A353,Foundation!$B$8:$Q$294,10, 0)</f>
        <v>#N/A</v>
      </c>
      <c r="D353" s="409" t="e">
        <f>VLOOKUP(A353,Foundation!$B$8:$Q$277,12, 0)</f>
        <v>#N/A</v>
      </c>
      <c r="E353" s="409" t="e">
        <f>VLOOKUP(A353,'Erection Compiled '!$B$2:$R$340,10, 0)</f>
        <v>#N/A</v>
      </c>
      <c r="F353" s="409" t="e">
        <f>VLOOKUP(A353,Earthing!$C$7:$H$307,4, 0)</f>
        <v>#N/A</v>
      </c>
    </row>
    <row r="354" spans="1:6">
      <c r="A354" s="1002" t="s">
        <v>718</v>
      </c>
      <c r="B354" s="989" t="s">
        <v>147</v>
      </c>
      <c r="C354" s="409" t="e">
        <f>VLOOKUP(A354,Foundation!$B$8:$Q$294,10, 0)</f>
        <v>#N/A</v>
      </c>
      <c r="D354" s="409" t="e">
        <f>VLOOKUP(A354,Foundation!$B$8:$Q$277,12, 0)</f>
        <v>#N/A</v>
      </c>
      <c r="E354" s="409" t="e">
        <f>VLOOKUP(A354,'Erection Compiled '!$B$2:$R$340,10, 0)</f>
        <v>#N/A</v>
      </c>
      <c r="F354" s="409" t="e">
        <f>VLOOKUP(A354,Earthing!$C$7:$H$307,4, 0)</f>
        <v>#N/A</v>
      </c>
    </row>
    <row r="355" spans="1:6">
      <c r="A355" s="1002" t="s">
        <v>143</v>
      </c>
      <c r="B355" s="989" t="s">
        <v>90</v>
      </c>
      <c r="C355" s="409" t="e">
        <f>VLOOKUP(A355,Foundation!$B$8:$Q$294,10, 0)</f>
        <v>#N/A</v>
      </c>
      <c r="D355" s="409" t="e">
        <f>VLOOKUP(A355,Foundation!$B$8:$Q$277,12, 0)</f>
        <v>#N/A</v>
      </c>
      <c r="E355" s="409" t="e">
        <f>VLOOKUP(A355,'Erection Compiled '!$B$2:$R$340,10, 0)</f>
        <v>#N/A</v>
      </c>
      <c r="F355" s="409" t="e">
        <f>VLOOKUP(A355,Earthing!$C$7:$H$307,4, 0)</f>
        <v>#N/A</v>
      </c>
    </row>
    <row r="356" spans="1:6">
      <c r="A356" s="1002" t="s">
        <v>721</v>
      </c>
      <c r="B356" s="989" t="s">
        <v>90</v>
      </c>
      <c r="C356" s="409" t="e">
        <f>VLOOKUP(A356,Foundation!$B$8:$Q$294,10, 0)</f>
        <v>#N/A</v>
      </c>
      <c r="D356" s="409" t="e">
        <f>VLOOKUP(A356,Foundation!$B$8:$Q$277,12, 0)</f>
        <v>#N/A</v>
      </c>
      <c r="E356" s="409" t="e">
        <f>VLOOKUP(A356,'Erection Compiled '!$B$2:$R$340,10, 0)</f>
        <v>#N/A</v>
      </c>
      <c r="F356" s="409" t="e">
        <f>VLOOKUP(A356,Earthing!$C$7:$H$307,4, 0)</f>
        <v>#N/A</v>
      </c>
    </row>
    <row r="357" spans="1:6">
      <c r="A357" s="1002" t="s">
        <v>723</v>
      </c>
      <c r="B357" s="989" t="s">
        <v>147</v>
      </c>
      <c r="C357" s="409" t="e">
        <f>VLOOKUP(A357,Foundation!$B$8:$Q$294,10, 0)</f>
        <v>#N/A</v>
      </c>
      <c r="D357" s="409" t="e">
        <f>VLOOKUP(A357,Foundation!$B$8:$Q$277,12, 0)</f>
        <v>#N/A</v>
      </c>
      <c r="E357" s="409" t="e">
        <f>VLOOKUP(A357,'Erection Compiled '!$B$2:$R$340,10, 0)</f>
        <v>#N/A</v>
      </c>
      <c r="F357" s="409" t="e">
        <f>VLOOKUP(A357,Earthing!$C$7:$H$307,4, 0)</f>
        <v>#N/A</v>
      </c>
    </row>
    <row r="358" spans="1:6">
      <c r="A358" s="1002" t="s">
        <v>748</v>
      </c>
      <c r="B358" s="989" t="s">
        <v>212</v>
      </c>
      <c r="C358" s="409" t="e">
        <f>VLOOKUP(A358,Foundation!$B$8:$Q$294,10, 0)</f>
        <v>#N/A</v>
      </c>
      <c r="D358" s="409" t="e">
        <f>VLOOKUP(A358,Foundation!$B$8:$Q$277,12, 0)</f>
        <v>#N/A</v>
      </c>
      <c r="E358" s="409" t="e">
        <f>VLOOKUP(A358,'Erection Compiled '!$B$2:$R$340,10, 0)</f>
        <v>#N/A</v>
      </c>
      <c r="F358" s="409" t="e">
        <f>VLOOKUP(A358,Earthing!$C$7:$H$307,4, 0)</f>
        <v>#N/A</v>
      </c>
    </row>
    <row r="359" spans="1:6">
      <c r="A359" s="1002" t="s">
        <v>1662</v>
      </c>
      <c r="B359" s="989" t="s">
        <v>84</v>
      </c>
      <c r="C359" s="409" t="e">
        <f>VLOOKUP(A359,Foundation!$B$8:$Q$294,10, 0)</f>
        <v>#N/A</v>
      </c>
      <c r="D359" s="409" t="e">
        <f>VLOOKUP(A359,Foundation!$B$8:$Q$277,12, 0)</f>
        <v>#N/A</v>
      </c>
      <c r="E359" s="409" t="e">
        <f>VLOOKUP(A359,'Erection Compiled '!$B$2:$R$340,10, 0)</f>
        <v>#N/A</v>
      </c>
      <c r="F359" s="409" t="e">
        <f>VLOOKUP(A359,Earthing!$C$7:$H$307,4, 0)</f>
        <v>#N/A</v>
      </c>
    </row>
    <row r="360" spans="1:6">
      <c r="A360" s="1002" t="s">
        <v>161</v>
      </c>
      <c r="B360" s="989" t="s">
        <v>112</v>
      </c>
      <c r="C360" s="409" t="e">
        <f>VLOOKUP(A360,Foundation!$B$8:$Q$294,10, 0)</f>
        <v>#N/A</v>
      </c>
      <c r="D360" s="409" t="e">
        <f>VLOOKUP(A360,Foundation!$B$8:$Q$277,12, 0)</f>
        <v>#N/A</v>
      </c>
      <c r="E360" s="409" t="e">
        <f>VLOOKUP(A360,'Erection Compiled '!$B$2:$R$340,10, 0)</f>
        <v>#N/A</v>
      </c>
      <c r="F360" s="409" t="e">
        <f>VLOOKUP(A360,Earthing!$C$7:$H$307,4, 0)</f>
        <v>#N/A</v>
      </c>
    </row>
    <row r="361" spans="1:6">
      <c r="A361" s="1002" t="s">
        <v>163</v>
      </c>
      <c r="B361" s="989" t="s">
        <v>82</v>
      </c>
      <c r="C361" s="409" t="e">
        <f>VLOOKUP(A361,Foundation!$B$8:$Q$294,10, 0)</f>
        <v>#N/A</v>
      </c>
      <c r="D361" s="409" t="e">
        <f>VLOOKUP(A361,Foundation!$B$8:$Q$277,12, 0)</f>
        <v>#N/A</v>
      </c>
      <c r="E361" s="409" t="e">
        <f>VLOOKUP(A361,'Erection Compiled '!$B$2:$R$340,10, 0)</f>
        <v>#N/A</v>
      </c>
      <c r="F361" s="409" t="e">
        <f>VLOOKUP(A361,Earthing!$C$7:$H$307,4, 0)</f>
        <v>#N/A</v>
      </c>
    </row>
    <row r="362" spans="1:6">
      <c r="A362" s="1002" t="s">
        <v>164</v>
      </c>
      <c r="B362" s="989" t="s">
        <v>90</v>
      </c>
      <c r="C362" s="409" t="e">
        <f>VLOOKUP(A362,Foundation!$B$8:$Q$294,10, 0)</f>
        <v>#N/A</v>
      </c>
      <c r="D362" s="409" t="e">
        <f>VLOOKUP(A362,Foundation!$B$8:$Q$277,12, 0)</f>
        <v>#N/A</v>
      </c>
      <c r="E362" s="409" t="e">
        <f>VLOOKUP(A362,'Erection Compiled '!$B$2:$R$340,10, 0)</f>
        <v>#N/A</v>
      </c>
      <c r="F362" s="409" t="e">
        <f>VLOOKUP(A362,Earthing!$C$7:$H$307,4, 0)</f>
        <v>#N/A</v>
      </c>
    </row>
    <row r="363" spans="1:6" hidden="1">
      <c r="A363" s="1002" t="s">
        <v>1695</v>
      </c>
      <c r="B363" s="989" t="s">
        <v>1696</v>
      </c>
      <c r="C363" s="409" t="e">
        <f>VLOOKUP(A363,Foundation!$B$8:$Q$294,10, 0)</f>
        <v>#N/A</v>
      </c>
      <c r="D363" s="409" t="e">
        <f>VLOOKUP(A363,Foundation!$B$8:$Q$277,12, 0)</f>
        <v>#N/A</v>
      </c>
      <c r="E363" s="409" t="e">
        <f>VLOOKUP(A363,'Erection Compiled '!$B$2:$R$340,10, 0)</f>
        <v>#N/A</v>
      </c>
      <c r="F363" s="409" t="e">
        <f>VLOOKUP(A363,Earthing!$C$7:$H$307,4, 0)</f>
        <v>#N/A</v>
      </c>
    </row>
    <row r="364" spans="1:6" hidden="1">
      <c r="A364" s="1002" t="s">
        <v>1697</v>
      </c>
      <c r="B364" s="989" t="s">
        <v>1696</v>
      </c>
      <c r="C364" s="409" t="e">
        <f>VLOOKUP(A364,Foundation!$B$8:$Q$294,10, 0)</f>
        <v>#N/A</v>
      </c>
      <c r="D364" s="409" t="e">
        <f>VLOOKUP(A364,Foundation!$B$8:$Q$277,12, 0)</f>
        <v>#N/A</v>
      </c>
      <c r="E364" s="409" t="e">
        <f>VLOOKUP(A364,'Erection Compiled '!$B$2:$R$340,10, 0)</f>
        <v>#N/A</v>
      </c>
      <c r="F364" s="409" t="e">
        <f>VLOOKUP(A364,Earthing!$C$7:$H$307,4, 0)</f>
        <v>#N/A</v>
      </c>
    </row>
    <row r="365" spans="1:6" hidden="1">
      <c r="A365" s="1002" t="s">
        <v>165</v>
      </c>
      <c r="B365" s="989" t="s">
        <v>90</v>
      </c>
      <c r="C365" s="409" t="e">
        <f>VLOOKUP(A365,Foundation!$B$8:$Q$294,10, 0)</f>
        <v>#N/A</v>
      </c>
      <c r="D365" s="409" t="e">
        <f>VLOOKUP(A365,Foundation!$B$8:$Q$277,12, 0)</f>
        <v>#N/A</v>
      </c>
      <c r="E365" s="409" t="e">
        <f>VLOOKUP(A365,'Erection Compiled '!$B$2:$R$340,10, 0)</f>
        <v>#N/A</v>
      </c>
      <c r="F365" s="409" t="e">
        <f>VLOOKUP(A365,Earthing!$C$7:$H$307,4, 0)</f>
        <v>#N/A</v>
      </c>
    </row>
    <row r="366" spans="1:6" hidden="1">
      <c r="A366" s="1002" t="s">
        <v>1698</v>
      </c>
      <c r="B366" s="989" t="s">
        <v>90</v>
      </c>
      <c r="C366" s="409" t="e">
        <f>VLOOKUP(A366,Foundation!$B$8:$Q$294,10, 0)</f>
        <v>#N/A</v>
      </c>
      <c r="D366" s="409" t="e">
        <f>VLOOKUP(A366,Foundation!$B$8:$Q$277,12, 0)</f>
        <v>#N/A</v>
      </c>
      <c r="E366" s="409" t="e">
        <f>VLOOKUP(A366,'Erection Compiled '!$B$2:$R$340,10, 0)</f>
        <v>#N/A</v>
      </c>
      <c r="F366" s="409" t="e">
        <f>VLOOKUP(A366,Earthing!$C$7:$H$307,4, 0)</f>
        <v>#N/A</v>
      </c>
    </row>
    <row r="367" spans="1:6" hidden="1">
      <c r="A367" s="1002" t="s">
        <v>1699</v>
      </c>
      <c r="B367" s="989" t="s">
        <v>1737</v>
      </c>
      <c r="C367" s="409" t="e">
        <f>VLOOKUP(A367,Foundation!$B$8:$Q$294,10, 0)</f>
        <v>#N/A</v>
      </c>
      <c r="D367" s="409" t="e">
        <f>VLOOKUP(A367,Foundation!$B$8:$Q$277,12, 0)</f>
        <v>#N/A</v>
      </c>
      <c r="E367" s="409" t="e">
        <f>VLOOKUP(A367,'Erection Compiled '!$B$2:$R$340,10, 0)</f>
        <v>#N/A</v>
      </c>
      <c r="F367" s="409" t="e">
        <f>VLOOKUP(A367,Earthing!$C$7:$H$307,4, 0)</f>
        <v>#N/A</v>
      </c>
    </row>
    <row r="368" spans="1:6" hidden="1">
      <c r="A368" s="1002" t="s">
        <v>483</v>
      </c>
      <c r="B368" s="989" t="s">
        <v>1738</v>
      </c>
      <c r="C368" s="409" t="e">
        <f>VLOOKUP(A368,Foundation!$B$8:$Q$294,10, 0)</f>
        <v>#N/A</v>
      </c>
      <c r="D368" s="409" t="e">
        <f>VLOOKUP(A368,Foundation!$B$8:$Q$277,12, 0)</f>
        <v>#N/A</v>
      </c>
      <c r="E368" s="409" t="e">
        <f>VLOOKUP(A368,'Erection Compiled '!$B$2:$R$340,10, 0)</f>
        <v>#N/A</v>
      </c>
      <c r="F368" s="409" t="e">
        <f>VLOOKUP(A368,Earthing!$C$7:$H$307,4, 0)</f>
        <v>#N/A</v>
      </c>
    </row>
    <row r="369" spans="1:6">
      <c r="A369" s="1002" t="s">
        <v>750</v>
      </c>
      <c r="B369" s="989" t="s">
        <v>150</v>
      </c>
      <c r="C369" s="409" t="e">
        <f>VLOOKUP(A369,Foundation!$B$8:$Q$294,10, 0)</f>
        <v>#N/A</v>
      </c>
      <c r="D369" s="409" t="e">
        <f>VLOOKUP(A369,Foundation!$B$8:$Q$277,12, 0)</f>
        <v>#N/A</v>
      </c>
      <c r="E369" s="409" t="e">
        <f>VLOOKUP(A369,'Erection Compiled '!$B$2:$R$340,10, 0)</f>
        <v>#N/A</v>
      </c>
      <c r="F369" s="409" t="e">
        <f>VLOOKUP(A369,Earthing!$C$7:$H$307,4, 0)</f>
        <v>#N/A</v>
      </c>
    </row>
    <row r="370" spans="1:6">
      <c r="A370" s="1000" t="s">
        <v>1755</v>
      </c>
      <c r="B370" s="990" t="s">
        <v>1734</v>
      </c>
      <c r="C370" s="409" t="e">
        <f>VLOOKUP(A370,Foundation!$B$8:$Q$294,10, 0)</f>
        <v>#N/A</v>
      </c>
      <c r="D370" s="409" t="e">
        <f>VLOOKUP(A370,Foundation!$B$8:$Q$277,12, 0)</f>
        <v>#N/A</v>
      </c>
      <c r="E370" s="409" t="e">
        <f>VLOOKUP(A370,'Erection Compiled '!$B$2:$R$340,10, 0)</f>
        <v>#N/A</v>
      </c>
      <c r="F370" s="409" t="e">
        <f>VLOOKUP(A370,Earthing!$C$7:$H$307,4, 0)</f>
        <v>#N/A</v>
      </c>
    </row>
    <row r="371" spans="1:6">
      <c r="A371" s="1002" t="s">
        <v>740</v>
      </c>
      <c r="B371" s="989" t="s">
        <v>150</v>
      </c>
      <c r="C371" s="409" t="e">
        <f>VLOOKUP(A371,Foundation!$B$8:$Q$294,10, 0)</f>
        <v>#N/A</v>
      </c>
      <c r="D371" s="409" t="e">
        <f>VLOOKUP(A371,Foundation!$B$8:$Q$277,12, 0)</f>
        <v>#N/A</v>
      </c>
      <c r="E371" s="409" t="e">
        <f>VLOOKUP(A371,'Erection Compiled '!$B$2:$R$340,10, 0)</f>
        <v>#N/A</v>
      </c>
      <c r="F371" s="409" t="e">
        <f>VLOOKUP(A371,Earthing!$C$7:$H$307,4, 0)</f>
        <v>#N/A</v>
      </c>
    </row>
    <row r="372" spans="1:6">
      <c r="A372" s="998" t="s">
        <v>386</v>
      </c>
      <c r="B372" s="987" t="s">
        <v>90</v>
      </c>
      <c r="C372" s="409" t="e">
        <f>VLOOKUP(A372,Foundation!$B$8:$Q$294,10, 0)</f>
        <v>#N/A</v>
      </c>
      <c r="D372" s="409" t="e">
        <f>VLOOKUP(A372,Foundation!$B$8:$Q$277,12, 0)</f>
        <v>#N/A</v>
      </c>
      <c r="E372" s="409" t="e">
        <f>VLOOKUP(A372,'Erection Compiled '!$B$2:$R$340,10, 0)</f>
        <v>#N/A</v>
      </c>
      <c r="F372" s="409" t="e">
        <f>VLOOKUP(A372,Earthing!$C$7:$H$307,4, 0)</f>
        <v>#N/A</v>
      </c>
    </row>
    <row r="373" spans="1:6">
      <c r="A373" s="1002" t="s">
        <v>832</v>
      </c>
      <c r="B373" s="989" t="s">
        <v>102</v>
      </c>
      <c r="C373" s="409" t="e">
        <f>VLOOKUP(A373,Foundation!$B$8:$Q$294,10, 0)</f>
        <v>#N/A</v>
      </c>
      <c r="D373" s="409" t="e">
        <f>VLOOKUP(A373,Foundation!$B$8:$Q$277,12, 0)</f>
        <v>#N/A</v>
      </c>
      <c r="E373" s="409" t="e">
        <f>VLOOKUP(A373,'Erection Compiled '!$B$2:$R$340,10, 0)</f>
        <v>#N/A</v>
      </c>
      <c r="F373" s="409" t="e">
        <f>VLOOKUP(A373,Earthing!$C$7:$H$307,4, 0)</f>
        <v>#N/A</v>
      </c>
    </row>
    <row r="374" spans="1:6">
      <c r="A374" s="1002" t="s">
        <v>1568</v>
      </c>
      <c r="B374" s="989" t="s">
        <v>153</v>
      </c>
      <c r="C374" s="409" t="e">
        <f>VLOOKUP(A374,Foundation!$B$8:$Q$294,10, 0)</f>
        <v>#N/A</v>
      </c>
      <c r="D374" s="409" t="e">
        <f>VLOOKUP(A374,Foundation!$B$8:$Q$277,12, 0)</f>
        <v>#N/A</v>
      </c>
      <c r="E374" s="409" t="e">
        <f>VLOOKUP(A374,'Erection Compiled '!$B$2:$R$340,10, 0)</f>
        <v>#N/A</v>
      </c>
      <c r="F374" s="409" t="e">
        <f>VLOOKUP(A374,Earthing!$C$7:$H$307,4, 0)</f>
        <v>#N/A</v>
      </c>
    </row>
    <row r="375" spans="1:6">
      <c r="A375" s="1002" t="s">
        <v>739</v>
      </c>
      <c r="B375" s="989" t="s">
        <v>147</v>
      </c>
      <c r="C375" s="409" t="e">
        <f>VLOOKUP(A375,Foundation!$B$8:$Q$294,10, 0)</f>
        <v>#N/A</v>
      </c>
      <c r="D375" s="409" t="e">
        <f>VLOOKUP(A375,Foundation!$B$8:$Q$277,12, 0)</f>
        <v>#N/A</v>
      </c>
      <c r="E375" s="409" t="e">
        <f>VLOOKUP(A375,'Erection Compiled '!$B$2:$R$340,10, 0)</f>
        <v>#N/A</v>
      </c>
      <c r="F375" s="409" t="e">
        <f>VLOOKUP(A375,Earthing!$C$7:$H$307,4, 0)</f>
        <v>#N/A</v>
      </c>
    </row>
    <row r="376" spans="1:6">
      <c r="A376" s="1000" t="s">
        <v>1756</v>
      </c>
      <c r="B376" s="990" t="s">
        <v>1735</v>
      </c>
      <c r="C376" s="409" t="e">
        <f>VLOOKUP(A376,Foundation!$B$8:$Q$294,10, 0)</f>
        <v>#N/A</v>
      </c>
      <c r="D376" s="409" t="e">
        <f>VLOOKUP(A376,Foundation!$B$8:$Q$277,12, 0)</f>
        <v>#N/A</v>
      </c>
      <c r="E376" s="409" t="e">
        <f>VLOOKUP(A376,'Erection Compiled '!$B$2:$R$340,10, 0)</f>
        <v>#N/A</v>
      </c>
      <c r="F376" s="409" t="e">
        <f>VLOOKUP(A376,Earthing!$C$7:$H$307,4, 0)</f>
        <v>#N/A</v>
      </c>
    </row>
    <row r="377" spans="1:6">
      <c r="A377" s="1002" t="s">
        <v>1301</v>
      </c>
      <c r="B377" s="989" t="s">
        <v>206</v>
      </c>
      <c r="C377" s="409" t="e">
        <f>VLOOKUP(A377,Foundation!$B$8:$Q$294,10, 0)</f>
        <v>#N/A</v>
      </c>
      <c r="D377" s="409" t="e">
        <f>VLOOKUP(A377,Foundation!$B$8:$Q$277,12, 0)</f>
        <v>#N/A</v>
      </c>
      <c r="E377" s="409" t="e">
        <f>VLOOKUP(A377,'Erection Compiled '!$B$2:$R$340,10, 0)</f>
        <v>#N/A</v>
      </c>
      <c r="F377" s="409" t="e">
        <f>VLOOKUP(A377,Earthing!$C$7:$H$307,4, 0)</f>
        <v>#N/A</v>
      </c>
    </row>
    <row r="378" spans="1:6">
      <c r="A378" s="1002" t="s">
        <v>1309</v>
      </c>
      <c r="B378" s="989" t="s">
        <v>97</v>
      </c>
      <c r="C378" s="409" t="e">
        <f>VLOOKUP(A378,Foundation!$B$8:$Q$294,10, 0)</f>
        <v>#N/A</v>
      </c>
      <c r="D378" s="409" t="e">
        <f>VLOOKUP(A378,Foundation!$B$8:$Q$277,12, 0)</f>
        <v>#N/A</v>
      </c>
      <c r="E378" s="409" t="e">
        <f>VLOOKUP(A378,'Erection Compiled '!$B$2:$R$340,10, 0)</f>
        <v>#N/A</v>
      </c>
      <c r="F378" s="409" t="e">
        <f>VLOOKUP(A378,Earthing!$C$7:$H$307,4, 0)</f>
        <v>#N/A</v>
      </c>
    </row>
    <row r="379" spans="1:6">
      <c r="A379" s="1002" t="s">
        <v>159</v>
      </c>
      <c r="B379" s="989" t="s">
        <v>84</v>
      </c>
      <c r="C379" s="409" t="e">
        <f>VLOOKUP(A379,Foundation!$B$8:$Q$294,10, 0)</f>
        <v>#N/A</v>
      </c>
      <c r="D379" s="409" t="e">
        <f>VLOOKUP(A379,Foundation!$B$8:$Q$277,12, 0)</f>
        <v>#N/A</v>
      </c>
      <c r="E379" s="409" t="e">
        <f>VLOOKUP(A379,'Erection Compiled '!$B$2:$R$340,10, 0)</f>
        <v>#N/A</v>
      </c>
      <c r="F379" s="409" t="e">
        <f>VLOOKUP(A379,Earthing!$C$7:$H$307,4, 0)</f>
        <v>#N/A</v>
      </c>
    </row>
    <row r="380" spans="1:6">
      <c r="A380" s="1000" t="s">
        <v>1572</v>
      </c>
      <c r="B380" s="990" t="s">
        <v>1739</v>
      </c>
      <c r="C380" s="409" t="e">
        <f>VLOOKUP(A380,Foundation!$B$8:$Q$294,10, 0)</f>
        <v>#N/A</v>
      </c>
      <c r="D380" s="409" t="e">
        <f>VLOOKUP(A380,Foundation!$B$8:$Q$277,12, 0)</f>
        <v>#N/A</v>
      </c>
      <c r="E380" s="409" t="e">
        <f>VLOOKUP(A380,'Erection Compiled '!$B$2:$R$340,10, 0)</f>
        <v>#N/A</v>
      </c>
      <c r="F380" s="409" t="e">
        <f>VLOOKUP(A380,Earthing!$C$7:$H$307,4, 0)</f>
        <v>#N/A</v>
      </c>
    </row>
    <row r="381" spans="1:6">
      <c r="A381" s="1002" t="s">
        <v>1505</v>
      </c>
      <c r="B381" s="989" t="s">
        <v>132</v>
      </c>
      <c r="C381" s="409" t="e">
        <f>VLOOKUP(A381,Foundation!$B$8:$Q$294,10, 0)</f>
        <v>#N/A</v>
      </c>
      <c r="D381" s="409" t="e">
        <f>VLOOKUP(A381,Foundation!$B$8:$Q$277,12, 0)</f>
        <v>#N/A</v>
      </c>
      <c r="E381" s="409" t="e">
        <f>VLOOKUP(A381,'Erection Compiled '!$B$2:$R$340,10, 0)</f>
        <v>#N/A</v>
      </c>
      <c r="F381" s="409" t="e">
        <f>VLOOKUP(A381,Earthing!$C$7:$H$307,4, 0)</f>
        <v>#N/A</v>
      </c>
    </row>
    <row r="382" spans="1:6">
      <c r="A382" s="1002" t="s">
        <v>728</v>
      </c>
      <c r="B382" s="989" t="s">
        <v>147</v>
      </c>
      <c r="C382" s="409" t="e">
        <f>VLOOKUP(A382,Foundation!$B$8:$Q$294,10, 0)</f>
        <v>#N/A</v>
      </c>
      <c r="D382" s="409" t="e">
        <f>VLOOKUP(A382,Foundation!$B$8:$Q$277,12, 0)</f>
        <v>#N/A</v>
      </c>
      <c r="E382" s="409" t="e">
        <f>VLOOKUP(A382,'Erection Compiled '!$B$2:$R$340,10, 0)</f>
        <v>#N/A</v>
      </c>
      <c r="F382" s="409" t="e">
        <f>VLOOKUP(A382,Earthing!$C$7:$H$307,4, 0)</f>
        <v>#N/A</v>
      </c>
    </row>
    <row r="383" spans="1:6">
      <c r="A383" s="1002" t="s">
        <v>156</v>
      </c>
      <c r="B383" s="989" t="s">
        <v>157</v>
      </c>
      <c r="C383" s="409" t="e">
        <f>VLOOKUP(A383,Foundation!$B$8:$Q$294,10, 0)</f>
        <v>#N/A</v>
      </c>
      <c r="D383" s="409" t="e">
        <f>VLOOKUP(A383,Foundation!$B$8:$Q$277,12, 0)</f>
        <v>#N/A</v>
      </c>
      <c r="E383" s="409" t="e">
        <f>VLOOKUP(A383,'Erection Compiled '!$B$2:$R$340,10, 0)</f>
        <v>#N/A</v>
      </c>
      <c r="F383" s="409" t="e">
        <f>VLOOKUP(A383,Earthing!$C$7:$H$307,4, 0)</f>
        <v>#N/A</v>
      </c>
    </row>
    <row r="384" spans="1:6">
      <c r="A384" s="1000" t="s">
        <v>234</v>
      </c>
      <c r="B384" s="990" t="s">
        <v>1739</v>
      </c>
      <c r="C384" s="409" t="e">
        <f>VLOOKUP(A384,Foundation!$B$8:$Q$294,10, 0)</f>
        <v>#N/A</v>
      </c>
      <c r="D384" s="409" t="e">
        <f>VLOOKUP(A384,Foundation!$B$8:$Q$277,12, 0)</f>
        <v>#N/A</v>
      </c>
      <c r="E384" s="409" t="e">
        <f>VLOOKUP(A384,'Erection Compiled '!$B$2:$R$340,10, 0)</f>
        <v>#N/A</v>
      </c>
      <c r="F384" s="409" t="e">
        <f>VLOOKUP(A384,Earthing!$C$7:$H$307,4, 0)</f>
        <v>#N/A</v>
      </c>
    </row>
    <row r="385" spans="1:6">
      <c r="A385" s="1002" t="s">
        <v>720</v>
      </c>
      <c r="B385" s="989" t="s">
        <v>150</v>
      </c>
      <c r="C385" s="409" t="e">
        <f>VLOOKUP(A385,Foundation!$B$8:$Q$294,10, 0)</f>
        <v>#N/A</v>
      </c>
      <c r="D385" s="409" t="e">
        <f>VLOOKUP(A385,Foundation!$B$8:$Q$277,12, 0)</f>
        <v>#N/A</v>
      </c>
      <c r="E385" s="409" t="e">
        <f>VLOOKUP(A385,'Erection Compiled '!$B$2:$R$340,10, 0)</f>
        <v>#N/A</v>
      </c>
      <c r="F385" s="409" t="e">
        <f>VLOOKUP(A385,Earthing!$C$7:$H$307,4, 0)</f>
        <v>#N/A</v>
      </c>
    </row>
    <row r="386" spans="1:6">
      <c r="A386" s="1002" t="s">
        <v>833</v>
      </c>
      <c r="B386" s="989" t="s">
        <v>80</v>
      </c>
      <c r="C386" s="409" t="e">
        <f>VLOOKUP(A386,Foundation!$B$8:$Q$294,10, 0)</f>
        <v>#N/A</v>
      </c>
      <c r="D386" s="409" t="e">
        <f>VLOOKUP(A386,Foundation!$B$8:$Q$277,12, 0)</f>
        <v>#N/A</v>
      </c>
      <c r="E386" s="409" t="e">
        <f>VLOOKUP(A386,'Erection Compiled '!$B$2:$R$340,10, 0)</f>
        <v>#N/A</v>
      </c>
      <c r="F386" s="409" t="e">
        <f>VLOOKUP(A386,Earthing!$C$7:$H$307,4, 0)</f>
        <v>#N/A</v>
      </c>
    </row>
    <row r="387" spans="1:6">
      <c r="A387" s="1002" t="s">
        <v>162</v>
      </c>
      <c r="B387" s="989" t="s">
        <v>82</v>
      </c>
      <c r="C387" s="409" t="e">
        <f>VLOOKUP(A387,Foundation!$B$8:$Q$294,10, 0)</f>
        <v>#N/A</v>
      </c>
      <c r="D387" s="409" t="e">
        <f>VLOOKUP(A387,Foundation!$B$8:$Q$277,12, 0)</f>
        <v>#N/A</v>
      </c>
      <c r="E387" s="409" t="e">
        <f>VLOOKUP(A387,'Erection Compiled '!$B$2:$R$340,10, 0)</f>
        <v>#N/A</v>
      </c>
      <c r="F387" s="409" t="e">
        <f>VLOOKUP(A387,Earthing!$C$7:$H$307,4, 0)</f>
        <v>#N/A</v>
      </c>
    </row>
    <row r="388" spans="1:6">
      <c r="A388" s="1002" t="s">
        <v>151</v>
      </c>
      <c r="B388" s="989" t="s">
        <v>153</v>
      </c>
      <c r="C388" s="409" t="e">
        <f>VLOOKUP(A388,Foundation!$B$8:$Q$294,10, 0)</f>
        <v>#N/A</v>
      </c>
      <c r="D388" s="409" t="e">
        <f>VLOOKUP(A388,Foundation!$B$8:$Q$277,12, 0)</f>
        <v>#N/A</v>
      </c>
      <c r="E388" s="409" t="e">
        <f>VLOOKUP(A388,'Erection Compiled '!$B$2:$R$340,10, 0)</f>
        <v>#N/A</v>
      </c>
      <c r="F388" s="409" t="e">
        <f>VLOOKUP(A388,Earthing!$C$7:$H$307,4, 0)</f>
        <v>#N/A</v>
      </c>
    </row>
    <row r="389" spans="1:6">
      <c r="A389" s="1002" t="s">
        <v>725</v>
      </c>
      <c r="B389" s="989" t="s">
        <v>147</v>
      </c>
      <c r="C389" s="409" t="e">
        <f>VLOOKUP(A389,Foundation!$B$8:$Q$294,10, 0)</f>
        <v>#N/A</v>
      </c>
      <c r="D389" s="409" t="e">
        <f>VLOOKUP(A389,Foundation!$B$8:$Q$277,12, 0)</f>
        <v>#N/A</v>
      </c>
      <c r="E389" s="409" t="e">
        <f>VLOOKUP(A389,'Erection Compiled '!$B$2:$R$340,10, 0)</f>
        <v>#N/A</v>
      </c>
      <c r="F389" s="409" t="e">
        <f>VLOOKUP(A389,Earthing!$C$7:$H$307,4, 0)</f>
        <v>#N/A</v>
      </c>
    </row>
    <row r="390" spans="1:6">
      <c r="A390" s="998" t="s">
        <v>1286</v>
      </c>
      <c r="B390" s="987" t="s">
        <v>80</v>
      </c>
      <c r="C390" s="409" t="e">
        <f>VLOOKUP(A390,Foundation!$B$8:$Q$294,10, 0)</f>
        <v>#N/A</v>
      </c>
      <c r="D390" s="409" t="e">
        <f>VLOOKUP(A390,Foundation!$B$8:$Q$277,12, 0)</f>
        <v>#N/A</v>
      </c>
      <c r="E390" s="409" t="e">
        <f>VLOOKUP(A390,'Erection Compiled '!$B$2:$R$340,10, 0)</f>
        <v>#N/A</v>
      </c>
      <c r="F390" s="409" t="e">
        <f>VLOOKUP(A390,Earthing!$C$7:$H$307,4, 0)</f>
        <v>#N/A</v>
      </c>
    </row>
    <row r="391" spans="1:6">
      <c r="A391" s="1002" t="s">
        <v>139</v>
      </c>
      <c r="B391" s="989" t="s">
        <v>97</v>
      </c>
      <c r="C391" s="409" t="e">
        <f>VLOOKUP(A391,Foundation!$B$8:$Q$294,10, 0)</f>
        <v>#N/A</v>
      </c>
      <c r="D391" s="409" t="e">
        <f>VLOOKUP(A391,Foundation!$B$8:$Q$277,12, 0)</f>
        <v>#N/A</v>
      </c>
      <c r="E391" s="409" t="e">
        <f>VLOOKUP(A391,'Erection Compiled '!$B$2:$R$340,10, 0)</f>
        <v>#N/A</v>
      </c>
      <c r="F391" s="409" t="e">
        <f>VLOOKUP(A391,Earthing!$C$7:$H$307,4, 0)</f>
        <v>#N/A</v>
      </c>
    </row>
    <row r="392" spans="1:6">
      <c r="A392" s="1002" t="s">
        <v>719</v>
      </c>
      <c r="B392" s="989" t="s">
        <v>150</v>
      </c>
      <c r="C392" s="409" t="e">
        <f>VLOOKUP(A392,Foundation!$B$8:$Q$294,10, 0)</f>
        <v>#N/A</v>
      </c>
      <c r="D392" s="409" t="e">
        <f>VLOOKUP(A392,Foundation!$B$8:$Q$277,12, 0)</f>
        <v>#N/A</v>
      </c>
      <c r="E392" s="409" t="e">
        <f>VLOOKUP(A392,'Erection Compiled '!$B$2:$R$340,10, 0)</f>
        <v>#N/A</v>
      </c>
      <c r="F392" s="409" t="e">
        <f>VLOOKUP(A392,Earthing!$C$7:$H$307,4, 0)</f>
        <v>#N/A</v>
      </c>
    </row>
    <row r="393" spans="1:6">
      <c r="A393" s="1002" t="s">
        <v>1597</v>
      </c>
      <c r="B393" s="989" t="s">
        <v>90</v>
      </c>
      <c r="C393" s="409" t="e">
        <f>VLOOKUP(A393,Foundation!$B$8:$Q$294,10, 0)</f>
        <v>#N/A</v>
      </c>
      <c r="D393" s="409" t="e">
        <f>VLOOKUP(A393,Foundation!$B$8:$Q$277,12, 0)</f>
        <v>#N/A</v>
      </c>
      <c r="E393" s="409" t="e">
        <f>VLOOKUP(A393,'Erection Compiled '!$B$2:$R$340,10, 0)</f>
        <v>#N/A</v>
      </c>
      <c r="F393" s="409" t="e">
        <f>VLOOKUP(A393,Earthing!$C$7:$H$307,4, 0)</f>
        <v>#N/A</v>
      </c>
    </row>
    <row r="394" spans="1:6">
      <c r="A394" s="1002" t="s">
        <v>722</v>
      </c>
      <c r="B394" s="989" t="s">
        <v>147</v>
      </c>
      <c r="C394" s="409" t="e">
        <f>VLOOKUP(A394,Foundation!$B$8:$Q$294,10, 0)</f>
        <v>#N/A</v>
      </c>
      <c r="D394" s="409" t="e">
        <f>VLOOKUP(A394,Foundation!$B$8:$Q$277,12, 0)</f>
        <v>#N/A</v>
      </c>
      <c r="E394" s="409" t="e">
        <f>VLOOKUP(A394,'Erection Compiled '!$B$2:$R$340,10, 0)</f>
        <v>#N/A</v>
      </c>
      <c r="F394" s="409" t="e">
        <f>VLOOKUP(A394,Earthing!$C$7:$H$307,4, 0)</f>
        <v>#N/A</v>
      </c>
    </row>
    <row r="395" spans="1:6">
      <c r="A395" s="1002" t="s">
        <v>1304</v>
      </c>
      <c r="B395" s="989" t="s">
        <v>212</v>
      </c>
      <c r="C395" s="409" t="e">
        <f>VLOOKUP(A395,Foundation!$B$8:$Q$294,10, 0)</f>
        <v>#N/A</v>
      </c>
      <c r="D395" s="409" t="e">
        <f>VLOOKUP(A395,Foundation!$B$8:$Q$277,12, 0)</f>
        <v>#N/A</v>
      </c>
      <c r="E395" s="409" t="e">
        <f>VLOOKUP(A395,'Erection Compiled '!$B$2:$R$340,10, 0)</f>
        <v>#N/A</v>
      </c>
      <c r="F395" s="409" t="e">
        <f>VLOOKUP(A395,Earthing!$C$7:$H$307,4, 0)</f>
        <v>#N/A</v>
      </c>
    </row>
    <row r="396" spans="1:6">
      <c r="A396" s="1000" t="s">
        <v>344</v>
      </c>
      <c r="B396" s="990" t="s">
        <v>1740</v>
      </c>
      <c r="C396" s="409" t="e">
        <f>VLOOKUP(A396,Foundation!$B$8:$Q$294,10, 0)</f>
        <v>#N/A</v>
      </c>
      <c r="D396" s="409" t="e">
        <f>VLOOKUP(A396,Foundation!$B$8:$Q$277,12, 0)</f>
        <v>#N/A</v>
      </c>
      <c r="E396" s="409" t="e">
        <f>VLOOKUP(A396,'Erection Compiled '!$B$2:$R$340,10, 0)</f>
        <v>#N/A</v>
      </c>
      <c r="F396" s="409" t="e">
        <f>VLOOKUP(A396,Earthing!$C$7:$H$307,4, 0)</f>
        <v>#N/A</v>
      </c>
    </row>
    <row r="397" spans="1:6">
      <c r="A397" s="1002" t="s">
        <v>715</v>
      </c>
      <c r="B397" s="989" t="s">
        <v>150</v>
      </c>
      <c r="C397" s="409" t="e">
        <f>VLOOKUP(A397,Foundation!$B$8:$Q$294,10, 0)</f>
        <v>#N/A</v>
      </c>
      <c r="D397" s="409" t="e">
        <f>VLOOKUP(A397,Foundation!$B$8:$Q$277,12, 0)</f>
        <v>#N/A</v>
      </c>
      <c r="E397" s="409" t="e">
        <f>VLOOKUP(A397,'Erection Compiled '!$B$2:$R$340,10, 0)</f>
        <v>#N/A</v>
      </c>
      <c r="F397" s="409" t="e">
        <f>VLOOKUP(A397,Earthing!$C$7:$H$307,4, 0)</f>
        <v>#N/A</v>
      </c>
    </row>
    <row r="398" spans="1:6">
      <c r="A398" s="1002" t="s">
        <v>724</v>
      </c>
      <c r="B398" s="989" t="s">
        <v>147</v>
      </c>
      <c r="C398" s="409" t="e">
        <f>VLOOKUP(A398,Foundation!$B$8:$Q$294,10, 0)</f>
        <v>#N/A</v>
      </c>
      <c r="D398" s="409" t="e">
        <f>VLOOKUP(A398,Foundation!$B$8:$Q$277,12, 0)</f>
        <v>#N/A</v>
      </c>
      <c r="E398" s="409" t="e">
        <f>VLOOKUP(A398,'Erection Compiled '!$B$2:$R$340,10, 0)</f>
        <v>#N/A</v>
      </c>
      <c r="F398" s="409" t="e">
        <f>VLOOKUP(A398,Earthing!$C$7:$H$307,4, 0)</f>
        <v>#N/A</v>
      </c>
    </row>
    <row r="399" spans="1:6">
      <c r="A399" s="1002" t="s">
        <v>1299</v>
      </c>
      <c r="B399" s="989" t="s">
        <v>212</v>
      </c>
      <c r="C399" s="409" t="e">
        <f>VLOOKUP(A399,Foundation!$B$8:$Q$294,10, 0)</f>
        <v>#N/A</v>
      </c>
      <c r="D399" s="409" t="e">
        <f>VLOOKUP(A399,Foundation!$B$8:$Q$277,12, 0)</f>
        <v>#N/A</v>
      </c>
      <c r="E399" s="409" t="e">
        <f>VLOOKUP(A399,'Erection Compiled '!$B$2:$R$340,10, 0)</f>
        <v>#N/A</v>
      </c>
      <c r="F399" s="409" t="e">
        <f>VLOOKUP(A399,Earthing!$C$7:$H$307,4, 0)</f>
        <v>#N/A</v>
      </c>
    </row>
    <row r="400" spans="1:6">
      <c r="A400" s="1002" t="s">
        <v>429</v>
      </c>
      <c r="B400" s="989" t="s">
        <v>97</v>
      </c>
      <c r="C400" s="409" t="e">
        <f>VLOOKUP(A400,Foundation!$B$8:$Q$294,10, 0)</f>
        <v>#N/A</v>
      </c>
      <c r="D400" s="409" t="e">
        <f>VLOOKUP(A400,Foundation!$B$8:$Q$277,12, 0)</f>
        <v>#N/A</v>
      </c>
      <c r="E400" s="409" t="e">
        <f>VLOOKUP(A400,'Erection Compiled '!$B$2:$R$340,10, 0)</f>
        <v>#N/A</v>
      </c>
      <c r="F400" s="409" t="e">
        <f>VLOOKUP(A400,Earthing!$C$7:$H$307,4, 0)</f>
        <v>#N/A</v>
      </c>
    </row>
    <row r="401" spans="1:6">
      <c r="A401" s="1002" t="s">
        <v>1570</v>
      </c>
      <c r="B401" s="989" t="s">
        <v>80</v>
      </c>
      <c r="C401" s="409" t="e">
        <f>VLOOKUP(A401,Foundation!$B$8:$Q$294,10, 0)</f>
        <v>#N/A</v>
      </c>
      <c r="D401" s="409" t="e">
        <f>VLOOKUP(A401,Foundation!$B$8:$Q$277,12, 0)</f>
        <v>#N/A</v>
      </c>
      <c r="E401" s="409" t="e">
        <f>VLOOKUP(A401,'Erection Compiled '!$B$2:$R$340,10, 0)</f>
        <v>#N/A</v>
      </c>
      <c r="F401" s="409" t="e">
        <f>VLOOKUP(A401,Earthing!$C$7:$H$307,4, 0)</f>
        <v>#N/A</v>
      </c>
    </row>
    <row r="402" spans="1:6">
      <c r="A402" s="1002" t="s">
        <v>1606</v>
      </c>
      <c r="B402" s="989" t="s">
        <v>84</v>
      </c>
      <c r="C402" s="409" t="e">
        <f>VLOOKUP(A402,Foundation!$B$8:$Q$294,10, 0)</f>
        <v>#N/A</v>
      </c>
      <c r="D402" s="409" t="e">
        <f>VLOOKUP(A402,Foundation!$B$8:$Q$277,12, 0)</f>
        <v>#N/A</v>
      </c>
      <c r="E402" s="409" t="e">
        <f>VLOOKUP(A402,'Erection Compiled '!$B$2:$R$340,10, 0)</f>
        <v>#N/A</v>
      </c>
      <c r="F402" s="409" t="e">
        <f>VLOOKUP(A402,Earthing!$C$7:$H$307,4, 0)</f>
        <v>#N/A</v>
      </c>
    </row>
    <row r="403" spans="1:6">
      <c r="A403" s="1000" t="s">
        <v>123</v>
      </c>
      <c r="B403" s="990" t="s">
        <v>1731</v>
      </c>
      <c r="C403" s="409" t="e">
        <f>VLOOKUP(A403,Foundation!$B$8:$Q$294,10, 0)</f>
        <v>#N/A</v>
      </c>
      <c r="D403" s="409" t="e">
        <f>VLOOKUP(A403,Foundation!$B$8:$Q$277,12, 0)</f>
        <v>#N/A</v>
      </c>
      <c r="E403" s="409" t="e">
        <f>VLOOKUP(A403,'Erection Compiled '!$B$2:$R$340,10, 0)</f>
        <v>#N/A</v>
      </c>
      <c r="F403" s="409" t="e">
        <f>VLOOKUP(A403,Earthing!$C$7:$H$307,4, 0)</f>
        <v>#N/A</v>
      </c>
    </row>
    <row r="404" spans="1:6">
      <c r="A404" s="1002" t="s">
        <v>144</v>
      </c>
      <c r="B404" s="989" t="s">
        <v>80</v>
      </c>
      <c r="C404" s="409" t="e">
        <f>VLOOKUP(A404,Foundation!$B$8:$Q$294,10, 0)</f>
        <v>#N/A</v>
      </c>
      <c r="D404" s="409" t="e">
        <f>VLOOKUP(A404,Foundation!$B$8:$Q$277,12, 0)</f>
        <v>#N/A</v>
      </c>
      <c r="E404" s="409" t="e">
        <f>VLOOKUP(A404,'Erection Compiled '!$B$2:$R$340,10, 0)</f>
        <v>#N/A</v>
      </c>
      <c r="F404" s="409" t="e">
        <f>VLOOKUP(A404,Earthing!$C$7:$H$307,4, 0)</f>
        <v>#N/A</v>
      </c>
    </row>
    <row r="405" spans="1:6">
      <c r="A405" s="1002" t="s">
        <v>777</v>
      </c>
      <c r="B405" s="989" t="s">
        <v>147</v>
      </c>
      <c r="C405" s="409" t="e">
        <f>VLOOKUP(A405,Foundation!$B$8:$Q$294,10, 0)</f>
        <v>#N/A</v>
      </c>
      <c r="D405" s="409" t="e">
        <f>VLOOKUP(A405,Foundation!$B$8:$Q$277,12, 0)</f>
        <v>#N/A</v>
      </c>
      <c r="E405" s="409" t="e">
        <f>VLOOKUP(A405,'Erection Compiled '!$B$2:$R$340,10, 0)</f>
        <v>#N/A</v>
      </c>
      <c r="F405" s="409" t="e">
        <f>VLOOKUP(A405,Earthing!$C$7:$H$307,4, 0)</f>
        <v>#N/A</v>
      </c>
    </row>
    <row r="406" spans="1:6">
      <c r="A406" s="1002" t="s">
        <v>149</v>
      </c>
      <c r="B406" s="989" t="s">
        <v>90</v>
      </c>
      <c r="C406" s="409" t="e">
        <f>VLOOKUP(A406,Foundation!$B$8:$Q$294,10, 0)</f>
        <v>#N/A</v>
      </c>
      <c r="D406" s="409" t="e">
        <f>VLOOKUP(A406,Foundation!$B$8:$Q$277,12, 0)</f>
        <v>#N/A</v>
      </c>
      <c r="E406" s="409" t="e">
        <f>VLOOKUP(A406,'Erection Compiled '!$B$2:$R$340,10, 0)</f>
        <v>#N/A</v>
      </c>
      <c r="F406" s="409" t="e">
        <f>VLOOKUP(A406,Earthing!$C$7:$H$307,4, 0)</f>
        <v>#N/A</v>
      </c>
    </row>
    <row r="407" spans="1:6">
      <c r="A407" s="1002" t="s">
        <v>1589</v>
      </c>
      <c r="B407" s="989" t="s">
        <v>102</v>
      </c>
      <c r="C407" s="409" t="e">
        <f>VLOOKUP(A407,Foundation!$B$8:$Q$294,10, 0)</f>
        <v>#N/A</v>
      </c>
      <c r="D407" s="409" t="e">
        <f>VLOOKUP(A407,Foundation!$B$8:$Q$277,12, 0)</f>
        <v>#N/A</v>
      </c>
      <c r="E407" s="409" t="e">
        <f>VLOOKUP(A407,'Erection Compiled '!$B$2:$R$340,10, 0)</f>
        <v>#N/A</v>
      </c>
      <c r="F407" s="409" t="e">
        <f>VLOOKUP(A407,Earthing!$C$7:$H$307,4, 0)</f>
        <v>#N/A</v>
      </c>
    </row>
    <row r="408" spans="1:6">
      <c r="A408" s="1002" t="s">
        <v>778</v>
      </c>
      <c r="B408" s="989" t="s">
        <v>147</v>
      </c>
      <c r="C408" s="409" t="e">
        <f>VLOOKUP(A408,Foundation!$B$8:$Q$294,10, 0)</f>
        <v>#N/A</v>
      </c>
      <c r="D408" s="409" t="e">
        <f>VLOOKUP(A408,Foundation!$B$8:$Q$277,12, 0)</f>
        <v>#N/A</v>
      </c>
      <c r="E408" s="409" t="e">
        <f>VLOOKUP(A408,'Erection Compiled '!$B$2:$R$340,10, 0)</f>
        <v>#N/A</v>
      </c>
      <c r="F408" s="409" t="e">
        <f>VLOOKUP(A408,Earthing!$C$7:$H$307,4, 0)</f>
        <v>#N/A</v>
      </c>
    </row>
    <row r="409" spans="1:6">
      <c r="A409" s="1002" t="s">
        <v>1565</v>
      </c>
      <c r="B409" s="989" t="s">
        <v>88</v>
      </c>
      <c r="C409" s="409" t="e">
        <f>VLOOKUP(A409,Foundation!$B$8:$Q$294,10, 0)</f>
        <v>#N/A</v>
      </c>
      <c r="D409" s="409" t="e">
        <f>VLOOKUP(A409,Foundation!$B$8:$Q$277,12, 0)</f>
        <v>#N/A</v>
      </c>
      <c r="E409" s="409" t="e">
        <f>VLOOKUP(A409,'Erection Compiled '!$B$2:$R$340,10, 0)</f>
        <v>#N/A</v>
      </c>
      <c r="F409" s="409" t="e">
        <f>VLOOKUP(A409,Earthing!$C$7:$H$307,4, 0)</f>
        <v>#N/A</v>
      </c>
    </row>
    <row r="410" spans="1:6">
      <c r="A410" s="1002" t="s">
        <v>782</v>
      </c>
      <c r="B410" s="989" t="s">
        <v>147</v>
      </c>
      <c r="C410" s="409" t="e">
        <f>VLOOKUP(A410,Foundation!$B$8:$Q$294,10, 0)</f>
        <v>#N/A</v>
      </c>
      <c r="D410" s="409" t="e">
        <f>VLOOKUP(A410,Foundation!$B$8:$Q$277,12, 0)</f>
        <v>#N/A</v>
      </c>
      <c r="E410" s="409" t="e">
        <f>VLOOKUP(A410,'Erection Compiled '!$B$2:$R$340,10, 0)</f>
        <v>#N/A</v>
      </c>
      <c r="F410" s="409" t="e">
        <f>VLOOKUP(A410,Earthing!$C$7:$H$307,4, 0)</f>
        <v>#N/A</v>
      </c>
    </row>
    <row r="411" spans="1:6">
      <c r="A411" s="1002" t="s">
        <v>1300</v>
      </c>
      <c r="B411" s="989" t="s">
        <v>150</v>
      </c>
      <c r="C411" s="409" t="e">
        <f>VLOOKUP(A411,Foundation!$B$8:$Q$294,10, 0)</f>
        <v>#N/A</v>
      </c>
      <c r="D411" s="409" t="e">
        <f>VLOOKUP(A411,Foundation!$B$8:$Q$277,12, 0)</f>
        <v>#N/A</v>
      </c>
      <c r="E411" s="409" t="e">
        <f>VLOOKUP(A411,'Erection Compiled '!$B$2:$R$340,10, 0)</f>
        <v>#N/A</v>
      </c>
      <c r="F411" s="409" t="e">
        <f>VLOOKUP(A411,Earthing!$C$7:$H$307,4, 0)</f>
        <v>#N/A</v>
      </c>
    </row>
    <row r="412" spans="1:6">
      <c r="A412" s="1002" t="s">
        <v>779</v>
      </c>
      <c r="B412" s="989" t="s">
        <v>147</v>
      </c>
      <c r="C412" s="409" t="e">
        <f>VLOOKUP(A412,Foundation!$B$8:$Q$294,10, 0)</f>
        <v>#N/A</v>
      </c>
      <c r="D412" s="409" t="e">
        <f>VLOOKUP(A412,Foundation!$B$8:$Q$277,12, 0)</f>
        <v>#N/A</v>
      </c>
      <c r="E412" s="409" t="e">
        <f>VLOOKUP(A412,'Erection Compiled '!$B$2:$R$340,10, 0)</f>
        <v>#N/A</v>
      </c>
      <c r="F412" s="409" t="e">
        <f>VLOOKUP(A412,Earthing!$C$7:$H$307,4, 0)</f>
        <v>#N/A</v>
      </c>
    </row>
    <row r="413" spans="1:6">
      <c r="A413" s="1000" t="s">
        <v>1757</v>
      </c>
      <c r="B413" s="992" t="s">
        <v>147</v>
      </c>
      <c r="C413" s="409" t="e">
        <f>VLOOKUP(A413,Foundation!$B$8:$Q$294,10, 0)</f>
        <v>#N/A</v>
      </c>
      <c r="D413" s="409" t="e">
        <f>VLOOKUP(A413,Foundation!$B$8:$Q$277,12, 0)</f>
        <v>#N/A</v>
      </c>
      <c r="E413" s="409" t="e">
        <f>VLOOKUP(A413,'Erection Compiled '!$B$2:$R$340,10, 0)</f>
        <v>#N/A</v>
      </c>
      <c r="F413" s="409" t="e">
        <f>VLOOKUP(A413,Earthing!$C$7:$H$307,4, 0)</f>
        <v>#N/A</v>
      </c>
    </row>
    <row r="414" spans="1:6">
      <c r="A414" s="1002" t="s">
        <v>738</v>
      </c>
      <c r="B414" s="989" t="s">
        <v>147</v>
      </c>
      <c r="C414" s="409" t="e">
        <f>VLOOKUP(A414,Foundation!$B$8:$Q$294,10, 0)</f>
        <v>#N/A</v>
      </c>
      <c r="D414" s="409" t="e">
        <f>VLOOKUP(A414,Foundation!$B$8:$Q$277,12, 0)</f>
        <v>#N/A</v>
      </c>
      <c r="E414" s="409" t="e">
        <f>VLOOKUP(A414,'Erection Compiled '!$B$2:$R$340,10, 0)</f>
        <v>#N/A</v>
      </c>
      <c r="F414" s="409" t="e">
        <f>VLOOKUP(A414,Earthing!$C$7:$H$307,4, 0)</f>
        <v>#N/A</v>
      </c>
    </row>
    <row r="415" spans="1:6">
      <c r="A415" s="1002" t="s">
        <v>152</v>
      </c>
      <c r="B415" s="989" t="s">
        <v>153</v>
      </c>
      <c r="C415" s="409" t="e">
        <f>VLOOKUP(A415,Foundation!$B$8:$Q$294,10, 0)</f>
        <v>#N/A</v>
      </c>
      <c r="D415" s="409" t="e">
        <f>VLOOKUP(A415,Foundation!$B$8:$Q$277,12, 0)</f>
        <v>#N/A</v>
      </c>
      <c r="E415" s="409" t="e">
        <f>VLOOKUP(A415,'Erection Compiled '!$B$2:$R$340,10, 0)</f>
        <v>#N/A</v>
      </c>
      <c r="F415" s="409" t="e">
        <f>VLOOKUP(A415,Earthing!$C$7:$H$307,4, 0)</f>
        <v>#N/A</v>
      </c>
    </row>
    <row r="416" spans="1:6">
      <c r="A416" s="1002" t="s">
        <v>1303</v>
      </c>
      <c r="B416" s="989" t="s">
        <v>90</v>
      </c>
      <c r="C416" s="409" t="e">
        <f>VLOOKUP(A416,Foundation!$B$8:$Q$294,10, 0)</f>
        <v>#N/A</v>
      </c>
      <c r="D416" s="409" t="e">
        <f>VLOOKUP(A416,Foundation!$B$8:$Q$277,12, 0)</f>
        <v>#N/A</v>
      </c>
      <c r="E416" s="409" t="e">
        <f>VLOOKUP(A416,'Erection Compiled '!$B$2:$R$340,10, 0)</f>
        <v>#N/A</v>
      </c>
      <c r="F416" s="409" t="e">
        <f>VLOOKUP(A416,Earthing!$C$7:$H$307,4, 0)</f>
        <v>#N/A</v>
      </c>
    </row>
    <row r="417" spans="1:6">
      <c r="A417" s="1002" t="s">
        <v>774</v>
      </c>
      <c r="B417" s="989" t="s">
        <v>147</v>
      </c>
      <c r="C417" s="409" t="e">
        <f>VLOOKUP(A417,Foundation!$B$8:$Q$294,10, 0)</f>
        <v>#N/A</v>
      </c>
      <c r="D417" s="409" t="e">
        <f>VLOOKUP(A417,Foundation!$B$8:$Q$277,12, 0)</f>
        <v>#N/A</v>
      </c>
      <c r="E417" s="409" t="e">
        <f>VLOOKUP(A417,'Erection Compiled '!$B$2:$R$340,10, 0)</f>
        <v>#N/A</v>
      </c>
      <c r="F417" s="409" t="e">
        <f>VLOOKUP(A417,Earthing!$C$7:$H$307,4, 0)</f>
        <v>#N/A</v>
      </c>
    </row>
    <row r="418" spans="1:6">
      <c r="A418" s="1002" t="s">
        <v>781</v>
      </c>
      <c r="B418" s="989" t="s">
        <v>147</v>
      </c>
      <c r="C418" s="409" t="e">
        <f>VLOOKUP(A418,Foundation!$B$8:$Q$294,10, 0)</f>
        <v>#N/A</v>
      </c>
      <c r="D418" s="409" t="e">
        <f>VLOOKUP(A418,Foundation!$B$8:$Q$277,12, 0)</f>
        <v>#N/A</v>
      </c>
      <c r="E418" s="409" t="e">
        <f>VLOOKUP(A418,'Erection Compiled '!$B$2:$R$340,10, 0)</f>
        <v>#N/A</v>
      </c>
      <c r="F418" s="409" t="e">
        <f>VLOOKUP(A418,Earthing!$C$7:$H$307,4, 0)</f>
        <v>#N/A</v>
      </c>
    </row>
    <row r="419" spans="1:6">
      <c r="A419" s="1002" t="s">
        <v>145</v>
      </c>
      <c r="B419" s="989" t="s">
        <v>147</v>
      </c>
      <c r="C419" s="409" t="e">
        <f>VLOOKUP(A419,Foundation!$B$8:$Q$294,10, 0)</f>
        <v>#N/A</v>
      </c>
      <c r="D419" s="409" t="e">
        <f>VLOOKUP(A419,Foundation!$B$8:$Q$277,12, 0)</f>
        <v>#N/A</v>
      </c>
      <c r="E419" s="409" t="e">
        <f>VLOOKUP(A419,'Erection Compiled '!$B$2:$R$340,10, 0)</f>
        <v>#N/A</v>
      </c>
      <c r="F419" s="409" t="e">
        <f>VLOOKUP(A419,Earthing!$C$7:$H$307,4, 0)</f>
        <v>#N/A</v>
      </c>
    </row>
    <row r="420" spans="1:6">
      <c r="A420" s="1002" t="s">
        <v>746</v>
      </c>
      <c r="B420" s="989" t="s">
        <v>147</v>
      </c>
      <c r="C420" s="409" t="e">
        <f>VLOOKUP(A420,Foundation!$B$8:$Q$294,10, 0)</f>
        <v>#N/A</v>
      </c>
      <c r="D420" s="409" t="e">
        <f>VLOOKUP(A420,Foundation!$B$8:$Q$277,12, 0)</f>
        <v>#N/A</v>
      </c>
      <c r="E420" s="409" t="e">
        <f>VLOOKUP(A420,'Erection Compiled '!$B$2:$R$340,10, 0)</f>
        <v>#N/A</v>
      </c>
      <c r="F420" s="409" t="e">
        <f>VLOOKUP(A420,Earthing!$C$7:$H$307,4, 0)</f>
        <v>#N/A</v>
      </c>
    </row>
    <row r="421" spans="1:6">
      <c r="A421" s="1002" t="s">
        <v>775</v>
      </c>
      <c r="B421" s="989" t="s">
        <v>147</v>
      </c>
      <c r="C421" s="409" t="e">
        <f>VLOOKUP(A421,Foundation!$B$8:$Q$294,10, 0)</f>
        <v>#N/A</v>
      </c>
      <c r="D421" s="409" t="e">
        <f>VLOOKUP(A421,Foundation!$B$8:$Q$277,12, 0)</f>
        <v>#N/A</v>
      </c>
      <c r="E421" s="409" t="e">
        <f>VLOOKUP(A421,'Erection Compiled '!$B$2:$R$340,10, 0)</f>
        <v>#N/A</v>
      </c>
      <c r="F421" s="409" t="e">
        <f>VLOOKUP(A421,Earthing!$C$7:$H$307,4, 0)</f>
        <v>#N/A</v>
      </c>
    </row>
    <row r="422" spans="1:6">
      <c r="A422" s="1002" t="s">
        <v>1249</v>
      </c>
      <c r="B422" s="989" t="s">
        <v>147</v>
      </c>
      <c r="C422" s="409" t="e">
        <f>VLOOKUP(A422,Foundation!$B$8:$Q$294,10, 0)</f>
        <v>#N/A</v>
      </c>
      <c r="D422" s="409" t="e">
        <f>VLOOKUP(A422,Foundation!$B$8:$Q$277,12, 0)</f>
        <v>#N/A</v>
      </c>
      <c r="E422" s="409" t="e">
        <f>VLOOKUP(A422,'Erection Compiled '!$B$2:$R$340,10, 0)</f>
        <v>#N/A</v>
      </c>
      <c r="F422" s="409" t="e">
        <f>VLOOKUP(A422,Earthing!$C$7:$H$307,4, 0)</f>
        <v>#N/A</v>
      </c>
    </row>
    <row r="423" spans="1:6">
      <c r="A423" s="1002" t="s">
        <v>695</v>
      </c>
      <c r="B423" s="989" t="s">
        <v>80</v>
      </c>
      <c r="C423" s="409" t="e">
        <f>VLOOKUP(A423,Foundation!$B$8:$Q$294,10, 0)</f>
        <v>#N/A</v>
      </c>
      <c r="D423" s="409" t="e">
        <f>VLOOKUP(A423,Foundation!$B$8:$Q$277,12, 0)</f>
        <v>#N/A</v>
      </c>
      <c r="E423" s="409" t="e">
        <f>VLOOKUP(A423,'Erection Compiled '!$B$2:$R$340,10, 0)</f>
        <v>#N/A</v>
      </c>
      <c r="F423" s="409" t="e">
        <f>VLOOKUP(A423,Earthing!$C$7:$H$307,4, 0)</f>
        <v>#N/A</v>
      </c>
    </row>
    <row r="424" spans="1:6">
      <c r="A424" s="1002" t="s">
        <v>745</v>
      </c>
      <c r="B424" s="989" t="s">
        <v>147</v>
      </c>
      <c r="C424" s="409" t="e">
        <f>VLOOKUP(A424,Foundation!$B$8:$Q$294,10, 0)</f>
        <v>#N/A</v>
      </c>
      <c r="D424" s="409" t="e">
        <f>VLOOKUP(A424,Foundation!$B$8:$Q$277,12, 0)</f>
        <v>#N/A</v>
      </c>
      <c r="E424" s="409" t="e">
        <f>VLOOKUP(A424,'Erection Compiled '!$B$2:$R$340,10, 0)</f>
        <v>#N/A</v>
      </c>
      <c r="F424" s="409" t="e">
        <f>VLOOKUP(A424,Earthing!$C$7:$H$307,4, 0)</f>
        <v>#N/A</v>
      </c>
    </row>
    <row r="425" spans="1:6">
      <c r="A425" s="1002" t="s">
        <v>154</v>
      </c>
      <c r="B425" s="989" t="s">
        <v>80</v>
      </c>
      <c r="C425" s="409" t="e">
        <f>VLOOKUP(A425,Foundation!$B$8:$Q$294,10, 0)</f>
        <v>#N/A</v>
      </c>
      <c r="D425" s="409" t="e">
        <f>VLOOKUP(A425,Foundation!$B$8:$Q$277,12, 0)</f>
        <v>#N/A</v>
      </c>
      <c r="E425" s="409" t="e">
        <f>VLOOKUP(A425,'Erection Compiled '!$B$2:$R$340,10, 0)</f>
        <v>#N/A</v>
      </c>
      <c r="F425" s="409" t="e">
        <f>VLOOKUP(A425,Earthing!$C$7:$H$307,4, 0)</f>
        <v>#N/A</v>
      </c>
    </row>
    <row r="426" spans="1:6">
      <c r="A426" s="998" t="s">
        <v>385</v>
      </c>
      <c r="B426" s="987" t="s">
        <v>80</v>
      </c>
      <c r="C426" s="409" t="e">
        <f>VLOOKUP(A426,Foundation!$B$8:$Q$294,10, 0)</f>
        <v>#N/A</v>
      </c>
      <c r="D426" s="409" t="e">
        <f>VLOOKUP(A426,Foundation!$B$8:$Q$277,12, 0)</f>
        <v>#N/A</v>
      </c>
      <c r="E426" s="409" t="e">
        <f>VLOOKUP(A426,'Erection Compiled '!$B$2:$R$340,10, 0)</f>
        <v>#N/A</v>
      </c>
      <c r="F426" s="409" t="e">
        <f>VLOOKUP(A426,Earthing!$C$7:$H$307,4, 0)</f>
        <v>#N/A</v>
      </c>
    </row>
    <row r="427" spans="1:6">
      <c r="A427" s="1002" t="s">
        <v>727</v>
      </c>
      <c r="B427" s="989" t="s">
        <v>147</v>
      </c>
      <c r="C427" s="409" t="e">
        <f>VLOOKUP(A427,Foundation!$B$8:$Q$294,10, 0)</f>
        <v>#N/A</v>
      </c>
      <c r="D427" s="409" t="e">
        <f>VLOOKUP(A427,Foundation!$B$8:$Q$277,12, 0)</f>
        <v>#N/A</v>
      </c>
      <c r="E427" s="409" t="e">
        <f>VLOOKUP(A427,'Erection Compiled '!$B$2:$R$340,10, 0)</f>
        <v>#N/A</v>
      </c>
      <c r="F427" s="409" t="e">
        <f>VLOOKUP(A427,Earthing!$C$7:$H$307,4, 0)</f>
        <v>#N/A</v>
      </c>
    </row>
    <row r="428" spans="1:6">
      <c r="A428" s="1002" t="s">
        <v>776</v>
      </c>
      <c r="B428" s="989" t="s">
        <v>147</v>
      </c>
      <c r="C428" s="409" t="e">
        <f>VLOOKUP(A428,Foundation!$B$8:$Q$294,10, 0)</f>
        <v>#N/A</v>
      </c>
      <c r="D428" s="409" t="e">
        <f>VLOOKUP(A428,Foundation!$B$8:$Q$277,12, 0)</f>
        <v>#N/A</v>
      </c>
      <c r="E428" s="409" t="e">
        <f>VLOOKUP(A428,'Erection Compiled '!$B$2:$R$340,10, 0)</f>
        <v>#N/A</v>
      </c>
      <c r="F428" s="409" t="e">
        <f>VLOOKUP(A428,Earthing!$C$7:$H$307,4, 0)</f>
        <v>#N/A</v>
      </c>
    </row>
    <row r="429" spans="1:6">
      <c r="A429" s="1002" t="s">
        <v>1305</v>
      </c>
      <c r="B429" s="989" t="s">
        <v>90</v>
      </c>
      <c r="C429" s="409" t="e">
        <f>VLOOKUP(A429,Foundation!$B$8:$Q$294,10, 0)</f>
        <v>#N/A</v>
      </c>
      <c r="D429" s="409" t="e">
        <f>VLOOKUP(A429,Foundation!$B$8:$Q$277,12, 0)</f>
        <v>#N/A</v>
      </c>
      <c r="E429" s="409" t="e">
        <f>VLOOKUP(A429,'Erection Compiled '!$B$2:$R$340,10, 0)</f>
        <v>#N/A</v>
      </c>
      <c r="F429" s="409" t="e">
        <f>VLOOKUP(A429,Earthing!$C$7:$H$307,4, 0)</f>
        <v>#N/A</v>
      </c>
    </row>
    <row r="430" spans="1:6">
      <c r="A430" s="1002" t="s">
        <v>1519</v>
      </c>
      <c r="B430" s="989" t="s">
        <v>80</v>
      </c>
      <c r="C430" s="409" t="e">
        <f>VLOOKUP(A430,Foundation!$B$8:$Q$294,10, 0)</f>
        <v>#N/A</v>
      </c>
      <c r="D430" s="409" t="e">
        <f>VLOOKUP(A430,Foundation!$B$8:$Q$277,12, 0)</f>
        <v>#N/A</v>
      </c>
      <c r="E430" s="409" t="e">
        <f>VLOOKUP(A430,'Erection Compiled '!$B$2:$R$340,10, 0)</f>
        <v>#N/A</v>
      </c>
      <c r="F430" s="409" t="e">
        <f>VLOOKUP(A430,Earthing!$C$7:$H$307,4, 0)</f>
        <v>#N/A</v>
      </c>
    </row>
    <row r="431" spans="1:6">
      <c r="A431" s="1002" t="s">
        <v>744</v>
      </c>
      <c r="B431" s="989" t="s">
        <v>147</v>
      </c>
      <c r="C431" s="409" t="e">
        <f>VLOOKUP(A431,Foundation!$B$8:$Q$294,10, 0)</f>
        <v>#N/A</v>
      </c>
      <c r="D431" s="409" t="e">
        <f>VLOOKUP(A431,Foundation!$B$8:$Q$277,12, 0)</f>
        <v>#N/A</v>
      </c>
      <c r="E431" s="409" t="e">
        <f>VLOOKUP(A431,'Erection Compiled '!$B$2:$R$340,10, 0)</f>
        <v>#N/A</v>
      </c>
      <c r="F431" s="409" t="e">
        <f>VLOOKUP(A431,Earthing!$C$7:$H$307,4, 0)</f>
        <v>#N/A</v>
      </c>
    </row>
    <row r="432" spans="1:6">
      <c r="A432" s="1002" t="s">
        <v>158</v>
      </c>
      <c r="B432" s="989" t="s">
        <v>80</v>
      </c>
      <c r="C432" s="409" t="e">
        <f>VLOOKUP(A432,Foundation!$B$8:$Q$294,10, 0)</f>
        <v>#N/A</v>
      </c>
      <c r="D432" s="409" t="e">
        <f>VLOOKUP(A432,Foundation!$B$8:$Q$277,12, 0)</f>
        <v>#N/A</v>
      </c>
      <c r="E432" s="409" t="e">
        <f>VLOOKUP(A432,'Erection Compiled '!$B$2:$R$340,10, 0)</f>
        <v>#N/A</v>
      </c>
      <c r="F432" s="409" t="e">
        <f>VLOOKUP(A432,Earthing!$C$7:$H$307,4, 0)</f>
        <v>#N/A</v>
      </c>
    </row>
    <row r="433" spans="1:6">
      <c r="A433" s="1002" t="s">
        <v>731</v>
      </c>
      <c r="B433" s="989" t="s">
        <v>206</v>
      </c>
      <c r="C433" s="409" t="e">
        <f>VLOOKUP(A433,Foundation!$B$8:$Q$294,10, 0)</f>
        <v>#N/A</v>
      </c>
      <c r="D433" s="409" t="e">
        <f>VLOOKUP(A433,Foundation!$B$8:$Q$277,12, 0)</f>
        <v>#N/A</v>
      </c>
      <c r="E433" s="409" t="e">
        <f>VLOOKUP(A433,'Erection Compiled '!$B$2:$R$340,10, 0)</f>
        <v>#N/A</v>
      </c>
      <c r="F433" s="409" t="e">
        <f>VLOOKUP(A433,Earthing!$C$7:$H$307,4, 0)</f>
        <v>#N/A</v>
      </c>
    </row>
    <row r="434" spans="1:6">
      <c r="A434" s="1002" t="s">
        <v>752</v>
      </c>
      <c r="B434" s="989" t="s">
        <v>150</v>
      </c>
      <c r="C434" s="409" t="e">
        <f>VLOOKUP(A434,Foundation!$B$8:$Q$294,10, 0)</f>
        <v>#N/A</v>
      </c>
      <c r="D434" s="409" t="e">
        <f>VLOOKUP(A434,Foundation!$B$8:$Q$277,12, 0)</f>
        <v>#N/A</v>
      </c>
      <c r="E434" s="409" t="e">
        <f>VLOOKUP(A434,'Erection Compiled '!$B$2:$R$340,10, 0)</f>
        <v>#N/A</v>
      </c>
      <c r="F434" s="409" t="e">
        <f>VLOOKUP(A434,Earthing!$C$7:$H$307,4, 0)</f>
        <v>#N/A</v>
      </c>
    </row>
    <row r="435" spans="1:6">
      <c r="A435" s="1002" t="s">
        <v>751</v>
      </c>
      <c r="B435" s="989" t="s">
        <v>150</v>
      </c>
      <c r="C435" s="409" t="e">
        <f>VLOOKUP(A435,Foundation!$B$8:$Q$294,10, 0)</f>
        <v>#N/A</v>
      </c>
      <c r="D435" s="409" t="e">
        <f>VLOOKUP(A435,Foundation!$B$8:$Q$277,12, 0)</f>
        <v>#N/A</v>
      </c>
      <c r="E435" s="409" t="e">
        <f>VLOOKUP(A435,'Erection Compiled '!$B$2:$R$340,10, 0)</f>
        <v>#N/A</v>
      </c>
      <c r="F435" s="409" t="e">
        <f>VLOOKUP(A435,Earthing!$C$7:$H$307,4, 0)</f>
        <v>#N/A</v>
      </c>
    </row>
    <row r="436" spans="1:6">
      <c r="A436" s="1002" t="s">
        <v>1495</v>
      </c>
      <c r="B436" s="989" t="s">
        <v>80</v>
      </c>
      <c r="C436" s="409" t="e">
        <f>VLOOKUP(A436,Foundation!$B$8:$Q$294,10, 0)</f>
        <v>#N/A</v>
      </c>
      <c r="D436" s="409" t="e">
        <f>VLOOKUP(A436,Foundation!$B$8:$Q$277,12, 0)</f>
        <v>#N/A</v>
      </c>
      <c r="E436" s="409" t="e">
        <f>VLOOKUP(A436,'Erection Compiled '!$B$2:$R$340,10, 0)</f>
        <v>#N/A</v>
      </c>
      <c r="F436" s="409" t="e">
        <f>VLOOKUP(A436,Earthing!$C$7:$H$307,4, 0)</f>
        <v>#N/A</v>
      </c>
    </row>
    <row r="437" spans="1:6">
      <c r="A437" s="1002" t="s">
        <v>1571</v>
      </c>
      <c r="B437" s="989" t="s">
        <v>90</v>
      </c>
      <c r="C437" s="409" t="e">
        <f>VLOOKUP(A437,Foundation!$B$8:$Q$294,10, 0)</f>
        <v>#N/A</v>
      </c>
      <c r="D437" s="409" t="e">
        <f>VLOOKUP(A437,Foundation!$B$8:$Q$277,12, 0)</f>
        <v>#N/A</v>
      </c>
      <c r="E437" s="409" t="e">
        <f>VLOOKUP(A437,'Erection Compiled '!$B$2:$R$340,10, 0)</f>
        <v>#N/A</v>
      </c>
      <c r="F437" s="409" t="e">
        <f>VLOOKUP(A437,Earthing!$C$7:$H$307,4, 0)</f>
        <v>#N/A</v>
      </c>
    </row>
    <row r="438" spans="1:6">
      <c r="A438" s="1002" t="s">
        <v>155</v>
      </c>
      <c r="B438" s="989" t="s">
        <v>157</v>
      </c>
      <c r="C438" s="409" t="e">
        <f>VLOOKUP(A438,Foundation!$B$8:$Q$294,10, 0)</f>
        <v>#N/A</v>
      </c>
      <c r="D438" s="409" t="e">
        <f>VLOOKUP(A438,Foundation!$B$8:$Q$277,12, 0)</f>
        <v>#N/A</v>
      </c>
      <c r="E438" s="409" t="e">
        <f>VLOOKUP(A438,'Erection Compiled '!$B$2:$R$340,10, 0)</f>
        <v>#N/A</v>
      </c>
      <c r="F438" s="409" t="e">
        <f>VLOOKUP(A438,Earthing!$C$7:$H$307,4, 0)</f>
        <v>#N/A</v>
      </c>
    </row>
    <row r="439" spans="1:6">
      <c r="A439" s="1002" t="s">
        <v>1560</v>
      </c>
      <c r="B439" s="989" t="s">
        <v>90</v>
      </c>
      <c r="C439" s="409" t="e">
        <f>VLOOKUP(A439,Foundation!$B$8:$Q$294,10, 0)</f>
        <v>#N/A</v>
      </c>
      <c r="D439" s="409" t="e">
        <f>VLOOKUP(A439,Foundation!$B$8:$Q$277,12, 0)</f>
        <v>#N/A</v>
      </c>
      <c r="E439" s="409" t="e">
        <f>VLOOKUP(A439,'Erection Compiled '!$B$2:$R$340,10, 0)</f>
        <v>#N/A</v>
      </c>
      <c r="F439" s="409" t="e">
        <f>VLOOKUP(A439,Earthing!$C$7:$H$307,4, 0)</f>
        <v>#N/A</v>
      </c>
    </row>
    <row r="440" spans="1:6">
      <c r="A440" s="1002" t="s">
        <v>1526</v>
      </c>
      <c r="B440" s="989" t="s">
        <v>102</v>
      </c>
      <c r="C440" s="409" t="e">
        <f>VLOOKUP(A440,Foundation!$B$8:$Q$294,10, 0)</f>
        <v>#N/A</v>
      </c>
      <c r="D440" s="409" t="e">
        <f>VLOOKUP(A440,Foundation!$B$8:$Q$277,12, 0)</f>
        <v>#N/A</v>
      </c>
      <c r="E440" s="409" t="e">
        <f>VLOOKUP(A440,'Erection Compiled '!$B$2:$R$340,10, 0)</f>
        <v>#N/A</v>
      </c>
      <c r="F440" s="409" t="e">
        <f>VLOOKUP(A440,Earthing!$C$7:$H$307,4, 0)</f>
        <v>#N/A</v>
      </c>
    </row>
    <row r="441" spans="1:6">
      <c r="A441" s="1002" t="s">
        <v>730</v>
      </c>
      <c r="B441" s="989" t="s">
        <v>147</v>
      </c>
      <c r="C441" s="409" t="e">
        <f>VLOOKUP(A441,Foundation!$B$8:$Q$294,10, 0)</f>
        <v>#N/A</v>
      </c>
      <c r="D441" s="409" t="e">
        <f>VLOOKUP(A441,Foundation!$B$8:$Q$277,12, 0)</f>
        <v>#N/A</v>
      </c>
      <c r="E441" s="409" t="e">
        <f>VLOOKUP(A441,'Erection Compiled '!$B$2:$R$340,10, 0)</f>
        <v>#N/A</v>
      </c>
      <c r="F441" s="409" t="e">
        <f>VLOOKUP(A441,Earthing!$C$7:$H$307,4, 0)</f>
        <v>#N/A</v>
      </c>
    </row>
    <row r="442" spans="1:6">
      <c r="A442" s="1002" t="s">
        <v>773</v>
      </c>
      <c r="B442" s="989" t="s">
        <v>147</v>
      </c>
      <c r="C442" s="409" t="e">
        <f>VLOOKUP(A442,Foundation!$B$8:$Q$294,10, 0)</f>
        <v>#N/A</v>
      </c>
      <c r="D442" s="409" t="e">
        <f>VLOOKUP(A442,Foundation!$B$8:$Q$277,12, 0)</f>
        <v>#N/A</v>
      </c>
      <c r="E442" s="409" t="e">
        <f>VLOOKUP(A442,'Erection Compiled '!$B$2:$R$340,10, 0)</f>
        <v>#N/A</v>
      </c>
      <c r="F442" s="409" t="e">
        <f>VLOOKUP(A442,Earthing!$C$7:$H$307,4, 0)</f>
        <v>#N/A</v>
      </c>
    </row>
    <row r="443" spans="1:6">
      <c r="A443" s="1002" t="s">
        <v>772</v>
      </c>
      <c r="B443" s="989" t="s">
        <v>150</v>
      </c>
      <c r="C443" s="409" t="e">
        <f>VLOOKUP(A443,Foundation!$B$8:$Q$294,10, 0)</f>
        <v>#N/A</v>
      </c>
      <c r="D443" s="409" t="e">
        <f>VLOOKUP(A443,Foundation!$B$8:$Q$277,12, 0)</f>
        <v>#N/A</v>
      </c>
      <c r="E443" s="409" t="e">
        <f>VLOOKUP(A443,'Erection Compiled '!$B$2:$R$340,10, 0)</f>
        <v>#N/A</v>
      </c>
      <c r="F443" s="409" t="e">
        <f>VLOOKUP(A443,Earthing!$C$7:$H$307,4, 0)</f>
        <v>#N/A</v>
      </c>
    </row>
    <row r="444" spans="1:6">
      <c r="A444" s="1002" t="s">
        <v>780</v>
      </c>
      <c r="B444" s="989" t="s">
        <v>147</v>
      </c>
      <c r="C444" s="409" t="e">
        <f>VLOOKUP(A444,Foundation!$B$8:$Q$294,10, 0)</f>
        <v>#N/A</v>
      </c>
      <c r="D444" s="409" t="e">
        <f>VLOOKUP(A444,Foundation!$B$8:$Q$277,12, 0)</f>
        <v>#N/A</v>
      </c>
      <c r="E444" s="409" t="e">
        <f>VLOOKUP(A444,'Erection Compiled '!$B$2:$R$340,10, 0)</f>
        <v>#N/A</v>
      </c>
      <c r="F444" s="409" t="e">
        <f>VLOOKUP(A444,Earthing!$C$7:$H$307,4, 0)</f>
        <v>#N/A</v>
      </c>
    </row>
    <row r="445" spans="1:6">
      <c r="A445" s="998" t="s">
        <v>253</v>
      </c>
      <c r="B445" s="987" t="s">
        <v>147</v>
      </c>
      <c r="C445" s="409" t="e">
        <f>VLOOKUP(A445,Foundation!$B$8:$Q$294,10, 0)</f>
        <v>#N/A</v>
      </c>
      <c r="D445" s="409" t="e">
        <f>VLOOKUP(A445,Foundation!$B$8:$Q$277,12, 0)</f>
        <v>#N/A</v>
      </c>
      <c r="E445" s="409" t="e">
        <f>VLOOKUP(A445,'Erection Compiled '!$B$2:$R$340,10, 0)</f>
        <v>#N/A</v>
      </c>
      <c r="F445" s="409" t="e">
        <f>VLOOKUP(A445,Earthing!$C$7:$H$307,4, 0)</f>
        <v>#N/A</v>
      </c>
    </row>
    <row r="446" spans="1:6">
      <c r="A446" s="1002" t="s">
        <v>754</v>
      </c>
      <c r="B446" s="989" t="s">
        <v>147</v>
      </c>
      <c r="C446" s="409" t="e">
        <f>VLOOKUP(A446,Foundation!$B$8:$Q$294,10, 0)</f>
        <v>#N/A</v>
      </c>
      <c r="D446" s="409" t="e">
        <f>VLOOKUP(A446,Foundation!$B$8:$Q$277,12, 0)</f>
        <v>#N/A</v>
      </c>
      <c r="E446" s="409" t="e">
        <f>VLOOKUP(A446,'Erection Compiled '!$B$2:$R$340,10, 0)</f>
        <v>#N/A</v>
      </c>
      <c r="F446" s="409" t="e">
        <f>VLOOKUP(A446,Earthing!$C$7:$H$307,4, 0)</f>
        <v>#N/A</v>
      </c>
    </row>
    <row r="447" spans="1:6">
      <c r="A447" s="1002" t="s">
        <v>1543</v>
      </c>
      <c r="B447" s="989" t="s">
        <v>102</v>
      </c>
      <c r="C447" s="409" t="e">
        <f>VLOOKUP(A447,Foundation!$B$8:$Q$294,10, 0)</f>
        <v>#N/A</v>
      </c>
      <c r="D447" s="409" t="e">
        <f>VLOOKUP(A447,Foundation!$B$8:$Q$277,12, 0)</f>
        <v>#N/A</v>
      </c>
      <c r="E447" s="409" t="e">
        <f>VLOOKUP(A447,'Erection Compiled '!$B$2:$R$340,10, 0)</f>
        <v>#N/A</v>
      </c>
      <c r="F447" s="409" t="e">
        <f>VLOOKUP(A447,Earthing!$C$7:$H$307,4, 0)</f>
        <v>#N/A</v>
      </c>
    </row>
    <row r="448" spans="1:6">
      <c r="A448" s="1002" t="s">
        <v>770</v>
      </c>
      <c r="B448" s="989" t="s">
        <v>150</v>
      </c>
      <c r="C448" s="409" t="e">
        <f>VLOOKUP(A448,Foundation!$B$8:$Q$294,10, 0)</f>
        <v>#N/A</v>
      </c>
      <c r="D448" s="409" t="e">
        <f>VLOOKUP(A448,Foundation!$B$8:$Q$277,12, 0)</f>
        <v>#N/A</v>
      </c>
      <c r="E448" s="409" t="e">
        <f>VLOOKUP(A448,'Erection Compiled '!$B$2:$R$340,10, 0)</f>
        <v>#N/A</v>
      </c>
      <c r="F448" s="409" t="e">
        <f>VLOOKUP(A448,Earthing!$C$7:$H$307,4, 0)</f>
        <v>#N/A</v>
      </c>
    </row>
    <row r="449" spans="1:6">
      <c r="A449" s="1002" t="s">
        <v>1308</v>
      </c>
      <c r="B449" s="989" t="s">
        <v>147</v>
      </c>
      <c r="C449" s="409" t="e">
        <f>VLOOKUP(A449,Foundation!$B$8:$Q$294,10, 0)</f>
        <v>#N/A</v>
      </c>
      <c r="D449" s="409" t="e">
        <f>VLOOKUP(A449,Foundation!$B$8:$Q$277,12, 0)</f>
        <v>#N/A</v>
      </c>
      <c r="E449" s="409" t="e">
        <f>VLOOKUP(A449,'Erection Compiled '!$B$2:$R$340,10, 0)</f>
        <v>#N/A</v>
      </c>
      <c r="F449" s="409" t="e">
        <f>VLOOKUP(A449,Earthing!$C$7:$H$307,4, 0)</f>
        <v>#N/A</v>
      </c>
    </row>
    <row r="450" spans="1:6">
      <c r="A450" s="1002" t="s">
        <v>432</v>
      </c>
      <c r="B450" s="989" t="s">
        <v>147</v>
      </c>
      <c r="C450" s="409" t="e">
        <f>VLOOKUP(A450,Foundation!$B$8:$Q$294,10, 0)</f>
        <v>#N/A</v>
      </c>
      <c r="D450" s="409" t="e">
        <f>VLOOKUP(A450,Foundation!$B$8:$Q$277,12, 0)</f>
        <v>#N/A</v>
      </c>
      <c r="E450" s="409" t="e">
        <f>VLOOKUP(A450,'Erection Compiled '!$B$2:$R$340,10, 0)</f>
        <v>#N/A</v>
      </c>
      <c r="F450" s="409" t="e">
        <f>VLOOKUP(A450,Earthing!$C$7:$H$307,4, 0)</f>
        <v>#N/A</v>
      </c>
    </row>
    <row r="451" spans="1:6">
      <c r="A451" s="1002" t="s">
        <v>729</v>
      </c>
      <c r="B451" s="989" t="s">
        <v>150</v>
      </c>
      <c r="C451" s="409" t="e">
        <f>VLOOKUP(A451,Foundation!$B$8:$Q$294,10, 0)</f>
        <v>#N/A</v>
      </c>
      <c r="D451" s="409" t="e">
        <f>VLOOKUP(A451,Foundation!$B$8:$Q$277,12, 0)</f>
        <v>#N/A</v>
      </c>
      <c r="E451" s="409" t="e">
        <f>VLOOKUP(A451,'Erection Compiled '!$B$2:$R$340,10, 0)</f>
        <v>#N/A</v>
      </c>
      <c r="F451" s="409" t="e">
        <f>VLOOKUP(A451,Earthing!$C$7:$H$307,4, 0)</f>
        <v>#N/A</v>
      </c>
    </row>
    <row r="452" spans="1:6">
      <c r="A452" s="1000" t="s">
        <v>1758</v>
      </c>
      <c r="B452" s="990" t="s">
        <v>1730</v>
      </c>
      <c r="C452" s="409" t="e">
        <f>VLOOKUP(A452,Foundation!$B$8:$Q$294,10, 0)</f>
        <v>#N/A</v>
      </c>
      <c r="D452" s="409" t="e">
        <f>VLOOKUP(A452,Foundation!$B$8:$Q$277,12, 0)</f>
        <v>#N/A</v>
      </c>
      <c r="E452" s="409" t="e">
        <f>VLOOKUP(A452,'Erection Compiled '!$B$2:$R$340,10, 0)</f>
        <v>#N/A</v>
      </c>
      <c r="F452" s="409" t="e">
        <f>VLOOKUP(A452,Earthing!$C$7:$H$307,4, 0)</f>
        <v>#N/A</v>
      </c>
    </row>
    <row r="453" spans="1:6">
      <c r="A453" s="1002" t="s">
        <v>755</v>
      </c>
      <c r="B453" s="989" t="s">
        <v>206</v>
      </c>
      <c r="C453" s="409" t="e">
        <f>VLOOKUP(A453,Foundation!$B$8:$Q$294,10, 0)</f>
        <v>#N/A</v>
      </c>
      <c r="D453" s="409" t="e">
        <f>VLOOKUP(A453,Foundation!$B$8:$Q$277,12, 0)</f>
        <v>#N/A</v>
      </c>
      <c r="E453" s="409" t="e">
        <f>VLOOKUP(A453,'Erection Compiled '!$B$2:$R$340,10, 0)</f>
        <v>#N/A</v>
      </c>
      <c r="F453" s="409" t="e">
        <f>VLOOKUP(A453,Earthing!$C$7:$H$307,4, 0)</f>
        <v>#N/A</v>
      </c>
    </row>
    <row r="454" spans="1:6">
      <c r="A454" s="1002" t="s">
        <v>758</v>
      </c>
      <c r="B454" s="989" t="s">
        <v>206</v>
      </c>
      <c r="C454" s="409" t="e">
        <f>VLOOKUP(A454,Foundation!$B$8:$Q$294,10, 0)</f>
        <v>#N/A</v>
      </c>
      <c r="D454" s="409" t="e">
        <f>VLOOKUP(A454,Foundation!$B$8:$Q$277,12, 0)</f>
        <v>#N/A</v>
      </c>
      <c r="E454" s="409" t="e">
        <f>VLOOKUP(A454,'Erection Compiled '!$B$2:$R$340,10, 0)</f>
        <v>#N/A</v>
      </c>
      <c r="F454" s="409" t="e">
        <f>VLOOKUP(A454,Earthing!$C$7:$H$307,4, 0)</f>
        <v>#N/A</v>
      </c>
    </row>
    <row r="455" spans="1:6">
      <c r="A455" s="1002" t="s">
        <v>1307</v>
      </c>
      <c r="B455" s="989" t="s">
        <v>150</v>
      </c>
      <c r="C455" s="409" t="e">
        <f>VLOOKUP(A455,Foundation!$B$8:$Q$294,10, 0)</f>
        <v>#N/A</v>
      </c>
      <c r="D455" s="409" t="e">
        <f>VLOOKUP(A455,Foundation!$B$8:$Q$277,12, 0)</f>
        <v>#N/A</v>
      </c>
      <c r="E455" s="409" t="e">
        <f>VLOOKUP(A455,'Erection Compiled '!$B$2:$R$340,10, 0)</f>
        <v>#N/A</v>
      </c>
      <c r="F455" s="409" t="e">
        <f>VLOOKUP(A455,Earthing!$C$7:$H$307,4, 0)</f>
        <v>#N/A</v>
      </c>
    </row>
    <row r="456" spans="1:6">
      <c r="A456" s="1002" t="s">
        <v>427</v>
      </c>
      <c r="B456" s="989" t="s">
        <v>212</v>
      </c>
      <c r="C456" s="409" t="e">
        <f>VLOOKUP(A456,Foundation!$B$8:$Q$294,10, 0)</f>
        <v>#N/A</v>
      </c>
      <c r="D456" s="409" t="e">
        <f>VLOOKUP(A456,Foundation!$B$8:$Q$277,12, 0)</f>
        <v>#N/A</v>
      </c>
      <c r="E456" s="409" t="e">
        <f>VLOOKUP(A456,'Erection Compiled '!$B$2:$R$340,10, 0)</f>
        <v>#N/A</v>
      </c>
      <c r="F456" s="409" t="e">
        <f>VLOOKUP(A456,Earthing!$C$7:$H$307,4, 0)</f>
        <v>#N/A</v>
      </c>
    </row>
    <row r="457" spans="1:6">
      <c r="A457" s="998" t="s">
        <v>134</v>
      </c>
      <c r="B457" s="987" t="s">
        <v>147</v>
      </c>
      <c r="C457" s="409" t="e">
        <f>VLOOKUP(A457,Foundation!$B$8:$Q$294,10, 0)</f>
        <v>#N/A</v>
      </c>
      <c r="D457" s="409" t="e">
        <f>VLOOKUP(A457,Foundation!$B$8:$Q$277,12, 0)</f>
        <v>#N/A</v>
      </c>
      <c r="E457" s="409" t="e">
        <f>VLOOKUP(A457,'Erection Compiled '!$B$2:$R$340,10, 0)</f>
        <v>#N/A</v>
      </c>
      <c r="F457" s="409" t="e">
        <f>VLOOKUP(A457,Earthing!$C$7:$H$307,4, 0)</f>
        <v>#N/A</v>
      </c>
    </row>
    <row r="458" spans="1:6">
      <c r="A458" s="1002" t="s">
        <v>760</v>
      </c>
      <c r="B458" s="989" t="s">
        <v>150</v>
      </c>
      <c r="C458" s="409" t="e">
        <f>VLOOKUP(A458,Foundation!$B$8:$Q$294,10, 0)</f>
        <v>#N/A</v>
      </c>
      <c r="D458" s="409" t="e">
        <f>VLOOKUP(A458,Foundation!$B$8:$Q$277,12, 0)</f>
        <v>#N/A</v>
      </c>
      <c r="E458" s="409" t="e">
        <f>VLOOKUP(A458,'Erection Compiled '!$B$2:$R$340,10, 0)</f>
        <v>#N/A</v>
      </c>
      <c r="F458" s="409" t="e">
        <f>VLOOKUP(A458,Earthing!$C$7:$H$307,4, 0)</f>
        <v>#N/A</v>
      </c>
    </row>
    <row r="459" spans="1:6">
      <c r="A459" s="1002" t="s">
        <v>764</v>
      </c>
      <c r="B459" s="989" t="s">
        <v>150</v>
      </c>
      <c r="C459" s="409" t="e">
        <f>VLOOKUP(A459,Foundation!$B$8:$Q$294,10, 0)</f>
        <v>#N/A</v>
      </c>
      <c r="D459" s="409" t="e">
        <f>VLOOKUP(A459,Foundation!$B$8:$Q$277,12, 0)</f>
        <v>#N/A</v>
      </c>
      <c r="E459" s="409" t="e">
        <f>VLOOKUP(A459,'Erection Compiled '!$B$2:$R$340,10, 0)</f>
        <v>#N/A</v>
      </c>
      <c r="F459" s="409" t="e">
        <f>VLOOKUP(A459,Earthing!$C$7:$H$307,4, 0)</f>
        <v>#N/A</v>
      </c>
    </row>
    <row r="460" spans="1:6">
      <c r="A460" s="1002" t="s">
        <v>788</v>
      </c>
      <c r="B460" s="989" t="s">
        <v>147</v>
      </c>
      <c r="C460" s="409" t="e">
        <f>VLOOKUP(A460,Foundation!$B$8:$Q$294,10, 0)</f>
        <v>#N/A</v>
      </c>
      <c r="D460" s="409" t="e">
        <f>VLOOKUP(A460,Foundation!$B$8:$Q$277,12, 0)</f>
        <v>#N/A</v>
      </c>
      <c r="E460" s="409" t="e">
        <f>VLOOKUP(A460,'Erection Compiled '!$B$2:$R$340,10, 0)</f>
        <v>#N/A</v>
      </c>
      <c r="F460" s="409" t="e">
        <f>VLOOKUP(A460,Earthing!$C$7:$H$307,4, 0)</f>
        <v>#N/A</v>
      </c>
    </row>
    <row r="461" spans="1:6">
      <c r="A461" s="1002" t="s">
        <v>148</v>
      </c>
      <c r="B461" s="989" t="s">
        <v>147</v>
      </c>
      <c r="C461" s="409" t="e">
        <f>VLOOKUP(A461,Foundation!$B$8:$Q$294,10, 0)</f>
        <v>#N/A</v>
      </c>
      <c r="D461" s="409" t="e">
        <f>VLOOKUP(A461,Foundation!$B$8:$Q$277,12, 0)</f>
        <v>#N/A</v>
      </c>
      <c r="E461" s="409" t="e">
        <f>VLOOKUP(A461,'Erection Compiled '!$B$2:$R$340,10, 0)</f>
        <v>#N/A</v>
      </c>
      <c r="F461" s="409" t="e">
        <f>VLOOKUP(A461,Earthing!$C$7:$H$307,4, 0)</f>
        <v>#N/A</v>
      </c>
    </row>
    <row r="462" spans="1:6">
      <c r="A462" s="998" t="s">
        <v>382</v>
      </c>
      <c r="B462" s="987" t="s">
        <v>150</v>
      </c>
      <c r="C462" s="409" t="e">
        <f>VLOOKUP(A462,Foundation!$B$8:$Q$294,10, 0)</f>
        <v>#N/A</v>
      </c>
      <c r="D462" s="409" t="e">
        <f>VLOOKUP(A462,Foundation!$B$8:$Q$277,12, 0)</f>
        <v>#N/A</v>
      </c>
      <c r="E462" s="409" t="e">
        <f>VLOOKUP(A462,'Erection Compiled '!$B$2:$R$340,10, 0)</f>
        <v>#N/A</v>
      </c>
      <c r="F462" s="409" t="e">
        <f>VLOOKUP(A462,Earthing!$C$7:$H$307,4, 0)</f>
        <v>#N/A</v>
      </c>
    </row>
    <row r="463" spans="1:6">
      <c r="A463" s="1002" t="s">
        <v>1273</v>
      </c>
      <c r="B463" s="989" t="s">
        <v>80</v>
      </c>
      <c r="C463" s="409" t="e">
        <f>VLOOKUP(A463,Foundation!$B$8:$Q$294,10, 0)</f>
        <v>#N/A</v>
      </c>
      <c r="D463" s="409" t="e">
        <f>VLOOKUP(A463,Foundation!$B$8:$Q$277,12, 0)</f>
        <v>#N/A</v>
      </c>
      <c r="E463" s="409" t="e">
        <f>VLOOKUP(A463,'Erection Compiled '!$B$2:$R$340,10, 0)</f>
        <v>#N/A</v>
      </c>
      <c r="F463" s="409" t="e">
        <f>VLOOKUP(A463,Earthing!$C$7:$H$307,4, 0)</f>
        <v>#N/A</v>
      </c>
    </row>
    <row r="464" spans="1:6">
      <c r="A464" s="1002" t="s">
        <v>759</v>
      </c>
      <c r="B464" s="989" t="s">
        <v>147</v>
      </c>
      <c r="C464" s="409" t="e">
        <f>VLOOKUP(A464,Foundation!$B$8:$Q$294,10, 0)</f>
        <v>#N/A</v>
      </c>
      <c r="D464" s="409" t="e">
        <f>VLOOKUP(A464,Foundation!$B$8:$Q$277,12, 0)</f>
        <v>#N/A</v>
      </c>
      <c r="E464" s="409" t="e">
        <f>VLOOKUP(A464,'Erection Compiled '!$B$2:$R$340,10, 0)</f>
        <v>#N/A</v>
      </c>
      <c r="F464" s="409" t="e">
        <f>VLOOKUP(A464,Earthing!$C$7:$H$307,4, 0)</f>
        <v>#N/A</v>
      </c>
    </row>
    <row r="465" spans="1:6">
      <c r="A465" s="1002" t="s">
        <v>763</v>
      </c>
      <c r="B465" s="989" t="s">
        <v>147</v>
      </c>
      <c r="C465" s="409" t="e">
        <f>VLOOKUP(A465,Foundation!$B$8:$Q$294,10, 0)</f>
        <v>#N/A</v>
      </c>
      <c r="D465" s="409" t="e">
        <f>VLOOKUP(A465,Foundation!$B$8:$Q$277,12, 0)</f>
        <v>#N/A</v>
      </c>
      <c r="E465" s="409" t="e">
        <f>VLOOKUP(A465,'Erection Compiled '!$B$2:$R$340,10, 0)</f>
        <v>#N/A</v>
      </c>
      <c r="F465" s="409" t="e">
        <f>VLOOKUP(A465,Earthing!$C$7:$H$307,4, 0)</f>
        <v>#N/A</v>
      </c>
    </row>
    <row r="466" spans="1:6">
      <c r="A466" s="1002" t="s">
        <v>769</v>
      </c>
      <c r="B466" s="989" t="s">
        <v>147</v>
      </c>
      <c r="C466" s="409" t="e">
        <f>VLOOKUP(A466,Foundation!$B$8:$Q$294,10, 0)</f>
        <v>#N/A</v>
      </c>
      <c r="D466" s="409" t="e">
        <f>VLOOKUP(A466,Foundation!$B$8:$Q$277,12, 0)</f>
        <v>#N/A</v>
      </c>
      <c r="E466" s="409" t="e">
        <f>VLOOKUP(A466,'Erection Compiled '!$B$2:$R$340,10, 0)</f>
        <v>#N/A</v>
      </c>
      <c r="F466" s="409" t="e">
        <f>VLOOKUP(A466,Earthing!$C$7:$H$307,4, 0)</f>
        <v>#N/A</v>
      </c>
    </row>
    <row r="467" spans="1:6">
      <c r="A467" s="1002" t="s">
        <v>787</v>
      </c>
      <c r="B467" s="989" t="s">
        <v>147</v>
      </c>
      <c r="C467" s="409" t="e">
        <f>VLOOKUP(A467,Foundation!$B$8:$Q$294,10, 0)</f>
        <v>#N/A</v>
      </c>
      <c r="D467" s="409" t="e">
        <f>VLOOKUP(A467,Foundation!$B$8:$Q$277,12, 0)</f>
        <v>#N/A</v>
      </c>
      <c r="E467" s="409" t="e">
        <f>VLOOKUP(A467,'Erection Compiled '!$B$2:$R$340,10, 0)</f>
        <v>#N/A</v>
      </c>
      <c r="F467" s="409" t="e">
        <f>VLOOKUP(A467,Earthing!$C$7:$H$307,4, 0)</f>
        <v>#N/A</v>
      </c>
    </row>
    <row r="468" spans="1:6">
      <c r="A468" s="1002" t="s">
        <v>761</v>
      </c>
      <c r="B468" s="989" t="s">
        <v>150</v>
      </c>
      <c r="C468" s="409" t="e">
        <f>VLOOKUP(A468,Foundation!$B$8:$Q$294,10, 0)</f>
        <v>#N/A</v>
      </c>
      <c r="D468" s="409" t="e">
        <f>VLOOKUP(A468,Foundation!$B$8:$Q$277,12, 0)</f>
        <v>#N/A</v>
      </c>
      <c r="E468" s="409" t="e">
        <f>VLOOKUP(A468,'Erection Compiled '!$B$2:$R$340,10, 0)</f>
        <v>#N/A</v>
      </c>
      <c r="F468" s="409" t="e">
        <f>VLOOKUP(A468,Earthing!$C$7:$H$307,4, 0)</f>
        <v>#N/A</v>
      </c>
    </row>
    <row r="469" spans="1:6">
      <c r="A469" s="1002" t="s">
        <v>762</v>
      </c>
      <c r="B469" s="989" t="s">
        <v>150</v>
      </c>
      <c r="C469" s="409" t="e">
        <f>VLOOKUP(A469,Foundation!$B$8:$Q$294,10, 0)</f>
        <v>#N/A</v>
      </c>
      <c r="D469" s="409" t="e">
        <f>VLOOKUP(A469,Foundation!$B$8:$Q$277,12, 0)</f>
        <v>#N/A</v>
      </c>
      <c r="E469" s="409" t="e">
        <f>VLOOKUP(A469,'Erection Compiled '!$B$2:$R$340,10, 0)</f>
        <v>#N/A</v>
      </c>
      <c r="F469" s="409" t="e">
        <f>VLOOKUP(A469,Earthing!$C$7:$H$307,4, 0)</f>
        <v>#N/A</v>
      </c>
    </row>
    <row r="470" spans="1:6">
      <c r="A470" s="1002" t="s">
        <v>146</v>
      </c>
      <c r="B470" s="989" t="s">
        <v>147</v>
      </c>
      <c r="C470" s="409" t="e">
        <f>VLOOKUP(A470,Foundation!$B$8:$Q$294,10, 0)</f>
        <v>#N/A</v>
      </c>
      <c r="D470" s="409" t="e">
        <f>VLOOKUP(A470,Foundation!$B$8:$Q$277,12, 0)</f>
        <v>#N/A</v>
      </c>
      <c r="E470" s="409" t="e">
        <f>VLOOKUP(A470,'Erection Compiled '!$B$2:$R$340,10, 0)</f>
        <v>#N/A</v>
      </c>
      <c r="F470" s="409" t="e">
        <f>VLOOKUP(A470,Earthing!$C$7:$H$307,4, 0)</f>
        <v>#N/A</v>
      </c>
    </row>
    <row r="471" spans="1:6">
      <c r="A471" s="1000" t="s">
        <v>1759</v>
      </c>
      <c r="B471" s="990" t="s">
        <v>1729</v>
      </c>
      <c r="C471" s="409" t="e">
        <f>VLOOKUP(A471,Foundation!$B$8:$Q$294,10, 0)</f>
        <v>#N/A</v>
      </c>
      <c r="D471" s="409" t="e">
        <f>VLOOKUP(A471,Foundation!$B$8:$Q$277,12, 0)</f>
        <v>#N/A</v>
      </c>
      <c r="E471" s="409" t="e">
        <f>VLOOKUP(A471,'Erection Compiled '!$B$2:$R$340,10, 0)</f>
        <v>#N/A</v>
      </c>
      <c r="F471" s="409" t="e">
        <f>VLOOKUP(A471,Earthing!$C$7:$H$307,4, 0)</f>
        <v>#N/A</v>
      </c>
    </row>
    <row r="472" spans="1:6">
      <c r="A472" s="998" t="s">
        <v>258</v>
      </c>
      <c r="B472" s="987" t="s">
        <v>147</v>
      </c>
      <c r="C472" s="409" t="e">
        <f>VLOOKUP(A472,Foundation!$B$8:$Q$294,10, 0)</f>
        <v>#N/A</v>
      </c>
      <c r="D472" s="409" t="e">
        <f>VLOOKUP(A472,Foundation!$B$8:$Q$277,12, 0)</f>
        <v>#N/A</v>
      </c>
      <c r="E472" s="409" t="e">
        <f>VLOOKUP(A472,'Erection Compiled '!$B$2:$R$340,10, 0)</f>
        <v>#N/A</v>
      </c>
      <c r="F472" s="409" t="e">
        <f>VLOOKUP(A472,Earthing!$C$7:$H$307,4, 0)</f>
        <v>#N/A</v>
      </c>
    </row>
    <row r="473" spans="1:6">
      <c r="A473" s="1000" t="s">
        <v>1760</v>
      </c>
      <c r="B473" s="992" t="s">
        <v>206</v>
      </c>
      <c r="C473" s="409" t="e">
        <f>VLOOKUP(A473,Foundation!$B$8:$Q$294,10, 0)</f>
        <v>#N/A</v>
      </c>
      <c r="D473" s="409" t="e">
        <f>VLOOKUP(A473,Foundation!$B$8:$Q$277,12, 0)</f>
        <v>#N/A</v>
      </c>
      <c r="E473" s="409" t="e">
        <f>VLOOKUP(A473,'Erection Compiled '!$B$2:$R$340,10, 0)</f>
        <v>#N/A</v>
      </c>
      <c r="F473" s="409" t="e">
        <f>VLOOKUP(A473,Earthing!$C$7:$H$307,4, 0)</f>
        <v>#N/A</v>
      </c>
    </row>
    <row r="474" spans="1:6">
      <c r="A474" s="1002" t="s">
        <v>768</v>
      </c>
      <c r="B474" s="989" t="s">
        <v>147</v>
      </c>
      <c r="C474" s="409" t="e">
        <f>VLOOKUP(A474,Foundation!$B$8:$Q$294,10, 0)</f>
        <v>#N/A</v>
      </c>
      <c r="D474" s="409" t="e">
        <f>VLOOKUP(A474,Foundation!$B$8:$Q$277,12, 0)</f>
        <v>#N/A</v>
      </c>
      <c r="E474" s="409" t="e">
        <f>VLOOKUP(A474,'Erection Compiled '!$B$2:$R$340,10, 0)</f>
        <v>#N/A</v>
      </c>
      <c r="F474" s="409" t="e">
        <f>VLOOKUP(A474,Earthing!$C$7:$H$307,4, 0)</f>
        <v>#N/A</v>
      </c>
    </row>
    <row r="475" spans="1:6">
      <c r="A475" s="1002" t="s">
        <v>786</v>
      </c>
      <c r="B475" s="989" t="s">
        <v>147</v>
      </c>
      <c r="C475" s="409" t="e">
        <f>VLOOKUP(A475,Foundation!$B$8:$Q$294,10, 0)</f>
        <v>#N/A</v>
      </c>
      <c r="D475" s="409" t="e">
        <f>VLOOKUP(A475,Foundation!$B$8:$Q$277,12, 0)</f>
        <v>#N/A</v>
      </c>
      <c r="E475" s="409" t="e">
        <f>VLOOKUP(A475,'Erection Compiled '!$B$2:$R$340,10, 0)</f>
        <v>#N/A</v>
      </c>
      <c r="F475" s="409" t="e">
        <f>VLOOKUP(A475,Earthing!$C$7:$H$307,4, 0)</f>
        <v>#N/A</v>
      </c>
    </row>
    <row r="476" spans="1:6">
      <c r="A476" s="1000" t="s">
        <v>1761</v>
      </c>
      <c r="B476" s="990" t="s">
        <v>1735</v>
      </c>
      <c r="C476" s="409" t="e">
        <f>VLOOKUP(A476,Foundation!$B$8:$Q$294,10, 0)</f>
        <v>#N/A</v>
      </c>
      <c r="D476" s="409" t="e">
        <f>VLOOKUP(A476,Foundation!$B$8:$Q$277,12, 0)</f>
        <v>#N/A</v>
      </c>
      <c r="E476" s="409" t="e">
        <f>VLOOKUP(A476,'Erection Compiled '!$B$2:$R$340,10, 0)</f>
        <v>#N/A</v>
      </c>
      <c r="F476" s="409" t="e">
        <f>VLOOKUP(A476,Earthing!$C$7:$H$307,4, 0)</f>
        <v>#N/A</v>
      </c>
    </row>
    <row r="477" spans="1:6">
      <c r="A477" s="998" t="s">
        <v>1270</v>
      </c>
      <c r="B477" s="987" t="s">
        <v>80</v>
      </c>
      <c r="C477" s="409" t="e">
        <f>VLOOKUP(A477,Foundation!$B$8:$Q$294,10, 0)</f>
        <v>#N/A</v>
      </c>
      <c r="D477" s="409" t="e">
        <f>VLOOKUP(A477,Foundation!$B$8:$Q$277,12, 0)</f>
        <v>#N/A</v>
      </c>
      <c r="E477" s="409" t="e">
        <f>VLOOKUP(A477,'Erection Compiled '!$B$2:$R$340,10, 0)</f>
        <v>#N/A</v>
      </c>
      <c r="F477" s="409" t="e">
        <f>VLOOKUP(A477,Earthing!$C$7:$H$307,4, 0)</f>
        <v>#N/A</v>
      </c>
    </row>
    <row r="478" spans="1:6">
      <c r="A478" s="1002" t="s">
        <v>783</v>
      </c>
      <c r="B478" s="989" t="s">
        <v>147</v>
      </c>
      <c r="C478" s="409" t="e">
        <f>VLOOKUP(A478,Foundation!$B$8:$Q$294,10, 0)</f>
        <v>#N/A</v>
      </c>
      <c r="D478" s="409" t="e">
        <f>VLOOKUP(A478,Foundation!$B$8:$Q$277,12, 0)</f>
        <v>#N/A</v>
      </c>
      <c r="E478" s="409" t="e">
        <f>VLOOKUP(A478,'Erection Compiled '!$B$2:$R$340,10, 0)</f>
        <v>#N/A</v>
      </c>
      <c r="F478" s="409" t="e">
        <f>VLOOKUP(A478,Earthing!$C$7:$H$307,4, 0)</f>
        <v>#N/A</v>
      </c>
    </row>
    <row r="479" spans="1:6">
      <c r="A479" s="1000" t="s">
        <v>1762</v>
      </c>
      <c r="B479" s="990" t="s">
        <v>1729</v>
      </c>
      <c r="C479" s="409" t="e">
        <f>VLOOKUP(A479,Foundation!$B$8:$Q$294,10, 0)</f>
        <v>#N/A</v>
      </c>
      <c r="D479" s="409" t="e">
        <f>VLOOKUP(A479,Foundation!$B$8:$Q$277,12, 0)</f>
        <v>#N/A</v>
      </c>
      <c r="E479" s="409" t="e">
        <f>VLOOKUP(A479,'Erection Compiled '!$B$2:$R$340,10, 0)</f>
        <v>#N/A</v>
      </c>
      <c r="F479" s="409" t="e">
        <f>VLOOKUP(A479,Earthing!$C$7:$H$307,4, 0)</f>
        <v>#N/A</v>
      </c>
    </row>
    <row r="480" spans="1:6">
      <c r="A480" s="1002" t="s">
        <v>767</v>
      </c>
      <c r="B480" s="989" t="s">
        <v>150</v>
      </c>
      <c r="C480" s="409" t="e">
        <f>VLOOKUP(A480,Foundation!$B$8:$Q$294,10, 0)</f>
        <v>#N/A</v>
      </c>
      <c r="D480" s="409" t="e">
        <f>VLOOKUP(A480,Foundation!$B$8:$Q$277,12, 0)</f>
        <v>#N/A</v>
      </c>
      <c r="E480" s="409" t="e">
        <f>VLOOKUP(A480,'Erection Compiled '!$B$2:$R$340,10, 0)</f>
        <v>#N/A</v>
      </c>
      <c r="F480" s="409" t="e">
        <f>VLOOKUP(A480,Earthing!$C$7:$H$307,4, 0)</f>
        <v>#N/A</v>
      </c>
    </row>
    <row r="481" spans="1:6">
      <c r="A481" s="1000" t="s">
        <v>1763</v>
      </c>
      <c r="B481" s="990" t="s">
        <v>1735</v>
      </c>
      <c r="C481" s="409" t="e">
        <f>VLOOKUP(A481,Foundation!$B$8:$Q$294,10, 0)</f>
        <v>#N/A</v>
      </c>
      <c r="D481" s="409" t="e">
        <f>VLOOKUP(A481,Foundation!$B$8:$Q$277,12, 0)</f>
        <v>#N/A</v>
      </c>
      <c r="E481" s="409" t="e">
        <f>VLOOKUP(A481,'Erection Compiled '!$B$2:$R$340,10, 0)</f>
        <v>#N/A</v>
      </c>
      <c r="F481" s="409" t="e">
        <f>VLOOKUP(A481,Earthing!$C$7:$H$307,4, 0)</f>
        <v>#N/A</v>
      </c>
    </row>
    <row r="482" spans="1:6">
      <c r="A482" s="1002" t="s">
        <v>784</v>
      </c>
      <c r="B482" s="989" t="s">
        <v>147</v>
      </c>
      <c r="C482" s="409" t="e">
        <f>VLOOKUP(A482,Foundation!$B$8:$Q$294,10, 0)</f>
        <v>#N/A</v>
      </c>
      <c r="D482" s="409" t="e">
        <f>VLOOKUP(A482,Foundation!$B$8:$Q$277,12, 0)</f>
        <v>#N/A</v>
      </c>
      <c r="E482" s="409" t="e">
        <f>VLOOKUP(A482,'Erection Compiled '!$B$2:$R$340,10, 0)</f>
        <v>#N/A</v>
      </c>
      <c r="F482" s="409" t="e">
        <f>VLOOKUP(A482,Earthing!$C$7:$H$307,4, 0)</f>
        <v>#N/A</v>
      </c>
    </row>
    <row r="483" spans="1:6">
      <c r="A483" s="1000" t="s">
        <v>1764</v>
      </c>
      <c r="B483" s="990" t="s">
        <v>1729</v>
      </c>
      <c r="C483" s="409" t="e">
        <f>VLOOKUP(A483,Foundation!$B$8:$Q$294,10, 0)</f>
        <v>#N/A</v>
      </c>
      <c r="D483" s="409" t="e">
        <f>VLOOKUP(A483,Foundation!$B$8:$Q$277,12, 0)</f>
        <v>#N/A</v>
      </c>
      <c r="E483" s="409" t="e">
        <f>VLOOKUP(A483,'Erection Compiled '!$B$2:$R$340,10, 0)</f>
        <v>#N/A</v>
      </c>
      <c r="F483" s="409" t="e">
        <f>VLOOKUP(A483,Earthing!$C$7:$H$307,4, 0)</f>
        <v>#N/A</v>
      </c>
    </row>
    <row r="484" spans="1:6">
      <c r="A484" s="998" t="s">
        <v>181</v>
      </c>
      <c r="B484" s="987" t="s">
        <v>147</v>
      </c>
      <c r="C484" s="409" t="e">
        <f>VLOOKUP(A484,Foundation!$B$8:$Q$294,10, 0)</f>
        <v>#N/A</v>
      </c>
      <c r="D484" s="409" t="e">
        <f>VLOOKUP(A484,Foundation!$B$8:$Q$277,12, 0)</f>
        <v>#N/A</v>
      </c>
      <c r="E484" s="409" t="e">
        <f>VLOOKUP(A484,'Erection Compiled '!$B$2:$R$340,10, 0)</f>
        <v>#N/A</v>
      </c>
      <c r="F484" s="409" t="e">
        <f>VLOOKUP(A484,Earthing!$C$7:$H$307,4, 0)</f>
        <v>#N/A</v>
      </c>
    </row>
    <row r="485" spans="1:6">
      <c r="A485" s="1002" t="s">
        <v>785</v>
      </c>
      <c r="B485" s="989" t="s">
        <v>147</v>
      </c>
      <c r="C485" s="409" t="e">
        <f>VLOOKUP(A485,Foundation!$B$8:$Q$294,10, 0)</f>
        <v>#N/A</v>
      </c>
      <c r="D485" s="409" t="e">
        <f>VLOOKUP(A485,Foundation!$B$8:$Q$277,12, 0)</f>
        <v>#N/A</v>
      </c>
      <c r="E485" s="409" t="e">
        <f>VLOOKUP(A485,'Erection Compiled '!$B$2:$R$340,10, 0)</f>
        <v>#N/A</v>
      </c>
      <c r="F485" s="409" t="e">
        <f>VLOOKUP(A485,Earthing!$C$7:$H$307,4, 0)</f>
        <v>#N/A</v>
      </c>
    </row>
    <row r="486" spans="1:6">
      <c r="A486" s="1000" t="s">
        <v>1765</v>
      </c>
      <c r="B486" s="990" t="s">
        <v>1734</v>
      </c>
      <c r="C486" s="409" t="e">
        <f>VLOOKUP(A486,Foundation!$B$8:$Q$294,10, 0)</f>
        <v>#N/A</v>
      </c>
      <c r="D486" s="409" t="e">
        <f>VLOOKUP(A486,Foundation!$B$8:$Q$277,12, 0)</f>
        <v>#N/A</v>
      </c>
      <c r="E486" s="409" t="e">
        <f>VLOOKUP(A486,'Erection Compiled '!$B$2:$R$340,10, 0)</f>
        <v>#N/A</v>
      </c>
      <c r="F486" s="409" t="e">
        <f>VLOOKUP(A486,Earthing!$C$7:$H$307,4, 0)</f>
        <v>#N/A</v>
      </c>
    </row>
    <row r="487" spans="1:6">
      <c r="A487" s="1000" t="s">
        <v>1766</v>
      </c>
      <c r="B487" s="990" t="s">
        <v>1730</v>
      </c>
      <c r="C487" s="409" t="e">
        <f>VLOOKUP(A487,Foundation!$B$8:$Q$294,10, 0)</f>
        <v>#N/A</v>
      </c>
      <c r="D487" s="409" t="e">
        <f>VLOOKUP(A487,Foundation!$B$8:$Q$277,12, 0)</f>
        <v>#N/A</v>
      </c>
      <c r="E487" s="409" t="e">
        <f>VLOOKUP(A487,'Erection Compiled '!$B$2:$R$340,10, 0)</f>
        <v>#N/A</v>
      </c>
      <c r="F487" s="409" t="e">
        <f>VLOOKUP(A487,Earthing!$C$7:$H$307,4, 0)</f>
        <v>#N/A</v>
      </c>
    </row>
    <row r="488" spans="1:6">
      <c r="A488" s="1000" t="s">
        <v>1569</v>
      </c>
      <c r="B488" s="990" t="s">
        <v>1733</v>
      </c>
      <c r="C488" s="409" t="e">
        <f>VLOOKUP(A488,Foundation!$B$8:$Q$294,10, 0)</f>
        <v>#N/A</v>
      </c>
      <c r="D488" s="409" t="e">
        <f>VLOOKUP(A488,Foundation!$B$8:$Q$277,12, 0)</f>
        <v>#N/A</v>
      </c>
      <c r="E488" s="409" t="e">
        <f>VLOOKUP(A488,'Erection Compiled '!$B$2:$R$340,10, 0)</f>
        <v>#N/A</v>
      </c>
      <c r="F488" s="409" t="e">
        <f>VLOOKUP(A488,Earthing!$C$7:$H$307,4, 0)</f>
        <v>#N/A</v>
      </c>
    </row>
    <row r="489" spans="1:6">
      <c r="A489" s="1000" t="s">
        <v>1767</v>
      </c>
      <c r="B489" s="990" t="s">
        <v>1729</v>
      </c>
      <c r="C489" s="409" t="e">
        <f>VLOOKUP(A489,Foundation!$B$8:$Q$294,10, 0)</f>
        <v>#N/A</v>
      </c>
      <c r="D489" s="409" t="e">
        <f>VLOOKUP(A489,Foundation!$B$8:$Q$277,12, 0)</f>
        <v>#N/A</v>
      </c>
      <c r="E489" s="409" t="e">
        <f>VLOOKUP(A489,'Erection Compiled '!$B$2:$R$340,10, 0)</f>
        <v>#N/A</v>
      </c>
      <c r="F489" s="409" t="e">
        <f>VLOOKUP(A489,Earthing!$C$7:$H$307,4, 0)</f>
        <v>#N/A</v>
      </c>
    </row>
    <row r="490" spans="1:6">
      <c r="A490" s="998" t="s">
        <v>223</v>
      </c>
      <c r="B490" s="987" t="s">
        <v>212</v>
      </c>
      <c r="C490" s="409" t="e">
        <f>VLOOKUP(A490,Foundation!$B$8:$Q$294,10, 0)</f>
        <v>#N/A</v>
      </c>
      <c r="D490" s="409" t="e">
        <f>VLOOKUP(A490,Foundation!$B$8:$Q$277,12, 0)</f>
        <v>#N/A</v>
      </c>
      <c r="E490" s="409" t="e">
        <f>VLOOKUP(A490,'Erection Compiled '!$B$2:$R$340,10, 0)</f>
        <v>#N/A</v>
      </c>
      <c r="F490" s="409" t="e">
        <f>VLOOKUP(A490,Earthing!$C$7:$H$307,4, 0)</f>
        <v>#N/A</v>
      </c>
    </row>
    <row r="491" spans="1:6">
      <c r="A491" s="1000" t="s">
        <v>124</v>
      </c>
      <c r="B491" s="990" t="s">
        <v>1731</v>
      </c>
      <c r="C491" s="409" t="e">
        <f>VLOOKUP(A491,Foundation!$B$8:$Q$294,10, 0)</f>
        <v>#N/A</v>
      </c>
      <c r="D491" s="409" t="e">
        <f>VLOOKUP(A491,Foundation!$B$8:$Q$277,12, 0)</f>
        <v>#N/A</v>
      </c>
      <c r="E491" s="409" t="e">
        <f>VLOOKUP(A491,'Erection Compiled '!$B$2:$R$340,10, 0)</f>
        <v>#N/A</v>
      </c>
      <c r="F491" s="409" t="e">
        <f>VLOOKUP(A491,Earthing!$C$7:$H$307,4, 0)</f>
        <v>#N/A</v>
      </c>
    </row>
    <row r="492" spans="1:6">
      <c r="A492" s="1000" t="s">
        <v>1310</v>
      </c>
      <c r="B492" s="990" t="s">
        <v>1731</v>
      </c>
      <c r="C492" s="409" t="e">
        <f>VLOOKUP(A492,Foundation!$B$8:$Q$294,10, 0)</f>
        <v>#N/A</v>
      </c>
      <c r="D492" s="409" t="e">
        <f>VLOOKUP(A492,Foundation!$B$8:$Q$277,12, 0)</f>
        <v>#N/A</v>
      </c>
      <c r="E492" s="409" t="e">
        <f>VLOOKUP(A492,'Erection Compiled '!$B$2:$R$340,10, 0)</f>
        <v>#N/A</v>
      </c>
      <c r="F492" s="409" t="e">
        <f>VLOOKUP(A492,Earthing!$C$7:$H$307,4, 0)</f>
        <v>#N/A</v>
      </c>
    </row>
    <row r="493" spans="1:6">
      <c r="A493" s="998" t="s">
        <v>215</v>
      </c>
      <c r="B493" s="987" t="s">
        <v>212</v>
      </c>
      <c r="C493" s="409" t="e">
        <f>VLOOKUP(A493,Foundation!$B$8:$Q$294,10, 0)</f>
        <v>#N/A</v>
      </c>
      <c r="D493" s="409" t="e">
        <f>VLOOKUP(A493,Foundation!$B$8:$Q$277,12, 0)</f>
        <v>#N/A</v>
      </c>
      <c r="E493" s="409" t="e">
        <f>VLOOKUP(A493,'Erection Compiled '!$B$2:$R$340,10, 0)</f>
        <v>#N/A</v>
      </c>
      <c r="F493" s="409" t="e">
        <f>VLOOKUP(A493,Earthing!$C$7:$H$307,4, 0)</f>
        <v>#N/A</v>
      </c>
    </row>
    <row r="494" spans="1:6">
      <c r="A494" s="1000" t="s">
        <v>1768</v>
      </c>
      <c r="B494" s="990" t="s">
        <v>1729</v>
      </c>
      <c r="C494" s="409" t="e">
        <f>VLOOKUP(A494,Foundation!$B$8:$Q$294,10, 0)</f>
        <v>#N/A</v>
      </c>
      <c r="D494" s="409" t="e">
        <f>VLOOKUP(A494,Foundation!$B$8:$Q$277,12, 0)</f>
        <v>#N/A</v>
      </c>
      <c r="E494" s="409" t="e">
        <f>VLOOKUP(A494,'Erection Compiled '!$B$2:$R$340,10, 0)</f>
        <v>#N/A</v>
      </c>
      <c r="F494" s="409" t="e">
        <f>VLOOKUP(A494,Earthing!$C$7:$H$307,4, 0)</f>
        <v>#N/A</v>
      </c>
    </row>
    <row r="495" spans="1:6">
      <c r="A495" s="998" t="s">
        <v>261</v>
      </c>
      <c r="B495" s="987" t="s">
        <v>147</v>
      </c>
      <c r="C495" s="409" t="e">
        <f>VLOOKUP(A495,Foundation!$B$8:$Q$294,10, 0)</f>
        <v>#N/A</v>
      </c>
      <c r="D495" s="409" t="e">
        <f>VLOOKUP(A495,Foundation!$B$8:$Q$277,12, 0)</f>
        <v>#N/A</v>
      </c>
      <c r="E495" s="409" t="e">
        <f>VLOOKUP(A495,'Erection Compiled '!$B$2:$R$340,10, 0)</f>
        <v>#N/A</v>
      </c>
      <c r="F495" s="409" t="e">
        <f>VLOOKUP(A495,Earthing!$C$7:$H$307,4, 0)</f>
        <v>#N/A</v>
      </c>
    </row>
    <row r="496" spans="1:6">
      <c r="A496" s="1000" t="s">
        <v>1769</v>
      </c>
      <c r="B496" s="990" t="s">
        <v>1729</v>
      </c>
      <c r="C496" s="409" t="e">
        <f>VLOOKUP(A496,Foundation!$B$8:$Q$294,10, 0)</f>
        <v>#N/A</v>
      </c>
      <c r="D496" s="409" t="e">
        <f>VLOOKUP(A496,Foundation!$B$8:$Q$277,12, 0)</f>
        <v>#N/A</v>
      </c>
      <c r="E496" s="409" t="e">
        <f>VLOOKUP(A496,'Erection Compiled '!$B$2:$R$340,10, 0)</f>
        <v>#N/A</v>
      </c>
      <c r="F496" s="409" t="e">
        <f>VLOOKUP(A496,Earthing!$C$7:$H$307,4, 0)</f>
        <v>#N/A</v>
      </c>
    </row>
    <row r="497" spans="1:12">
      <c r="A497" s="1000" t="s">
        <v>1770</v>
      </c>
      <c r="B497" s="990" t="s">
        <v>1735</v>
      </c>
      <c r="C497" s="409" t="e">
        <f>VLOOKUP(A497,Foundation!$B$8:$Q$294,10, 0)</f>
        <v>#N/A</v>
      </c>
      <c r="D497" s="409" t="e">
        <f>VLOOKUP(A497,Foundation!$B$8:$Q$277,12, 0)</f>
        <v>#N/A</v>
      </c>
      <c r="E497" s="409" t="e">
        <f>VLOOKUP(A497,'Erection Compiled '!$B$2:$R$340,10, 0)</f>
        <v>#N/A</v>
      </c>
      <c r="F497" s="409" t="e">
        <f>VLOOKUP(A497,Earthing!$C$7:$H$307,4, 0)</f>
        <v>#N/A</v>
      </c>
    </row>
    <row r="498" spans="1:12">
      <c r="A498" s="1000" t="s">
        <v>1771</v>
      </c>
      <c r="B498" s="990" t="s">
        <v>1729</v>
      </c>
      <c r="C498" s="409" t="e">
        <f>VLOOKUP(A498,Foundation!$B$8:$Q$294,10, 0)</f>
        <v>#N/A</v>
      </c>
      <c r="D498" s="409" t="e">
        <f>VLOOKUP(A498,Foundation!$B$8:$Q$277,12, 0)</f>
        <v>#N/A</v>
      </c>
      <c r="E498" s="409" t="e">
        <f>VLOOKUP(A498,'Erection Compiled '!$B$2:$R$340,10, 0)</f>
        <v>#N/A</v>
      </c>
      <c r="F498" s="409" t="e">
        <f>VLOOKUP(A498,Earthing!$C$7:$H$307,4, 0)</f>
        <v>#N/A</v>
      </c>
    </row>
    <row r="499" spans="1:12">
      <c r="A499" s="1000" t="s">
        <v>1772</v>
      </c>
      <c r="B499" s="990" t="s">
        <v>1729</v>
      </c>
      <c r="C499" s="409" t="e">
        <f>VLOOKUP(A499,Foundation!$B$8:$Q$294,10, 0)</f>
        <v>#N/A</v>
      </c>
      <c r="D499" s="409" t="e">
        <f>VLOOKUP(A499,Foundation!$B$8:$Q$277,12, 0)</f>
        <v>#N/A</v>
      </c>
      <c r="E499" s="409" t="e">
        <f>VLOOKUP(A499,'Erection Compiled '!$B$2:$R$340,10, 0)</f>
        <v>#N/A</v>
      </c>
      <c r="F499" s="409" t="e">
        <f>VLOOKUP(A499,Earthing!$C$7:$H$307,4, 0)</f>
        <v>#N/A</v>
      </c>
    </row>
    <row r="500" spans="1:12">
      <c r="A500" s="1000" t="s">
        <v>1773</v>
      </c>
      <c r="B500" s="990" t="s">
        <v>1729</v>
      </c>
      <c r="C500" s="409" t="e">
        <f>VLOOKUP(A500,Foundation!$B$8:$Q$294,10, 0)</f>
        <v>#N/A</v>
      </c>
      <c r="D500" s="409" t="e">
        <f>VLOOKUP(A500,Foundation!$B$8:$Q$277,12, 0)</f>
        <v>#N/A</v>
      </c>
      <c r="E500" s="409" t="e">
        <f>VLOOKUP(A500,'Erection Compiled '!$B$2:$R$340,10, 0)</f>
        <v>#N/A</v>
      </c>
      <c r="F500" s="409" t="e">
        <f>VLOOKUP(A500,Earthing!$C$7:$H$307,4, 0)</f>
        <v>#N/A</v>
      </c>
    </row>
    <row r="501" spans="1:12">
      <c r="A501" s="1000" t="s">
        <v>1774</v>
      </c>
      <c r="B501" s="990" t="s">
        <v>1729</v>
      </c>
      <c r="C501" s="409" t="e">
        <f>VLOOKUP(A501,Foundation!$B$8:$Q$294,10, 0)</f>
        <v>#N/A</v>
      </c>
      <c r="D501" s="409" t="e">
        <f>VLOOKUP(A501,Foundation!$B$8:$Q$277,12, 0)</f>
        <v>#N/A</v>
      </c>
      <c r="E501" s="409" t="e">
        <f>VLOOKUP(A501,'Erection Compiled '!$B$2:$R$340,10, 0)</f>
        <v>#N/A</v>
      </c>
      <c r="F501" s="409" t="e">
        <f>VLOOKUP(A501,Earthing!$C$7:$H$307,4, 0)</f>
        <v>#N/A</v>
      </c>
    </row>
    <row r="502" spans="1:12">
      <c r="A502" s="1000" t="s">
        <v>1775</v>
      </c>
      <c r="B502" s="990" t="s">
        <v>1729</v>
      </c>
      <c r="C502" s="409" t="e">
        <f>VLOOKUP(A502,Foundation!$B$8:$Q$294,10, 0)</f>
        <v>#N/A</v>
      </c>
      <c r="D502" s="409" t="e">
        <f>VLOOKUP(A502,Foundation!$B$8:$Q$277,12, 0)</f>
        <v>#N/A</v>
      </c>
      <c r="E502" s="409" t="e">
        <f>VLOOKUP(A502,'Erection Compiled '!$B$2:$R$340,10, 0)</f>
        <v>#N/A</v>
      </c>
      <c r="F502" s="409" t="e">
        <f>VLOOKUP(A502,Earthing!$C$7:$H$307,4, 0)</f>
        <v>#N/A</v>
      </c>
      <c r="L502" s="1013" t="s">
        <v>1700</v>
      </c>
    </row>
    <row r="503" spans="1:12">
      <c r="A503" s="1000" t="s">
        <v>1776</v>
      </c>
      <c r="B503" s="990" t="s">
        <v>1729</v>
      </c>
      <c r="C503" s="409" t="e">
        <f>VLOOKUP(A503,Foundation!$B$8:$Q$294,10, 0)</f>
        <v>#N/A</v>
      </c>
      <c r="D503" s="409" t="e">
        <f>VLOOKUP(A503,Foundation!$B$8:$Q$277,12, 0)</f>
        <v>#N/A</v>
      </c>
      <c r="E503" s="409" t="e">
        <f>VLOOKUP(A503,'Erection Compiled '!$B$2:$R$340,10, 0)</f>
        <v>#N/A</v>
      </c>
      <c r="F503" s="409" t="e">
        <f>VLOOKUP(A503,Earthing!$C$7:$H$307,4, 0)</f>
        <v>#N/A</v>
      </c>
    </row>
    <row r="504" spans="1:12">
      <c r="A504" s="1000" t="s">
        <v>1777</v>
      </c>
      <c r="B504" s="990" t="s">
        <v>1730</v>
      </c>
      <c r="C504" s="409" t="e">
        <f>VLOOKUP(A504,Foundation!$B$8:$Q$294,10, 0)</f>
        <v>#N/A</v>
      </c>
      <c r="D504" s="409" t="e">
        <f>VLOOKUP(A504,Foundation!$B$8:$Q$277,12, 0)</f>
        <v>#N/A</v>
      </c>
      <c r="E504" s="409" t="e">
        <f>VLOOKUP(A504,'Erection Compiled '!$B$2:$R$340,10, 0)</f>
        <v>#N/A</v>
      </c>
      <c r="F504" s="409" t="e">
        <f>VLOOKUP(A504,Earthing!$C$7:$H$307,4, 0)</f>
        <v>#N/A</v>
      </c>
    </row>
    <row r="505" spans="1:12">
      <c r="A505" s="1000" t="s">
        <v>1778</v>
      </c>
      <c r="B505" s="990" t="s">
        <v>1735</v>
      </c>
      <c r="C505" s="409" t="e">
        <f>VLOOKUP(A505,Foundation!$B$8:$Q$294,10, 0)</f>
        <v>#N/A</v>
      </c>
      <c r="D505" s="409" t="e">
        <f>VLOOKUP(A505,Foundation!$B$8:$Q$277,12, 0)</f>
        <v>#N/A</v>
      </c>
      <c r="E505" s="409" t="e">
        <f>VLOOKUP(A505,'Erection Compiled '!$B$2:$R$340,10, 0)</f>
        <v>#N/A</v>
      </c>
      <c r="F505" s="409" t="e">
        <f>VLOOKUP(A505,Earthing!$C$7:$H$307,4, 0)</f>
        <v>#N/A</v>
      </c>
    </row>
    <row r="506" spans="1:12">
      <c r="A506" s="1000" t="s">
        <v>1779</v>
      </c>
      <c r="B506" s="990" t="s">
        <v>1735</v>
      </c>
      <c r="C506" s="409" t="e">
        <f>VLOOKUP(A506,Foundation!$B$8:$Q$294,10, 0)</f>
        <v>#N/A</v>
      </c>
      <c r="D506" s="409" t="e">
        <f>VLOOKUP(A506,Foundation!$B$8:$Q$277,12, 0)</f>
        <v>#N/A</v>
      </c>
      <c r="E506" s="409" t="e">
        <f>VLOOKUP(A506,'Erection Compiled '!$B$2:$R$340,10, 0)</f>
        <v>#N/A</v>
      </c>
      <c r="F506" s="409" t="e">
        <f>VLOOKUP(A506,Earthing!$C$7:$H$307,4, 0)</f>
        <v>#N/A</v>
      </c>
    </row>
    <row r="507" spans="1:12">
      <c r="A507" s="1002" t="s">
        <v>411</v>
      </c>
      <c r="B507" s="989" t="s">
        <v>147</v>
      </c>
      <c r="C507" s="409" t="e">
        <f>VLOOKUP(A507,Foundation!$B$8:$Q$294,10, 0)</f>
        <v>#N/A</v>
      </c>
      <c r="D507" s="409" t="e">
        <f>VLOOKUP(A507,Foundation!$B$8:$Q$277,12, 0)</f>
        <v>#N/A</v>
      </c>
      <c r="E507" s="409" t="e">
        <f>VLOOKUP(A507,'Erection Compiled '!$B$2:$R$340,10, 0)</f>
        <v>#N/A</v>
      </c>
      <c r="F507" s="409" t="e">
        <f>VLOOKUP(A507,Earthing!$C$7:$H$307,4, 0)</f>
        <v>#N/A</v>
      </c>
    </row>
    <row r="508" spans="1:12">
      <c r="A508" s="1002" t="s">
        <v>834</v>
      </c>
      <c r="B508" s="989" t="s">
        <v>93</v>
      </c>
      <c r="C508" s="409" t="e">
        <f>VLOOKUP(A508,Foundation!$B$8:$Q$294,10, 0)</f>
        <v>#N/A</v>
      </c>
      <c r="D508" s="409" t="e">
        <f>VLOOKUP(A508,Foundation!$B$8:$Q$277,12, 0)</f>
        <v>#N/A</v>
      </c>
      <c r="E508" s="409" t="e">
        <f>VLOOKUP(A508,'Erection Compiled '!$B$2:$R$340,10, 0)</f>
        <v>#N/A</v>
      </c>
      <c r="F508" s="409" t="e">
        <f>VLOOKUP(A508,Earthing!$C$7:$H$307,4, 0)</f>
        <v>#N/A</v>
      </c>
    </row>
    <row r="509" spans="1:12">
      <c r="A509" s="1002" t="s">
        <v>160</v>
      </c>
      <c r="B509" s="989" t="s">
        <v>112</v>
      </c>
      <c r="C509" s="409" t="e">
        <f>VLOOKUP(A509,Foundation!$B$8:$Q$294,10, 0)</f>
        <v>#N/A</v>
      </c>
      <c r="D509" s="409" t="e">
        <f>VLOOKUP(A509,Foundation!$B$8:$Q$277,12, 0)</f>
        <v>#N/A</v>
      </c>
      <c r="E509" s="409" t="e">
        <f>VLOOKUP(A509,'Erection Compiled '!$B$2:$R$340,10, 0)</f>
        <v>#N/A</v>
      </c>
      <c r="F509" s="409" t="e">
        <f>VLOOKUP(A509,Earthing!$C$7:$H$307,4, 0)</f>
        <v>#N/A</v>
      </c>
    </row>
  </sheetData>
  <autoFilter ref="A1:F509" xr:uid="{A03346DD-6EC4-4F7D-BC47-30AA0EA60D12}">
    <filterColumn colId="2">
      <filters>
        <filter val="DFR"/>
        <filter val="Sandy"/>
      </filters>
    </filterColumn>
  </autoFilter>
  <conditionalFormatting sqref="A34:A501">
    <cfRule type="duplicateValues" dxfId="135" priority="1"/>
  </conditionalFormatting>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W383"/>
  <sheetViews>
    <sheetView view="pageBreakPreview" zoomScale="80" zoomScaleNormal="80" zoomScaleSheetLayoutView="80" workbookViewId="0">
      <selection activeCell="O2" sqref="O2:Q2"/>
    </sheetView>
  </sheetViews>
  <sheetFormatPr defaultRowHeight="14.4"/>
  <cols>
    <col min="1" max="1" width="4.77734375" customWidth="1"/>
    <col min="2" max="3" width="8.88671875" style="778"/>
    <col min="4" max="4" width="13" style="778" customWidth="1"/>
    <col min="5" max="5" width="13.88671875" customWidth="1"/>
    <col min="6" max="6" width="13" style="778" customWidth="1"/>
    <col min="7" max="7" width="10.33203125" customWidth="1"/>
    <col min="8" max="9" width="8.88671875" style="897"/>
    <col min="10" max="10" width="4.109375" style="897" customWidth="1"/>
    <col min="11" max="11" width="2.109375" style="897" customWidth="1"/>
    <col min="12" max="12" width="21.5546875" style="778" customWidth="1"/>
    <col min="13" max="13" width="32.77734375" style="778" bestFit="1" customWidth="1"/>
    <col min="14" max="14" width="10.77734375" customWidth="1"/>
    <col min="17" max="17" width="3.109375" customWidth="1"/>
  </cols>
  <sheetData>
    <row r="1" spans="1:49" ht="34.200000000000003" customHeight="1">
      <c r="A1" s="1223" t="s">
        <v>976</v>
      </c>
      <c r="B1" s="1223" t="s">
        <v>467</v>
      </c>
      <c r="C1" s="1223" t="s">
        <v>1849</v>
      </c>
      <c r="D1" s="1223" t="s">
        <v>76</v>
      </c>
      <c r="E1" s="1223" t="s">
        <v>170</v>
      </c>
      <c r="F1" s="1223" t="s">
        <v>171</v>
      </c>
      <c r="G1" s="1223" t="s">
        <v>1628</v>
      </c>
      <c r="H1" s="1344" t="s">
        <v>1787</v>
      </c>
      <c r="I1" s="1344"/>
      <c r="J1" s="1344"/>
      <c r="K1" s="1344"/>
      <c r="L1" s="1223" t="s">
        <v>1630</v>
      </c>
      <c r="M1" s="1223" t="s">
        <v>1629</v>
      </c>
      <c r="N1" s="1223" t="s">
        <v>1788</v>
      </c>
      <c r="O1" s="1344" t="s">
        <v>188</v>
      </c>
      <c r="P1" s="1344"/>
      <c r="Q1" s="1344"/>
    </row>
    <row r="2" spans="1:49" ht="32.4" customHeight="1">
      <c r="A2" s="1222">
        <v>1</v>
      </c>
      <c r="B2" s="1219" t="s">
        <v>1820</v>
      </c>
      <c r="C2" s="1220" t="s">
        <v>1609</v>
      </c>
      <c r="D2" s="1221" t="s">
        <v>1827</v>
      </c>
      <c r="E2" s="1222" t="s">
        <v>256</v>
      </c>
      <c r="F2" s="1221">
        <v>46108</v>
      </c>
      <c r="G2" s="1224"/>
      <c r="H2" s="1345" t="s">
        <v>242</v>
      </c>
      <c r="I2" s="1345"/>
      <c r="J2" s="1345"/>
      <c r="K2" s="1345"/>
      <c r="L2" s="1221"/>
      <c r="M2" s="1221" t="s">
        <v>1861</v>
      </c>
      <c r="N2" s="1222">
        <v>28</v>
      </c>
      <c r="O2" s="1346"/>
      <c r="P2" s="1347"/>
      <c r="Q2" s="1348"/>
    </row>
    <row r="3" spans="1:49" ht="19.95" customHeight="1">
      <c r="A3" s="1018"/>
      <c r="B3" s="1016"/>
      <c r="C3" s="1016"/>
      <c r="D3" s="1019"/>
      <c r="E3" s="1018"/>
      <c r="F3" s="1017"/>
      <c r="G3" s="1020"/>
      <c r="H3" s="1349"/>
      <c r="I3" s="1349"/>
      <c r="J3" s="1349"/>
      <c r="K3" s="1349"/>
      <c r="L3" s="1017"/>
      <c r="M3" s="1021"/>
      <c r="N3" s="1018"/>
      <c r="O3" s="1022"/>
      <c r="P3" s="1022"/>
      <c r="Q3" s="1022"/>
      <c r="R3" s="1023"/>
      <c r="S3" s="1023"/>
      <c r="T3" s="1023"/>
      <c r="U3" s="1023"/>
      <c r="V3" s="1023"/>
      <c r="W3" s="1023"/>
      <c r="X3" s="1023"/>
      <c r="Y3" s="1023"/>
      <c r="Z3" s="1023"/>
      <c r="AA3" s="1023"/>
      <c r="AB3" s="1023"/>
      <c r="AC3" s="1023"/>
      <c r="AD3" s="1023"/>
      <c r="AE3" s="1023"/>
      <c r="AF3" s="1023"/>
      <c r="AG3" s="1023"/>
      <c r="AH3" s="1023"/>
      <c r="AI3" s="1023"/>
      <c r="AJ3" s="1023"/>
      <c r="AK3" s="1023"/>
      <c r="AL3" s="1023"/>
      <c r="AM3" s="1023"/>
      <c r="AN3" s="1023"/>
      <c r="AO3" s="1023"/>
      <c r="AP3" s="1023"/>
      <c r="AQ3" s="1023"/>
      <c r="AR3" s="1023"/>
      <c r="AS3" s="1023"/>
      <c r="AT3" s="1023"/>
      <c r="AU3" s="1023"/>
      <c r="AV3" s="1023"/>
      <c r="AW3" s="1023"/>
    </row>
    <row r="4" spans="1:49" ht="19.95" customHeight="1">
      <c r="A4" s="1018"/>
      <c r="B4" s="1016"/>
      <c r="C4" s="1016"/>
      <c r="D4" s="1019"/>
      <c r="E4" s="1018"/>
      <c r="F4" s="1017"/>
      <c r="G4" s="1020"/>
      <c r="H4" s="1349"/>
      <c r="I4" s="1349"/>
      <c r="J4" s="1349"/>
      <c r="K4" s="1349"/>
      <c r="L4" s="1017"/>
      <c r="M4" s="1021"/>
      <c r="N4" s="1018"/>
      <c r="O4" s="1022"/>
      <c r="P4" s="1022"/>
      <c r="Q4" s="1022"/>
      <c r="R4" s="1023"/>
      <c r="S4" s="1023"/>
      <c r="T4" s="1023"/>
      <c r="U4" s="1023"/>
      <c r="V4" s="1023"/>
      <c r="W4" s="1023"/>
      <c r="X4" s="1023"/>
      <c r="Y4" s="1023"/>
      <c r="Z4" s="1023"/>
      <c r="AA4" s="1023"/>
      <c r="AB4" s="1023"/>
      <c r="AC4" s="1023"/>
      <c r="AD4" s="1023"/>
      <c r="AE4" s="1023"/>
      <c r="AF4" s="1023"/>
      <c r="AG4" s="1023"/>
      <c r="AH4" s="1023"/>
      <c r="AI4" s="1023"/>
      <c r="AJ4" s="1023"/>
      <c r="AK4" s="1023"/>
      <c r="AL4" s="1023"/>
      <c r="AM4" s="1023"/>
      <c r="AN4" s="1023"/>
      <c r="AO4" s="1023"/>
      <c r="AP4" s="1023"/>
      <c r="AQ4" s="1023"/>
      <c r="AR4" s="1023"/>
      <c r="AS4" s="1023"/>
      <c r="AT4" s="1023"/>
      <c r="AU4" s="1023"/>
      <c r="AV4" s="1023"/>
      <c r="AW4" s="1023"/>
    </row>
    <row r="5" spans="1:49" ht="19.95" customHeight="1">
      <c r="A5" s="1018"/>
      <c r="B5" s="1016"/>
      <c r="C5" s="1016"/>
      <c r="D5" s="1019"/>
      <c r="E5" s="1018"/>
      <c r="F5" s="1017"/>
      <c r="G5" s="1020"/>
      <c r="H5" s="1349"/>
      <c r="I5" s="1349"/>
      <c r="J5" s="1349"/>
      <c r="K5" s="1349"/>
      <c r="L5" s="1017"/>
      <c r="M5" s="1021"/>
      <c r="N5" s="1018"/>
      <c r="O5" s="1022"/>
      <c r="P5" s="1022"/>
      <c r="Q5" s="1022"/>
      <c r="R5" s="1023"/>
      <c r="S5" s="1023"/>
      <c r="T5" s="1023"/>
      <c r="U5" s="1023"/>
      <c r="V5" s="1023"/>
      <c r="W5" s="1023"/>
      <c r="X5" s="1023"/>
      <c r="Y5" s="1023"/>
      <c r="Z5" s="1023"/>
      <c r="AA5" s="1023"/>
      <c r="AB5" s="1023"/>
      <c r="AC5" s="1023"/>
      <c r="AD5" s="1023"/>
      <c r="AE5" s="1023"/>
      <c r="AF5" s="1023"/>
      <c r="AG5" s="1023"/>
      <c r="AH5" s="1023"/>
      <c r="AI5" s="1023"/>
      <c r="AJ5" s="1023"/>
      <c r="AK5" s="1023"/>
      <c r="AL5" s="1023"/>
      <c r="AM5" s="1023"/>
      <c r="AN5" s="1023"/>
      <c r="AO5" s="1023"/>
      <c r="AP5" s="1023"/>
      <c r="AQ5" s="1023"/>
      <c r="AR5" s="1023"/>
      <c r="AS5" s="1023"/>
      <c r="AT5" s="1023"/>
      <c r="AU5" s="1023"/>
      <c r="AV5" s="1023"/>
      <c r="AW5" s="1023"/>
    </row>
    <row r="6" spans="1:49" ht="19.95" customHeight="1">
      <c r="A6" s="1018"/>
      <c r="B6" s="1016"/>
      <c r="C6" s="1016"/>
      <c r="D6" s="1019"/>
      <c r="E6" s="1018"/>
      <c r="F6" s="1017"/>
      <c r="G6" s="1020"/>
      <c r="H6" s="1349"/>
      <c r="I6" s="1349"/>
      <c r="J6" s="1349"/>
      <c r="K6" s="1349"/>
      <c r="L6" s="1017"/>
      <c r="M6" s="1021"/>
      <c r="N6" s="1018"/>
      <c r="O6" s="1022"/>
      <c r="P6" s="1022"/>
      <c r="Q6" s="1022"/>
      <c r="R6" s="1023"/>
      <c r="S6" s="1023"/>
      <c r="T6" s="1023"/>
      <c r="U6" s="1023"/>
      <c r="V6" s="1085"/>
      <c r="W6" s="1023"/>
      <c r="X6" s="1023"/>
      <c r="Y6" s="1023"/>
      <c r="Z6" s="1023"/>
      <c r="AA6" s="1023"/>
      <c r="AB6" s="1023"/>
      <c r="AC6" s="1023"/>
      <c r="AD6" s="1023"/>
      <c r="AE6" s="1023"/>
      <c r="AF6" s="1023"/>
      <c r="AG6" s="1023"/>
      <c r="AH6" s="1023"/>
      <c r="AI6" s="1023"/>
      <c r="AJ6" s="1023"/>
      <c r="AK6" s="1023"/>
      <c r="AL6" s="1023"/>
      <c r="AM6" s="1023"/>
      <c r="AN6" s="1023"/>
      <c r="AO6" s="1023"/>
      <c r="AP6" s="1023"/>
      <c r="AQ6" s="1023"/>
      <c r="AR6" s="1023"/>
      <c r="AS6" s="1023"/>
      <c r="AT6" s="1023"/>
      <c r="AU6" s="1023"/>
      <c r="AV6" s="1023"/>
      <c r="AW6" s="1023"/>
    </row>
    <row r="7" spans="1:49" ht="19.95" customHeight="1">
      <c r="A7" s="1018"/>
      <c r="B7" s="1016"/>
      <c r="C7" s="1016"/>
      <c r="D7" s="1019"/>
      <c r="E7" s="1018"/>
      <c r="F7" s="1017"/>
      <c r="G7" s="1020"/>
      <c r="H7" s="1349"/>
      <c r="I7" s="1349"/>
      <c r="J7" s="1349"/>
      <c r="K7" s="1349"/>
      <c r="L7" s="1017"/>
      <c r="M7" s="1021"/>
      <c r="N7" s="1018"/>
      <c r="O7" s="1022"/>
      <c r="P7" s="1022"/>
      <c r="Q7" s="1022"/>
      <c r="R7" s="1023"/>
      <c r="S7" s="1023"/>
      <c r="T7" s="1023"/>
      <c r="U7" s="1023"/>
      <c r="V7" s="1023"/>
      <c r="W7" s="1023"/>
      <c r="X7" s="1023"/>
      <c r="Y7" s="1023"/>
      <c r="Z7" s="1023"/>
      <c r="AA7" s="1023"/>
      <c r="AB7" s="1023"/>
      <c r="AC7" s="1023"/>
      <c r="AD7" s="1023"/>
      <c r="AE7" s="1023"/>
      <c r="AF7" s="1023"/>
      <c r="AG7" s="1023"/>
      <c r="AH7" s="1023"/>
      <c r="AI7" s="1023"/>
      <c r="AJ7" s="1023"/>
      <c r="AK7" s="1023"/>
      <c r="AL7" s="1023"/>
      <c r="AM7" s="1023"/>
      <c r="AN7" s="1023"/>
      <c r="AO7" s="1023"/>
      <c r="AP7" s="1023"/>
      <c r="AQ7" s="1023"/>
      <c r="AR7" s="1023"/>
      <c r="AS7" s="1023"/>
      <c r="AT7" s="1023"/>
      <c r="AU7" s="1023"/>
      <c r="AV7" s="1023"/>
      <c r="AW7" s="1023"/>
    </row>
    <row r="8" spans="1:49" ht="19.95" customHeight="1">
      <c r="A8" s="1018"/>
      <c r="B8" s="1016"/>
      <c r="C8" s="1016"/>
      <c r="D8" s="1019"/>
      <c r="E8" s="1018"/>
      <c r="F8" s="1017"/>
      <c r="G8" s="1020"/>
      <c r="H8" s="1349"/>
      <c r="I8" s="1349"/>
      <c r="J8" s="1349"/>
      <c r="K8" s="1349"/>
      <c r="L8" s="1017"/>
      <c r="M8" s="1021"/>
      <c r="N8" s="1018"/>
      <c r="O8" s="1022"/>
      <c r="P8" s="1022"/>
      <c r="Q8" s="1022"/>
      <c r="R8" s="1023"/>
      <c r="S8" s="1023"/>
      <c r="T8" s="1023"/>
      <c r="U8" s="1023"/>
      <c r="V8" s="1023"/>
      <c r="W8" s="1023"/>
      <c r="X8" s="1023"/>
      <c r="Y8" s="1023"/>
      <c r="Z8" s="1023"/>
      <c r="AA8" s="1023"/>
      <c r="AB8" s="1023"/>
      <c r="AC8" s="1023"/>
      <c r="AD8" s="1023"/>
      <c r="AE8" s="1023"/>
      <c r="AF8" s="1023"/>
      <c r="AG8" s="1023"/>
      <c r="AH8" s="1023"/>
      <c r="AI8" s="1023"/>
      <c r="AJ8" s="1023"/>
      <c r="AK8" s="1023"/>
      <c r="AL8" s="1023"/>
      <c r="AM8" s="1023"/>
      <c r="AN8" s="1023"/>
      <c r="AO8" s="1023"/>
      <c r="AP8" s="1023"/>
      <c r="AQ8" s="1023"/>
      <c r="AR8" s="1023"/>
      <c r="AS8" s="1023"/>
      <c r="AT8" s="1023"/>
      <c r="AU8" s="1023"/>
      <c r="AV8" s="1023"/>
      <c r="AW8" s="1023"/>
    </row>
    <row r="9" spans="1:49" ht="19.95" customHeight="1">
      <c r="A9" s="1018"/>
      <c r="B9" s="1016"/>
      <c r="C9" s="1016"/>
      <c r="D9" s="1019"/>
      <c r="E9" s="1018"/>
      <c r="F9" s="1017"/>
      <c r="G9" s="1020"/>
      <c r="H9" s="1349"/>
      <c r="I9" s="1349"/>
      <c r="J9" s="1349"/>
      <c r="K9" s="1349"/>
      <c r="L9" s="1017"/>
      <c r="M9" s="1021"/>
      <c r="N9" s="1018"/>
      <c r="O9" s="1022"/>
      <c r="P9" s="1022"/>
      <c r="Q9" s="1022"/>
      <c r="R9" s="1023"/>
      <c r="S9" s="1023"/>
      <c r="T9" s="1023"/>
      <c r="U9" s="1023"/>
      <c r="V9" s="1023"/>
      <c r="W9" s="1023"/>
      <c r="X9" s="1023"/>
      <c r="Y9" s="1023"/>
      <c r="Z9" s="1023"/>
      <c r="AA9" s="1023"/>
      <c r="AB9" s="1023"/>
      <c r="AC9" s="1023"/>
      <c r="AD9" s="1023"/>
      <c r="AE9" s="1023"/>
      <c r="AF9" s="1023"/>
      <c r="AG9" s="1023"/>
      <c r="AH9" s="1023"/>
      <c r="AI9" s="1023"/>
      <c r="AJ9" s="1023"/>
      <c r="AK9" s="1023"/>
      <c r="AL9" s="1023"/>
      <c r="AM9" s="1023"/>
      <c r="AN9" s="1023"/>
      <c r="AO9" s="1023"/>
      <c r="AP9" s="1023"/>
      <c r="AQ9" s="1023"/>
      <c r="AR9" s="1023"/>
      <c r="AS9" s="1023"/>
      <c r="AT9" s="1023"/>
      <c r="AU9" s="1023"/>
      <c r="AV9" s="1023"/>
      <c r="AW9" s="1023"/>
    </row>
    <row r="10" spans="1:49" ht="19.95" customHeight="1">
      <c r="A10" s="1018"/>
      <c r="B10" s="1016"/>
      <c r="C10" s="1016"/>
      <c r="D10" s="1019"/>
      <c r="E10" s="1018"/>
      <c r="F10" s="1017"/>
      <c r="G10" s="1020"/>
      <c r="H10" s="1349"/>
      <c r="I10" s="1349"/>
      <c r="J10" s="1349"/>
      <c r="K10" s="1349"/>
      <c r="L10" s="1017"/>
      <c r="M10" s="1021"/>
      <c r="N10" s="1018"/>
      <c r="O10" s="1022"/>
      <c r="P10" s="1022"/>
      <c r="Q10" s="1022"/>
      <c r="R10" s="1023"/>
      <c r="S10" s="1023"/>
      <c r="T10" s="1023"/>
      <c r="U10" s="1023"/>
      <c r="V10" s="1023"/>
      <c r="W10" s="1023"/>
      <c r="X10" s="1023"/>
      <c r="Y10" s="1023"/>
      <c r="Z10" s="1023"/>
      <c r="AA10" s="1023"/>
      <c r="AB10" s="1023"/>
      <c r="AC10" s="1023"/>
      <c r="AD10" s="1023"/>
      <c r="AE10" s="1023"/>
      <c r="AF10" s="1023"/>
      <c r="AG10" s="1023"/>
      <c r="AH10" s="1023"/>
      <c r="AI10" s="1023"/>
      <c r="AJ10" s="1023"/>
      <c r="AK10" s="1023"/>
      <c r="AL10" s="1023"/>
      <c r="AM10" s="1023"/>
      <c r="AN10" s="1023"/>
      <c r="AO10" s="1023"/>
      <c r="AP10" s="1023"/>
      <c r="AQ10" s="1023"/>
      <c r="AR10" s="1023"/>
      <c r="AS10" s="1023"/>
      <c r="AT10" s="1023"/>
      <c r="AU10" s="1023"/>
      <c r="AV10" s="1023"/>
      <c r="AW10" s="1023"/>
    </row>
    <row r="11" spans="1:49" ht="19.95" customHeight="1">
      <c r="A11" s="1018"/>
      <c r="B11" s="1016"/>
      <c r="C11" s="1016"/>
      <c r="D11" s="1019"/>
      <c r="E11" s="1018"/>
      <c r="F11" s="1017"/>
      <c r="G11" s="1020"/>
      <c r="H11" s="1349"/>
      <c r="I11" s="1349"/>
      <c r="J11" s="1349"/>
      <c r="K11" s="1349"/>
      <c r="L11" s="1017"/>
      <c r="M11" s="1021"/>
      <c r="N11" s="1018"/>
      <c r="O11" s="1022"/>
      <c r="P11" s="1022"/>
      <c r="Q11" s="1022"/>
      <c r="R11" s="1023"/>
      <c r="S11" s="1023"/>
      <c r="T11" s="1023"/>
      <c r="U11" s="1023"/>
      <c r="V11" s="1023"/>
      <c r="W11" s="1023"/>
      <c r="X11" s="1023"/>
      <c r="Y11" s="1023"/>
      <c r="Z11" s="1023"/>
      <c r="AA11" s="1023"/>
      <c r="AB11" s="1023"/>
      <c r="AC11" s="1023"/>
      <c r="AD11" s="1023"/>
      <c r="AE11" s="1023"/>
      <c r="AF11" s="1023"/>
      <c r="AG11" s="1023"/>
      <c r="AH11" s="1023"/>
      <c r="AI11" s="1023"/>
      <c r="AJ11" s="1023"/>
      <c r="AK11" s="1023"/>
      <c r="AL11" s="1023"/>
      <c r="AM11" s="1023"/>
      <c r="AN11" s="1023"/>
      <c r="AO11" s="1023"/>
      <c r="AP11" s="1023"/>
      <c r="AQ11" s="1023"/>
      <c r="AR11" s="1023"/>
      <c r="AS11" s="1023"/>
      <c r="AT11" s="1023"/>
      <c r="AU11" s="1023"/>
      <c r="AV11" s="1023"/>
      <c r="AW11" s="1023"/>
    </row>
    <row r="12" spans="1:49" ht="19.95" customHeight="1">
      <c r="A12" s="1018"/>
      <c r="B12" s="1016"/>
      <c r="C12" s="1016"/>
      <c r="D12" s="1019"/>
      <c r="E12" s="1018"/>
      <c r="F12" s="1017"/>
      <c r="G12" s="1020"/>
      <c r="H12" s="1349"/>
      <c r="I12" s="1349"/>
      <c r="J12" s="1349"/>
      <c r="K12" s="1349"/>
      <c r="L12" s="1017"/>
      <c r="M12" s="1021"/>
      <c r="N12" s="1018"/>
      <c r="O12" s="1022"/>
      <c r="P12" s="1022"/>
      <c r="Q12" s="1022"/>
      <c r="R12" s="1023"/>
      <c r="S12" s="1023"/>
      <c r="T12" s="1023"/>
      <c r="U12" s="1023"/>
      <c r="V12" s="1023"/>
      <c r="W12" s="1023"/>
      <c r="X12" s="1023"/>
      <c r="Y12" s="1023"/>
      <c r="Z12" s="1023"/>
      <c r="AA12" s="1023"/>
      <c r="AB12" s="1023"/>
      <c r="AC12" s="1023"/>
      <c r="AD12" s="1023"/>
      <c r="AE12" s="1023"/>
      <c r="AF12" s="1023"/>
      <c r="AG12" s="1023"/>
      <c r="AH12" s="1023"/>
      <c r="AI12" s="1023"/>
      <c r="AJ12" s="1023"/>
      <c r="AK12" s="1023"/>
      <c r="AL12" s="1023"/>
      <c r="AM12" s="1023"/>
      <c r="AN12" s="1023"/>
      <c r="AO12" s="1023"/>
      <c r="AP12" s="1023"/>
      <c r="AQ12" s="1023"/>
      <c r="AR12" s="1023"/>
      <c r="AS12" s="1023"/>
      <c r="AT12" s="1023"/>
      <c r="AU12" s="1023"/>
      <c r="AV12" s="1023"/>
      <c r="AW12" s="1023"/>
    </row>
    <row r="13" spans="1:49" ht="19.95" customHeight="1">
      <c r="A13" s="1018"/>
      <c r="B13" s="1016"/>
      <c r="C13" s="1016"/>
      <c r="D13" s="1019"/>
      <c r="E13" s="1018"/>
      <c r="F13" s="1017"/>
      <c r="G13" s="1020"/>
      <c r="H13" s="1349"/>
      <c r="I13" s="1349"/>
      <c r="J13" s="1349"/>
      <c r="K13" s="1349"/>
      <c r="L13" s="1017"/>
      <c r="M13" s="1021"/>
      <c r="N13" s="1018"/>
      <c r="O13" s="1022"/>
      <c r="P13" s="1022"/>
      <c r="Q13" s="1022"/>
      <c r="R13" s="1023"/>
      <c r="S13" s="1023"/>
      <c r="T13" s="1023"/>
      <c r="U13" s="1023"/>
      <c r="V13" s="1023"/>
      <c r="W13" s="1023"/>
      <c r="X13" s="1023"/>
      <c r="Y13" s="1023"/>
      <c r="Z13" s="1023"/>
      <c r="AA13" s="1023"/>
      <c r="AB13" s="1023"/>
      <c r="AC13" s="1023"/>
      <c r="AD13" s="1023"/>
      <c r="AE13" s="1023"/>
      <c r="AF13" s="1023"/>
      <c r="AG13" s="1023"/>
      <c r="AH13" s="1023"/>
      <c r="AI13" s="1023"/>
      <c r="AJ13" s="1023"/>
      <c r="AK13" s="1023"/>
      <c r="AL13" s="1023"/>
      <c r="AM13" s="1023"/>
      <c r="AN13" s="1023"/>
      <c r="AO13" s="1023"/>
      <c r="AP13" s="1023"/>
      <c r="AQ13" s="1023"/>
      <c r="AR13" s="1023"/>
      <c r="AS13" s="1023"/>
      <c r="AT13" s="1023"/>
      <c r="AU13" s="1023"/>
      <c r="AV13" s="1023"/>
      <c r="AW13" s="1023"/>
    </row>
    <row r="14" spans="1:49" ht="19.95" customHeight="1">
      <c r="A14" s="1018"/>
      <c r="B14" s="1016"/>
      <c r="C14" s="1016"/>
      <c r="D14" s="1019"/>
      <c r="E14" s="1018"/>
      <c r="F14" s="1017"/>
      <c r="G14" s="1020"/>
      <c r="H14" s="1349"/>
      <c r="I14" s="1349"/>
      <c r="J14" s="1349"/>
      <c r="K14" s="1349"/>
      <c r="L14" s="1017"/>
      <c r="M14" s="1021"/>
      <c r="N14" s="1018"/>
      <c r="O14" s="1022"/>
      <c r="P14" s="1022"/>
      <c r="Q14" s="1022"/>
      <c r="R14" s="1023"/>
      <c r="S14" s="1023"/>
      <c r="T14" s="1023"/>
      <c r="U14" s="1023"/>
      <c r="V14" s="1023"/>
      <c r="W14" s="1023"/>
      <c r="X14" s="1023"/>
      <c r="Y14" s="1023"/>
      <c r="Z14" s="1023"/>
      <c r="AA14" s="1023"/>
      <c r="AB14" s="1023"/>
      <c r="AC14" s="1023"/>
      <c r="AD14" s="1023"/>
      <c r="AE14" s="1023"/>
      <c r="AF14" s="1023"/>
      <c r="AG14" s="1023"/>
      <c r="AH14" s="1023"/>
      <c r="AI14" s="1023"/>
      <c r="AJ14" s="1023"/>
      <c r="AK14" s="1023"/>
      <c r="AL14" s="1023"/>
      <c r="AM14" s="1023"/>
      <c r="AN14" s="1023"/>
      <c r="AO14" s="1023"/>
      <c r="AP14" s="1023"/>
      <c r="AQ14" s="1023"/>
      <c r="AR14" s="1023"/>
      <c r="AS14" s="1023"/>
      <c r="AT14" s="1023"/>
      <c r="AU14" s="1023"/>
      <c r="AV14" s="1023"/>
      <c r="AW14" s="1023"/>
    </row>
    <row r="15" spans="1:49" ht="19.95" customHeight="1">
      <c r="A15" s="1018"/>
      <c r="B15" s="1016"/>
      <c r="C15" s="1016"/>
      <c r="D15" s="1019"/>
      <c r="E15" s="1018"/>
      <c r="F15" s="1017"/>
      <c r="G15" s="1020"/>
      <c r="H15" s="1349"/>
      <c r="I15" s="1349"/>
      <c r="J15" s="1349"/>
      <c r="K15" s="1349"/>
      <c r="L15" s="1017"/>
      <c r="M15" s="1021"/>
      <c r="N15" s="1018"/>
      <c r="O15" s="1022"/>
      <c r="P15" s="1022"/>
      <c r="Q15" s="1022"/>
      <c r="R15" s="1023"/>
      <c r="S15" s="1023"/>
      <c r="T15" s="1023"/>
      <c r="U15" s="1023"/>
      <c r="V15" s="1023"/>
      <c r="W15" s="1023"/>
      <c r="X15" s="1023"/>
      <c r="Y15" s="1023"/>
      <c r="Z15" s="1023"/>
      <c r="AA15" s="1023"/>
      <c r="AB15" s="1023"/>
      <c r="AC15" s="1023"/>
      <c r="AD15" s="1023"/>
      <c r="AE15" s="1023"/>
      <c r="AF15" s="1023"/>
      <c r="AG15" s="1023"/>
      <c r="AH15" s="1023"/>
      <c r="AI15" s="1023"/>
      <c r="AJ15" s="1023"/>
      <c r="AK15" s="1023"/>
      <c r="AL15" s="1023"/>
      <c r="AM15" s="1023"/>
      <c r="AN15" s="1023"/>
      <c r="AO15" s="1023"/>
      <c r="AP15" s="1023"/>
      <c r="AQ15" s="1023"/>
      <c r="AR15" s="1023"/>
      <c r="AS15" s="1023"/>
      <c r="AT15" s="1023"/>
      <c r="AU15" s="1023"/>
      <c r="AV15" s="1023"/>
      <c r="AW15" s="1023"/>
    </row>
    <row r="16" spans="1:49" ht="19.95" customHeight="1">
      <c r="A16" s="1018"/>
      <c r="B16" s="1016"/>
      <c r="C16" s="1016"/>
      <c r="D16" s="1019"/>
      <c r="E16" s="1018"/>
      <c r="F16" s="1017"/>
      <c r="G16" s="1020"/>
      <c r="H16" s="1349"/>
      <c r="I16" s="1349"/>
      <c r="J16" s="1349"/>
      <c r="K16" s="1349"/>
      <c r="L16" s="1017"/>
      <c r="M16" s="1021"/>
      <c r="N16" s="1018"/>
      <c r="O16" s="1022"/>
      <c r="P16" s="1022"/>
      <c r="Q16" s="1022"/>
      <c r="R16" s="1023"/>
      <c r="S16" s="1023"/>
      <c r="T16" s="1023"/>
      <c r="U16" s="1023"/>
      <c r="V16" s="1023"/>
      <c r="W16" s="1023"/>
      <c r="X16" s="1023"/>
      <c r="Y16" s="1023"/>
      <c r="Z16" s="1023"/>
      <c r="AA16" s="1023"/>
      <c r="AB16" s="1023"/>
      <c r="AC16" s="1023"/>
      <c r="AD16" s="1023"/>
      <c r="AE16" s="1023"/>
      <c r="AF16" s="1023"/>
      <c r="AG16" s="1023"/>
      <c r="AH16" s="1023"/>
      <c r="AI16" s="1023"/>
      <c r="AJ16" s="1023"/>
      <c r="AK16" s="1023"/>
      <c r="AL16" s="1023"/>
      <c r="AM16" s="1023"/>
      <c r="AN16" s="1023"/>
      <c r="AO16" s="1023"/>
      <c r="AP16" s="1023"/>
      <c r="AQ16" s="1023"/>
      <c r="AR16" s="1023"/>
      <c r="AS16" s="1023"/>
      <c r="AT16" s="1023"/>
      <c r="AU16" s="1023"/>
      <c r="AV16" s="1023"/>
      <c r="AW16" s="1023"/>
    </row>
    <row r="17" spans="1:49" ht="19.95" customHeight="1">
      <c r="A17" s="1018"/>
      <c r="B17" s="1016"/>
      <c r="C17" s="1016"/>
      <c r="D17" s="1019"/>
      <c r="E17" s="1018"/>
      <c r="F17" s="1017"/>
      <c r="G17" s="1020"/>
      <c r="H17" s="1349"/>
      <c r="I17" s="1349"/>
      <c r="J17" s="1349"/>
      <c r="K17" s="1349"/>
      <c r="L17" s="1017"/>
      <c r="M17" s="1021"/>
      <c r="N17" s="1018"/>
      <c r="O17" s="1022"/>
      <c r="P17" s="1022"/>
      <c r="Q17" s="1022"/>
      <c r="R17" s="1023"/>
      <c r="S17" s="1023"/>
      <c r="T17" s="1023"/>
      <c r="U17" s="1023"/>
      <c r="V17" s="1023"/>
      <c r="W17" s="1023"/>
      <c r="X17" s="1023"/>
      <c r="Y17" s="1023"/>
      <c r="Z17" s="1023"/>
      <c r="AA17" s="1023"/>
      <c r="AB17" s="1023"/>
      <c r="AC17" s="1023"/>
      <c r="AD17" s="1023"/>
      <c r="AE17" s="1023"/>
      <c r="AF17" s="1023"/>
      <c r="AG17" s="1023"/>
      <c r="AH17" s="1023"/>
      <c r="AI17" s="1023"/>
      <c r="AJ17" s="1023"/>
      <c r="AK17" s="1023"/>
      <c r="AL17" s="1023"/>
      <c r="AM17" s="1023"/>
      <c r="AN17" s="1023"/>
      <c r="AO17" s="1023"/>
      <c r="AP17" s="1023"/>
      <c r="AQ17" s="1023"/>
      <c r="AR17" s="1023"/>
      <c r="AS17" s="1023"/>
      <c r="AT17" s="1023"/>
      <c r="AU17" s="1023"/>
      <c r="AV17" s="1023"/>
      <c r="AW17" s="1023"/>
    </row>
    <row r="18" spans="1:49" ht="19.95" customHeight="1">
      <c r="A18" s="1018"/>
      <c r="B18" s="1016"/>
      <c r="C18" s="1016"/>
      <c r="D18" s="1019"/>
      <c r="E18" s="1018"/>
      <c r="F18" s="1017"/>
      <c r="G18" s="1020"/>
      <c r="H18" s="1349"/>
      <c r="I18" s="1349"/>
      <c r="J18" s="1349"/>
      <c r="K18" s="1349"/>
      <c r="L18" s="1017"/>
      <c r="M18" s="1021"/>
      <c r="N18" s="1018"/>
      <c r="O18" s="1022"/>
      <c r="P18" s="1022"/>
      <c r="Q18" s="1022"/>
      <c r="R18" s="1023"/>
      <c r="S18" s="1023"/>
      <c r="T18" s="1023"/>
      <c r="U18" s="1023"/>
      <c r="V18" s="1023"/>
      <c r="W18" s="1023"/>
      <c r="X18" s="1023"/>
      <c r="Y18" s="1023"/>
      <c r="Z18" s="1023"/>
      <c r="AA18" s="1023"/>
      <c r="AB18" s="1023"/>
      <c r="AC18" s="1023"/>
      <c r="AD18" s="1023"/>
      <c r="AE18" s="1023"/>
      <c r="AF18" s="1023"/>
      <c r="AG18" s="1023"/>
      <c r="AH18" s="1023"/>
      <c r="AI18" s="1023"/>
      <c r="AJ18" s="1023"/>
      <c r="AK18" s="1023"/>
      <c r="AL18" s="1023"/>
      <c r="AM18" s="1023"/>
      <c r="AN18" s="1023"/>
      <c r="AO18" s="1023"/>
      <c r="AP18" s="1023"/>
      <c r="AQ18" s="1023"/>
      <c r="AR18" s="1023"/>
      <c r="AS18" s="1023"/>
      <c r="AT18" s="1023"/>
      <c r="AU18" s="1023"/>
      <c r="AV18" s="1023"/>
      <c r="AW18" s="1023"/>
    </row>
    <row r="19" spans="1:49" ht="19.95" customHeight="1">
      <c r="A19" s="1018"/>
      <c r="B19" s="1016"/>
      <c r="C19" s="1016"/>
      <c r="D19" s="1019"/>
      <c r="E19" s="1018"/>
      <c r="F19" s="1017"/>
      <c r="G19" s="1020"/>
      <c r="H19" s="1349"/>
      <c r="I19" s="1349"/>
      <c r="J19" s="1349"/>
      <c r="K19" s="1349"/>
      <c r="L19" s="1017"/>
      <c r="M19" s="1021"/>
      <c r="N19" s="1018"/>
      <c r="O19" s="1022"/>
      <c r="P19" s="1022"/>
      <c r="Q19" s="1022"/>
      <c r="R19" s="1023"/>
      <c r="S19" s="1023"/>
      <c r="T19" s="1023"/>
      <c r="U19" s="1023"/>
      <c r="V19" s="1023"/>
      <c r="W19" s="1023"/>
      <c r="X19" s="1023"/>
      <c r="Y19" s="1023"/>
      <c r="Z19" s="1023"/>
      <c r="AA19" s="1023"/>
      <c r="AB19" s="1023"/>
      <c r="AC19" s="1023"/>
      <c r="AD19" s="1023"/>
      <c r="AE19" s="1023"/>
      <c r="AF19" s="1023"/>
      <c r="AG19" s="1023"/>
      <c r="AH19" s="1023"/>
      <c r="AI19" s="1023"/>
      <c r="AJ19" s="1023"/>
      <c r="AK19" s="1023"/>
      <c r="AL19" s="1023"/>
      <c r="AM19" s="1023"/>
      <c r="AN19" s="1023"/>
      <c r="AO19" s="1023"/>
      <c r="AP19" s="1023"/>
      <c r="AQ19" s="1023"/>
      <c r="AR19" s="1023"/>
      <c r="AS19" s="1023"/>
      <c r="AT19" s="1023"/>
      <c r="AU19" s="1023"/>
      <c r="AV19" s="1023"/>
      <c r="AW19" s="1023"/>
    </row>
    <row r="20" spans="1:49" ht="19.95" customHeight="1">
      <c r="A20" s="1018"/>
      <c r="B20" s="1016"/>
      <c r="C20" s="1016"/>
      <c r="D20" s="1019"/>
      <c r="E20" s="1018"/>
      <c r="F20" s="1017"/>
      <c r="G20" s="1020"/>
      <c r="H20" s="1349"/>
      <c r="I20" s="1349"/>
      <c r="J20" s="1349"/>
      <c r="K20" s="1349"/>
      <c r="L20" s="1017"/>
      <c r="M20" s="1021"/>
      <c r="N20" s="1018"/>
      <c r="O20" s="1022"/>
      <c r="P20" s="1022"/>
      <c r="Q20" s="1022"/>
      <c r="R20" s="1023"/>
      <c r="S20" s="1023"/>
      <c r="T20" s="1023"/>
      <c r="U20" s="1023"/>
      <c r="V20" s="1023"/>
      <c r="W20" s="1023"/>
      <c r="X20" s="1023"/>
      <c r="Y20" s="1023"/>
      <c r="Z20" s="1023"/>
      <c r="AA20" s="1023"/>
      <c r="AB20" s="1023"/>
      <c r="AC20" s="1023"/>
      <c r="AD20" s="1023"/>
      <c r="AE20" s="1023"/>
      <c r="AF20" s="1023"/>
      <c r="AG20" s="1023"/>
      <c r="AH20" s="1023"/>
      <c r="AI20" s="1023"/>
      <c r="AJ20" s="1023"/>
      <c r="AK20" s="1023"/>
      <c r="AL20" s="1023"/>
      <c r="AM20" s="1023"/>
      <c r="AN20" s="1023"/>
      <c r="AO20" s="1023"/>
      <c r="AP20" s="1023"/>
      <c r="AQ20" s="1023"/>
      <c r="AR20" s="1023"/>
      <c r="AS20" s="1023"/>
      <c r="AT20" s="1023"/>
      <c r="AU20" s="1023"/>
      <c r="AV20" s="1023"/>
      <c r="AW20" s="1023"/>
    </row>
    <row r="21" spans="1:49" ht="19.95" customHeight="1">
      <c r="A21" s="1018"/>
      <c r="B21" s="1016"/>
      <c r="C21" s="1016"/>
      <c r="D21" s="1019"/>
      <c r="E21" s="1018"/>
      <c r="F21" s="1017"/>
      <c r="G21" s="1020"/>
      <c r="H21" s="1349"/>
      <c r="I21" s="1349"/>
      <c r="J21" s="1349"/>
      <c r="K21" s="1349"/>
      <c r="L21" s="1017"/>
      <c r="M21" s="1021"/>
      <c r="N21" s="1018"/>
      <c r="O21" s="1022"/>
      <c r="P21" s="1022"/>
      <c r="Q21" s="1022"/>
      <c r="R21" s="1023"/>
      <c r="S21" s="1023"/>
      <c r="T21" s="1023"/>
      <c r="U21" s="1023"/>
      <c r="V21" s="1023"/>
      <c r="W21" s="1023"/>
      <c r="X21" s="1023"/>
      <c r="Y21" s="1023"/>
      <c r="Z21" s="1023"/>
      <c r="AA21" s="1023"/>
      <c r="AB21" s="1023"/>
      <c r="AC21" s="1023"/>
      <c r="AD21" s="1023"/>
      <c r="AE21" s="1023"/>
      <c r="AF21" s="1023"/>
      <c r="AG21" s="1023"/>
      <c r="AH21" s="1023"/>
      <c r="AI21" s="1023"/>
      <c r="AJ21" s="1023"/>
      <c r="AK21" s="1023"/>
      <c r="AL21" s="1023"/>
      <c r="AM21" s="1023"/>
      <c r="AN21" s="1023"/>
      <c r="AO21" s="1023"/>
      <c r="AP21" s="1023"/>
      <c r="AQ21" s="1023"/>
      <c r="AR21" s="1023"/>
      <c r="AS21" s="1023"/>
      <c r="AT21" s="1023"/>
      <c r="AU21" s="1023"/>
      <c r="AV21" s="1023"/>
      <c r="AW21" s="1023"/>
    </row>
    <row r="22" spans="1:49" ht="19.95" customHeight="1">
      <c r="A22" s="1018"/>
      <c r="B22" s="1016"/>
      <c r="C22" s="1016"/>
      <c r="D22" s="1019"/>
      <c r="E22" s="1018"/>
      <c r="F22" s="1017"/>
      <c r="G22" s="1020"/>
      <c r="H22" s="1349"/>
      <c r="I22" s="1349"/>
      <c r="J22" s="1349"/>
      <c r="K22" s="1349"/>
      <c r="L22" s="1017"/>
      <c r="M22" s="1021"/>
      <c r="N22" s="1018"/>
      <c r="O22" s="1022"/>
      <c r="P22" s="1022"/>
      <c r="Q22" s="1022"/>
      <c r="R22" s="1023"/>
      <c r="S22" s="1023"/>
      <c r="T22" s="1023"/>
      <c r="U22" s="1023"/>
      <c r="V22" s="1023"/>
      <c r="W22" s="1023"/>
      <c r="X22" s="1023"/>
      <c r="Y22" s="1023"/>
      <c r="Z22" s="1023"/>
      <c r="AA22" s="1023"/>
      <c r="AB22" s="1023"/>
      <c r="AC22" s="1023"/>
      <c r="AD22" s="1023"/>
      <c r="AE22" s="1023"/>
      <c r="AF22" s="1023"/>
      <c r="AG22" s="1023"/>
      <c r="AH22" s="1023"/>
      <c r="AI22" s="1023"/>
      <c r="AJ22" s="1023"/>
      <c r="AK22" s="1023"/>
      <c r="AL22" s="1023"/>
      <c r="AM22" s="1023"/>
      <c r="AN22" s="1023"/>
      <c r="AO22" s="1023"/>
      <c r="AP22" s="1023"/>
      <c r="AQ22" s="1023"/>
      <c r="AR22" s="1023"/>
      <c r="AS22" s="1023"/>
      <c r="AT22" s="1023"/>
      <c r="AU22" s="1023"/>
      <c r="AV22" s="1023"/>
      <c r="AW22" s="1023"/>
    </row>
    <row r="23" spans="1:49" ht="19.95" customHeight="1">
      <c r="A23" s="1018"/>
      <c r="B23" s="1016"/>
      <c r="C23" s="1016"/>
      <c r="D23" s="1019"/>
      <c r="E23" s="1018"/>
      <c r="F23" s="1017"/>
      <c r="G23" s="1020"/>
      <c r="H23" s="1349"/>
      <c r="I23" s="1349"/>
      <c r="J23" s="1349"/>
      <c r="K23" s="1349"/>
      <c r="L23" s="1017"/>
      <c r="M23" s="1021"/>
      <c r="N23" s="1018"/>
      <c r="O23" s="1022"/>
      <c r="P23" s="1022"/>
      <c r="Q23" s="1022"/>
      <c r="R23" s="1023"/>
      <c r="S23" s="1023"/>
      <c r="T23" s="1023"/>
      <c r="U23" s="1023"/>
      <c r="V23" s="1023"/>
      <c r="W23" s="1023"/>
      <c r="X23" s="1023"/>
      <c r="Y23" s="1023"/>
      <c r="Z23" s="1023"/>
      <c r="AA23" s="1023"/>
      <c r="AB23" s="1023"/>
      <c r="AC23" s="1023"/>
      <c r="AD23" s="1023"/>
      <c r="AE23" s="1023"/>
      <c r="AF23" s="1023"/>
      <c r="AG23" s="1023"/>
      <c r="AH23" s="1023"/>
      <c r="AI23" s="1023"/>
      <c r="AJ23" s="1023"/>
      <c r="AK23" s="1023"/>
      <c r="AL23" s="1023"/>
      <c r="AM23" s="1023"/>
      <c r="AN23" s="1023"/>
      <c r="AO23" s="1023"/>
      <c r="AP23" s="1023"/>
      <c r="AQ23" s="1023"/>
      <c r="AR23" s="1023"/>
      <c r="AS23" s="1023"/>
      <c r="AT23" s="1023"/>
      <c r="AU23" s="1023"/>
      <c r="AV23" s="1023"/>
      <c r="AW23" s="1023"/>
    </row>
    <row r="24" spans="1:49" ht="19.95" customHeight="1">
      <c r="A24" s="1018"/>
      <c r="B24" s="1016"/>
      <c r="C24" s="1016"/>
      <c r="D24" s="1019"/>
      <c r="E24" s="1018"/>
      <c r="F24" s="1017"/>
      <c r="G24" s="1020"/>
      <c r="H24" s="1349"/>
      <c r="I24" s="1349"/>
      <c r="J24" s="1349"/>
      <c r="K24" s="1349"/>
      <c r="L24" s="1017"/>
      <c r="M24" s="1021"/>
      <c r="N24" s="1018"/>
      <c r="O24" s="1022"/>
      <c r="P24" s="1022"/>
      <c r="Q24" s="1022"/>
      <c r="R24" s="1023"/>
      <c r="S24" s="1023"/>
      <c r="T24" s="1023"/>
      <c r="U24" s="1023"/>
      <c r="V24" s="1023"/>
      <c r="W24" s="1023"/>
      <c r="X24" s="1023"/>
      <c r="Y24" s="1023"/>
      <c r="Z24" s="1023"/>
      <c r="AA24" s="1023"/>
      <c r="AB24" s="1023"/>
      <c r="AC24" s="1023"/>
      <c r="AD24" s="1023"/>
      <c r="AE24" s="1023"/>
      <c r="AF24" s="1023"/>
      <c r="AG24" s="1023"/>
      <c r="AH24" s="1023"/>
      <c r="AI24" s="1023"/>
      <c r="AJ24" s="1023"/>
      <c r="AK24" s="1023"/>
      <c r="AL24" s="1023"/>
      <c r="AM24" s="1023"/>
      <c r="AN24" s="1023"/>
      <c r="AO24" s="1023"/>
      <c r="AP24" s="1023"/>
      <c r="AQ24" s="1023"/>
      <c r="AR24" s="1023"/>
      <c r="AS24" s="1023"/>
      <c r="AT24" s="1023"/>
      <c r="AU24" s="1023"/>
      <c r="AV24" s="1023"/>
      <c r="AW24" s="1023"/>
    </row>
    <row r="25" spans="1:49" ht="19.95" customHeight="1">
      <c r="A25" s="1018"/>
      <c r="B25" s="1016"/>
      <c r="C25" s="1016"/>
      <c r="D25" s="1019"/>
      <c r="E25" s="1018"/>
      <c r="F25" s="1017"/>
      <c r="G25" s="1020"/>
      <c r="H25" s="1349"/>
      <c r="I25" s="1349"/>
      <c r="J25" s="1349"/>
      <c r="K25" s="1349"/>
      <c r="L25" s="1017"/>
      <c r="M25" s="1021"/>
      <c r="N25" s="1018"/>
      <c r="O25" s="1022"/>
      <c r="P25" s="1022"/>
      <c r="Q25" s="1022"/>
      <c r="R25" s="1023"/>
      <c r="S25" s="1023"/>
      <c r="T25" s="1023"/>
      <c r="U25" s="1023"/>
      <c r="V25" s="1023"/>
      <c r="W25" s="1023"/>
      <c r="X25" s="1023"/>
      <c r="Y25" s="1023"/>
      <c r="Z25" s="1023"/>
      <c r="AA25" s="1023"/>
      <c r="AB25" s="1023"/>
      <c r="AC25" s="1023"/>
      <c r="AD25" s="1023"/>
      <c r="AE25" s="1023"/>
      <c r="AF25" s="1023"/>
      <c r="AG25" s="1023"/>
      <c r="AH25" s="1023"/>
      <c r="AI25" s="1023"/>
      <c r="AJ25" s="1023"/>
      <c r="AK25" s="1023"/>
      <c r="AL25" s="1023"/>
      <c r="AM25" s="1023"/>
      <c r="AN25" s="1023"/>
      <c r="AO25" s="1023"/>
      <c r="AP25" s="1023"/>
      <c r="AQ25" s="1023"/>
      <c r="AR25" s="1023"/>
      <c r="AS25" s="1023"/>
      <c r="AT25" s="1023"/>
      <c r="AU25" s="1023"/>
      <c r="AV25" s="1023"/>
      <c r="AW25" s="1023"/>
    </row>
    <row r="26" spans="1:49" ht="19.95" customHeight="1">
      <c r="A26" s="1018"/>
      <c r="B26" s="1016"/>
      <c r="C26" s="1016"/>
      <c r="D26" s="1019"/>
      <c r="E26" s="1018"/>
      <c r="F26" s="1017"/>
      <c r="G26" s="1020"/>
      <c r="H26" s="1349"/>
      <c r="I26" s="1349"/>
      <c r="J26" s="1349"/>
      <c r="K26" s="1349"/>
      <c r="L26" s="1017"/>
      <c r="M26" s="1021"/>
      <c r="N26" s="1018"/>
      <c r="O26" s="1022"/>
      <c r="P26" s="1022"/>
      <c r="Q26" s="1022"/>
      <c r="R26" s="1023"/>
      <c r="S26" s="1023"/>
      <c r="T26" s="1023"/>
      <c r="U26" s="1023"/>
      <c r="V26" s="1023"/>
      <c r="W26" s="1023"/>
      <c r="X26" s="1023"/>
      <c r="Y26" s="1023"/>
      <c r="Z26" s="1023"/>
      <c r="AA26" s="1023"/>
      <c r="AB26" s="1023"/>
      <c r="AC26" s="1023"/>
      <c r="AD26" s="1023"/>
      <c r="AE26" s="1023"/>
      <c r="AF26" s="1023"/>
      <c r="AG26" s="1023"/>
      <c r="AH26" s="1023"/>
      <c r="AI26" s="1023"/>
      <c r="AJ26" s="1023"/>
      <c r="AK26" s="1023"/>
      <c r="AL26" s="1023"/>
      <c r="AM26" s="1023"/>
      <c r="AN26" s="1023"/>
      <c r="AO26" s="1023"/>
      <c r="AP26" s="1023"/>
      <c r="AQ26" s="1023"/>
      <c r="AR26" s="1023"/>
      <c r="AS26" s="1023"/>
      <c r="AT26" s="1023"/>
      <c r="AU26" s="1023"/>
      <c r="AV26" s="1023"/>
      <c r="AW26" s="1023"/>
    </row>
    <row r="27" spans="1:49" ht="19.95" customHeight="1">
      <c r="A27" s="1018"/>
      <c r="B27" s="1016"/>
      <c r="C27" s="1016"/>
      <c r="D27" s="1019"/>
      <c r="E27" s="1018"/>
      <c r="F27" s="1017"/>
      <c r="G27" s="1020"/>
      <c r="H27" s="1349"/>
      <c r="I27" s="1349"/>
      <c r="J27" s="1349"/>
      <c r="K27" s="1349"/>
      <c r="L27" s="1017"/>
      <c r="M27" s="1021"/>
      <c r="N27" s="1018"/>
      <c r="O27" s="1022"/>
      <c r="P27" s="1022"/>
      <c r="Q27" s="1022"/>
      <c r="R27" s="1023"/>
      <c r="S27" s="1023"/>
      <c r="T27" s="1023"/>
      <c r="U27" s="1023"/>
      <c r="V27" s="1023"/>
      <c r="W27" s="1023"/>
      <c r="X27" s="1023"/>
      <c r="Y27" s="1023"/>
      <c r="Z27" s="1023"/>
      <c r="AA27" s="1023"/>
      <c r="AB27" s="1023"/>
      <c r="AC27" s="1023"/>
      <c r="AD27" s="1023"/>
      <c r="AE27" s="1023"/>
      <c r="AF27" s="1023"/>
      <c r="AG27" s="1023"/>
      <c r="AH27" s="1023"/>
      <c r="AI27" s="1023"/>
      <c r="AJ27" s="1023"/>
      <c r="AK27" s="1023"/>
      <c r="AL27" s="1023"/>
      <c r="AM27" s="1023"/>
      <c r="AN27" s="1023"/>
      <c r="AO27" s="1023"/>
      <c r="AP27" s="1023"/>
      <c r="AQ27" s="1023"/>
      <c r="AR27" s="1023"/>
      <c r="AS27" s="1023"/>
      <c r="AT27" s="1023"/>
      <c r="AU27" s="1023"/>
      <c r="AV27" s="1023"/>
      <c r="AW27" s="1023"/>
    </row>
    <row r="28" spans="1:49" ht="19.95" customHeight="1">
      <c r="A28" s="1018"/>
      <c r="B28" s="1016"/>
      <c r="C28" s="1016"/>
      <c r="D28" s="1019"/>
      <c r="E28" s="1018"/>
      <c r="F28" s="1017"/>
      <c r="G28" s="1020"/>
      <c r="H28" s="1349"/>
      <c r="I28" s="1349"/>
      <c r="J28" s="1349"/>
      <c r="K28" s="1349"/>
      <c r="L28" s="1017"/>
      <c r="M28" s="1021"/>
      <c r="N28" s="1018"/>
      <c r="O28" s="1022"/>
      <c r="P28" s="1022"/>
      <c r="Q28" s="1022"/>
      <c r="R28" s="1023"/>
      <c r="S28" s="1023"/>
      <c r="T28" s="1023"/>
      <c r="U28" s="1023"/>
      <c r="V28" s="1023"/>
      <c r="W28" s="1023"/>
      <c r="X28" s="1023"/>
      <c r="Y28" s="1023"/>
      <c r="Z28" s="1023"/>
      <c r="AA28" s="1023"/>
      <c r="AB28" s="1023"/>
      <c r="AC28" s="1023"/>
      <c r="AD28" s="1023"/>
      <c r="AE28" s="1023"/>
      <c r="AF28" s="1023"/>
      <c r="AG28" s="1023"/>
      <c r="AH28" s="1023"/>
      <c r="AI28" s="1023"/>
      <c r="AJ28" s="1023"/>
      <c r="AK28" s="1023"/>
      <c r="AL28" s="1023"/>
      <c r="AM28" s="1023"/>
      <c r="AN28" s="1023"/>
      <c r="AO28" s="1023"/>
      <c r="AP28" s="1023"/>
      <c r="AQ28" s="1023"/>
      <c r="AR28" s="1023"/>
      <c r="AS28" s="1023"/>
      <c r="AT28" s="1023"/>
      <c r="AU28" s="1023"/>
      <c r="AV28" s="1023"/>
      <c r="AW28" s="1023"/>
    </row>
    <row r="29" spans="1:49" ht="19.95" customHeight="1">
      <c r="A29" s="1018"/>
      <c r="B29" s="1016"/>
      <c r="C29" s="1016"/>
      <c r="D29" s="1019"/>
      <c r="E29" s="1018"/>
      <c r="F29" s="1017"/>
      <c r="G29" s="1020"/>
      <c r="H29" s="1349"/>
      <c r="I29" s="1349"/>
      <c r="J29" s="1349"/>
      <c r="K29" s="1349"/>
      <c r="L29" s="1017"/>
      <c r="M29" s="1021"/>
      <c r="N29" s="1018"/>
      <c r="O29" s="1022"/>
      <c r="P29" s="1022"/>
      <c r="Q29" s="1022"/>
      <c r="R29" s="1023"/>
      <c r="S29" s="1023"/>
      <c r="T29" s="1023"/>
      <c r="U29" s="1023"/>
      <c r="V29" s="1023"/>
      <c r="W29" s="1023"/>
      <c r="X29" s="1023"/>
      <c r="Y29" s="1023"/>
      <c r="Z29" s="1023"/>
      <c r="AA29" s="1023"/>
      <c r="AB29" s="1023"/>
      <c r="AC29" s="1023"/>
      <c r="AD29" s="1023"/>
      <c r="AE29" s="1023"/>
      <c r="AF29" s="1023"/>
      <c r="AG29" s="1023"/>
      <c r="AH29" s="1023"/>
      <c r="AI29" s="1023"/>
      <c r="AJ29" s="1023"/>
      <c r="AK29" s="1023"/>
      <c r="AL29" s="1023"/>
      <c r="AM29" s="1023"/>
      <c r="AN29" s="1023"/>
      <c r="AO29" s="1023"/>
      <c r="AP29" s="1023"/>
      <c r="AQ29" s="1023"/>
      <c r="AR29" s="1023"/>
      <c r="AS29" s="1023"/>
      <c r="AT29" s="1023"/>
      <c r="AU29" s="1023"/>
      <c r="AV29" s="1023"/>
      <c r="AW29" s="1023"/>
    </row>
    <row r="30" spans="1:49" ht="19.95" customHeight="1">
      <c r="A30" s="1018"/>
      <c r="B30" s="1016"/>
      <c r="C30" s="1016"/>
      <c r="D30" s="1019"/>
      <c r="E30" s="1018"/>
      <c r="F30" s="1017"/>
      <c r="G30" s="1020"/>
      <c r="H30" s="1349"/>
      <c r="I30" s="1349"/>
      <c r="J30" s="1349"/>
      <c r="K30" s="1349"/>
      <c r="L30" s="1017"/>
      <c r="M30" s="1021"/>
      <c r="N30" s="1018"/>
      <c r="O30" s="1022"/>
      <c r="P30" s="1022"/>
      <c r="Q30" s="1022"/>
      <c r="R30" s="1023"/>
      <c r="S30" s="1023"/>
      <c r="T30" s="1023"/>
      <c r="U30" s="1023"/>
      <c r="V30" s="1023"/>
      <c r="W30" s="1023"/>
      <c r="X30" s="1023"/>
      <c r="Y30" s="1023"/>
      <c r="Z30" s="1023"/>
      <c r="AA30" s="1023"/>
      <c r="AB30" s="1023"/>
      <c r="AC30" s="1023"/>
      <c r="AD30" s="1023"/>
      <c r="AE30" s="1023"/>
      <c r="AF30" s="1023"/>
      <c r="AG30" s="1023"/>
      <c r="AH30" s="1023"/>
      <c r="AI30" s="1023"/>
      <c r="AJ30" s="1023"/>
      <c r="AK30" s="1023"/>
      <c r="AL30" s="1023"/>
      <c r="AM30" s="1023"/>
      <c r="AN30" s="1023"/>
      <c r="AO30" s="1023"/>
      <c r="AP30" s="1023"/>
      <c r="AQ30" s="1023"/>
      <c r="AR30" s="1023"/>
      <c r="AS30" s="1023"/>
      <c r="AT30" s="1023"/>
      <c r="AU30" s="1023"/>
      <c r="AV30" s="1023"/>
      <c r="AW30" s="1023"/>
    </row>
    <row r="31" spans="1:49" ht="19.95" customHeight="1">
      <c r="A31" s="1018"/>
      <c r="B31" s="1016"/>
      <c r="C31" s="1016"/>
      <c r="D31" s="1019"/>
      <c r="E31" s="1018"/>
      <c r="F31" s="1017"/>
      <c r="G31" s="1020"/>
      <c r="H31" s="1349"/>
      <c r="I31" s="1349"/>
      <c r="J31" s="1349"/>
      <c r="K31" s="1349"/>
      <c r="L31" s="1017"/>
      <c r="M31" s="1021"/>
      <c r="N31" s="1018"/>
      <c r="O31" s="1022"/>
      <c r="P31" s="1022"/>
      <c r="Q31" s="1022"/>
      <c r="R31" s="1023"/>
      <c r="S31" s="1023"/>
      <c r="T31" s="1023"/>
      <c r="U31" s="1023"/>
      <c r="V31" s="1023"/>
      <c r="W31" s="1023"/>
      <c r="X31" s="1023"/>
      <c r="Y31" s="1023"/>
      <c r="Z31" s="1023"/>
      <c r="AA31" s="1023"/>
      <c r="AB31" s="1023"/>
      <c r="AC31" s="1023"/>
      <c r="AD31" s="1023"/>
      <c r="AE31" s="1023"/>
      <c r="AF31" s="1023"/>
      <c r="AG31" s="1023"/>
      <c r="AH31" s="1023"/>
      <c r="AI31" s="1023"/>
      <c r="AJ31" s="1023"/>
      <c r="AK31" s="1023"/>
      <c r="AL31" s="1023"/>
      <c r="AM31" s="1023"/>
      <c r="AN31" s="1023"/>
      <c r="AO31" s="1023"/>
      <c r="AP31" s="1023"/>
      <c r="AQ31" s="1023"/>
      <c r="AR31" s="1023"/>
      <c r="AS31" s="1023"/>
      <c r="AT31" s="1023"/>
      <c r="AU31" s="1023"/>
      <c r="AV31" s="1023"/>
      <c r="AW31" s="1023"/>
    </row>
    <row r="32" spans="1:49" ht="19.95" customHeight="1">
      <c r="A32" s="1018"/>
      <c r="B32" s="1016"/>
      <c r="C32" s="1016"/>
      <c r="D32" s="1019"/>
      <c r="E32" s="1018"/>
      <c r="F32" s="1017"/>
      <c r="G32" s="1020"/>
      <c r="H32" s="1349"/>
      <c r="I32" s="1349"/>
      <c r="J32" s="1349"/>
      <c r="K32" s="1349"/>
      <c r="L32" s="1017"/>
      <c r="M32" s="1021"/>
      <c r="N32" s="1018"/>
      <c r="O32" s="1022"/>
      <c r="P32" s="1022"/>
      <c r="Q32" s="1022"/>
      <c r="R32" s="1023"/>
      <c r="S32" s="1023"/>
      <c r="T32" s="1023"/>
      <c r="U32" s="1023"/>
      <c r="V32" s="1023"/>
      <c r="W32" s="1023"/>
      <c r="X32" s="1023"/>
      <c r="Y32" s="1023"/>
      <c r="Z32" s="1023"/>
      <c r="AA32" s="1023"/>
      <c r="AB32" s="1023"/>
      <c r="AC32" s="1023"/>
      <c r="AD32" s="1023"/>
      <c r="AE32" s="1023"/>
      <c r="AF32" s="1023"/>
      <c r="AG32" s="1023"/>
      <c r="AH32" s="1023"/>
      <c r="AI32" s="1023"/>
      <c r="AJ32" s="1023"/>
      <c r="AK32" s="1023"/>
      <c r="AL32" s="1023"/>
      <c r="AM32" s="1023"/>
      <c r="AN32" s="1023"/>
      <c r="AO32" s="1023"/>
      <c r="AP32" s="1023"/>
      <c r="AQ32" s="1023"/>
      <c r="AR32" s="1023"/>
      <c r="AS32" s="1023"/>
      <c r="AT32" s="1023"/>
      <c r="AU32" s="1023"/>
      <c r="AV32" s="1023"/>
      <c r="AW32" s="1023"/>
    </row>
    <row r="33" spans="1:49" ht="19.95" customHeight="1">
      <c r="A33" s="1018"/>
      <c r="B33" s="1016"/>
      <c r="C33" s="1016"/>
      <c r="D33" s="1019"/>
      <c r="E33" s="1018"/>
      <c r="F33" s="1017"/>
      <c r="G33" s="1020"/>
      <c r="H33" s="1349"/>
      <c r="I33" s="1349"/>
      <c r="J33" s="1349"/>
      <c r="K33" s="1349"/>
      <c r="L33" s="1017"/>
      <c r="M33" s="1021"/>
      <c r="N33" s="1018"/>
      <c r="O33" s="1022"/>
      <c r="P33" s="1022"/>
      <c r="Q33" s="1022"/>
      <c r="R33" s="1023"/>
      <c r="S33" s="1023"/>
      <c r="T33" s="1023"/>
      <c r="U33" s="1023"/>
      <c r="V33" s="1023"/>
      <c r="W33" s="1023"/>
      <c r="X33" s="1023"/>
      <c r="Y33" s="1023"/>
      <c r="Z33" s="1023"/>
      <c r="AA33" s="1023"/>
      <c r="AB33" s="1023"/>
      <c r="AC33" s="1023"/>
      <c r="AD33" s="1023"/>
      <c r="AE33" s="1023"/>
      <c r="AF33" s="1023"/>
      <c r="AG33" s="1023"/>
      <c r="AH33" s="1023"/>
      <c r="AI33" s="1023"/>
      <c r="AJ33" s="1023"/>
      <c r="AK33" s="1023"/>
      <c r="AL33" s="1023"/>
      <c r="AM33" s="1023"/>
      <c r="AN33" s="1023"/>
      <c r="AO33" s="1023"/>
      <c r="AP33" s="1023"/>
      <c r="AQ33" s="1023"/>
      <c r="AR33" s="1023"/>
      <c r="AS33" s="1023"/>
      <c r="AT33" s="1023"/>
      <c r="AU33" s="1023"/>
      <c r="AV33" s="1023"/>
      <c r="AW33" s="1023"/>
    </row>
    <row r="34" spans="1:49" ht="19.95" customHeight="1">
      <c r="A34" s="1018"/>
      <c r="B34" s="1016"/>
      <c r="C34" s="1016"/>
      <c r="D34" s="1019"/>
      <c r="E34" s="1018"/>
      <c r="F34" s="1017"/>
      <c r="G34" s="1020"/>
      <c r="H34" s="1349"/>
      <c r="I34" s="1349"/>
      <c r="J34" s="1349"/>
      <c r="K34" s="1349"/>
      <c r="L34" s="1017"/>
      <c r="M34" s="1021"/>
      <c r="N34" s="1018"/>
      <c r="O34" s="1022"/>
      <c r="P34" s="1022"/>
      <c r="Q34" s="1022"/>
      <c r="R34" s="1023"/>
      <c r="S34" s="1023"/>
      <c r="T34" s="1023"/>
      <c r="U34" s="1023"/>
      <c r="V34" s="1023"/>
      <c r="W34" s="1023"/>
      <c r="X34" s="1023"/>
      <c r="Y34" s="1023"/>
      <c r="Z34" s="1023"/>
      <c r="AA34" s="1023"/>
      <c r="AB34" s="1023"/>
      <c r="AC34" s="1023"/>
      <c r="AD34" s="1023"/>
      <c r="AE34" s="1023"/>
      <c r="AF34" s="1023"/>
      <c r="AG34" s="1023"/>
      <c r="AH34" s="1023"/>
      <c r="AI34" s="1023"/>
      <c r="AJ34" s="1023"/>
      <c r="AK34" s="1023"/>
      <c r="AL34" s="1023"/>
      <c r="AM34" s="1023"/>
      <c r="AN34" s="1023"/>
      <c r="AO34" s="1023"/>
      <c r="AP34" s="1023"/>
      <c r="AQ34" s="1023"/>
      <c r="AR34" s="1023"/>
      <c r="AS34" s="1023"/>
      <c r="AT34" s="1023"/>
      <c r="AU34" s="1023"/>
      <c r="AV34" s="1023"/>
      <c r="AW34" s="1023"/>
    </row>
    <row r="35" spans="1:49" ht="19.95" customHeight="1">
      <c r="A35" s="1018"/>
      <c r="B35" s="1016"/>
      <c r="C35" s="1016"/>
      <c r="D35" s="1019"/>
      <c r="E35" s="1018"/>
      <c r="F35" s="1017"/>
      <c r="G35" s="1020"/>
      <c r="H35" s="1349"/>
      <c r="I35" s="1349"/>
      <c r="J35" s="1349"/>
      <c r="K35" s="1349"/>
      <c r="L35" s="1017"/>
      <c r="M35" s="1021"/>
      <c r="N35" s="1018"/>
      <c r="O35" s="1022"/>
      <c r="P35" s="1022"/>
      <c r="Q35" s="1022"/>
      <c r="R35" s="1023"/>
      <c r="S35" s="1023"/>
      <c r="T35" s="1023"/>
      <c r="U35" s="1023"/>
      <c r="V35" s="1023"/>
      <c r="W35" s="1023"/>
      <c r="X35" s="1023"/>
      <c r="Y35" s="1023"/>
      <c r="Z35" s="1023"/>
      <c r="AA35" s="1023"/>
      <c r="AB35" s="1023"/>
      <c r="AC35" s="1023"/>
      <c r="AD35" s="1023"/>
      <c r="AE35" s="1023"/>
      <c r="AF35" s="1023"/>
      <c r="AG35" s="1023"/>
      <c r="AH35" s="1023"/>
      <c r="AI35" s="1023"/>
      <c r="AJ35" s="1023"/>
      <c r="AK35" s="1023"/>
      <c r="AL35" s="1023"/>
      <c r="AM35" s="1023"/>
      <c r="AN35" s="1023"/>
      <c r="AO35" s="1023"/>
      <c r="AP35" s="1023"/>
      <c r="AQ35" s="1023"/>
      <c r="AR35" s="1023"/>
      <c r="AS35" s="1023"/>
      <c r="AT35" s="1023"/>
      <c r="AU35" s="1023"/>
      <c r="AV35" s="1023"/>
      <c r="AW35" s="1023"/>
    </row>
    <row r="36" spans="1:49" ht="19.95" customHeight="1">
      <c r="A36" s="1018"/>
      <c r="B36" s="1016"/>
      <c r="C36" s="1016"/>
      <c r="D36" s="1019"/>
      <c r="E36" s="1018"/>
      <c r="F36" s="1017"/>
      <c r="G36" s="1020"/>
      <c r="H36" s="1349"/>
      <c r="I36" s="1349"/>
      <c r="J36" s="1349"/>
      <c r="K36" s="1349"/>
      <c r="L36" s="1017"/>
      <c r="M36" s="1021"/>
      <c r="N36" s="1018"/>
      <c r="O36" s="1022"/>
      <c r="P36" s="1022"/>
      <c r="Q36" s="1022"/>
      <c r="R36" s="1023"/>
      <c r="S36" s="1023"/>
      <c r="T36" s="1023"/>
      <c r="U36" s="1023"/>
      <c r="V36" s="1023"/>
      <c r="W36" s="1023"/>
      <c r="X36" s="1023"/>
      <c r="Y36" s="1023"/>
      <c r="Z36" s="1023"/>
      <c r="AA36" s="1023"/>
      <c r="AB36" s="1023"/>
      <c r="AC36" s="1023"/>
      <c r="AD36" s="1023"/>
      <c r="AE36" s="1023"/>
      <c r="AF36" s="1023"/>
      <c r="AG36" s="1023"/>
      <c r="AH36" s="1023"/>
      <c r="AI36" s="1023"/>
      <c r="AJ36" s="1023"/>
      <c r="AK36" s="1023"/>
      <c r="AL36" s="1023"/>
      <c r="AM36" s="1023"/>
      <c r="AN36" s="1023"/>
      <c r="AO36" s="1023"/>
      <c r="AP36" s="1023"/>
      <c r="AQ36" s="1023"/>
      <c r="AR36" s="1023"/>
      <c r="AS36" s="1023"/>
      <c r="AT36" s="1023"/>
      <c r="AU36" s="1023"/>
      <c r="AV36" s="1023"/>
      <c r="AW36" s="1023"/>
    </row>
    <row r="37" spans="1:49" ht="19.95" customHeight="1">
      <c r="A37" s="1018"/>
      <c r="B37" s="1016"/>
      <c r="C37" s="1016"/>
      <c r="D37" s="1019"/>
      <c r="E37" s="1018"/>
      <c r="F37" s="1017"/>
      <c r="G37" s="1020"/>
      <c r="H37" s="1349"/>
      <c r="I37" s="1349"/>
      <c r="J37" s="1349"/>
      <c r="K37" s="1349"/>
      <c r="L37" s="1017"/>
      <c r="M37" s="1021"/>
      <c r="N37" s="1018"/>
      <c r="O37" s="1022"/>
      <c r="P37" s="1022"/>
      <c r="Q37" s="1022"/>
      <c r="R37" s="1023"/>
      <c r="S37" s="1023"/>
      <c r="T37" s="1023"/>
      <c r="U37" s="1023"/>
      <c r="V37" s="1023"/>
      <c r="W37" s="1023"/>
      <c r="X37" s="1023"/>
      <c r="Y37" s="1023"/>
      <c r="Z37" s="1023"/>
      <c r="AA37" s="1023"/>
      <c r="AB37" s="1023"/>
      <c r="AC37" s="1023"/>
      <c r="AD37" s="1023"/>
      <c r="AE37" s="1023"/>
      <c r="AF37" s="1023"/>
      <c r="AG37" s="1023"/>
      <c r="AH37" s="1023"/>
      <c r="AI37" s="1023"/>
      <c r="AJ37" s="1023"/>
      <c r="AK37" s="1023"/>
      <c r="AL37" s="1023"/>
      <c r="AM37" s="1023"/>
      <c r="AN37" s="1023"/>
      <c r="AO37" s="1023"/>
      <c r="AP37" s="1023"/>
      <c r="AQ37" s="1023"/>
      <c r="AR37" s="1023"/>
      <c r="AS37" s="1023"/>
      <c r="AT37" s="1023"/>
      <c r="AU37" s="1023"/>
      <c r="AV37" s="1023"/>
      <c r="AW37" s="1023"/>
    </row>
    <row r="38" spans="1:49" ht="19.95" customHeight="1">
      <c r="A38" s="1018"/>
      <c r="B38" s="1016"/>
      <c r="C38" s="1016"/>
      <c r="D38" s="1019"/>
      <c r="E38" s="1018"/>
      <c r="F38" s="1017"/>
      <c r="G38" s="1020"/>
      <c r="H38" s="1349"/>
      <c r="I38" s="1349"/>
      <c r="J38" s="1349"/>
      <c r="K38" s="1349"/>
      <c r="L38" s="1017"/>
      <c r="M38" s="1021"/>
      <c r="N38" s="1018"/>
      <c r="O38" s="1022"/>
      <c r="P38" s="1022"/>
      <c r="Q38" s="1022"/>
      <c r="R38" s="1023"/>
      <c r="S38" s="1023"/>
      <c r="T38" s="1023"/>
      <c r="U38" s="1023"/>
      <c r="V38" s="1023"/>
      <c r="W38" s="1023"/>
      <c r="X38" s="1023"/>
      <c r="Y38" s="1023"/>
      <c r="Z38" s="1023"/>
      <c r="AA38" s="1023"/>
      <c r="AB38" s="1023"/>
      <c r="AC38" s="1023"/>
      <c r="AD38" s="1023"/>
      <c r="AE38" s="1023"/>
      <c r="AF38" s="1023"/>
      <c r="AG38" s="1023"/>
      <c r="AH38" s="1023"/>
      <c r="AI38" s="1023"/>
      <c r="AJ38" s="1023"/>
      <c r="AK38" s="1023"/>
      <c r="AL38" s="1023"/>
      <c r="AM38" s="1023"/>
      <c r="AN38" s="1023"/>
      <c r="AO38" s="1023"/>
      <c r="AP38" s="1023"/>
      <c r="AQ38" s="1023"/>
      <c r="AR38" s="1023"/>
      <c r="AS38" s="1023"/>
      <c r="AT38" s="1023"/>
      <c r="AU38" s="1023"/>
      <c r="AV38" s="1023"/>
      <c r="AW38" s="1023"/>
    </row>
    <row r="39" spans="1:49" ht="19.95" customHeight="1">
      <c r="A39" s="1018"/>
      <c r="B39" s="1016"/>
      <c r="C39" s="1016"/>
      <c r="D39" s="1019"/>
      <c r="E39" s="1018"/>
      <c r="F39" s="1017"/>
      <c r="G39" s="1020"/>
      <c r="H39" s="1349"/>
      <c r="I39" s="1349"/>
      <c r="J39" s="1349"/>
      <c r="K39" s="1349"/>
      <c r="L39" s="1017"/>
      <c r="M39" s="1021"/>
      <c r="N39" s="1018"/>
      <c r="O39" s="1022"/>
      <c r="P39" s="1022"/>
      <c r="Q39" s="1022"/>
      <c r="R39" s="1023"/>
      <c r="S39" s="1023"/>
      <c r="T39" s="1023"/>
      <c r="U39" s="1023"/>
      <c r="V39" s="1023"/>
      <c r="W39" s="1023"/>
      <c r="X39" s="1023"/>
      <c r="Y39" s="1023"/>
      <c r="Z39" s="1023"/>
      <c r="AA39" s="1023"/>
      <c r="AB39" s="1023"/>
      <c r="AC39" s="1023"/>
      <c r="AD39" s="1023"/>
      <c r="AE39" s="1023"/>
      <c r="AF39" s="1023"/>
      <c r="AG39" s="1023"/>
      <c r="AH39" s="1023"/>
      <c r="AI39" s="1023"/>
      <c r="AJ39" s="1023"/>
      <c r="AK39" s="1023"/>
      <c r="AL39" s="1023"/>
      <c r="AM39" s="1023"/>
      <c r="AN39" s="1023"/>
      <c r="AO39" s="1023"/>
      <c r="AP39" s="1023"/>
      <c r="AQ39" s="1023"/>
      <c r="AR39" s="1023"/>
      <c r="AS39" s="1023"/>
      <c r="AT39" s="1023"/>
      <c r="AU39" s="1023"/>
      <c r="AV39" s="1023"/>
      <c r="AW39" s="1023"/>
    </row>
    <row r="40" spans="1:49" ht="19.95" customHeight="1">
      <c r="A40" s="1018"/>
      <c r="B40" s="1016"/>
      <c r="C40" s="1016"/>
      <c r="D40" s="1019"/>
      <c r="E40" s="1018"/>
      <c r="F40" s="1017"/>
      <c r="G40" s="1020"/>
      <c r="H40" s="1349"/>
      <c r="I40" s="1349"/>
      <c r="J40" s="1349"/>
      <c r="K40" s="1349"/>
      <c r="L40" s="1017"/>
      <c r="M40" s="1021"/>
      <c r="N40" s="1018"/>
      <c r="O40" s="1022"/>
      <c r="P40" s="1022"/>
      <c r="Q40" s="1022"/>
      <c r="R40" s="1023"/>
      <c r="S40" s="1023"/>
      <c r="T40" s="1023"/>
      <c r="U40" s="1023"/>
      <c r="V40" s="1023"/>
      <c r="W40" s="1023"/>
      <c r="X40" s="1023"/>
      <c r="Y40" s="1023"/>
      <c r="Z40" s="1023"/>
      <c r="AA40" s="1023"/>
      <c r="AB40" s="1023"/>
      <c r="AC40" s="1023"/>
      <c r="AD40" s="1023"/>
      <c r="AE40" s="1023"/>
      <c r="AF40" s="1023"/>
      <c r="AG40" s="1023"/>
      <c r="AH40" s="1023"/>
      <c r="AI40" s="1023"/>
      <c r="AJ40" s="1023"/>
      <c r="AK40" s="1023"/>
      <c r="AL40" s="1023"/>
      <c r="AM40" s="1023"/>
      <c r="AN40" s="1023"/>
      <c r="AO40" s="1023"/>
      <c r="AP40" s="1023"/>
      <c r="AQ40" s="1023"/>
      <c r="AR40" s="1023"/>
      <c r="AS40" s="1023"/>
      <c r="AT40" s="1023"/>
      <c r="AU40" s="1023"/>
      <c r="AV40" s="1023"/>
      <c r="AW40" s="1023"/>
    </row>
    <row r="41" spans="1:49" ht="19.95" customHeight="1">
      <c r="A41" s="1018"/>
      <c r="B41" s="1016"/>
      <c r="C41" s="1016"/>
      <c r="D41" s="1019"/>
      <c r="E41" s="1018"/>
      <c r="F41" s="1017"/>
      <c r="G41" s="1020"/>
      <c r="H41" s="1349"/>
      <c r="I41" s="1349"/>
      <c r="J41" s="1349"/>
      <c r="K41" s="1349"/>
      <c r="L41" s="1017"/>
      <c r="M41" s="1021"/>
      <c r="N41" s="1018"/>
      <c r="O41" s="1022"/>
      <c r="P41" s="1022"/>
      <c r="Q41" s="1022"/>
      <c r="R41" s="1023"/>
      <c r="S41" s="1023"/>
      <c r="T41" s="1023"/>
      <c r="U41" s="1023"/>
      <c r="V41" s="1023"/>
      <c r="W41" s="1023"/>
      <c r="X41" s="1023"/>
      <c r="Y41" s="1023"/>
      <c r="Z41" s="1023"/>
      <c r="AA41" s="1023"/>
      <c r="AB41" s="1023"/>
      <c r="AC41" s="1023"/>
      <c r="AD41" s="1023"/>
      <c r="AE41" s="1023"/>
      <c r="AF41" s="1023"/>
      <c r="AG41" s="1023"/>
      <c r="AH41" s="1023"/>
      <c r="AI41" s="1023"/>
      <c r="AJ41" s="1023"/>
      <c r="AK41" s="1023"/>
      <c r="AL41" s="1023"/>
      <c r="AM41" s="1023"/>
      <c r="AN41" s="1023"/>
      <c r="AO41" s="1023"/>
      <c r="AP41" s="1023"/>
      <c r="AQ41" s="1023"/>
      <c r="AR41" s="1023"/>
      <c r="AS41" s="1023"/>
      <c r="AT41" s="1023"/>
      <c r="AU41" s="1023"/>
      <c r="AV41" s="1023"/>
      <c r="AW41" s="1023"/>
    </row>
    <row r="42" spans="1:49" ht="19.95" customHeight="1">
      <c r="A42" s="1018"/>
      <c r="B42" s="1016"/>
      <c r="C42" s="1016"/>
      <c r="D42" s="1019"/>
      <c r="E42" s="1018"/>
      <c r="F42" s="1017"/>
      <c r="G42" s="1020"/>
      <c r="H42" s="1349"/>
      <c r="I42" s="1349"/>
      <c r="J42" s="1349"/>
      <c r="K42" s="1349"/>
      <c r="L42" s="1017"/>
      <c r="M42" s="1021"/>
      <c r="N42" s="1018"/>
      <c r="O42" s="1022"/>
      <c r="P42" s="1022"/>
      <c r="Q42" s="1022"/>
      <c r="R42" s="1023"/>
      <c r="S42" s="1023"/>
      <c r="T42" s="1023"/>
      <c r="U42" s="1023"/>
      <c r="V42" s="1023"/>
      <c r="W42" s="1023"/>
      <c r="X42" s="1023"/>
      <c r="Y42" s="1023"/>
      <c r="Z42" s="1023"/>
      <c r="AA42" s="1023"/>
      <c r="AB42" s="1023"/>
      <c r="AC42" s="1023"/>
      <c r="AD42" s="1023"/>
      <c r="AE42" s="1023"/>
      <c r="AF42" s="1023"/>
      <c r="AG42" s="1023"/>
      <c r="AH42" s="1023"/>
      <c r="AI42" s="1023"/>
      <c r="AJ42" s="1023"/>
      <c r="AK42" s="1023"/>
      <c r="AL42" s="1023"/>
      <c r="AM42" s="1023"/>
      <c r="AN42" s="1023"/>
      <c r="AO42" s="1023"/>
      <c r="AP42" s="1023"/>
      <c r="AQ42" s="1023"/>
      <c r="AR42" s="1023"/>
      <c r="AS42" s="1023"/>
      <c r="AT42" s="1023"/>
      <c r="AU42" s="1023"/>
      <c r="AV42" s="1023"/>
      <c r="AW42" s="1023"/>
    </row>
    <row r="43" spans="1:49" ht="19.95" customHeight="1">
      <c r="A43" s="1018"/>
      <c r="B43" s="1016"/>
      <c r="C43" s="1016"/>
      <c r="D43" s="1019"/>
      <c r="E43" s="1018"/>
      <c r="F43" s="1017"/>
      <c r="G43" s="1020"/>
      <c r="H43" s="1349"/>
      <c r="I43" s="1349"/>
      <c r="J43" s="1349"/>
      <c r="K43" s="1349"/>
      <c r="L43" s="1017"/>
      <c r="M43" s="1021"/>
      <c r="N43" s="1018"/>
      <c r="O43" s="1022"/>
      <c r="P43" s="1022"/>
      <c r="Q43" s="1022"/>
      <c r="R43" s="1023"/>
      <c r="S43" s="1023"/>
      <c r="T43" s="1023"/>
      <c r="U43" s="1023"/>
      <c r="V43" s="1023"/>
      <c r="W43" s="1023"/>
      <c r="X43" s="1023"/>
      <c r="Y43" s="1023"/>
      <c r="Z43" s="1023"/>
      <c r="AA43" s="1023"/>
      <c r="AB43" s="1023"/>
      <c r="AC43" s="1023"/>
      <c r="AD43" s="1023"/>
      <c r="AE43" s="1023"/>
      <c r="AF43" s="1023"/>
      <c r="AG43" s="1023"/>
      <c r="AH43" s="1023"/>
      <c r="AI43" s="1023"/>
      <c r="AJ43" s="1023"/>
      <c r="AK43" s="1023"/>
      <c r="AL43" s="1023"/>
      <c r="AM43" s="1023"/>
      <c r="AN43" s="1023"/>
      <c r="AO43" s="1023"/>
      <c r="AP43" s="1023"/>
      <c r="AQ43" s="1023"/>
      <c r="AR43" s="1023"/>
      <c r="AS43" s="1023"/>
      <c r="AT43" s="1023"/>
      <c r="AU43" s="1023"/>
      <c r="AV43" s="1023"/>
      <c r="AW43" s="1023"/>
    </row>
    <row r="44" spans="1:49" ht="19.95" customHeight="1">
      <c r="A44" s="1018"/>
      <c r="B44" s="1016"/>
      <c r="C44" s="1016"/>
      <c r="D44" s="1019"/>
      <c r="E44" s="1018"/>
      <c r="F44" s="1017"/>
      <c r="G44" s="1020"/>
      <c r="H44" s="1349"/>
      <c r="I44" s="1349"/>
      <c r="J44" s="1349"/>
      <c r="K44" s="1349"/>
      <c r="L44" s="1017"/>
      <c r="M44" s="1021"/>
      <c r="N44" s="1018"/>
      <c r="O44" s="1022"/>
      <c r="P44" s="1022"/>
      <c r="Q44" s="1022"/>
      <c r="R44" s="1023"/>
      <c r="S44" s="1023"/>
      <c r="T44" s="1023"/>
      <c r="U44" s="1023"/>
      <c r="V44" s="1023"/>
      <c r="W44" s="1023"/>
      <c r="X44" s="1023"/>
      <c r="Y44" s="1023"/>
      <c r="Z44" s="1023"/>
      <c r="AA44" s="1023"/>
      <c r="AB44" s="1023"/>
      <c r="AC44" s="1023"/>
      <c r="AD44" s="1023"/>
      <c r="AE44" s="1023"/>
      <c r="AF44" s="1023"/>
      <c r="AG44" s="1023"/>
      <c r="AH44" s="1023"/>
      <c r="AI44" s="1023"/>
      <c r="AJ44" s="1023"/>
      <c r="AK44" s="1023"/>
      <c r="AL44" s="1023"/>
      <c r="AM44" s="1023"/>
      <c r="AN44" s="1023"/>
      <c r="AO44" s="1023"/>
      <c r="AP44" s="1023"/>
      <c r="AQ44" s="1023"/>
      <c r="AR44" s="1023"/>
      <c r="AS44" s="1023"/>
      <c r="AT44" s="1023"/>
      <c r="AU44" s="1023"/>
      <c r="AV44" s="1023"/>
      <c r="AW44" s="1023"/>
    </row>
    <row r="45" spans="1:49" ht="19.95" customHeight="1">
      <c r="A45" s="1018"/>
      <c r="B45" s="1016"/>
      <c r="C45" s="1016"/>
      <c r="D45" s="1019"/>
      <c r="E45" s="1018"/>
      <c r="F45" s="1017"/>
      <c r="G45" s="1020"/>
      <c r="H45" s="1349"/>
      <c r="I45" s="1349"/>
      <c r="J45" s="1349"/>
      <c r="K45" s="1349"/>
      <c r="L45" s="1017"/>
      <c r="M45" s="1021"/>
      <c r="N45" s="1018"/>
      <c r="O45" s="1022"/>
      <c r="P45" s="1022"/>
      <c r="Q45" s="1022"/>
      <c r="R45" s="1023"/>
      <c r="S45" s="1023"/>
      <c r="T45" s="1023"/>
      <c r="U45" s="1023"/>
      <c r="V45" s="1023"/>
      <c r="W45" s="1023"/>
      <c r="X45" s="1023"/>
      <c r="Y45" s="1023"/>
      <c r="Z45" s="1023"/>
      <c r="AA45" s="1023"/>
      <c r="AB45" s="1023"/>
      <c r="AC45" s="1023"/>
      <c r="AD45" s="1023"/>
      <c r="AE45" s="1023"/>
      <c r="AF45" s="1023"/>
      <c r="AG45" s="1023"/>
      <c r="AH45" s="1023"/>
      <c r="AI45" s="1023"/>
      <c r="AJ45" s="1023"/>
      <c r="AK45" s="1023"/>
      <c r="AL45" s="1023"/>
      <c r="AM45" s="1023"/>
      <c r="AN45" s="1023"/>
      <c r="AO45" s="1023"/>
      <c r="AP45" s="1023"/>
      <c r="AQ45" s="1023"/>
      <c r="AR45" s="1023"/>
      <c r="AS45" s="1023"/>
      <c r="AT45" s="1023"/>
      <c r="AU45" s="1023"/>
      <c r="AV45" s="1023"/>
      <c r="AW45" s="1023"/>
    </row>
    <row r="46" spans="1:49" ht="19.95" customHeight="1">
      <c r="A46" s="1018"/>
      <c r="B46" s="1016"/>
      <c r="C46" s="1016"/>
      <c r="D46" s="1019"/>
      <c r="E46" s="1018"/>
      <c r="F46" s="1017"/>
      <c r="G46" s="1020"/>
      <c r="H46" s="1349"/>
      <c r="I46" s="1349"/>
      <c r="J46" s="1349"/>
      <c r="K46" s="1349"/>
      <c r="L46" s="1017"/>
      <c r="M46" s="1021"/>
      <c r="N46" s="1018"/>
      <c r="O46" s="1022"/>
      <c r="P46" s="1022"/>
      <c r="Q46" s="1022"/>
      <c r="R46" s="1023"/>
      <c r="S46" s="1023"/>
      <c r="T46" s="1023"/>
      <c r="U46" s="1023"/>
      <c r="V46" s="1023"/>
      <c r="W46" s="1023"/>
      <c r="X46" s="1023"/>
      <c r="Y46" s="1023"/>
      <c r="Z46" s="1023"/>
      <c r="AA46" s="1023"/>
      <c r="AB46" s="1023"/>
      <c r="AC46" s="1023"/>
      <c r="AD46" s="1023"/>
      <c r="AE46" s="1023"/>
      <c r="AF46" s="1023"/>
      <c r="AG46" s="1023"/>
      <c r="AH46" s="1023"/>
      <c r="AI46" s="1023"/>
      <c r="AJ46" s="1023"/>
      <c r="AK46" s="1023"/>
      <c r="AL46" s="1023"/>
      <c r="AM46" s="1023"/>
      <c r="AN46" s="1023"/>
      <c r="AO46" s="1023"/>
      <c r="AP46" s="1023"/>
      <c r="AQ46" s="1023"/>
      <c r="AR46" s="1023"/>
      <c r="AS46" s="1023"/>
      <c r="AT46" s="1023"/>
      <c r="AU46" s="1023"/>
      <c r="AV46" s="1023"/>
      <c r="AW46" s="1023"/>
    </row>
    <row r="47" spans="1:49" ht="19.95" customHeight="1">
      <c r="A47" s="1018"/>
      <c r="B47" s="1016"/>
      <c r="C47" s="1016"/>
      <c r="D47" s="1019"/>
      <c r="E47" s="1018"/>
      <c r="F47" s="1017"/>
      <c r="G47" s="1020"/>
      <c r="H47" s="1349"/>
      <c r="I47" s="1349"/>
      <c r="J47" s="1349"/>
      <c r="K47" s="1349"/>
      <c r="L47" s="1017"/>
      <c r="M47" s="1021"/>
      <c r="N47" s="1018"/>
      <c r="O47" s="1022"/>
      <c r="P47" s="1022"/>
      <c r="Q47" s="1022"/>
      <c r="R47" s="1023"/>
      <c r="S47" s="1023"/>
      <c r="T47" s="1023"/>
      <c r="U47" s="1023"/>
      <c r="V47" s="1023"/>
      <c r="W47" s="1023"/>
      <c r="X47" s="1023"/>
      <c r="Y47" s="1023"/>
      <c r="Z47" s="1023"/>
      <c r="AA47" s="1023"/>
      <c r="AB47" s="1023"/>
      <c r="AC47" s="1023"/>
      <c r="AD47" s="1023"/>
      <c r="AE47" s="1023"/>
      <c r="AF47" s="1023"/>
      <c r="AG47" s="1023"/>
      <c r="AH47" s="1023"/>
      <c r="AI47" s="1023"/>
      <c r="AJ47" s="1023"/>
      <c r="AK47" s="1023"/>
      <c r="AL47" s="1023"/>
      <c r="AM47" s="1023"/>
      <c r="AN47" s="1023"/>
      <c r="AO47" s="1023"/>
      <c r="AP47" s="1023"/>
      <c r="AQ47" s="1023"/>
      <c r="AR47" s="1023"/>
      <c r="AS47" s="1023"/>
      <c r="AT47" s="1023"/>
      <c r="AU47" s="1023"/>
      <c r="AV47" s="1023"/>
      <c r="AW47" s="1023"/>
    </row>
    <row r="48" spans="1:49" ht="19.95" customHeight="1">
      <c r="A48" s="1018"/>
      <c r="B48" s="1016"/>
      <c r="C48" s="1016"/>
      <c r="D48" s="1019"/>
      <c r="E48" s="1018"/>
      <c r="F48" s="1017"/>
      <c r="G48" s="1020"/>
      <c r="H48" s="1349"/>
      <c r="I48" s="1349"/>
      <c r="J48" s="1349"/>
      <c r="K48" s="1349"/>
      <c r="L48" s="1017"/>
      <c r="M48" s="1021"/>
      <c r="N48" s="1018"/>
      <c r="O48" s="1022"/>
      <c r="P48" s="1022"/>
      <c r="Q48" s="1022"/>
      <c r="R48" s="1023"/>
      <c r="S48" s="1023"/>
      <c r="T48" s="1023"/>
      <c r="U48" s="1023"/>
      <c r="V48" s="1023"/>
      <c r="W48" s="1023"/>
      <c r="X48" s="1023"/>
      <c r="Y48" s="1023"/>
      <c r="Z48" s="1023"/>
      <c r="AA48" s="1023"/>
      <c r="AB48" s="1023"/>
      <c r="AC48" s="1023"/>
      <c r="AD48" s="1023"/>
      <c r="AE48" s="1023"/>
      <c r="AF48" s="1023"/>
      <c r="AG48" s="1023"/>
      <c r="AH48" s="1023"/>
      <c r="AI48" s="1023"/>
      <c r="AJ48" s="1023"/>
      <c r="AK48" s="1023"/>
      <c r="AL48" s="1023"/>
      <c r="AM48" s="1023"/>
      <c r="AN48" s="1023"/>
      <c r="AO48" s="1023"/>
      <c r="AP48" s="1023"/>
      <c r="AQ48" s="1023"/>
      <c r="AR48" s="1023"/>
      <c r="AS48" s="1023"/>
      <c r="AT48" s="1023"/>
      <c r="AU48" s="1023"/>
      <c r="AV48" s="1023"/>
      <c r="AW48" s="1023"/>
    </row>
    <row r="49" spans="1:49" ht="19.95" customHeight="1">
      <c r="A49" s="1018"/>
      <c r="B49" s="1016"/>
      <c r="C49" s="1016"/>
      <c r="D49" s="1019"/>
      <c r="E49" s="1018"/>
      <c r="F49" s="1017"/>
      <c r="G49" s="1020"/>
      <c r="H49" s="1349"/>
      <c r="I49" s="1349"/>
      <c r="J49" s="1349"/>
      <c r="K49" s="1349"/>
      <c r="L49" s="1017"/>
      <c r="M49" s="1021"/>
      <c r="N49" s="1018"/>
      <c r="O49" s="1022"/>
      <c r="P49" s="1022"/>
      <c r="Q49" s="1022"/>
      <c r="R49" s="1023"/>
      <c r="S49" s="1023"/>
      <c r="T49" s="1023"/>
      <c r="U49" s="1023"/>
      <c r="V49" s="1023"/>
      <c r="W49" s="1023"/>
      <c r="X49" s="1023"/>
      <c r="Y49" s="1023"/>
      <c r="Z49" s="1023"/>
      <c r="AA49" s="1023"/>
      <c r="AB49" s="1023"/>
      <c r="AC49" s="1023"/>
      <c r="AD49" s="1023"/>
      <c r="AE49" s="1023"/>
      <c r="AF49" s="1023"/>
      <c r="AG49" s="1023"/>
      <c r="AH49" s="1023"/>
      <c r="AI49" s="1023"/>
      <c r="AJ49" s="1023"/>
      <c r="AK49" s="1023"/>
      <c r="AL49" s="1023"/>
      <c r="AM49" s="1023"/>
      <c r="AN49" s="1023"/>
      <c r="AO49" s="1023"/>
      <c r="AP49" s="1023"/>
      <c r="AQ49" s="1023"/>
      <c r="AR49" s="1023"/>
      <c r="AS49" s="1023"/>
      <c r="AT49" s="1023"/>
      <c r="AU49" s="1023"/>
      <c r="AV49" s="1023"/>
      <c r="AW49" s="1023"/>
    </row>
    <row r="50" spans="1:49" ht="19.95" customHeight="1">
      <c r="A50" s="1018"/>
      <c r="B50" s="1016"/>
      <c r="C50" s="1016"/>
      <c r="D50" s="1019"/>
      <c r="E50" s="1018"/>
      <c r="F50" s="1017"/>
      <c r="G50" s="1020"/>
      <c r="H50" s="1349"/>
      <c r="I50" s="1349"/>
      <c r="J50" s="1349"/>
      <c r="K50" s="1349"/>
      <c r="L50" s="1017"/>
      <c r="M50" s="1021"/>
      <c r="N50" s="1018"/>
      <c r="O50" s="1022"/>
      <c r="P50" s="1022"/>
      <c r="Q50" s="1022"/>
      <c r="R50" s="1023"/>
      <c r="S50" s="1023"/>
      <c r="T50" s="1023"/>
      <c r="U50" s="1023"/>
      <c r="V50" s="1023"/>
      <c r="W50" s="1023"/>
      <c r="X50" s="1023"/>
      <c r="Y50" s="1023"/>
      <c r="Z50" s="1023"/>
      <c r="AA50" s="1023"/>
      <c r="AB50" s="1023"/>
      <c r="AC50" s="1023"/>
      <c r="AD50" s="1023"/>
      <c r="AE50" s="1023"/>
      <c r="AF50" s="1023"/>
      <c r="AG50" s="1023"/>
      <c r="AH50" s="1023"/>
      <c r="AI50" s="1023"/>
      <c r="AJ50" s="1023"/>
      <c r="AK50" s="1023"/>
      <c r="AL50" s="1023"/>
      <c r="AM50" s="1023"/>
      <c r="AN50" s="1023"/>
      <c r="AO50" s="1023"/>
      <c r="AP50" s="1023"/>
      <c r="AQ50" s="1023"/>
      <c r="AR50" s="1023"/>
      <c r="AS50" s="1023"/>
      <c r="AT50" s="1023"/>
      <c r="AU50" s="1023"/>
      <c r="AV50" s="1023"/>
      <c r="AW50" s="1023"/>
    </row>
    <row r="51" spans="1:49" ht="19.95" customHeight="1">
      <c r="A51" s="1018"/>
      <c r="B51" s="1016"/>
      <c r="C51" s="1016"/>
      <c r="D51" s="1019"/>
      <c r="E51" s="1018"/>
      <c r="F51" s="1017"/>
      <c r="G51" s="1020"/>
      <c r="H51" s="1349"/>
      <c r="I51" s="1349"/>
      <c r="J51" s="1349"/>
      <c r="K51" s="1349"/>
      <c r="L51" s="1017"/>
      <c r="M51" s="1021"/>
      <c r="N51" s="1018"/>
      <c r="O51" s="1022"/>
      <c r="P51" s="1022"/>
      <c r="Q51" s="1022"/>
      <c r="R51" s="1023"/>
      <c r="S51" s="1023"/>
      <c r="T51" s="1023"/>
      <c r="U51" s="1023"/>
      <c r="V51" s="1023"/>
      <c r="W51" s="1023"/>
      <c r="X51" s="1023"/>
      <c r="Y51" s="1023"/>
      <c r="Z51" s="1023"/>
      <c r="AA51" s="1023"/>
      <c r="AB51" s="1023"/>
      <c r="AC51" s="1023"/>
      <c r="AD51" s="1023"/>
      <c r="AE51" s="1023"/>
      <c r="AF51" s="1023"/>
      <c r="AG51" s="1023"/>
      <c r="AH51" s="1023"/>
      <c r="AI51" s="1023"/>
      <c r="AJ51" s="1023"/>
      <c r="AK51" s="1023"/>
      <c r="AL51" s="1023"/>
      <c r="AM51" s="1023"/>
      <c r="AN51" s="1023"/>
      <c r="AO51" s="1023"/>
      <c r="AP51" s="1023"/>
      <c r="AQ51" s="1023"/>
      <c r="AR51" s="1023"/>
      <c r="AS51" s="1023"/>
      <c r="AT51" s="1023"/>
      <c r="AU51" s="1023"/>
      <c r="AV51" s="1023"/>
      <c r="AW51" s="1023"/>
    </row>
    <row r="52" spans="1:49" ht="19.95" customHeight="1">
      <c r="A52" s="1018"/>
      <c r="B52" s="1016"/>
      <c r="C52" s="1016"/>
      <c r="D52" s="1019"/>
      <c r="E52" s="1018"/>
      <c r="F52" s="1017"/>
      <c r="G52" s="1020"/>
      <c r="H52" s="1349"/>
      <c r="I52" s="1349"/>
      <c r="J52" s="1349"/>
      <c r="K52" s="1349"/>
      <c r="L52" s="1017"/>
      <c r="M52" s="1021"/>
      <c r="N52" s="1018"/>
      <c r="O52" s="1022"/>
      <c r="P52" s="1022"/>
      <c r="Q52" s="1022"/>
      <c r="R52" s="1023"/>
      <c r="S52" s="1023"/>
      <c r="T52" s="1023"/>
      <c r="U52" s="1023"/>
      <c r="V52" s="1023"/>
      <c r="W52" s="1023"/>
      <c r="X52" s="1023"/>
      <c r="Y52" s="1023"/>
      <c r="Z52" s="1023"/>
      <c r="AA52" s="1023"/>
      <c r="AB52" s="1023"/>
      <c r="AC52" s="1023"/>
      <c r="AD52" s="1023"/>
      <c r="AE52" s="1023"/>
      <c r="AF52" s="1023"/>
      <c r="AG52" s="1023"/>
      <c r="AH52" s="1023"/>
      <c r="AI52" s="1023"/>
      <c r="AJ52" s="1023"/>
      <c r="AK52" s="1023"/>
      <c r="AL52" s="1023"/>
      <c r="AM52" s="1023"/>
      <c r="AN52" s="1023"/>
      <c r="AO52" s="1023"/>
      <c r="AP52" s="1023"/>
      <c r="AQ52" s="1023"/>
      <c r="AR52" s="1023"/>
      <c r="AS52" s="1023"/>
      <c r="AT52" s="1023"/>
      <c r="AU52" s="1023"/>
      <c r="AV52" s="1023"/>
      <c r="AW52" s="1023"/>
    </row>
    <row r="53" spans="1:49" ht="19.95" customHeight="1">
      <c r="A53" s="1018"/>
      <c r="B53" s="1016"/>
      <c r="C53" s="1016"/>
      <c r="D53" s="1019"/>
      <c r="E53" s="1018"/>
      <c r="F53" s="1017"/>
      <c r="G53" s="1020"/>
      <c r="H53" s="1349"/>
      <c r="I53" s="1349"/>
      <c r="J53" s="1349"/>
      <c r="K53" s="1349"/>
      <c r="L53" s="1017"/>
      <c r="M53" s="1021"/>
      <c r="N53" s="1018"/>
      <c r="O53" s="1022"/>
      <c r="P53" s="1022"/>
      <c r="Q53" s="1022"/>
      <c r="R53" s="1023"/>
      <c r="S53" s="1023"/>
      <c r="T53" s="1023"/>
      <c r="U53" s="1023"/>
      <c r="V53" s="1023"/>
      <c r="W53" s="1023"/>
      <c r="X53" s="1023"/>
      <c r="Y53" s="1023"/>
      <c r="Z53" s="1023"/>
      <c r="AA53" s="1023"/>
      <c r="AB53" s="1023"/>
      <c r="AC53" s="1023"/>
      <c r="AD53" s="1023"/>
      <c r="AE53" s="1023"/>
      <c r="AF53" s="1023"/>
      <c r="AG53" s="1023"/>
      <c r="AH53" s="1023"/>
      <c r="AI53" s="1023"/>
      <c r="AJ53" s="1023"/>
      <c r="AK53" s="1023"/>
      <c r="AL53" s="1023"/>
      <c r="AM53" s="1023"/>
      <c r="AN53" s="1023"/>
      <c r="AO53" s="1023"/>
      <c r="AP53" s="1023"/>
      <c r="AQ53" s="1023"/>
      <c r="AR53" s="1023"/>
      <c r="AS53" s="1023"/>
      <c r="AT53" s="1023"/>
      <c r="AU53" s="1023"/>
      <c r="AV53" s="1023"/>
      <c r="AW53" s="1023"/>
    </row>
    <row r="54" spans="1:49" ht="19.95" customHeight="1">
      <c r="A54" s="1018"/>
      <c r="B54" s="1016"/>
      <c r="C54" s="1016"/>
      <c r="D54" s="1019"/>
      <c r="E54" s="1018"/>
      <c r="F54" s="1017"/>
      <c r="G54" s="1020"/>
      <c r="H54" s="1349"/>
      <c r="I54" s="1349"/>
      <c r="J54" s="1349"/>
      <c r="K54" s="1349"/>
      <c r="L54" s="1017"/>
      <c r="M54" s="1021"/>
      <c r="N54" s="1018"/>
      <c r="O54" s="1022"/>
      <c r="P54" s="1022"/>
      <c r="Q54" s="1022"/>
      <c r="R54" s="1023"/>
      <c r="S54" s="1023"/>
      <c r="T54" s="1023"/>
      <c r="U54" s="1023"/>
      <c r="V54" s="1023"/>
      <c r="W54" s="1023"/>
      <c r="X54" s="1023"/>
      <c r="Y54" s="1023"/>
      <c r="Z54" s="1023"/>
      <c r="AA54" s="1023"/>
      <c r="AB54" s="1023"/>
      <c r="AC54" s="1023"/>
      <c r="AD54" s="1023"/>
      <c r="AE54" s="1023"/>
      <c r="AF54" s="1023"/>
      <c r="AG54" s="1023"/>
      <c r="AH54" s="1023"/>
      <c r="AI54" s="1023"/>
      <c r="AJ54" s="1023"/>
      <c r="AK54" s="1023"/>
      <c r="AL54" s="1023"/>
      <c r="AM54" s="1023"/>
      <c r="AN54" s="1023"/>
      <c r="AO54" s="1023"/>
      <c r="AP54" s="1023"/>
      <c r="AQ54" s="1023"/>
      <c r="AR54" s="1023"/>
      <c r="AS54" s="1023"/>
      <c r="AT54" s="1023"/>
      <c r="AU54" s="1023"/>
      <c r="AV54" s="1023"/>
      <c r="AW54" s="1023"/>
    </row>
    <row r="55" spans="1:49" ht="19.95" customHeight="1">
      <c r="A55" s="1018"/>
      <c r="B55" s="1016"/>
      <c r="C55" s="1016"/>
      <c r="D55" s="1019"/>
      <c r="E55" s="1018"/>
      <c r="F55" s="1017"/>
      <c r="G55" s="1020"/>
      <c r="H55" s="1349"/>
      <c r="I55" s="1349"/>
      <c r="J55" s="1349"/>
      <c r="K55" s="1349"/>
      <c r="L55" s="1017"/>
      <c r="M55" s="1021"/>
      <c r="N55" s="1018"/>
      <c r="O55" s="1022"/>
      <c r="P55" s="1022"/>
      <c r="Q55" s="1022"/>
      <c r="R55" s="1023"/>
      <c r="S55" s="1023"/>
      <c r="T55" s="1023"/>
      <c r="U55" s="1023"/>
      <c r="V55" s="1023"/>
      <c r="W55" s="1023"/>
      <c r="X55" s="1023"/>
      <c r="Y55" s="1023"/>
      <c r="Z55" s="1023"/>
      <c r="AA55" s="1023"/>
      <c r="AB55" s="1023"/>
      <c r="AC55" s="1023"/>
      <c r="AD55" s="1023"/>
      <c r="AE55" s="1023"/>
      <c r="AF55" s="1023"/>
      <c r="AG55" s="1023"/>
      <c r="AH55" s="1023"/>
      <c r="AI55" s="1023"/>
      <c r="AJ55" s="1023"/>
      <c r="AK55" s="1023"/>
      <c r="AL55" s="1023"/>
      <c r="AM55" s="1023"/>
      <c r="AN55" s="1023"/>
      <c r="AO55" s="1023"/>
      <c r="AP55" s="1023"/>
      <c r="AQ55" s="1023"/>
      <c r="AR55" s="1023"/>
      <c r="AS55" s="1023"/>
      <c r="AT55" s="1023"/>
      <c r="AU55" s="1023"/>
      <c r="AV55" s="1023"/>
      <c r="AW55" s="1023"/>
    </row>
    <row r="56" spans="1:49" ht="19.95" customHeight="1">
      <c r="A56" s="1018"/>
      <c r="B56" s="1016"/>
      <c r="C56" s="1016"/>
      <c r="D56" s="1019"/>
      <c r="E56" s="1018"/>
      <c r="F56" s="1017"/>
      <c r="G56" s="1020"/>
      <c r="H56" s="1349"/>
      <c r="I56" s="1349"/>
      <c r="J56" s="1349"/>
      <c r="K56" s="1349"/>
      <c r="L56" s="1017"/>
      <c r="M56" s="1021"/>
      <c r="N56" s="1018"/>
      <c r="O56" s="1022"/>
      <c r="P56" s="1022"/>
      <c r="Q56" s="1022"/>
      <c r="R56" s="1023"/>
      <c r="S56" s="1023"/>
      <c r="T56" s="1023"/>
      <c r="U56" s="1023"/>
      <c r="V56" s="1023"/>
      <c r="W56" s="1023"/>
      <c r="X56" s="1023"/>
      <c r="Y56" s="1023"/>
      <c r="Z56" s="1023"/>
      <c r="AA56" s="1023"/>
      <c r="AB56" s="1023"/>
      <c r="AC56" s="1023"/>
      <c r="AD56" s="1023"/>
      <c r="AE56" s="1023"/>
      <c r="AF56" s="1023"/>
      <c r="AG56" s="1023"/>
      <c r="AH56" s="1023"/>
      <c r="AI56" s="1023"/>
      <c r="AJ56" s="1023"/>
      <c r="AK56" s="1023"/>
      <c r="AL56" s="1023"/>
      <c r="AM56" s="1023"/>
      <c r="AN56" s="1023"/>
      <c r="AO56" s="1023"/>
      <c r="AP56" s="1023"/>
      <c r="AQ56" s="1023"/>
      <c r="AR56" s="1023"/>
      <c r="AS56" s="1023"/>
      <c r="AT56" s="1023"/>
      <c r="AU56" s="1023"/>
      <c r="AV56" s="1023"/>
      <c r="AW56" s="1023"/>
    </row>
    <row r="57" spans="1:49" ht="19.95" customHeight="1">
      <c r="A57" s="1018"/>
      <c r="B57" s="1016"/>
      <c r="C57" s="1016"/>
      <c r="D57" s="1019"/>
      <c r="E57" s="1018"/>
      <c r="F57" s="1017"/>
      <c r="G57" s="1020"/>
      <c r="H57" s="1349"/>
      <c r="I57" s="1349"/>
      <c r="J57" s="1349"/>
      <c r="K57" s="1349"/>
      <c r="L57" s="1017"/>
      <c r="M57" s="1021"/>
      <c r="N57" s="1018"/>
      <c r="O57" s="1022"/>
      <c r="P57" s="1022"/>
      <c r="Q57" s="1022"/>
      <c r="R57" s="1023"/>
      <c r="S57" s="1023"/>
      <c r="T57" s="1023"/>
      <c r="U57" s="1023"/>
      <c r="V57" s="1023"/>
      <c r="W57" s="1023"/>
      <c r="X57" s="1023"/>
      <c r="Y57" s="1023"/>
      <c r="Z57" s="1023"/>
      <c r="AA57" s="1023"/>
      <c r="AB57" s="1023"/>
      <c r="AC57" s="1023"/>
      <c r="AD57" s="1023"/>
      <c r="AE57" s="1023"/>
      <c r="AF57" s="1023"/>
      <c r="AG57" s="1023"/>
      <c r="AH57" s="1023"/>
      <c r="AI57" s="1023"/>
      <c r="AJ57" s="1023"/>
      <c r="AK57" s="1023"/>
      <c r="AL57" s="1023"/>
      <c r="AM57" s="1023"/>
      <c r="AN57" s="1023"/>
      <c r="AO57" s="1023"/>
      <c r="AP57" s="1023"/>
      <c r="AQ57" s="1023"/>
      <c r="AR57" s="1023"/>
      <c r="AS57" s="1023"/>
      <c r="AT57" s="1023"/>
      <c r="AU57" s="1023"/>
      <c r="AV57" s="1023"/>
      <c r="AW57" s="1023"/>
    </row>
    <row r="58" spans="1:49" ht="19.95" customHeight="1">
      <c r="A58" s="1018"/>
      <c r="B58" s="1016"/>
      <c r="C58" s="1016"/>
      <c r="D58" s="1019"/>
      <c r="E58" s="1018"/>
      <c r="F58" s="1017"/>
      <c r="G58" s="1020"/>
      <c r="H58" s="1349"/>
      <c r="I58" s="1349"/>
      <c r="J58" s="1349"/>
      <c r="K58" s="1349"/>
      <c r="L58" s="1017"/>
      <c r="M58" s="1021"/>
      <c r="N58" s="1018"/>
      <c r="O58" s="1022"/>
      <c r="P58" s="1022"/>
      <c r="Q58" s="1022"/>
      <c r="R58" s="1023"/>
      <c r="S58" s="1023"/>
      <c r="T58" s="1023"/>
      <c r="U58" s="1023"/>
      <c r="V58" s="1023"/>
      <c r="W58" s="1023"/>
      <c r="X58" s="1023"/>
      <c r="Y58" s="1023"/>
      <c r="Z58" s="1023"/>
      <c r="AA58" s="1023"/>
      <c r="AB58" s="1023"/>
      <c r="AC58" s="1023"/>
      <c r="AD58" s="1023"/>
      <c r="AE58" s="1023"/>
      <c r="AF58" s="1023"/>
      <c r="AG58" s="1023"/>
      <c r="AH58" s="1023"/>
      <c r="AI58" s="1023"/>
      <c r="AJ58" s="1023"/>
      <c r="AK58" s="1023"/>
      <c r="AL58" s="1023"/>
      <c r="AM58" s="1023"/>
      <c r="AN58" s="1023"/>
      <c r="AO58" s="1023"/>
      <c r="AP58" s="1023"/>
      <c r="AQ58" s="1023"/>
      <c r="AR58" s="1023"/>
      <c r="AS58" s="1023"/>
      <c r="AT58" s="1023"/>
      <c r="AU58" s="1023"/>
      <c r="AV58" s="1023"/>
      <c r="AW58" s="1023"/>
    </row>
    <row r="59" spans="1:49" ht="19.95" customHeight="1">
      <c r="A59" s="1018"/>
      <c r="B59" s="1016"/>
      <c r="C59" s="1016"/>
      <c r="D59" s="1019"/>
      <c r="E59" s="1018"/>
      <c r="F59" s="1017"/>
      <c r="G59" s="1020"/>
      <c r="H59" s="1349"/>
      <c r="I59" s="1349"/>
      <c r="J59" s="1349"/>
      <c r="K59" s="1349"/>
      <c r="L59" s="1017"/>
      <c r="M59" s="1021"/>
      <c r="N59" s="1018"/>
      <c r="O59" s="1022"/>
      <c r="P59" s="1022"/>
      <c r="Q59" s="1022"/>
      <c r="R59" s="1023"/>
      <c r="S59" s="1023"/>
      <c r="T59" s="1023"/>
      <c r="U59" s="1023"/>
      <c r="V59" s="1023"/>
      <c r="W59" s="1023"/>
      <c r="X59" s="1023"/>
      <c r="Y59" s="1023"/>
      <c r="Z59" s="1023"/>
      <c r="AA59" s="1023"/>
      <c r="AB59" s="1023"/>
      <c r="AC59" s="1023"/>
      <c r="AD59" s="1023"/>
      <c r="AE59" s="1023"/>
      <c r="AF59" s="1023"/>
      <c r="AG59" s="1023"/>
      <c r="AH59" s="1023"/>
      <c r="AI59" s="1023"/>
      <c r="AJ59" s="1023"/>
      <c r="AK59" s="1023"/>
      <c r="AL59" s="1023"/>
      <c r="AM59" s="1023"/>
      <c r="AN59" s="1023"/>
      <c r="AO59" s="1023"/>
      <c r="AP59" s="1023"/>
      <c r="AQ59" s="1023"/>
      <c r="AR59" s="1023"/>
      <c r="AS59" s="1023"/>
      <c r="AT59" s="1023"/>
      <c r="AU59" s="1023"/>
      <c r="AV59" s="1023"/>
      <c r="AW59" s="1023"/>
    </row>
    <row r="60" spans="1:49" ht="19.95" customHeight="1">
      <c r="A60" s="1018"/>
      <c r="B60" s="1016"/>
      <c r="C60" s="1016"/>
      <c r="D60" s="1019"/>
      <c r="E60" s="1018"/>
      <c r="F60" s="1017"/>
      <c r="G60" s="1020"/>
      <c r="H60" s="1349"/>
      <c r="I60" s="1349"/>
      <c r="J60" s="1349"/>
      <c r="K60" s="1349"/>
      <c r="L60" s="1017"/>
      <c r="M60" s="1021"/>
      <c r="N60" s="1018"/>
      <c r="O60" s="1022"/>
      <c r="P60" s="1022"/>
      <c r="Q60" s="1022"/>
      <c r="R60" s="1023"/>
      <c r="S60" s="1023"/>
      <c r="T60" s="1023"/>
      <c r="U60" s="1023"/>
      <c r="V60" s="1023"/>
      <c r="W60" s="1023"/>
      <c r="X60" s="1023"/>
      <c r="Y60" s="1023"/>
      <c r="Z60" s="1023"/>
      <c r="AA60" s="1023"/>
      <c r="AB60" s="1023"/>
      <c r="AC60" s="1023"/>
      <c r="AD60" s="1023"/>
      <c r="AE60" s="1023"/>
      <c r="AF60" s="1023"/>
      <c r="AG60" s="1023"/>
      <c r="AH60" s="1023"/>
      <c r="AI60" s="1023"/>
      <c r="AJ60" s="1023"/>
      <c r="AK60" s="1023"/>
      <c r="AL60" s="1023"/>
      <c r="AM60" s="1023"/>
      <c r="AN60" s="1023"/>
      <c r="AO60" s="1023"/>
      <c r="AP60" s="1023"/>
      <c r="AQ60" s="1023"/>
      <c r="AR60" s="1023"/>
      <c r="AS60" s="1023"/>
      <c r="AT60" s="1023"/>
      <c r="AU60" s="1023"/>
      <c r="AV60" s="1023"/>
      <c r="AW60" s="1023"/>
    </row>
    <row r="61" spans="1:49" ht="19.95" customHeight="1">
      <c r="A61" s="1018"/>
      <c r="B61" s="1016"/>
      <c r="C61" s="1016"/>
      <c r="D61" s="1019"/>
      <c r="E61" s="1018"/>
      <c r="F61" s="1017"/>
      <c r="G61" s="1020"/>
      <c r="H61" s="1349"/>
      <c r="I61" s="1349"/>
      <c r="J61" s="1349"/>
      <c r="K61" s="1349"/>
      <c r="L61" s="1017"/>
      <c r="M61" s="1021"/>
      <c r="N61" s="1018"/>
      <c r="O61" s="1022"/>
      <c r="P61" s="1022"/>
      <c r="Q61" s="1022"/>
      <c r="R61" s="1023"/>
      <c r="S61" s="1023"/>
      <c r="T61" s="1023"/>
      <c r="U61" s="1023"/>
      <c r="V61" s="1023"/>
      <c r="W61" s="1023"/>
      <c r="X61" s="1023"/>
      <c r="Y61" s="1023"/>
      <c r="Z61" s="1023"/>
      <c r="AA61" s="1023"/>
      <c r="AB61" s="1023"/>
      <c r="AC61" s="1023"/>
      <c r="AD61" s="1023"/>
      <c r="AE61" s="1023"/>
      <c r="AF61" s="1023"/>
      <c r="AG61" s="1023"/>
      <c r="AH61" s="1023"/>
      <c r="AI61" s="1023"/>
      <c r="AJ61" s="1023"/>
      <c r="AK61" s="1023"/>
      <c r="AL61" s="1023"/>
      <c r="AM61" s="1023"/>
      <c r="AN61" s="1023"/>
      <c r="AO61" s="1023"/>
      <c r="AP61" s="1023"/>
      <c r="AQ61" s="1023"/>
      <c r="AR61" s="1023"/>
      <c r="AS61" s="1023"/>
      <c r="AT61" s="1023"/>
      <c r="AU61" s="1023"/>
      <c r="AV61" s="1023"/>
      <c r="AW61" s="1023"/>
    </row>
    <row r="62" spans="1:49" ht="19.95" customHeight="1">
      <c r="A62" s="1018"/>
      <c r="B62" s="1016"/>
      <c r="C62" s="1016"/>
      <c r="D62" s="1019"/>
      <c r="E62" s="1018"/>
      <c r="F62" s="1017"/>
      <c r="G62" s="1020"/>
      <c r="H62" s="1349"/>
      <c r="I62" s="1349"/>
      <c r="J62" s="1349"/>
      <c r="K62" s="1349"/>
      <c r="L62" s="1017"/>
      <c r="M62" s="1021"/>
      <c r="N62" s="1018"/>
      <c r="O62" s="1022"/>
      <c r="P62" s="1022"/>
      <c r="Q62" s="1022"/>
      <c r="R62" s="1023"/>
      <c r="S62" s="1023"/>
      <c r="T62" s="1023"/>
      <c r="U62" s="1023"/>
      <c r="V62" s="1023"/>
      <c r="W62" s="1023"/>
      <c r="X62" s="1023"/>
      <c r="Y62" s="1023"/>
      <c r="Z62" s="1023"/>
      <c r="AA62" s="1023"/>
      <c r="AB62" s="1023"/>
      <c r="AC62" s="1023"/>
      <c r="AD62" s="1023"/>
      <c r="AE62" s="1023"/>
      <c r="AF62" s="1023"/>
      <c r="AG62" s="1023"/>
      <c r="AH62" s="1023"/>
      <c r="AI62" s="1023"/>
      <c r="AJ62" s="1023"/>
      <c r="AK62" s="1023"/>
      <c r="AL62" s="1023"/>
      <c r="AM62" s="1023"/>
      <c r="AN62" s="1023"/>
      <c r="AO62" s="1023"/>
      <c r="AP62" s="1023"/>
      <c r="AQ62" s="1023"/>
      <c r="AR62" s="1023"/>
      <c r="AS62" s="1023"/>
      <c r="AT62" s="1023"/>
      <c r="AU62" s="1023"/>
      <c r="AV62" s="1023"/>
      <c r="AW62" s="1023"/>
    </row>
    <row r="63" spans="1:49" ht="19.95" customHeight="1">
      <c r="A63" s="1018"/>
      <c r="B63" s="1016"/>
      <c r="C63" s="1016"/>
      <c r="D63" s="1019"/>
      <c r="E63" s="1018"/>
      <c r="F63" s="1017"/>
      <c r="G63" s="1020"/>
      <c r="H63" s="1349"/>
      <c r="I63" s="1349"/>
      <c r="J63" s="1349"/>
      <c r="K63" s="1349"/>
      <c r="L63" s="1017"/>
      <c r="M63" s="1021"/>
      <c r="N63" s="1018"/>
      <c r="O63" s="1022"/>
      <c r="P63" s="1022"/>
      <c r="Q63" s="1022"/>
      <c r="R63" s="1023"/>
      <c r="S63" s="1023"/>
      <c r="T63" s="1023"/>
      <c r="U63" s="1023"/>
      <c r="V63" s="1023"/>
      <c r="W63" s="1023"/>
      <c r="X63" s="1023"/>
      <c r="Y63" s="1023"/>
      <c r="Z63" s="1023"/>
      <c r="AA63" s="1023"/>
      <c r="AB63" s="1023"/>
      <c r="AC63" s="1023"/>
      <c r="AD63" s="1023"/>
      <c r="AE63" s="1023"/>
      <c r="AF63" s="1023"/>
      <c r="AG63" s="1023"/>
      <c r="AH63" s="1023"/>
      <c r="AI63" s="1023"/>
      <c r="AJ63" s="1023"/>
      <c r="AK63" s="1023"/>
      <c r="AL63" s="1023"/>
      <c r="AM63" s="1023"/>
      <c r="AN63" s="1023"/>
      <c r="AO63" s="1023"/>
      <c r="AP63" s="1023"/>
      <c r="AQ63" s="1023"/>
      <c r="AR63" s="1023"/>
      <c r="AS63" s="1023"/>
      <c r="AT63" s="1023"/>
      <c r="AU63" s="1023"/>
      <c r="AV63" s="1023"/>
      <c r="AW63" s="1023"/>
    </row>
    <row r="64" spans="1:49" ht="19.95" customHeight="1">
      <c r="A64" s="1018"/>
      <c r="B64" s="1016"/>
      <c r="C64" s="1016"/>
      <c r="D64" s="1019"/>
      <c r="E64" s="1018"/>
      <c r="F64" s="1017"/>
      <c r="G64" s="1020"/>
      <c r="H64" s="1349"/>
      <c r="I64" s="1349"/>
      <c r="J64" s="1349"/>
      <c r="K64" s="1349"/>
      <c r="L64" s="1017"/>
      <c r="M64" s="1024"/>
      <c r="N64" s="1018"/>
      <c r="O64" s="1022"/>
      <c r="P64" s="1022"/>
      <c r="Q64" s="1022"/>
      <c r="R64" s="1023"/>
      <c r="S64" s="1023"/>
      <c r="T64" s="1023"/>
      <c r="U64" s="1023"/>
      <c r="V64" s="1023"/>
      <c r="W64" s="1023"/>
      <c r="X64" s="1023"/>
      <c r="Y64" s="1023"/>
      <c r="Z64" s="1023"/>
      <c r="AA64" s="1023"/>
      <c r="AB64" s="1023"/>
      <c r="AC64" s="1023"/>
      <c r="AD64" s="1023"/>
      <c r="AE64" s="1023"/>
      <c r="AF64" s="1023"/>
      <c r="AG64" s="1023"/>
      <c r="AH64" s="1023"/>
      <c r="AI64" s="1023"/>
      <c r="AJ64" s="1023"/>
      <c r="AK64" s="1023"/>
      <c r="AL64" s="1023"/>
      <c r="AM64" s="1023"/>
      <c r="AN64" s="1023"/>
      <c r="AO64" s="1023"/>
      <c r="AP64" s="1023"/>
      <c r="AQ64" s="1023"/>
      <c r="AR64" s="1023"/>
      <c r="AS64" s="1023"/>
      <c r="AT64" s="1023"/>
      <c r="AU64" s="1023"/>
      <c r="AV64" s="1023"/>
      <c r="AW64" s="1023"/>
    </row>
    <row r="65" spans="1:49" ht="19.95" customHeight="1">
      <c r="A65" s="1018"/>
      <c r="B65" s="1016"/>
      <c r="C65" s="1016"/>
      <c r="D65" s="1019"/>
      <c r="E65" s="1018"/>
      <c r="F65" s="1017"/>
      <c r="G65" s="1020"/>
      <c r="H65" s="1349"/>
      <c r="I65" s="1349"/>
      <c r="J65" s="1349"/>
      <c r="K65" s="1349"/>
      <c r="L65" s="1017"/>
      <c r="M65" s="1021"/>
      <c r="N65" s="1018"/>
      <c r="O65" s="1022"/>
      <c r="P65" s="1022"/>
      <c r="Q65" s="1022"/>
      <c r="R65" s="1023"/>
      <c r="S65" s="1023"/>
      <c r="T65" s="1023"/>
      <c r="U65" s="1023"/>
      <c r="V65" s="1023"/>
      <c r="W65" s="1023"/>
      <c r="X65" s="1023"/>
      <c r="Y65" s="1023"/>
      <c r="Z65" s="1023"/>
      <c r="AA65" s="1023"/>
      <c r="AB65" s="1023"/>
      <c r="AC65" s="1023"/>
      <c r="AD65" s="1023"/>
      <c r="AE65" s="1023"/>
      <c r="AF65" s="1023"/>
      <c r="AG65" s="1023"/>
      <c r="AH65" s="1023"/>
      <c r="AI65" s="1023"/>
      <c r="AJ65" s="1023"/>
      <c r="AK65" s="1023"/>
      <c r="AL65" s="1023"/>
      <c r="AM65" s="1023"/>
      <c r="AN65" s="1023"/>
      <c r="AO65" s="1023"/>
      <c r="AP65" s="1023"/>
      <c r="AQ65" s="1023"/>
      <c r="AR65" s="1023"/>
      <c r="AS65" s="1023"/>
      <c r="AT65" s="1023"/>
      <c r="AU65" s="1023"/>
      <c r="AV65" s="1023"/>
      <c r="AW65" s="1023"/>
    </row>
    <row r="66" spans="1:49" ht="19.95" customHeight="1">
      <c r="A66" s="1018"/>
      <c r="B66" s="1016"/>
      <c r="C66" s="1016"/>
      <c r="D66" s="1019"/>
      <c r="E66" s="1018"/>
      <c r="F66" s="1017"/>
      <c r="G66" s="1020"/>
      <c r="H66" s="1349"/>
      <c r="I66" s="1349"/>
      <c r="J66" s="1349"/>
      <c r="K66" s="1349"/>
      <c r="L66" s="1017"/>
      <c r="M66" s="1021"/>
      <c r="N66" s="1018"/>
      <c r="O66" s="1022"/>
      <c r="P66" s="1022"/>
      <c r="Q66" s="1022"/>
      <c r="R66" s="1023"/>
      <c r="S66" s="1023"/>
      <c r="T66" s="1023"/>
      <c r="U66" s="1023"/>
      <c r="V66" s="1023"/>
      <c r="W66" s="1023"/>
      <c r="X66" s="1023"/>
      <c r="Y66" s="1023"/>
      <c r="Z66" s="1023"/>
      <c r="AA66" s="1023"/>
      <c r="AB66" s="1023"/>
      <c r="AC66" s="1023"/>
      <c r="AD66" s="1023"/>
      <c r="AE66" s="1023"/>
      <c r="AF66" s="1023"/>
      <c r="AG66" s="1023"/>
      <c r="AH66" s="1023"/>
      <c r="AI66" s="1023"/>
      <c r="AJ66" s="1023"/>
      <c r="AK66" s="1023"/>
      <c r="AL66" s="1023"/>
      <c r="AM66" s="1023"/>
      <c r="AN66" s="1023"/>
      <c r="AO66" s="1023"/>
      <c r="AP66" s="1023"/>
      <c r="AQ66" s="1023"/>
      <c r="AR66" s="1023"/>
      <c r="AS66" s="1023"/>
      <c r="AT66" s="1023"/>
      <c r="AU66" s="1023"/>
      <c r="AV66" s="1023"/>
      <c r="AW66" s="1023"/>
    </row>
    <row r="67" spans="1:49" ht="19.95" customHeight="1">
      <c r="A67" s="1018"/>
      <c r="B67" s="1016"/>
      <c r="C67" s="1016"/>
      <c r="D67" s="1019"/>
      <c r="E67" s="1018"/>
      <c r="F67" s="1017"/>
      <c r="G67" s="1020"/>
      <c r="H67" s="1349"/>
      <c r="I67" s="1349"/>
      <c r="J67" s="1349"/>
      <c r="K67" s="1349"/>
      <c r="L67" s="1017"/>
      <c r="M67" s="1021"/>
      <c r="N67" s="1018"/>
      <c r="O67" s="1022"/>
      <c r="P67" s="1022"/>
      <c r="Q67" s="1022"/>
      <c r="R67" s="1023"/>
      <c r="S67" s="1023"/>
      <c r="T67" s="1023"/>
      <c r="U67" s="1023"/>
      <c r="V67" s="1023"/>
      <c r="W67" s="1023"/>
      <c r="X67" s="1023"/>
      <c r="Y67" s="1023"/>
      <c r="Z67" s="1023"/>
      <c r="AA67" s="1023"/>
      <c r="AB67" s="1023"/>
      <c r="AC67" s="1023"/>
      <c r="AD67" s="1023"/>
      <c r="AE67" s="1023"/>
      <c r="AF67" s="1023"/>
      <c r="AG67" s="1023"/>
      <c r="AH67" s="1023"/>
      <c r="AI67" s="1023"/>
      <c r="AJ67" s="1023"/>
      <c r="AK67" s="1023"/>
      <c r="AL67" s="1023"/>
      <c r="AM67" s="1023"/>
      <c r="AN67" s="1023"/>
      <c r="AO67" s="1023"/>
      <c r="AP67" s="1023"/>
      <c r="AQ67" s="1023"/>
      <c r="AR67" s="1023"/>
      <c r="AS67" s="1023"/>
      <c r="AT67" s="1023"/>
      <c r="AU67" s="1023"/>
      <c r="AV67" s="1023"/>
      <c r="AW67" s="1023"/>
    </row>
    <row r="68" spans="1:49" ht="19.95" customHeight="1">
      <c r="A68" s="1018"/>
      <c r="B68" s="1016"/>
      <c r="C68" s="1016"/>
      <c r="D68" s="1019"/>
      <c r="E68" s="1018"/>
      <c r="F68" s="1017"/>
      <c r="G68" s="1020"/>
      <c r="H68" s="1349"/>
      <c r="I68" s="1349"/>
      <c r="J68" s="1349"/>
      <c r="K68" s="1349"/>
      <c r="L68" s="1017"/>
      <c r="M68" s="1021"/>
      <c r="N68" s="1018"/>
      <c r="O68" s="1022"/>
      <c r="P68" s="1022"/>
      <c r="Q68" s="1022"/>
      <c r="R68" s="1023"/>
      <c r="S68" s="1023"/>
      <c r="T68" s="1023"/>
      <c r="U68" s="1023"/>
      <c r="V68" s="1023"/>
      <c r="W68" s="1023"/>
      <c r="X68" s="1023"/>
      <c r="Y68" s="1023"/>
      <c r="Z68" s="1023"/>
      <c r="AA68" s="1023"/>
      <c r="AB68" s="1023"/>
      <c r="AC68" s="1023"/>
      <c r="AD68" s="1023"/>
      <c r="AE68" s="1023"/>
      <c r="AF68" s="1023"/>
      <c r="AG68" s="1023"/>
      <c r="AH68" s="1023"/>
      <c r="AI68" s="1023"/>
      <c r="AJ68" s="1023"/>
      <c r="AK68" s="1023"/>
      <c r="AL68" s="1023"/>
      <c r="AM68" s="1023"/>
      <c r="AN68" s="1023"/>
      <c r="AO68" s="1023"/>
      <c r="AP68" s="1023"/>
      <c r="AQ68" s="1023"/>
      <c r="AR68" s="1023"/>
      <c r="AS68" s="1023"/>
      <c r="AT68" s="1023"/>
      <c r="AU68" s="1023"/>
      <c r="AV68" s="1023"/>
      <c r="AW68" s="1023"/>
    </row>
    <row r="69" spans="1:49" ht="19.95" customHeight="1">
      <c r="A69" s="1018"/>
      <c r="B69" s="1016"/>
      <c r="C69" s="1016"/>
      <c r="D69" s="1019"/>
      <c r="E69" s="1018"/>
      <c r="F69" s="1017"/>
      <c r="G69" s="1020"/>
      <c r="H69" s="1349"/>
      <c r="I69" s="1349"/>
      <c r="J69" s="1349"/>
      <c r="K69" s="1349"/>
      <c r="L69" s="1017"/>
      <c r="M69" s="1021"/>
      <c r="N69" s="1018"/>
      <c r="O69" s="1022"/>
      <c r="P69" s="1022"/>
      <c r="Q69" s="1022"/>
      <c r="R69" s="1023"/>
      <c r="S69" s="1023"/>
      <c r="T69" s="1023"/>
      <c r="U69" s="1023"/>
      <c r="V69" s="1023"/>
      <c r="W69" s="1023"/>
      <c r="X69" s="1023"/>
      <c r="Y69" s="1023"/>
      <c r="Z69" s="1023"/>
      <c r="AA69" s="1023"/>
      <c r="AB69" s="1023"/>
      <c r="AC69" s="1023"/>
      <c r="AD69" s="1023"/>
      <c r="AE69" s="1023"/>
      <c r="AF69" s="1023"/>
      <c r="AG69" s="1023"/>
      <c r="AH69" s="1023"/>
      <c r="AI69" s="1023"/>
      <c r="AJ69" s="1023"/>
      <c r="AK69" s="1023"/>
      <c r="AL69" s="1023"/>
      <c r="AM69" s="1023"/>
      <c r="AN69" s="1023"/>
      <c r="AO69" s="1023"/>
      <c r="AP69" s="1023"/>
      <c r="AQ69" s="1023"/>
      <c r="AR69" s="1023"/>
      <c r="AS69" s="1023"/>
      <c r="AT69" s="1023"/>
      <c r="AU69" s="1023"/>
      <c r="AV69" s="1023"/>
      <c r="AW69" s="1023"/>
    </row>
    <row r="70" spans="1:49" ht="19.95" customHeight="1">
      <c r="A70" s="1018"/>
      <c r="B70" s="1016"/>
      <c r="C70" s="1016"/>
      <c r="D70" s="1019"/>
      <c r="E70" s="1018"/>
      <c r="F70" s="1017"/>
      <c r="G70" s="1020"/>
      <c r="H70" s="1349"/>
      <c r="I70" s="1349"/>
      <c r="J70" s="1349"/>
      <c r="K70" s="1349"/>
      <c r="L70" s="1017"/>
      <c r="M70" s="1024"/>
      <c r="N70" s="1018"/>
      <c r="O70" s="1022"/>
      <c r="P70" s="1022"/>
      <c r="Q70" s="1022"/>
      <c r="R70" s="1023"/>
      <c r="S70" s="1023"/>
      <c r="T70" s="1023"/>
      <c r="U70" s="1023"/>
      <c r="V70" s="1023"/>
      <c r="W70" s="1023"/>
      <c r="X70" s="1023"/>
      <c r="Y70" s="1023"/>
      <c r="Z70" s="1023"/>
      <c r="AA70" s="1023"/>
      <c r="AB70" s="1023"/>
      <c r="AC70" s="1023"/>
      <c r="AD70" s="1023"/>
      <c r="AE70" s="1023"/>
      <c r="AF70" s="1023"/>
      <c r="AG70" s="1023"/>
      <c r="AH70" s="1023"/>
      <c r="AI70" s="1023"/>
      <c r="AJ70" s="1023"/>
      <c r="AK70" s="1023"/>
      <c r="AL70" s="1023"/>
      <c r="AM70" s="1023"/>
      <c r="AN70" s="1023"/>
      <c r="AO70" s="1023"/>
      <c r="AP70" s="1023"/>
      <c r="AQ70" s="1023"/>
      <c r="AR70" s="1023"/>
      <c r="AS70" s="1023"/>
      <c r="AT70" s="1023"/>
      <c r="AU70" s="1023"/>
      <c r="AV70" s="1023"/>
      <c r="AW70" s="1023"/>
    </row>
    <row r="71" spans="1:49" ht="19.95" customHeight="1">
      <c r="A71" s="1018"/>
      <c r="B71" s="1016"/>
      <c r="C71" s="1016"/>
      <c r="D71" s="1019"/>
      <c r="E71" s="1018"/>
      <c r="F71" s="1017"/>
      <c r="G71" s="1020"/>
      <c r="H71" s="1349"/>
      <c r="I71" s="1349"/>
      <c r="J71" s="1349"/>
      <c r="K71" s="1349"/>
      <c r="L71" s="1017"/>
      <c r="M71" s="1021"/>
      <c r="N71" s="1018"/>
      <c r="O71" s="1022"/>
      <c r="P71" s="1022"/>
      <c r="Q71" s="1022"/>
      <c r="R71" s="1023"/>
      <c r="S71" s="1023"/>
      <c r="T71" s="1023"/>
      <c r="U71" s="1023"/>
      <c r="V71" s="1023"/>
      <c r="W71" s="1023"/>
      <c r="X71" s="1023"/>
      <c r="Y71" s="1023"/>
      <c r="Z71" s="1023"/>
      <c r="AA71" s="1023"/>
      <c r="AB71" s="1023"/>
      <c r="AC71" s="1023"/>
      <c r="AD71" s="1023"/>
      <c r="AE71" s="1023"/>
      <c r="AF71" s="1023"/>
      <c r="AG71" s="1023"/>
      <c r="AH71" s="1023"/>
      <c r="AI71" s="1023"/>
      <c r="AJ71" s="1023"/>
      <c r="AK71" s="1023"/>
      <c r="AL71" s="1023"/>
      <c r="AM71" s="1023"/>
      <c r="AN71" s="1023"/>
      <c r="AO71" s="1023"/>
      <c r="AP71" s="1023"/>
      <c r="AQ71" s="1023"/>
      <c r="AR71" s="1023"/>
      <c r="AS71" s="1023"/>
      <c r="AT71" s="1023"/>
      <c r="AU71" s="1023"/>
      <c r="AV71" s="1023"/>
      <c r="AW71" s="1023"/>
    </row>
    <row r="72" spans="1:49" ht="19.95" customHeight="1">
      <c r="A72" s="1018"/>
      <c r="B72" s="1016"/>
      <c r="C72" s="1016"/>
      <c r="D72" s="1019"/>
      <c r="E72" s="1018"/>
      <c r="F72" s="1017"/>
      <c r="G72" s="1020"/>
      <c r="H72" s="1349"/>
      <c r="I72" s="1349"/>
      <c r="J72" s="1349"/>
      <c r="K72" s="1349"/>
      <c r="L72" s="1017"/>
      <c r="M72" s="1021"/>
      <c r="N72" s="1018"/>
      <c r="O72" s="1022"/>
      <c r="P72" s="1022"/>
      <c r="Q72" s="1022"/>
      <c r="R72" s="1023"/>
      <c r="S72" s="1023"/>
      <c r="T72" s="1023"/>
      <c r="U72" s="1023"/>
      <c r="V72" s="1023"/>
      <c r="W72" s="1023"/>
      <c r="X72" s="1023"/>
      <c r="Y72" s="1023"/>
      <c r="Z72" s="1023"/>
      <c r="AA72" s="1023"/>
      <c r="AB72" s="1023"/>
      <c r="AC72" s="1023"/>
      <c r="AD72" s="1023"/>
      <c r="AE72" s="1023"/>
      <c r="AF72" s="1023"/>
      <c r="AG72" s="1023"/>
      <c r="AH72" s="1023"/>
      <c r="AI72" s="1023"/>
      <c r="AJ72" s="1023"/>
      <c r="AK72" s="1023"/>
      <c r="AL72" s="1023"/>
      <c r="AM72" s="1023"/>
      <c r="AN72" s="1023"/>
      <c r="AO72" s="1023"/>
      <c r="AP72" s="1023"/>
      <c r="AQ72" s="1023"/>
      <c r="AR72" s="1023"/>
      <c r="AS72" s="1023"/>
      <c r="AT72" s="1023"/>
      <c r="AU72" s="1023"/>
      <c r="AV72" s="1023"/>
      <c r="AW72" s="1023"/>
    </row>
    <row r="73" spans="1:49" ht="19.95" customHeight="1">
      <c r="A73" s="1018"/>
      <c r="B73" s="1016"/>
      <c r="C73" s="1016"/>
      <c r="D73" s="1019"/>
      <c r="E73" s="1018"/>
      <c r="F73" s="1017"/>
      <c r="G73" s="1020"/>
      <c r="H73" s="1349"/>
      <c r="I73" s="1349"/>
      <c r="J73" s="1349"/>
      <c r="K73" s="1349"/>
      <c r="L73" s="1017"/>
      <c r="M73" s="1021"/>
      <c r="N73" s="1018"/>
      <c r="O73" s="1022"/>
      <c r="P73" s="1022"/>
      <c r="Q73" s="1022"/>
      <c r="R73" s="1023"/>
      <c r="S73" s="1023"/>
      <c r="T73" s="1023"/>
      <c r="U73" s="1023"/>
      <c r="V73" s="1023"/>
      <c r="W73" s="1023"/>
      <c r="X73" s="1023"/>
      <c r="Y73" s="1023"/>
      <c r="Z73" s="1023"/>
      <c r="AA73" s="1023"/>
      <c r="AB73" s="1023"/>
      <c r="AC73" s="1023"/>
      <c r="AD73" s="1023"/>
      <c r="AE73" s="1023"/>
      <c r="AF73" s="1023"/>
      <c r="AG73" s="1023"/>
      <c r="AH73" s="1023"/>
      <c r="AI73" s="1023"/>
      <c r="AJ73" s="1023"/>
      <c r="AK73" s="1023"/>
      <c r="AL73" s="1023"/>
      <c r="AM73" s="1023"/>
      <c r="AN73" s="1023"/>
      <c r="AO73" s="1023"/>
      <c r="AP73" s="1023"/>
      <c r="AQ73" s="1023"/>
      <c r="AR73" s="1023"/>
      <c r="AS73" s="1023"/>
      <c r="AT73" s="1023"/>
      <c r="AU73" s="1023"/>
      <c r="AV73" s="1023"/>
      <c r="AW73" s="1023"/>
    </row>
    <row r="74" spans="1:49" ht="19.95" customHeight="1">
      <c r="A74" s="1018"/>
      <c r="B74" s="1016"/>
      <c r="C74" s="1016"/>
      <c r="D74" s="1019"/>
      <c r="E74" s="1018"/>
      <c r="F74" s="1017"/>
      <c r="G74" s="1020"/>
      <c r="H74" s="1349"/>
      <c r="I74" s="1349"/>
      <c r="J74" s="1349"/>
      <c r="K74" s="1349"/>
      <c r="L74" s="1017"/>
      <c r="M74" s="1021"/>
      <c r="N74" s="1018"/>
      <c r="O74" s="1022"/>
      <c r="P74" s="1022"/>
      <c r="Q74" s="1022"/>
      <c r="R74" s="1023"/>
      <c r="S74" s="1023"/>
      <c r="T74" s="1023"/>
      <c r="U74" s="1023"/>
      <c r="V74" s="1023"/>
      <c r="W74" s="1023"/>
      <c r="X74" s="1023"/>
      <c r="Y74" s="1023"/>
      <c r="Z74" s="1023"/>
      <c r="AA74" s="1023"/>
      <c r="AB74" s="1023"/>
      <c r="AC74" s="1023"/>
      <c r="AD74" s="1023"/>
      <c r="AE74" s="1023"/>
      <c r="AF74" s="1023"/>
      <c r="AG74" s="1023"/>
      <c r="AH74" s="1023"/>
      <c r="AI74" s="1023"/>
      <c r="AJ74" s="1023"/>
      <c r="AK74" s="1023"/>
      <c r="AL74" s="1023"/>
      <c r="AM74" s="1023"/>
      <c r="AN74" s="1023"/>
      <c r="AO74" s="1023"/>
      <c r="AP74" s="1023"/>
      <c r="AQ74" s="1023"/>
      <c r="AR74" s="1023"/>
      <c r="AS74" s="1023"/>
      <c r="AT74" s="1023"/>
      <c r="AU74" s="1023"/>
      <c r="AV74" s="1023"/>
      <c r="AW74" s="1023"/>
    </row>
    <row r="75" spans="1:49" ht="19.95" customHeight="1">
      <c r="A75" s="1018"/>
      <c r="B75" s="1016"/>
      <c r="C75" s="1016"/>
      <c r="D75" s="1019"/>
      <c r="E75" s="1018"/>
      <c r="F75" s="1017"/>
      <c r="G75" s="1020"/>
      <c r="H75" s="1349"/>
      <c r="I75" s="1349"/>
      <c r="J75" s="1349"/>
      <c r="K75" s="1349"/>
      <c r="L75" s="1017"/>
      <c r="M75" s="1021"/>
      <c r="N75" s="1018"/>
      <c r="O75" s="1022"/>
      <c r="P75" s="1022"/>
      <c r="Q75" s="1022"/>
      <c r="R75" s="1023"/>
      <c r="S75" s="1023"/>
      <c r="T75" s="1023"/>
      <c r="U75" s="1023"/>
      <c r="V75" s="1023"/>
      <c r="W75" s="1023"/>
      <c r="X75" s="1023"/>
      <c r="Y75" s="1023"/>
      <c r="Z75" s="1023"/>
      <c r="AA75" s="1023"/>
      <c r="AB75" s="1023"/>
      <c r="AC75" s="1023"/>
      <c r="AD75" s="1023"/>
      <c r="AE75" s="1023"/>
      <c r="AF75" s="1023"/>
      <c r="AG75" s="1023"/>
      <c r="AH75" s="1023"/>
      <c r="AI75" s="1023"/>
      <c r="AJ75" s="1023"/>
      <c r="AK75" s="1023"/>
      <c r="AL75" s="1023"/>
      <c r="AM75" s="1023"/>
      <c r="AN75" s="1023"/>
      <c r="AO75" s="1023"/>
      <c r="AP75" s="1023"/>
      <c r="AQ75" s="1023"/>
      <c r="AR75" s="1023"/>
      <c r="AS75" s="1023"/>
      <c r="AT75" s="1023"/>
      <c r="AU75" s="1023"/>
      <c r="AV75" s="1023"/>
      <c r="AW75" s="1023"/>
    </row>
    <row r="76" spans="1:49" ht="19.95" customHeight="1">
      <c r="A76" s="1018"/>
      <c r="B76" s="1016"/>
      <c r="C76" s="1016"/>
      <c r="D76" s="1019"/>
      <c r="E76" s="1018"/>
      <c r="F76" s="1017"/>
      <c r="G76" s="1020"/>
      <c r="H76" s="1349"/>
      <c r="I76" s="1349"/>
      <c r="J76" s="1349"/>
      <c r="K76" s="1349"/>
      <c r="L76" s="1017"/>
      <c r="M76" s="1021"/>
      <c r="N76" s="1018"/>
      <c r="O76" s="1022"/>
      <c r="P76" s="1022"/>
      <c r="Q76" s="1022"/>
      <c r="R76" s="1023"/>
      <c r="S76" s="1023"/>
      <c r="T76" s="1023"/>
      <c r="U76" s="1023"/>
      <c r="V76" s="1023"/>
      <c r="W76" s="1023"/>
      <c r="X76" s="1023"/>
      <c r="Y76" s="1023"/>
      <c r="Z76" s="1023"/>
      <c r="AA76" s="1023"/>
      <c r="AB76" s="1023"/>
      <c r="AC76" s="1023"/>
      <c r="AD76" s="1023"/>
      <c r="AE76" s="1023"/>
      <c r="AF76" s="1023"/>
      <c r="AG76" s="1023"/>
      <c r="AH76" s="1023"/>
      <c r="AI76" s="1023"/>
      <c r="AJ76" s="1023"/>
      <c r="AK76" s="1023"/>
      <c r="AL76" s="1023"/>
      <c r="AM76" s="1023"/>
      <c r="AN76" s="1023"/>
      <c r="AO76" s="1023"/>
      <c r="AP76" s="1023"/>
      <c r="AQ76" s="1023"/>
      <c r="AR76" s="1023"/>
      <c r="AS76" s="1023"/>
      <c r="AT76" s="1023"/>
      <c r="AU76" s="1023"/>
      <c r="AV76" s="1023"/>
      <c r="AW76" s="1023"/>
    </row>
    <row r="77" spans="1:49" ht="19.95" customHeight="1">
      <c r="A77" s="1018"/>
      <c r="B77" s="1016"/>
      <c r="C77" s="1016"/>
      <c r="D77" s="1019"/>
      <c r="E77" s="1018"/>
      <c r="F77" s="1017"/>
      <c r="G77" s="1020"/>
      <c r="H77" s="1349"/>
      <c r="I77" s="1349"/>
      <c r="J77" s="1349"/>
      <c r="K77" s="1349"/>
      <c r="L77" s="1017"/>
      <c r="M77" s="1021"/>
      <c r="N77" s="1018"/>
      <c r="O77" s="1022"/>
      <c r="P77" s="1022"/>
      <c r="Q77" s="1022"/>
      <c r="R77" s="1023"/>
      <c r="S77" s="1023"/>
      <c r="T77" s="1023"/>
      <c r="U77" s="1023"/>
      <c r="V77" s="1023"/>
      <c r="W77" s="1023"/>
      <c r="X77" s="1023"/>
      <c r="Y77" s="1023"/>
      <c r="Z77" s="1023"/>
      <c r="AA77" s="1023"/>
      <c r="AB77" s="1023"/>
      <c r="AC77" s="1023"/>
      <c r="AD77" s="1023"/>
      <c r="AE77" s="1023"/>
      <c r="AF77" s="1023"/>
      <c r="AG77" s="1023"/>
      <c r="AH77" s="1023"/>
      <c r="AI77" s="1023"/>
      <c r="AJ77" s="1023"/>
      <c r="AK77" s="1023"/>
      <c r="AL77" s="1023"/>
      <c r="AM77" s="1023"/>
      <c r="AN77" s="1023"/>
      <c r="AO77" s="1023"/>
      <c r="AP77" s="1023"/>
      <c r="AQ77" s="1023"/>
      <c r="AR77" s="1023"/>
      <c r="AS77" s="1023"/>
      <c r="AT77" s="1023"/>
      <c r="AU77" s="1023"/>
      <c r="AV77" s="1023"/>
      <c r="AW77" s="1023"/>
    </row>
    <row r="78" spans="1:49" ht="19.95" customHeight="1">
      <c r="A78" s="1018"/>
      <c r="B78" s="1016"/>
      <c r="C78" s="1016"/>
      <c r="D78" s="1019"/>
      <c r="E78" s="1018"/>
      <c r="F78" s="1017"/>
      <c r="G78" s="1020"/>
      <c r="H78" s="1349"/>
      <c r="I78" s="1349"/>
      <c r="J78" s="1349"/>
      <c r="K78" s="1349"/>
      <c r="L78" s="1017"/>
      <c r="M78" s="1021"/>
      <c r="N78" s="1018"/>
      <c r="O78" s="1022"/>
      <c r="P78" s="1022"/>
      <c r="Q78" s="1022"/>
      <c r="R78" s="1023"/>
      <c r="S78" s="1023"/>
      <c r="T78" s="1023"/>
      <c r="U78" s="1023"/>
      <c r="V78" s="1023"/>
      <c r="W78" s="1023"/>
      <c r="X78" s="1023"/>
      <c r="Y78" s="1023"/>
      <c r="Z78" s="1023"/>
      <c r="AA78" s="1023"/>
      <c r="AB78" s="1023"/>
      <c r="AC78" s="1023"/>
      <c r="AD78" s="1023"/>
      <c r="AE78" s="1023"/>
      <c r="AF78" s="1023"/>
      <c r="AG78" s="1023"/>
      <c r="AH78" s="1023"/>
      <c r="AI78" s="1023"/>
      <c r="AJ78" s="1023"/>
      <c r="AK78" s="1023"/>
      <c r="AL78" s="1023"/>
      <c r="AM78" s="1023"/>
      <c r="AN78" s="1023"/>
      <c r="AO78" s="1023"/>
      <c r="AP78" s="1023"/>
      <c r="AQ78" s="1023"/>
      <c r="AR78" s="1023"/>
      <c r="AS78" s="1023"/>
      <c r="AT78" s="1023"/>
      <c r="AU78" s="1023"/>
      <c r="AV78" s="1023"/>
      <c r="AW78" s="1023"/>
    </row>
    <row r="79" spans="1:49" ht="19.95" customHeight="1">
      <c r="A79" s="1018"/>
      <c r="B79" s="1016"/>
      <c r="C79" s="1016"/>
      <c r="D79" s="1019"/>
      <c r="E79" s="1018"/>
      <c r="F79" s="1017"/>
      <c r="G79" s="1020"/>
      <c r="H79" s="1349"/>
      <c r="I79" s="1349"/>
      <c r="J79" s="1349"/>
      <c r="K79" s="1349"/>
      <c r="L79" s="1017"/>
      <c r="M79" s="1021"/>
      <c r="N79" s="1018"/>
      <c r="O79" s="1022"/>
      <c r="P79" s="1022"/>
      <c r="Q79" s="1022"/>
      <c r="R79" s="1023"/>
      <c r="S79" s="1023"/>
      <c r="T79" s="1023"/>
      <c r="U79" s="1023"/>
      <c r="V79" s="1023"/>
      <c r="W79" s="1023"/>
      <c r="X79" s="1023"/>
      <c r="Y79" s="1023"/>
      <c r="Z79" s="1023"/>
      <c r="AA79" s="1023"/>
      <c r="AB79" s="1023"/>
      <c r="AC79" s="1023"/>
      <c r="AD79" s="1023"/>
      <c r="AE79" s="1023"/>
      <c r="AF79" s="1023"/>
      <c r="AG79" s="1023"/>
      <c r="AH79" s="1023"/>
      <c r="AI79" s="1023"/>
      <c r="AJ79" s="1023"/>
      <c r="AK79" s="1023"/>
      <c r="AL79" s="1023"/>
      <c r="AM79" s="1023"/>
      <c r="AN79" s="1023"/>
      <c r="AO79" s="1023"/>
      <c r="AP79" s="1023"/>
      <c r="AQ79" s="1023"/>
      <c r="AR79" s="1023"/>
      <c r="AS79" s="1023"/>
      <c r="AT79" s="1023"/>
      <c r="AU79" s="1023"/>
      <c r="AV79" s="1023"/>
      <c r="AW79" s="1023"/>
    </row>
    <row r="80" spans="1:49" ht="19.95" customHeight="1">
      <c r="A80" s="1018"/>
      <c r="B80" s="1016"/>
      <c r="C80" s="1016"/>
      <c r="D80" s="1019"/>
      <c r="E80" s="1018"/>
      <c r="F80" s="1017"/>
      <c r="G80" s="1020"/>
      <c r="H80" s="1349"/>
      <c r="I80" s="1349"/>
      <c r="J80" s="1349"/>
      <c r="K80" s="1349"/>
      <c r="L80" s="1017"/>
      <c r="M80" s="1021"/>
      <c r="N80" s="1018"/>
      <c r="O80" s="1022"/>
      <c r="P80" s="1022"/>
      <c r="Q80" s="1022"/>
      <c r="R80" s="1023"/>
      <c r="S80" s="1023"/>
      <c r="T80" s="1023"/>
      <c r="U80" s="1023"/>
      <c r="V80" s="1023"/>
      <c r="W80" s="1023"/>
      <c r="X80" s="1023"/>
      <c r="Y80" s="1023"/>
      <c r="Z80" s="1023"/>
      <c r="AA80" s="1023"/>
      <c r="AB80" s="1023"/>
      <c r="AC80" s="1023"/>
      <c r="AD80" s="1023"/>
      <c r="AE80" s="1023"/>
      <c r="AF80" s="1023"/>
      <c r="AG80" s="1023"/>
      <c r="AH80" s="1023"/>
      <c r="AI80" s="1023"/>
      <c r="AJ80" s="1023"/>
      <c r="AK80" s="1023"/>
      <c r="AL80" s="1023"/>
      <c r="AM80" s="1023"/>
      <c r="AN80" s="1023"/>
      <c r="AO80" s="1023"/>
      <c r="AP80" s="1023"/>
      <c r="AQ80" s="1023"/>
      <c r="AR80" s="1023"/>
      <c r="AS80" s="1023"/>
      <c r="AT80" s="1023"/>
      <c r="AU80" s="1023"/>
      <c r="AV80" s="1023"/>
      <c r="AW80" s="1023"/>
    </row>
    <row r="81" spans="1:49" ht="19.95" customHeight="1">
      <c r="A81" s="1018"/>
      <c r="B81" s="1016"/>
      <c r="C81" s="1016"/>
      <c r="D81" s="1019"/>
      <c r="E81" s="1018"/>
      <c r="F81" s="1017"/>
      <c r="G81" s="1020"/>
      <c r="H81" s="1349"/>
      <c r="I81" s="1349"/>
      <c r="J81" s="1349"/>
      <c r="K81" s="1349"/>
      <c r="L81" s="1017"/>
      <c r="M81" s="1021"/>
      <c r="N81" s="1018"/>
      <c r="O81" s="1022"/>
      <c r="P81" s="1022"/>
      <c r="Q81" s="1022"/>
      <c r="R81" s="1023"/>
      <c r="S81" s="1023"/>
      <c r="T81" s="1023"/>
      <c r="U81" s="1023"/>
      <c r="V81" s="1023"/>
      <c r="W81" s="1023"/>
      <c r="X81" s="1023"/>
      <c r="Y81" s="1023"/>
      <c r="Z81" s="1023"/>
      <c r="AA81" s="1023"/>
      <c r="AB81" s="1023"/>
      <c r="AC81" s="1023"/>
      <c r="AD81" s="1023"/>
      <c r="AE81" s="1023"/>
      <c r="AF81" s="1023"/>
      <c r="AG81" s="1023"/>
      <c r="AH81" s="1023"/>
      <c r="AI81" s="1023"/>
      <c r="AJ81" s="1023"/>
      <c r="AK81" s="1023"/>
      <c r="AL81" s="1023"/>
      <c r="AM81" s="1023"/>
      <c r="AN81" s="1023"/>
      <c r="AO81" s="1023"/>
      <c r="AP81" s="1023"/>
      <c r="AQ81" s="1023"/>
      <c r="AR81" s="1023"/>
      <c r="AS81" s="1023"/>
      <c r="AT81" s="1023"/>
      <c r="AU81" s="1023"/>
      <c r="AV81" s="1023"/>
      <c r="AW81" s="1023"/>
    </row>
    <row r="82" spans="1:49" ht="19.95" customHeight="1">
      <c r="A82" s="1018"/>
      <c r="B82" s="1016"/>
      <c r="C82" s="1016"/>
      <c r="D82" s="1019"/>
      <c r="E82" s="1018"/>
      <c r="F82" s="1025"/>
      <c r="G82" s="1020"/>
      <c r="H82" s="1349"/>
      <c r="I82" s="1349"/>
      <c r="J82" s="1349"/>
      <c r="K82" s="1349"/>
      <c r="L82" s="1017"/>
      <c r="M82" s="1021"/>
      <c r="N82" s="1018"/>
      <c r="O82" s="1022"/>
      <c r="P82" s="1022"/>
      <c r="Q82" s="1022"/>
      <c r="R82" s="1023"/>
      <c r="S82" s="1023"/>
      <c r="T82" s="1023"/>
      <c r="U82" s="1023"/>
      <c r="V82" s="1023"/>
      <c r="W82" s="1023"/>
      <c r="X82" s="1023"/>
      <c r="Y82" s="1023"/>
      <c r="Z82" s="1023"/>
      <c r="AA82" s="1023"/>
      <c r="AB82" s="1023"/>
      <c r="AC82" s="1023"/>
      <c r="AD82" s="1023"/>
      <c r="AE82" s="1023"/>
      <c r="AF82" s="1023"/>
      <c r="AG82" s="1023"/>
      <c r="AH82" s="1023"/>
      <c r="AI82" s="1023"/>
      <c r="AJ82" s="1023"/>
      <c r="AK82" s="1023"/>
      <c r="AL82" s="1023"/>
      <c r="AM82" s="1023"/>
      <c r="AN82" s="1023"/>
      <c r="AO82" s="1023"/>
      <c r="AP82" s="1023"/>
      <c r="AQ82" s="1023"/>
      <c r="AR82" s="1023"/>
      <c r="AS82" s="1023"/>
      <c r="AT82" s="1023"/>
      <c r="AU82" s="1023"/>
      <c r="AV82" s="1023"/>
      <c r="AW82" s="1023"/>
    </row>
    <row r="83" spans="1:49" ht="19.95" customHeight="1">
      <c r="A83" s="1018"/>
      <c r="B83" s="1016"/>
      <c r="C83" s="1016"/>
      <c r="D83" s="1019"/>
      <c r="E83" s="1018"/>
      <c r="F83" s="1025"/>
      <c r="G83" s="1020"/>
      <c r="H83" s="1349"/>
      <c r="I83" s="1349"/>
      <c r="J83" s="1349"/>
      <c r="K83" s="1349"/>
      <c r="L83" s="1017"/>
      <c r="M83" s="1021"/>
      <c r="N83" s="1018"/>
      <c r="O83" s="1022"/>
      <c r="P83" s="1022"/>
      <c r="Q83" s="1022"/>
      <c r="R83" s="1023"/>
      <c r="S83" s="1023"/>
      <c r="T83" s="1023"/>
      <c r="U83" s="1023"/>
      <c r="V83" s="1023"/>
      <c r="W83" s="1023"/>
      <c r="X83" s="1023"/>
      <c r="Y83" s="1023"/>
      <c r="Z83" s="1023"/>
      <c r="AA83" s="1023"/>
      <c r="AB83" s="1023"/>
      <c r="AC83" s="1023"/>
      <c r="AD83" s="1023"/>
      <c r="AE83" s="1023"/>
      <c r="AF83" s="1023"/>
      <c r="AG83" s="1023"/>
      <c r="AH83" s="1023"/>
      <c r="AI83" s="1023"/>
      <c r="AJ83" s="1023"/>
      <c r="AK83" s="1023"/>
      <c r="AL83" s="1023"/>
      <c r="AM83" s="1023"/>
      <c r="AN83" s="1023"/>
      <c r="AO83" s="1023"/>
      <c r="AP83" s="1023"/>
      <c r="AQ83" s="1023"/>
      <c r="AR83" s="1023"/>
      <c r="AS83" s="1023"/>
      <c r="AT83" s="1023"/>
      <c r="AU83" s="1023"/>
      <c r="AV83" s="1023"/>
      <c r="AW83" s="1023"/>
    </row>
    <row r="84" spans="1:49" ht="19.95" customHeight="1">
      <c r="A84" s="1018"/>
      <c r="B84" s="1016"/>
      <c r="C84" s="1016"/>
      <c r="D84" s="1019"/>
      <c r="E84" s="1018"/>
      <c r="F84" s="1025"/>
      <c r="G84" s="1020"/>
      <c r="H84" s="1349"/>
      <c r="I84" s="1349"/>
      <c r="J84" s="1349"/>
      <c r="K84" s="1349"/>
      <c r="L84" s="1017"/>
      <c r="M84" s="1021"/>
      <c r="N84" s="1018"/>
      <c r="O84" s="1022"/>
      <c r="P84" s="1022"/>
      <c r="Q84" s="1022"/>
      <c r="R84" s="1023"/>
      <c r="S84" s="1023"/>
      <c r="T84" s="1023"/>
      <c r="U84" s="1023"/>
      <c r="V84" s="1023"/>
      <c r="W84" s="1023"/>
      <c r="X84" s="1023"/>
      <c r="Y84" s="1023"/>
      <c r="Z84" s="1023"/>
      <c r="AA84" s="1023"/>
      <c r="AB84" s="1023"/>
      <c r="AC84" s="1023"/>
      <c r="AD84" s="1023"/>
      <c r="AE84" s="1023"/>
      <c r="AF84" s="1023"/>
      <c r="AG84" s="1023"/>
      <c r="AH84" s="1023"/>
      <c r="AI84" s="1023"/>
      <c r="AJ84" s="1023"/>
      <c r="AK84" s="1023"/>
      <c r="AL84" s="1023"/>
      <c r="AM84" s="1023"/>
      <c r="AN84" s="1023"/>
      <c r="AO84" s="1023"/>
      <c r="AP84" s="1023"/>
      <c r="AQ84" s="1023"/>
      <c r="AR84" s="1023"/>
      <c r="AS84" s="1023"/>
      <c r="AT84" s="1023"/>
      <c r="AU84" s="1023"/>
      <c r="AV84" s="1023"/>
      <c r="AW84" s="1023"/>
    </row>
    <row r="85" spans="1:49" ht="19.95" customHeight="1">
      <c r="A85" s="1018"/>
      <c r="B85" s="1026"/>
      <c r="C85" s="1026"/>
      <c r="D85" s="1027"/>
      <c r="E85" s="1018"/>
      <c r="F85" s="1025"/>
      <c r="G85" s="1020"/>
      <c r="H85" s="1349"/>
      <c r="I85" s="1349"/>
      <c r="J85" s="1349"/>
      <c r="K85" s="1349"/>
      <c r="L85" s="1017"/>
      <c r="M85" s="1019"/>
      <c r="N85" s="1018"/>
      <c r="O85" s="1022"/>
      <c r="P85" s="1022"/>
      <c r="Q85" s="1022"/>
      <c r="R85" s="1023"/>
      <c r="S85" s="1023"/>
      <c r="T85" s="1023"/>
      <c r="U85" s="1023"/>
      <c r="V85" s="1023"/>
      <c r="W85" s="1023"/>
      <c r="X85" s="1023"/>
      <c r="Y85" s="1023"/>
      <c r="Z85" s="1023"/>
      <c r="AA85" s="1023"/>
      <c r="AB85" s="1023"/>
      <c r="AC85" s="1023"/>
      <c r="AD85" s="1023"/>
      <c r="AE85" s="1023"/>
      <c r="AF85" s="1023"/>
      <c r="AG85" s="1023"/>
      <c r="AH85" s="1023"/>
      <c r="AI85" s="1023"/>
      <c r="AJ85" s="1023"/>
      <c r="AK85" s="1023"/>
      <c r="AL85" s="1023"/>
      <c r="AM85" s="1023"/>
      <c r="AN85" s="1023"/>
      <c r="AO85" s="1023"/>
      <c r="AP85" s="1023"/>
      <c r="AQ85" s="1023"/>
      <c r="AR85" s="1023"/>
      <c r="AS85" s="1023"/>
      <c r="AT85" s="1023"/>
      <c r="AU85" s="1023"/>
      <c r="AV85" s="1023"/>
      <c r="AW85" s="1023"/>
    </row>
    <row r="86" spans="1:49" ht="19.95" customHeight="1">
      <c r="A86" s="1018"/>
      <c r="B86" s="1026"/>
      <c r="C86" s="1026"/>
      <c r="D86" s="1027"/>
      <c r="E86" s="1018"/>
      <c r="F86" s="1025"/>
      <c r="G86" s="1020"/>
      <c r="H86" s="1349"/>
      <c r="I86" s="1349"/>
      <c r="J86" s="1349"/>
      <c r="K86" s="1349"/>
      <c r="L86" s="1017"/>
      <c r="M86" s="1021"/>
      <c r="N86" s="1018"/>
      <c r="O86" s="1022"/>
      <c r="P86" s="1022"/>
      <c r="Q86" s="1022"/>
      <c r="R86" s="1023"/>
      <c r="S86" s="1023"/>
      <c r="T86" s="1023"/>
      <c r="U86" s="1023"/>
      <c r="V86" s="1023"/>
      <c r="W86" s="1023"/>
      <c r="X86" s="1023"/>
      <c r="Y86" s="1023"/>
      <c r="Z86" s="1023"/>
      <c r="AA86" s="1023"/>
      <c r="AB86" s="1023"/>
      <c r="AC86" s="1023"/>
      <c r="AD86" s="1023"/>
      <c r="AE86" s="1023"/>
      <c r="AF86" s="1023"/>
      <c r="AG86" s="1023"/>
      <c r="AH86" s="1023"/>
      <c r="AI86" s="1023"/>
      <c r="AJ86" s="1023"/>
      <c r="AK86" s="1023"/>
      <c r="AL86" s="1023"/>
      <c r="AM86" s="1023"/>
      <c r="AN86" s="1023"/>
      <c r="AO86" s="1023"/>
      <c r="AP86" s="1023"/>
      <c r="AQ86" s="1023"/>
      <c r="AR86" s="1023"/>
      <c r="AS86" s="1023"/>
      <c r="AT86" s="1023"/>
      <c r="AU86" s="1023"/>
      <c r="AV86" s="1023"/>
      <c r="AW86" s="1023"/>
    </row>
    <row r="87" spans="1:49" ht="19.95" customHeight="1">
      <c r="A87" s="1018"/>
      <c r="B87" s="1016"/>
      <c r="C87" s="1016"/>
      <c r="D87" s="1019"/>
      <c r="E87" s="1018"/>
      <c r="F87" s="1017"/>
      <c r="G87" s="1020"/>
      <c r="H87" s="1349"/>
      <c r="I87" s="1349"/>
      <c r="J87" s="1349"/>
      <c r="K87" s="1349"/>
      <c r="L87" s="1017"/>
      <c r="M87" s="1019"/>
      <c r="N87" s="1018"/>
      <c r="O87" s="1022"/>
      <c r="P87" s="1022"/>
      <c r="Q87" s="1022"/>
      <c r="R87" s="1023"/>
      <c r="S87" s="1023"/>
      <c r="T87" s="1023"/>
      <c r="U87" s="1023"/>
      <c r="V87" s="1023"/>
      <c r="W87" s="1023"/>
      <c r="X87" s="1023"/>
      <c r="Y87" s="1023"/>
      <c r="Z87" s="1023"/>
      <c r="AA87" s="1023"/>
      <c r="AB87" s="1023"/>
      <c r="AC87" s="1023"/>
      <c r="AD87" s="1023"/>
      <c r="AE87" s="1023"/>
      <c r="AF87" s="1023"/>
      <c r="AG87" s="1023"/>
      <c r="AH87" s="1023"/>
      <c r="AI87" s="1023"/>
      <c r="AJ87" s="1023"/>
      <c r="AK87" s="1023"/>
      <c r="AL87" s="1023"/>
      <c r="AM87" s="1023"/>
      <c r="AN87" s="1023"/>
      <c r="AO87" s="1023"/>
      <c r="AP87" s="1023"/>
      <c r="AQ87" s="1023"/>
      <c r="AR87" s="1023"/>
      <c r="AS87" s="1023"/>
      <c r="AT87" s="1023"/>
      <c r="AU87" s="1023"/>
      <c r="AV87" s="1023"/>
      <c r="AW87" s="1023"/>
    </row>
    <row r="88" spans="1:49" ht="19.95" customHeight="1">
      <c r="A88" s="1018"/>
      <c r="B88" s="1016"/>
      <c r="C88" s="1016"/>
      <c r="D88" s="1019"/>
      <c r="E88" s="1018"/>
      <c r="F88" s="1017"/>
      <c r="G88" s="1020"/>
      <c r="H88" s="1349"/>
      <c r="I88" s="1349"/>
      <c r="J88" s="1349"/>
      <c r="K88" s="1349"/>
      <c r="L88" s="1017"/>
      <c r="M88" s="1021"/>
      <c r="N88" s="1018"/>
      <c r="O88" s="1022"/>
      <c r="P88" s="1022"/>
      <c r="Q88" s="1022"/>
      <c r="R88" s="1023"/>
      <c r="S88" s="1023"/>
      <c r="T88" s="1023"/>
      <c r="U88" s="1023"/>
      <c r="V88" s="1023"/>
      <c r="W88" s="1023"/>
      <c r="X88" s="1023"/>
      <c r="Y88" s="1023"/>
      <c r="Z88" s="1023"/>
      <c r="AA88" s="1023"/>
      <c r="AB88" s="1023"/>
      <c r="AC88" s="1023"/>
      <c r="AD88" s="1023"/>
      <c r="AE88" s="1023"/>
      <c r="AF88" s="1023"/>
      <c r="AG88" s="1023"/>
      <c r="AH88" s="1023"/>
      <c r="AI88" s="1023"/>
      <c r="AJ88" s="1023"/>
      <c r="AK88" s="1023"/>
      <c r="AL88" s="1023"/>
      <c r="AM88" s="1023"/>
      <c r="AN88" s="1023"/>
      <c r="AO88" s="1023"/>
      <c r="AP88" s="1023"/>
      <c r="AQ88" s="1023"/>
      <c r="AR88" s="1023"/>
      <c r="AS88" s="1023"/>
      <c r="AT88" s="1023"/>
      <c r="AU88" s="1023"/>
      <c r="AV88" s="1023"/>
      <c r="AW88" s="1023"/>
    </row>
    <row r="89" spans="1:49" ht="19.95" customHeight="1">
      <c r="A89" s="1018"/>
      <c r="B89" s="1016"/>
      <c r="C89" s="1016"/>
      <c r="D89" s="1019"/>
      <c r="E89" s="1018"/>
      <c r="F89" s="1017"/>
      <c r="G89" s="1020"/>
      <c r="H89" s="1349"/>
      <c r="I89" s="1349"/>
      <c r="J89" s="1349"/>
      <c r="K89" s="1349"/>
      <c r="L89" s="1017"/>
      <c r="M89" s="1021"/>
      <c r="N89" s="1018"/>
      <c r="O89" s="1022"/>
      <c r="P89" s="1022"/>
      <c r="Q89" s="1022"/>
      <c r="R89" s="1023"/>
      <c r="S89" s="1023"/>
      <c r="T89" s="1023"/>
      <c r="U89" s="1023"/>
      <c r="V89" s="1023"/>
      <c r="W89" s="1023"/>
      <c r="X89" s="1023"/>
      <c r="Y89" s="1023"/>
      <c r="Z89" s="1023"/>
      <c r="AA89" s="1023"/>
      <c r="AB89" s="1023"/>
      <c r="AC89" s="1023"/>
      <c r="AD89" s="1023"/>
      <c r="AE89" s="1023"/>
      <c r="AF89" s="1023"/>
      <c r="AG89" s="1023"/>
      <c r="AH89" s="1023"/>
      <c r="AI89" s="1023"/>
      <c r="AJ89" s="1023"/>
      <c r="AK89" s="1023"/>
      <c r="AL89" s="1023"/>
      <c r="AM89" s="1023"/>
      <c r="AN89" s="1023"/>
      <c r="AO89" s="1023"/>
      <c r="AP89" s="1023"/>
      <c r="AQ89" s="1023"/>
      <c r="AR89" s="1023"/>
      <c r="AS89" s="1023"/>
      <c r="AT89" s="1023"/>
      <c r="AU89" s="1023"/>
      <c r="AV89" s="1023"/>
      <c r="AW89" s="1023"/>
    </row>
    <row r="90" spans="1:49" ht="19.95" customHeight="1">
      <c r="A90" s="1018"/>
      <c r="B90" s="1016"/>
      <c r="C90" s="1016"/>
      <c r="D90" s="1019"/>
      <c r="E90" s="1018"/>
      <c r="F90" s="1017"/>
      <c r="G90" s="1020"/>
      <c r="H90" s="1349"/>
      <c r="I90" s="1349"/>
      <c r="J90" s="1349"/>
      <c r="K90" s="1349"/>
      <c r="L90" s="1017"/>
      <c r="M90" s="1021"/>
      <c r="N90" s="1018"/>
      <c r="O90" s="1022"/>
      <c r="P90" s="1022"/>
      <c r="Q90" s="1022"/>
      <c r="R90" s="1023"/>
      <c r="S90" s="1023"/>
      <c r="T90" s="1023"/>
      <c r="U90" s="1023"/>
      <c r="V90" s="1023"/>
      <c r="W90" s="1023"/>
      <c r="X90" s="1023"/>
      <c r="Y90" s="1023"/>
      <c r="Z90" s="1023"/>
      <c r="AA90" s="1023"/>
      <c r="AB90" s="1023"/>
      <c r="AC90" s="1023"/>
      <c r="AD90" s="1023"/>
      <c r="AE90" s="1023"/>
      <c r="AF90" s="1023"/>
      <c r="AG90" s="1023"/>
      <c r="AH90" s="1023"/>
      <c r="AI90" s="1023"/>
      <c r="AJ90" s="1023"/>
      <c r="AK90" s="1023"/>
      <c r="AL90" s="1023"/>
      <c r="AM90" s="1023"/>
      <c r="AN90" s="1023"/>
      <c r="AO90" s="1023"/>
      <c r="AP90" s="1023"/>
      <c r="AQ90" s="1023"/>
      <c r="AR90" s="1023"/>
      <c r="AS90" s="1023"/>
      <c r="AT90" s="1023"/>
      <c r="AU90" s="1023"/>
      <c r="AV90" s="1023"/>
      <c r="AW90" s="1023"/>
    </row>
    <row r="91" spans="1:49" ht="19.95" customHeight="1">
      <c r="A91" s="1018"/>
      <c r="B91" s="1026"/>
      <c r="C91" s="1026"/>
      <c r="D91" s="1028"/>
      <c r="E91" s="1018"/>
      <c r="F91" s="1025"/>
      <c r="G91" s="1020"/>
      <c r="H91" s="1349"/>
      <c r="I91" s="1349"/>
      <c r="J91" s="1349"/>
      <c r="K91" s="1349"/>
      <c r="L91" s="1017"/>
      <c r="M91" s="1021"/>
      <c r="N91" s="1018"/>
      <c r="O91" s="1022"/>
      <c r="P91" s="1022"/>
      <c r="Q91" s="1022"/>
      <c r="R91" s="1023"/>
      <c r="S91" s="1023"/>
      <c r="T91" s="1023"/>
      <c r="U91" s="1023"/>
      <c r="V91" s="1023"/>
      <c r="W91" s="1023"/>
      <c r="X91" s="1023"/>
      <c r="Y91" s="1023"/>
      <c r="Z91" s="1023"/>
      <c r="AA91" s="1023"/>
      <c r="AB91" s="1023"/>
      <c r="AC91" s="1023"/>
      <c r="AD91" s="1023"/>
      <c r="AE91" s="1023"/>
      <c r="AF91" s="1023"/>
      <c r="AG91" s="1023"/>
      <c r="AH91" s="1023"/>
      <c r="AI91" s="1023"/>
      <c r="AJ91" s="1023"/>
      <c r="AK91" s="1023"/>
      <c r="AL91" s="1023"/>
      <c r="AM91" s="1023"/>
      <c r="AN91" s="1023"/>
      <c r="AO91" s="1023"/>
      <c r="AP91" s="1023"/>
      <c r="AQ91" s="1023"/>
      <c r="AR91" s="1023"/>
      <c r="AS91" s="1023"/>
      <c r="AT91" s="1023"/>
      <c r="AU91" s="1023"/>
      <c r="AV91" s="1023"/>
      <c r="AW91" s="1023"/>
    </row>
    <row r="92" spans="1:49" ht="19.95" customHeight="1">
      <c r="A92" s="1018"/>
      <c r="B92" s="1016"/>
      <c r="C92" s="1016"/>
      <c r="D92" s="1019"/>
      <c r="E92" s="1018"/>
      <c r="F92" s="1025"/>
      <c r="G92" s="1020"/>
      <c r="H92" s="1349"/>
      <c r="I92" s="1349"/>
      <c r="J92" s="1349"/>
      <c r="K92" s="1349"/>
      <c r="L92" s="1017"/>
      <c r="M92" s="1019"/>
      <c r="N92" s="1018"/>
      <c r="O92" s="1022"/>
      <c r="P92" s="1022"/>
      <c r="Q92" s="1022"/>
      <c r="R92" s="1023"/>
      <c r="S92" s="1023"/>
      <c r="T92" s="1023"/>
      <c r="U92" s="1023"/>
      <c r="V92" s="1023"/>
      <c r="W92" s="1023"/>
      <c r="X92" s="1023"/>
      <c r="Y92" s="1023"/>
      <c r="Z92" s="1023"/>
      <c r="AA92" s="1023"/>
      <c r="AB92" s="1023"/>
      <c r="AC92" s="1023"/>
      <c r="AD92" s="1023"/>
      <c r="AE92" s="1023"/>
      <c r="AF92" s="1023"/>
      <c r="AG92" s="1023"/>
      <c r="AH92" s="1023"/>
      <c r="AI92" s="1023"/>
      <c r="AJ92" s="1023"/>
      <c r="AK92" s="1023"/>
      <c r="AL92" s="1023"/>
      <c r="AM92" s="1023"/>
      <c r="AN92" s="1023"/>
      <c r="AO92" s="1023"/>
      <c r="AP92" s="1023"/>
      <c r="AQ92" s="1023"/>
      <c r="AR92" s="1023"/>
      <c r="AS92" s="1023"/>
      <c r="AT92" s="1023"/>
      <c r="AU92" s="1023"/>
      <c r="AV92" s="1023"/>
      <c r="AW92" s="1023"/>
    </row>
    <row r="93" spans="1:49" ht="19.95" customHeight="1">
      <c r="A93" s="1018"/>
      <c r="B93" s="1016"/>
      <c r="C93" s="1016"/>
      <c r="D93" s="1019"/>
      <c r="E93" s="1018"/>
      <c r="F93" s="1025"/>
      <c r="G93" s="1029"/>
      <c r="H93" s="1349"/>
      <c r="I93" s="1349"/>
      <c r="J93" s="1349"/>
      <c r="K93" s="1349"/>
      <c r="L93" s="1017"/>
      <c r="M93" s="1021"/>
      <c r="N93" s="1018"/>
      <c r="O93" s="1022"/>
      <c r="P93" s="1022"/>
      <c r="Q93" s="1022"/>
      <c r="R93" s="1023"/>
      <c r="S93" s="1023"/>
      <c r="T93" s="1023"/>
      <c r="U93" s="1023"/>
      <c r="V93" s="1023"/>
      <c r="W93" s="1023"/>
      <c r="X93" s="1023"/>
      <c r="Y93" s="1023"/>
      <c r="Z93" s="1023"/>
      <c r="AA93" s="1023"/>
      <c r="AB93" s="1023"/>
      <c r="AC93" s="1023"/>
      <c r="AD93" s="1023"/>
      <c r="AE93" s="1023"/>
      <c r="AF93" s="1023"/>
      <c r="AG93" s="1023"/>
      <c r="AH93" s="1023"/>
      <c r="AI93" s="1023"/>
      <c r="AJ93" s="1023"/>
      <c r="AK93" s="1023"/>
      <c r="AL93" s="1023"/>
      <c r="AM93" s="1023"/>
      <c r="AN93" s="1023"/>
      <c r="AO93" s="1023"/>
      <c r="AP93" s="1023"/>
      <c r="AQ93" s="1023"/>
      <c r="AR93" s="1023"/>
      <c r="AS93" s="1023"/>
      <c r="AT93" s="1023"/>
      <c r="AU93" s="1023"/>
      <c r="AV93" s="1023"/>
      <c r="AW93" s="1023"/>
    </row>
    <row r="94" spans="1:49" ht="19.95" customHeight="1">
      <c r="A94" s="1018"/>
      <c r="B94" s="1016"/>
      <c r="C94" s="1016"/>
      <c r="D94" s="1019"/>
      <c r="E94" s="1018"/>
      <c r="F94" s="1025"/>
      <c r="G94" s="1020"/>
      <c r="H94" s="1349"/>
      <c r="I94" s="1349"/>
      <c r="J94" s="1349"/>
      <c r="K94" s="1349"/>
      <c r="L94" s="1017"/>
      <c r="M94" s="1019"/>
      <c r="N94" s="1018"/>
      <c r="O94" s="1022"/>
      <c r="P94" s="1022"/>
      <c r="Q94" s="1022"/>
      <c r="R94" s="1023"/>
      <c r="S94" s="1023"/>
      <c r="T94" s="1023"/>
      <c r="U94" s="1023"/>
      <c r="V94" s="1023"/>
      <c r="W94" s="1023"/>
      <c r="X94" s="1023"/>
      <c r="Y94" s="1023"/>
      <c r="Z94" s="1023"/>
      <c r="AA94" s="1023"/>
      <c r="AB94" s="1023"/>
      <c r="AC94" s="1023"/>
      <c r="AD94" s="1023"/>
      <c r="AE94" s="1023"/>
      <c r="AF94" s="1023"/>
      <c r="AG94" s="1023"/>
      <c r="AH94" s="1023"/>
      <c r="AI94" s="1023"/>
      <c r="AJ94" s="1023"/>
      <c r="AK94" s="1023"/>
      <c r="AL94" s="1023"/>
      <c r="AM94" s="1023"/>
      <c r="AN94" s="1023"/>
      <c r="AO94" s="1023"/>
      <c r="AP94" s="1023"/>
      <c r="AQ94" s="1023"/>
      <c r="AR94" s="1023"/>
      <c r="AS94" s="1023"/>
      <c r="AT94" s="1023"/>
      <c r="AU94" s="1023"/>
      <c r="AV94" s="1023"/>
      <c r="AW94" s="1023"/>
    </row>
    <row r="95" spans="1:49" ht="19.95" customHeight="1">
      <c r="A95" s="1018"/>
      <c r="B95" s="1016"/>
      <c r="C95" s="1016"/>
      <c r="D95" s="1019"/>
      <c r="E95" s="1018"/>
      <c r="F95" s="1017"/>
      <c r="G95" s="1020"/>
      <c r="H95" s="1349"/>
      <c r="I95" s="1349"/>
      <c r="J95" s="1349"/>
      <c r="K95" s="1349"/>
      <c r="L95" s="1017"/>
      <c r="M95" s="1021"/>
      <c r="N95" s="1018"/>
      <c r="O95" s="1022"/>
      <c r="P95" s="1022"/>
      <c r="Q95" s="1022"/>
      <c r="R95" s="1023"/>
      <c r="S95" s="1023"/>
      <c r="T95" s="1023"/>
      <c r="U95" s="1023"/>
      <c r="V95" s="1023"/>
      <c r="W95" s="1023"/>
      <c r="X95" s="1023"/>
      <c r="Y95" s="1023"/>
      <c r="Z95" s="1023"/>
      <c r="AA95" s="1023"/>
      <c r="AB95" s="1023"/>
      <c r="AC95" s="1023"/>
      <c r="AD95" s="1023"/>
      <c r="AE95" s="1023"/>
      <c r="AF95" s="1023"/>
      <c r="AG95" s="1023"/>
      <c r="AH95" s="1023"/>
      <c r="AI95" s="1023"/>
      <c r="AJ95" s="1023"/>
      <c r="AK95" s="1023"/>
      <c r="AL95" s="1023"/>
      <c r="AM95" s="1023"/>
      <c r="AN95" s="1023"/>
      <c r="AO95" s="1023"/>
      <c r="AP95" s="1023"/>
      <c r="AQ95" s="1023"/>
      <c r="AR95" s="1023"/>
      <c r="AS95" s="1023"/>
      <c r="AT95" s="1023"/>
      <c r="AU95" s="1023"/>
      <c r="AV95" s="1023"/>
      <c r="AW95" s="1023"/>
    </row>
    <row r="96" spans="1:49" ht="19.95" customHeight="1">
      <c r="A96" s="1018"/>
      <c r="B96" s="1016"/>
      <c r="C96" s="1016"/>
      <c r="D96" s="1019"/>
      <c r="E96" s="1018"/>
      <c r="F96" s="1025"/>
      <c r="G96" s="1020"/>
      <c r="H96" s="1349"/>
      <c r="I96" s="1349"/>
      <c r="J96" s="1349"/>
      <c r="K96" s="1349"/>
      <c r="L96" s="1017"/>
      <c r="M96" s="1021"/>
      <c r="N96" s="1018"/>
      <c r="O96" s="1022"/>
      <c r="P96" s="1022"/>
      <c r="Q96" s="1022"/>
      <c r="R96" s="1023"/>
      <c r="S96" s="1023"/>
      <c r="T96" s="1023"/>
      <c r="U96" s="1023"/>
      <c r="V96" s="1023"/>
      <c r="W96" s="1023"/>
      <c r="X96" s="1023"/>
      <c r="Y96" s="1023"/>
      <c r="Z96" s="1023"/>
      <c r="AA96" s="1023"/>
      <c r="AB96" s="1023"/>
      <c r="AC96" s="1023"/>
      <c r="AD96" s="1023"/>
      <c r="AE96" s="1023"/>
      <c r="AF96" s="1023"/>
      <c r="AG96" s="1023"/>
      <c r="AH96" s="1023"/>
      <c r="AI96" s="1023"/>
      <c r="AJ96" s="1023"/>
      <c r="AK96" s="1023"/>
      <c r="AL96" s="1023"/>
      <c r="AM96" s="1023"/>
      <c r="AN96" s="1023"/>
      <c r="AO96" s="1023"/>
      <c r="AP96" s="1023"/>
      <c r="AQ96" s="1023"/>
      <c r="AR96" s="1023"/>
      <c r="AS96" s="1023"/>
      <c r="AT96" s="1023"/>
      <c r="AU96" s="1023"/>
      <c r="AV96" s="1023"/>
      <c r="AW96" s="1023"/>
    </row>
    <row r="97" spans="1:49" ht="19.95" customHeight="1">
      <c r="A97" s="1018"/>
      <c r="B97" s="1016"/>
      <c r="C97" s="1016"/>
      <c r="D97" s="1019"/>
      <c r="E97" s="1018"/>
      <c r="F97" s="1025"/>
      <c r="G97" s="1029"/>
      <c r="H97" s="1349"/>
      <c r="I97" s="1349"/>
      <c r="J97" s="1349"/>
      <c r="K97" s="1349"/>
      <c r="L97" s="1017"/>
      <c r="M97" s="1019"/>
      <c r="N97" s="1018"/>
      <c r="O97" s="1022"/>
      <c r="P97" s="1022"/>
      <c r="Q97" s="1022"/>
      <c r="R97" s="1023"/>
      <c r="S97" s="1023"/>
      <c r="T97" s="1023"/>
      <c r="U97" s="1023"/>
      <c r="V97" s="1023"/>
      <c r="W97" s="1023"/>
      <c r="X97" s="1023"/>
      <c r="Y97" s="1023"/>
      <c r="Z97" s="1023"/>
      <c r="AA97" s="1023"/>
      <c r="AB97" s="1023"/>
      <c r="AC97" s="1023"/>
      <c r="AD97" s="1023"/>
      <c r="AE97" s="1023"/>
      <c r="AF97" s="1023"/>
      <c r="AG97" s="1023"/>
      <c r="AH97" s="1023"/>
      <c r="AI97" s="1023"/>
      <c r="AJ97" s="1023"/>
      <c r="AK97" s="1023"/>
      <c r="AL97" s="1023"/>
      <c r="AM97" s="1023"/>
      <c r="AN97" s="1023"/>
      <c r="AO97" s="1023"/>
      <c r="AP97" s="1023"/>
      <c r="AQ97" s="1023"/>
      <c r="AR97" s="1023"/>
      <c r="AS97" s="1023"/>
      <c r="AT97" s="1023"/>
      <c r="AU97" s="1023"/>
      <c r="AV97" s="1023"/>
      <c r="AW97" s="1023"/>
    </row>
    <row r="98" spans="1:49" ht="19.95" customHeight="1">
      <c r="A98" s="1018"/>
      <c r="B98" s="1016"/>
      <c r="C98" s="1016"/>
      <c r="D98" s="1019"/>
      <c r="E98" s="1018"/>
      <c r="F98" s="1025"/>
      <c r="G98" s="1029"/>
      <c r="H98" s="1349"/>
      <c r="I98" s="1349"/>
      <c r="J98" s="1349"/>
      <c r="K98" s="1349"/>
      <c r="L98" s="1017"/>
      <c r="M98" s="1019"/>
      <c r="N98" s="1018"/>
      <c r="O98" s="1022"/>
      <c r="P98" s="1022"/>
      <c r="Q98" s="1022"/>
      <c r="R98" s="1023"/>
      <c r="S98" s="1023"/>
      <c r="T98" s="1023"/>
      <c r="U98" s="1023"/>
      <c r="V98" s="1023"/>
      <c r="W98" s="1023"/>
      <c r="X98" s="1023"/>
      <c r="Y98" s="1023"/>
      <c r="Z98" s="1023"/>
      <c r="AA98" s="1023"/>
      <c r="AB98" s="1023"/>
      <c r="AC98" s="1023"/>
      <c r="AD98" s="1023"/>
      <c r="AE98" s="1023"/>
      <c r="AF98" s="1023"/>
      <c r="AG98" s="1023"/>
      <c r="AH98" s="1023"/>
      <c r="AI98" s="1023"/>
      <c r="AJ98" s="1023"/>
      <c r="AK98" s="1023"/>
      <c r="AL98" s="1023"/>
      <c r="AM98" s="1023"/>
      <c r="AN98" s="1023"/>
      <c r="AO98" s="1023"/>
      <c r="AP98" s="1023"/>
      <c r="AQ98" s="1023"/>
      <c r="AR98" s="1023"/>
      <c r="AS98" s="1023"/>
      <c r="AT98" s="1023"/>
      <c r="AU98" s="1023"/>
      <c r="AV98" s="1023"/>
      <c r="AW98" s="1023"/>
    </row>
    <row r="99" spans="1:49" ht="19.95" customHeight="1">
      <c r="A99" s="1018"/>
      <c r="B99" s="1016"/>
      <c r="C99" s="1016"/>
      <c r="D99" s="1019"/>
      <c r="E99" s="1018"/>
      <c r="F99" s="1025"/>
      <c r="G99" s="1030"/>
      <c r="H99" s="1349"/>
      <c r="I99" s="1349"/>
      <c r="J99" s="1349"/>
      <c r="K99" s="1349"/>
      <c r="L99" s="1017"/>
      <c r="M99" s="1019"/>
      <c r="N99" s="1018"/>
      <c r="O99" s="1022"/>
      <c r="P99" s="1022"/>
      <c r="Q99" s="1022"/>
      <c r="R99" s="1023"/>
      <c r="S99" s="1023"/>
      <c r="T99" s="1023"/>
      <c r="U99" s="1023"/>
      <c r="V99" s="1023"/>
      <c r="W99" s="1023"/>
      <c r="X99" s="1023"/>
      <c r="Y99" s="1023"/>
      <c r="Z99" s="1023"/>
      <c r="AA99" s="1023"/>
      <c r="AB99" s="1023"/>
      <c r="AC99" s="1023"/>
      <c r="AD99" s="1023"/>
      <c r="AE99" s="1023"/>
      <c r="AF99" s="1023"/>
      <c r="AG99" s="1023"/>
      <c r="AH99" s="1023"/>
      <c r="AI99" s="1023"/>
      <c r="AJ99" s="1023"/>
      <c r="AK99" s="1023"/>
      <c r="AL99" s="1023"/>
      <c r="AM99" s="1023"/>
      <c r="AN99" s="1023"/>
      <c r="AO99" s="1023"/>
      <c r="AP99" s="1023"/>
      <c r="AQ99" s="1023"/>
      <c r="AR99" s="1023"/>
      <c r="AS99" s="1023"/>
      <c r="AT99" s="1023"/>
      <c r="AU99" s="1023"/>
      <c r="AV99" s="1023"/>
      <c r="AW99" s="1023"/>
    </row>
    <row r="100" spans="1:49" ht="19.95" customHeight="1">
      <c r="A100" s="1018"/>
      <c r="B100" s="1016"/>
      <c r="C100" s="1016"/>
      <c r="D100" s="1019"/>
      <c r="E100" s="1018"/>
      <c r="F100" s="1025"/>
      <c r="G100" s="1030"/>
      <c r="H100" s="1051"/>
      <c r="I100" s="911"/>
      <c r="J100" s="911"/>
      <c r="K100" s="911"/>
      <c r="L100" s="1031"/>
      <c r="M100" s="1019"/>
      <c r="N100" s="1018"/>
      <c r="O100" s="1022"/>
      <c r="P100" s="1022"/>
      <c r="Q100" s="1022"/>
      <c r="R100" s="1023"/>
      <c r="S100" s="1023"/>
      <c r="T100" s="1023"/>
      <c r="U100" s="1023"/>
      <c r="V100" s="1023"/>
      <c r="W100" s="1023"/>
      <c r="X100" s="1023"/>
      <c r="Y100" s="1023"/>
      <c r="Z100" s="1023"/>
      <c r="AA100" s="1023"/>
      <c r="AB100" s="1023"/>
      <c r="AC100" s="1023"/>
      <c r="AD100" s="1023"/>
      <c r="AE100" s="1023"/>
      <c r="AF100" s="1023"/>
      <c r="AG100" s="1023"/>
      <c r="AH100" s="1023"/>
      <c r="AI100" s="1023"/>
      <c r="AJ100" s="1023"/>
      <c r="AK100" s="1023"/>
      <c r="AL100" s="1023"/>
      <c r="AM100" s="1023"/>
      <c r="AN100" s="1023"/>
      <c r="AO100" s="1023"/>
      <c r="AP100" s="1023"/>
      <c r="AQ100" s="1023"/>
      <c r="AR100" s="1023"/>
      <c r="AS100" s="1023"/>
      <c r="AT100" s="1023"/>
      <c r="AU100" s="1023"/>
      <c r="AV100" s="1023"/>
      <c r="AW100" s="1023"/>
    </row>
    <row r="101" spans="1:49" ht="19.95" customHeight="1">
      <c r="A101" s="1018"/>
      <c r="B101" s="1016"/>
      <c r="C101" s="1016"/>
      <c r="D101" s="1019"/>
      <c r="E101" s="1018"/>
      <c r="F101" s="1025"/>
      <c r="G101" s="1030"/>
      <c r="H101" s="1051"/>
      <c r="I101" s="911"/>
      <c r="J101" s="911"/>
      <c r="K101" s="911"/>
      <c r="L101" s="1031"/>
      <c r="M101" s="1019"/>
      <c r="N101" s="1018"/>
      <c r="O101" s="1022"/>
      <c r="P101" s="1022"/>
      <c r="Q101" s="1022"/>
      <c r="R101" s="1023"/>
      <c r="S101" s="1023"/>
      <c r="T101" s="1023"/>
      <c r="U101" s="1023"/>
      <c r="V101" s="1023"/>
      <c r="W101" s="1023"/>
      <c r="X101" s="1023"/>
      <c r="Y101" s="1023"/>
      <c r="Z101" s="1023"/>
      <c r="AA101" s="1023"/>
      <c r="AB101" s="1023"/>
      <c r="AC101" s="1023"/>
      <c r="AD101" s="1023"/>
      <c r="AE101" s="1023"/>
      <c r="AF101" s="1023"/>
      <c r="AG101" s="1023"/>
      <c r="AH101" s="1023"/>
      <c r="AI101" s="1023"/>
      <c r="AJ101" s="1023"/>
      <c r="AK101" s="1023"/>
      <c r="AL101" s="1023"/>
      <c r="AM101" s="1023"/>
      <c r="AN101" s="1023"/>
      <c r="AO101" s="1023"/>
      <c r="AP101" s="1023"/>
      <c r="AQ101" s="1023"/>
      <c r="AR101" s="1023"/>
      <c r="AS101" s="1023"/>
      <c r="AT101" s="1023"/>
      <c r="AU101" s="1023"/>
      <c r="AV101" s="1023"/>
      <c r="AW101" s="1023"/>
    </row>
    <row r="102" spans="1:49" ht="19.95" customHeight="1">
      <c r="A102" s="1018"/>
      <c r="B102" s="1016"/>
      <c r="C102" s="1016"/>
      <c r="D102" s="1019"/>
      <c r="E102" s="1018"/>
      <c r="F102" s="1025"/>
      <c r="G102" s="1030"/>
      <c r="H102" s="1051"/>
      <c r="I102" s="911"/>
      <c r="J102" s="911"/>
      <c r="K102" s="911"/>
      <c r="L102" s="1031"/>
      <c r="M102" s="1019"/>
      <c r="N102" s="1018"/>
      <c r="O102" s="1022"/>
      <c r="P102" s="1022"/>
      <c r="Q102" s="1022"/>
      <c r="R102" s="1023"/>
      <c r="S102" s="1023"/>
      <c r="T102" s="1023"/>
      <c r="U102" s="1023"/>
      <c r="V102" s="1023"/>
      <c r="W102" s="1023"/>
      <c r="X102" s="1023"/>
      <c r="Y102" s="1023"/>
      <c r="Z102" s="1023"/>
      <c r="AA102" s="1023"/>
      <c r="AB102" s="1023"/>
      <c r="AC102" s="1023"/>
      <c r="AD102" s="1023"/>
      <c r="AE102" s="1023"/>
      <c r="AF102" s="1023"/>
      <c r="AG102" s="1023"/>
      <c r="AH102" s="1023"/>
      <c r="AI102" s="1023"/>
      <c r="AJ102" s="1023"/>
      <c r="AK102" s="1023"/>
      <c r="AL102" s="1023"/>
      <c r="AM102" s="1023"/>
      <c r="AN102" s="1023"/>
      <c r="AO102" s="1023"/>
      <c r="AP102" s="1023"/>
      <c r="AQ102" s="1023"/>
      <c r="AR102" s="1023"/>
      <c r="AS102" s="1023"/>
      <c r="AT102" s="1023"/>
      <c r="AU102" s="1023"/>
      <c r="AV102" s="1023"/>
      <c r="AW102" s="1023"/>
    </row>
    <row r="103" spans="1:49" ht="19.95" customHeight="1">
      <c r="A103" s="1018"/>
      <c r="B103" s="1016"/>
      <c r="C103" s="1016"/>
      <c r="D103" s="1019"/>
      <c r="E103" s="1018"/>
      <c r="F103" s="1025"/>
      <c r="G103" s="1030"/>
      <c r="H103" s="1051"/>
      <c r="I103" s="911"/>
      <c r="J103" s="911"/>
      <c r="K103" s="911"/>
      <c r="L103" s="1031"/>
      <c r="M103" s="1019"/>
      <c r="N103" s="1018"/>
      <c r="O103" s="1022"/>
      <c r="P103" s="1022"/>
      <c r="Q103" s="1022"/>
      <c r="R103" s="1023"/>
      <c r="S103" s="1023"/>
      <c r="T103" s="1023"/>
      <c r="U103" s="1023"/>
      <c r="V103" s="1023"/>
      <c r="W103" s="1023"/>
      <c r="X103" s="1023"/>
      <c r="Y103" s="1023"/>
      <c r="Z103" s="1023"/>
      <c r="AA103" s="1023"/>
      <c r="AB103" s="1023"/>
      <c r="AC103" s="1023"/>
      <c r="AD103" s="1023"/>
      <c r="AE103" s="1023"/>
      <c r="AF103" s="1023"/>
      <c r="AG103" s="1023"/>
      <c r="AH103" s="1023"/>
      <c r="AI103" s="1023"/>
      <c r="AJ103" s="1023"/>
      <c r="AK103" s="1023"/>
      <c r="AL103" s="1023"/>
      <c r="AM103" s="1023"/>
      <c r="AN103" s="1023"/>
      <c r="AO103" s="1023"/>
      <c r="AP103" s="1023"/>
      <c r="AQ103" s="1023"/>
      <c r="AR103" s="1023"/>
      <c r="AS103" s="1023"/>
      <c r="AT103" s="1023"/>
      <c r="AU103" s="1023"/>
      <c r="AV103" s="1023"/>
      <c r="AW103" s="1023"/>
    </row>
    <row r="104" spans="1:49" ht="19.95" customHeight="1">
      <c r="A104" s="1018"/>
      <c r="B104" s="1016"/>
      <c r="C104" s="1016"/>
      <c r="D104" s="1019"/>
      <c r="E104" s="1018"/>
      <c r="F104" s="1025"/>
      <c r="G104" s="1030"/>
      <c r="H104" s="1051"/>
      <c r="I104" s="911"/>
      <c r="J104" s="911"/>
      <c r="K104" s="911"/>
      <c r="L104" s="1031"/>
      <c r="M104" s="1019"/>
      <c r="N104" s="1018"/>
      <c r="O104" s="1022"/>
      <c r="P104" s="1022"/>
      <c r="Q104" s="1022"/>
      <c r="R104" s="1023"/>
      <c r="S104" s="1023"/>
      <c r="T104" s="1023"/>
      <c r="U104" s="1023"/>
      <c r="V104" s="1023"/>
      <c r="W104" s="1023"/>
      <c r="X104" s="1023"/>
      <c r="Y104" s="1023"/>
      <c r="Z104" s="1023"/>
      <c r="AA104" s="1023"/>
      <c r="AB104" s="1023"/>
      <c r="AC104" s="1023"/>
      <c r="AD104" s="1023"/>
      <c r="AE104" s="1023"/>
      <c r="AF104" s="1023"/>
      <c r="AG104" s="1023"/>
      <c r="AH104" s="1023"/>
      <c r="AI104" s="1023"/>
      <c r="AJ104" s="1023"/>
      <c r="AK104" s="1023"/>
      <c r="AL104" s="1023"/>
      <c r="AM104" s="1023"/>
      <c r="AN104" s="1023"/>
      <c r="AO104" s="1023"/>
      <c r="AP104" s="1023"/>
      <c r="AQ104" s="1023"/>
      <c r="AR104" s="1023"/>
      <c r="AS104" s="1023"/>
      <c r="AT104" s="1023"/>
      <c r="AU104" s="1023"/>
      <c r="AV104" s="1023"/>
      <c r="AW104" s="1023"/>
    </row>
    <row r="105" spans="1:49" ht="19.95" customHeight="1">
      <c r="A105" s="1018"/>
      <c r="B105" s="1016"/>
      <c r="C105" s="1016"/>
      <c r="D105" s="1019"/>
      <c r="E105" s="1018"/>
      <c r="F105" s="1025"/>
      <c r="G105" s="1030"/>
      <c r="H105" s="1051"/>
      <c r="I105" s="911"/>
      <c r="J105" s="911"/>
      <c r="K105" s="911"/>
      <c r="L105" s="1031"/>
      <c r="M105" s="1019"/>
      <c r="N105" s="1018"/>
      <c r="O105" s="1022"/>
      <c r="P105" s="1022"/>
      <c r="Q105" s="1022"/>
      <c r="R105" s="1023"/>
      <c r="S105" s="1023"/>
      <c r="T105" s="1023"/>
      <c r="U105" s="1023"/>
      <c r="V105" s="1023"/>
      <c r="W105" s="1023"/>
      <c r="X105" s="1023"/>
      <c r="Y105" s="1023"/>
      <c r="Z105" s="1023"/>
      <c r="AA105" s="1023"/>
      <c r="AB105" s="1023"/>
      <c r="AC105" s="1023"/>
      <c r="AD105" s="1023"/>
      <c r="AE105" s="1023"/>
      <c r="AF105" s="1023"/>
      <c r="AG105" s="1023"/>
      <c r="AH105" s="1023"/>
      <c r="AI105" s="1023"/>
      <c r="AJ105" s="1023"/>
      <c r="AK105" s="1023"/>
      <c r="AL105" s="1023"/>
      <c r="AM105" s="1023"/>
      <c r="AN105" s="1023"/>
      <c r="AO105" s="1023"/>
      <c r="AP105" s="1023"/>
      <c r="AQ105" s="1023"/>
      <c r="AR105" s="1023"/>
      <c r="AS105" s="1023"/>
      <c r="AT105" s="1023"/>
      <c r="AU105" s="1023"/>
      <c r="AV105" s="1023"/>
      <c r="AW105" s="1023"/>
    </row>
    <row r="106" spans="1:49" ht="19.95" customHeight="1">
      <c r="A106" s="1018"/>
      <c r="B106" s="1016"/>
      <c r="C106" s="1016"/>
      <c r="D106" s="1019"/>
      <c r="E106" s="1018"/>
      <c r="F106" s="1025"/>
      <c r="G106" s="1030"/>
      <c r="H106" s="1051"/>
      <c r="I106" s="911"/>
      <c r="J106" s="911"/>
      <c r="K106" s="911"/>
      <c r="L106" s="1031"/>
      <c r="M106" s="1019"/>
      <c r="N106" s="1018"/>
      <c r="O106" s="1022"/>
      <c r="P106" s="1022"/>
      <c r="Q106" s="1022"/>
      <c r="R106" s="1023"/>
      <c r="S106" s="1023"/>
      <c r="T106" s="1023"/>
      <c r="U106" s="1023"/>
      <c r="V106" s="1023"/>
      <c r="W106" s="1023"/>
      <c r="X106" s="1023"/>
      <c r="Y106" s="1023"/>
      <c r="Z106" s="1023"/>
      <c r="AA106" s="1023"/>
      <c r="AB106" s="1023"/>
      <c r="AC106" s="1023"/>
      <c r="AD106" s="1023"/>
      <c r="AE106" s="1023"/>
      <c r="AF106" s="1023"/>
      <c r="AG106" s="1023"/>
      <c r="AH106" s="1023"/>
      <c r="AI106" s="1023"/>
      <c r="AJ106" s="1023"/>
      <c r="AK106" s="1023"/>
      <c r="AL106" s="1023"/>
      <c r="AM106" s="1023"/>
      <c r="AN106" s="1023"/>
      <c r="AO106" s="1023"/>
      <c r="AP106" s="1023"/>
      <c r="AQ106" s="1023"/>
      <c r="AR106" s="1023"/>
      <c r="AS106" s="1023"/>
      <c r="AT106" s="1023"/>
      <c r="AU106" s="1023"/>
      <c r="AV106" s="1023"/>
      <c r="AW106" s="1023"/>
    </row>
    <row r="107" spans="1:49" ht="19.95" customHeight="1">
      <c r="A107" s="1018"/>
      <c r="B107" s="1016"/>
      <c r="C107" s="1016"/>
      <c r="D107" s="1019"/>
      <c r="E107" s="1018"/>
      <c r="F107" s="1025"/>
      <c r="G107" s="1030"/>
      <c r="H107" s="1051"/>
      <c r="I107" s="911"/>
      <c r="J107" s="911"/>
      <c r="K107" s="911"/>
      <c r="L107" s="1031"/>
      <c r="M107" s="1019"/>
      <c r="N107" s="1018"/>
      <c r="O107" s="1022"/>
      <c r="P107" s="1022"/>
      <c r="Q107" s="1022"/>
      <c r="R107" s="1023"/>
      <c r="S107" s="1023"/>
      <c r="T107" s="1023"/>
      <c r="U107" s="1023"/>
      <c r="V107" s="1023"/>
      <c r="W107" s="1023"/>
      <c r="X107" s="1023"/>
      <c r="Y107" s="1023"/>
      <c r="Z107" s="1023"/>
      <c r="AA107" s="1023"/>
      <c r="AB107" s="1023"/>
      <c r="AC107" s="1023"/>
      <c r="AD107" s="1023"/>
      <c r="AE107" s="1023"/>
      <c r="AF107" s="1023"/>
      <c r="AG107" s="1023"/>
      <c r="AH107" s="1023"/>
      <c r="AI107" s="1023"/>
      <c r="AJ107" s="1023"/>
      <c r="AK107" s="1023"/>
      <c r="AL107" s="1023"/>
      <c r="AM107" s="1023"/>
      <c r="AN107" s="1023"/>
      <c r="AO107" s="1023"/>
      <c r="AP107" s="1023"/>
      <c r="AQ107" s="1023"/>
      <c r="AR107" s="1023"/>
      <c r="AS107" s="1023"/>
      <c r="AT107" s="1023"/>
      <c r="AU107" s="1023"/>
      <c r="AV107" s="1023"/>
      <c r="AW107" s="1023"/>
    </row>
    <row r="108" spans="1:49" ht="19.95" customHeight="1">
      <c r="A108" s="1018"/>
      <c r="B108" s="1016"/>
      <c r="C108" s="1016"/>
      <c r="D108" s="1019"/>
      <c r="E108" s="1018"/>
      <c r="F108" s="1025"/>
      <c r="G108" s="1030"/>
      <c r="H108" s="1051"/>
      <c r="I108" s="911"/>
      <c r="J108" s="911"/>
      <c r="K108" s="911"/>
      <c r="L108" s="1031"/>
      <c r="M108" s="1019"/>
      <c r="N108" s="1018"/>
      <c r="O108" s="1022"/>
      <c r="P108" s="1022"/>
      <c r="Q108" s="1022"/>
      <c r="R108" s="1023"/>
      <c r="S108" s="1023"/>
      <c r="T108" s="1023"/>
      <c r="U108" s="1023"/>
      <c r="V108" s="1023"/>
      <c r="W108" s="1023"/>
      <c r="X108" s="1023"/>
      <c r="Y108" s="1023"/>
      <c r="Z108" s="1023"/>
      <c r="AA108" s="1023"/>
      <c r="AB108" s="1023"/>
      <c r="AC108" s="1023"/>
      <c r="AD108" s="1023"/>
      <c r="AE108" s="1023"/>
      <c r="AF108" s="1023"/>
      <c r="AG108" s="1023"/>
      <c r="AH108" s="1023"/>
      <c r="AI108" s="1023"/>
      <c r="AJ108" s="1023"/>
      <c r="AK108" s="1023"/>
      <c r="AL108" s="1023"/>
      <c r="AM108" s="1023"/>
      <c r="AN108" s="1023"/>
      <c r="AO108" s="1023"/>
      <c r="AP108" s="1023"/>
      <c r="AQ108" s="1023"/>
      <c r="AR108" s="1023"/>
      <c r="AS108" s="1023"/>
      <c r="AT108" s="1023"/>
      <c r="AU108" s="1023"/>
      <c r="AV108" s="1023"/>
      <c r="AW108" s="1023"/>
    </row>
    <row r="109" spans="1:49" ht="19.95" customHeight="1">
      <c r="A109" s="1018"/>
      <c r="B109" s="1016"/>
      <c r="C109" s="1016"/>
      <c r="D109" s="1019"/>
      <c r="E109" s="1018"/>
      <c r="F109" s="1025"/>
      <c r="G109" s="1030"/>
      <c r="H109" s="1051"/>
      <c r="I109" s="911"/>
      <c r="J109" s="911"/>
      <c r="K109" s="911"/>
      <c r="L109" s="1031"/>
      <c r="M109" s="1019"/>
      <c r="N109" s="1018"/>
      <c r="O109" s="1022"/>
      <c r="P109" s="1022"/>
      <c r="Q109" s="1022"/>
      <c r="R109" s="1023"/>
      <c r="S109" s="1023"/>
      <c r="T109" s="1023"/>
      <c r="U109" s="1023"/>
      <c r="V109" s="1023"/>
      <c r="W109" s="1023"/>
      <c r="X109" s="1023"/>
      <c r="Y109" s="1023"/>
      <c r="Z109" s="1023"/>
      <c r="AA109" s="1023"/>
      <c r="AB109" s="1023"/>
      <c r="AC109" s="1023"/>
      <c r="AD109" s="1023"/>
      <c r="AE109" s="1023"/>
      <c r="AF109" s="1023"/>
      <c r="AG109" s="1023"/>
      <c r="AH109" s="1023"/>
      <c r="AI109" s="1023"/>
      <c r="AJ109" s="1023"/>
      <c r="AK109" s="1023"/>
      <c r="AL109" s="1023"/>
      <c r="AM109" s="1023"/>
      <c r="AN109" s="1023"/>
      <c r="AO109" s="1023"/>
      <c r="AP109" s="1023"/>
      <c r="AQ109" s="1023"/>
      <c r="AR109" s="1023"/>
      <c r="AS109" s="1023"/>
      <c r="AT109" s="1023"/>
      <c r="AU109" s="1023"/>
      <c r="AV109" s="1023"/>
      <c r="AW109" s="1023"/>
    </row>
    <row r="110" spans="1:49" ht="19.95" customHeight="1">
      <c r="A110" s="1018"/>
      <c r="B110" s="1016"/>
      <c r="C110" s="1016"/>
      <c r="D110" s="1019"/>
      <c r="E110" s="1018"/>
      <c r="F110" s="1025"/>
      <c r="G110" s="1030"/>
      <c r="H110" s="1051"/>
      <c r="I110" s="911"/>
      <c r="J110" s="911"/>
      <c r="K110" s="911"/>
      <c r="L110" s="1031"/>
      <c r="M110" s="1019"/>
      <c r="N110" s="1018"/>
      <c r="O110" s="1022"/>
      <c r="P110" s="1022"/>
      <c r="Q110" s="1022"/>
      <c r="R110" s="1023"/>
      <c r="S110" s="1023"/>
      <c r="T110" s="1023"/>
      <c r="U110" s="1023"/>
      <c r="V110" s="1023"/>
      <c r="W110" s="1023"/>
      <c r="X110" s="1023"/>
      <c r="Y110" s="1023"/>
      <c r="Z110" s="1023"/>
      <c r="AA110" s="1023"/>
      <c r="AB110" s="1023"/>
      <c r="AC110" s="1023"/>
      <c r="AD110" s="1023"/>
      <c r="AE110" s="1023"/>
      <c r="AF110" s="1023"/>
      <c r="AG110" s="1023"/>
      <c r="AH110" s="1023"/>
      <c r="AI110" s="1023"/>
      <c r="AJ110" s="1023"/>
      <c r="AK110" s="1023"/>
      <c r="AL110" s="1023"/>
      <c r="AM110" s="1023"/>
      <c r="AN110" s="1023"/>
      <c r="AO110" s="1023"/>
      <c r="AP110" s="1023"/>
      <c r="AQ110" s="1023"/>
      <c r="AR110" s="1023"/>
      <c r="AS110" s="1023"/>
      <c r="AT110" s="1023"/>
      <c r="AU110" s="1023"/>
      <c r="AV110" s="1023"/>
      <c r="AW110" s="1023"/>
    </row>
    <row r="111" spans="1:49" ht="19.95" customHeight="1">
      <c r="A111" s="1018"/>
      <c r="B111" s="1016"/>
      <c r="C111" s="1016"/>
      <c r="D111" s="1019"/>
      <c r="E111" s="1018"/>
      <c r="F111" s="1025"/>
      <c r="G111" s="1030"/>
      <c r="H111" s="1051"/>
      <c r="I111" s="911"/>
      <c r="J111" s="911"/>
      <c r="K111" s="911"/>
      <c r="L111" s="1031"/>
      <c r="M111" s="1019"/>
      <c r="N111" s="1018"/>
      <c r="O111" s="1022"/>
      <c r="P111" s="1022"/>
      <c r="Q111" s="1022"/>
      <c r="R111" s="1023"/>
      <c r="S111" s="1023"/>
      <c r="T111" s="1023"/>
      <c r="U111" s="1023"/>
      <c r="V111" s="1023"/>
      <c r="W111" s="1023"/>
      <c r="X111" s="1023"/>
      <c r="Y111" s="1023"/>
      <c r="Z111" s="1023"/>
      <c r="AA111" s="1023"/>
      <c r="AB111" s="1023"/>
      <c r="AC111" s="1023"/>
      <c r="AD111" s="1023"/>
      <c r="AE111" s="1023"/>
      <c r="AF111" s="1023"/>
      <c r="AG111" s="1023"/>
      <c r="AH111" s="1023"/>
      <c r="AI111" s="1023"/>
      <c r="AJ111" s="1023"/>
      <c r="AK111" s="1023"/>
      <c r="AL111" s="1023"/>
      <c r="AM111" s="1023"/>
      <c r="AN111" s="1023"/>
      <c r="AO111" s="1023"/>
      <c r="AP111" s="1023"/>
      <c r="AQ111" s="1023"/>
      <c r="AR111" s="1023"/>
      <c r="AS111" s="1023"/>
      <c r="AT111" s="1023"/>
      <c r="AU111" s="1023"/>
      <c r="AV111" s="1023"/>
      <c r="AW111" s="1023"/>
    </row>
    <row r="112" spans="1:49" ht="19.95" customHeight="1">
      <c r="A112" s="1018"/>
      <c r="B112" s="1016"/>
      <c r="C112" s="1016"/>
      <c r="D112" s="1019"/>
      <c r="E112" s="1018"/>
      <c r="F112" s="1025"/>
      <c r="G112" s="1030"/>
      <c r="H112" s="1051"/>
      <c r="I112" s="911"/>
      <c r="J112" s="911"/>
      <c r="K112" s="911"/>
      <c r="L112" s="1031"/>
      <c r="M112" s="1019"/>
      <c r="N112" s="1018"/>
      <c r="O112" s="1022"/>
      <c r="P112" s="1022"/>
      <c r="Q112" s="1022"/>
      <c r="R112" s="1023"/>
      <c r="S112" s="1023"/>
      <c r="T112" s="1023"/>
      <c r="U112" s="1023"/>
      <c r="V112" s="1023"/>
      <c r="W112" s="1023"/>
      <c r="X112" s="1023"/>
      <c r="Y112" s="1023"/>
      <c r="Z112" s="1023"/>
      <c r="AA112" s="1023"/>
      <c r="AB112" s="1023"/>
      <c r="AC112" s="1023"/>
      <c r="AD112" s="1023"/>
      <c r="AE112" s="1023"/>
      <c r="AF112" s="1023"/>
      <c r="AG112" s="1023"/>
      <c r="AH112" s="1023"/>
      <c r="AI112" s="1023"/>
      <c r="AJ112" s="1023"/>
      <c r="AK112" s="1023"/>
      <c r="AL112" s="1023"/>
      <c r="AM112" s="1023"/>
      <c r="AN112" s="1023"/>
      <c r="AO112" s="1023"/>
      <c r="AP112" s="1023"/>
      <c r="AQ112" s="1023"/>
      <c r="AR112" s="1023"/>
      <c r="AS112" s="1023"/>
      <c r="AT112" s="1023"/>
      <c r="AU112" s="1023"/>
      <c r="AV112" s="1023"/>
      <c r="AW112" s="1023"/>
    </row>
    <row r="113" spans="1:49" ht="19.95" customHeight="1">
      <c r="A113" s="1018"/>
      <c r="B113" s="1016"/>
      <c r="C113" s="1016"/>
      <c r="D113" s="1019"/>
      <c r="E113" s="1018"/>
      <c r="F113" s="1025"/>
      <c r="G113" s="1030"/>
      <c r="H113" s="1051"/>
      <c r="I113" s="911"/>
      <c r="J113" s="911"/>
      <c r="K113" s="911"/>
      <c r="L113" s="1031"/>
      <c r="M113" s="1019"/>
      <c r="N113" s="1018"/>
      <c r="O113" s="1022"/>
      <c r="P113" s="1022"/>
      <c r="Q113" s="1022"/>
      <c r="R113" s="1023"/>
      <c r="S113" s="1023"/>
      <c r="T113" s="1023"/>
      <c r="U113" s="1023"/>
      <c r="V113" s="1023"/>
      <c r="W113" s="1023"/>
      <c r="X113" s="1023"/>
      <c r="Y113" s="1023"/>
      <c r="Z113" s="1023"/>
      <c r="AA113" s="1023"/>
      <c r="AB113" s="1023"/>
      <c r="AC113" s="1023"/>
      <c r="AD113" s="1023"/>
      <c r="AE113" s="1023"/>
      <c r="AF113" s="1023"/>
      <c r="AG113" s="1023"/>
      <c r="AH113" s="1023"/>
      <c r="AI113" s="1023"/>
      <c r="AJ113" s="1023"/>
      <c r="AK113" s="1023"/>
      <c r="AL113" s="1023"/>
      <c r="AM113" s="1023"/>
      <c r="AN113" s="1023"/>
      <c r="AO113" s="1023"/>
      <c r="AP113" s="1023"/>
      <c r="AQ113" s="1023"/>
      <c r="AR113" s="1023"/>
      <c r="AS113" s="1023"/>
      <c r="AT113" s="1023"/>
      <c r="AU113" s="1023"/>
      <c r="AV113" s="1023"/>
      <c r="AW113" s="1023"/>
    </row>
    <row r="114" spans="1:49" ht="19.95" customHeight="1">
      <c r="A114" s="1018"/>
      <c r="B114" s="1016"/>
      <c r="C114" s="1016"/>
      <c r="D114" s="1019"/>
      <c r="E114" s="1018"/>
      <c r="F114" s="1025"/>
      <c r="G114" s="1030"/>
      <c r="H114" s="1051"/>
      <c r="I114" s="911"/>
      <c r="J114" s="911"/>
      <c r="K114" s="911"/>
      <c r="L114" s="1031"/>
      <c r="M114" s="1019"/>
      <c r="N114" s="1018"/>
      <c r="O114" s="1022"/>
      <c r="P114" s="1022"/>
      <c r="Q114" s="1022"/>
      <c r="R114" s="1023"/>
      <c r="S114" s="1023"/>
      <c r="T114" s="1023"/>
      <c r="U114" s="1023"/>
      <c r="V114" s="1023"/>
      <c r="W114" s="1023"/>
      <c r="X114" s="1023"/>
      <c r="Y114" s="1023"/>
      <c r="Z114" s="1023"/>
      <c r="AA114" s="1023"/>
      <c r="AB114" s="1023"/>
      <c r="AC114" s="1023"/>
      <c r="AD114" s="1023"/>
      <c r="AE114" s="1023"/>
      <c r="AF114" s="1023"/>
      <c r="AG114" s="1023"/>
      <c r="AH114" s="1023"/>
      <c r="AI114" s="1023"/>
      <c r="AJ114" s="1023"/>
      <c r="AK114" s="1023"/>
      <c r="AL114" s="1023"/>
      <c r="AM114" s="1023"/>
      <c r="AN114" s="1023"/>
      <c r="AO114" s="1023"/>
      <c r="AP114" s="1023"/>
      <c r="AQ114" s="1023"/>
      <c r="AR114" s="1023"/>
      <c r="AS114" s="1023"/>
      <c r="AT114" s="1023"/>
      <c r="AU114" s="1023"/>
      <c r="AV114" s="1023"/>
      <c r="AW114" s="1023"/>
    </row>
    <row r="115" spans="1:49" ht="19.95" customHeight="1">
      <c r="A115" s="1018"/>
      <c r="B115" s="1016"/>
      <c r="C115" s="1016"/>
      <c r="D115" s="1019"/>
      <c r="E115" s="1018"/>
      <c r="F115" s="1025"/>
      <c r="G115" s="1030"/>
      <c r="H115" s="1051"/>
      <c r="I115" s="911"/>
      <c r="J115" s="911"/>
      <c r="K115" s="911"/>
      <c r="L115" s="1031"/>
      <c r="M115" s="1019"/>
      <c r="N115" s="1018"/>
      <c r="O115" s="1022"/>
      <c r="P115" s="1022"/>
      <c r="Q115" s="1022"/>
      <c r="R115" s="1023"/>
      <c r="S115" s="1023"/>
      <c r="T115" s="1023"/>
      <c r="U115" s="1023"/>
      <c r="V115" s="1023"/>
      <c r="W115" s="1023"/>
      <c r="X115" s="1023"/>
      <c r="Y115" s="1023"/>
      <c r="Z115" s="1023"/>
      <c r="AA115" s="1023"/>
      <c r="AB115" s="1023"/>
      <c r="AC115" s="1023"/>
      <c r="AD115" s="1023"/>
      <c r="AE115" s="1023"/>
      <c r="AF115" s="1023"/>
      <c r="AG115" s="1023"/>
      <c r="AH115" s="1023"/>
      <c r="AI115" s="1023"/>
      <c r="AJ115" s="1023"/>
      <c r="AK115" s="1023"/>
      <c r="AL115" s="1023"/>
      <c r="AM115" s="1023"/>
      <c r="AN115" s="1023"/>
      <c r="AO115" s="1023"/>
      <c r="AP115" s="1023"/>
      <c r="AQ115" s="1023"/>
      <c r="AR115" s="1023"/>
      <c r="AS115" s="1023"/>
      <c r="AT115" s="1023"/>
      <c r="AU115" s="1023"/>
      <c r="AV115" s="1023"/>
      <c r="AW115" s="1023"/>
    </row>
    <row r="116" spans="1:49" ht="19.95" customHeight="1">
      <c r="A116" s="1018"/>
      <c r="B116" s="1016"/>
      <c r="C116" s="1016"/>
      <c r="D116" s="1019"/>
      <c r="E116" s="1018"/>
      <c r="F116" s="1025"/>
      <c r="G116" s="1030"/>
      <c r="H116" s="1051"/>
      <c r="I116" s="911"/>
      <c r="J116" s="911"/>
      <c r="K116" s="911"/>
      <c r="L116" s="1031"/>
      <c r="M116" s="1019"/>
      <c r="N116" s="1018"/>
      <c r="O116" s="1022"/>
      <c r="P116" s="1022"/>
      <c r="Q116" s="1022"/>
      <c r="R116" s="1023"/>
      <c r="S116" s="1023"/>
      <c r="T116" s="1023"/>
      <c r="U116" s="1023"/>
      <c r="V116" s="1023"/>
      <c r="W116" s="1023"/>
      <c r="X116" s="1023"/>
      <c r="Y116" s="1023"/>
      <c r="Z116" s="1023"/>
      <c r="AA116" s="1023"/>
      <c r="AB116" s="1023"/>
      <c r="AC116" s="1023"/>
      <c r="AD116" s="1023"/>
      <c r="AE116" s="1023"/>
      <c r="AF116" s="1023"/>
      <c r="AG116" s="1023"/>
      <c r="AH116" s="1023"/>
      <c r="AI116" s="1023"/>
      <c r="AJ116" s="1023"/>
      <c r="AK116" s="1023"/>
      <c r="AL116" s="1023"/>
      <c r="AM116" s="1023"/>
      <c r="AN116" s="1023"/>
      <c r="AO116" s="1023"/>
      <c r="AP116" s="1023"/>
      <c r="AQ116" s="1023"/>
      <c r="AR116" s="1023"/>
      <c r="AS116" s="1023"/>
      <c r="AT116" s="1023"/>
      <c r="AU116" s="1023"/>
      <c r="AV116" s="1023"/>
      <c r="AW116" s="1023"/>
    </row>
    <row r="117" spans="1:49" ht="19.95" customHeight="1">
      <c r="A117" s="1018"/>
      <c r="B117" s="1016"/>
      <c r="C117" s="1016"/>
      <c r="D117" s="1019"/>
      <c r="E117" s="1018"/>
      <c r="F117" s="1025"/>
      <c r="G117" s="1030"/>
      <c r="H117" s="1051"/>
      <c r="I117" s="911"/>
      <c r="J117" s="911"/>
      <c r="K117" s="911"/>
      <c r="L117" s="1031"/>
      <c r="M117" s="1019"/>
      <c r="N117" s="1018"/>
      <c r="O117" s="1022"/>
      <c r="P117" s="1022"/>
      <c r="Q117" s="1022"/>
      <c r="R117" s="1023"/>
      <c r="S117" s="1023"/>
      <c r="T117" s="1023"/>
      <c r="U117" s="1023"/>
      <c r="V117" s="1023"/>
      <c r="W117" s="1023"/>
      <c r="X117" s="1023"/>
      <c r="Y117" s="1023"/>
      <c r="Z117" s="1023"/>
      <c r="AA117" s="1023"/>
      <c r="AB117" s="1023"/>
      <c r="AC117" s="1023"/>
      <c r="AD117" s="1023"/>
      <c r="AE117" s="1023"/>
      <c r="AF117" s="1023"/>
      <c r="AG117" s="1023"/>
      <c r="AH117" s="1023"/>
      <c r="AI117" s="1023"/>
      <c r="AJ117" s="1023"/>
      <c r="AK117" s="1023"/>
      <c r="AL117" s="1023"/>
      <c r="AM117" s="1023"/>
      <c r="AN117" s="1023"/>
      <c r="AO117" s="1023"/>
      <c r="AP117" s="1023"/>
      <c r="AQ117" s="1023"/>
      <c r="AR117" s="1023"/>
      <c r="AS117" s="1023"/>
      <c r="AT117" s="1023"/>
      <c r="AU117" s="1023"/>
      <c r="AV117" s="1023"/>
      <c r="AW117" s="1023"/>
    </row>
    <row r="118" spans="1:49" ht="19.95" customHeight="1">
      <c r="A118" s="1018"/>
      <c r="B118" s="1016"/>
      <c r="C118" s="1016"/>
      <c r="D118" s="1019"/>
      <c r="E118" s="1018"/>
      <c r="F118" s="1025"/>
      <c r="G118" s="1030"/>
      <c r="H118" s="1051"/>
      <c r="I118" s="911"/>
      <c r="J118" s="911"/>
      <c r="K118" s="911"/>
      <c r="L118" s="1031"/>
      <c r="M118" s="1019"/>
      <c r="N118" s="1018"/>
      <c r="O118" s="1022"/>
      <c r="P118" s="1022"/>
      <c r="Q118" s="1022"/>
      <c r="R118" s="1023"/>
      <c r="S118" s="1023"/>
      <c r="T118" s="1023"/>
      <c r="U118" s="1023"/>
      <c r="V118" s="1023"/>
      <c r="W118" s="1023"/>
      <c r="X118" s="1023"/>
      <c r="Y118" s="1023"/>
      <c r="Z118" s="1023"/>
      <c r="AA118" s="1023"/>
      <c r="AB118" s="1023"/>
      <c r="AC118" s="1023"/>
      <c r="AD118" s="1023"/>
      <c r="AE118" s="1023"/>
      <c r="AF118" s="1023"/>
      <c r="AG118" s="1023"/>
      <c r="AH118" s="1023"/>
      <c r="AI118" s="1023"/>
      <c r="AJ118" s="1023"/>
      <c r="AK118" s="1023"/>
      <c r="AL118" s="1023"/>
      <c r="AM118" s="1023"/>
      <c r="AN118" s="1023"/>
      <c r="AO118" s="1023"/>
      <c r="AP118" s="1023"/>
      <c r="AQ118" s="1023"/>
      <c r="AR118" s="1023"/>
      <c r="AS118" s="1023"/>
      <c r="AT118" s="1023"/>
      <c r="AU118" s="1023"/>
      <c r="AV118" s="1023"/>
      <c r="AW118" s="1023"/>
    </row>
    <row r="119" spans="1:49" ht="19.95" customHeight="1">
      <c r="A119" s="1018"/>
      <c r="B119" s="1016"/>
      <c r="C119" s="1016"/>
      <c r="D119" s="1019"/>
      <c r="E119" s="1018"/>
      <c r="F119" s="1025"/>
      <c r="G119" s="1030"/>
      <c r="H119" s="1051"/>
      <c r="I119" s="911"/>
      <c r="J119" s="911"/>
      <c r="K119" s="911"/>
      <c r="L119" s="1031"/>
      <c r="M119" s="1019"/>
      <c r="N119" s="1018"/>
      <c r="O119" s="1022"/>
      <c r="P119" s="1022"/>
      <c r="Q119" s="1022"/>
      <c r="R119" s="1023"/>
      <c r="S119" s="1023"/>
      <c r="T119" s="1023"/>
      <c r="U119" s="1023"/>
      <c r="V119" s="1023"/>
      <c r="W119" s="1023"/>
      <c r="X119" s="1023"/>
      <c r="Y119" s="1023"/>
      <c r="Z119" s="1023"/>
      <c r="AA119" s="1023"/>
      <c r="AB119" s="1023"/>
      <c r="AC119" s="1023"/>
      <c r="AD119" s="1023"/>
      <c r="AE119" s="1023"/>
      <c r="AF119" s="1023"/>
      <c r="AG119" s="1023"/>
      <c r="AH119" s="1023"/>
      <c r="AI119" s="1023"/>
      <c r="AJ119" s="1023"/>
      <c r="AK119" s="1023"/>
      <c r="AL119" s="1023"/>
      <c r="AM119" s="1023"/>
      <c r="AN119" s="1023"/>
      <c r="AO119" s="1023"/>
      <c r="AP119" s="1023"/>
      <c r="AQ119" s="1023"/>
      <c r="AR119" s="1023"/>
      <c r="AS119" s="1023"/>
      <c r="AT119" s="1023"/>
      <c r="AU119" s="1023"/>
      <c r="AV119" s="1023"/>
      <c r="AW119" s="1023"/>
    </row>
    <row r="120" spans="1:49" ht="19.95" customHeight="1">
      <c r="A120" s="1018"/>
      <c r="B120" s="1016"/>
      <c r="C120" s="1016"/>
      <c r="D120" s="1019"/>
      <c r="E120" s="1018"/>
      <c r="F120" s="1025"/>
      <c r="G120" s="1030"/>
      <c r="H120" s="1051"/>
      <c r="I120" s="911"/>
      <c r="J120" s="911"/>
      <c r="K120" s="911"/>
      <c r="L120" s="1031"/>
      <c r="M120" s="1019"/>
      <c r="N120" s="1018"/>
      <c r="O120" s="1022"/>
      <c r="P120" s="1022"/>
      <c r="Q120" s="1022"/>
      <c r="R120" s="1023"/>
      <c r="S120" s="1023"/>
      <c r="T120" s="1023"/>
      <c r="U120" s="1023"/>
      <c r="V120" s="1023"/>
      <c r="W120" s="1023"/>
      <c r="X120" s="1023"/>
      <c r="Y120" s="1023"/>
      <c r="Z120" s="1023"/>
      <c r="AA120" s="1023"/>
      <c r="AB120" s="1023"/>
      <c r="AC120" s="1023"/>
      <c r="AD120" s="1023"/>
      <c r="AE120" s="1023"/>
      <c r="AF120" s="1023"/>
      <c r="AG120" s="1023"/>
      <c r="AH120" s="1023"/>
      <c r="AI120" s="1023"/>
      <c r="AJ120" s="1023"/>
      <c r="AK120" s="1023"/>
      <c r="AL120" s="1023"/>
      <c r="AM120" s="1023"/>
      <c r="AN120" s="1023"/>
      <c r="AO120" s="1023"/>
      <c r="AP120" s="1023"/>
      <c r="AQ120" s="1023"/>
      <c r="AR120" s="1023"/>
      <c r="AS120" s="1023"/>
      <c r="AT120" s="1023"/>
      <c r="AU120" s="1023"/>
      <c r="AV120" s="1023"/>
      <c r="AW120" s="1023"/>
    </row>
    <row r="121" spans="1:49" ht="19.95" customHeight="1">
      <c r="A121" s="1018"/>
      <c r="B121" s="1016"/>
      <c r="C121" s="1016"/>
      <c r="D121" s="1019"/>
      <c r="E121" s="1018"/>
      <c r="F121" s="1025"/>
      <c r="G121" s="1030"/>
      <c r="H121" s="1051"/>
      <c r="I121" s="911"/>
      <c r="J121" s="911"/>
      <c r="K121" s="911"/>
      <c r="L121" s="1031"/>
      <c r="M121" s="1019"/>
      <c r="N121" s="1018"/>
      <c r="O121" s="1022"/>
      <c r="P121" s="1022"/>
      <c r="Q121" s="1022"/>
      <c r="R121" s="1023"/>
      <c r="S121" s="1023"/>
      <c r="T121" s="1023"/>
      <c r="U121" s="1023"/>
      <c r="V121" s="1023"/>
      <c r="W121" s="1023"/>
      <c r="X121" s="1023"/>
      <c r="Y121" s="1023"/>
      <c r="Z121" s="1023"/>
      <c r="AA121" s="1023"/>
      <c r="AB121" s="1023"/>
      <c r="AC121" s="1023"/>
      <c r="AD121" s="1023"/>
      <c r="AE121" s="1023"/>
      <c r="AF121" s="1023"/>
      <c r="AG121" s="1023"/>
      <c r="AH121" s="1023"/>
      <c r="AI121" s="1023"/>
      <c r="AJ121" s="1023"/>
      <c r="AK121" s="1023"/>
      <c r="AL121" s="1023"/>
      <c r="AM121" s="1023"/>
      <c r="AN121" s="1023"/>
      <c r="AO121" s="1023"/>
      <c r="AP121" s="1023"/>
      <c r="AQ121" s="1023"/>
      <c r="AR121" s="1023"/>
      <c r="AS121" s="1023"/>
      <c r="AT121" s="1023"/>
      <c r="AU121" s="1023"/>
      <c r="AV121" s="1023"/>
      <c r="AW121" s="1023"/>
    </row>
    <row r="122" spans="1:49" ht="19.95" customHeight="1">
      <c r="A122" s="1018"/>
      <c r="B122" s="1016"/>
      <c r="C122" s="1016"/>
      <c r="D122" s="1019"/>
      <c r="E122" s="1018"/>
      <c r="F122" s="1025"/>
      <c r="G122" s="1030"/>
      <c r="H122" s="1051"/>
      <c r="I122" s="911"/>
      <c r="J122" s="911"/>
      <c r="K122" s="911"/>
      <c r="L122" s="1031"/>
      <c r="M122" s="1019"/>
      <c r="N122" s="1018"/>
      <c r="O122" s="1022"/>
      <c r="P122" s="1022"/>
      <c r="Q122" s="1022"/>
      <c r="R122" s="1023"/>
      <c r="S122" s="1023"/>
      <c r="T122" s="1023"/>
      <c r="U122" s="1023"/>
      <c r="V122" s="1023"/>
      <c r="W122" s="1023"/>
      <c r="X122" s="1023"/>
      <c r="Y122" s="1023"/>
      <c r="Z122" s="1023"/>
      <c r="AA122" s="1023"/>
      <c r="AB122" s="1023"/>
      <c r="AC122" s="1023"/>
      <c r="AD122" s="1023"/>
      <c r="AE122" s="1023"/>
      <c r="AF122" s="1023"/>
      <c r="AG122" s="1023"/>
      <c r="AH122" s="1023"/>
      <c r="AI122" s="1023"/>
      <c r="AJ122" s="1023"/>
      <c r="AK122" s="1023"/>
      <c r="AL122" s="1023"/>
      <c r="AM122" s="1023"/>
      <c r="AN122" s="1023"/>
      <c r="AO122" s="1023"/>
      <c r="AP122" s="1023"/>
      <c r="AQ122" s="1023"/>
      <c r="AR122" s="1023"/>
      <c r="AS122" s="1023"/>
      <c r="AT122" s="1023"/>
      <c r="AU122" s="1023"/>
      <c r="AV122" s="1023"/>
      <c r="AW122" s="1023"/>
    </row>
    <row r="123" spans="1:49" ht="19.95" customHeight="1">
      <c r="A123" s="1018"/>
      <c r="B123" s="1016"/>
      <c r="C123" s="1016"/>
      <c r="D123" s="1019"/>
      <c r="E123" s="1018"/>
      <c r="F123" s="1025"/>
      <c r="G123" s="1030"/>
      <c r="H123" s="1051"/>
      <c r="I123" s="911"/>
      <c r="J123" s="911"/>
      <c r="K123" s="911"/>
      <c r="L123" s="1031"/>
      <c r="M123" s="1019"/>
      <c r="N123" s="1018"/>
      <c r="O123" s="1022"/>
      <c r="P123" s="1022"/>
      <c r="Q123" s="1022"/>
      <c r="R123" s="1023"/>
      <c r="S123" s="1023"/>
      <c r="T123" s="1023"/>
      <c r="U123" s="1023"/>
      <c r="V123" s="1023"/>
      <c r="W123" s="1023"/>
      <c r="X123" s="1023"/>
      <c r="Y123" s="1023"/>
      <c r="Z123" s="1023"/>
      <c r="AA123" s="1023"/>
      <c r="AB123" s="1023"/>
      <c r="AC123" s="1023"/>
      <c r="AD123" s="1023"/>
      <c r="AE123" s="1023"/>
      <c r="AF123" s="1023"/>
      <c r="AG123" s="1023"/>
      <c r="AH123" s="1023"/>
      <c r="AI123" s="1023"/>
      <c r="AJ123" s="1023"/>
      <c r="AK123" s="1023"/>
      <c r="AL123" s="1023"/>
      <c r="AM123" s="1023"/>
      <c r="AN123" s="1023"/>
      <c r="AO123" s="1023"/>
      <c r="AP123" s="1023"/>
      <c r="AQ123" s="1023"/>
      <c r="AR123" s="1023"/>
      <c r="AS123" s="1023"/>
      <c r="AT123" s="1023"/>
      <c r="AU123" s="1023"/>
      <c r="AV123" s="1023"/>
      <c r="AW123" s="1023"/>
    </row>
    <row r="124" spans="1:49" ht="19.95" customHeight="1">
      <c r="A124" s="1032"/>
      <c r="B124" s="1033"/>
      <c r="C124" s="1033"/>
      <c r="D124" s="1034"/>
      <c r="E124" s="1032"/>
      <c r="F124" s="1035"/>
      <c r="G124" s="1036"/>
      <c r="H124" s="1052"/>
      <c r="I124" s="1053"/>
      <c r="J124" s="1053"/>
      <c r="K124" s="1054"/>
      <c r="L124" s="1037"/>
      <c r="M124" s="1034"/>
      <c r="N124" s="1032"/>
      <c r="O124" s="1038"/>
      <c r="P124" s="1039"/>
      <c r="Q124" s="1039"/>
      <c r="R124" s="1023"/>
      <c r="S124" s="1023"/>
      <c r="T124" s="1023"/>
      <c r="U124" s="1023"/>
      <c r="V124" s="1023"/>
      <c r="W124" s="1023"/>
      <c r="X124" s="1023"/>
      <c r="Y124" s="1023"/>
      <c r="Z124" s="1023"/>
      <c r="AA124" s="1023"/>
      <c r="AB124" s="1023"/>
      <c r="AC124" s="1023"/>
      <c r="AD124" s="1023"/>
      <c r="AE124" s="1023"/>
      <c r="AF124" s="1023"/>
      <c r="AG124" s="1023"/>
      <c r="AH124" s="1023"/>
      <c r="AI124" s="1023"/>
      <c r="AJ124" s="1023"/>
      <c r="AK124" s="1023"/>
      <c r="AL124" s="1023"/>
      <c r="AM124" s="1023"/>
      <c r="AN124" s="1023"/>
      <c r="AO124" s="1023"/>
      <c r="AP124" s="1023"/>
      <c r="AQ124" s="1023"/>
      <c r="AR124" s="1023"/>
      <c r="AS124" s="1023"/>
      <c r="AT124" s="1023"/>
      <c r="AU124" s="1023"/>
      <c r="AV124" s="1023"/>
      <c r="AW124" s="1023"/>
    </row>
    <row r="125" spans="1:49">
      <c r="A125" s="1023"/>
      <c r="B125" s="1040"/>
      <c r="C125" s="1040"/>
      <c r="D125" s="1040"/>
      <c r="E125" s="1023"/>
      <c r="F125" s="1040"/>
      <c r="G125" s="1023"/>
      <c r="L125" s="1040"/>
      <c r="M125" s="1040"/>
      <c r="N125" s="1023"/>
      <c r="O125" s="1023"/>
      <c r="P125" s="1023"/>
      <c r="Q125" s="1023"/>
      <c r="R125" s="1023"/>
      <c r="S125" s="1023"/>
      <c r="T125" s="1023"/>
      <c r="U125" s="1023"/>
      <c r="V125" s="1023"/>
      <c r="W125" s="1023"/>
      <c r="X125" s="1023"/>
      <c r="Y125" s="1023"/>
      <c r="Z125" s="1023"/>
      <c r="AA125" s="1023"/>
      <c r="AB125" s="1023"/>
      <c r="AC125" s="1023"/>
      <c r="AD125" s="1023"/>
      <c r="AE125" s="1023"/>
      <c r="AF125" s="1023"/>
      <c r="AG125" s="1023"/>
      <c r="AH125" s="1023"/>
      <c r="AI125" s="1023"/>
      <c r="AJ125" s="1023"/>
      <c r="AK125" s="1023"/>
      <c r="AL125" s="1023"/>
      <c r="AM125" s="1023"/>
      <c r="AN125" s="1023"/>
      <c r="AO125" s="1023"/>
      <c r="AP125" s="1023"/>
      <c r="AQ125" s="1023"/>
      <c r="AR125" s="1023"/>
      <c r="AS125" s="1023"/>
      <c r="AT125" s="1023"/>
      <c r="AU125" s="1023"/>
      <c r="AV125" s="1023"/>
      <c r="AW125" s="1023"/>
    </row>
    <row r="126" spans="1:49">
      <c r="A126" s="1023"/>
      <c r="B126" s="1040"/>
      <c r="C126" s="1040"/>
      <c r="D126" s="1040"/>
      <c r="E126" s="1023"/>
      <c r="F126" s="1040"/>
      <c r="G126" s="1023"/>
      <c r="L126" s="1040"/>
      <c r="M126" s="1040"/>
      <c r="N126" s="1023"/>
      <c r="O126" s="1023"/>
      <c r="P126" s="1023"/>
      <c r="Q126" s="1023"/>
      <c r="R126" s="1023"/>
      <c r="S126" s="1023"/>
      <c r="T126" s="1023"/>
      <c r="U126" s="1023"/>
      <c r="V126" s="1023"/>
      <c r="W126" s="1023"/>
      <c r="X126" s="1023"/>
      <c r="Y126" s="1023"/>
      <c r="Z126" s="1023"/>
      <c r="AA126" s="1023"/>
      <c r="AB126" s="1023"/>
      <c r="AC126" s="1023"/>
      <c r="AD126" s="1023"/>
      <c r="AE126" s="1023"/>
      <c r="AF126" s="1023"/>
      <c r="AG126" s="1023"/>
      <c r="AH126" s="1023"/>
      <c r="AI126" s="1023"/>
      <c r="AJ126" s="1023"/>
      <c r="AK126" s="1023"/>
      <c r="AL126" s="1023"/>
      <c r="AM126" s="1023"/>
      <c r="AN126" s="1023"/>
      <c r="AO126" s="1023"/>
      <c r="AP126" s="1023"/>
      <c r="AQ126" s="1023"/>
      <c r="AR126" s="1023"/>
      <c r="AS126" s="1023"/>
      <c r="AT126" s="1023"/>
      <c r="AU126" s="1023"/>
      <c r="AV126" s="1023"/>
      <c r="AW126" s="1023"/>
    </row>
    <row r="127" spans="1:49">
      <c r="A127" s="1023"/>
      <c r="B127" s="1040"/>
      <c r="C127" s="1040"/>
      <c r="D127" s="1040"/>
      <c r="E127" s="1023"/>
      <c r="F127" s="1040"/>
      <c r="G127" s="1023"/>
      <c r="L127" s="1040"/>
      <c r="M127" s="1040"/>
      <c r="N127" s="1023"/>
      <c r="O127" s="1023"/>
      <c r="P127" s="1023"/>
      <c r="Q127" s="1023"/>
      <c r="R127" s="1023"/>
      <c r="S127" s="1023"/>
      <c r="T127" s="1023"/>
      <c r="U127" s="1023"/>
      <c r="V127" s="1023"/>
      <c r="W127" s="1023"/>
      <c r="X127" s="1023"/>
      <c r="Y127" s="1023"/>
      <c r="Z127" s="1023"/>
      <c r="AA127" s="1023"/>
      <c r="AB127" s="1023"/>
      <c r="AC127" s="1023"/>
      <c r="AD127" s="1023"/>
      <c r="AE127" s="1023"/>
      <c r="AF127" s="1023"/>
      <c r="AG127" s="1023"/>
      <c r="AH127" s="1023"/>
      <c r="AI127" s="1023"/>
      <c r="AJ127" s="1023"/>
      <c r="AK127" s="1023"/>
      <c r="AL127" s="1023"/>
      <c r="AM127" s="1023"/>
      <c r="AN127" s="1023"/>
      <c r="AO127" s="1023"/>
      <c r="AP127" s="1023"/>
      <c r="AQ127" s="1023"/>
      <c r="AR127" s="1023"/>
      <c r="AS127" s="1023"/>
      <c r="AT127" s="1023"/>
      <c r="AU127" s="1023"/>
      <c r="AV127" s="1023"/>
      <c r="AW127" s="1023"/>
    </row>
    <row r="128" spans="1:49">
      <c r="A128" s="1023"/>
      <c r="B128" s="1040"/>
      <c r="C128" s="1040"/>
      <c r="D128" s="1040"/>
      <c r="E128" s="1023"/>
      <c r="F128" s="1040"/>
      <c r="G128" s="1023"/>
      <c r="L128" s="1040"/>
      <c r="M128" s="1040"/>
      <c r="N128" s="1023"/>
      <c r="O128" s="1023"/>
      <c r="P128" s="1023"/>
      <c r="Q128" s="1023"/>
      <c r="R128" s="1023"/>
      <c r="S128" s="1023"/>
      <c r="T128" s="1023"/>
      <c r="U128" s="1023"/>
      <c r="V128" s="1023"/>
      <c r="W128" s="1023"/>
      <c r="X128" s="1023"/>
      <c r="Y128" s="1023"/>
      <c r="Z128" s="1023"/>
      <c r="AA128" s="1023"/>
      <c r="AB128" s="1023"/>
      <c r="AC128" s="1023"/>
      <c r="AD128" s="1023"/>
      <c r="AE128" s="1023"/>
      <c r="AF128" s="1023"/>
      <c r="AG128" s="1023"/>
      <c r="AH128" s="1023"/>
      <c r="AI128" s="1023"/>
      <c r="AJ128" s="1023"/>
      <c r="AK128" s="1023"/>
      <c r="AL128" s="1023"/>
      <c r="AM128" s="1023"/>
      <c r="AN128" s="1023"/>
      <c r="AO128" s="1023"/>
      <c r="AP128" s="1023"/>
      <c r="AQ128" s="1023"/>
      <c r="AR128" s="1023"/>
      <c r="AS128" s="1023"/>
      <c r="AT128" s="1023"/>
      <c r="AU128" s="1023"/>
      <c r="AV128" s="1023"/>
      <c r="AW128" s="1023"/>
    </row>
    <row r="129" spans="1:49">
      <c r="A129" s="1023"/>
      <c r="B129" s="1040"/>
      <c r="C129" s="1040"/>
      <c r="D129" s="1040"/>
      <c r="E129" s="1023"/>
      <c r="F129" s="1040"/>
      <c r="G129" s="1023"/>
      <c r="L129" s="1040"/>
      <c r="M129" s="1040"/>
      <c r="N129" s="1023"/>
      <c r="O129" s="1023"/>
      <c r="P129" s="1023"/>
      <c r="Q129" s="1023"/>
      <c r="R129" s="1023"/>
      <c r="S129" s="1023"/>
      <c r="T129" s="1023"/>
      <c r="U129" s="1023"/>
      <c r="V129" s="1023"/>
      <c r="W129" s="1023"/>
      <c r="X129" s="1023"/>
      <c r="Y129" s="1023"/>
      <c r="Z129" s="1023"/>
      <c r="AA129" s="1023"/>
      <c r="AB129" s="1023"/>
      <c r="AC129" s="1023"/>
      <c r="AD129" s="1023"/>
      <c r="AE129" s="1023"/>
      <c r="AF129" s="1023"/>
      <c r="AG129" s="1023"/>
      <c r="AH129" s="1023"/>
      <c r="AI129" s="1023"/>
      <c r="AJ129" s="1023"/>
      <c r="AK129" s="1023"/>
      <c r="AL129" s="1023"/>
      <c r="AM129" s="1023"/>
      <c r="AN129" s="1023"/>
      <c r="AO129" s="1023"/>
      <c r="AP129" s="1023"/>
      <c r="AQ129" s="1023"/>
      <c r="AR129" s="1023"/>
      <c r="AS129" s="1023"/>
      <c r="AT129" s="1023"/>
      <c r="AU129" s="1023"/>
      <c r="AV129" s="1023"/>
      <c r="AW129" s="1023"/>
    </row>
    <row r="130" spans="1:49">
      <c r="A130" s="1023"/>
      <c r="B130" s="1040"/>
      <c r="C130" s="1040"/>
      <c r="D130" s="1040"/>
      <c r="E130" s="1023"/>
      <c r="F130" s="1040"/>
      <c r="G130" s="1023"/>
      <c r="L130" s="1040"/>
      <c r="M130" s="1040"/>
      <c r="N130" s="1023"/>
      <c r="O130" s="1023"/>
      <c r="P130" s="1023"/>
      <c r="Q130" s="1023"/>
      <c r="R130" s="1023"/>
      <c r="S130" s="1023"/>
      <c r="T130" s="1023"/>
      <c r="U130" s="1023"/>
      <c r="V130" s="1023"/>
      <c r="W130" s="1023"/>
      <c r="X130" s="1023"/>
      <c r="Y130" s="1023"/>
      <c r="Z130" s="1023"/>
      <c r="AA130" s="1023"/>
      <c r="AB130" s="1023"/>
      <c r="AC130" s="1023"/>
      <c r="AD130" s="1023"/>
      <c r="AE130" s="1023"/>
      <c r="AF130" s="1023"/>
      <c r="AG130" s="1023"/>
      <c r="AH130" s="1023"/>
      <c r="AI130" s="1023"/>
      <c r="AJ130" s="1023"/>
      <c r="AK130" s="1023"/>
      <c r="AL130" s="1023"/>
      <c r="AM130" s="1023"/>
      <c r="AN130" s="1023"/>
      <c r="AO130" s="1023"/>
      <c r="AP130" s="1023"/>
      <c r="AQ130" s="1023"/>
      <c r="AR130" s="1023"/>
      <c r="AS130" s="1023"/>
      <c r="AT130" s="1023"/>
      <c r="AU130" s="1023"/>
      <c r="AV130" s="1023"/>
      <c r="AW130" s="1023"/>
    </row>
    <row r="131" spans="1:49">
      <c r="A131" s="1023"/>
      <c r="B131" s="1040"/>
      <c r="C131" s="1040"/>
      <c r="D131" s="1040"/>
      <c r="E131" s="1023"/>
      <c r="F131" s="1040"/>
      <c r="G131" s="1023"/>
      <c r="L131" s="1040"/>
      <c r="M131" s="1040"/>
      <c r="N131" s="1023"/>
      <c r="O131" s="1023"/>
      <c r="P131" s="1023"/>
      <c r="Q131" s="1023"/>
      <c r="R131" s="1023"/>
      <c r="S131" s="1023"/>
      <c r="T131" s="1023"/>
      <c r="U131" s="1023"/>
      <c r="V131" s="1023"/>
      <c r="W131" s="1023"/>
      <c r="X131" s="1023"/>
      <c r="Y131" s="1023"/>
      <c r="Z131" s="1023"/>
      <c r="AA131" s="1023"/>
      <c r="AB131" s="1023"/>
      <c r="AC131" s="1023"/>
      <c r="AD131" s="1023"/>
      <c r="AE131" s="1023"/>
      <c r="AF131" s="1023"/>
      <c r="AG131" s="1023"/>
      <c r="AH131" s="1023"/>
      <c r="AI131" s="1023"/>
      <c r="AJ131" s="1023"/>
      <c r="AK131" s="1023"/>
      <c r="AL131" s="1023"/>
      <c r="AM131" s="1023"/>
      <c r="AN131" s="1023"/>
      <c r="AO131" s="1023"/>
      <c r="AP131" s="1023"/>
      <c r="AQ131" s="1023"/>
      <c r="AR131" s="1023"/>
      <c r="AS131" s="1023"/>
      <c r="AT131" s="1023"/>
      <c r="AU131" s="1023"/>
      <c r="AV131" s="1023"/>
      <c r="AW131" s="1023"/>
    </row>
    <row r="132" spans="1:49">
      <c r="A132" s="1023"/>
      <c r="B132" s="1040"/>
      <c r="C132" s="1040"/>
      <c r="D132" s="1040"/>
      <c r="E132" s="1023"/>
      <c r="F132" s="1040"/>
      <c r="G132" s="1023"/>
      <c r="L132" s="1040"/>
      <c r="M132" s="1040"/>
      <c r="N132" s="1023"/>
      <c r="O132" s="1023"/>
      <c r="P132" s="1023"/>
      <c r="Q132" s="1023"/>
      <c r="R132" s="1023"/>
      <c r="S132" s="1023"/>
      <c r="T132" s="1023"/>
      <c r="U132" s="1023"/>
      <c r="V132" s="1023"/>
      <c r="W132" s="1023"/>
      <c r="X132" s="1023"/>
      <c r="Y132" s="1023"/>
      <c r="Z132" s="1023"/>
      <c r="AA132" s="1023"/>
      <c r="AB132" s="1023"/>
      <c r="AC132" s="1023"/>
      <c r="AD132" s="1023"/>
      <c r="AE132" s="1023"/>
      <c r="AF132" s="1023"/>
      <c r="AG132" s="1023"/>
      <c r="AH132" s="1023"/>
      <c r="AI132" s="1023"/>
      <c r="AJ132" s="1023"/>
      <c r="AK132" s="1023"/>
      <c r="AL132" s="1023"/>
      <c r="AM132" s="1023"/>
      <c r="AN132" s="1023"/>
      <c r="AO132" s="1023"/>
      <c r="AP132" s="1023"/>
      <c r="AQ132" s="1023"/>
      <c r="AR132" s="1023"/>
      <c r="AS132" s="1023"/>
      <c r="AT132" s="1023"/>
      <c r="AU132" s="1023"/>
      <c r="AV132" s="1023"/>
      <c r="AW132" s="1023"/>
    </row>
    <row r="133" spans="1:49">
      <c r="A133" s="1023"/>
      <c r="B133" s="1040"/>
      <c r="C133" s="1040"/>
      <c r="D133" s="1040"/>
      <c r="E133" s="1023"/>
      <c r="F133" s="1040"/>
      <c r="G133" s="1023"/>
      <c r="L133" s="1040"/>
      <c r="M133" s="1040"/>
      <c r="N133" s="1023"/>
      <c r="O133" s="1023"/>
      <c r="P133" s="1023"/>
      <c r="Q133" s="1023"/>
      <c r="R133" s="1023"/>
      <c r="S133" s="1023"/>
      <c r="T133" s="1023"/>
      <c r="U133" s="1023"/>
      <c r="V133" s="1023"/>
      <c r="W133" s="1023"/>
      <c r="X133" s="1023"/>
      <c r="Y133" s="1023"/>
      <c r="Z133" s="1023"/>
      <c r="AA133" s="1023"/>
      <c r="AB133" s="1023"/>
      <c r="AC133" s="1023"/>
      <c r="AD133" s="1023"/>
      <c r="AE133" s="1023"/>
      <c r="AF133" s="1023"/>
      <c r="AG133" s="1023"/>
      <c r="AH133" s="1023"/>
      <c r="AI133" s="1023"/>
      <c r="AJ133" s="1023"/>
      <c r="AK133" s="1023"/>
      <c r="AL133" s="1023"/>
      <c r="AM133" s="1023"/>
      <c r="AN133" s="1023"/>
      <c r="AO133" s="1023"/>
      <c r="AP133" s="1023"/>
      <c r="AQ133" s="1023"/>
      <c r="AR133" s="1023"/>
      <c r="AS133" s="1023"/>
      <c r="AT133" s="1023"/>
      <c r="AU133" s="1023"/>
      <c r="AV133" s="1023"/>
      <c r="AW133" s="1023"/>
    </row>
    <row r="134" spans="1:49">
      <c r="A134" s="1023"/>
      <c r="B134" s="1040"/>
      <c r="C134" s="1040"/>
      <c r="D134" s="1040"/>
      <c r="E134" s="1023"/>
      <c r="F134" s="1040"/>
      <c r="G134" s="1023"/>
      <c r="L134" s="1040"/>
      <c r="M134" s="1040"/>
      <c r="N134" s="1023"/>
      <c r="O134" s="1023"/>
      <c r="P134" s="1023"/>
      <c r="Q134" s="1023"/>
      <c r="R134" s="1023"/>
      <c r="S134" s="1023"/>
      <c r="T134" s="1023"/>
      <c r="U134" s="1023"/>
      <c r="V134" s="1023"/>
      <c r="W134" s="1023"/>
      <c r="X134" s="1023"/>
      <c r="Y134" s="1023"/>
      <c r="Z134" s="1023"/>
      <c r="AA134" s="1023"/>
      <c r="AB134" s="1023"/>
      <c r="AC134" s="1023"/>
      <c r="AD134" s="1023"/>
      <c r="AE134" s="1023"/>
      <c r="AF134" s="1023"/>
      <c r="AG134" s="1023"/>
      <c r="AH134" s="1023"/>
      <c r="AI134" s="1023"/>
      <c r="AJ134" s="1023"/>
      <c r="AK134" s="1023"/>
      <c r="AL134" s="1023"/>
      <c r="AM134" s="1023"/>
      <c r="AN134" s="1023"/>
      <c r="AO134" s="1023"/>
      <c r="AP134" s="1023"/>
      <c r="AQ134" s="1023"/>
      <c r="AR134" s="1023"/>
      <c r="AS134" s="1023"/>
      <c r="AT134" s="1023"/>
      <c r="AU134" s="1023"/>
      <c r="AV134" s="1023"/>
      <c r="AW134" s="1023"/>
    </row>
    <row r="135" spans="1:49">
      <c r="A135" s="1023"/>
      <c r="B135" s="1040"/>
      <c r="C135" s="1040"/>
      <c r="D135" s="1040"/>
      <c r="E135" s="1023"/>
      <c r="F135" s="1040"/>
      <c r="G135" s="1023"/>
      <c r="L135" s="1040"/>
      <c r="M135" s="1040"/>
      <c r="N135" s="1023"/>
      <c r="O135" s="1023"/>
      <c r="P135" s="1023"/>
      <c r="Q135" s="1023"/>
      <c r="R135" s="1023"/>
      <c r="S135" s="1023"/>
      <c r="T135" s="1023"/>
      <c r="U135" s="1023"/>
      <c r="V135" s="1023"/>
      <c r="W135" s="1023"/>
      <c r="X135" s="1023"/>
      <c r="Y135" s="1023"/>
      <c r="Z135" s="1023"/>
      <c r="AA135" s="1023"/>
      <c r="AB135" s="1023"/>
      <c r="AC135" s="1023"/>
      <c r="AD135" s="1023"/>
      <c r="AE135" s="1023"/>
      <c r="AF135" s="1023"/>
      <c r="AG135" s="1023"/>
      <c r="AH135" s="1023"/>
      <c r="AI135" s="1023"/>
      <c r="AJ135" s="1023"/>
      <c r="AK135" s="1023"/>
      <c r="AL135" s="1023"/>
      <c r="AM135" s="1023"/>
      <c r="AN135" s="1023"/>
      <c r="AO135" s="1023"/>
      <c r="AP135" s="1023"/>
      <c r="AQ135" s="1023"/>
      <c r="AR135" s="1023"/>
      <c r="AS135" s="1023"/>
      <c r="AT135" s="1023"/>
      <c r="AU135" s="1023"/>
      <c r="AV135" s="1023"/>
      <c r="AW135" s="1023"/>
    </row>
    <row r="136" spans="1:49">
      <c r="A136" s="1023"/>
      <c r="B136" s="1040"/>
      <c r="C136" s="1040"/>
      <c r="D136" s="1040"/>
      <c r="E136" s="1023"/>
      <c r="F136" s="1040"/>
      <c r="G136" s="1023"/>
      <c r="L136" s="1040"/>
      <c r="M136" s="1040"/>
      <c r="N136" s="1023"/>
      <c r="O136" s="1023"/>
      <c r="P136" s="1023"/>
      <c r="Q136" s="1023"/>
      <c r="R136" s="1023"/>
      <c r="S136" s="1023"/>
      <c r="T136" s="1023"/>
      <c r="U136" s="1023"/>
      <c r="V136" s="1023"/>
      <c r="W136" s="1023"/>
      <c r="X136" s="1023"/>
      <c r="Y136" s="1023"/>
      <c r="Z136" s="1023"/>
      <c r="AA136" s="1023"/>
      <c r="AB136" s="1023"/>
      <c r="AC136" s="1023"/>
      <c r="AD136" s="1023"/>
      <c r="AE136" s="1023"/>
      <c r="AF136" s="1023"/>
      <c r="AG136" s="1023"/>
      <c r="AH136" s="1023"/>
      <c r="AI136" s="1023"/>
      <c r="AJ136" s="1023"/>
      <c r="AK136" s="1023"/>
      <c r="AL136" s="1023"/>
      <c r="AM136" s="1023"/>
      <c r="AN136" s="1023"/>
      <c r="AO136" s="1023"/>
      <c r="AP136" s="1023"/>
      <c r="AQ136" s="1023"/>
      <c r="AR136" s="1023"/>
      <c r="AS136" s="1023"/>
      <c r="AT136" s="1023"/>
      <c r="AU136" s="1023"/>
      <c r="AV136" s="1023"/>
      <c r="AW136" s="1023"/>
    </row>
    <row r="137" spans="1:49">
      <c r="A137" s="1023"/>
      <c r="B137" s="1040"/>
      <c r="C137" s="1040"/>
      <c r="D137" s="1040"/>
      <c r="E137" s="1023"/>
      <c r="F137" s="1040"/>
      <c r="G137" s="1023"/>
      <c r="L137" s="1040"/>
      <c r="M137" s="1040"/>
      <c r="N137" s="1023"/>
      <c r="O137" s="1023"/>
      <c r="P137" s="1023"/>
      <c r="Q137" s="1023"/>
      <c r="R137" s="1023"/>
      <c r="S137" s="1023"/>
      <c r="T137" s="1023"/>
      <c r="U137" s="1023"/>
      <c r="V137" s="1023"/>
      <c r="W137" s="1023"/>
      <c r="X137" s="1023"/>
      <c r="Y137" s="1023"/>
      <c r="Z137" s="1023"/>
      <c r="AA137" s="1023"/>
      <c r="AB137" s="1023"/>
      <c r="AC137" s="1023"/>
      <c r="AD137" s="1023"/>
      <c r="AE137" s="1023"/>
      <c r="AF137" s="1023"/>
      <c r="AG137" s="1023"/>
      <c r="AH137" s="1023"/>
      <c r="AI137" s="1023"/>
      <c r="AJ137" s="1023"/>
      <c r="AK137" s="1023"/>
      <c r="AL137" s="1023"/>
      <c r="AM137" s="1023"/>
      <c r="AN137" s="1023"/>
      <c r="AO137" s="1023"/>
      <c r="AP137" s="1023"/>
      <c r="AQ137" s="1023"/>
      <c r="AR137" s="1023"/>
      <c r="AS137" s="1023"/>
      <c r="AT137" s="1023"/>
      <c r="AU137" s="1023"/>
      <c r="AV137" s="1023"/>
      <c r="AW137" s="1023"/>
    </row>
    <row r="138" spans="1:49">
      <c r="A138" s="1023"/>
      <c r="B138" s="1040"/>
      <c r="C138" s="1040"/>
      <c r="D138" s="1040"/>
      <c r="E138" s="1023"/>
      <c r="F138" s="1040"/>
      <c r="G138" s="1023"/>
      <c r="L138" s="1040"/>
      <c r="M138" s="1040"/>
      <c r="N138" s="1023"/>
      <c r="O138" s="1023"/>
      <c r="P138" s="1023"/>
      <c r="Q138" s="1023"/>
      <c r="R138" s="1023"/>
      <c r="S138" s="1023"/>
      <c r="T138" s="1023"/>
      <c r="U138" s="1023"/>
      <c r="V138" s="1023"/>
      <c r="W138" s="1023"/>
      <c r="X138" s="1023"/>
      <c r="Y138" s="1023"/>
      <c r="Z138" s="1023"/>
      <c r="AA138" s="1023"/>
      <c r="AB138" s="1023"/>
      <c r="AC138" s="1023"/>
      <c r="AD138" s="1023"/>
      <c r="AE138" s="1023"/>
      <c r="AF138" s="1023"/>
      <c r="AG138" s="1023"/>
      <c r="AH138" s="1023"/>
      <c r="AI138" s="1023"/>
      <c r="AJ138" s="1023"/>
      <c r="AK138" s="1023"/>
      <c r="AL138" s="1023"/>
      <c r="AM138" s="1023"/>
      <c r="AN138" s="1023"/>
      <c r="AO138" s="1023"/>
      <c r="AP138" s="1023"/>
      <c r="AQ138" s="1023"/>
      <c r="AR138" s="1023"/>
      <c r="AS138" s="1023"/>
      <c r="AT138" s="1023"/>
      <c r="AU138" s="1023"/>
      <c r="AV138" s="1023"/>
      <c r="AW138" s="1023"/>
    </row>
    <row r="139" spans="1:49">
      <c r="A139" s="1023"/>
      <c r="B139" s="1040"/>
      <c r="C139" s="1040"/>
      <c r="D139" s="1040"/>
      <c r="E139" s="1023"/>
      <c r="F139" s="1040"/>
      <c r="G139" s="1023"/>
      <c r="L139" s="1040"/>
      <c r="M139" s="1040"/>
      <c r="N139" s="1023"/>
      <c r="O139" s="1023"/>
      <c r="P139" s="1023"/>
      <c r="Q139" s="1023"/>
      <c r="R139" s="1023"/>
      <c r="S139" s="1023"/>
      <c r="T139" s="1023"/>
      <c r="U139" s="1023"/>
      <c r="V139" s="1023"/>
      <c r="W139" s="1023"/>
      <c r="X139" s="1023"/>
      <c r="Y139" s="1023"/>
      <c r="Z139" s="1023"/>
      <c r="AA139" s="1023"/>
      <c r="AB139" s="1023"/>
      <c r="AC139" s="1023"/>
      <c r="AD139" s="1023"/>
      <c r="AE139" s="1023"/>
      <c r="AF139" s="1023"/>
      <c r="AG139" s="1023"/>
      <c r="AH139" s="1023"/>
      <c r="AI139" s="1023"/>
      <c r="AJ139" s="1023"/>
      <c r="AK139" s="1023"/>
      <c r="AL139" s="1023"/>
      <c r="AM139" s="1023"/>
      <c r="AN139" s="1023"/>
      <c r="AO139" s="1023"/>
      <c r="AP139" s="1023"/>
      <c r="AQ139" s="1023"/>
      <c r="AR139" s="1023"/>
      <c r="AS139" s="1023"/>
      <c r="AT139" s="1023"/>
      <c r="AU139" s="1023"/>
      <c r="AV139" s="1023"/>
      <c r="AW139" s="1023"/>
    </row>
    <row r="140" spans="1:49">
      <c r="A140" s="1023"/>
      <c r="B140" s="1040"/>
      <c r="C140" s="1040"/>
      <c r="D140" s="1040"/>
      <c r="E140" s="1023"/>
      <c r="F140" s="1040"/>
      <c r="G140" s="1023"/>
      <c r="L140" s="1040"/>
      <c r="M140" s="1040"/>
      <c r="N140" s="1023"/>
      <c r="O140" s="1023"/>
      <c r="P140" s="1023"/>
      <c r="Q140" s="1023"/>
      <c r="R140" s="1023"/>
      <c r="S140" s="1023"/>
      <c r="T140" s="1023"/>
      <c r="U140" s="1023"/>
      <c r="V140" s="1023"/>
      <c r="W140" s="1023"/>
      <c r="X140" s="1023"/>
      <c r="Y140" s="1023"/>
      <c r="Z140" s="1023"/>
      <c r="AA140" s="1023"/>
      <c r="AB140" s="1023"/>
      <c r="AC140" s="1023"/>
      <c r="AD140" s="1023"/>
      <c r="AE140" s="1023"/>
      <c r="AF140" s="1023"/>
      <c r="AG140" s="1023"/>
      <c r="AH140" s="1023"/>
      <c r="AI140" s="1023"/>
      <c r="AJ140" s="1023"/>
      <c r="AK140" s="1023"/>
      <c r="AL140" s="1023"/>
      <c r="AM140" s="1023"/>
      <c r="AN140" s="1023"/>
      <c r="AO140" s="1023"/>
      <c r="AP140" s="1023"/>
      <c r="AQ140" s="1023"/>
      <c r="AR140" s="1023"/>
      <c r="AS140" s="1023"/>
      <c r="AT140" s="1023"/>
      <c r="AU140" s="1023"/>
      <c r="AV140" s="1023"/>
      <c r="AW140" s="1023"/>
    </row>
    <row r="141" spans="1:49">
      <c r="A141" s="1023"/>
      <c r="B141" s="1040"/>
      <c r="C141" s="1040"/>
      <c r="D141" s="1040"/>
      <c r="E141" s="1023"/>
      <c r="F141" s="1040"/>
      <c r="G141" s="1023"/>
      <c r="L141" s="1040"/>
      <c r="M141" s="1040"/>
      <c r="N141" s="1023"/>
      <c r="O141" s="1023"/>
      <c r="P141" s="1023"/>
      <c r="Q141" s="1023"/>
      <c r="R141" s="1023"/>
      <c r="S141" s="1023"/>
      <c r="T141" s="1023"/>
      <c r="U141" s="1023"/>
      <c r="V141" s="1023"/>
      <c r="W141" s="1023"/>
      <c r="X141" s="1023"/>
      <c r="Y141" s="1023"/>
      <c r="Z141" s="1023"/>
      <c r="AA141" s="1023"/>
      <c r="AB141" s="1023"/>
      <c r="AC141" s="1023"/>
      <c r="AD141" s="1023"/>
      <c r="AE141" s="1023"/>
      <c r="AF141" s="1023"/>
      <c r="AG141" s="1023"/>
      <c r="AH141" s="1023"/>
      <c r="AI141" s="1023"/>
      <c r="AJ141" s="1023"/>
      <c r="AK141" s="1023"/>
      <c r="AL141" s="1023"/>
      <c r="AM141" s="1023"/>
      <c r="AN141" s="1023"/>
      <c r="AO141" s="1023"/>
      <c r="AP141" s="1023"/>
      <c r="AQ141" s="1023"/>
      <c r="AR141" s="1023"/>
      <c r="AS141" s="1023"/>
      <c r="AT141" s="1023"/>
      <c r="AU141" s="1023"/>
      <c r="AV141" s="1023"/>
      <c r="AW141" s="1023"/>
    </row>
    <row r="142" spans="1:49">
      <c r="A142" s="1023"/>
      <c r="B142" s="1040"/>
      <c r="C142" s="1040"/>
      <c r="D142" s="1040"/>
      <c r="E142" s="1023"/>
      <c r="F142" s="1040"/>
      <c r="G142" s="1023"/>
      <c r="L142" s="1040"/>
      <c r="M142" s="1040"/>
      <c r="N142" s="1023"/>
      <c r="O142" s="1023"/>
      <c r="P142" s="1023"/>
      <c r="Q142" s="1023"/>
      <c r="R142" s="1023"/>
      <c r="S142" s="1023"/>
      <c r="T142" s="1023"/>
      <c r="U142" s="1023"/>
      <c r="V142" s="1023"/>
      <c r="W142" s="1023"/>
      <c r="X142" s="1023"/>
      <c r="Y142" s="1023"/>
      <c r="Z142" s="1023"/>
      <c r="AA142" s="1023"/>
      <c r="AB142" s="1023"/>
      <c r="AC142" s="1023"/>
      <c r="AD142" s="1023"/>
      <c r="AE142" s="1023"/>
      <c r="AF142" s="1023"/>
      <c r="AG142" s="1023"/>
      <c r="AH142" s="1023"/>
      <c r="AI142" s="1023"/>
      <c r="AJ142" s="1023"/>
      <c r="AK142" s="1023"/>
      <c r="AL142" s="1023"/>
      <c r="AM142" s="1023"/>
      <c r="AN142" s="1023"/>
      <c r="AO142" s="1023"/>
      <c r="AP142" s="1023"/>
      <c r="AQ142" s="1023"/>
      <c r="AR142" s="1023"/>
      <c r="AS142" s="1023"/>
      <c r="AT142" s="1023"/>
      <c r="AU142" s="1023"/>
      <c r="AV142" s="1023"/>
      <c r="AW142" s="1023"/>
    </row>
    <row r="143" spans="1:49">
      <c r="A143" s="1023"/>
      <c r="B143" s="1040"/>
      <c r="C143" s="1040"/>
      <c r="D143" s="1040"/>
      <c r="E143" s="1023"/>
      <c r="F143" s="1040"/>
      <c r="G143" s="1023"/>
      <c r="L143" s="1040"/>
      <c r="M143" s="1040"/>
      <c r="N143" s="1023"/>
      <c r="O143" s="1023"/>
      <c r="P143" s="1023"/>
      <c r="Q143" s="1023"/>
      <c r="R143" s="1023"/>
      <c r="S143" s="1023"/>
      <c r="T143" s="1023"/>
      <c r="U143" s="1023"/>
      <c r="V143" s="1023"/>
      <c r="W143" s="1023"/>
      <c r="X143" s="1023"/>
      <c r="Y143" s="1023"/>
      <c r="Z143" s="1023"/>
      <c r="AA143" s="1023"/>
      <c r="AB143" s="1023"/>
      <c r="AC143" s="1023"/>
      <c r="AD143" s="1023"/>
      <c r="AE143" s="1023"/>
      <c r="AF143" s="1023"/>
      <c r="AG143" s="1023"/>
      <c r="AH143" s="1023"/>
      <c r="AI143" s="1023"/>
      <c r="AJ143" s="1023"/>
      <c r="AK143" s="1023"/>
      <c r="AL143" s="1023"/>
      <c r="AM143" s="1023"/>
      <c r="AN143" s="1023"/>
      <c r="AO143" s="1023"/>
      <c r="AP143" s="1023"/>
      <c r="AQ143" s="1023"/>
      <c r="AR143" s="1023"/>
      <c r="AS143" s="1023"/>
      <c r="AT143" s="1023"/>
      <c r="AU143" s="1023"/>
      <c r="AV143" s="1023"/>
      <c r="AW143" s="1023"/>
    </row>
    <row r="144" spans="1:49">
      <c r="A144" s="1023"/>
      <c r="B144" s="1040"/>
      <c r="C144" s="1040"/>
      <c r="D144" s="1040"/>
      <c r="E144" s="1023"/>
      <c r="F144" s="1040"/>
      <c r="G144" s="1023"/>
      <c r="L144" s="1040"/>
      <c r="M144" s="1040"/>
      <c r="N144" s="1023"/>
      <c r="O144" s="1023"/>
      <c r="P144" s="1023"/>
      <c r="Q144" s="1023"/>
      <c r="R144" s="1023"/>
      <c r="S144" s="1023"/>
      <c r="T144" s="1023"/>
      <c r="U144" s="1023"/>
      <c r="V144" s="1023"/>
      <c r="W144" s="1023"/>
      <c r="X144" s="1023"/>
      <c r="Y144" s="1023"/>
      <c r="Z144" s="1023"/>
      <c r="AA144" s="1023"/>
      <c r="AB144" s="1023"/>
      <c r="AC144" s="1023"/>
      <c r="AD144" s="1023"/>
      <c r="AE144" s="1023"/>
      <c r="AF144" s="1023"/>
      <c r="AG144" s="1023"/>
      <c r="AH144" s="1023"/>
      <c r="AI144" s="1023"/>
      <c r="AJ144" s="1023"/>
      <c r="AK144" s="1023"/>
      <c r="AL144" s="1023"/>
      <c r="AM144" s="1023"/>
      <c r="AN144" s="1023"/>
      <c r="AO144" s="1023"/>
      <c r="AP144" s="1023"/>
      <c r="AQ144" s="1023"/>
      <c r="AR144" s="1023"/>
      <c r="AS144" s="1023"/>
      <c r="AT144" s="1023"/>
      <c r="AU144" s="1023"/>
      <c r="AV144" s="1023"/>
      <c r="AW144" s="1023"/>
    </row>
    <row r="145" spans="1:49">
      <c r="A145" s="1023"/>
      <c r="B145" s="1040"/>
      <c r="C145" s="1040"/>
      <c r="D145" s="1040"/>
      <c r="E145" s="1023"/>
      <c r="F145" s="1040"/>
      <c r="G145" s="1023"/>
      <c r="L145" s="1040"/>
      <c r="M145" s="1040"/>
      <c r="N145" s="1023"/>
      <c r="O145" s="1023"/>
      <c r="P145" s="1023"/>
      <c r="Q145" s="1023"/>
      <c r="R145" s="1023"/>
      <c r="S145" s="1023"/>
      <c r="T145" s="1023"/>
      <c r="U145" s="1023"/>
      <c r="V145" s="1023"/>
      <c r="W145" s="1023"/>
      <c r="X145" s="1023"/>
      <c r="Y145" s="1023"/>
      <c r="Z145" s="1023"/>
      <c r="AA145" s="1023"/>
      <c r="AB145" s="1023"/>
      <c r="AC145" s="1023"/>
      <c r="AD145" s="1023"/>
      <c r="AE145" s="1023"/>
      <c r="AF145" s="1023"/>
      <c r="AG145" s="1023"/>
      <c r="AH145" s="1023"/>
      <c r="AI145" s="1023"/>
      <c r="AJ145" s="1023"/>
      <c r="AK145" s="1023"/>
      <c r="AL145" s="1023"/>
      <c r="AM145" s="1023"/>
      <c r="AN145" s="1023"/>
      <c r="AO145" s="1023"/>
      <c r="AP145" s="1023"/>
      <c r="AQ145" s="1023"/>
      <c r="AR145" s="1023"/>
      <c r="AS145" s="1023"/>
      <c r="AT145" s="1023"/>
      <c r="AU145" s="1023"/>
      <c r="AV145" s="1023"/>
      <c r="AW145" s="1023"/>
    </row>
    <row r="146" spans="1:49">
      <c r="A146" s="1023"/>
      <c r="B146" s="1040"/>
      <c r="C146" s="1040"/>
      <c r="D146" s="1040"/>
      <c r="E146" s="1023"/>
      <c r="F146" s="1040"/>
      <c r="G146" s="1023"/>
      <c r="L146" s="1040"/>
      <c r="M146" s="1040"/>
      <c r="N146" s="1023"/>
      <c r="O146" s="1023"/>
      <c r="P146" s="1023"/>
      <c r="Q146" s="1023"/>
      <c r="R146" s="1023"/>
      <c r="S146" s="1023"/>
      <c r="T146" s="1023"/>
      <c r="U146" s="1023"/>
      <c r="V146" s="1023"/>
      <c r="W146" s="1023"/>
      <c r="X146" s="1023"/>
      <c r="Y146" s="1023"/>
      <c r="Z146" s="1023"/>
      <c r="AA146" s="1023"/>
      <c r="AB146" s="1023"/>
      <c r="AC146" s="1023"/>
      <c r="AD146" s="1023"/>
      <c r="AE146" s="1023"/>
      <c r="AF146" s="1023"/>
      <c r="AG146" s="1023"/>
      <c r="AH146" s="1023"/>
      <c r="AI146" s="1023"/>
      <c r="AJ146" s="1023"/>
      <c r="AK146" s="1023"/>
      <c r="AL146" s="1023"/>
      <c r="AM146" s="1023"/>
      <c r="AN146" s="1023"/>
      <c r="AO146" s="1023"/>
      <c r="AP146" s="1023"/>
      <c r="AQ146" s="1023"/>
      <c r="AR146" s="1023"/>
      <c r="AS146" s="1023"/>
      <c r="AT146" s="1023"/>
      <c r="AU146" s="1023"/>
      <c r="AV146" s="1023"/>
      <c r="AW146" s="1023"/>
    </row>
    <row r="147" spans="1:49">
      <c r="A147" s="1023"/>
      <c r="B147" s="1040"/>
      <c r="C147" s="1040"/>
      <c r="D147" s="1040"/>
      <c r="E147" s="1023"/>
      <c r="F147" s="1040"/>
      <c r="G147" s="1023"/>
      <c r="L147" s="1040"/>
      <c r="M147" s="1040"/>
      <c r="N147" s="1023"/>
      <c r="O147" s="1023"/>
      <c r="P147" s="1023"/>
      <c r="Q147" s="1023"/>
      <c r="R147" s="1023"/>
      <c r="S147" s="1023"/>
      <c r="T147" s="1023"/>
      <c r="U147" s="1023"/>
      <c r="V147" s="1023"/>
      <c r="W147" s="1023"/>
      <c r="X147" s="1023"/>
      <c r="Y147" s="1023"/>
      <c r="Z147" s="1023"/>
      <c r="AA147" s="1023"/>
      <c r="AB147" s="1023"/>
      <c r="AC147" s="1023"/>
      <c r="AD147" s="1023"/>
      <c r="AE147" s="1023"/>
      <c r="AF147" s="1023"/>
      <c r="AG147" s="1023"/>
      <c r="AH147" s="1023"/>
      <c r="AI147" s="1023"/>
      <c r="AJ147" s="1023"/>
      <c r="AK147" s="1023"/>
      <c r="AL147" s="1023"/>
      <c r="AM147" s="1023"/>
      <c r="AN147" s="1023"/>
      <c r="AO147" s="1023"/>
      <c r="AP147" s="1023"/>
      <c r="AQ147" s="1023"/>
      <c r="AR147" s="1023"/>
      <c r="AS147" s="1023"/>
      <c r="AT147" s="1023"/>
      <c r="AU147" s="1023"/>
      <c r="AV147" s="1023"/>
      <c r="AW147" s="1023"/>
    </row>
    <row r="148" spans="1:49">
      <c r="A148" s="1023"/>
      <c r="B148" s="1040"/>
      <c r="C148" s="1040"/>
      <c r="D148" s="1040"/>
      <c r="E148" s="1023"/>
      <c r="F148" s="1040"/>
      <c r="G148" s="1023"/>
      <c r="L148" s="1040"/>
      <c r="M148" s="1040"/>
      <c r="N148" s="1023"/>
      <c r="O148" s="1023"/>
      <c r="P148" s="1023"/>
      <c r="Q148" s="1023"/>
      <c r="R148" s="1023"/>
      <c r="S148" s="1023"/>
      <c r="T148" s="1023"/>
      <c r="U148" s="1023"/>
      <c r="V148" s="1023"/>
      <c r="W148" s="1023"/>
      <c r="X148" s="1023"/>
      <c r="Y148" s="1023"/>
      <c r="Z148" s="1023"/>
      <c r="AA148" s="1023"/>
      <c r="AB148" s="1023"/>
      <c r="AC148" s="1023"/>
      <c r="AD148" s="1023"/>
      <c r="AE148" s="1023"/>
      <c r="AF148" s="1023"/>
      <c r="AG148" s="1023"/>
      <c r="AH148" s="1023"/>
      <c r="AI148" s="1023"/>
      <c r="AJ148" s="1023"/>
      <c r="AK148" s="1023"/>
      <c r="AL148" s="1023"/>
      <c r="AM148" s="1023"/>
      <c r="AN148" s="1023"/>
      <c r="AO148" s="1023"/>
      <c r="AP148" s="1023"/>
      <c r="AQ148" s="1023"/>
      <c r="AR148" s="1023"/>
      <c r="AS148" s="1023"/>
      <c r="AT148" s="1023"/>
      <c r="AU148" s="1023"/>
      <c r="AV148" s="1023"/>
      <c r="AW148" s="1023"/>
    </row>
    <row r="149" spans="1:49">
      <c r="A149" s="1023"/>
      <c r="B149" s="1040"/>
      <c r="C149" s="1040"/>
      <c r="D149" s="1040"/>
      <c r="E149" s="1023"/>
      <c r="F149" s="1040"/>
      <c r="G149" s="1023"/>
      <c r="L149" s="1040"/>
      <c r="M149" s="1040"/>
      <c r="N149" s="1023"/>
      <c r="O149" s="1023"/>
      <c r="P149" s="1023"/>
      <c r="Q149" s="1023"/>
      <c r="R149" s="1023"/>
      <c r="S149" s="1023"/>
      <c r="T149" s="1023"/>
      <c r="U149" s="1023"/>
      <c r="V149" s="1023"/>
      <c r="W149" s="1023"/>
      <c r="X149" s="1023"/>
      <c r="Y149" s="1023"/>
      <c r="Z149" s="1023"/>
      <c r="AA149" s="1023"/>
      <c r="AB149" s="1023"/>
      <c r="AC149" s="1023"/>
      <c r="AD149" s="1023"/>
      <c r="AE149" s="1023"/>
      <c r="AF149" s="1023"/>
      <c r="AG149" s="1023"/>
      <c r="AH149" s="1023"/>
      <c r="AI149" s="1023"/>
      <c r="AJ149" s="1023"/>
      <c r="AK149" s="1023"/>
      <c r="AL149" s="1023"/>
      <c r="AM149" s="1023"/>
      <c r="AN149" s="1023"/>
      <c r="AO149" s="1023"/>
      <c r="AP149" s="1023"/>
      <c r="AQ149" s="1023"/>
      <c r="AR149" s="1023"/>
      <c r="AS149" s="1023"/>
      <c r="AT149" s="1023"/>
      <c r="AU149" s="1023"/>
      <c r="AV149" s="1023"/>
      <c r="AW149" s="1023"/>
    </row>
    <row r="150" spans="1:49">
      <c r="A150" s="1023"/>
      <c r="B150" s="1040"/>
      <c r="C150" s="1040"/>
      <c r="D150" s="1040"/>
      <c r="E150" s="1023"/>
      <c r="F150" s="1040"/>
      <c r="G150" s="1023"/>
      <c r="L150" s="1040"/>
      <c r="M150" s="1040"/>
      <c r="N150" s="1023"/>
      <c r="O150" s="1023"/>
      <c r="P150" s="1023"/>
      <c r="Q150" s="1023"/>
      <c r="R150" s="1023"/>
      <c r="S150" s="1023"/>
      <c r="T150" s="1023"/>
      <c r="U150" s="1023"/>
      <c r="V150" s="1023"/>
      <c r="W150" s="1023"/>
      <c r="X150" s="1023"/>
      <c r="Y150" s="1023"/>
      <c r="Z150" s="1023"/>
      <c r="AA150" s="1023"/>
      <c r="AB150" s="1023"/>
      <c r="AC150" s="1023"/>
      <c r="AD150" s="1023"/>
      <c r="AE150" s="1023"/>
      <c r="AF150" s="1023"/>
      <c r="AG150" s="1023"/>
      <c r="AH150" s="1023"/>
      <c r="AI150" s="1023"/>
      <c r="AJ150" s="1023"/>
      <c r="AK150" s="1023"/>
      <c r="AL150" s="1023"/>
      <c r="AM150" s="1023"/>
      <c r="AN150" s="1023"/>
      <c r="AO150" s="1023"/>
      <c r="AP150" s="1023"/>
      <c r="AQ150" s="1023"/>
      <c r="AR150" s="1023"/>
      <c r="AS150" s="1023"/>
      <c r="AT150" s="1023"/>
      <c r="AU150" s="1023"/>
      <c r="AV150" s="1023"/>
      <c r="AW150" s="1023"/>
    </row>
    <row r="151" spans="1:49">
      <c r="A151" s="1023"/>
      <c r="B151" s="1040"/>
      <c r="C151" s="1040"/>
      <c r="D151" s="1040"/>
      <c r="E151" s="1023"/>
      <c r="F151" s="1040"/>
      <c r="G151" s="1023"/>
      <c r="L151" s="1040"/>
      <c r="M151" s="1040"/>
      <c r="N151" s="1023"/>
      <c r="O151" s="1023"/>
      <c r="P151" s="1023"/>
      <c r="Q151" s="1023"/>
      <c r="R151" s="1023"/>
      <c r="S151" s="1023"/>
      <c r="T151" s="1023"/>
      <c r="U151" s="1023"/>
      <c r="V151" s="1023"/>
      <c r="W151" s="1023"/>
      <c r="X151" s="1023"/>
      <c r="Y151" s="1023"/>
      <c r="Z151" s="1023"/>
      <c r="AA151" s="1023"/>
      <c r="AB151" s="1023"/>
      <c r="AC151" s="1023"/>
      <c r="AD151" s="1023"/>
      <c r="AE151" s="1023"/>
      <c r="AF151" s="1023"/>
      <c r="AG151" s="1023"/>
      <c r="AH151" s="1023"/>
      <c r="AI151" s="1023"/>
      <c r="AJ151" s="1023"/>
      <c r="AK151" s="1023"/>
      <c r="AL151" s="1023"/>
      <c r="AM151" s="1023"/>
      <c r="AN151" s="1023"/>
      <c r="AO151" s="1023"/>
      <c r="AP151" s="1023"/>
      <c r="AQ151" s="1023"/>
      <c r="AR151" s="1023"/>
      <c r="AS151" s="1023"/>
      <c r="AT151" s="1023"/>
      <c r="AU151" s="1023"/>
      <c r="AV151" s="1023"/>
      <c r="AW151" s="1023"/>
    </row>
    <row r="152" spans="1:49">
      <c r="A152" s="1023"/>
      <c r="B152" s="1040"/>
      <c r="C152" s="1040"/>
      <c r="D152" s="1040"/>
      <c r="E152" s="1023"/>
      <c r="F152" s="1040"/>
      <c r="G152" s="1023"/>
      <c r="L152" s="1040"/>
      <c r="M152" s="1040"/>
      <c r="N152" s="1023"/>
      <c r="O152" s="1023"/>
      <c r="P152" s="1023"/>
      <c r="Q152" s="1023"/>
      <c r="R152" s="1023"/>
      <c r="S152" s="1023"/>
      <c r="T152" s="1023"/>
      <c r="U152" s="1023"/>
      <c r="V152" s="1023"/>
      <c r="W152" s="1023"/>
      <c r="X152" s="1023"/>
      <c r="Y152" s="1023"/>
      <c r="Z152" s="1023"/>
      <c r="AA152" s="1023"/>
      <c r="AB152" s="1023"/>
      <c r="AC152" s="1023"/>
      <c r="AD152" s="1023"/>
      <c r="AE152" s="1023"/>
      <c r="AF152" s="1023"/>
      <c r="AG152" s="1023"/>
      <c r="AH152" s="1023"/>
      <c r="AI152" s="1023"/>
      <c r="AJ152" s="1023"/>
      <c r="AK152" s="1023"/>
      <c r="AL152" s="1023"/>
      <c r="AM152" s="1023"/>
      <c r="AN152" s="1023"/>
      <c r="AO152" s="1023"/>
      <c r="AP152" s="1023"/>
      <c r="AQ152" s="1023"/>
      <c r="AR152" s="1023"/>
      <c r="AS152" s="1023"/>
      <c r="AT152" s="1023"/>
      <c r="AU152" s="1023"/>
      <c r="AV152" s="1023"/>
      <c r="AW152" s="1023"/>
    </row>
    <row r="153" spans="1:49">
      <c r="A153" s="1023"/>
      <c r="B153" s="1040"/>
      <c r="C153" s="1040"/>
      <c r="D153" s="1040"/>
      <c r="E153" s="1023"/>
      <c r="F153" s="1040"/>
      <c r="G153" s="1023"/>
      <c r="L153" s="1040"/>
      <c r="M153" s="1040"/>
      <c r="N153" s="1023"/>
      <c r="O153" s="1023"/>
      <c r="P153" s="1023"/>
      <c r="Q153" s="1023"/>
      <c r="R153" s="1023"/>
      <c r="S153" s="1023"/>
      <c r="T153" s="1023"/>
      <c r="U153" s="1023"/>
      <c r="V153" s="1023"/>
      <c r="W153" s="1023"/>
      <c r="X153" s="1023"/>
      <c r="Y153" s="1023"/>
      <c r="Z153" s="1023"/>
      <c r="AA153" s="1023"/>
      <c r="AB153" s="1023"/>
      <c r="AC153" s="1023"/>
      <c r="AD153" s="1023"/>
      <c r="AE153" s="1023"/>
      <c r="AF153" s="1023"/>
      <c r="AG153" s="1023"/>
      <c r="AH153" s="1023"/>
      <c r="AI153" s="1023"/>
      <c r="AJ153" s="1023"/>
      <c r="AK153" s="1023"/>
      <c r="AL153" s="1023"/>
      <c r="AM153" s="1023"/>
      <c r="AN153" s="1023"/>
      <c r="AO153" s="1023"/>
      <c r="AP153" s="1023"/>
      <c r="AQ153" s="1023"/>
      <c r="AR153" s="1023"/>
      <c r="AS153" s="1023"/>
      <c r="AT153" s="1023"/>
      <c r="AU153" s="1023"/>
      <c r="AV153" s="1023"/>
      <c r="AW153" s="1023"/>
    </row>
    <row r="154" spans="1:49">
      <c r="A154" s="1023"/>
      <c r="B154" s="1040"/>
      <c r="C154" s="1040"/>
      <c r="D154" s="1040"/>
      <c r="E154" s="1023"/>
      <c r="F154" s="1040"/>
      <c r="G154" s="1023"/>
      <c r="L154" s="1040"/>
      <c r="M154" s="1040"/>
      <c r="N154" s="1023"/>
      <c r="O154" s="1023"/>
      <c r="P154" s="1023"/>
      <c r="Q154" s="1023"/>
      <c r="R154" s="1023"/>
      <c r="S154" s="1023"/>
      <c r="T154" s="1023"/>
      <c r="U154" s="1023"/>
      <c r="V154" s="1023"/>
      <c r="W154" s="1023"/>
      <c r="X154" s="1023"/>
      <c r="Y154" s="1023"/>
      <c r="Z154" s="1023"/>
      <c r="AA154" s="1023"/>
      <c r="AB154" s="1023"/>
      <c r="AC154" s="1023"/>
      <c r="AD154" s="1023"/>
      <c r="AE154" s="1023"/>
      <c r="AF154" s="1023"/>
      <c r="AG154" s="1023"/>
      <c r="AH154" s="1023"/>
      <c r="AI154" s="1023"/>
      <c r="AJ154" s="1023"/>
      <c r="AK154" s="1023"/>
      <c r="AL154" s="1023"/>
      <c r="AM154" s="1023"/>
      <c r="AN154" s="1023"/>
      <c r="AO154" s="1023"/>
      <c r="AP154" s="1023"/>
      <c r="AQ154" s="1023"/>
      <c r="AR154" s="1023"/>
      <c r="AS154" s="1023"/>
      <c r="AT154" s="1023"/>
      <c r="AU154" s="1023"/>
      <c r="AV154" s="1023"/>
      <c r="AW154" s="1023"/>
    </row>
    <row r="155" spans="1:49">
      <c r="A155" s="1023"/>
      <c r="B155" s="1040"/>
      <c r="C155" s="1040"/>
      <c r="D155" s="1040"/>
      <c r="E155" s="1023"/>
      <c r="F155" s="1040"/>
      <c r="G155" s="1023"/>
      <c r="L155" s="1040"/>
      <c r="M155" s="1040"/>
      <c r="N155" s="1023"/>
      <c r="O155" s="1023"/>
      <c r="P155" s="1023"/>
      <c r="Q155" s="1023"/>
      <c r="R155" s="1023"/>
      <c r="S155" s="1023"/>
      <c r="T155" s="1023"/>
      <c r="U155" s="1023"/>
      <c r="V155" s="1023"/>
      <c r="W155" s="1023"/>
      <c r="X155" s="1023"/>
      <c r="Y155" s="1023"/>
      <c r="Z155" s="1023"/>
      <c r="AA155" s="1023"/>
      <c r="AB155" s="1023"/>
      <c r="AC155" s="1023"/>
      <c r="AD155" s="1023"/>
      <c r="AE155" s="1023"/>
      <c r="AF155" s="1023"/>
      <c r="AG155" s="1023"/>
      <c r="AH155" s="1023"/>
      <c r="AI155" s="1023"/>
      <c r="AJ155" s="1023"/>
      <c r="AK155" s="1023"/>
      <c r="AL155" s="1023"/>
      <c r="AM155" s="1023"/>
      <c r="AN155" s="1023"/>
      <c r="AO155" s="1023"/>
      <c r="AP155" s="1023"/>
      <c r="AQ155" s="1023"/>
      <c r="AR155" s="1023"/>
      <c r="AS155" s="1023"/>
      <c r="AT155" s="1023"/>
      <c r="AU155" s="1023"/>
      <c r="AV155" s="1023"/>
      <c r="AW155" s="1023"/>
    </row>
    <row r="156" spans="1:49">
      <c r="A156" s="1023"/>
      <c r="B156" s="1040"/>
      <c r="C156" s="1040"/>
      <c r="D156" s="1040"/>
      <c r="E156" s="1023"/>
      <c r="F156" s="1040"/>
      <c r="G156" s="1023"/>
      <c r="L156" s="1040"/>
      <c r="M156" s="1040"/>
      <c r="N156" s="1023"/>
      <c r="O156" s="1023"/>
      <c r="P156" s="1023"/>
      <c r="Q156" s="1023"/>
      <c r="R156" s="1023"/>
      <c r="S156" s="1023"/>
      <c r="T156" s="1023"/>
      <c r="U156" s="1023"/>
      <c r="V156" s="1023"/>
      <c r="W156" s="1023"/>
      <c r="X156" s="1023"/>
      <c r="Y156" s="1023"/>
      <c r="Z156" s="1023"/>
      <c r="AA156" s="1023"/>
      <c r="AB156" s="1023"/>
      <c r="AC156" s="1023"/>
      <c r="AD156" s="1023"/>
      <c r="AE156" s="1023"/>
      <c r="AF156" s="1023"/>
      <c r="AG156" s="1023"/>
      <c r="AH156" s="1023"/>
      <c r="AI156" s="1023"/>
      <c r="AJ156" s="1023"/>
      <c r="AK156" s="1023"/>
      <c r="AL156" s="1023"/>
      <c r="AM156" s="1023"/>
      <c r="AN156" s="1023"/>
      <c r="AO156" s="1023"/>
      <c r="AP156" s="1023"/>
      <c r="AQ156" s="1023"/>
      <c r="AR156" s="1023"/>
      <c r="AS156" s="1023"/>
      <c r="AT156" s="1023"/>
      <c r="AU156" s="1023"/>
      <c r="AV156" s="1023"/>
      <c r="AW156" s="1023"/>
    </row>
    <row r="157" spans="1:49">
      <c r="A157" s="1023"/>
      <c r="B157" s="1040"/>
      <c r="C157" s="1040"/>
      <c r="D157" s="1040"/>
      <c r="E157" s="1023"/>
      <c r="F157" s="1040"/>
      <c r="G157" s="1023"/>
      <c r="L157" s="1040"/>
      <c r="M157" s="1040"/>
      <c r="N157" s="1023"/>
      <c r="O157" s="1023"/>
      <c r="P157" s="1023"/>
      <c r="Q157" s="1023"/>
      <c r="R157" s="1023"/>
      <c r="S157" s="1023"/>
      <c r="T157" s="1023"/>
      <c r="U157" s="1023"/>
      <c r="V157" s="1023"/>
      <c r="W157" s="1023"/>
      <c r="X157" s="1023"/>
      <c r="Y157" s="1023"/>
      <c r="Z157" s="1023"/>
      <c r="AA157" s="1023"/>
      <c r="AB157" s="1023"/>
      <c r="AC157" s="1023"/>
      <c r="AD157" s="1023"/>
      <c r="AE157" s="1023"/>
      <c r="AF157" s="1023"/>
      <c r="AG157" s="1023"/>
      <c r="AH157" s="1023"/>
      <c r="AI157" s="1023"/>
      <c r="AJ157" s="1023"/>
      <c r="AK157" s="1023"/>
      <c r="AL157" s="1023"/>
      <c r="AM157" s="1023"/>
      <c r="AN157" s="1023"/>
      <c r="AO157" s="1023"/>
      <c r="AP157" s="1023"/>
      <c r="AQ157" s="1023"/>
      <c r="AR157" s="1023"/>
      <c r="AS157" s="1023"/>
      <c r="AT157" s="1023"/>
      <c r="AU157" s="1023"/>
      <c r="AV157" s="1023"/>
      <c r="AW157" s="1023"/>
    </row>
    <row r="158" spans="1:49">
      <c r="A158" s="1023"/>
      <c r="B158" s="1040"/>
      <c r="C158" s="1040"/>
      <c r="D158" s="1040"/>
      <c r="E158" s="1023"/>
      <c r="F158" s="1040"/>
      <c r="G158" s="1023"/>
      <c r="L158" s="1040"/>
      <c r="M158" s="1040"/>
      <c r="N158" s="1023"/>
      <c r="O158" s="1023"/>
      <c r="P158" s="1023"/>
      <c r="Q158" s="1023"/>
      <c r="R158" s="1023"/>
      <c r="S158" s="1023"/>
      <c r="T158" s="1023"/>
      <c r="U158" s="1023"/>
      <c r="V158" s="1023"/>
      <c r="W158" s="1023"/>
      <c r="X158" s="1023"/>
      <c r="Y158" s="1023"/>
      <c r="Z158" s="1023"/>
      <c r="AA158" s="1023"/>
      <c r="AB158" s="1023"/>
      <c r="AC158" s="1023"/>
      <c r="AD158" s="1023"/>
      <c r="AE158" s="1023"/>
      <c r="AF158" s="1023"/>
      <c r="AG158" s="1023"/>
      <c r="AH158" s="1023"/>
      <c r="AI158" s="1023"/>
      <c r="AJ158" s="1023"/>
      <c r="AK158" s="1023"/>
      <c r="AL158" s="1023"/>
      <c r="AM158" s="1023"/>
      <c r="AN158" s="1023"/>
      <c r="AO158" s="1023"/>
      <c r="AP158" s="1023"/>
      <c r="AQ158" s="1023"/>
      <c r="AR158" s="1023"/>
      <c r="AS158" s="1023"/>
      <c r="AT158" s="1023"/>
      <c r="AU158" s="1023"/>
      <c r="AV158" s="1023"/>
      <c r="AW158" s="1023"/>
    </row>
    <row r="159" spans="1:49">
      <c r="A159" s="1023"/>
      <c r="B159" s="1040"/>
      <c r="C159" s="1040"/>
      <c r="D159" s="1040"/>
      <c r="E159" s="1023"/>
      <c r="F159" s="1040"/>
      <c r="G159" s="1023"/>
      <c r="L159" s="1040"/>
      <c r="M159" s="1040"/>
      <c r="N159" s="1023"/>
      <c r="O159" s="1023"/>
      <c r="P159" s="1023"/>
      <c r="Q159" s="1023"/>
      <c r="R159" s="1023"/>
      <c r="S159" s="1023"/>
      <c r="T159" s="1023"/>
      <c r="U159" s="1023"/>
      <c r="V159" s="1023"/>
      <c r="W159" s="1023"/>
      <c r="X159" s="1023"/>
      <c r="Y159" s="1023"/>
      <c r="Z159" s="1023"/>
      <c r="AA159" s="1023"/>
      <c r="AB159" s="1023"/>
      <c r="AC159" s="1023"/>
      <c r="AD159" s="1023"/>
      <c r="AE159" s="1023"/>
      <c r="AF159" s="1023"/>
      <c r="AG159" s="1023"/>
      <c r="AH159" s="1023"/>
      <c r="AI159" s="1023"/>
      <c r="AJ159" s="1023"/>
      <c r="AK159" s="1023"/>
      <c r="AL159" s="1023"/>
      <c r="AM159" s="1023"/>
      <c r="AN159" s="1023"/>
      <c r="AO159" s="1023"/>
      <c r="AP159" s="1023"/>
      <c r="AQ159" s="1023"/>
      <c r="AR159" s="1023"/>
      <c r="AS159" s="1023"/>
      <c r="AT159" s="1023"/>
      <c r="AU159" s="1023"/>
      <c r="AV159" s="1023"/>
      <c r="AW159" s="1023"/>
    </row>
    <row r="160" spans="1:49">
      <c r="A160" s="1023"/>
      <c r="B160" s="1040"/>
      <c r="C160" s="1040"/>
      <c r="D160" s="1040"/>
      <c r="E160" s="1023"/>
      <c r="F160" s="1040"/>
      <c r="G160" s="1023"/>
      <c r="L160" s="1040"/>
      <c r="M160" s="1040"/>
      <c r="N160" s="1023"/>
      <c r="O160" s="1023"/>
      <c r="P160" s="1023"/>
      <c r="Q160" s="1023"/>
      <c r="R160" s="1023"/>
      <c r="S160" s="1023"/>
      <c r="T160" s="1023"/>
      <c r="U160" s="1023"/>
      <c r="V160" s="1023"/>
      <c r="W160" s="1023"/>
      <c r="X160" s="1023"/>
      <c r="Y160" s="1023"/>
      <c r="Z160" s="1023"/>
      <c r="AA160" s="1023"/>
      <c r="AB160" s="1023"/>
      <c r="AC160" s="1023"/>
      <c r="AD160" s="1023"/>
      <c r="AE160" s="1023"/>
      <c r="AF160" s="1023"/>
      <c r="AG160" s="1023"/>
      <c r="AH160" s="1023"/>
      <c r="AI160" s="1023"/>
      <c r="AJ160" s="1023"/>
      <c r="AK160" s="1023"/>
      <c r="AL160" s="1023"/>
      <c r="AM160" s="1023"/>
      <c r="AN160" s="1023"/>
      <c r="AO160" s="1023"/>
      <c r="AP160" s="1023"/>
      <c r="AQ160" s="1023"/>
      <c r="AR160" s="1023"/>
      <c r="AS160" s="1023"/>
      <c r="AT160" s="1023"/>
      <c r="AU160" s="1023"/>
      <c r="AV160" s="1023"/>
      <c r="AW160" s="1023"/>
    </row>
    <row r="161" spans="1:49">
      <c r="A161" s="1023"/>
      <c r="B161" s="1040"/>
      <c r="C161" s="1040"/>
      <c r="D161" s="1040"/>
      <c r="E161" s="1023"/>
      <c r="F161" s="1040"/>
      <c r="G161" s="1023"/>
      <c r="L161" s="1040"/>
      <c r="M161" s="1040"/>
      <c r="N161" s="1023"/>
      <c r="O161" s="1023"/>
      <c r="P161" s="1023"/>
      <c r="Q161" s="1023"/>
      <c r="R161" s="1023"/>
      <c r="S161" s="1023"/>
      <c r="T161" s="1023"/>
      <c r="U161" s="1023"/>
      <c r="V161" s="1023"/>
      <c r="W161" s="1023"/>
      <c r="X161" s="1023"/>
      <c r="Y161" s="1023"/>
      <c r="Z161" s="1023"/>
      <c r="AA161" s="1023"/>
      <c r="AB161" s="1023"/>
      <c r="AC161" s="1023"/>
      <c r="AD161" s="1023"/>
      <c r="AE161" s="1023"/>
      <c r="AF161" s="1023"/>
      <c r="AG161" s="1023"/>
      <c r="AH161" s="1023"/>
      <c r="AI161" s="1023"/>
      <c r="AJ161" s="1023"/>
      <c r="AK161" s="1023"/>
      <c r="AL161" s="1023"/>
      <c r="AM161" s="1023"/>
      <c r="AN161" s="1023"/>
      <c r="AO161" s="1023"/>
      <c r="AP161" s="1023"/>
      <c r="AQ161" s="1023"/>
      <c r="AR161" s="1023"/>
      <c r="AS161" s="1023"/>
      <c r="AT161" s="1023"/>
      <c r="AU161" s="1023"/>
      <c r="AV161" s="1023"/>
      <c r="AW161" s="1023"/>
    </row>
    <row r="162" spans="1:49">
      <c r="A162" s="1023"/>
      <c r="B162" s="1040"/>
      <c r="C162" s="1040"/>
      <c r="D162" s="1040"/>
      <c r="E162" s="1023"/>
      <c r="F162" s="1040"/>
      <c r="G162" s="1023"/>
      <c r="L162" s="1040"/>
      <c r="M162" s="1040"/>
      <c r="N162" s="1023"/>
      <c r="O162" s="1023"/>
      <c r="P162" s="1023"/>
      <c r="Q162" s="1023"/>
      <c r="R162" s="1023"/>
      <c r="S162" s="1023"/>
      <c r="T162" s="1023"/>
      <c r="U162" s="1023"/>
      <c r="V162" s="1023"/>
      <c r="W162" s="1023"/>
      <c r="X162" s="1023"/>
      <c r="Y162" s="1023"/>
      <c r="Z162" s="1023"/>
      <c r="AA162" s="1023"/>
      <c r="AB162" s="1023"/>
      <c r="AC162" s="1023"/>
      <c r="AD162" s="1023"/>
      <c r="AE162" s="1023"/>
      <c r="AF162" s="1023"/>
      <c r="AG162" s="1023"/>
      <c r="AH162" s="1023"/>
      <c r="AI162" s="1023"/>
      <c r="AJ162" s="1023"/>
      <c r="AK162" s="1023"/>
      <c r="AL162" s="1023"/>
      <c r="AM162" s="1023"/>
      <c r="AN162" s="1023"/>
      <c r="AO162" s="1023"/>
      <c r="AP162" s="1023"/>
      <c r="AQ162" s="1023"/>
      <c r="AR162" s="1023"/>
      <c r="AS162" s="1023"/>
      <c r="AT162" s="1023"/>
      <c r="AU162" s="1023"/>
      <c r="AV162" s="1023"/>
      <c r="AW162" s="1023"/>
    </row>
    <row r="163" spans="1:49">
      <c r="A163" s="1023"/>
      <c r="B163" s="1040"/>
      <c r="C163" s="1040"/>
      <c r="D163" s="1040"/>
      <c r="E163" s="1023"/>
      <c r="F163" s="1040"/>
      <c r="G163" s="1023"/>
      <c r="L163" s="1040"/>
      <c r="M163" s="1040"/>
      <c r="N163" s="1023"/>
      <c r="O163" s="1023"/>
      <c r="P163" s="1023"/>
      <c r="Q163" s="1023"/>
      <c r="R163" s="1023"/>
      <c r="S163" s="1023"/>
      <c r="T163" s="1023"/>
      <c r="U163" s="1023"/>
      <c r="V163" s="1023"/>
      <c r="W163" s="1023"/>
      <c r="X163" s="1023"/>
      <c r="Y163" s="1023"/>
      <c r="Z163" s="1023"/>
      <c r="AA163" s="1023"/>
      <c r="AB163" s="1023"/>
      <c r="AC163" s="1023"/>
      <c r="AD163" s="1023"/>
      <c r="AE163" s="1023"/>
      <c r="AF163" s="1023"/>
      <c r="AG163" s="1023"/>
      <c r="AH163" s="1023"/>
      <c r="AI163" s="1023"/>
      <c r="AJ163" s="1023"/>
      <c r="AK163" s="1023"/>
      <c r="AL163" s="1023"/>
      <c r="AM163" s="1023"/>
      <c r="AN163" s="1023"/>
      <c r="AO163" s="1023"/>
      <c r="AP163" s="1023"/>
      <c r="AQ163" s="1023"/>
      <c r="AR163" s="1023"/>
      <c r="AS163" s="1023"/>
      <c r="AT163" s="1023"/>
      <c r="AU163" s="1023"/>
      <c r="AV163" s="1023"/>
      <c r="AW163" s="1023"/>
    </row>
    <row r="164" spans="1:49">
      <c r="A164" s="1023"/>
      <c r="B164" s="1040"/>
      <c r="C164" s="1040"/>
      <c r="D164" s="1040"/>
      <c r="E164" s="1023"/>
      <c r="F164" s="1040"/>
      <c r="G164" s="1023"/>
      <c r="L164" s="1040"/>
      <c r="M164" s="1040"/>
      <c r="N164" s="1023"/>
      <c r="O164" s="1023"/>
      <c r="P164" s="1023"/>
      <c r="Q164" s="1023"/>
      <c r="R164" s="1023"/>
      <c r="S164" s="1023"/>
      <c r="T164" s="1023"/>
      <c r="U164" s="1023"/>
      <c r="V164" s="1023"/>
      <c r="W164" s="1023"/>
      <c r="X164" s="1023"/>
      <c r="Y164" s="1023"/>
      <c r="Z164" s="1023"/>
      <c r="AA164" s="1023"/>
      <c r="AB164" s="1023"/>
      <c r="AC164" s="1023"/>
      <c r="AD164" s="1023"/>
      <c r="AE164" s="1023"/>
      <c r="AF164" s="1023"/>
      <c r="AG164" s="1023"/>
      <c r="AH164" s="1023"/>
      <c r="AI164" s="1023"/>
      <c r="AJ164" s="1023"/>
      <c r="AK164" s="1023"/>
      <c r="AL164" s="1023"/>
      <c r="AM164" s="1023"/>
      <c r="AN164" s="1023"/>
      <c r="AO164" s="1023"/>
      <c r="AP164" s="1023"/>
      <c r="AQ164" s="1023"/>
      <c r="AR164" s="1023"/>
      <c r="AS164" s="1023"/>
      <c r="AT164" s="1023"/>
      <c r="AU164" s="1023"/>
      <c r="AV164" s="1023"/>
      <c r="AW164" s="1023"/>
    </row>
    <row r="165" spans="1:49">
      <c r="A165" s="1023"/>
      <c r="B165" s="1040"/>
      <c r="C165" s="1040"/>
      <c r="D165" s="1040"/>
      <c r="E165" s="1023"/>
      <c r="F165" s="1040"/>
      <c r="G165" s="1023"/>
      <c r="L165" s="1040"/>
      <c r="M165" s="1040"/>
      <c r="N165" s="1023"/>
      <c r="O165" s="1023"/>
      <c r="P165" s="1023"/>
      <c r="Q165" s="1023"/>
      <c r="R165" s="1023"/>
      <c r="S165" s="1023"/>
      <c r="T165" s="1023"/>
      <c r="U165" s="1023"/>
      <c r="V165" s="1023"/>
      <c r="W165" s="1023"/>
      <c r="X165" s="1023"/>
      <c r="Y165" s="1023"/>
      <c r="Z165" s="1023"/>
      <c r="AA165" s="1023"/>
      <c r="AB165" s="1023"/>
      <c r="AC165" s="1023"/>
      <c r="AD165" s="1023"/>
      <c r="AE165" s="1023"/>
      <c r="AF165" s="1023"/>
      <c r="AG165" s="1023"/>
      <c r="AH165" s="1023"/>
      <c r="AI165" s="1023"/>
      <c r="AJ165" s="1023"/>
      <c r="AK165" s="1023"/>
      <c r="AL165" s="1023"/>
      <c r="AM165" s="1023"/>
      <c r="AN165" s="1023"/>
      <c r="AO165" s="1023"/>
      <c r="AP165" s="1023"/>
      <c r="AQ165" s="1023"/>
      <c r="AR165" s="1023"/>
      <c r="AS165" s="1023"/>
      <c r="AT165" s="1023"/>
      <c r="AU165" s="1023"/>
      <c r="AV165" s="1023"/>
      <c r="AW165" s="1023"/>
    </row>
    <row r="166" spans="1:49">
      <c r="A166" s="1023"/>
      <c r="B166" s="1040"/>
      <c r="C166" s="1040"/>
      <c r="D166" s="1040"/>
      <c r="E166" s="1023"/>
      <c r="F166" s="1040"/>
      <c r="G166" s="1023"/>
      <c r="L166" s="1040"/>
      <c r="M166" s="1040"/>
      <c r="N166" s="1023"/>
      <c r="O166" s="1023"/>
      <c r="P166" s="1023"/>
      <c r="Q166" s="1023"/>
      <c r="R166" s="1023"/>
      <c r="S166" s="1023"/>
      <c r="T166" s="1023"/>
      <c r="U166" s="1023"/>
      <c r="V166" s="1023"/>
      <c r="W166" s="1023"/>
      <c r="X166" s="1023"/>
      <c r="Y166" s="1023"/>
      <c r="Z166" s="1023"/>
      <c r="AA166" s="1023"/>
      <c r="AB166" s="1023"/>
      <c r="AC166" s="1023"/>
      <c r="AD166" s="1023"/>
      <c r="AE166" s="1023"/>
      <c r="AF166" s="1023"/>
      <c r="AG166" s="1023"/>
      <c r="AH166" s="1023"/>
      <c r="AI166" s="1023"/>
      <c r="AJ166" s="1023"/>
      <c r="AK166" s="1023"/>
      <c r="AL166" s="1023"/>
      <c r="AM166" s="1023"/>
      <c r="AN166" s="1023"/>
      <c r="AO166" s="1023"/>
      <c r="AP166" s="1023"/>
      <c r="AQ166" s="1023"/>
      <c r="AR166" s="1023"/>
      <c r="AS166" s="1023"/>
      <c r="AT166" s="1023"/>
      <c r="AU166" s="1023"/>
      <c r="AV166" s="1023"/>
      <c r="AW166" s="1023"/>
    </row>
    <row r="167" spans="1:49">
      <c r="A167" s="1023"/>
      <c r="B167" s="1040"/>
      <c r="C167" s="1040"/>
      <c r="D167" s="1040"/>
      <c r="E167" s="1023"/>
      <c r="F167" s="1040"/>
      <c r="G167" s="1023"/>
      <c r="L167" s="1040"/>
      <c r="M167" s="1040"/>
      <c r="N167" s="1023"/>
      <c r="O167" s="1023"/>
      <c r="P167" s="1023"/>
      <c r="Q167" s="1023"/>
      <c r="R167" s="1023"/>
      <c r="S167" s="1023"/>
      <c r="T167" s="1023"/>
      <c r="U167" s="1023"/>
      <c r="V167" s="1023"/>
      <c r="W167" s="1023"/>
      <c r="X167" s="1023"/>
      <c r="Y167" s="1023"/>
      <c r="Z167" s="1023"/>
      <c r="AA167" s="1023"/>
      <c r="AB167" s="1023"/>
      <c r="AC167" s="1023"/>
      <c r="AD167" s="1023"/>
      <c r="AE167" s="1023"/>
      <c r="AF167" s="1023"/>
      <c r="AG167" s="1023"/>
      <c r="AH167" s="1023"/>
      <c r="AI167" s="1023"/>
      <c r="AJ167" s="1023"/>
      <c r="AK167" s="1023"/>
      <c r="AL167" s="1023"/>
      <c r="AM167" s="1023"/>
      <c r="AN167" s="1023"/>
      <c r="AO167" s="1023"/>
      <c r="AP167" s="1023"/>
      <c r="AQ167" s="1023"/>
      <c r="AR167" s="1023"/>
      <c r="AS167" s="1023"/>
      <c r="AT167" s="1023"/>
      <c r="AU167" s="1023"/>
      <c r="AV167" s="1023"/>
      <c r="AW167" s="1023"/>
    </row>
    <row r="168" spans="1:49">
      <c r="A168" s="1023"/>
      <c r="B168" s="1040"/>
      <c r="C168" s="1040"/>
      <c r="D168" s="1040"/>
      <c r="E168" s="1023"/>
      <c r="F168" s="1040"/>
      <c r="G168" s="1023"/>
      <c r="L168" s="1040"/>
      <c r="M168" s="1040"/>
      <c r="N168" s="1023"/>
      <c r="O168" s="1023"/>
      <c r="P168" s="1023"/>
      <c r="Q168" s="1023"/>
      <c r="R168" s="1023"/>
      <c r="S168" s="1023"/>
      <c r="T168" s="1023"/>
      <c r="U168" s="1023"/>
      <c r="V168" s="1023"/>
      <c r="W168" s="1023"/>
      <c r="X168" s="1023"/>
      <c r="Y168" s="1023"/>
      <c r="Z168" s="1023"/>
      <c r="AA168" s="1023"/>
      <c r="AB168" s="1023"/>
      <c r="AC168" s="1023"/>
      <c r="AD168" s="1023"/>
      <c r="AE168" s="1023"/>
      <c r="AF168" s="1023"/>
      <c r="AG168" s="1023"/>
      <c r="AH168" s="1023"/>
      <c r="AI168" s="1023"/>
      <c r="AJ168" s="1023"/>
      <c r="AK168" s="1023"/>
      <c r="AL168" s="1023"/>
      <c r="AM168" s="1023"/>
      <c r="AN168" s="1023"/>
      <c r="AO168" s="1023"/>
      <c r="AP168" s="1023"/>
      <c r="AQ168" s="1023"/>
      <c r="AR168" s="1023"/>
      <c r="AS168" s="1023"/>
      <c r="AT168" s="1023"/>
      <c r="AU168" s="1023"/>
      <c r="AV168" s="1023"/>
      <c r="AW168" s="1023"/>
    </row>
    <row r="169" spans="1:49">
      <c r="A169" s="1023"/>
      <c r="B169" s="1040"/>
      <c r="C169" s="1040"/>
      <c r="D169" s="1040"/>
      <c r="E169" s="1023"/>
      <c r="F169" s="1040"/>
      <c r="G169" s="1023"/>
      <c r="L169" s="1040"/>
      <c r="M169" s="1040"/>
      <c r="N169" s="1023"/>
      <c r="O169" s="1023"/>
      <c r="P169" s="1023"/>
      <c r="Q169" s="1023"/>
      <c r="R169" s="1023"/>
      <c r="S169" s="1023"/>
      <c r="T169" s="1023"/>
      <c r="U169" s="1023"/>
      <c r="V169" s="1023"/>
      <c r="W169" s="1023"/>
      <c r="X169" s="1023"/>
      <c r="Y169" s="1023"/>
      <c r="Z169" s="1023"/>
      <c r="AA169" s="1023"/>
      <c r="AB169" s="1023"/>
      <c r="AC169" s="1023"/>
      <c r="AD169" s="1023"/>
      <c r="AE169" s="1023"/>
      <c r="AF169" s="1023"/>
      <c r="AG169" s="1023"/>
      <c r="AH169" s="1023"/>
      <c r="AI169" s="1023"/>
      <c r="AJ169" s="1023"/>
      <c r="AK169" s="1023"/>
      <c r="AL169" s="1023"/>
      <c r="AM169" s="1023"/>
      <c r="AN169" s="1023"/>
      <c r="AO169" s="1023"/>
      <c r="AP169" s="1023"/>
      <c r="AQ169" s="1023"/>
      <c r="AR169" s="1023"/>
      <c r="AS169" s="1023"/>
      <c r="AT169" s="1023"/>
      <c r="AU169" s="1023"/>
      <c r="AV169" s="1023"/>
      <c r="AW169" s="1023"/>
    </row>
    <row r="170" spans="1:49">
      <c r="A170" s="1023"/>
      <c r="B170" s="1040"/>
      <c r="C170" s="1040"/>
      <c r="D170" s="1040"/>
      <c r="E170" s="1023"/>
      <c r="F170" s="1040"/>
      <c r="G170" s="1023"/>
      <c r="L170" s="1040"/>
      <c r="M170" s="1040"/>
      <c r="N170" s="1023"/>
      <c r="O170" s="1023"/>
      <c r="P170" s="1023"/>
      <c r="Q170" s="1023"/>
      <c r="R170" s="1023"/>
      <c r="S170" s="1023"/>
      <c r="T170" s="1023"/>
      <c r="U170" s="1023"/>
      <c r="V170" s="1023"/>
      <c r="W170" s="1023"/>
      <c r="X170" s="1023"/>
      <c r="Y170" s="1023"/>
      <c r="Z170" s="1023"/>
      <c r="AA170" s="1023"/>
      <c r="AB170" s="1023"/>
      <c r="AC170" s="1023"/>
      <c r="AD170" s="1023"/>
      <c r="AE170" s="1023"/>
      <c r="AF170" s="1023"/>
      <c r="AG170" s="1023"/>
      <c r="AH170" s="1023"/>
      <c r="AI170" s="1023"/>
      <c r="AJ170" s="1023"/>
      <c r="AK170" s="1023"/>
      <c r="AL170" s="1023"/>
      <c r="AM170" s="1023"/>
      <c r="AN170" s="1023"/>
      <c r="AO170" s="1023"/>
      <c r="AP170" s="1023"/>
      <c r="AQ170" s="1023"/>
      <c r="AR170" s="1023"/>
      <c r="AS170" s="1023"/>
      <c r="AT170" s="1023"/>
      <c r="AU170" s="1023"/>
      <c r="AV170" s="1023"/>
      <c r="AW170" s="1023"/>
    </row>
    <row r="171" spans="1:49">
      <c r="A171" s="1023"/>
      <c r="B171" s="1040"/>
      <c r="C171" s="1040"/>
      <c r="D171" s="1040"/>
      <c r="E171" s="1023"/>
      <c r="F171" s="1040"/>
      <c r="G171" s="1023"/>
      <c r="L171" s="1040"/>
      <c r="M171" s="1040"/>
      <c r="N171" s="1023"/>
      <c r="O171" s="1023"/>
      <c r="P171" s="1023"/>
      <c r="Q171" s="1023"/>
      <c r="R171" s="1023"/>
      <c r="S171" s="1023"/>
      <c r="T171" s="1023"/>
      <c r="U171" s="1023"/>
      <c r="V171" s="1023"/>
      <c r="W171" s="1023"/>
      <c r="X171" s="1023"/>
      <c r="Y171" s="1023"/>
      <c r="Z171" s="1023"/>
      <c r="AA171" s="1023"/>
      <c r="AB171" s="1023"/>
      <c r="AC171" s="1023"/>
      <c r="AD171" s="1023"/>
      <c r="AE171" s="1023"/>
      <c r="AF171" s="1023"/>
      <c r="AG171" s="1023"/>
      <c r="AH171" s="1023"/>
      <c r="AI171" s="1023"/>
      <c r="AJ171" s="1023"/>
      <c r="AK171" s="1023"/>
      <c r="AL171" s="1023"/>
      <c r="AM171" s="1023"/>
      <c r="AN171" s="1023"/>
      <c r="AO171" s="1023"/>
      <c r="AP171" s="1023"/>
      <c r="AQ171" s="1023"/>
      <c r="AR171" s="1023"/>
      <c r="AS171" s="1023"/>
      <c r="AT171" s="1023"/>
      <c r="AU171" s="1023"/>
      <c r="AV171" s="1023"/>
      <c r="AW171" s="1023"/>
    </row>
    <row r="172" spans="1:49">
      <c r="A172" s="1023"/>
      <c r="B172" s="1040"/>
      <c r="C172" s="1040"/>
      <c r="D172" s="1040"/>
      <c r="E172" s="1023"/>
      <c r="F172" s="1040"/>
      <c r="G172" s="1023"/>
      <c r="L172" s="1040"/>
      <c r="M172" s="1040"/>
      <c r="N172" s="1023"/>
      <c r="O172" s="1023"/>
      <c r="P172" s="1023"/>
      <c r="Q172" s="1023"/>
      <c r="R172" s="1023"/>
      <c r="S172" s="1023"/>
      <c r="T172" s="1023"/>
      <c r="U172" s="1023"/>
      <c r="V172" s="1023"/>
      <c r="W172" s="1023"/>
      <c r="X172" s="1023"/>
      <c r="Y172" s="1023"/>
      <c r="Z172" s="1023"/>
      <c r="AA172" s="1023"/>
      <c r="AB172" s="1023"/>
      <c r="AC172" s="1023"/>
      <c r="AD172" s="1023"/>
      <c r="AE172" s="1023"/>
      <c r="AF172" s="1023"/>
      <c r="AG172" s="1023"/>
      <c r="AH172" s="1023"/>
      <c r="AI172" s="1023"/>
      <c r="AJ172" s="1023"/>
      <c r="AK172" s="1023"/>
      <c r="AL172" s="1023"/>
      <c r="AM172" s="1023"/>
      <c r="AN172" s="1023"/>
      <c r="AO172" s="1023"/>
      <c r="AP172" s="1023"/>
      <c r="AQ172" s="1023"/>
      <c r="AR172" s="1023"/>
      <c r="AS172" s="1023"/>
      <c r="AT172" s="1023"/>
      <c r="AU172" s="1023"/>
      <c r="AV172" s="1023"/>
      <c r="AW172" s="1023"/>
    </row>
    <row r="173" spans="1:49">
      <c r="A173" s="1023"/>
      <c r="B173" s="1040"/>
      <c r="C173" s="1040"/>
      <c r="D173" s="1040"/>
      <c r="E173" s="1023"/>
      <c r="F173" s="1040"/>
      <c r="G173" s="1023"/>
      <c r="L173" s="1040"/>
      <c r="M173" s="1040"/>
      <c r="N173" s="1023"/>
      <c r="O173" s="1023"/>
      <c r="P173" s="1023"/>
      <c r="Q173" s="1023"/>
      <c r="R173" s="1023"/>
      <c r="S173" s="1023"/>
      <c r="T173" s="1023"/>
      <c r="U173" s="1023"/>
      <c r="V173" s="1023"/>
      <c r="W173" s="1023"/>
      <c r="X173" s="1023"/>
      <c r="Y173" s="1023"/>
      <c r="Z173" s="1023"/>
      <c r="AA173" s="1023"/>
      <c r="AB173" s="1023"/>
      <c r="AC173" s="1023"/>
      <c r="AD173" s="1023"/>
      <c r="AE173" s="1023"/>
      <c r="AF173" s="1023"/>
      <c r="AG173" s="1023"/>
      <c r="AH173" s="1023"/>
      <c r="AI173" s="1023"/>
      <c r="AJ173" s="1023"/>
      <c r="AK173" s="1023"/>
      <c r="AL173" s="1023"/>
      <c r="AM173" s="1023"/>
      <c r="AN173" s="1023"/>
      <c r="AO173" s="1023"/>
      <c r="AP173" s="1023"/>
      <c r="AQ173" s="1023"/>
      <c r="AR173" s="1023"/>
      <c r="AS173" s="1023"/>
      <c r="AT173" s="1023"/>
      <c r="AU173" s="1023"/>
      <c r="AV173" s="1023"/>
      <c r="AW173" s="1023"/>
    </row>
    <row r="174" spans="1:49">
      <c r="A174" s="1023"/>
      <c r="B174" s="1040"/>
      <c r="C174" s="1040"/>
      <c r="D174" s="1040"/>
      <c r="E174" s="1023"/>
      <c r="F174" s="1040"/>
      <c r="G174" s="1023"/>
      <c r="L174" s="1040"/>
      <c r="M174" s="1040"/>
      <c r="N174" s="1023"/>
      <c r="O174" s="1023"/>
      <c r="P174" s="1023"/>
      <c r="Q174" s="1023"/>
      <c r="R174" s="1023"/>
      <c r="S174" s="1023"/>
      <c r="T174" s="1023"/>
      <c r="U174" s="1023"/>
      <c r="V174" s="1023"/>
      <c r="W174" s="1023"/>
      <c r="X174" s="1023"/>
      <c r="Y174" s="1023"/>
      <c r="Z174" s="1023"/>
      <c r="AA174" s="1023"/>
      <c r="AB174" s="1023"/>
      <c r="AC174" s="1023"/>
      <c r="AD174" s="1023"/>
      <c r="AE174" s="1023"/>
      <c r="AF174" s="1023"/>
      <c r="AG174" s="1023"/>
      <c r="AH174" s="1023"/>
      <c r="AI174" s="1023"/>
      <c r="AJ174" s="1023"/>
      <c r="AK174" s="1023"/>
      <c r="AL174" s="1023"/>
      <c r="AM174" s="1023"/>
      <c r="AN174" s="1023"/>
      <c r="AO174" s="1023"/>
      <c r="AP174" s="1023"/>
      <c r="AQ174" s="1023"/>
      <c r="AR174" s="1023"/>
      <c r="AS174" s="1023"/>
      <c r="AT174" s="1023"/>
      <c r="AU174" s="1023"/>
      <c r="AV174" s="1023"/>
      <c r="AW174" s="1023"/>
    </row>
    <row r="175" spans="1:49">
      <c r="A175" s="1023"/>
      <c r="B175" s="1040"/>
      <c r="C175" s="1040"/>
      <c r="D175" s="1040"/>
      <c r="E175" s="1023"/>
      <c r="F175" s="1040"/>
      <c r="G175" s="1023"/>
      <c r="L175" s="1040"/>
      <c r="M175" s="1040"/>
      <c r="N175" s="1023"/>
      <c r="O175" s="1023"/>
      <c r="P175" s="1023"/>
      <c r="Q175" s="1023"/>
      <c r="R175" s="1023"/>
      <c r="S175" s="1023"/>
      <c r="T175" s="1023"/>
      <c r="U175" s="1023"/>
      <c r="V175" s="1023"/>
      <c r="W175" s="1023"/>
      <c r="X175" s="1023"/>
      <c r="Y175" s="1023"/>
      <c r="Z175" s="1023"/>
      <c r="AA175" s="1023"/>
      <c r="AB175" s="1023"/>
      <c r="AC175" s="1023"/>
      <c r="AD175" s="1023"/>
      <c r="AE175" s="1023"/>
      <c r="AF175" s="1023"/>
      <c r="AG175" s="1023"/>
      <c r="AH175" s="1023"/>
      <c r="AI175" s="1023"/>
      <c r="AJ175" s="1023"/>
      <c r="AK175" s="1023"/>
      <c r="AL175" s="1023"/>
      <c r="AM175" s="1023"/>
      <c r="AN175" s="1023"/>
      <c r="AO175" s="1023"/>
      <c r="AP175" s="1023"/>
      <c r="AQ175" s="1023"/>
      <c r="AR175" s="1023"/>
      <c r="AS175" s="1023"/>
      <c r="AT175" s="1023"/>
      <c r="AU175" s="1023"/>
      <c r="AV175" s="1023"/>
      <c r="AW175" s="1023"/>
    </row>
    <row r="176" spans="1:49">
      <c r="A176" s="1023"/>
      <c r="B176" s="1040"/>
      <c r="C176" s="1040"/>
      <c r="D176" s="1040"/>
      <c r="E176" s="1023"/>
      <c r="F176" s="1040"/>
      <c r="G176" s="1023"/>
      <c r="L176" s="1040"/>
      <c r="M176" s="1040"/>
      <c r="N176" s="1023"/>
      <c r="O176" s="1023"/>
      <c r="P176" s="1023"/>
      <c r="Q176" s="1023"/>
      <c r="R176" s="1023"/>
      <c r="S176" s="1023"/>
      <c r="T176" s="1023"/>
      <c r="U176" s="1023"/>
      <c r="V176" s="1023"/>
      <c r="W176" s="1023"/>
      <c r="X176" s="1023"/>
      <c r="Y176" s="1023"/>
      <c r="Z176" s="1023"/>
      <c r="AA176" s="1023"/>
      <c r="AB176" s="1023"/>
      <c r="AC176" s="1023"/>
      <c r="AD176" s="1023"/>
      <c r="AE176" s="1023"/>
      <c r="AF176" s="1023"/>
      <c r="AG176" s="1023"/>
      <c r="AH176" s="1023"/>
      <c r="AI176" s="1023"/>
      <c r="AJ176" s="1023"/>
      <c r="AK176" s="1023"/>
      <c r="AL176" s="1023"/>
      <c r="AM176" s="1023"/>
      <c r="AN176" s="1023"/>
      <c r="AO176" s="1023"/>
      <c r="AP176" s="1023"/>
      <c r="AQ176" s="1023"/>
      <c r="AR176" s="1023"/>
      <c r="AS176" s="1023"/>
      <c r="AT176" s="1023"/>
      <c r="AU176" s="1023"/>
      <c r="AV176" s="1023"/>
      <c r="AW176" s="1023"/>
    </row>
    <row r="177" spans="1:49">
      <c r="A177" s="1023"/>
      <c r="B177" s="1040"/>
      <c r="C177" s="1040"/>
      <c r="D177" s="1040"/>
      <c r="E177" s="1023"/>
      <c r="F177" s="1040"/>
      <c r="G177" s="1023"/>
      <c r="L177" s="1040"/>
      <c r="M177" s="1040"/>
      <c r="N177" s="1023"/>
      <c r="O177" s="1023"/>
      <c r="P177" s="1023"/>
      <c r="Q177" s="1023"/>
      <c r="R177" s="1023"/>
      <c r="S177" s="1023"/>
      <c r="T177" s="1023"/>
      <c r="U177" s="1023"/>
      <c r="V177" s="1023"/>
      <c r="W177" s="1023"/>
      <c r="X177" s="1023"/>
      <c r="Y177" s="1023"/>
      <c r="Z177" s="1023"/>
      <c r="AA177" s="1023"/>
      <c r="AB177" s="1023"/>
      <c r="AC177" s="1023"/>
      <c r="AD177" s="1023"/>
      <c r="AE177" s="1023"/>
      <c r="AF177" s="1023"/>
      <c r="AG177" s="1023"/>
      <c r="AH177" s="1023"/>
      <c r="AI177" s="1023"/>
      <c r="AJ177" s="1023"/>
      <c r="AK177" s="1023"/>
      <c r="AL177" s="1023"/>
      <c r="AM177" s="1023"/>
      <c r="AN177" s="1023"/>
      <c r="AO177" s="1023"/>
      <c r="AP177" s="1023"/>
      <c r="AQ177" s="1023"/>
      <c r="AR177" s="1023"/>
      <c r="AS177" s="1023"/>
      <c r="AT177" s="1023"/>
      <c r="AU177" s="1023"/>
      <c r="AV177" s="1023"/>
      <c r="AW177" s="1023"/>
    </row>
    <row r="178" spans="1:49">
      <c r="A178" s="1023"/>
      <c r="B178" s="1040"/>
      <c r="C178" s="1040"/>
      <c r="D178" s="1040"/>
      <c r="E178" s="1023"/>
      <c r="F178" s="1040"/>
      <c r="G178" s="1023"/>
      <c r="L178" s="1040"/>
      <c r="M178" s="1040"/>
      <c r="N178" s="1023"/>
      <c r="O178" s="1023"/>
      <c r="P178" s="1023"/>
      <c r="Q178" s="1023"/>
      <c r="R178" s="1023"/>
      <c r="S178" s="1023"/>
      <c r="T178" s="1023"/>
      <c r="U178" s="1023"/>
      <c r="V178" s="1023"/>
      <c r="W178" s="1023"/>
      <c r="X178" s="1023"/>
      <c r="Y178" s="1023"/>
      <c r="Z178" s="1023"/>
      <c r="AA178" s="1023"/>
      <c r="AB178" s="1023"/>
      <c r="AC178" s="1023"/>
      <c r="AD178" s="1023"/>
      <c r="AE178" s="1023"/>
      <c r="AF178" s="1023"/>
      <c r="AG178" s="1023"/>
      <c r="AH178" s="1023"/>
      <c r="AI178" s="1023"/>
      <c r="AJ178" s="1023"/>
      <c r="AK178" s="1023"/>
      <c r="AL178" s="1023"/>
      <c r="AM178" s="1023"/>
      <c r="AN178" s="1023"/>
      <c r="AO178" s="1023"/>
      <c r="AP178" s="1023"/>
      <c r="AQ178" s="1023"/>
      <c r="AR178" s="1023"/>
      <c r="AS178" s="1023"/>
      <c r="AT178" s="1023"/>
      <c r="AU178" s="1023"/>
      <c r="AV178" s="1023"/>
      <c r="AW178" s="1023"/>
    </row>
    <row r="179" spans="1:49">
      <c r="A179" s="1023"/>
      <c r="B179" s="1040"/>
      <c r="C179" s="1040"/>
      <c r="D179" s="1040"/>
      <c r="E179" s="1023"/>
      <c r="F179" s="1040"/>
      <c r="G179" s="1023"/>
      <c r="L179" s="1040"/>
      <c r="M179" s="1040"/>
      <c r="N179" s="1023"/>
      <c r="O179" s="1023"/>
      <c r="P179" s="1023"/>
      <c r="Q179" s="1023"/>
      <c r="R179" s="1023"/>
      <c r="S179" s="1023"/>
      <c r="T179" s="1023"/>
      <c r="U179" s="1023"/>
      <c r="V179" s="1023"/>
      <c r="W179" s="1023"/>
      <c r="X179" s="1023"/>
      <c r="Y179" s="1023"/>
      <c r="Z179" s="1023"/>
      <c r="AA179" s="1023"/>
      <c r="AB179" s="1023"/>
      <c r="AC179" s="1023"/>
      <c r="AD179" s="1023"/>
      <c r="AE179" s="1023"/>
      <c r="AF179" s="1023"/>
      <c r="AG179" s="1023"/>
      <c r="AH179" s="1023"/>
      <c r="AI179" s="1023"/>
      <c r="AJ179" s="1023"/>
      <c r="AK179" s="1023"/>
      <c r="AL179" s="1023"/>
      <c r="AM179" s="1023"/>
      <c r="AN179" s="1023"/>
      <c r="AO179" s="1023"/>
      <c r="AP179" s="1023"/>
      <c r="AQ179" s="1023"/>
      <c r="AR179" s="1023"/>
      <c r="AS179" s="1023"/>
      <c r="AT179" s="1023"/>
      <c r="AU179" s="1023"/>
      <c r="AV179" s="1023"/>
      <c r="AW179" s="1023"/>
    </row>
    <row r="180" spans="1:49">
      <c r="A180" s="1023"/>
      <c r="B180" s="1040"/>
      <c r="C180" s="1040"/>
      <c r="D180" s="1040"/>
      <c r="E180" s="1023"/>
      <c r="F180" s="1040"/>
      <c r="G180" s="1023"/>
      <c r="L180" s="1040"/>
      <c r="M180" s="1040"/>
      <c r="N180" s="1023"/>
      <c r="O180" s="1023"/>
      <c r="P180" s="1023"/>
      <c r="Q180" s="1023"/>
      <c r="R180" s="1023"/>
      <c r="S180" s="1023"/>
      <c r="T180" s="1023"/>
      <c r="U180" s="1023"/>
      <c r="V180" s="1023"/>
      <c r="W180" s="1023"/>
      <c r="X180" s="1023"/>
      <c r="Y180" s="1023"/>
      <c r="Z180" s="1023"/>
      <c r="AA180" s="1023"/>
      <c r="AB180" s="1023"/>
      <c r="AC180" s="1023"/>
      <c r="AD180" s="1023"/>
      <c r="AE180" s="1023"/>
      <c r="AF180" s="1023"/>
      <c r="AG180" s="1023"/>
      <c r="AH180" s="1023"/>
      <c r="AI180" s="1023"/>
      <c r="AJ180" s="1023"/>
      <c r="AK180" s="1023"/>
      <c r="AL180" s="1023"/>
      <c r="AM180" s="1023"/>
      <c r="AN180" s="1023"/>
      <c r="AO180" s="1023"/>
      <c r="AP180" s="1023"/>
      <c r="AQ180" s="1023"/>
      <c r="AR180" s="1023"/>
      <c r="AS180" s="1023"/>
      <c r="AT180" s="1023"/>
      <c r="AU180" s="1023"/>
      <c r="AV180" s="1023"/>
      <c r="AW180" s="1023"/>
    </row>
    <row r="181" spans="1:49">
      <c r="A181" s="1023"/>
      <c r="B181" s="1040"/>
      <c r="C181" s="1040"/>
      <c r="D181" s="1040"/>
      <c r="E181" s="1023"/>
      <c r="F181" s="1040"/>
      <c r="G181" s="1023"/>
      <c r="L181" s="1040"/>
      <c r="M181" s="1040"/>
      <c r="N181" s="1023"/>
      <c r="O181" s="1023"/>
      <c r="P181" s="1023"/>
      <c r="Q181" s="1023"/>
      <c r="R181" s="1023"/>
      <c r="S181" s="1023"/>
      <c r="T181" s="1023"/>
      <c r="U181" s="1023"/>
      <c r="V181" s="1023"/>
      <c r="W181" s="1023"/>
      <c r="X181" s="1023"/>
      <c r="Y181" s="1023"/>
      <c r="Z181" s="1023"/>
      <c r="AA181" s="1023"/>
      <c r="AB181" s="1023"/>
      <c r="AC181" s="1023"/>
      <c r="AD181" s="1023"/>
      <c r="AE181" s="1023"/>
      <c r="AF181" s="1023"/>
      <c r="AG181" s="1023"/>
      <c r="AH181" s="1023"/>
      <c r="AI181" s="1023"/>
      <c r="AJ181" s="1023"/>
      <c r="AK181" s="1023"/>
      <c r="AL181" s="1023"/>
      <c r="AM181" s="1023"/>
      <c r="AN181" s="1023"/>
      <c r="AO181" s="1023"/>
      <c r="AP181" s="1023"/>
      <c r="AQ181" s="1023"/>
      <c r="AR181" s="1023"/>
      <c r="AS181" s="1023"/>
      <c r="AT181" s="1023"/>
      <c r="AU181" s="1023"/>
      <c r="AV181" s="1023"/>
      <c r="AW181" s="1023"/>
    </row>
    <row r="182" spans="1:49">
      <c r="A182" s="1023"/>
      <c r="B182" s="1040"/>
      <c r="C182" s="1040"/>
      <c r="D182" s="1040"/>
      <c r="E182" s="1023"/>
      <c r="F182" s="1040"/>
      <c r="G182" s="1023"/>
      <c r="L182" s="1040"/>
      <c r="M182" s="1040"/>
      <c r="N182" s="1023"/>
      <c r="O182" s="1023"/>
      <c r="P182" s="1023"/>
      <c r="Q182" s="1023"/>
      <c r="R182" s="1023"/>
      <c r="S182" s="1023"/>
      <c r="T182" s="1023"/>
      <c r="U182" s="1023"/>
      <c r="V182" s="1023"/>
      <c r="W182" s="1023"/>
      <c r="X182" s="1023"/>
      <c r="Y182" s="1023"/>
      <c r="Z182" s="1023"/>
      <c r="AA182" s="1023"/>
      <c r="AB182" s="1023"/>
      <c r="AC182" s="1023"/>
      <c r="AD182" s="1023"/>
      <c r="AE182" s="1023"/>
      <c r="AF182" s="1023"/>
      <c r="AG182" s="1023"/>
      <c r="AH182" s="1023"/>
      <c r="AI182" s="1023"/>
      <c r="AJ182" s="1023"/>
      <c r="AK182" s="1023"/>
      <c r="AL182" s="1023"/>
      <c r="AM182" s="1023"/>
      <c r="AN182" s="1023"/>
      <c r="AO182" s="1023"/>
      <c r="AP182" s="1023"/>
      <c r="AQ182" s="1023"/>
      <c r="AR182" s="1023"/>
      <c r="AS182" s="1023"/>
      <c r="AT182" s="1023"/>
      <c r="AU182" s="1023"/>
      <c r="AV182" s="1023"/>
      <c r="AW182" s="1023"/>
    </row>
    <row r="183" spans="1:49">
      <c r="A183" s="1023"/>
      <c r="B183" s="1040"/>
      <c r="C183" s="1040"/>
      <c r="D183" s="1040"/>
      <c r="E183" s="1023"/>
      <c r="F183" s="1040"/>
      <c r="G183" s="1023"/>
      <c r="L183" s="1040"/>
      <c r="M183" s="1040"/>
      <c r="N183" s="1023"/>
      <c r="O183" s="1023"/>
      <c r="P183" s="1023"/>
      <c r="Q183" s="1023"/>
      <c r="R183" s="1023"/>
      <c r="S183" s="1023"/>
      <c r="T183" s="1023"/>
      <c r="U183" s="1023"/>
      <c r="V183" s="1023"/>
      <c r="W183" s="1023"/>
      <c r="X183" s="1023"/>
      <c r="Y183" s="1023"/>
      <c r="Z183" s="1023"/>
      <c r="AA183" s="1023"/>
      <c r="AB183" s="1023"/>
      <c r="AC183" s="1023"/>
      <c r="AD183" s="1023"/>
      <c r="AE183" s="1023"/>
      <c r="AF183" s="1023"/>
      <c r="AG183" s="1023"/>
      <c r="AH183" s="1023"/>
      <c r="AI183" s="1023"/>
      <c r="AJ183" s="1023"/>
      <c r="AK183" s="1023"/>
      <c r="AL183" s="1023"/>
      <c r="AM183" s="1023"/>
      <c r="AN183" s="1023"/>
      <c r="AO183" s="1023"/>
      <c r="AP183" s="1023"/>
      <c r="AQ183" s="1023"/>
      <c r="AR183" s="1023"/>
      <c r="AS183" s="1023"/>
      <c r="AT183" s="1023"/>
      <c r="AU183" s="1023"/>
      <c r="AV183" s="1023"/>
      <c r="AW183" s="1023"/>
    </row>
    <row r="184" spans="1:49">
      <c r="A184" s="1023"/>
      <c r="B184" s="1040"/>
      <c r="C184" s="1040"/>
      <c r="D184" s="1040"/>
      <c r="E184" s="1023"/>
      <c r="F184" s="1040"/>
      <c r="G184" s="1023"/>
      <c r="L184" s="1040"/>
      <c r="M184" s="1040"/>
      <c r="N184" s="1023"/>
      <c r="O184" s="1023"/>
      <c r="P184" s="1023"/>
      <c r="Q184" s="1023"/>
      <c r="R184" s="1023"/>
      <c r="S184" s="1023"/>
      <c r="T184" s="1023"/>
      <c r="U184" s="1023"/>
      <c r="V184" s="1023"/>
      <c r="W184" s="1023"/>
      <c r="X184" s="1023"/>
      <c r="Y184" s="1023"/>
      <c r="Z184" s="1023"/>
      <c r="AA184" s="1023"/>
      <c r="AB184" s="1023"/>
      <c r="AC184" s="1023"/>
      <c r="AD184" s="1023"/>
      <c r="AE184" s="1023"/>
      <c r="AF184" s="1023"/>
      <c r="AG184" s="1023"/>
      <c r="AH184" s="1023"/>
      <c r="AI184" s="1023"/>
      <c r="AJ184" s="1023"/>
      <c r="AK184" s="1023"/>
      <c r="AL184" s="1023"/>
      <c r="AM184" s="1023"/>
      <c r="AN184" s="1023"/>
      <c r="AO184" s="1023"/>
      <c r="AP184" s="1023"/>
      <c r="AQ184" s="1023"/>
      <c r="AR184" s="1023"/>
      <c r="AS184" s="1023"/>
      <c r="AT184" s="1023"/>
      <c r="AU184" s="1023"/>
      <c r="AV184" s="1023"/>
      <c r="AW184" s="1023"/>
    </row>
    <row r="185" spans="1:49">
      <c r="A185" s="1023"/>
      <c r="B185" s="1040"/>
      <c r="C185" s="1040"/>
      <c r="D185" s="1040"/>
      <c r="E185" s="1023"/>
      <c r="F185" s="1040"/>
      <c r="G185" s="1023"/>
      <c r="L185" s="1040"/>
      <c r="M185" s="1040"/>
      <c r="N185" s="1023"/>
      <c r="O185" s="1023"/>
      <c r="P185" s="1023"/>
      <c r="Q185" s="1023"/>
      <c r="R185" s="1023"/>
      <c r="S185" s="1023"/>
      <c r="T185" s="1023"/>
      <c r="U185" s="1023"/>
      <c r="V185" s="1023"/>
      <c r="W185" s="1023"/>
      <c r="X185" s="1023"/>
      <c r="Y185" s="1023"/>
      <c r="Z185" s="1023"/>
      <c r="AA185" s="1023"/>
      <c r="AB185" s="1023"/>
      <c r="AC185" s="1023"/>
      <c r="AD185" s="1023"/>
      <c r="AE185" s="1023"/>
      <c r="AF185" s="1023"/>
      <c r="AG185" s="1023"/>
      <c r="AH185" s="1023"/>
      <c r="AI185" s="1023"/>
      <c r="AJ185" s="1023"/>
      <c r="AK185" s="1023"/>
      <c r="AL185" s="1023"/>
      <c r="AM185" s="1023"/>
      <c r="AN185" s="1023"/>
      <c r="AO185" s="1023"/>
      <c r="AP185" s="1023"/>
      <c r="AQ185" s="1023"/>
      <c r="AR185" s="1023"/>
      <c r="AS185" s="1023"/>
      <c r="AT185" s="1023"/>
      <c r="AU185" s="1023"/>
      <c r="AV185" s="1023"/>
      <c r="AW185" s="1023"/>
    </row>
    <row r="186" spans="1:49">
      <c r="A186" s="1023"/>
      <c r="B186" s="1040"/>
      <c r="C186" s="1040"/>
      <c r="D186" s="1040"/>
      <c r="E186" s="1023"/>
      <c r="F186" s="1040"/>
      <c r="G186" s="1023"/>
      <c r="L186" s="1040"/>
      <c r="M186" s="1040"/>
      <c r="N186" s="1023"/>
      <c r="O186" s="1023"/>
      <c r="P186" s="1023"/>
      <c r="Q186" s="1023"/>
      <c r="R186" s="1023"/>
      <c r="S186" s="1023"/>
      <c r="T186" s="1023"/>
      <c r="U186" s="1023"/>
      <c r="V186" s="1023"/>
      <c r="W186" s="1023"/>
      <c r="X186" s="1023"/>
      <c r="Y186" s="1023"/>
      <c r="Z186" s="1023"/>
      <c r="AA186" s="1023"/>
      <c r="AB186" s="1023"/>
      <c r="AC186" s="1023"/>
      <c r="AD186" s="1023"/>
      <c r="AE186" s="1023"/>
      <c r="AF186" s="1023"/>
      <c r="AG186" s="1023"/>
      <c r="AH186" s="1023"/>
      <c r="AI186" s="1023"/>
      <c r="AJ186" s="1023"/>
      <c r="AK186" s="1023"/>
      <c r="AL186" s="1023"/>
      <c r="AM186" s="1023"/>
      <c r="AN186" s="1023"/>
      <c r="AO186" s="1023"/>
      <c r="AP186" s="1023"/>
      <c r="AQ186" s="1023"/>
      <c r="AR186" s="1023"/>
      <c r="AS186" s="1023"/>
      <c r="AT186" s="1023"/>
      <c r="AU186" s="1023"/>
      <c r="AV186" s="1023"/>
      <c r="AW186" s="1023"/>
    </row>
    <row r="187" spans="1:49">
      <c r="A187" s="1023"/>
      <c r="B187" s="1040"/>
      <c r="C187" s="1040"/>
      <c r="D187" s="1040"/>
      <c r="E187" s="1023"/>
      <c r="F187" s="1040"/>
      <c r="G187" s="1023"/>
      <c r="L187" s="1040"/>
      <c r="M187" s="1040"/>
      <c r="N187" s="1023"/>
      <c r="O187" s="1023"/>
      <c r="P187" s="1023"/>
      <c r="Q187" s="1023"/>
      <c r="R187" s="1023"/>
      <c r="S187" s="1023"/>
      <c r="T187" s="1023"/>
      <c r="U187" s="1023"/>
      <c r="V187" s="1023"/>
      <c r="W187" s="1023"/>
      <c r="X187" s="1023"/>
      <c r="Y187" s="1023"/>
      <c r="Z187" s="1023"/>
      <c r="AA187" s="1023"/>
      <c r="AB187" s="1023"/>
      <c r="AC187" s="1023"/>
      <c r="AD187" s="1023"/>
      <c r="AE187" s="1023"/>
      <c r="AF187" s="1023"/>
      <c r="AG187" s="1023"/>
      <c r="AH187" s="1023"/>
      <c r="AI187" s="1023"/>
      <c r="AJ187" s="1023"/>
      <c r="AK187" s="1023"/>
      <c r="AL187" s="1023"/>
      <c r="AM187" s="1023"/>
      <c r="AN187" s="1023"/>
      <c r="AO187" s="1023"/>
      <c r="AP187" s="1023"/>
      <c r="AQ187" s="1023"/>
      <c r="AR187" s="1023"/>
      <c r="AS187" s="1023"/>
      <c r="AT187" s="1023"/>
      <c r="AU187" s="1023"/>
      <c r="AV187" s="1023"/>
      <c r="AW187" s="1023"/>
    </row>
    <row r="188" spans="1:49">
      <c r="A188" s="1023"/>
      <c r="B188" s="1040"/>
      <c r="C188" s="1040"/>
      <c r="D188" s="1040"/>
      <c r="E188" s="1023"/>
      <c r="F188" s="1040"/>
      <c r="G188" s="1023"/>
      <c r="L188" s="1040"/>
      <c r="M188" s="1040"/>
      <c r="N188" s="1023"/>
      <c r="O188" s="1023"/>
      <c r="P188" s="1023"/>
      <c r="Q188" s="1023"/>
      <c r="R188" s="1023"/>
      <c r="S188" s="1023"/>
      <c r="T188" s="1023"/>
      <c r="U188" s="1023"/>
      <c r="V188" s="1023"/>
      <c r="W188" s="1023"/>
      <c r="X188" s="1023"/>
      <c r="Y188" s="1023"/>
      <c r="Z188" s="1023"/>
      <c r="AA188" s="1023"/>
      <c r="AB188" s="1023"/>
      <c r="AC188" s="1023"/>
      <c r="AD188" s="1023"/>
      <c r="AE188" s="1023"/>
      <c r="AF188" s="1023"/>
      <c r="AG188" s="1023"/>
      <c r="AH188" s="1023"/>
      <c r="AI188" s="1023"/>
      <c r="AJ188" s="1023"/>
      <c r="AK188" s="1023"/>
      <c r="AL188" s="1023"/>
      <c r="AM188" s="1023"/>
      <c r="AN188" s="1023"/>
      <c r="AO188" s="1023"/>
      <c r="AP188" s="1023"/>
      <c r="AQ188" s="1023"/>
      <c r="AR188" s="1023"/>
      <c r="AS188" s="1023"/>
      <c r="AT188" s="1023"/>
      <c r="AU188" s="1023"/>
      <c r="AV188" s="1023"/>
      <c r="AW188" s="1023"/>
    </row>
    <row r="189" spans="1:49">
      <c r="A189" s="1023"/>
      <c r="B189" s="1040"/>
      <c r="C189" s="1040"/>
      <c r="D189" s="1040"/>
      <c r="E189" s="1023"/>
      <c r="F189" s="1040"/>
      <c r="G189" s="1023"/>
      <c r="L189" s="1040"/>
      <c r="M189" s="1040"/>
      <c r="N189" s="1023"/>
      <c r="O189" s="1023"/>
      <c r="P189" s="1023"/>
      <c r="Q189" s="1023"/>
      <c r="R189" s="1023"/>
      <c r="S189" s="1023"/>
      <c r="T189" s="1023"/>
      <c r="U189" s="1023"/>
      <c r="V189" s="1023"/>
      <c r="W189" s="1023"/>
      <c r="X189" s="1023"/>
      <c r="Y189" s="1023"/>
      <c r="Z189" s="1023"/>
      <c r="AA189" s="1023"/>
      <c r="AB189" s="1023"/>
      <c r="AC189" s="1023"/>
      <c r="AD189" s="1023"/>
      <c r="AE189" s="1023"/>
      <c r="AF189" s="1023"/>
      <c r="AG189" s="1023"/>
      <c r="AH189" s="1023"/>
      <c r="AI189" s="1023"/>
      <c r="AJ189" s="1023"/>
      <c r="AK189" s="1023"/>
      <c r="AL189" s="1023"/>
      <c r="AM189" s="1023"/>
      <c r="AN189" s="1023"/>
      <c r="AO189" s="1023"/>
      <c r="AP189" s="1023"/>
      <c r="AQ189" s="1023"/>
      <c r="AR189" s="1023"/>
      <c r="AS189" s="1023"/>
      <c r="AT189" s="1023"/>
      <c r="AU189" s="1023"/>
      <c r="AV189" s="1023"/>
      <c r="AW189" s="1023"/>
    </row>
    <row r="190" spans="1:49">
      <c r="A190" s="1023"/>
      <c r="B190" s="1040"/>
      <c r="C190" s="1040"/>
      <c r="D190" s="1040"/>
      <c r="E190" s="1023"/>
      <c r="F190" s="1040"/>
      <c r="G190" s="1023"/>
      <c r="L190" s="1040"/>
      <c r="M190" s="1040"/>
      <c r="N190" s="1023"/>
      <c r="O190" s="1023"/>
      <c r="P190" s="1023"/>
      <c r="Q190" s="1023"/>
      <c r="R190" s="1023"/>
      <c r="S190" s="1023"/>
      <c r="T190" s="1023"/>
      <c r="U190" s="1023"/>
      <c r="V190" s="1023"/>
      <c r="W190" s="1023"/>
      <c r="X190" s="1023"/>
      <c r="Y190" s="1023"/>
      <c r="Z190" s="1023"/>
      <c r="AA190" s="1023"/>
      <c r="AB190" s="1023"/>
      <c r="AC190" s="1023"/>
      <c r="AD190" s="1023"/>
      <c r="AE190" s="1023"/>
      <c r="AF190" s="1023"/>
      <c r="AG190" s="1023"/>
      <c r="AH190" s="1023"/>
      <c r="AI190" s="1023"/>
      <c r="AJ190" s="1023"/>
      <c r="AK190" s="1023"/>
      <c r="AL190" s="1023"/>
      <c r="AM190" s="1023"/>
      <c r="AN190" s="1023"/>
      <c r="AO190" s="1023"/>
      <c r="AP190" s="1023"/>
      <c r="AQ190" s="1023"/>
      <c r="AR190" s="1023"/>
      <c r="AS190" s="1023"/>
      <c r="AT190" s="1023"/>
      <c r="AU190" s="1023"/>
      <c r="AV190" s="1023"/>
      <c r="AW190" s="1023"/>
    </row>
    <row r="191" spans="1:49">
      <c r="A191" s="1023"/>
      <c r="B191" s="1040"/>
      <c r="C191" s="1040"/>
      <c r="D191" s="1040"/>
      <c r="E191" s="1023"/>
      <c r="F191" s="1040"/>
      <c r="G191" s="1023"/>
      <c r="L191" s="1040"/>
      <c r="M191" s="1040"/>
      <c r="N191" s="1023"/>
      <c r="O191" s="1023"/>
      <c r="P191" s="1023"/>
      <c r="Q191" s="1023"/>
      <c r="R191" s="1023"/>
      <c r="S191" s="1023"/>
      <c r="T191" s="1023"/>
      <c r="U191" s="1023"/>
      <c r="V191" s="1023"/>
      <c r="W191" s="1023"/>
      <c r="X191" s="1023"/>
      <c r="Y191" s="1023"/>
      <c r="Z191" s="1023"/>
      <c r="AA191" s="1023"/>
      <c r="AB191" s="1023"/>
      <c r="AC191" s="1023"/>
      <c r="AD191" s="1023"/>
      <c r="AE191" s="1023"/>
      <c r="AF191" s="1023"/>
      <c r="AG191" s="1023"/>
      <c r="AH191" s="1023"/>
      <c r="AI191" s="1023"/>
      <c r="AJ191" s="1023"/>
      <c r="AK191" s="1023"/>
      <c r="AL191" s="1023"/>
      <c r="AM191" s="1023"/>
      <c r="AN191" s="1023"/>
      <c r="AO191" s="1023"/>
      <c r="AP191" s="1023"/>
      <c r="AQ191" s="1023"/>
      <c r="AR191" s="1023"/>
      <c r="AS191" s="1023"/>
      <c r="AT191" s="1023"/>
      <c r="AU191" s="1023"/>
      <c r="AV191" s="1023"/>
      <c r="AW191" s="1023"/>
    </row>
    <row r="192" spans="1:49">
      <c r="A192" s="1023"/>
      <c r="B192" s="1040"/>
      <c r="C192" s="1040"/>
      <c r="D192" s="1040"/>
      <c r="E192" s="1023"/>
      <c r="F192" s="1040"/>
      <c r="G192" s="1023"/>
      <c r="L192" s="1040"/>
      <c r="M192" s="1040"/>
      <c r="N192" s="1023"/>
      <c r="O192" s="1023"/>
      <c r="P192" s="1023"/>
      <c r="Q192" s="1023"/>
      <c r="R192" s="1023"/>
      <c r="S192" s="1023"/>
      <c r="T192" s="1023"/>
      <c r="U192" s="1023"/>
      <c r="V192" s="1023"/>
      <c r="W192" s="1023"/>
      <c r="X192" s="1023"/>
      <c r="Y192" s="1023"/>
      <c r="Z192" s="1023"/>
      <c r="AA192" s="1023"/>
      <c r="AB192" s="1023"/>
      <c r="AC192" s="1023"/>
      <c r="AD192" s="1023"/>
      <c r="AE192" s="1023"/>
      <c r="AF192" s="1023"/>
      <c r="AG192" s="1023"/>
      <c r="AH192" s="1023"/>
      <c r="AI192" s="1023"/>
      <c r="AJ192" s="1023"/>
      <c r="AK192" s="1023"/>
      <c r="AL192" s="1023"/>
      <c r="AM192" s="1023"/>
      <c r="AN192" s="1023"/>
      <c r="AO192" s="1023"/>
      <c r="AP192" s="1023"/>
      <c r="AQ192" s="1023"/>
      <c r="AR192" s="1023"/>
      <c r="AS192" s="1023"/>
      <c r="AT192" s="1023"/>
      <c r="AU192" s="1023"/>
      <c r="AV192" s="1023"/>
      <c r="AW192" s="1023"/>
    </row>
    <row r="193" spans="1:49">
      <c r="A193" s="1023"/>
      <c r="B193" s="1040"/>
      <c r="C193" s="1040"/>
      <c r="D193" s="1040"/>
      <c r="E193" s="1023"/>
      <c r="F193" s="1040"/>
      <c r="G193" s="1023"/>
      <c r="L193" s="1040"/>
      <c r="M193" s="1040"/>
      <c r="N193" s="1023"/>
      <c r="O193" s="1023"/>
      <c r="P193" s="1023"/>
      <c r="Q193" s="1023"/>
      <c r="R193" s="1023"/>
      <c r="S193" s="1023"/>
      <c r="T193" s="1023"/>
      <c r="U193" s="1023"/>
      <c r="V193" s="1023"/>
      <c r="W193" s="1023"/>
      <c r="X193" s="1023"/>
      <c r="Y193" s="1023"/>
      <c r="Z193" s="1023"/>
      <c r="AA193" s="1023"/>
      <c r="AB193" s="1023"/>
      <c r="AC193" s="1023"/>
      <c r="AD193" s="1023"/>
      <c r="AE193" s="1023"/>
      <c r="AF193" s="1023"/>
      <c r="AG193" s="1023"/>
      <c r="AH193" s="1023"/>
      <c r="AI193" s="1023"/>
      <c r="AJ193" s="1023"/>
      <c r="AK193" s="1023"/>
      <c r="AL193" s="1023"/>
      <c r="AM193" s="1023"/>
      <c r="AN193" s="1023"/>
      <c r="AO193" s="1023"/>
      <c r="AP193" s="1023"/>
      <c r="AQ193" s="1023"/>
      <c r="AR193" s="1023"/>
      <c r="AS193" s="1023"/>
      <c r="AT193" s="1023"/>
      <c r="AU193" s="1023"/>
      <c r="AV193" s="1023"/>
      <c r="AW193" s="1023"/>
    </row>
    <row r="194" spans="1:49">
      <c r="A194" s="1023"/>
      <c r="B194" s="1040"/>
      <c r="C194" s="1040"/>
      <c r="D194" s="1040"/>
      <c r="E194" s="1023"/>
      <c r="F194" s="1040"/>
      <c r="G194" s="1023"/>
      <c r="L194" s="1040"/>
      <c r="M194" s="1040"/>
      <c r="N194" s="1023"/>
      <c r="O194" s="1023"/>
      <c r="P194" s="1023"/>
      <c r="Q194" s="1023"/>
      <c r="R194" s="1023"/>
      <c r="S194" s="1023"/>
      <c r="T194" s="1023"/>
      <c r="U194" s="1023"/>
      <c r="V194" s="1023"/>
      <c r="W194" s="1023"/>
      <c r="X194" s="1023"/>
      <c r="Y194" s="1023"/>
      <c r="Z194" s="1023"/>
      <c r="AA194" s="1023"/>
      <c r="AB194" s="1023"/>
      <c r="AC194" s="1023"/>
      <c r="AD194" s="1023"/>
      <c r="AE194" s="1023"/>
      <c r="AF194" s="1023"/>
      <c r="AG194" s="1023"/>
      <c r="AH194" s="1023"/>
      <c r="AI194" s="1023"/>
      <c r="AJ194" s="1023"/>
      <c r="AK194" s="1023"/>
      <c r="AL194" s="1023"/>
      <c r="AM194" s="1023"/>
      <c r="AN194" s="1023"/>
      <c r="AO194" s="1023"/>
      <c r="AP194" s="1023"/>
      <c r="AQ194" s="1023"/>
      <c r="AR194" s="1023"/>
      <c r="AS194" s="1023"/>
      <c r="AT194" s="1023"/>
      <c r="AU194" s="1023"/>
      <c r="AV194" s="1023"/>
      <c r="AW194" s="1023"/>
    </row>
    <row r="195" spans="1:49">
      <c r="A195" s="1023"/>
      <c r="B195" s="1040"/>
      <c r="C195" s="1040"/>
      <c r="D195" s="1040"/>
      <c r="E195" s="1023"/>
      <c r="F195" s="1040"/>
      <c r="G195" s="1023"/>
      <c r="L195" s="1040"/>
      <c r="M195" s="1040"/>
      <c r="N195" s="1023"/>
      <c r="O195" s="1023"/>
      <c r="P195" s="1023"/>
      <c r="Q195" s="1023"/>
      <c r="R195" s="1023"/>
      <c r="S195" s="1023"/>
      <c r="T195" s="1023"/>
      <c r="U195" s="1023"/>
      <c r="V195" s="1023"/>
      <c r="W195" s="1023"/>
      <c r="X195" s="1023"/>
      <c r="Y195" s="1023"/>
      <c r="Z195" s="1023"/>
      <c r="AA195" s="1023"/>
      <c r="AB195" s="1023"/>
      <c r="AC195" s="1023"/>
      <c r="AD195" s="1023"/>
      <c r="AE195" s="1023"/>
      <c r="AF195" s="1023"/>
      <c r="AG195" s="1023"/>
      <c r="AH195" s="1023"/>
      <c r="AI195" s="1023"/>
      <c r="AJ195" s="1023"/>
      <c r="AK195" s="1023"/>
      <c r="AL195" s="1023"/>
      <c r="AM195" s="1023"/>
      <c r="AN195" s="1023"/>
      <c r="AO195" s="1023"/>
      <c r="AP195" s="1023"/>
      <c r="AQ195" s="1023"/>
      <c r="AR195" s="1023"/>
      <c r="AS195" s="1023"/>
      <c r="AT195" s="1023"/>
      <c r="AU195" s="1023"/>
      <c r="AV195" s="1023"/>
      <c r="AW195" s="1023"/>
    </row>
    <row r="196" spans="1:49">
      <c r="A196" s="1023"/>
      <c r="B196" s="1040"/>
      <c r="C196" s="1040"/>
      <c r="D196" s="1040"/>
      <c r="E196" s="1023"/>
      <c r="F196" s="1040"/>
      <c r="G196" s="1023"/>
      <c r="L196" s="1040"/>
      <c r="M196" s="1040"/>
      <c r="N196" s="1023"/>
      <c r="O196" s="1023"/>
      <c r="P196" s="1023"/>
      <c r="Q196" s="1023"/>
      <c r="R196" s="1023"/>
      <c r="S196" s="1023"/>
      <c r="T196" s="1023"/>
      <c r="U196" s="1023"/>
      <c r="V196" s="1023"/>
      <c r="W196" s="1023"/>
      <c r="X196" s="1023"/>
      <c r="Y196" s="1023"/>
      <c r="Z196" s="1023"/>
      <c r="AA196" s="1023"/>
      <c r="AB196" s="1023"/>
      <c r="AC196" s="1023"/>
      <c r="AD196" s="1023"/>
      <c r="AE196" s="1023"/>
      <c r="AF196" s="1023"/>
      <c r="AG196" s="1023"/>
      <c r="AH196" s="1023"/>
      <c r="AI196" s="1023"/>
      <c r="AJ196" s="1023"/>
      <c r="AK196" s="1023"/>
      <c r="AL196" s="1023"/>
      <c r="AM196" s="1023"/>
      <c r="AN196" s="1023"/>
      <c r="AO196" s="1023"/>
      <c r="AP196" s="1023"/>
      <c r="AQ196" s="1023"/>
      <c r="AR196" s="1023"/>
      <c r="AS196" s="1023"/>
      <c r="AT196" s="1023"/>
      <c r="AU196" s="1023"/>
      <c r="AV196" s="1023"/>
      <c r="AW196" s="1023"/>
    </row>
    <row r="197" spans="1:49">
      <c r="A197" s="1023"/>
      <c r="B197" s="1040"/>
      <c r="C197" s="1040"/>
      <c r="D197" s="1040"/>
      <c r="E197" s="1023"/>
      <c r="F197" s="1040"/>
      <c r="G197" s="1023"/>
      <c r="L197" s="1040"/>
      <c r="M197" s="1040"/>
      <c r="N197" s="1023"/>
      <c r="O197" s="1023"/>
      <c r="P197" s="1023"/>
      <c r="Q197" s="1023"/>
      <c r="R197" s="1023"/>
      <c r="S197" s="1023"/>
      <c r="T197" s="1023"/>
      <c r="U197" s="1023"/>
      <c r="V197" s="1023"/>
      <c r="W197" s="1023"/>
      <c r="X197" s="1023"/>
      <c r="Y197" s="1023"/>
      <c r="Z197" s="1023"/>
      <c r="AA197" s="1023"/>
      <c r="AB197" s="1023"/>
      <c r="AC197" s="1023"/>
      <c r="AD197" s="1023"/>
      <c r="AE197" s="1023"/>
      <c r="AF197" s="1023"/>
      <c r="AG197" s="1023"/>
      <c r="AH197" s="1023"/>
      <c r="AI197" s="1023"/>
      <c r="AJ197" s="1023"/>
      <c r="AK197" s="1023"/>
      <c r="AL197" s="1023"/>
      <c r="AM197" s="1023"/>
      <c r="AN197" s="1023"/>
      <c r="AO197" s="1023"/>
      <c r="AP197" s="1023"/>
      <c r="AQ197" s="1023"/>
      <c r="AR197" s="1023"/>
      <c r="AS197" s="1023"/>
      <c r="AT197" s="1023"/>
      <c r="AU197" s="1023"/>
      <c r="AV197" s="1023"/>
      <c r="AW197" s="1023"/>
    </row>
    <row r="198" spans="1:49">
      <c r="A198" s="1023"/>
      <c r="B198" s="1040"/>
      <c r="C198" s="1040"/>
      <c r="D198" s="1040"/>
      <c r="E198" s="1023"/>
      <c r="F198" s="1040"/>
      <c r="G198" s="1023"/>
      <c r="L198" s="1040"/>
      <c r="M198" s="1040"/>
      <c r="N198" s="1023"/>
      <c r="O198" s="1023"/>
      <c r="P198" s="1023"/>
      <c r="Q198" s="1023"/>
      <c r="R198" s="1023"/>
      <c r="S198" s="1023"/>
      <c r="T198" s="1023"/>
      <c r="U198" s="1023"/>
      <c r="V198" s="1023"/>
      <c r="W198" s="1023"/>
      <c r="X198" s="1023"/>
      <c r="Y198" s="1023"/>
      <c r="Z198" s="1023"/>
      <c r="AA198" s="1023"/>
      <c r="AB198" s="1023"/>
      <c r="AC198" s="1023"/>
      <c r="AD198" s="1023"/>
      <c r="AE198" s="1023"/>
      <c r="AF198" s="1023"/>
      <c r="AG198" s="1023"/>
      <c r="AH198" s="1023"/>
      <c r="AI198" s="1023"/>
      <c r="AJ198" s="1023"/>
      <c r="AK198" s="1023"/>
      <c r="AL198" s="1023"/>
      <c r="AM198" s="1023"/>
      <c r="AN198" s="1023"/>
      <c r="AO198" s="1023"/>
      <c r="AP198" s="1023"/>
      <c r="AQ198" s="1023"/>
      <c r="AR198" s="1023"/>
      <c r="AS198" s="1023"/>
      <c r="AT198" s="1023"/>
      <c r="AU198" s="1023"/>
      <c r="AV198" s="1023"/>
      <c r="AW198" s="1023"/>
    </row>
    <row r="199" spans="1:49">
      <c r="A199" s="1023"/>
      <c r="B199" s="1040"/>
      <c r="C199" s="1040"/>
      <c r="D199" s="1040"/>
      <c r="E199" s="1023"/>
      <c r="F199" s="1040"/>
      <c r="G199" s="1023"/>
      <c r="L199" s="1040"/>
      <c r="M199" s="1040"/>
      <c r="N199" s="1023"/>
      <c r="O199" s="1023"/>
      <c r="P199" s="1023"/>
      <c r="Q199" s="1023"/>
      <c r="R199" s="1023"/>
      <c r="S199" s="1023"/>
      <c r="T199" s="1023"/>
      <c r="U199" s="1023"/>
      <c r="V199" s="1023"/>
      <c r="W199" s="1023"/>
      <c r="X199" s="1023"/>
      <c r="Y199" s="1023"/>
      <c r="Z199" s="1023"/>
      <c r="AA199" s="1023"/>
      <c r="AB199" s="1023"/>
      <c r="AC199" s="1023"/>
      <c r="AD199" s="1023"/>
      <c r="AE199" s="1023"/>
      <c r="AF199" s="1023"/>
      <c r="AG199" s="1023"/>
      <c r="AH199" s="1023"/>
      <c r="AI199" s="1023"/>
      <c r="AJ199" s="1023"/>
      <c r="AK199" s="1023"/>
      <c r="AL199" s="1023"/>
      <c r="AM199" s="1023"/>
      <c r="AN199" s="1023"/>
      <c r="AO199" s="1023"/>
      <c r="AP199" s="1023"/>
      <c r="AQ199" s="1023"/>
      <c r="AR199" s="1023"/>
      <c r="AS199" s="1023"/>
      <c r="AT199" s="1023"/>
      <c r="AU199" s="1023"/>
      <c r="AV199" s="1023"/>
      <c r="AW199" s="1023"/>
    </row>
    <row r="200" spans="1:49">
      <c r="A200" s="1023"/>
      <c r="B200" s="1040"/>
      <c r="C200" s="1040"/>
      <c r="D200" s="1040"/>
      <c r="E200" s="1023"/>
      <c r="F200" s="1040"/>
      <c r="G200" s="1023"/>
      <c r="L200" s="1040"/>
      <c r="M200" s="1040"/>
      <c r="N200" s="1023"/>
      <c r="O200" s="1023"/>
      <c r="P200" s="1023"/>
      <c r="Q200" s="1023"/>
      <c r="R200" s="1023"/>
      <c r="S200" s="1023"/>
      <c r="T200" s="1023"/>
      <c r="U200" s="1023"/>
      <c r="V200" s="1023"/>
      <c r="W200" s="1023"/>
      <c r="X200" s="1023"/>
      <c r="Y200" s="1023"/>
      <c r="Z200" s="1023"/>
      <c r="AA200" s="1023"/>
      <c r="AB200" s="1023"/>
      <c r="AC200" s="1023"/>
      <c r="AD200" s="1023"/>
      <c r="AE200" s="1023"/>
      <c r="AF200" s="1023"/>
      <c r="AG200" s="1023"/>
      <c r="AH200" s="1023"/>
      <c r="AI200" s="1023"/>
      <c r="AJ200" s="1023"/>
      <c r="AK200" s="1023"/>
      <c r="AL200" s="1023"/>
      <c r="AM200" s="1023"/>
      <c r="AN200" s="1023"/>
      <c r="AO200" s="1023"/>
      <c r="AP200" s="1023"/>
      <c r="AQ200" s="1023"/>
      <c r="AR200" s="1023"/>
      <c r="AS200" s="1023"/>
      <c r="AT200" s="1023"/>
      <c r="AU200" s="1023"/>
      <c r="AV200" s="1023"/>
      <c r="AW200" s="1023"/>
    </row>
    <row r="201" spans="1:49">
      <c r="A201" s="1023"/>
      <c r="B201" s="1040"/>
      <c r="C201" s="1040"/>
      <c r="D201" s="1040"/>
      <c r="E201" s="1023"/>
      <c r="F201" s="1040"/>
      <c r="G201" s="1023"/>
      <c r="L201" s="1040"/>
      <c r="M201" s="1040"/>
      <c r="N201" s="1023"/>
      <c r="O201" s="1023"/>
      <c r="P201" s="1023"/>
      <c r="Q201" s="1023"/>
      <c r="R201" s="1023"/>
      <c r="S201" s="1023"/>
      <c r="T201" s="1023"/>
      <c r="U201" s="1023"/>
      <c r="V201" s="1023"/>
      <c r="W201" s="1023"/>
      <c r="X201" s="1023"/>
      <c r="Y201" s="1023"/>
      <c r="Z201" s="1023"/>
      <c r="AA201" s="1023"/>
      <c r="AB201" s="1023"/>
      <c r="AC201" s="1023"/>
      <c r="AD201" s="1023"/>
      <c r="AE201" s="1023"/>
      <c r="AF201" s="1023"/>
      <c r="AG201" s="1023"/>
      <c r="AH201" s="1023"/>
      <c r="AI201" s="1023"/>
      <c r="AJ201" s="1023"/>
      <c r="AK201" s="1023"/>
      <c r="AL201" s="1023"/>
      <c r="AM201" s="1023"/>
      <c r="AN201" s="1023"/>
      <c r="AO201" s="1023"/>
      <c r="AP201" s="1023"/>
      <c r="AQ201" s="1023"/>
      <c r="AR201" s="1023"/>
      <c r="AS201" s="1023"/>
      <c r="AT201" s="1023"/>
      <c r="AU201" s="1023"/>
      <c r="AV201" s="1023"/>
      <c r="AW201" s="1023"/>
    </row>
    <row r="202" spans="1:49">
      <c r="A202" s="1023"/>
      <c r="B202" s="1040"/>
      <c r="C202" s="1040"/>
      <c r="D202" s="1040"/>
      <c r="E202" s="1023"/>
      <c r="F202" s="1040"/>
      <c r="G202" s="1023"/>
      <c r="L202" s="1040"/>
      <c r="M202" s="1040"/>
      <c r="N202" s="1023"/>
      <c r="O202" s="1023"/>
      <c r="P202" s="1023"/>
      <c r="Q202" s="1023"/>
      <c r="R202" s="1023"/>
      <c r="S202" s="1023"/>
      <c r="T202" s="1023"/>
      <c r="U202" s="1023"/>
      <c r="V202" s="1023"/>
      <c r="W202" s="1023"/>
      <c r="X202" s="1023"/>
      <c r="Y202" s="1023"/>
      <c r="Z202" s="1023"/>
      <c r="AA202" s="1023"/>
      <c r="AB202" s="1023"/>
      <c r="AC202" s="1023"/>
      <c r="AD202" s="1023"/>
      <c r="AE202" s="1023"/>
      <c r="AF202" s="1023"/>
      <c r="AG202" s="1023"/>
      <c r="AH202" s="1023"/>
      <c r="AI202" s="1023"/>
      <c r="AJ202" s="1023"/>
      <c r="AK202" s="1023"/>
      <c r="AL202" s="1023"/>
      <c r="AM202" s="1023"/>
      <c r="AN202" s="1023"/>
      <c r="AO202" s="1023"/>
      <c r="AP202" s="1023"/>
      <c r="AQ202" s="1023"/>
      <c r="AR202" s="1023"/>
      <c r="AS202" s="1023"/>
      <c r="AT202" s="1023"/>
      <c r="AU202" s="1023"/>
      <c r="AV202" s="1023"/>
      <c r="AW202" s="1023"/>
    </row>
    <row r="203" spans="1:49">
      <c r="A203" s="1023"/>
      <c r="B203" s="1040"/>
      <c r="C203" s="1040"/>
      <c r="D203" s="1040"/>
      <c r="E203" s="1023"/>
      <c r="F203" s="1040"/>
      <c r="G203" s="1023"/>
      <c r="L203" s="1040"/>
      <c r="M203" s="1040"/>
      <c r="N203" s="1023"/>
      <c r="O203" s="1023"/>
      <c r="P203" s="1023"/>
      <c r="Q203" s="1023"/>
      <c r="R203" s="1023"/>
      <c r="S203" s="1023"/>
      <c r="T203" s="1023"/>
      <c r="U203" s="1023"/>
      <c r="V203" s="1023"/>
      <c r="W203" s="1023"/>
      <c r="X203" s="1023"/>
      <c r="Y203" s="1023"/>
      <c r="Z203" s="1023"/>
      <c r="AA203" s="1023"/>
      <c r="AB203" s="1023"/>
      <c r="AC203" s="1023"/>
      <c r="AD203" s="1023"/>
      <c r="AE203" s="1023"/>
      <c r="AF203" s="1023"/>
      <c r="AG203" s="1023"/>
      <c r="AH203" s="1023"/>
      <c r="AI203" s="1023"/>
      <c r="AJ203" s="1023"/>
      <c r="AK203" s="1023"/>
      <c r="AL203" s="1023"/>
      <c r="AM203" s="1023"/>
      <c r="AN203" s="1023"/>
      <c r="AO203" s="1023"/>
      <c r="AP203" s="1023"/>
      <c r="AQ203" s="1023"/>
      <c r="AR203" s="1023"/>
      <c r="AS203" s="1023"/>
      <c r="AT203" s="1023"/>
      <c r="AU203" s="1023"/>
      <c r="AV203" s="1023"/>
      <c r="AW203" s="1023"/>
    </row>
    <row r="204" spans="1:49">
      <c r="A204" s="1023"/>
      <c r="B204" s="1040"/>
      <c r="C204" s="1040"/>
      <c r="D204" s="1040"/>
      <c r="E204" s="1023"/>
      <c r="F204" s="1040"/>
      <c r="G204" s="1023"/>
      <c r="L204" s="1040"/>
      <c r="M204" s="1040"/>
      <c r="N204" s="1023"/>
      <c r="O204" s="1023"/>
      <c r="P204" s="1023"/>
      <c r="Q204" s="1023"/>
      <c r="R204" s="1023"/>
      <c r="S204" s="1023"/>
      <c r="T204" s="1023"/>
      <c r="U204" s="1023"/>
      <c r="V204" s="1023"/>
      <c r="W204" s="1023"/>
      <c r="X204" s="1023"/>
      <c r="Y204" s="1023"/>
      <c r="Z204" s="1023"/>
      <c r="AA204" s="1023"/>
      <c r="AB204" s="1023"/>
      <c r="AC204" s="1023"/>
      <c r="AD204" s="1023"/>
      <c r="AE204" s="1023"/>
      <c r="AF204" s="1023"/>
      <c r="AG204" s="1023"/>
      <c r="AH204" s="1023"/>
      <c r="AI204" s="1023"/>
      <c r="AJ204" s="1023"/>
      <c r="AK204" s="1023"/>
      <c r="AL204" s="1023"/>
      <c r="AM204" s="1023"/>
      <c r="AN204" s="1023"/>
      <c r="AO204" s="1023"/>
      <c r="AP204" s="1023"/>
      <c r="AQ204" s="1023"/>
      <c r="AR204" s="1023"/>
      <c r="AS204" s="1023"/>
      <c r="AT204" s="1023"/>
      <c r="AU204" s="1023"/>
      <c r="AV204" s="1023"/>
      <c r="AW204" s="1023"/>
    </row>
    <row r="205" spans="1:49">
      <c r="A205" s="1023"/>
      <c r="B205" s="1040"/>
      <c r="C205" s="1040"/>
      <c r="D205" s="1040"/>
      <c r="E205" s="1023"/>
      <c r="F205" s="1040"/>
      <c r="G205" s="1023"/>
      <c r="L205" s="1040"/>
      <c r="M205" s="1040"/>
      <c r="N205" s="1023"/>
      <c r="O205" s="1023"/>
      <c r="P205" s="1023"/>
      <c r="Q205" s="1023"/>
      <c r="R205" s="1023"/>
      <c r="S205" s="1023"/>
      <c r="T205" s="1023"/>
      <c r="U205" s="1023"/>
      <c r="V205" s="1023"/>
      <c r="W205" s="1023"/>
      <c r="X205" s="1023"/>
      <c r="Y205" s="1023"/>
      <c r="Z205" s="1023"/>
      <c r="AA205" s="1023"/>
      <c r="AB205" s="1023"/>
      <c r="AC205" s="1023"/>
      <c r="AD205" s="1023"/>
      <c r="AE205" s="1023"/>
      <c r="AF205" s="1023"/>
      <c r="AG205" s="1023"/>
      <c r="AH205" s="1023"/>
      <c r="AI205" s="1023"/>
      <c r="AJ205" s="1023"/>
      <c r="AK205" s="1023"/>
      <c r="AL205" s="1023"/>
      <c r="AM205" s="1023"/>
      <c r="AN205" s="1023"/>
      <c r="AO205" s="1023"/>
      <c r="AP205" s="1023"/>
      <c r="AQ205" s="1023"/>
      <c r="AR205" s="1023"/>
      <c r="AS205" s="1023"/>
      <c r="AT205" s="1023"/>
      <c r="AU205" s="1023"/>
      <c r="AV205" s="1023"/>
      <c r="AW205" s="1023"/>
    </row>
    <row r="206" spans="1:49">
      <c r="A206" s="1023"/>
      <c r="B206" s="1040"/>
      <c r="C206" s="1040"/>
      <c r="D206" s="1040"/>
      <c r="E206" s="1023"/>
      <c r="F206" s="1040"/>
      <c r="G206" s="1023"/>
      <c r="L206" s="1040"/>
      <c r="M206" s="1040"/>
      <c r="N206" s="1023"/>
      <c r="O206" s="1023"/>
      <c r="P206" s="1023"/>
      <c r="Q206" s="1023"/>
      <c r="R206" s="1023"/>
      <c r="S206" s="1023"/>
      <c r="T206" s="1023"/>
      <c r="U206" s="1023"/>
      <c r="V206" s="1023"/>
      <c r="W206" s="1023"/>
      <c r="X206" s="1023"/>
      <c r="Y206" s="1023"/>
      <c r="Z206" s="1023"/>
      <c r="AA206" s="1023"/>
      <c r="AB206" s="1023"/>
      <c r="AC206" s="1023"/>
      <c r="AD206" s="1023"/>
      <c r="AE206" s="1023"/>
      <c r="AF206" s="1023"/>
      <c r="AG206" s="1023"/>
      <c r="AH206" s="1023"/>
      <c r="AI206" s="1023"/>
      <c r="AJ206" s="1023"/>
      <c r="AK206" s="1023"/>
      <c r="AL206" s="1023"/>
      <c r="AM206" s="1023"/>
      <c r="AN206" s="1023"/>
      <c r="AO206" s="1023"/>
      <c r="AP206" s="1023"/>
      <c r="AQ206" s="1023"/>
      <c r="AR206" s="1023"/>
      <c r="AS206" s="1023"/>
      <c r="AT206" s="1023"/>
      <c r="AU206" s="1023"/>
      <c r="AV206" s="1023"/>
      <c r="AW206" s="1023"/>
    </row>
    <row r="207" spans="1:49">
      <c r="A207" s="1023"/>
      <c r="B207" s="1040"/>
      <c r="C207" s="1040"/>
      <c r="D207" s="1040"/>
      <c r="E207" s="1023"/>
      <c r="F207" s="1040"/>
      <c r="G207" s="1023"/>
      <c r="L207" s="1040"/>
      <c r="M207" s="1040"/>
      <c r="N207" s="1023"/>
      <c r="O207" s="1023"/>
      <c r="P207" s="1023"/>
      <c r="Q207" s="1023"/>
      <c r="R207" s="1023"/>
      <c r="S207" s="1023"/>
      <c r="T207" s="1023"/>
      <c r="U207" s="1023"/>
      <c r="V207" s="1023"/>
      <c r="W207" s="1023"/>
      <c r="X207" s="1023"/>
      <c r="Y207" s="1023"/>
      <c r="Z207" s="1023"/>
      <c r="AA207" s="1023"/>
      <c r="AB207" s="1023"/>
      <c r="AC207" s="1023"/>
      <c r="AD207" s="1023"/>
      <c r="AE207" s="1023"/>
      <c r="AF207" s="1023"/>
      <c r="AG207" s="1023"/>
      <c r="AH207" s="1023"/>
      <c r="AI207" s="1023"/>
      <c r="AJ207" s="1023"/>
      <c r="AK207" s="1023"/>
      <c r="AL207" s="1023"/>
      <c r="AM207" s="1023"/>
      <c r="AN207" s="1023"/>
      <c r="AO207" s="1023"/>
      <c r="AP207" s="1023"/>
      <c r="AQ207" s="1023"/>
      <c r="AR207" s="1023"/>
      <c r="AS207" s="1023"/>
      <c r="AT207" s="1023"/>
      <c r="AU207" s="1023"/>
      <c r="AV207" s="1023"/>
      <c r="AW207" s="1023"/>
    </row>
    <row r="208" spans="1:49">
      <c r="A208" s="1023"/>
      <c r="B208" s="1040"/>
      <c r="C208" s="1040"/>
      <c r="D208" s="1040"/>
      <c r="E208" s="1023"/>
      <c r="F208" s="1040"/>
      <c r="G208" s="1023"/>
      <c r="L208" s="1040"/>
      <c r="M208" s="1040"/>
      <c r="N208" s="1023"/>
      <c r="O208" s="1023"/>
      <c r="P208" s="1023"/>
      <c r="Q208" s="1023"/>
      <c r="R208" s="1023"/>
      <c r="S208" s="1023"/>
      <c r="T208" s="1023"/>
      <c r="U208" s="1023"/>
      <c r="V208" s="1023"/>
      <c r="W208" s="1023"/>
      <c r="X208" s="1023"/>
      <c r="Y208" s="1023"/>
      <c r="Z208" s="1023"/>
      <c r="AA208" s="1023"/>
      <c r="AB208" s="1023"/>
      <c r="AC208" s="1023"/>
      <c r="AD208" s="1023"/>
      <c r="AE208" s="1023"/>
      <c r="AF208" s="1023"/>
      <c r="AG208" s="1023"/>
      <c r="AH208" s="1023"/>
      <c r="AI208" s="1023"/>
      <c r="AJ208" s="1023"/>
      <c r="AK208" s="1023"/>
      <c r="AL208" s="1023"/>
      <c r="AM208" s="1023"/>
      <c r="AN208" s="1023"/>
      <c r="AO208" s="1023"/>
      <c r="AP208" s="1023"/>
      <c r="AQ208" s="1023"/>
      <c r="AR208" s="1023"/>
      <c r="AS208" s="1023"/>
      <c r="AT208" s="1023"/>
      <c r="AU208" s="1023"/>
      <c r="AV208" s="1023"/>
      <c r="AW208" s="1023"/>
    </row>
    <row r="209" spans="1:49">
      <c r="A209" s="1023"/>
      <c r="B209" s="1040"/>
      <c r="C209" s="1040"/>
      <c r="D209" s="1040"/>
      <c r="E209" s="1023"/>
      <c r="F209" s="1040"/>
      <c r="G209" s="1023"/>
      <c r="L209" s="1040"/>
      <c r="M209" s="1040"/>
      <c r="N209" s="1023"/>
      <c r="O209" s="1023"/>
      <c r="P209" s="1023"/>
      <c r="Q209" s="1023"/>
      <c r="R209" s="1023"/>
      <c r="S209" s="1023"/>
      <c r="T209" s="1023"/>
      <c r="U209" s="1023"/>
      <c r="V209" s="1023"/>
      <c r="W209" s="1023"/>
      <c r="X209" s="1023"/>
      <c r="Y209" s="1023"/>
      <c r="Z209" s="1023"/>
      <c r="AA209" s="1023"/>
      <c r="AB209" s="1023"/>
      <c r="AC209" s="1023"/>
      <c r="AD209" s="1023"/>
      <c r="AE209" s="1023"/>
      <c r="AF209" s="1023"/>
      <c r="AG209" s="1023"/>
      <c r="AH209" s="1023"/>
      <c r="AI209" s="1023"/>
      <c r="AJ209" s="1023"/>
      <c r="AK209" s="1023"/>
      <c r="AL209" s="1023"/>
      <c r="AM209" s="1023"/>
      <c r="AN209" s="1023"/>
      <c r="AO209" s="1023"/>
      <c r="AP209" s="1023"/>
      <c r="AQ209" s="1023"/>
      <c r="AR209" s="1023"/>
      <c r="AS209" s="1023"/>
      <c r="AT209" s="1023"/>
      <c r="AU209" s="1023"/>
      <c r="AV209" s="1023"/>
      <c r="AW209" s="1023"/>
    </row>
    <row r="210" spans="1:49">
      <c r="A210" s="1023"/>
      <c r="B210" s="1040"/>
      <c r="C210" s="1040"/>
      <c r="D210" s="1040"/>
      <c r="E210" s="1023"/>
      <c r="F210" s="1040"/>
      <c r="G210" s="1023"/>
      <c r="L210" s="1040"/>
      <c r="M210" s="1040"/>
      <c r="N210" s="1023"/>
      <c r="O210" s="1023"/>
      <c r="P210" s="1023"/>
      <c r="Q210" s="1023"/>
      <c r="R210" s="1023"/>
      <c r="S210" s="1023"/>
      <c r="T210" s="1023"/>
      <c r="U210" s="1023"/>
      <c r="V210" s="1023"/>
      <c r="W210" s="1023"/>
      <c r="X210" s="1023"/>
      <c r="Y210" s="1023"/>
      <c r="Z210" s="1023"/>
      <c r="AA210" s="1023"/>
      <c r="AB210" s="1023"/>
      <c r="AC210" s="1023"/>
      <c r="AD210" s="1023"/>
      <c r="AE210" s="1023"/>
      <c r="AF210" s="1023"/>
      <c r="AG210" s="1023"/>
      <c r="AH210" s="1023"/>
      <c r="AI210" s="1023"/>
      <c r="AJ210" s="1023"/>
      <c r="AK210" s="1023"/>
      <c r="AL210" s="1023"/>
      <c r="AM210" s="1023"/>
      <c r="AN210" s="1023"/>
      <c r="AO210" s="1023"/>
      <c r="AP210" s="1023"/>
      <c r="AQ210" s="1023"/>
      <c r="AR210" s="1023"/>
      <c r="AS210" s="1023"/>
      <c r="AT210" s="1023"/>
      <c r="AU210" s="1023"/>
      <c r="AV210" s="1023"/>
      <c r="AW210" s="1023"/>
    </row>
    <row r="211" spans="1:49">
      <c r="A211" s="1023"/>
      <c r="B211" s="1040"/>
      <c r="C211" s="1040"/>
      <c r="D211" s="1040"/>
      <c r="E211" s="1023"/>
      <c r="F211" s="1040"/>
      <c r="G211" s="1023"/>
      <c r="L211" s="1040"/>
      <c r="M211" s="1040"/>
      <c r="N211" s="1023"/>
      <c r="O211" s="1023"/>
      <c r="P211" s="1023"/>
      <c r="Q211" s="1023"/>
      <c r="R211" s="1023"/>
      <c r="S211" s="1023"/>
      <c r="T211" s="1023"/>
      <c r="U211" s="1023"/>
      <c r="V211" s="1023"/>
      <c r="W211" s="1023"/>
      <c r="X211" s="1023"/>
      <c r="Y211" s="1023"/>
      <c r="Z211" s="1023"/>
      <c r="AA211" s="1023"/>
      <c r="AB211" s="1023"/>
      <c r="AC211" s="1023"/>
      <c r="AD211" s="1023"/>
      <c r="AE211" s="1023"/>
      <c r="AF211" s="1023"/>
      <c r="AG211" s="1023"/>
      <c r="AH211" s="1023"/>
      <c r="AI211" s="1023"/>
      <c r="AJ211" s="1023"/>
      <c r="AK211" s="1023"/>
      <c r="AL211" s="1023"/>
      <c r="AM211" s="1023"/>
      <c r="AN211" s="1023"/>
      <c r="AO211" s="1023"/>
      <c r="AP211" s="1023"/>
      <c r="AQ211" s="1023"/>
      <c r="AR211" s="1023"/>
      <c r="AS211" s="1023"/>
      <c r="AT211" s="1023"/>
      <c r="AU211" s="1023"/>
      <c r="AV211" s="1023"/>
      <c r="AW211" s="1023"/>
    </row>
    <row r="212" spans="1:49">
      <c r="A212" s="1023"/>
      <c r="B212" s="1040"/>
      <c r="C212" s="1040"/>
      <c r="D212" s="1040"/>
      <c r="E212" s="1023"/>
      <c r="F212" s="1040"/>
      <c r="G212" s="1023"/>
      <c r="L212" s="1040"/>
      <c r="M212" s="1040"/>
      <c r="N212" s="1023"/>
      <c r="O212" s="1023"/>
      <c r="P212" s="1023"/>
      <c r="Q212" s="1023"/>
      <c r="R212" s="1023"/>
      <c r="S212" s="1023"/>
      <c r="T212" s="1023"/>
      <c r="U212" s="1023"/>
      <c r="V212" s="1023"/>
      <c r="W212" s="1023"/>
      <c r="X212" s="1023"/>
      <c r="Y212" s="1023"/>
      <c r="Z212" s="1023"/>
      <c r="AA212" s="1023"/>
      <c r="AB212" s="1023"/>
      <c r="AC212" s="1023"/>
      <c r="AD212" s="1023"/>
      <c r="AE212" s="1023"/>
      <c r="AF212" s="1023"/>
      <c r="AG212" s="1023"/>
      <c r="AH212" s="1023"/>
      <c r="AI212" s="1023"/>
      <c r="AJ212" s="1023"/>
      <c r="AK212" s="1023"/>
      <c r="AL212" s="1023"/>
      <c r="AM212" s="1023"/>
      <c r="AN212" s="1023"/>
      <c r="AO212" s="1023"/>
      <c r="AP212" s="1023"/>
      <c r="AQ212" s="1023"/>
      <c r="AR212" s="1023"/>
      <c r="AS212" s="1023"/>
      <c r="AT212" s="1023"/>
      <c r="AU212" s="1023"/>
      <c r="AV212" s="1023"/>
      <c r="AW212" s="1023"/>
    </row>
    <row r="213" spans="1:49">
      <c r="A213" s="1023"/>
      <c r="B213" s="1040"/>
      <c r="C213" s="1040"/>
      <c r="D213" s="1040"/>
      <c r="E213" s="1023"/>
      <c r="F213" s="1040"/>
      <c r="G213" s="1023"/>
      <c r="L213" s="1040"/>
      <c r="M213" s="1040"/>
      <c r="N213" s="1023"/>
      <c r="O213" s="1023"/>
      <c r="P213" s="1023"/>
      <c r="Q213" s="1023"/>
      <c r="R213" s="1023"/>
      <c r="S213" s="1023"/>
      <c r="T213" s="1023"/>
      <c r="U213" s="1023"/>
      <c r="V213" s="1023"/>
      <c r="W213" s="1023"/>
      <c r="X213" s="1023"/>
      <c r="Y213" s="1023"/>
      <c r="Z213" s="1023"/>
      <c r="AA213" s="1023"/>
      <c r="AB213" s="1023"/>
      <c r="AC213" s="1023"/>
      <c r="AD213" s="1023"/>
      <c r="AE213" s="1023"/>
      <c r="AF213" s="1023"/>
      <c r="AG213" s="1023"/>
      <c r="AH213" s="1023"/>
      <c r="AI213" s="1023"/>
      <c r="AJ213" s="1023"/>
      <c r="AK213" s="1023"/>
      <c r="AL213" s="1023"/>
      <c r="AM213" s="1023"/>
      <c r="AN213" s="1023"/>
      <c r="AO213" s="1023"/>
      <c r="AP213" s="1023"/>
      <c r="AQ213" s="1023"/>
      <c r="AR213" s="1023"/>
      <c r="AS213" s="1023"/>
      <c r="AT213" s="1023"/>
      <c r="AU213" s="1023"/>
      <c r="AV213" s="1023"/>
      <c r="AW213" s="1023"/>
    </row>
    <row r="214" spans="1:49">
      <c r="A214" s="1023"/>
      <c r="B214" s="1040"/>
      <c r="C214" s="1040"/>
      <c r="D214" s="1040"/>
      <c r="E214" s="1023"/>
      <c r="F214" s="1040"/>
      <c r="G214" s="1023"/>
      <c r="L214" s="1040"/>
      <c r="M214" s="1040"/>
      <c r="N214" s="1023"/>
      <c r="O214" s="1023"/>
      <c r="P214" s="1023"/>
      <c r="Q214" s="1023"/>
      <c r="R214" s="1023"/>
      <c r="S214" s="1023"/>
      <c r="T214" s="1023"/>
      <c r="U214" s="1023"/>
      <c r="V214" s="1023"/>
      <c r="W214" s="1023"/>
      <c r="X214" s="1023"/>
      <c r="Y214" s="1023"/>
      <c r="Z214" s="1023"/>
      <c r="AA214" s="1023"/>
      <c r="AB214" s="1023"/>
      <c r="AC214" s="1023"/>
      <c r="AD214" s="1023"/>
      <c r="AE214" s="1023"/>
      <c r="AF214" s="1023"/>
      <c r="AG214" s="1023"/>
      <c r="AH214" s="1023"/>
      <c r="AI214" s="1023"/>
      <c r="AJ214" s="1023"/>
      <c r="AK214" s="1023"/>
      <c r="AL214" s="1023"/>
      <c r="AM214" s="1023"/>
      <c r="AN214" s="1023"/>
      <c r="AO214" s="1023"/>
      <c r="AP214" s="1023"/>
      <c r="AQ214" s="1023"/>
      <c r="AR214" s="1023"/>
      <c r="AS214" s="1023"/>
      <c r="AT214" s="1023"/>
      <c r="AU214" s="1023"/>
      <c r="AV214" s="1023"/>
      <c r="AW214" s="1023"/>
    </row>
    <row r="215" spans="1:49">
      <c r="A215" s="1023"/>
      <c r="B215" s="1040"/>
      <c r="C215" s="1040"/>
      <c r="D215" s="1040"/>
      <c r="E215" s="1023"/>
      <c r="F215" s="1040"/>
      <c r="G215" s="1023"/>
      <c r="L215" s="1040"/>
      <c r="M215" s="1040"/>
      <c r="N215" s="1023"/>
      <c r="O215" s="1023"/>
      <c r="P215" s="1023"/>
      <c r="Q215" s="1023"/>
      <c r="R215" s="1023"/>
      <c r="S215" s="1023"/>
      <c r="T215" s="1023"/>
      <c r="U215" s="1023"/>
      <c r="V215" s="1023"/>
      <c r="W215" s="1023"/>
      <c r="X215" s="1023"/>
      <c r="Y215" s="1023"/>
      <c r="Z215" s="1023"/>
      <c r="AA215" s="1023"/>
      <c r="AB215" s="1023"/>
      <c r="AC215" s="1023"/>
      <c r="AD215" s="1023"/>
      <c r="AE215" s="1023"/>
      <c r="AF215" s="1023"/>
      <c r="AG215" s="1023"/>
      <c r="AH215" s="1023"/>
      <c r="AI215" s="1023"/>
      <c r="AJ215" s="1023"/>
      <c r="AK215" s="1023"/>
      <c r="AL215" s="1023"/>
      <c r="AM215" s="1023"/>
      <c r="AN215" s="1023"/>
      <c r="AO215" s="1023"/>
      <c r="AP215" s="1023"/>
      <c r="AQ215" s="1023"/>
      <c r="AR215" s="1023"/>
      <c r="AS215" s="1023"/>
      <c r="AT215" s="1023"/>
      <c r="AU215" s="1023"/>
      <c r="AV215" s="1023"/>
      <c r="AW215" s="1023"/>
    </row>
    <row r="216" spans="1:49">
      <c r="A216" s="1023"/>
      <c r="B216" s="1040"/>
      <c r="C216" s="1040"/>
      <c r="D216" s="1040"/>
      <c r="E216" s="1023"/>
      <c r="F216" s="1040"/>
      <c r="G216" s="1023"/>
      <c r="L216" s="1040"/>
      <c r="M216" s="1040"/>
      <c r="N216" s="1023"/>
      <c r="O216" s="1023"/>
      <c r="P216" s="1023"/>
      <c r="Q216" s="1023"/>
      <c r="R216" s="1023"/>
      <c r="S216" s="1023"/>
      <c r="T216" s="1023"/>
      <c r="U216" s="1023"/>
      <c r="V216" s="1023"/>
      <c r="W216" s="1023"/>
      <c r="X216" s="1023"/>
      <c r="Y216" s="1023"/>
      <c r="Z216" s="1023"/>
      <c r="AA216" s="1023"/>
      <c r="AB216" s="1023"/>
      <c r="AC216" s="1023"/>
      <c r="AD216" s="1023"/>
      <c r="AE216" s="1023"/>
      <c r="AF216" s="1023"/>
      <c r="AG216" s="1023"/>
      <c r="AH216" s="1023"/>
      <c r="AI216" s="1023"/>
      <c r="AJ216" s="1023"/>
      <c r="AK216" s="1023"/>
      <c r="AL216" s="1023"/>
      <c r="AM216" s="1023"/>
      <c r="AN216" s="1023"/>
      <c r="AO216" s="1023"/>
      <c r="AP216" s="1023"/>
      <c r="AQ216" s="1023"/>
      <c r="AR216" s="1023"/>
      <c r="AS216" s="1023"/>
      <c r="AT216" s="1023"/>
      <c r="AU216" s="1023"/>
      <c r="AV216" s="1023"/>
      <c r="AW216" s="1023"/>
    </row>
    <row r="217" spans="1:49">
      <c r="A217" s="1023"/>
      <c r="B217" s="1040"/>
      <c r="C217" s="1040"/>
      <c r="D217" s="1040"/>
      <c r="E217" s="1023"/>
      <c r="F217" s="1040"/>
      <c r="G217" s="1023"/>
      <c r="L217" s="1040"/>
      <c r="M217" s="1040"/>
      <c r="N217" s="1023"/>
      <c r="O217" s="1023"/>
      <c r="P217" s="1023"/>
      <c r="Q217" s="1023"/>
      <c r="R217" s="1023"/>
      <c r="S217" s="1023"/>
      <c r="T217" s="1023"/>
      <c r="U217" s="1023"/>
      <c r="V217" s="1023"/>
      <c r="W217" s="1023"/>
      <c r="X217" s="1023"/>
      <c r="Y217" s="1023"/>
      <c r="Z217" s="1023"/>
      <c r="AA217" s="1023"/>
      <c r="AB217" s="1023"/>
      <c r="AC217" s="1023"/>
      <c r="AD217" s="1023"/>
      <c r="AE217" s="1023"/>
      <c r="AF217" s="1023"/>
      <c r="AG217" s="1023"/>
      <c r="AH217" s="1023"/>
      <c r="AI217" s="1023"/>
      <c r="AJ217" s="1023"/>
      <c r="AK217" s="1023"/>
      <c r="AL217" s="1023"/>
      <c r="AM217" s="1023"/>
      <c r="AN217" s="1023"/>
      <c r="AO217" s="1023"/>
      <c r="AP217" s="1023"/>
      <c r="AQ217" s="1023"/>
      <c r="AR217" s="1023"/>
      <c r="AS217" s="1023"/>
      <c r="AT217" s="1023"/>
      <c r="AU217" s="1023"/>
      <c r="AV217" s="1023"/>
      <c r="AW217" s="1023"/>
    </row>
    <row r="218" spans="1:49">
      <c r="A218" s="1023"/>
      <c r="B218" s="1040"/>
      <c r="C218" s="1040"/>
      <c r="D218" s="1040"/>
      <c r="E218" s="1023"/>
      <c r="F218" s="1040"/>
      <c r="G218" s="1023"/>
      <c r="L218" s="1040"/>
      <c r="M218" s="1040"/>
      <c r="N218" s="1023"/>
      <c r="O218" s="1023"/>
      <c r="P218" s="1023"/>
      <c r="Q218" s="1023"/>
      <c r="R218" s="1023"/>
      <c r="S218" s="1023"/>
      <c r="T218" s="1023"/>
      <c r="U218" s="1023"/>
      <c r="V218" s="1023"/>
      <c r="W218" s="1023"/>
      <c r="X218" s="1023"/>
      <c r="Y218" s="1023"/>
      <c r="Z218" s="1023"/>
      <c r="AA218" s="1023"/>
      <c r="AB218" s="1023"/>
      <c r="AC218" s="1023"/>
      <c r="AD218" s="1023"/>
      <c r="AE218" s="1023"/>
      <c r="AF218" s="1023"/>
      <c r="AG218" s="1023"/>
      <c r="AH218" s="1023"/>
      <c r="AI218" s="1023"/>
      <c r="AJ218" s="1023"/>
      <c r="AK218" s="1023"/>
      <c r="AL218" s="1023"/>
      <c r="AM218" s="1023"/>
      <c r="AN218" s="1023"/>
      <c r="AO218" s="1023"/>
      <c r="AP218" s="1023"/>
      <c r="AQ218" s="1023"/>
      <c r="AR218" s="1023"/>
      <c r="AS218" s="1023"/>
      <c r="AT218" s="1023"/>
      <c r="AU218" s="1023"/>
      <c r="AV218" s="1023"/>
      <c r="AW218" s="1023"/>
    </row>
    <row r="219" spans="1:49">
      <c r="A219" s="1023"/>
      <c r="B219" s="1040"/>
      <c r="C219" s="1040"/>
      <c r="D219" s="1040"/>
      <c r="E219" s="1023"/>
      <c r="F219" s="1040"/>
      <c r="G219" s="1023"/>
      <c r="L219" s="1040"/>
      <c r="M219" s="1040"/>
      <c r="N219" s="1023"/>
      <c r="O219" s="1023"/>
      <c r="P219" s="1023"/>
      <c r="Q219" s="1023"/>
      <c r="R219" s="1023"/>
      <c r="S219" s="1023"/>
      <c r="T219" s="1023"/>
      <c r="U219" s="1023"/>
      <c r="V219" s="1023"/>
      <c r="W219" s="1023"/>
      <c r="X219" s="1023"/>
      <c r="Y219" s="1023"/>
      <c r="Z219" s="1023"/>
      <c r="AA219" s="1023"/>
      <c r="AB219" s="1023"/>
      <c r="AC219" s="1023"/>
      <c r="AD219" s="1023"/>
      <c r="AE219" s="1023"/>
      <c r="AF219" s="1023"/>
      <c r="AG219" s="1023"/>
      <c r="AH219" s="1023"/>
      <c r="AI219" s="1023"/>
      <c r="AJ219" s="1023"/>
      <c r="AK219" s="1023"/>
      <c r="AL219" s="1023"/>
      <c r="AM219" s="1023"/>
      <c r="AN219" s="1023"/>
      <c r="AO219" s="1023"/>
      <c r="AP219" s="1023"/>
      <c r="AQ219" s="1023"/>
      <c r="AR219" s="1023"/>
      <c r="AS219" s="1023"/>
      <c r="AT219" s="1023"/>
      <c r="AU219" s="1023"/>
      <c r="AV219" s="1023"/>
      <c r="AW219" s="1023"/>
    </row>
    <row r="220" spans="1:49">
      <c r="A220" s="1023"/>
      <c r="B220" s="1040"/>
      <c r="C220" s="1040"/>
      <c r="D220" s="1040"/>
      <c r="E220" s="1023"/>
      <c r="F220" s="1040"/>
      <c r="G220" s="1023"/>
      <c r="L220" s="1040"/>
      <c r="M220" s="1040"/>
      <c r="N220" s="1023"/>
      <c r="O220" s="1023"/>
      <c r="P220" s="1023"/>
      <c r="Q220" s="1023"/>
      <c r="R220" s="1023"/>
      <c r="S220" s="1023"/>
      <c r="T220" s="1023"/>
      <c r="U220" s="1023"/>
      <c r="V220" s="1023"/>
      <c r="W220" s="1023"/>
      <c r="X220" s="1023"/>
      <c r="Y220" s="1023"/>
      <c r="Z220" s="1023"/>
      <c r="AA220" s="1023"/>
      <c r="AB220" s="1023"/>
      <c r="AC220" s="1023"/>
      <c r="AD220" s="1023"/>
      <c r="AE220" s="1023"/>
      <c r="AF220" s="1023"/>
      <c r="AG220" s="1023"/>
      <c r="AH220" s="1023"/>
      <c r="AI220" s="1023"/>
      <c r="AJ220" s="1023"/>
      <c r="AK220" s="1023"/>
      <c r="AL220" s="1023"/>
      <c r="AM220" s="1023"/>
      <c r="AN220" s="1023"/>
      <c r="AO220" s="1023"/>
      <c r="AP220" s="1023"/>
      <c r="AQ220" s="1023"/>
      <c r="AR220" s="1023"/>
      <c r="AS220" s="1023"/>
      <c r="AT220" s="1023"/>
      <c r="AU220" s="1023"/>
      <c r="AV220" s="1023"/>
      <c r="AW220" s="1023"/>
    </row>
    <row r="221" spans="1:49">
      <c r="A221" s="1023"/>
      <c r="B221" s="1040"/>
      <c r="C221" s="1040"/>
      <c r="D221" s="1040"/>
      <c r="E221" s="1023"/>
      <c r="F221" s="1040"/>
      <c r="G221" s="1023"/>
      <c r="L221" s="1040"/>
      <c r="M221" s="1040"/>
      <c r="N221" s="1023"/>
      <c r="O221" s="1023"/>
      <c r="P221" s="1023"/>
      <c r="Q221" s="1023"/>
      <c r="R221" s="1023"/>
      <c r="S221" s="1023"/>
      <c r="T221" s="1023"/>
      <c r="U221" s="1023"/>
      <c r="V221" s="1023"/>
      <c r="W221" s="1023"/>
      <c r="X221" s="1023"/>
      <c r="Y221" s="1023"/>
      <c r="Z221" s="1023"/>
      <c r="AA221" s="1023"/>
      <c r="AB221" s="1023"/>
      <c r="AC221" s="1023"/>
      <c r="AD221" s="1023"/>
      <c r="AE221" s="1023"/>
      <c r="AF221" s="1023"/>
      <c r="AG221" s="1023"/>
      <c r="AH221" s="1023"/>
      <c r="AI221" s="1023"/>
      <c r="AJ221" s="1023"/>
      <c r="AK221" s="1023"/>
      <c r="AL221" s="1023"/>
      <c r="AM221" s="1023"/>
      <c r="AN221" s="1023"/>
      <c r="AO221" s="1023"/>
      <c r="AP221" s="1023"/>
      <c r="AQ221" s="1023"/>
      <c r="AR221" s="1023"/>
      <c r="AS221" s="1023"/>
      <c r="AT221" s="1023"/>
      <c r="AU221" s="1023"/>
      <c r="AV221" s="1023"/>
      <c r="AW221" s="1023"/>
    </row>
    <row r="222" spans="1:49">
      <c r="A222" s="1023"/>
      <c r="B222" s="1040"/>
      <c r="C222" s="1040"/>
      <c r="D222" s="1040"/>
      <c r="E222" s="1023"/>
      <c r="F222" s="1040"/>
      <c r="G222" s="1023"/>
      <c r="L222" s="1040"/>
      <c r="M222" s="1040"/>
      <c r="N222" s="1023"/>
      <c r="O222" s="1023"/>
      <c r="P222" s="1023"/>
      <c r="Q222" s="1023"/>
      <c r="R222" s="1023"/>
      <c r="S222" s="1023"/>
      <c r="T222" s="1023"/>
      <c r="U222" s="1023"/>
      <c r="V222" s="1023"/>
      <c r="W222" s="1023"/>
      <c r="X222" s="1023"/>
      <c r="Y222" s="1023"/>
      <c r="Z222" s="1023"/>
      <c r="AA222" s="1023"/>
      <c r="AB222" s="1023"/>
      <c r="AC222" s="1023"/>
      <c r="AD222" s="1023"/>
      <c r="AE222" s="1023"/>
      <c r="AF222" s="1023"/>
      <c r="AG222" s="1023"/>
      <c r="AH222" s="1023"/>
      <c r="AI222" s="1023"/>
      <c r="AJ222" s="1023"/>
      <c r="AK222" s="1023"/>
      <c r="AL222" s="1023"/>
      <c r="AM222" s="1023"/>
      <c r="AN222" s="1023"/>
      <c r="AO222" s="1023"/>
      <c r="AP222" s="1023"/>
      <c r="AQ222" s="1023"/>
      <c r="AR222" s="1023"/>
      <c r="AS222" s="1023"/>
      <c r="AT222" s="1023"/>
      <c r="AU222" s="1023"/>
      <c r="AV222" s="1023"/>
      <c r="AW222" s="1023"/>
    </row>
    <row r="223" spans="1:49">
      <c r="A223" s="1023"/>
      <c r="B223" s="1040"/>
      <c r="C223" s="1040"/>
      <c r="D223" s="1040"/>
      <c r="E223" s="1023"/>
      <c r="F223" s="1040"/>
      <c r="G223" s="1023"/>
      <c r="L223" s="1040"/>
      <c r="M223" s="1040"/>
      <c r="N223" s="1023"/>
      <c r="O223" s="1023"/>
      <c r="P223" s="1023"/>
      <c r="Q223" s="1023"/>
      <c r="R223" s="1023"/>
      <c r="S223" s="1023"/>
      <c r="T223" s="1023"/>
      <c r="U223" s="1023"/>
      <c r="V223" s="1023"/>
      <c r="W223" s="1023"/>
      <c r="X223" s="1023"/>
      <c r="Y223" s="1023"/>
      <c r="Z223" s="1023"/>
      <c r="AA223" s="1023"/>
      <c r="AB223" s="1023"/>
      <c r="AC223" s="1023"/>
      <c r="AD223" s="1023"/>
      <c r="AE223" s="1023"/>
      <c r="AF223" s="1023"/>
      <c r="AG223" s="1023"/>
      <c r="AH223" s="1023"/>
      <c r="AI223" s="1023"/>
      <c r="AJ223" s="1023"/>
      <c r="AK223" s="1023"/>
      <c r="AL223" s="1023"/>
      <c r="AM223" s="1023"/>
      <c r="AN223" s="1023"/>
      <c r="AO223" s="1023"/>
      <c r="AP223" s="1023"/>
      <c r="AQ223" s="1023"/>
      <c r="AR223" s="1023"/>
      <c r="AS223" s="1023"/>
      <c r="AT223" s="1023"/>
      <c r="AU223" s="1023"/>
      <c r="AV223" s="1023"/>
      <c r="AW223" s="1023"/>
    </row>
    <row r="224" spans="1:49">
      <c r="A224" s="1023"/>
      <c r="B224" s="1040"/>
      <c r="C224" s="1040"/>
      <c r="D224" s="1040"/>
      <c r="E224" s="1023"/>
      <c r="F224" s="1040"/>
      <c r="G224" s="1023"/>
      <c r="L224" s="1040"/>
      <c r="M224" s="1040"/>
      <c r="N224" s="1023"/>
      <c r="O224" s="1023"/>
      <c r="P224" s="1023"/>
      <c r="Q224" s="1023"/>
      <c r="R224" s="1023"/>
      <c r="S224" s="1023"/>
      <c r="T224" s="1023"/>
      <c r="U224" s="1023"/>
      <c r="V224" s="1023"/>
      <c r="W224" s="1023"/>
      <c r="X224" s="1023"/>
      <c r="Y224" s="1023"/>
      <c r="Z224" s="1023"/>
      <c r="AA224" s="1023"/>
      <c r="AB224" s="1023"/>
      <c r="AC224" s="1023"/>
      <c r="AD224" s="1023"/>
      <c r="AE224" s="1023"/>
      <c r="AF224" s="1023"/>
      <c r="AG224" s="1023"/>
      <c r="AH224" s="1023"/>
      <c r="AI224" s="1023"/>
      <c r="AJ224" s="1023"/>
      <c r="AK224" s="1023"/>
      <c r="AL224" s="1023"/>
      <c r="AM224" s="1023"/>
      <c r="AN224" s="1023"/>
      <c r="AO224" s="1023"/>
      <c r="AP224" s="1023"/>
      <c r="AQ224" s="1023"/>
      <c r="AR224" s="1023"/>
      <c r="AS224" s="1023"/>
      <c r="AT224" s="1023"/>
      <c r="AU224" s="1023"/>
      <c r="AV224" s="1023"/>
      <c r="AW224" s="1023"/>
    </row>
    <row r="225" spans="1:49">
      <c r="A225" s="1023"/>
      <c r="B225" s="1040"/>
      <c r="C225" s="1040"/>
      <c r="D225" s="1040"/>
      <c r="E225" s="1023"/>
      <c r="F225" s="1040"/>
      <c r="G225" s="1023"/>
      <c r="L225" s="1040"/>
      <c r="M225" s="1040"/>
      <c r="N225" s="1023"/>
      <c r="O225" s="1023"/>
      <c r="P225" s="1023"/>
      <c r="Q225" s="1023"/>
      <c r="R225" s="1023"/>
      <c r="S225" s="1023"/>
      <c r="T225" s="1023"/>
      <c r="U225" s="1023"/>
      <c r="V225" s="1023"/>
      <c r="W225" s="1023"/>
      <c r="X225" s="1023"/>
      <c r="Y225" s="1023"/>
      <c r="Z225" s="1023"/>
      <c r="AA225" s="1023"/>
      <c r="AB225" s="1023"/>
      <c r="AC225" s="1023"/>
      <c r="AD225" s="1023"/>
      <c r="AE225" s="1023"/>
      <c r="AF225" s="1023"/>
      <c r="AG225" s="1023"/>
      <c r="AH225" s="1023"/>
      <c r="AI225" s="1023"/>
      <c r="AJ225" s="1023"/>
      <c r="AK225" s="1023"/>
      <c r="AL225" s="1023"/>
      <c r="AM225" s="1023"/>
      <c r="AN225" s="1023"/>
      <c r="AO225" s="1023"/>
      <c r="AP225" s="1023"/>
      <c r="AQ225" s="1023"/>
      <c r="AR225" s="1023"/>
      <c r="AS225" s="1023"/>
      <c r="AT225" s="1023"/>
      <c r="AU225" s="1023"/>
      <c r="AV225" s="1023"/>
      <c r="AW225" s="1023"/>
    </row>
    <row r="226" spans="1:49">
      <c r="A226" s="1023"/>
      <c r="B226" s="1040"/>
      <c r="C226" s="1040"/>
      <c r="D226" s="1040"/>
      <c r="E226" s="1023"/>
      <c r="F226" s="1040"/>
      <c r="G226" s="1023"/>
      <c r="L226" s="1040"/>
      <c r="M226" s="1040"/>
      <c r="N226" s="1023"/>
      <c r="O226" s="1023"/>
      <c r="P226" s="1023"/>
      <c r="Q226" s="1023"/>
      <c r="R226" s="1023"/>
      <c r="S226" s="1023"/>
      <c r="T226" s="1023"/>
      <c r="U226" s="1023"/>
      <c r="V226" s="1023"/>
      <c r="W226" s="1023"/>
      <c r="X226" s="1023"/>
      <c r="Y226" s="1023"/>
      <c r="Z226" s="1023"/>
      <c r="AA226" s="1023"/>
      <c r="AB226" s="1023"/>
      <c r="AC226" s="1023"/>
      <c r="AD226" s="1023"/>
      <c r="AE226" s="1023"/>
      <c r="AF226" s="1023"/>
      <c r="AG226" s="1023"/>
      <c r="AH226" s="1023"/>
      <c r="AI226" s="1023"/>
      <c r="AJ226" s="1023"/>
      <c r="AK226" s="1023"/>
      <c r="AL226" s="1023"/>
      <c r="AM226" s="1023"/>
      <c r="AN226" s="1023"/>
      <c r="AO226" s="1023"/>
      <c r="AP226" s="1023"/>
      <c r="AQ226" s="1023"/>
      <c r="AR226" s="1023"/>
      <c r="AS226" s="1023"/>
      <c r="AT226" s="1023"/>
      <c r="AU226" s="1023"/>
      <c r="AV226" s="1023"/>
      <c r="AW226" s="1023"/>
    </row>
    <row r="227" spans="1:49">
      <c r="A227" s="1023"/>
      <c r="B227" s="1040"/>
      <c r="C227" s="1040"/>
      <c r="D227" s="1040"/>
      <c r="E227" s="1023"/>
      <c r="F227" s="1040"/>
      <c r="G227" s="1023"/>
      <c r="L227" s="1040"/>
      <c r="M227" s="1040"/>
      <c r="N227" s="1023"/>
      <c r="O227" s="1023"/>
      <c r="P227" s="1023"/>
      <c r="Q227" s="1023"/>
      <c r="R227" s="1023"/>
      <c r="S227" s="1023"/>
      <c r="T227" s="1023"/>
      <c r="U227" s="1023"/>
      <c r="V227" s="1023"/>
      <c r="W227" s="1023"/>
      <c r="X227" s="1023"/>
      <c r="Y227" s="1023"/>
      <c r="Z227" s="1023"/>
      <c r="AA227" s="1023"/>
      <c r="AB227" s="1023"/>
      <c r="AC227" s="1023"/>
      <c r="AD227" s="1023"/>
      <c r="AE227" s="1023"/>
      <c r="AF227" s="1023"/>
      <c r="AG227" s="1023"/>
      <c r="AH227" s="1023"/>
      <c r="AI227" s="1023"/>
      <c r="AJ227" s="1023"/>
      <c r="AK227" s="1023"/>
      <c r="AL227" s="1023"/>
      <c r="AM227" s="1023"/>
      <c r="AN227" s="1023"/>
      <c r="AO227" s="1023"/>
      <c r="AP227" s="1023"/>
      <c r="AQ227" s="1023"/>
      <c r="AR227" s="1023"/>
      <c r="AS227" s="1023"/>
      <c r="AT227" s="1023"/>
      <c r="AU227" s="1023"/>
      <c r="AV227" s="1023"/>
      <c r="AW227" s="1023"/>
    </row>
    <row r="228" spans="1:49">
      <c r="A228" s="1023"/>
      <c r="B228" s="1040"/>
      <c r="C228" s="1040"/>
      <c r="D228" s="1040"/>
      <c r="E228" s="1023"/>
      <c r="F228" s="1040"/>
      <c r="G228" s="1023"/>
      <c r="L228" s="1040"/>
      <c r="M228" s="1040"/>
      <c r="N228" s="1023"/>
      <c r="O228" s="1023"/>
      <c r="P228" s="1023"/>
      <c r="Q228" s="1023"/>
      <c r="R228" s="1023"/>
      <c r="S228" s="1023"/>
      <c r="T228" s="1023"/>
      <c r="U228" s="1023"/>
      <c r="V228" s="1023"/>
      <c r="W228" s="1023"/>
      <c r="X228" s="1023"/>
      <c r="Y228" s="1023"/>
      <c r="Z228" s="1023"/>
      <c r="AA228" s="1023"/>
      <c r="AB228" s="1023"/>
      <c r="AC228" s="1023"/>
      <c r="AD228" s="1023"/>
      <c r="AE228" s="1023"/>
      <c r="AF228" s="1023"/>
      <c r="AG228" s="1023"/>
      <c r="AH228" s="1023"/>
      <c r="AI228" s="1023"/>
      <c r="AJ228" s="1023"/>
      <c r="AK228" s="1023"/>
      <c r="AL228" s="1023"/>
      <c r="AM228" s="1023"/>
      <c r="AN228" s="1023"/>
      <c r="AO228" s="1023"/>
      <c r="AP228" s="1023"/>
      <c r="AQ228" s="1023"/>
      <c r="AR228" s="1023"/>
      <c r="AS228" s="1023"/>
      <c r="AT228" s="1023"/>
      <c r="AU228" s="1023"/>
      <c r="AV228" s="1023"/>
      <c r="AW228" s="1023"/>
    </row>
    <row r="229" spans="1:49">
      <c r="A229" s="1023"/>
      <c r="B229" s="1040"/>
      <c r="C229" s="1040"/>
      <c r="D229" s="1040"/>
      <c r="E229" s="1023"/>
      <c r="F229" s="1040"/>
      <c r="G229" s="1023"/>
      <c r="L229" s="1040"/>
      <c r="M229" s="1040"/>
      <c r="N229" s="1023"/>
      <c r="O229" s="1023"/>
      <c r="P229" s="1023"/>
      <c r="Q229" s="1023"/>
      <c r="R229" s="1023"/>
      <c r="S229" s="1023"/>
      <c r="T229" s="1023"/>
      <c r="U229" s="1023"/>
      <c r="V229" s="1023"/>
      <c r="W229" s="1023"/>
      <c r="X229" s="1023"/>
      <c r="Y229" s="1023"/>
      <c r="Z229" s="1023"/>
      <c r="AA229" s="1023"/>
      <c r="AB229" s="1023"/>
      <c r="AC229" s="1023"/>
      <c r="AD229" s="1023"/>
      <c r="AE229" s="1023"/>
      <c r="AF229" s="1023"/>
      <c r="AG229" s="1023"/>
      <c r="AH229" s="1023"/>
      <c r="AI229" s="1023"/>
      <c r="AJ229" s="1023"/>
      <c r="AK229" s="1023"/>
      <c r="AL229" s="1023"/>
      <c r="AM229" s="1023"/>
      <c r="AN229" s="1023"/>
      <c r="AO229" s="1023"/>
      <c r="AP229" s="1023"/>
      <c r="AQ229" s="1023"/>
      <c r="AR229" s="1023"/>
      <c r="AS229" s="1023"/>
      <c r="AT229" s="1023"/>
      <c r="AU229" s="1023"/>
      <c r="AV229" s="1023"/>
      <c r="AW229" s="1023"/>
    </row>
    <row r="230" spans="1:49">
      <c r="A230" s="1023"/>
      <c r="B230" s="1040"/>
      <c r="C230" s="1040"/>
      <c r="D230" s="1040"/>
      <c r="E230" s="1023"/>
      <c r="F230" s="1040"/>
      <c r="G230" s="1023"/>
      <c r="L230" s="1040"/>
      <c r="M230" s="1040"/>
      <c r="N230" s="1023"/>
      <c r="O230" s="1023"/>
      <c r="P230" s="1023"/>
      <c r="Q230" s="1023"/>
      <c r="R230" s="1023"/>
      <c r="S230" s="1023"/>
      <c r="T230" s="1023"/>
      <c r="U230" s="1023"/>
      <c r="V230" s="1023"/>
      <c r="W230" s="1023"/>
      <c r="X230" s="1023"/>
      <c r="Y230" s="1023"/>
      <c r="Z230" s="1023"/>
      <c r="AA230" s="1023"/>
      <c r="AB230" s="1023"/>
      <c r="AC230" s="1023"/>
      <c r="AD230" s="1023"/>
      <c r="AE230" s="1023"/>
      <c r="AF230" s="1023"/>
      <c r="AG230" s="1023"/>
      <c r="AH230" s="1023"/>
      <c r="AI230" s="1023"/>
      <c r="AJ230" s="1023"/>
      <c r="AK230" s="1023"/>
      <c r="AL230" s="1023"/>
      <c r="AM230" s="1023"/>
      <c r="AN230" s="1023"/>
      <c r="AO230" s="1023"/>
      <c r="AP230" s="1023"/>
      <c r="AQ230" s="1023"/>
      <c r="AR230" s="1023"/>
      <c r="AS230" s="1023"/>
      <c r="AT230" s="1023"/>
      <c r="AU230" s="1023"/>
      <c r="AV230" s="1023"/>
      <c r="AW230" s="1023"/>
    </row>
    <row r="231" spans="1:49">
      <c r="A231" s="1023"/>
      <c r="B231" s="1040"/>
      <c r="C231" s="1040"/>
      <c r="D231" s="1040"/>
      <c r="E231" s="1023"/>
      <c r="F231" s="1040"/>
      <c r="G231" s="1023"/>
      <c r="L231" s="1040"/>
      <c r="M231" s="1040"/>
      <c r="N231" s="1023"/>
      <c r="O231" s="1023"/>
      <c r="P231" s="1023"/>
      <c r="Q231" s="1023"/>
      <c r="R231" s="1023"/>
      <c r="S231" s="1023"/>
      <c r="T231" s="1023"/>
      <c r="U231" s="1023"/>
      <c r="V231" s="1023"/>
      <c r="W231" s="1023"/>
      <c r="X231" s="1023"/>
      <c r="Y231" s="1023"/>
      <c r="Z231" s="1023"/>
      <c r="AA231" s="1023"/>
      <c r="AB231" s="1023"/>
      <c r="AC231" s="1023"/>
      <c r="AD231" s="1023"/>
      <c r="AE231" s="1023"/>
      <c r="AF231" s="1023"/>
      <c r="AG231" s="1023"/>
      <c r="AH231" s="1023"/>
      <c r="AI231" s="1023"/>
      <c r="AJ231" s="1023"/>
      <c r="AK231" s="1023"/>
      <c r="AL231" s="1023"/>
      <c r="AM231" s="1023"/>
      <c r="AN231" s="1023"/>
      <c r="AO231" s="1023"/>
      <c r="AP231" s="1023"/>
      <c r="AQ231" s="1023"/>
      <c r="AR231" s="1023"/>
      <c r="AS231" s="1023"/>
      <c r="AT231" s="1023"/>
      <c r="AU231" s="1023"/>
      <c r="AV231" s="1023"/>
      <c r="AW231" s="1023"/>
    </row>
    <row r="232" spans="1:49">
      <c r="A232" s="1023"/>
      <c r="B232" s="1040"/>
      <c r="C232" s="1040"/>
      <c r="D232" s="1040"/>
      <c r="E232" s="1023"/>
      <c r="F232" s="1040"/>
      <c r="G232" s="1023"/>
      <c r="L232" s="1040"/>
      <c r="M232" s="1040"/>
      <c r="N232" s="1023"/>
      <c r="O232" s="1023"/>
      <c r="P232" s="1023"/>
      <c r="Q232" s="1023"/>
      <c r="R232" s="1023"/>
      <c r="S232" s="1023"/>
      <c r="T232" s="1023"/>
      <c r="U232" s="1023"/>
      <c r="V232" s="1023"/>
      <c r="W232" s="1023"/>
      <c r="X232" s="1023"/>
      <c r="Y232" s="1023"/>
      <c r="Z232" s="1023"/>
      <c r="AA232" s="1023"/>
      <c r="AB232" s="1023"/>
      <c r="AC232" s="1023"/>
      <c r="AD232" s="1023"/>
      <c r="AE232" s="1023"/>
      <c r="AF232" s="1023"/>
      <c r="AG232" s="1023"/>
      <c r="AH232" s="1023"/>
      <c r="AI232" s="1023"/>
      <c r="AJ232" s="1023"/>
      <c r="AK232" s="1023"/>
      <c r="AL232" s="1023"/>
      <c r="AM232" s="1023"/>
      <c r="AN232" s="1023"/>
      <c r="AO232" s="1023"/>
      <c r="AP232" s="1023"/>
      <c r="AQ232" s="1023"/>
      <c r="AR232" s="1023"/>
      <c r="AS232" s="1023"/>
      <c r="AT232" s="1023"/>
      <c r="AU232" s="1023"/>
      <c r="AV232" s="1023"/>
      <c r="AW232" s="1023"/>
    </row>
    <row r="233" spans="1:49">
      <c r="A233" s="1023"/>
      <c r="B233" s="1040"/>
      <c r="C233" s="1040"/>
      <c r="D233" s="1040"/>
      <c r="E233" s="1023"/>
      <c r="F233" s="1040"/>
      <c r="G233" s="1023"/>
      <c r="L233" s="1040"/>
      <c r="M233" s="1040"/>
      <c r="N233" s="1023"/>
      <c r="O233" s="1023"/>
      <c r="P233" s="1023"/>
      <c r="Q233" s="1023"/>
      <c r="R233" s="1023"/>
      <c r="S233" s="1023"/>
      <c r="T233" s="1023"/>
      <c r="U233" s="1023"/>
      <c r="V233" s="1023"/>
      <c r="W233" s="1023"/>
      <c r="X233" s="1023"/>
      <c r="Y233" s="1023"/>
      <c r="Z233" s="1023"/>
      <c r="AA233" s="1023"/>
      <c r="AB233" s="1023"/>
      <c r="AC233" s="1023"/>
      <c r="AD233" s="1023"/>
      <c r="AE233" s="1023"/>
      <c r="AF233" s="1023"/>
      <c r="AG233" s="1023"/>
      <c r="AH233" s="1023"/>
      <c r="AI233" s="1023"/>
      <c r="AJ233" s="1023"/>
      <c r="AK233" s="1023"/>
      <c r="AL233" s="1023"/>
      <c r="AM233" s="1023"/>
      <c r="AN233" s="1023"/>
      <c r="AO233" s="1023"/>
      <c r="AP233" s="1023"/>
      <c r="AQ233" s="1023"/>
      <c r="AR233" s="1023"/>
      <c r="AS233" s="1023"/>
      <c r="AT233" s="1023"/>
      <c r="AU233" s="1023"/>
      <c r="AV233" s="1023"/>
      <c r="AW233" s="1023"/>
    </row>
    <row r="234" spans="1:49">
      <c r="A234" s="1023"/>
      <c r="B234" s="1040"/>
      <c r="C234" s="1040"/>
      <c r="D234" s="1040"/>
      <c r="E234" s="1023"/>
      <c r="F234" s="1040"/>
      <c r="G234" s="1023"/>
      <c r="L234" s="1040"/>
      <c r="M234" s="1040"/>
      <c r="N234" s="1023"/>
      <c r="O234" s="1023"/>
      <c r="P234" s="1023"/>
      <c r="Q234" s="1023"/>
      <c r="R234" s="1023"/>
      <c r="S234" s="1023"/>
      <c r="T234" s="1023"/>
      <c r="U234" s="1023"/>
      <c r="V234" s="1023"/>
      <c r="W234" s="1023"/>
      <c r="X234" s="1023"/>
      <c r="Y234" s="1023"/>
      <c r="Z234" s="1023"/>
      <c r="AA234" s="1023"/>
      <c r="AB234" s="1023"/>
      <c r="AC234" s="1023"/>
      <c r="AD234" s="1023"/>
      <c r="AE234" s="1023"/>
      <c r="AF234" s="1023"/>
      <c r="AG234" s="1023"/>
      <c r="AH234" s="1023"/>
      <c r="AI234" s="1023"/>
      <c r="AJ234" s="1023"/>
      <c r="AK234" s="1023"/>
      <c r="AL234" s="1023"/>
      <c r="AM234" s="1023"/>
      <c r="AN234" s="1023"/>
      <c r="AO234" s="1023"/>
      <c r="AP234" s="1023"/>
      <c r="AQ234" s="1023"/>
      <c r="AR234" s="1023"/>
      <c r="AS234" s="1023"/>
      <c r="AT234" s="1023"/>
      <c r="AU234" s="1023"/>
      <c r="AV234" s="1023"/>
      <c r="AW234" s="1023"/>
    </row>
    <row r="235" spans="1:49">
      <c r="A235" s="1023"/>
      <c r="B235" s="1040"/>
      <c r="C235" s="1040"/>
      <c r="D235" s="1040"/>
      <c r="E235" s="1023"/>
      <c r="F235" s="1040"/>
      <c r="G235" s="1023"/>
      <c r="L235" s="1040"/>
      <c r="M235" s="1040"/>
      <c r="N235" s="1023"/>
      <c r="O235" s="1023"/>
      <c r="P235" s="1023"/>
      <c r="Q235" s="1023"/>
      <c r="R235" s="1023"/>
      <c r="S235" s="1023"/>
      <c r="T235" s="1023"/>
      <c r="U235" s="1023"/>
      <c r="V235" s="1023"/>
      <c r="W235" s="1023"/>
      <c r="X235" s="1023"/>
      <c r="Y235" s="1023"/>
      <c r="Z235" s="1023"/>
      <c r="AA235" s="1023"/>
      <c r="AB235" s="1023"/>
      <c r="AC235" s="1023"/>
      <c r="AD235" s="1023"/>
      <c r="AE235" s="1023"/>
      <c r="AF235" s="1023"/>
      <c r="AG235" s="1023"/>
      <c r="AH235" s="1023"/>
      <c r="AI235" s="1023"/>
      <c r="AJ235" s="1023"/>
      <c r="AK235" s="1023"/>
      <c r="AL235" s="1023"/>
      <c r="AM235" s="1023"/>
      <c r="AN235" s="1023"/>
      <c r="AO235" s="1023"/>
      <c r="AP235" s="1023"/>
      <c r="AQ235" s="1023"/>
      <c r="AR235" s="1023"/>
      <c r="AS235" s="1023"/>
      <c r="AT235" s="1023"/>
      <c r="AU235" s="1023"/>
      <c r="AV235" s="1023"/>
      <c r="AW235" s="1023"/>
    </row>
    <row r="236" spans="1:49">
      <c r="A236" s="1023"/>
      <c r="B236" s="1040"/>
      <c r="C236" s="1040"/>
      <c r="D236" s="1040"/>
      <c r="E236" s="1023"/>
      <c r="F236" s="1040"/>
      <c r="G236" s="1023"/>
      <c r="L236" s="1040"/>
      <c r="M236" s="1040"/>
      <c r="N236" s="1023"/>
      <c r="O236" s="1023"/>
      <c r="P236" s="1023"/>
      <c r="Q236" s="1023"/>
      <c r="R236" s="1023"/>
      <c r="S236" s="1023"/>
      <c r="T236" s="1023"/>
      <c r="U236" s="1023"/>
      <c r="V236" s="1023"/>
      <c r="W236" s="1023"/>
      <c r="X236" s="1023"/>
      <c r="Y236" s="1023"/>
      <c r="Z236" s="1023"/>
      <c r="AA236" s="1023"/>
      <c r="AB236" s="1023"/>
      <c r="AC236" s="1023"/>
      <c r="AD236" s="1023"/>
      <c r="AE236" s="1023"/>
      <c r="AF236" s="1023"/>
      <c r="AG236" s="1023"/>
      <c r="AH236" s="1023"/>
      <c r="AI236" s="1023"/>
      <c r="AJ236" s="1023"/>
      <c r="AK236" s="1023"/>
      <c r="AL236" s="1023"/>
      <c r="AM236" s="1023"/>
      <c r="AN236" s="1023"/>
      <c r="AO236" s="1023"/>
      <c r="AP236" s="1023"/>
      <c r="AQ236" s="1023"/>
      <c r="AR236" s="1023"/>
      <c r="AS236" s="1023"/>
      <c r="AT236" s="1023"/>
      <c r="AU236" s="1023"/>
      <c r="AV236" s="1023"/>
      <c r="AW236" s="1023"/>
    </row>
    <row r="237" spans="1:49">
      <c r="A237" s="1023"/>
      <c r="B237" s="1040"/>
      <c r="C237" s="1040"/>
      <c r="D237" s="1040"/>
      <c r="E237" s="1023"/>
      <c r="F237" s="1040"/>
      <c r="G237" s="1023"/>
      <c r="L237" s="1040"/>
      <c r="M237" s="1040"/>
      <c r="N237" s="1023"/>
      <c r="O237" s="1023"/>
      <c r="P237" s="1023"/>
      <c r="Q237" s="1023"/>
      <c r="R237" s="1023"/>
      <c r="S237" s="1023"/>
      <c r="T237" s="1023"/>
      <c r="U237" s="1023"/>
      <c r="V237" s="1023"/>
      <c r="W237" s="1023"/>
      <c r="X237" s="1023"/>
      <c r="Y237" s="1023"/>
      <c r="Z237" s="1023"/>
      <c r="AA237" s="1023"/>
      <c r="AB237" s="1023"/>
      <c r="AC237" s="1023"/>
      <c r="AD237" s="1023"/>
      <c r="AE237" s="1023"/>
      <c r="AF237" s="1023"/>
      <c r="AG237" s="1023"/>
      <c r="AH237" s="1023"/>
      <c r="AI237" s="1023"/>
      <c r="AJ237" s="1023"/>
      <c r="AK237" s="1023"/>
      <c r="AL237" s="1023"/>
      <c r="AM237" s="1023"/>
      <c r="AN237" s="1023"/>
      <c r="AO237" s="1023"/>
      <c r="AP237" s="1023"/>
      <c r="AQ237" s="1023"/>
      <c r="AR237" s="1023"/>
      <c r="AS237" s="1023"/>
      <c r="AT237" s="1023"/>
      <c r="AU237" s="1023"/>
      <c r="AV237" s="1023"/>
      <c r="AW237" s="1023"/>
    </row>
    <row r="238" spans="1:49">
      <c r="A238" s="1023"/>
      <c r="B238" s="1040"/>
      <c r="C238" s="1040"/>
      <c r="D238" s="1040"/>
      <c r="E238" s="1023"/>
      <c r="F238" s="1040"/>
      <c r="G238" s="1023"/>
      <c r="L238" s="1040"/>
      <c r="M238" s="1040"/>
      <c r="N238" s="1023"/>
      <c r="O238" s="1023"/>
      <c r="P238" s="1023"/>
      <c r="Q238" s="1023"/>
      <c r="R238" s="1023"/>
      <c r="S238" s="1023"/>
      <c r="T238" s="1023"/>
      <c r="U238" s="1023"/>
      <c r="V238" s="1023"/>
      <c r="W238" s="1023"/>
      <c r="X238" s="1023"/>
      <c r="Y238" s="1023"/>
      <c r="Z238" s="1023"/>
      <c r="AA238" s="1023"/>
      <c r="AB238" s="1023"/>
      <c r="AC238" s="1023"/>
      <c r="AD238" s="1023"/>
      <c r="AE238" s="1023"/>
      <c r="AF238" s="1023"/>
      <c r="AG238" s="1023"/>
      <c r="AH238" s="1023"/>
      <c r="AI238" s="1023"/>
      <c r="AJ238" s="1023"/>
      <c r="AK238" s="1023"/>
      <c r="AL238" s="1023"/>
      <c r="AM238" s="1023"/>
      <c r="AN238" s="1023"/>
      <c r="AO238" s="1023"/>
      <c r="AP238" s="1023"/>
      <c r="AQ238" s="1023"/>
      <c r="AR238" s="1023"/>
      <c r="AS238" s="1023"/>
      <c r="AT238" s="1023"/>
      <c r="AU238" s="1023"/>
      <c r="AV238" s="1023"/>
      <c r="AW238" s="1023"/>
    </row>
    <row r="239" spans="1:49">
      <c r="A239" s="1023"/>
      <c r="B239" s="1040"/>
      <c r="C239" s="1040"/>
      <c r="D239" s="1040"/>
      <c r="E239" s="1023"/>
      <c r="F239" s="1040"/>
      <c r="G239" s="1023"/>
      <c r="L239" s="1040"/>
      <c r="M239" s="1040"/>
      <c r="N239" s="1023"/>
      <c r="O239" s="1023"/>
      <c r="P239" s="1023"/>
      <c r="Q239" s="1023"/>
      <c r="R239" s="1023"/>
      <c r="S239" s="1023"/>
      <c r="T239" s="1023"/>
      <c r="U239" s="1023"/>
      <c r="V239" s="1023"/>
      <c r="W239" s="1023"/>
      <c r="X239" s="1023"/>
      <c r="Y239" s="1023"/>
      <c r="Z239" s="1023"/>
      <c r="AA239" s="1023"/>
      <c r="AB239" s="1023"/>
      <c r="AC239" s="1023"/>
      <c r="AD239" s="1023"/>
      <c r="AE239" s="1023"/>
      <c r="AF239" s="1023"/>
      <c r="AG239" s="1023"/>
      <c r="AH239" s="1023"/>
      <c r="AI239" s="1023"/>
      <c r="AJ239" s="1023"/>
      <c r="AK239" s="1023"/>
      <c r="AL239" s="1023"/>
      <c r="AM239" s="1023"/>
      <c r="AN239" s="1023"/>
      <c r="AO239" s="1023"/>
      <c r="AP239" s="1023"/>
      <c r="AQ239" s="1023"/>
      <c r="AR239" s="1023"/>
      <c r="AS239" s="1023"/>
      <c r="AT239" s="1023"/>
      <c r="AU239" s="1023"/>
      <c r="AV239" s="1023"/>
      <c r="AW239" s="1023"/>
    </row>
    <row r="240" spans="1:49">
      <c r="A240" s="1023"/>
      <c r="B240" s="1040"/>
      <c r="C240" s="1040"/>
      <c r="D240" s="1040"/>
      <c r="E240" s="1023"/>
      <c r="F240" s="1040"/>
      <c r="G240" s="1023"/>
      <c r="L240" s="1040"/>
      <c r="M240" s="1040"/>
      <c r="N240" s="1023"/>
      <c r="O240" s="1023"/>
      <c r="P240" s="1023"/>
      <c r="Q240" s="1023"/>
      <c r="R240" s="1023"/>
      <c r="S240" s="1023"/>
      <c r="T240" s="1023"/>
      <c r="U240" s="1023"/>
      <c r="V240" s="1023"/>
      <c r="W240" s="1023"/>
      <c r="X240" s="1023"/>
      <c r="Y240" s="1023"/>
      <c r="Z240" s="1023"/>
      <c r="AA240" s="1023"/>
      <c r="AB240" s="1023"/>
      <c r="AC240" s="1023"/>
      <c r="AD240" s="1023"/>
      <c r="AE240" s="1023"/>
      <c r="AF240" s="1023"/>
      <c r="AG240" s="1023"/>
      <c r="AH240" s="1023"/>
      <c r="AI240" s="1023"/>
      <c r="AJ240" s="1023"/>
      <c r="AK240" s="1023"/>
      <c r="AL240" s="1023"/>
      <c r="AM240" s="1023"/>
      <c r="AN240" s="1023"/>
      <c r="AO240" s="1023"/>
      <c r="AP240" s="1023"/>
      <c r="AQ240" s="1023"/>
      <c r="AR240" s="1023"/>
      <c r="AS240" s="1023"/>
      <c r="AT240" s="1023"/>
      <c r="AU240" s="1023"/>
      <c r="AV240" s="1023"/>
      <c r="AW240" s="1023"/>
    </row>
    <row r="241" spans="1:49">
      <c r="A241" s="1023"/>
      <c r="B241" s="1040"/>
      <c r="C241" s="1040"/>
      <c r="D241" s="1040"/>
      <c r="E241" s="1023"/>
      <c r="F241" s="1040"/>
      <c r="G241" s="1023"/>
      <c r="L241" s="1040"/>
      <c r="M241" s="1040"/>
      <c r="N241" s="1023"/>
      <c r="O241" s="1023"/>
      <c r="P241" s="1023"/>
      <c r="Q241" s="1023"/>
      <c r="R241" s="1023"/>
      <c r="S241" s="1023"/>
      <c r="T241" s="1023"/>
      <c r="U241" s="1023"/>
      <c r="V241" s="1023"/>
      <c r="W241" s="1023"/>
      <c r="X241" s="1023"/>
      <c r="Y241" s="1023"/>
      <c r="Z241" s="1023"/>
      <c r="AA241" s="1023"/>
      <c r="AB241" s="1023"/>
      <c r="AC241" s="1023"/>
      <c r="AD241" s="1023"/>
      <c r="AE241" s="1023"/>
      <c r="AF241" s="1023"/>
      <c r="AG241" s="1023"/>
      <c r="AH241" s="1023"/>
      <c r="AI241" s="1023"/>
      <c r="AJ241" s="1023"/>
      <c r="AK241" s="1023"/>
      <c r="AL241" s="1023"/>
      <c r="AM241" s="1023"/>
      <c r="AN241" s="1023"/>
      <c r="AO241" s="1023"/>
      <c r="AP241" s="1023"/>
      <c r="AQ241" s="1023"/>
      <c r="AR241" s="1023"/>
      <c r="AS241" s="1023"/>
      <c r="AT241" s="1023"/>
      <c r="AU241" s="1023"/>
      <c r="AV241" s="1023"/>
      <c r="AW241" s="1023"/>
    </row>
    <row r="242" spans="1:49">
      <c r="A242" s="1023"/>
      <c r="B242" s="1040"/>
      <c r="C242" s="1040"/>
      <c r="D242" s="1040"/>
      <c r="E242" s="1023"/>
      <c r="F242" s="1040"/>
      <c r="G242" s="1023"/>
      <c r="L242" s="1040"/>
      <c r="M242" s="1040"/>
      <c r="N242" s="1023"/>
      <c r="O242" s="1023"/>
      <c r="P242" s="1023"/>
      <c r="Q242" s="1023"/>
      <c r="R242" s="1023"/>
      <c r="S242" s="1023"/>
      <c r="T242" s="1023"/>
      <c r="U242" s="1023"/>
      <c r="V242" s="1023"/>
      <c r="W242" s="1023"/>
      <c r="X242" s="1023"/>
      <c r="Y242" s="1023"/>
      <c r="Z242" s="1023"/>
      <c r="AA242" s="1023"/>
      <c r="AB242" s="1023"/>
      <c r="AC242" s="1023"/>
      <c r="AD242" s="1023"/>
      <c r="AE242" s="1023"/>
      <c r="AF242" s="1023"/>
      <c r="AG242" s="1023"/>
      <c r="AH242" s="1023"/>
      <c r="AI242" s="1023"/>
      <c r="AJ242" s="1023"/>
      <c r="AK242" s="1023"/>
      <c r="AL242" s="1023"/>
      <c r="AM242" s="1023"/>
      <c r="AN242" s="1023"/>
      <c r="AO242" s="1023"/>
      <c r="AP242" s="1023"/>
      <c r="AQ242" s="1023"/>
      <c r="AR242" s="1023"/>
      <c r="AS242" s="1023"/>
      <c r="AT242" s="1023"/>
      <c r="AU242" s="1023"/>
      <c r="AV242" s="1023"/>
      <c r="AW242" s="1023"/>
    </row>
    <row r="243" spans="1:49">
      <c r="A243" s="1023"/>
      <c r="B243" s="1040"/>
      <c r="C243" s="1040"/>
      <c r="D243" s="1040"/>
      <c r="E243" s="1023"/>
      <c r="F243" s="1040"/>
      <c r="G243" s="1023"/>
      <c r="L243" s="1040"/>
      <c r="M243" s="1040"/>
      <c r="N243" s="1023"/>
      <c r="O243" s="1023"/>
      <c r="P243" s="1023"/>
      <c r="Q243" s="1023"/>
      <c r="R243" s="1023"/>
      <c r="S243" s="1023"/>
      <c r="T243" s="1023"/>
      <c r="U243" s="1023"/>
      <c r="V243" s="1023"/>
      <c r="W243" s="1023"/>
      <c r="X243" s="1023"/>
      <c r="Y243" s="1023"/>
      <c r="Z243" s="1023"/>
      <c r="AA243" s="1023"/>
      <c r="AB243" s="1023"/>
      <c r="AC243" s="1023"/>
      <c r="AD243" s="1023"/>
      <c r="AE243" s="1023"/>
      <c r="AF243" s="1023"/>
      <c r="AG243" s="1023"/>
      <c r="AH243" s="1023"/>
      <c r="AI243" s="1023"/>
      <c r="AJ243" s="1023"/>
      <c r="AK243" s="1023"/>
      <c r="AL243" s="1023"/>
      <c r="AM243" s="1023"/>
      <c r="AN243" s="1023"/>
      <c r="AO243" s="1023"/>
      <c r="AP243" s="1023"/>
      <c r="AQ243" s="1023"/>
      <c r="AR243" s="1023"/>
      <c r="AS243" s="1023"/>
      <c r="AT243" s="1023"/>
      <c r="AU243" s="1023"/>
      <c r="AV243" s="1023"/>
      <c r="AW243" s="1023"/>
    </row>
    <row r="244" spans="1:49">
      <c r="A244" s="1023"/>
      <c r="B244" s="1040"/>
      <c r="C244" s="1040"/>
      <c r="D244" s="1040"/>
      <c r="E244" s="1023"/>
      <c r="F244" s="1040"/>
      <c r="G244" s="1023"/>
      <c r="L244" s="1040"/>
      <c r="M244" s="1040"/>
      <c r="N244" s="1023"/>
      <c r="O244" s="1023"/>
      <c r="P244" s="1023"/>
      <c r="Q244" s="1023"/>
      <c r="R244" s="1023"/>
      <c r="S244" s="1023"/>
      <c r="T244" s="1023"/>
      <c r="U244" s="1023"/>
      <c r="V244" s="1023"/>
      <c r="W244" s="1023"/>
      <c r="X244" s="1023"/>
      <c r="Y244" s="1023"/>
      <c r="Z244" s="1023"/>
      <c r="AA244" s="1023"/>
      <c r="AB244" s="1023"/>
      <c r="AC244" s="1023"/>
      <c r="AD244" s="1023"/>
      <c r="AE244" s="1023"/>
      <c r="AF244" s="1023"/>
      <c r="AG244" s="1023"/>
      <c r="AH244" s="1023"/>
      <c r="AI244" s="1023"/>
      <c r="AJ244" s="1023"/>
      <c r="AK244" s="1023"/>
      <c r="AL244" s="1023"/>
      <c r="AM244" s="1023"/>
      <c r="AN244" s="1023"/>
      <c r="AO244" s="1023"/>
      <c r="AP244" s="1023"/>
      <c r="AQ244" s="1023"/>
      <c r="AR244" s="1023"/>
      <c r="AS244" s="1023"/>
      <c r="AT244" s="1023"/>
      <c r="AU244" s="1023"/>
      <c r="AV244" s="1023"/>
      <c r="AW244" s="1023"/>
    </row>
    <row r="245" spans="1:49">
      <c r="A245" s="1023"/>
      <c r="B245" s="1040"/>
      <c r="C245" s="1040"/>
      <c r="D245" s="1040"/>
      <c r="E245" s="1023"/>
      <c r="F245" s="1040"/>
      <c r="G245" s="1023"/>
      <c r="L245" s="1040"/>
      <c r="M245" s="1040"/>
      <c r="N245" s="1023"/>
      <c r="O245" s="1023"/>
      <c r="P245" s="1023"/>
      <c r="Q245" s="1023"/>
      <c r="R245" s="1023"/>
      <c r="S245" s="1023"/>
      <c r="T245" s="1023"/>
      <c r="U245" s="1023"/>
      <c r="V245" s="1023"/>
      <c r="W245" s="1023"/>
      <c r="X245" s="1023"/>
      <c r="Y245" s="1023"/>
      <c r="Z245" s="1023"/>
      <c r="AA245" s="1023"/>
      <c r="AB245" s="1023"/>
      <c r="AC245" s="1023"/>
      <c r="AD245" s="1023"/>
      <c r="AE245" s="1023"/>
      <c r="AF245" s="1023"/>
      <c r="AG245" s="1023"/>
      <c r="AH245" s="1023"/>
      <c r="AI245" s="1023"/>
      <c r="AJ245" s="1023"/>
      <c r="AK245" s="1023"/>
      <c r="AL245" s="1023"/>
      <c r="AM245" s="1023"/>
      <c r="AN245" s="1023"/>
      <c r="AO245" s="1023"/>
      <c r="AP245" s="1023"/>
      <c r="AQ245" s="1023"/>
      <c r="AR245" s="1023"/>
      <c r="AS245" s="1023"/>
      <c r="AT245" s="1023"/>
      <c r="AU245" s="1023"/>
      <c r="AV245" s="1023"/>
      <c r="AW245" s="1023"/>
    </row>
    <row r="246" spans="1:49">
      <c r="A246" s="1023"/>
      <c r="B246" s="1040"/>
      <c r="C246" s="1040"/>
      <c r="D246" s="1040"/>
      <c r="E246" s="1023"/>
      <c r="F246" s="1040"/>
      <c r="G246" s="1023"/>
      <c r="L246" s="1040"/>
      <c r="M246" s="1040"/>
      <c r="N246" s="1023"/>
      <c r="O246" s="1023"/>
      <c r="P246" s="1023"/>
      <c r="Q246" s="1023"/>
      <c r="R246" s="1023"/>
      <c r="S246" s="1023"/>
      <c r="T246" s="1023"/>
      <c r="U246" s="1023"/>
      <c r="V246" s="1023"/>
      <c r="W246" s="1023"/>
      <c r="X246" s="1023"/>
      <c r="Y246" s="1023"/>
      <c r="Z246" s="1023"/>
      <c r="AA246" s="1023"/>
      <c r="AB246" s="1023"/>
      <c r="AC246" s="1023"/>
      <c r="AD246" s="1023"/>
      <c r="AE246" s="1023"/>
      <c r="AF246" s="1023"/>
      <c r="AG246" s="1023"/>
      <c r="AH246" s="1023"/>
      <c r="AI246" s="1023"/>
      <c r="AJ246" s="1023"/>
      <c r="AK246" s="1023"/>
      <c r="AL246" s="1023"/>
      <c r="AM246" s="1023"/>
      <c r="AN246" s="1023"/>
      <c r="AO246" s="1023"/>
      <c r="AP246" s="1023"/>
      <c r="AQ246" s="1023"/>
      <c r="AR246" s="1023"/>
      <c r="AS246" s="1023"/>
      <c r="AT246" s="1023"/>
      <c r="AU246" s="1023"/>
      <c r="AV246" s="1023"/>
      <c r="AW246" s="1023"/>
    </row>
    <row r="247" spans="1:49">
      <c r="A247" s="1023"/>
      <c r="B247" s="1040"/>
      <c r="C247" s="1040"/>
      <c r="D247" s="1040"/>
      <c r="E247" s="1023"/>
      <c r="F247" s="1040"/>
      <c r="G247" s="1023"/>
      <c r="L247" s="1040"/>
      <c r="M247" s="1040"/>
      <c r="N247" s="1023"/>
      <c r="O247" s="1023"/>
      <c r="P247" s="1023"/>
      <c r="Q247" s="1023"/>
      <c r="R247" s="1023"/>
      <c r="S247" s="1023"/>
      <c r="T247" s="1023"/>
      <c r="U247" s="1023"/>
      <c r="V247" s="1023"/>
      <c r="W247" s="1023"/>
      <c r="X247" s="1023"/>
      <c r="Y247" s="1023"/>
      <c r="Z247" s="1023"/>
      <c r="AA247" s="1023"/>
      <c r="AB247" s="1023"/>
      <c r="AC247" s="1023"/>
      <c r="AD247" s="1023"/>
      <c r="AE247" s="1023"/>
      <c r="AF247" s="1023"/>
      <c r="AG247" s="1023"/>
      <c r="AH247" s="1023"/>
      <c r="AI247" s="1023"/>
      <c r="AJ247" s="1023"/>
      <c r="AK247" s="1023"/>
      <c r="AL247" s="1023"/>
      <c r="AM247" s="1023"/>
      <c r="AN247" s="1023"/>
      <c r="AO247" s="1023"/>
      <c r="AP247" s="1023"/>
      <c r="AQ247" s="1023"/>
      <c r="AR247" s="1023"/>
      <c r="AS247" s="1023"/>
      <c r="AT247" s="1023"/>
      <c r="AU247" s="1023"/>
      <c r="AV247" s="1023"/>
      <c r="AW247" s="1023"/>
    </row>
    <row r="248" spans="1:49">
      <c r="A248" s="1023"/>
      <c r="B248" s="1040"/>
      <c r="C248" s="1040"/>
      <c r="D248" s="1040"/>
      <c r="E248" s="1023"/>
      <c r="F248" s="1040"/>
      <c r="G248" s="1023"/>
      <c r="L248" s="1040"/>
      <c r="M248" s="1040"/>
      <c r="N248" s="1023"/>
      <c r="O248" s="1023"/>
      <c r="P248" s="1023"/>
      <c r="Q248" s="1023"/>
      <c r="R248" s="1023"/>
      <c r="S248" s="1023"/>
      <c r="T248" s="1023"/>
      <c r="U248" s="1023"/>
      <c r="V248" s="1023"/>
      <c r="W248" s="1023"/>
      <c r="X248" s="1023"/>
      <c r="Y248" s="1023"/>
      <c r="Z248" s="1023"/>
      <c r="AA248" s="1023"/>
      <c r="AB248" s="1023"/>
      <c r="AC248" s="1023"/>
      <c r="AD248" s="1023"/>
      <c r="AE248" s="1023"/>
      <c r="AF248" s="1023"/>
      <c r="AG248" s="1023"/>
      <c r="AH248" s="1023"/>
      <c r="AI248" s="1023"/>
      <c r="AJ248" s="1023"/>
      <c r="AK248" s="1023"/>
      <c r="AL248" s="1023"/>
      <c r="AM248" s="1023"/>
      <c r="AN248" s="1023"/>
      <c r="AO248" s="1023"/>
      <c r="AP248" s="1023"/>
      <c r="AQ248" s="1023"/>
      <c r="AR248" s="1023"/>
      <c r="AS248" s="1023"/>
      <c r="AT248" s="1023"/>
      <c r="AU248" s="1023"/>
      <c r="AV248" s="1023"/>
      <c r="AW248" s="1023"/>
    </row>
    <row r="249" spans="1:49">
      <c r="A249" s="1023"/>
      <c r="B249" s="1040"/>
      <c r="C249" s="1040"/>
      <c r="D249" s="1040"/>
      <c r="E249" s="1023"/>
      <c r="F249" s="1040"/>
      <c r="G249" s="1023"/>
      <c r="L249" s="1040"/>
      <c r="M249" s="1040"/>
      <c r="N249" s="1023"/>
      <c r="O249" s="1023"/>
      <c r="P249" s="1023"/>
      <c r="Q249" s="1023"/>
      <c r="R249" s="1023"/>
      <c r="S249" s="1023"/>
      <c r="T249" s="1023"/>
      <c r="U249" s="1023"/>
      <c r="V249" s="1023"/>
      <c r="W249" s="1023"/>
      <c r="X249" s="1023"/>
      <c r="Y249" s="1023"/>
      <c r="Z249" s="1023"/>
      <c r="AA249" s="1023"/>
      <c r="AB249" s="1023"/>
      <c r="AC249" s="1023"/>
      <c r="AD249" s="1023"/>
      <c r="AE249" s="1023"/>
      <c r="AF249" s="1023"/>
      <c r="AG249" s="1023"/>
      <c r="AH249" s="1023"/>
      <c r="AI249" s="1023"/>
      <c r="AJ249" s="1023"/>
      <c r="AK249" s="1023"/>
      <c r="AL249" s="1023"/>
      <c r="AM249" s="1023"/>
      <c r="AN249" s="1023"/>
      <c r="AO249" s="1023"/>
      <c r="AP249" s="1023"/>
      <c r="AQ249" s="1023"/>
      <c r="AR249" s="1023"/>
      <c r="AS249" s="1023"/>
      <c r="AT249" s="1023"/>
      <c r="AU249" s="1023"/>
      <c r="AV249" s="1023"/>
      <c r="AW249" s="1023"/>
    </row>
    <row r="250" spans="1:49">
      <c r="A250" s="1023"/>
      <c r="B250" s="1040"/>
      <c r="C250" s="1040"/>
      <c r="D250" s="1040"/>
      <c r="E250" s="1023"/>
      <c r="F250" s="1040"/>
      <c r="G250" s="1023"/>
      <c r="L250" s="1040"/>
      <c r="M250" s="1040"/>
      <c r="N250" s="1023"/>
      <c r="O250" s="1023"/>
      <c r="P250" s="1023"/>
      <c r="Q250" s="1023"/>
      <c r="R250" s="1023"/>
      <c r="S250" s="1023"/>
      <c r="T250" s="1023"/>
      <c r="U250" s="1023"/>
      <c r="V250" s="1023"/>
      <c r="W250" s="1023"/>
      <c r="X250" s="1023"/>
      <c r="Y250" s="1023"/>
      <c r="Z250" s="1023"/>
      <c r="AA250" s="1023"/>
      <c r="AB250" s="1023"/>
      <c r="AC250" s="1023"/>
      <c r="AD250" s="1023"/>
      <c r="AE250" s="1023"/>
      <c r="AF250" s="1023"/>
      <c r="AG250" s="1023"/>
      <c r="AH250" s="1023"/>
      <c r="AI250" s="1023"/>
      <c r="AJ250" s="1023"/>
      <c r="AK250" s="1023"/>
      <c r="AL250" s="1023"/>
      <c r="AM250" s="1023"/>
      <c r="AN250" s="1023"/>
      <c r="AO250" s="1023"/>
      <c r="AP250" s="1023"/>
      <c r="AQ250" s="1023"/>
      <c r="AR250" s="1023"/>
      <c r="AS250" s="1023"/>
      <c r="AT250" s="1023"/>
      <c r="AU250" s="1023"/>
      <c r="AV250" s="1023"/>
      <c r="AW250" s="1023"/>
    </row>
    <row r="251" spans="1:49">
      <c r="A251" s="1023"/>
      <c r="B251" s="1040"/>
      <c r="C251" s="1040"/>
      <c r="D251" s="1040"/>
      <c r="E251" s="1023"/>
      <c r="F251" s="1040"/>
      <c r="G251" s="1023"/>
      <c r="L251" s="1040"/>
      <c r="M251" s="1040"/>
      <c r="N251" s="1023"/>
      <c r="O251" s="1023"/>
      <c r="P251" s="1023"/>
      <c r="Q251" s="1023"/>
      <c r="R251" s="1023"/>
      <c r="S251" s="1023"/>
      <c r="T251" s="1023"/>
      <c r="U251" s="1023"/>
      <c r="V251" s="1023"/>
      <c r="W251" s="1023"/>
      <c r="X251" s="1023"/>
      <c r="Y251" s="1023"/>
      <c r="Z251" s="1023"/>
      <c r="AA251" s="1023"/>
      <c r="AB251" s="1023"/>
      <c r="AC251" s="1023"/>
      <c r="AD251" s="1023"/>
      <c r="AE251" s="1023"/>
      <c r="AF251" s="1023"/>
      <c r="AG251" s="1023"/>
      <c r="AH251" s="1023"/>
      <c r="AI251" s="1023"/>
      <c r="AJ251" s="1023"/>
      <c r="AK251" s="1023"/>
      <c r="AL251" s="1023"/>
      <c r="AM251" s="1023"/>
      <c r="AN251" s="1023"/>
      <c r="AO251" s="1023"/>
      <c r="AP251" s="1023"/>
      <c r="AQ251" s="1023"/>
      <c r="AR251" s="1023"/>
      <c r="AS251" s="1023"/>
      <c r="AT251" s="1023"/>
      <c r="AU251" s="1023"/>
      <c r="AV251" s="1023"/>
      <c r="AW251" s="1023"/>
    </row>
    <row r="252" spans="1:49">
      <c r="A252" s="1023"/>
      <c r="B252" s="1040"/>
      <c r="C252" s="1040"/>
      <c r="D252" s="1040"/>
      <c r="E252" s="1023"/>
      <c r="F252" s="1040"/>
      <c r="G252" s="1023"/>
      <c r="L252" s="1040"/>
      <c r="M252" s="1040"/>
      <c r="N252" s="1023"/>
      <c r="O252" s="1023"/>
      <c r="P252" s="1023"/>
      <c r="Q252" s="1023"/>
      <c r="R252" s="1023"/>
      <c r="S252" s="1023"/>
      <c r="T252" s="1023"/>
      <c r="U252" s="1023"/>
      <c r="V252" s="1023"/>
      <c r="W252" s="1023"/>
      <c r="X252" s="1023"/>
      <c r="Y252" s="1023"/>
      <c r="Z252" s="1023"/>
      <c r="AA252" s="1023"/>
      <c r="AB252" s="1023"/>
      <c r="AC252" s="1023"/>
      <c r="AD252" s="1023"/>
      <c r="AE252" s="1023"/>
      <c r="AF252" s="1023"/>
      <c r="AG252" s="1023"/>
      <c r="AH252" s="1023"/>
      <c r="AI252" s="1023"/>
      <c r="AJ252" s="1023"/>
      <c r="AK252" s="1023"/>
      <c r="AL252" s="1023"/>
      <c r="AM252" s="1023"/>
      <c r="AN252" s="1023"/>
      <c r="AO252" s="1023"/>
      <c r="AP252" s="1023"/>
      <c r="AQ252" s="1023"/>
      <c r="AR252" s="1023"/>
      <c r="AS252" s="1023"/>
      <c r="AT252" s="1023"/>
      <c r="AU252" s="1023"/>
      <c r="AV252" s="1023"/>
      <c r="AW252" s="1023"/>
    </row>
    <row r="253" spans="1:49">
      <c r="A253" s="1023"/>
      <c r="B253" s="1040"/>
      <c r="C253" s="1040"/>
      <c r="D253" s="1040"/>
      <c r="E253" s="1023"/>
      <c r="F253" s="1040"/>
      <c r="G253" s="1023"/>
      <c r="L253" s="1040"/>
      <c r="M253" s="1040"/>
      <c r="N253" s="1023"/>
      <c r="O253" s="1023"/>
      <c r="P253" s="1023"/>
      <c r="Q253" s="1023"/>
      <c r="R253" s="1023"/>
      <c r="S253" s="1023"/>
      <c r="T253" s="1023"/>
      <c r="U253" s="1023"/>
      <c r="V253" s="1023"/>
      <c r="W253" s="1023"/>
      <c r="X253" s="1023"/>
      <c r="Y253" s="1023"/>
      <c r="Z253" s="1023"/>
      <c r="AA253" s="1023"/>
      <c r="AB253" s="1023"/>
      <c r="AC253" s="1023"/>
      <c r="AD253" s="1023"/>
      <c r="AE253" s="1023"/>
      <c r="AF253" s="1023"/>
      <c r="AG253" s="1023"/>
      <c r="AH253" s="1023"/>
      <c r="AI253" s="1023"/>
      <c r="AJ253" s="1023"/>
      <c r="AK253" s="1023"/>
      <c r="AL253" s="1023"/>
      <c r="AM253" s="1023"/>
      <c r="AN253" s="1023"/>
      <c r="AO253" s="1023"/>
      <c r="AP253" s="1023"/>
      <c r="AQ253" s="1023"/>
      <c r="AR253" s="1023"/>
      <c r="AS253" s="1023"/>
      <c r="AT253" s="1023"/>
      <c r="AU253" s="1023"/>
      <c r="AV253" s="1023"/>
      <c r="AW253" s="1023"/>
    </row>
    <row r="254" spans="1:49">
      <c r="A254" s="1023"/>
      <c r="B254" s="1040"/>
      <c r="C254" s="1040"/>
      <c r="D254" s="1040"/>
      <c r="E254" s="1023"/>
      <c r="F254" s="1040"/>
      <c r="G254" s="1023"/>
      <c r="L254" s="1040"/>
      <c r="M254" s="1040"/>
      <c r="N254" s="1023"/>
      <c r="O254" s="1023"/>
      <c r="P254" s="1023"/>
      <c r="Q254" s="1023"/>
      <c r="R254" s="1023"/>
      <c r="S254" s="1023"/>
      <c r="T254" s="1023"/>
      <c r="U254" s="1023"/>
      <c r="V254" s="1023"/>
      <c r="W254" s="1023"/>
      <c r="X254" s="1023"/>
      <c r="Y254" s="1023"/>
      <c r="Z254" s="1023"/>
      <c r="AA254" s="1023"/>
      <c r="AB254" s="1023"/>
      <c r="AC254" s="1023"/>
      <c r="AD254" s="1023"/>
      <c r="AE254" s="1023"/>
      <c r="AF254" s="1023"/>
      <c r="AG254" s="1023"/>
      <c r="AH254" s="1023"/>
      <c r="AI254" s="1023"/>
      <c r="AJ254" s="1023"/>
      <c r="AK254" s="1023"/>
      <c r="AL254" s="1023"/>
      <c r="AM254" s="1023"/>
      <c r="AN254" s="1023"/>
      <c r="AO254" s="1023"/>
      <c r="AP254" s="1023"/>
      <c r="AQ254" s="1023"/>
      <c r="AR254" s="1023"/>
      <c r="AS254" s="1023"/>
      <c r="AT254" s="1023"/>
      <c r="AU254" s="1023"/>
      <c r="AV254" s="1023"/>
      <c r="AW254" s="1023"/>
    </row>
    <row r="255" spans="1:49">
      <c r="A255" s="1023"/>
      <c r="B255" s="1040"/>
      <c r="C255" s="1040"/>
      <c r="D255" s="1040"/>
      <c r="E255" s="1023"/>
      <c r="F255" s="1040"/>
      <c r="G255" s="1023"/>
      <c r="L255" s="1040"/>
      <c r="M255" s="1040"/>
      <c r="N255" s="1023"/>
      <c r="O255" s="1023"/>
      <c r="P255" s="1023"/>
      <c r="Q255" s="1023"/>
      <c r="R255" s="1023"/>
      <c r="S255" s="1023"/>
      <c r="T255" s="1023"/>
      <c r="U255" s="1023"/>
      <c r="V255" s="1023"/>
      <c r="W255" s="1023"/>
      <c r="X255" s="1023"/>
      <c r="Y255" s="1023"/>
      <c r="Z255" s="1023"/>
      <c r="AA255" s="1023"/>
      <c r="AB255" s="1023"/>
      <c r="AC255" s="1023"/>
      <c r="AD255" s="1023"/>
      <c r="AE255" s="1023"/>
      <c r="AF255" s="1023"/>
      <c r="AG255" s="1023"/>
      <c r="AH255" s="1023"/>
      <c r="AI255" s="1023"/>
      <c r="AJ255" s="1023"/>
      <c r="AK255" s="1023"/>
      <c r="AL255" s="1023"/>
      <c r="AM255" s="1023"/>
      <c r="AN255" s="1023"/>
      <c r="AO255" s="1023"/>
      <c r="AP255" s="1023"/>
      <c r="AQ255" s="1023"/>
      <c r="AR255" s="1023"/>
      <c r="AS255" s="1023"/>
      <c r="AT255" s="1023"/>
      <c r="AU255" s="1023"/>
      <c r="AV255" s="1023"/>
      <c r="AW255" s="1023"/>
    </row>
    <row r="256" spans="1:49">
      <c r="A256" s="1023"/>
      <c r="B256" s="1040"/>
      <c r="C256" s="1040"/>
      <c r="D256" s="1040"/>
      <c r="E256" s="1023"/>
      <c r="F256" s="1040"/>
      <c r="G256" s="1023"/>
      <c r="L256" s="1040"/>
      <c r="M256" s="1040"/>
      <c r="N256" s="1023"/>
      <c r="O256" s="1023"/>
      <c r="P256" s="1023"/>
      <c r="Q256" s="1023"/>
      <c r="R256" s="1023"/>
      <c r="S256" s="1023"/>
      <c r="T256" s="1023"/>
      <c r="U256" s="1023"/>
      <c r="V256" s="1023"/>
      <c r="W256" s="1023"/>
      <c r="X256" s="1023"/>
      <c r="Y256" s="1023"/>
      <c r="Z256" s="1023"/>
      <c r="AA256" s="1023"/>
      <c r="AB256" s="1023"/>
      <c r="AC256" s="1023"/>
      <c r="AD256" s="1023"/>
      <c r="AE256" s="1023"/>
      <c r="AF256" s="1023"/>
      <c r="AG256" s="1023"/>
      <c r="AH256" s="1023"/>
      <c r="AI256" s="1023"/>
      <c r="AJ256" s="1023"/>
      <c r="AK256" s="1023"/>
      <c r="AL256" s="1023"/>
      <c r="AM256" s="1023"/>
      <c r="AN256" s="1023"/>
      <c r="AO256" s="1023"/>
      <c r="AP256" s="1023"/>
      <c r="AQ256" s="1023"/>
      <c r="AR256" s="1023"/>
      <c r="AS256" s="1023"/>
      <c r="AT256" s="1023"/>
      <c r="AU256" s="1023"/>
      <c r="AV256" s="1023"/>
      <c r="AW256" s="1023"/>
    </row>
    <row r="257" spans="1:49">
      <c r="A257" s="1023"/>
      <c r="B257" s="1040"/>
      <c r="C257" s="1040"/>
      <c r="D257" s="1040"/>
      <c r="E257" s="1023"/>
      <c r="F257" s="1040"/>
      <c r="G257" s="1023"/>
      <c r="L257" s="1040"/>
      <c r="M257" s="1040"/>
      <c r="N257" s="1023"/>
      <c r="O257" s="1023"/>
      <c r="P257" s="1023"/>
      <c r="Q257" s="1023"/>
      <c r="R257" s="1023"/>
      <c r="S257" s="1023"/>
      <c r="T257" s="1023"/>
      <c r="U257" s="1023"/>
      <c r="V257" s="1023"/>
      <c r="W257" s="1023"/>
      <c r="X257" s="1023"/>
      <c r="Y257" s="1023"/>
      <c r="Z257" s="1023"/>
      <c r="AA257" s="1023"/>
      <c r="AB257" s="1023"/>
      <c r="AC257" s="1023"/>
      <c r="AD257" s="1023"/>
      <c r="AE257" s="1023"/>
      <c r="AF257" s="1023"/>
      <c r="AG257" s="1023"/>
      <c r="AH257" s="1023"/>
      <c r="AI257" s="1023"/>
      <c r="AJ257" s="1023"/>
      <c r="AK257" s="1023"/>
      <c r="AL257" s="1023"/>
      <c r="AM257" s="1023"/>
      <c r="AN257" s="1023"/>
      <c r="AO257" s="1023"/>
      <c r="AP257" s="1023"/>
      <c r="AQ257" s="1023"/>
      <c r="AR257" s="1023"/>
      <c r="AS257" s="1023"/>
      <c r="AT257" s="1023"/>
      <c r="AU257" s="1023"/>
      <c r="AV257" s="1023"/>
      <c r="AW257" s="1023"/>
    </row>
    <row r="258" spans="1:49">
      <c r="A258" s="1023"/>
      <c r="B258" s="1040"/>
      <c r="C258" s="1040"/>
      <c r="D258" s="1040"/>
      <c r="E258" s="1023"/>
      <c r="F258" s="1040"/>
      <c r="G258" s="1023"/>
      <c r="L258" s="1040"/>
      <c r="M258" s="1040"/>
      <c r="N258" s="1023"/>
      <c r="O258" s="1023"/>
      <c r="P258" s="1023"/>
      <c r="Q258" s="1023"/>
      <c r="R258" s="1023"/>
      <c r="S258" s="1023"/>
      <c r="T258" s="1023"/>
      <c r="U258" s="1023"/>
      <c r="V258" s="1023"/>
      <c r="W258" s="1023"/>
      <c r="X258" s="1023"/>
      <c r="Y258" s="1023"/>
      <c r="Z258" s="1023"/>
      <c r="AA258" s="1023"/>
      <c r="AB258" s="1023"/>
      <c r="AC258" s="1023"/>
      <c r="AD258" s="1023"/>
      <c r="AE258" s="1023"/>
      <c r="AF258" s="1023"/>
      <c r="AG258" s="1023"/>
      <c r="AH258" s="1023"/>
      <c r="AI258" s="1023"/>
      <c r="AJ258" s="1023"/>
      <c r="AK258" s="1023"/>
      <c r="AL258" s="1023"/>
      <c r="AM258" s="1023"/>
      <c r="AN258" s="1023"/>
      <c r="AO258" s="1023"/>
      <c r="AP258" s="1023"/>
      <c r="AQ258" s="1023"/>
      <c r="AR258" s="1023"/>
      <c r="AS258" s="1023"/>
      <c r="AT258" s="1023"/>
      <c r="AU258" s="1023"/>
      <c r="AV258" s="1023"/>
      <c r="AW258" s="1023"/>
    </row>
    <row r="259" spans="1:49">
      <c r="A259" s="1023"/>
      <c r="B259" s="1040"/>
      <c r="C259" s="1040"/>
      <c r="D259" s="1040"/>
      <c r="E259" s="1023"/>
      <c r="F259" s="1040"/>
      <c r="G259" s="1023"/>
      <c r="L259" s="1040"/>
      <c r="M259" s="1040"/>
      <c r="N259" s="1023"/>
      <c r="O259" s="1023"/>
      <c r="P259" s="1023"/>
      <c r="Q259" s="1023"/>
      <c r="R259" s="1023"/>
      <c r="S259" s="1023"/>
      <c r="T259" s="1023"/>
      <c r="U259" s="1023"/>
      <c r="V259" s="1023"/>
      <c r="W259" s="1023"/>
      <c r="X259" s="1023"/>
      <c r="Y259" s="1023"/>
      <c r="Z259" s="1023"/>
      <c r="AA259" s="1023"/>
      <c r="AB259" s="1023"/>
      <c r="AC259" s="1023"/>
      <c r="AD259" s="1023"/>
      <c r="AE259" s="1023"/>
      <c r="AF259" s="1023"/>
      <c r="AG259" s="1023"/>
      <c r="AH259" s="1023"/>
      <c r="AI259" s="1023"/>
      <c r="AJ259" s="1023"/>
      <c r="AK259" s="1023"/>
      <c r="AL259" s="1023"/>
      <c r="AM259" s="1023"/>
      <c r="AN259" s="1023"/>
      <c r="AO259" s="1023"/>
      <c r="AP259" s="1023"/>
      <c r="AQ259" s="1023"/>
      <c r="AR259" s="1023"/>
      <c r="AS259" s="1023"/>
      <c r="AT259" s="1023"/>
      <c r="AU259" s="1023"/>
      <c r="AV259" s="1023"/>
      <c r="AW259" s="1023"/>
    </row>
    <row r="260" spans="1:49">
      <c r="A260" s="1023"/>
      <c r="B260" s="1040"/>
      <c r="C260" s="1040"/>
      <c r="D260" s="1040"/>
      <c r="E260" s="1023"/>
      <c r="F260" s="1040"/>
      <c r="G260" s="1023"/>
      <c r="L260" s="1040"/>
      <c r="M260" s="1040"/>
      <c r="N260" s="1023"/>
      <c r="O260" s="1023"/>
      <c r="P260" s="1023"/>
      <c r="Q260" s="1023"/>
      <c r="R260" s="1023"/>
      <c r="S260" s="1023"/>
      <c r="T260" s="1023"/>
      <c r="U260" s="1023"/>
      <c r="V260" s="1023"/>
      <c r="W260" s="1023"/>
      <c r="X260" s="1023"/>
      <c r="Y260" s="1023"/>
      <c r="Z260" s="1023"/>
      <c r="AA260" s="1023"/>
      <c r="AB260" s="1023"/>
      <c r="AC260" s="1023"/>
      <c r="AD260" s="1023"/>
      <c r="AE260" s="1023"/>
      <c r="AF260" s="1023"/>
      <c r="AG260" s="1023"/>
      <c r="AH260" s="1023"/>
      <c r="AI260" s="1023"/>
      <c r="AJ260" s="1023"/>
      <c r="AK260" s="1023"/>
      <c r="AL260" s="1023"/>
      <c r="AM260" s="1023"/>
      <c r="AN260" s="1023"/>
      <c r="AO260" s="1023"/>
      <c r="AP260" s="1023"/>
      <c r="AQ260" s="1023"/>
      <c r="AR260" s="1023"/>
      <c r="AS260" s="1023"/>
      <c r="AT260" s="1023"/>
      <c r="AU260" s="1023"/>
      <c r="AV260" s="1023"/>
      <c r="AW260" s="1023"/>
    </row>
    <row r="261" spans="1:49">
      <c r="A261" s="1023"/>
      <c r="B261" s="1040"/>
      <c r="C261" s="1040"/>
      <c r="D261" s="1040"/>
      <c r="E261" s="1023"/>
      <c r="F261" s="1040"/>
      <c r="G261" s="1023"/>
      <c r="L261" s="1040"/>
      <c r="M261" s="1040"/>
      <c r="N261" s="1023"/>
      <c r="O261" s="1023"/>
      <c r="P261" s="1023"/>
      <c r="Q261" s="1023"/>
      <c r="R261" s="1023"/>
      <c r="S261" s="1023"/>
      <c r="T261" s="1023"/>
      <c r="U261" s="1023"/>
      <c r="V261" s="1023"/>
      <c r="W261" s="1023"/>
      <c r="X261" s="1023"/>
      <c r="Y261" s="1023"/>
      <c r="Z261" s="1023"/>
      <c r="AA261" s="1023"/>
      <c r="AB261" s="1023"/>
      <c r="AC261" s="1023"/>
      <c r="AD261" s="1023"/>
      <c r="AE261" s="1023"/>
      <c r="AF261" s="1023"/>
      <c r="AG261" s="1023"/>
      <c r="AH261" s="1023"/>
      <c r="AI261" s="1023"/>
      <c r="AJ261" s="1023"/>
      <c r="AK261" s="1023"/>
      <c r="AL261" s="1023"/>
      <c r="AM261" s="1023"/>
      <c r="AN261" s="1023"/>
      <c r="AO261" s="1023"/>
      <c r="AP261" s="1023"/>
      <c r="AQ261" s="1023"/>
      <c r="AR261" s="1023"/>
      <c r="AS261" s="1023"/>
      <c r="AT261" s="1023"/>
      <c r="AU261" s="1023"/>
      <c r="AV261" s="1023"/>
      <c r="AW261" s="1023"/>
    </row>
    <row r="262" spans="1:49">
      <c r="A262" s="1023"/>
      <c r="B262" s="1040"/>
      <c r="C262" s="1040"/>
      <c r="D262" s="1040"/>
      <c r="E262" s="1023"/>
      <c r="F262" s="1040"/>
      <c r="G262" s="1023"/>
      <c r="L262" s="1040"/>
      <c r="M262" s="1040"/>
      <c r="N262" s="1023"/>
      <c r="O262" s="1023"/>
      <c r="P262" s="1023"/>
      <c r="Q262" s="1023"/>
      <c r="R262" s="1023"/>
      <c r="S262" s="1023"/>
      <c r="T262" s="1023"/>
      <c r="U262" s="1023"/>
      <c r="V262" s="1023"/>
      <c r="W262" s="1023"/>
      <c r="X262" s="1023"/>
      <c r="Y262" s="1023"/>
      <c r="Z262" s="1023"/>
      <c r="AA262" s="1023"/>
      <c r="AB262" s="1023"/>
      <c r="AC262" s="1023"/>
      <c r="AD262" s="1023"/>
      <c r="AE262" s="1023"/>
      <c r="AF262" s="1023"/>
      <c r="AG262" s="1023"/>
      <c r="AH262" s="1023"/>
      <c r="AI262" s="1023"/>
      <c r="AJ262" s="1023"/>
      <c r="AK262" s="1023"/>
      <c r="AL262" s="1023"/>
      <c r="AM262" s="1023"/>
      <c r="AN262" s="1023"/>
      <c r="AO262" s="1023"/>
      <c r="AP262" s="1023"/>
      <c r="AQ262" s="1023"/>
      <c r="AR262" s="1023"/>
      <c r="AS262" s="1023"/>
      <c r="AT262" s="1023"/>
      <c r="AU262" s="1023"/>
      <c r="AV262" s="1023"/>
      <c r="AW262" s="1023"/>
    </row>
    <row r="263" spans="1:49">
      <c r="A263" s="1023"/>
      <c r="B263" s="1040"/>
      <c r="C263" s="1040"/>
      <c r="D263" s="1040"/>
      <c r="E263" s="1023"/>
      <c r="F263" s="1040"/>
      <c r="G263" s="1023"/>
      <c r="L263" s="1040"/>
      <c r="M263" s="1040"/>
      <c r="N263" s="1023"/>
      <c r="O263" s="1023"/>
      <c r="P263" s="1023"/>
      <c r="Q263" s="1023"/>
      <c r="R263" s="1023"/>
      <c r="S263" s="1023"/>
      <c r="T263" s="1023"/>
      <c r="U263" s="1023"/>
      <c r="V263" s="1023"/>
      <c r="W263" s="1023"/>
      <c r="X263" s="1023"/>
      <c r="Y263" s="1023"/>
      <c r="Z263" s="1023"/>
      <c r="AA263" s="1023"/>
      <c r="AB263" s="1023"/>
      <c r="AC263" s="1023"/>
      <c r="AD263" s="1023"/>
      <c r="AE263" s="1023"/>
      <c r="AF263" s="1023"/>
      <c r="AG263" s="1023"/>
      <c r="AH263" s="1023"/>
      <c r="AI263" s="1023"/>
      <c r="AJ263" s="1023"/>
      <c r="AK263" s="1023"/>
      <c r="AL263" s="1023"/>
      <c r="AM263" s="1023"/>
      <c r="AN263" s="1023"/>
      <c r="AO263" s="1023"/>
      <c r="AP263" s="1023"/>
      <c r="AQ263" s="1023"/>
      <c r="AR263" s="1023"/>
      <c r="AS263" s="1023"/>
      <c r="AT263" s="1023"/>
      <c r="AU263" s="1023"/>
      <c r="AV263" s="1023"/>
      <c r="AW263" s="1023"/>
    </row>
    <row r="264" spans="1:49">
      <c r="A264" s="1023"/>
      <c r="B264" s="1040"/>
      <c r="C264" s="1040"/>
      <c r="D264" s="1040"/>
      <c r="E264" s="1023"/>
      <c r="F264" s="1040"/>
      <c r="G264" s="1023"/>
      <c r="L264" s="1040"/>
      <c r="M264" s="1040"/>
      <c r="N264" s="1023"/>
      <c r="O264" s="1023"/>
      <c r="P264" s="1023"/>
      <c r="Q264" s="1023"/>
      <c r="R264" s="1023"/>
      <c r="S264" s="1023"/>
      <c r="T264" s="1023"/>
      <c r="U264" s="1023"/>
      <c r="V264" s="1023"/>
      <c r="W264" s="1023"/>
      <c r="X264" s="1023"/>
      <c r="Y264" s="1023"/>
      <c r="Z264" s="1023"/>
      <c r="AA264" s="1023"/>
      <c r="AB264" s="1023"/>
      <c r="AC264" s="1023"/>
      <c r="AD264" s="1023"/>
      <c r="AE264" s="1023"/>
      <c r="AF264" s="1023"/>
      <c r="AG264" s="1023"/>
      <c r="AH264" s="1023"/>
      <c r="AI264" s="1023"/>
      <c r="AJ264" s="1023"/>
      <c r="AK264" s="1023"/>
      <c r="AL264" s="1023"/>
      <c r="AM264" s="1023"/>
      <c r="AN264" s="1023"/>
      <c r="AO264" s="1023"/>
      <c r="AP264" s="1023"/>
      <c r="AQ264" s="1023"/>
      <c r="AR264" s="1023"/>
      <c r="AS264" s="1023"/>
      <c r="AT264" s="1023"/>
      <c r="AU264" s="1023"/>
      <c r="AV264" s="1023"/>
      <c r="AW264" s="1023"/>
    </row>
    <row r="265" spans="1:49">
      <c r="A265" s="1023"/>
      <c r="B265" s="1040"/>
      <c r="C265" s="1040"/>
      <c r="D265" s="1040"/>
      <c r="E265" s="1023"/>
      <c r="F265" s="1040"/>
      <c r="G265" s="1023"/>
      <c r="L265" s="1040"/>
      <c r="M265" s="1040"/>
      <c r="N265" s="1023"/>
      <c r="O265" s="1023"/>
      <c r="P265" s="1023"/>
      <c r="Q265" s="1023"/>
      <c r="R265" s="1023"/>
      <c r="S265" s="1023"/>
      <c r="T265" s="1023"/>
      <c r="U265" s="1023"/>
      <c r="V265" s="1023"/>
      <c r="W265" s="1023"/>
      <c r="X265" s="1023"/>
      <c r="Y265" s="1023"/>
      <c r="Z265" s="1023"/>
      <c r="AA265" s="1023"/>
      <c r="AB265" s="1023"/>
      <c r="AC265" s="1023"/>
      <c r="AD265" s="1023"/>
      <c r="AE265" s="1023"/>
      <c r="AF265" s="1023"/>
      <c r="AG265" s="1023"/>
      <c r="AH265" s="1023"/>
      <c r="AI265" s="1023"/>
      <c r="AJ265" s="1023"/>
      <c r="AK265" s="1023"/>
      <c r="AL265" s="1023"/>
      <c r="AM265" s="1023"/>
      <c r="AN265" s="1023"/>
      <c r="AO265" s="1023"/>
      <c r="AP265" s="1023"/>
      <c r="AQ265" s="1023"/>
      <c r="AR265" s="1023"/>
      <c r="AS265" s="1023"/>
      <c r="AT265" s="1023"/>
      <c r="AU265" s="1023"/>
      <c r="AV265" s="1023"/>
      <c r="AW265" s="1023"/>
    </row>
    <row r="266" spans="1:49">
      <c r="A266" s="1023"/>
      <c r="B266" s="1040"/>
      <c r="C266" s="1040"/>
      <c r="D266" s="1040"/>
      <c r="E266" s="1023"/>
      <c r="F266" s="1040"/>
      <c r="G266" s="1023"/>
      <c r="L266" s="1040"/>
      <c r="M266" s="1040"/>
      <c r="N266" s="1023"/>
      <c r="O266" s="1023"/>
      <c r="P266" s="1023"/>
      <c r="Q266" s="1023"/>
      <c r="R266" s="1023"/>
      <c r="S266" s="1023"/>
      <c r="T266" s="1023"/>
      <c r="U266" s="1023"/>
      <c r="V266" s="1023"/>
      <c r="W266" s="1023"/>
      <c r="X266" s="1023"/>
      <c r="Y266" s="1023"/>
      <c r="Z266" s="1023"/>
      <c r="AA266" s="1023"/>
      <c r="AB266" s="1023"/>
      <c r="AC266" s="1023"/>
      <c r="AD266" s="1023"/>
      <c r="AE266" s="1023"/>
      <c r="AF266" s="1023"/>
      <c r="AG266" s="1023"/>
      <c r="AH266" s="1023"/>
      <c r="AI266" s="1023"/>
      <c r="AJ266" s="1023"/>
      <c r="AK266" s="1023"/>
      <c r="AL266" s="1023"/>
      <c r="AM266" s="1023"/>
      <c r="AN266" s="1023"/>
      <c r="AO266" s="1023"/>
      <c r="AP266" s="1023"/>
      <c r="AQ266" s="1023"/>
      <c r="AR266" s="1023"/>
      <c r="AS266" s="1023"/>
      <c r="AT266" s="1023"/>
      <c r="AU266" s="1023"/>
      <c r="AV266" s="1023"/>
      <c r="AW266" s="1023"/>
    </row>
    <row r="267" spans="1:49">
      <c r="A267" s="1023"/>
      <c r="B267" s="1040"/>
      <c r="C267" s="1040"/>
      <c r="D267" s="1040"/>
      <c r="E267" s="1023"/>
      <c r="F267" s="1040"/>
      <c r="G267" s="1023"/>
      <c r="L267" s="1040"/>
      <c r="M267" s="1040"/>
      <c r="N267" s="1023"/>
      <c r="O267" s="1023"/>
      <c r="P267" s="1023"/>
      <c r="Q267" s="1023"/>
      <c r="R267" s="1023"/>
      <c r="S267" s="1023"/>
      <c r="T267" s="1023"/>
      <c r="U267" s="1023"/>
      <c r="V267" s="1023"/>
      <c r="W267" s="1023"/>
      <c r="X267" s="1023"/>
      <c r="Y267" s="1023"/>
      <c r="Z267" s="1023"/>
      <c r="AA267" s="1023"/>
      <c r="AB267" s="1023"/>
      <c r="AC267" s="1023"/>
      <c r="AD267" s="1023"/>
      <c r="AE267" s="1023"/>
      <c r="AF267" s="1023"/>
      <c r="AG267" s="1023"/>
      <c r="AH267" s="1023"/>
      <c r="AI267" s="1023"/>
      <c r="AJ267" s="1023"/>
      <c r="AK267" s="1023"/>
      <c r="AL267" s="1023"/>
      <c r="AM267" s="1023"/>
      <c r="AN267" s="1023"/>
      <c r="AO267" s="1023"/>
      <c r="AP267" s="1023"/>
      <c r="AQ267" s="1023"/>
      <c r="AR267" s="1023"/>
      <c r="AS267" s="1023"/>
      <c r="AT267" s="1023"/>
      <c r="AU267" s="1023"/>
      <c r="AV267" s="1023"/>
      <c r="AW267" s="1023"/>
    </row>
    <row r="268" spans="1:49">
      <c r="A268" s="1023"/>
      <c r="B268" s="1040"/>
      <c r="C268" s="1040"/>
      <c r="D268" s="1040"/>
      <c r="E268" s="1023"/>
      <c r="F268" s="1040"/>
      <c r="G268" s="1023"/>
      <c r="L268" s="1040"/>
      <c r="M268" s="1040"/>
      <c r="N268" s="1023"/>
      <c r="O268" s="1023"/>
      <c r="P268" s="1023"/>
      <c r="Q268" s="1023"/>
      <c r="R268" s="1023"/>
      <c r="S268" s="1023"/>
      <c r="T268" s="1023"/>
      <c r="U268" s="1023"/>
      <c r="V268" s="1023"/>
      <c r="W268" s="1023"/>
      <c r="X268" s="1023"/>
      <c r="Y268" s="1023"/>
      <c r="Z268" s="1023"/>
      <c r="AA268" s="1023"/>
      <c r="AB268" s="1023"/>
      <c r="AC268" s="1023"/>
      <c r="AD268" s="1023"/>
      <c r="AE268" s="1023"/>
      <c r="AF268" s="1023"/>
      <c r="AG268" s="1023"/>
      <c r="AH268" s="1023"/>
      <c r="AI268" s="1023"/>
      <c r="AJ268" s="1023"/>
      <c r="AK268" s="1023"/>
      <c r="AL268" s="1023"/>
      <c r="AM268" s="1023"/>
      <c r="AN268" s="1023"/>
      <c r="AO268" s="1023"/>
      <c r="AP268" s="1023"/>
      <c r="AQ268" s="1023"/>
      <c r="AR268" s="1023"/>
      <c r="AS268" s="1023"/>
      <c r="AT268" s="1023"/>
      <c r="AU268" s="1023"/>
      <c r="AV268" s="1023"/>
      <c r="AW268" s="1023"/>
    </row>
    <row r="269" spans="1:49">
      <c r="A269" s="1023"/>
      <c r="B269" s="1040"/>
      <c r="C269" s="1040"/>
      <c r="D269" s="1040"/>
      <c r="E269" s="1023"/>
      <c r="F269" s="1040"/>
      <c r="G269" s="1023"/>
      <c r="L269" s="1040"/>
      <c r="M269" s="1040"/>
      <c r="N269" s="1023"/>
      <c r="O269" s="1023"/>
      <c r="P269" s="1023"/>
      <c r="Q269" s="1023"/>
      <c r="R269" s="1023"/>
      <c r="S269" s="1023"/>
      <c r="T269" s="1023"/>
      <c r="U269" s="1023"/>
      <c r="V269" s="1023"/>
      <c r="W269" s="1023"/>
      <c r="X269" s="1023"/>
      <c r="Y269" s="1023"/>
      <c r="Z269" s="1023"/>
      <c r="AA269" s="1023"/>
      <c r="AB269" s="1023"/>
      <c r="AC269" s="1023"/>
      <c r="AD269" s="1023"/>
      <c r="AE269" s="1023"/>
      <c r="AF269" s="1023"/>
      <c r="AG269" s="1023"/>
      <c r="AH269" s="1023"/>
      <c r="AI269" s="1023"/>
      <c r="AJ269" s="1023"/>
      <c r="AK269" s="1023"/>
      <c r="AL269" s="1023"/>
      <c r="AM269" s="1023"/>
      <c r="AN269" s="1023"/>
      <c r="AO269" s="1023"/>
      <c r="AP269" s="1023"/>
      <c r="AQ269" s="1023"/>
      <c r="AR269" s="1023"/>
      <c r="AS269" s="1023"/>
      <c r="AT269" s="1023"/>
      <c r="AU269" s="1023"/>
      <c r="AV269" s="1023"/>
      <c r="AW269" s="1023"/>
    </row>
    <row r="270" spans="1:49">
      <c r="A270" s="1023"/>
      <c r="B270" s="1040"/>
      <c r="C270" s="1040"/>
      <c r="D270" s="1040"/>
      <c r="E270" s="1023"/>
      <c r="F270" s="1040"/>
      <c r="G270" s="1023"/>
      <c r="L270" s="1040"/>
      <c r="M270" s="1040"/>
      <c r="N270" s="1023"/>
      <c r="O270" s="1023"/>
      <c r="P270" s="1023"/>
      <c r="Q270" s="1023"/>
      <c r="R270" s="1023"/>
      <c r="S270" s="1023"/>
      <c r="T270" s="1023"/>
      <c r="U270" s="1023"/>
      <c r="V270" s="1023"/>
      <c r="W270" s="1023"/>
      <c r="X270" s="1023"/>
      <c r="Y270" s="1023"/>
      <c r="Z270" s="1023"/>
      <c r="AA270" s="1023"/>
      <c r="AB270" s="1023"/>
      <c r="AC270" s="1023"/>
      <c r="AD270" s="1023"/>
      <c r="AE270" s="1023"/>
      <c r="AF270" s="1023"/>
      <c r="AG270" s="1023"/>
      <c r="AH270" s="1023"/>
      <c r="AI270" s="1023"/>
      <c r="AJ270" s="1023"/>
      <c r="AK270" s="1023"/>
      <c r="AL270" s="1023"/>
      <c r="AM270" s="1023"/>
      <c r="AN270" s="1023"/>
      <c r="AO270" s="1023"/>
      <c r="AP270" s="1023"/>
      <c r="AQ270" s="1023"/>
      <c r="AR270" s="1023"/>
      <c r="AS270" s="1023"/>
      <c r="AT270" s="1023"/>
      <c r="AU270" s="1023"/>
      <c r="AV270" s="1023"/>
      <c r="AW270" s="1023"/>
    </row>
    <row r="271" spans="1:49">
      <c r="A271" s="1023"/>
      <c r="B271" s="1040"/>
      <c r="C271" s="1040"/>
      <c r="D271" s="1040"/>
      <c r="E271" s="1023"/>
      <c r="F271" s="1040"/>
      <c r="G271" s="1023"/>
      <c r="L271" s="1040"/>
      <c r="M271" s="1040"/>
      <c r="N271" s="1023"/>
      <c r="O271" s="1023"/>
      <c r="P271" s="1023"/>
      <c r="Q271" s="1023"/>
      <c r="R271" s="1023"/>
      <c r="S271" s="1023"/>
      <c r="T271" s="1023"/>
      <c r="U271" s="1023"/>
      <c r="V271" s="1023"/>
      <c r="W271" s="1023"/>
      <c r="X271" s="1023"/>
      <c r="Y271" s="1023"/>
      <c r="Z271" s="1023"/>
      <c r="AA271" s="1023"/>
      <c r="AB271" s="1023"/>
      <c r="AC271" s="1023"/>
      <c r="AD271" s="1023"/>
      <c r="AE271" s="1023"/>
      <c r="AF271" s="1023"/>
      <c r="AG271" s="1023"/>
      <c r="AH271" s="1023"/>
      <c r="AI271" s="1023"/>
      <c r="AJ271" s="1023"/>
      <c r="AK271" s="1023"/>
      <c r="AL271" s="1023"/>
      <c r="AM271" s="1023"/>
      <c r="AN271" s="1023"/>
      <c r="AO271" s="1023"/>
      <c r="AP271" s="1023"/>
      <c r="AQ271" s="1023"/>
      <c r="AR271" s="1023"/>
      <c r="AS271" s="1023"/>
      <c r="AT271" s="1023"/>
      <c r="AU271" s="1023"/>
      <c r="AV271" s="1023"/>
      <c r="AW271" s="1023"/>
    </row>
    <row r="272" spans="1:49">
      <c r="A272" s="1023"/>
      <c r="B272" s="1040"/>
      <c r="C272" s="1040"/>
      <c r="D272" s="1040"/>
      <c r="E272" s="1023"/>
      <c r="F272" s="1040"/>
      <c r="G272" s="1023"/>
      <c r="L272" s="1040"/>
      <c r="M272" s="1040"/>
      <c r="N272" s="1023"/>
      <c r="O272" s="1023"/>
      <c r="P272" s="1023"/>
      <c r="Q272" s="1023"/>
      <c r="R272" s="1023"/>
      <c r="S272" s="1023"/>
      <c r="T272" s="1023"/>
      <c r="U272" s="1023"/>
      <c r="V272" s="1023"/>
      <c r="W272" s="1023"/>
      <c r="X272" s="1023"/>
      <c r="Y272" s="1023"/>
      <c r="Z272" s="1023"/>
      <c r="AA272" s="1023"/>
      <c r="AB272" s="1023"/>
      <c r="AC272" s="1023"/>
      <c r="AD272" s="1023"/>
      <c r="AE272" s="1023"/>
      <c r="AF272" s="1023"/>
      <c r="AG272" s="1023"/>
      <c r="AH272" s="1023"/>
      <c r="AI272" s="1023"/>
      <c r="AJ272" s="1023"/>
      <c r="AK272" s="1023"/>
      <c r="AL272" s="1023"/>
      <c r="AM272" s="1023"/>
      <c r="AN272" s="1023"/>
      <c r="AO272" s="1023"/>
      <c r="AP272" s="1023"/>
      <c r="AQ272" s="1023"/>
      <c r="AR272" s="1023"/>
      <c r="AS272" s="1023"/>
      <c r="AT272" s="1023"/>
      <c r="AU272" s="1023"/>
      <c r="AV272" s="1023"/>
      <c r="AW272" s="1023"/>
    </row>
    <row r="273" spans="1:49">
      <c r="A273" s="1023"/>
      <c r="B273" s="1040"/>
      <c r="C273" s="1040"/>
      <c r="D273" s="1040"/>
      <c r="E273" s="1023"/>
      <c r="F273" s="1040"/>
      <c r="G273" s="1023"/>
      <c r="L273" s="1040"/>
      <c r="M273" s="1040"/>
      <c r="N273" s="1023"/>
      <c r="O273" s="1023"/>
      <c r="P273" s="1023"/>
      <c r="Q273" s="1023"/>
      <c r="R273" s="1023"/>
      <c r="S273" s="1023"/>
      <c r="T273" s="1023"/>
      <c r="U273" s="1023"/>
      <c r="V273" s="1023"/>
      <c r="W273" s="1023"/>
      <c r="X273" s="1023"/>
      <c r="Y273" s="1023"/>
      <c r="Z273" s="1023"/>
      <c r="AA273" s="1023"/>
      <c r="AB273" s="1023"/>
      <c r="AC273" s="1023"/>
      <c r="AD273" s="1023"/>
      <c r="AE273" s="1023"/>
      <c r="AF273" s="1023"/>
      <c r="AG273" s="1023"/>
      <c r="AH273" s="1023"/>
      <c r="AI273" s="1023"/>
      <c r="AJ273" s="1023"/>
      <c r="AK273" s="1023"/>
      <c r="AL273" s="1023"/>
      <c r="AM273" s="1023"/>
      <c r="AN273" s="1023"/>
      <c r="AO273" s="1023"/>
      <c r="AP273" s="1023"/>
      <c r="AQ273" s="1023"/>
      <c r="AR273" s="1023"/>
      <c r="AS273" s="1023"/>
      <c r="AT273" s="1023"/>
      <c r="AU273" s="1023"/>
      <c r="AV273" s="1023"/>
      <c r="AW273" s="1023"/>
    </row>
    <row r="274" spans="1:49">
      <c r="A274" s="1023"/>
      <c r="B274" s="1040"/>
      <c r="C274" s="1040"/>
      <c r="D274" s="1040"/>
      <c r="E274" s="1023"/>
      <c r="F274" s="1040"/>
      <c r="G274" s="1023"/>
      <c r="L274" s="1040"/>
      <c r="M274" s="1040"/>
      <c r="N274" s="1023"/>
      <c r="O274" s="1023"/>
      <c r="P274" s="1023"/>
      <c r="Q274" s="1023"/>
      <c r="R274" s="1023"/>
      <c r="S274" s="1023"/>
      <c r="T274" s="1023"/>
      <c r="U274" s="1023"/>
      <c r="V274" s="1023"/>
      <c r="W274" s="1023"/>
      <c r="X274" s="1023"/>
      <c r="Y274" s="1023"/>
      <c r="Z274" s="1023"/>
      <c r="AA274" s="1023"/>
      <c r="AB274" s="1023"/>
      <c r="AC274" s="1023"/>
      <c r="AD274" s="1023"/>
      <c r="AE274" s="1023"/>
      <c r="AF274" s="1023"/>
      <c r="AG274" s="1023"/>
      <c r="AH274" s="1023"/>
      <c r="AI274" s="1023"/>
      <c r="AJ274" s="1023"/>
      <c r="AK274" s="1023"/>
      <c r="AL274" s="1023"/>
      <c r="AM274" s="1023"/>
      <c r="AN274" s="1023"/>
      <c r="AO274" s="1023"/>
      <c r="AP274" s="1023"/>
      <c r="AQ274" s="1023"/>
      <c r="AR274" s="1023"/>
      <c r="AS274" s="1023"/>
      <c r="AT274" s="1023"/>
      <c r="AU274" s="1023"/>
      <c r="AV274" s="1023"/>
      <c r="AW274" s="1023"/>
    </row>
    <row r="275" spans="1:49">
      <c r="A275" s="1023"/>
      <c r="B275" s="1040"/>
      <c r="C275" s="1040"/>
      <c r="D275" s="1040"/>
      <c r="E275" s="1023"/>
      <c r="F275" s="1040"/>
      <c r="G275" s="1023"/>
      <c r="L275" s="1040"/>
      <c r="M275" s="1040"/>
      <c r="N275" s="1023"/>
      <c r="O275" s="1023"/>
      <c r="P275" s="1023"/>
      <c r="Q275" s="1023"/>
      <c r="R275" s="1023"/>
      <c r="S275" s="1023"/>
      <c r="T275" s="1023"/>
      <c r="U275" s="1023"/>
      <c r="V275" s="1023"/>
      <c r="W275" s="1023"/>
      <c r="X275" s="1023"/>
      <c r="Y275" s="1023"/>
      <c r="Z275" s="1023"/>
      <c r="AA275" s="1023"/>
      <c r="AB275" s="1023"/>
      <c r="AC275" s="1023"/>
      <c r="AD275" s="1023"/>
      <c r="AE275" s="1023"/>
      <c r="AF275" s="1023"/>
      <c r="AG275" s="1023"/>
      <c r="AH275" s="1023"/>
      <c r="AI275" s="1023"/>
      <c r="AJ275" s="1023"/>
      <c r="AK275" s="1023"/>
      <c r="AL275" s="1023"/>
      <c r="AM275" s="1023"/>
      <c r="AN275" s="1023"/>
      <c r="AO275" s="1023"/>
      <c r="AP275" s="1023"/>
      <c r="AQ275" s="1023"/>
      <c r="AR275" s="1023"/>
      <c r="AS275" s="1023"/>
      <c r="AT275" s="1023"/>
      <c r="AU275" s="1023"/>
      <c r="AV275" s="1023"/>
      <c r="AW275" s="1023"/>
    </row>
    <row r="276" spans="1:49">
      <c r="A276" s="1023"/>
      <c r="B276" s="1040"/>
      <c r="C276" s="1040"/>
      <c r="D276" s="1040"/>
      <c r="E276" s="1023"/>
      <c r="F276" s="1040"/>
      <c r="G276" s="1023"/>
      <c r="L276" s="1040"/>
      <c r="M276" s="1040"/>
      <c r="N276" s="1023"/>
      <c r="O276" s="1023"/>
      <c r="P276" s="1023"/>
      <c r="Q276" s="1023"/>
      <c r="R276" s="1023"/>
      <c r="S276" s="1023"/>
      <c r="T276" s="1023"/>
      <c r="U276" s="1023"/>
      <c r="V276" s="1023"/>
      <c r="W276" s="1023"/>
      <c r="X276" s="1023"/>
      <c r="Y276" s="1023"/>
      <c r="Z276" s="1023"/>
      <c r="AA276" s="1023"/>
      <c r="AB276" s="1023"/>
      <c r="AC276" s="1023"/>
      <c r="AD276" s="1023"/>
      <c r="AE276" s="1023"/>
      <c r="AF276" s="1023"/>
      <c r="AG276" s="1023"/>
      <c r="AH276" s="1023"/>
      <c r="AI276" s="1023"/>
      <c r="AJ276" s="1023"/>
      <c r="AK276" s="1023"/>
      <c r="AL276" s="1023"/>
      <c r="AM276" s="1023"/>
      <c r="AN276" s="1023"/>
      <c r="AO276" s="1023"/>
      <c r="AP276" s="1023"/>
      <c r="AQ276" s="1023"/>
      <c r="AR276" s="1023"/>
      <c r="AS276" s="1023"/>
      <c r="AT276" s="1023"/>
      <c r="AU276" s="1023"/>
      <c r="AV276" s="1023"/>
      <c r="AW276" s="1023"/>
    </row>
    <row r="277" spans="1:49">
      <c r="A277" s="1023"/>
      <c r="B277" s="1040"/>
      <c r="C277" s="1040"/>
      <c r="D277" s="1040"/>
      <c r="E277" s="1023"/>
      <c r="F277" s="1040"/>
      <c r="G277" s="1023"/>
      <c r="L277" s="1040"/>
      <c r="M277" s="1040"/>
      <c r="N277" s="1023"/>
      <c r="O277" s="1023"/>
      <c r="P277" s="1023"/>
      <c r="Q277" s="1023"/>
      <c r="R277" s="1023"/>
      <c r="S277" s="1023"/>
      <c r="T277" s="1023"/>
      <c r="U277" s="1023"/>
      <c r="V277" s="1023"/>
      <c r="W277" s="1023"/>
      <c r="X277" s="1023"/>
      <c r="Y277" s="1023"/>
      <c r="Z277" s="1023"/>
      <c r="AA277" s="1023"/>
      <c r="AB277" s="1023"/>
      <c r="AC277" s="1023"/>
      <c r="AD277" s="1023"/>
      <c r="AE277" s="1023"/>
      <c r="AF277" s="1023"/>
      <c r="AG277" s="1023"/>
      <c r="AH277" s="1023"/>
      <c r="AI277" s="1023"/>
      <c r="AJ277" s="1023"/>
      <c r="AK277" s="1023"/>
      <c r="AL277" s="1023"/>
      <c r="AM277" s="1023"/>
      <c r="AN277" s="1023"/>
      <c r="AO277" s="1023"/>
      <c r="AP277" s="1023"/>
      <c r="AQ277" s="1023"/>
      <c r="AR277" s="1023"/>
      <c r="AS277" s="1023"/>
      <c r="AT277" s="1023"/>
      <c r="AU277" s="1023"/>
      <c r="AV277" s="1023"/>
      <c r="AW277" s="1023"/>
    </row>
    <row r="278" spans="1:49">
      <c r="A278" s="1023"/>
      <c r="B278" s="1040"/>
      <c r="C278" s="1040"/>
      <c r="D278" s="1040"/>
      <c r="E278" s="1023"/>
      <c r="F278" s="1040"/>
      <c r="G278" s="1023"/>
      <c r="L278" s="1040"/>
      <c r="M278" s="1040"/>
      <c r="N278" s="1023"/>
      <c r="O278" s="1023"/>
      <c r="P278" s="1023"/>
      <c r="Q278" s="1023"/>
      <c r="R278" s="1023"/>
      <c r="S278" s="1023"/>
      <c r="T278" s="1023"/>
      <c r="U278" s="1023"/>
      <c r="V278" s="1023"/>
      <c r="W278" s="1023"/>
      <c r="X278" s="1023"/>
      <c r="Y278" s="1023"/>
      <c r="Z278" s="1023"/>
      <c r="AA278" s="1023"/>
      <c r="AB278" s="1023"/>
      <c r="AC278" s="1023"/>
      <c r="AD278" s="1023"/>
      <c r="AE278" s="1023"/>
      <c r="AF278" s="1023"/>
      <c r="AG278" s="1023"/>
      <c r="AH278" s="1023"/>
      <c r="AI278" s="1023"/>
      <c r="AJ278" s="1023"/>
      <c r="AK278" s="1023"/>
      <c r="AL278" s="1023"/>
      <c r="AM278" s="1023"/>
      <c r="AN278" s="1023"/>
      <c r="AO278" s="1023"/>
      <c r="AP278" s="1023"/>
      <c r="AQ278" s="1023"/>
      <c r="AR278" s="1023"/>
      <c r="AS278" s="1023"/>
      <c r="AT278" s="1023"/>
      <c r="AU278" s="1023"/>
      <c r="AV278" s="1023"/>
      <c r="AW278" s="1023"/>
    </row>
    <row r="279" spans="1:49">
      <c r="A279" s="1023"/>
      <c r="B279" s="1040"/>
      <c r="C279" s="1040"/>
      <c r="D279" s="1040"/>
      <c r="E279" s="1023"/>
      <c r="F279" s="1040"/>
      <c r="G279" s="1023"/>
      <c r="L279" s="1040"/>
      <c r="M279" s="1040"/>
      <c r="N279" s="1023"/>
      <c r="O279" s="1023"/>
      <c r="P279" s="1023"/>
      <c r="Q279" s="1023"/>
      <c r="R279" s="1023"/>
      <c r="S279" s="1023"/>
      <c r="T279" s="1023"/>
      <c r="U279" s="1023"/>
      <c r="V279" s="1023"/>
      <c r="W279" s="1023"/>
      <c r="X279" s="1023"/>
      <c r="Y279" s="1023"/>
      <c r="Z279" s="1023"/>
      <c r="AA279" s="1023"/>
      <c r="AB279" s="1023"/>
      <c r="AC279" s="1023"/>
      <c r="AD279" s="1023"/>
      <c r="AE279" s="1023"/>
      <c r="AF279" s="1023"/>
      <c r="AG279" s="1023"/>
      <c r="AH279" s="1023"/>
      <c r="AI279" s="1023"/>
      <c r="AJ279" s="1023"/>
      <c r="AK279" s="1023"/>
      <c r="AL279" s="1023"/>
      <c r="AM279" s="1023"/>
      <c r="AN279" s="1023"/>
      <c r="AO279" s="1023"/>
      <c r="AP279" s="1023"/>
      <c r="AQ279" s="1023"/>
      <c r="AR279" s="1023"/>
      <c r="AS279" s="1023"/>
      <c r="AT279" s="1023"/>
      <c r="AU279" s="1023"/>
      <c r="AV279" s="1023"/>
      <c r="AW279" s="1023"/>
    </row>
    <row r="280" spans="1:49">
      <c r="A280" s="1023"/>
      <c r="B280" s="1040"/>
      <c r="C280" s="1040"/>
      <c r="D280" s="1040"/>
      <c r="E280" s="1023"/>
      <c r="F280" s="1040"/>
      <c r="G280" s="1023"/>
      <c r="L280" s="1040"/>
      <c r="M280" s="1040"/>
      <c r="N280" s="1023"/>
      <c r="O280" s="1023"/>
      <c r="P280" s="1023"/>
      <c r="Q280" s="1023"/>
      <c r="R280" s="1023"/>
      <c r="S280" s="1023"/>
      <c r="T280" s="1023"/>
      <c r="U280" s="1023"/>
      <c r="V280" s="1023"/>
      <c r="W280" s="1023"/>
      <c r="X280" s="1023"/>
      <c r="Y280" s="1023"/>
      <c r="Z280" s="1023"/>
      <c r="AA280" s="1023"/>
      <c r="AB280" s="1023"/>
      <c r="AC280" s="1023"/>
      <c r="AD280" s="1023"/>
      <c r="AE280" s="1023"/>
      <c r="AF280" s="1023"/>
      <c r="AG280" s="1023"/>
      <c r="AH280" s="1023"/>
      <c r="AI280" s="1023"/>
      <c r="AJ280" s="1023"/>
      <c r="AK280" s="1023"/>
      <c r="AL280" s="1023"/>
      <c r="AM280" s="1023"/>
      <c r="AN280" s="1023"/>
      <c r="AO280" s="1023"/>
      <c r="AP280" s="1023"/>
      <c r="AQ280" s="1023"/>
      <c r="AR280" s="1023"/>
      <c r="AS280" s="1023"/>
      <c r="AT280" s="1023"/>
      <c r="AU280" s="1023"/>
      <c r="AV280" s="1023"/>
      <c r="AW280" s="1023"/>
    </row>
    <row r="281" spans="1:49">
      <c r="A281" s="1023"/>
      <c r="B281" s="1040"/>
      <c r="C281" s="1040"/>
      <c r="D281" s="1040"/>
      <c r="E281" s="1023"/>
      <c r="F281" s="1040"/>
      <c r="G281" s="1023"/>
      <c r="L281" s="1040"/>
      <c r="M281" s="1040"/>
      <c r="N281" s="1023"/>
      <c r="O281" s="1023"/>
      <c r="P281" s="1023"/>
      <c r="Q281" s="1023"/>
      <c r="R281" s="1023"/>
      <c r="S281" s="1023"/>
      <c r="T281" s="1023"/>
      <c r="U281" s="1023"/>
      <c r="V281" s="1023"/>
      <c r="W281" s="1023"/>
      <c r="X281" s="1023"/>
      <c r="Y281" s="1023"/>
      <c r="Z281" s="1023"/>
      <c r="AA281" s="1023"/>
      <c r="AB281" s="1023"/>
      <c r="AC281" s="1023"/>
      <c r="AD281" s="1023"/>
      <c r="AE281" s="1023"/>
      <c r="AF281" s="1023"/>
      <c r="AG281" s="1023"/>
      <c r="AH281" s="1023"/>
      <c r="AI281" s="1023"/>
      <c r="AJ281" s="1023"/>
      <c r="AK281" s="1023"/>
      <c r="AL281" s="1023"/>
      <c r="AM281" s="1023"/>
      <c r="AN281" s="1023"/>
      <c r="AO281" s="1023"/>
      <c r="AP281" s="1023"/>
      <c r="AQ281" s="1023"/>
      <c r="AR281" s="1023"/>
      <c r="AS281" s="1023"/>
      <c r="AT281" s="1023"/>
      <c r="AU281" s="1023"/>
      <c r="AV281" s="1023"/>
      <c r="AW281" s="1023"/>
    </row>
    <row r="282" spans="1:49">
      <c r="A282" s="1023"/>
      <c r="B282" s="1040"/>
      <c r="C282" s="1040"/>
      <c r="D282" s="1040"/>
      <c r="E282" s="1023"/>
      <c r="F282" s="1040"/>
      <c r="G282" s="1023"/>
      <c r="L282" s="1040"/>
      <c r="M282" s="1040"/>
      <c r="N282" s="1023"/>
      <c r="O282" s="1023"/>
      <c r="P282" s="1023"/>
      <c r="Q282" s="1023"/>
      <c r="R282" s="1023"/>
      <c r="S282" s="1023"/>
      <c r="T282" s="1023"/>
      <c r="U282" s="1023"/>
      <c r="V282" s="1023"/>
      <c r="W282" s="1023"/>
      <c r="X282" s="1023"/>
      <c r="Y282" s="1023"/>
      <c r="Z282" s="1023"/>
      <c r="AA282" s="1023"/>
      <c r="AB282" s="1023"/>
      <c r="AC282" s="1023"/>
      <c r="AD282" s="1023"/>
      <c r="AE282" s="1023"/>
      <c r="AF282" s="1023"/>
      <c r="AG282" s="1023"/>
      <c r="AH282" s="1023"/>
      <c r="AI282" s="1023"/>
      <c r="AJ282" s="1023"/>
      <c r="AK282" s="1023"/>
      <c r="AL282" s="1023"/>
      <c r="AM282" s="1023"/>
      <c r="AN282" s="1023"/>
      <c r="AO282" s="1023"/>
      <c r="AP282" s="1023"/>
      <c r="AQ282" s="1023"/>
      <c r="AR282" s="1023"/>
      <c r="AS282" s="1023"/>
      <c r="AT282" s="1023"/>
      <c r="AU282" s="1023"/>
      <c r="AV282" s="1023"/>
      <c r="AW282" s="1023"/>
    </row>
    <row r="283" spans="1:49">
      <c r="A283" s="1023"/>
      <c r="B283" s="1040"/>
      <c r="C283" s="1040"/>
      <c r="D283" s="1040"/>
      <c r="E283" s="1023"/>
      <c r="F283" s="1040"/>
      <c r="G283" s="1023"/>
      <c r="L283" s="1040"/>
      <c r="M283" s="1040"/>
      <c r="N283" s="1023"/>
      <c r="O283" s="1023"/>
      <c r="P283" s="1023"/>
      <c r="Q283" s="1023"/>
      <c r="R283" s="1023"/>
      <c r="S283" s="1023"/>
      <c r="T283" s="1023"/>
      <c r="U283" s="1023"/>
      <c r="V283" s="1023"/>
      <c r="W283" s="1023"/>
      <c r="X283" s="1023"/>
      <c r="Y283" s="1023"/>
      <c r="Z283" s="1023"/>
      <c r="AA283" s="1023"/>
      <c r="AB283" s="1023"/>
      <c r="AC283" s="1023"/>
      <c r="AD283" s="1023"/>
      <c r="AE283" s="1023"/>
      <c r="AF283" s="1023"/>
      <c r="AG283" s="1023"/>
      <c r="AH283" s="1023"/>
      <c r="AI283" s="1023"/>
      <c r="AJ283" s="1023"/>
      <c r="AK283" s="1023"/>
      <c r="AL283" s="1023"/>
      <c r="AM283" s="1023"/>
      <c r="AN283" s="1023"/>
      <c r="AO283" s="1023"/>
      <c r="AP283" s="1023"/>
      <c r="AQ283" s="1023"/>
      <c r="AR283" s="1023"/>
      <c r="AS283" s="1023"/>
      <c r="AT283" s="1023"/>
      <c r="AU283" s="1023"/>
      <c r="AV283" s="1023"/>
      <c r="AW283" s="1023"/>
    </row>
    <row r="284" spans="1:49">
      <c r="A284" s="1023"/>
      <c r="B284" s="1040"/>
      <c r="C284" s="1040"/>
      <c r="D284" s="1040"/>
      <c r="E284" s="1023"/>
      <c r="F284" s="1040"/>
      <c r="G284" s="1023"/>
      <c r="L284" s="1040"/>
      <c r="M284" s="1040"/>
      <c r="N284" s="1023"/>
      <c r="O284" s="1023"/>
      <c r="P284" s="1023"/>
      <c r="Q284" s="1023"/>
      <c r="R284" s="1023"/>
      <c r="S284" s="1023"/>
      <c r="T284" s="1023"/>
      <c r="U284" s="1023"/>
      <c r="V284" s="1023"/>
      <c r="W284" s="1023"/>
      <c r="X284" s="1023"/>
      <c r="Y284" s="1023"/>
      <c r="Z284" s="1023"/>
      <c r="AA284" s="1023"/>
      <c r="AB284" s="1023"/>
      <c r="AC284" s="1023"/>
      <c r="AD284" s="1023"/>
      <c r="AE284" s="1023"/>
      <c r="AF284" s="1023"/>
      <c r="AG284" s="1023"/>
      <c r="AH284" s="1023"/>
      <c r="AI284" s="1023"/>
      <c r="AJ284" s="1023"/>
      <c r="AK284" s="1023"/>
      <c r="AL284" s="1023"/>
      <c r="AM284" s="1023"/>
      <c r="AN284" s="1023"/>
      <c r="AO284" s="1023"/>
      <c r="AP284" s="1023"/>
      <c r="AQ284" s="1023"/>
      <c r="AR284" s="1023"/>
      <c r="AS284" s="1023"/>
      <c r="AT284" s="1023"/>
      <c r="AU284" s="1023"/>
      <c r="AV284" s="1023"/>
      <c r="AW284" s="1023"/>
    </row>
    <row r="285" spans="1:49">
      <c r="A285" s="1023"/>
      <c r="B285" s="1040"/>
      <c r="C285" s="1040"/>
      <c r="D285" s="1040"/>
      <c r="E285" s="1023"/>
      <c r="F285" s="1040"/>
      <c r="G285" s="1023"/>
      <c r="L285" s="1040"/>
      <c r="M285" s="1040"/>
      <c r="N285" s="1023"/>
      <c r="O285" s="1023"/>
      <c r="P285" s="1023"/>
      <c r="Q285" s="1023"/>
      <c r="R285" s="1023"/>
      <c r="S285" s="1023"/>
      <c r="T285" s="1023"/>
      <c r="U285" s="1023"/>
      <c r="V285" s="1023"/>
      <c r="W285" s="1023"/>
      <c r="X285" s="1023"/>
      <c r="Y285" s="1023"/>
      <c r="Z285" s="1023"/>
      <c r="AA285" s="1023"/>
      <c r="AB285" s="1023"/>
      <c r="AC285" s="1023"/>
      <c r="AD285" s="1023"/>
      <c r="AE285" s="1023"/>
      <c r="AF285" s="1023"/>
      <c r="AG285" s="1023"/>
      <c r="AH285" s="1023"/>
      <c r="AI285" s="1023"/>
      <c r="AJ285" s="1023"/>
      <c r="AK285" s="1023"/>
      <c r="AL285" s="1023"/>
      <c r="AM285" s="1023"/>
      <c r="AN285" s="1023"/>
      <c r="AO285" s="1023"/>
      <c r="AP285" s="1023"/>
      <c r="AQ285" s="1023"/>
      <c r="AR285" s="1023"/>
      <c r="AS285" s="1023"/>
      <c r="AT285" s="1023"/>
      <c r="AU285" s="1023"/>
      <c r="AV285" s="1023"/>
      <c r="AW285" s="1023"/>
    </row>
    <row r="286" spans="1:49">
      <c r="A286" s="1023"/>
      <c r="B286" s="1040"/>
      <c r="C286" s="1040"/>
      <c r="D286" s="1040"/>
      <c r="E286" s="1023"/>
      <c r="F286" s="1040"/>
      <c r="G286" s="1023"/>
      <c r="L286" s="1040"/>
      <c r="M286" s="1040"/>
      <c r="N286" s="1023"/>
      <c r="O286" s="1023"/>
      <c r="P286" s="1023"/>
      <c r="Q286" s="1023"/>
      <c r="R286" s="1023"/>
      <c r="S286" s="1023"/>
      <c r="T286" s="1023"/>
      <c r="U286" s="1023"/>
      <c r="V286" s="1023"/>
      <c r="W286" s="1023"/>
      <c r="X286" s="1023"/>
      <c r="Y286" s="1023"/>
      <c r="Z286" s="1023"/>
      <c r="AA286" s="1023"/>
      <c r="AB286" s="1023"/>
      <c r="AC286" s="1023"/>
      <c r="AD286" s="1023"/>
      <c r="AE286" s="1023"/>
      <c r="AF286" s="1023"/>
      <c r="AG286" s="1023"/>
      <c r="AH286" s="1023"/>
      <c r="AI286" s="1023"/>
      <c r="AJ286" s="1023"/>
      <c r="AK286" s="1023"/>
      <c r="AL286" s="1023"/>
      <c r="AM286" s="1023"/>
      <c r="AN286" s="1023"/>
      <c r="AO286" s="1023"/>
      <c r="AP286" s="1023"/>
      <c r="AQ286" s="1023"/>
      <c r="AR286" s="1023"/>
      <c r="AS286" s="1023"/>
      <c r="AT286" s="1023"/>
      <c r="AU286" s="1023"/>
      <c r="AV286" s="1023"/>
      <c r="AW286" s="1023"/>
    </row>
    <row r="287" spans="1:49">
      <c r="A287" s="1023"/>
      <c r="B287" s="1040"/>
      <c r="C287" s="1040"/>
      <c r="D287" s="1040"/>
      <c r="E287" s="1023"/>
      <c r="F287" s="1040"/>
      <c r="G287" s="1023"/>
      <c r="L287" s="1040"/>
      <c r="M287" s="1040"/>
      <c r="N287" s="1023"/>
      <c r="O287" s="1023"/>
      <c r="P287" s="1023"/>
      <c r="Q287" s="1023"/>
      <c r="R287" s="1023"/>
      <c r="S287" s="1023"/>
      <c r="T287" s="1023"/>
      <c r="U287" s="1023"/>
      <c r="V287" s="1023"/>
      <c r="W287" s="1023"/>
      <c r="X287" s="1023"/>
      <c r="Y287" s="1023"/>
      <c r="Z287" s="1023"/>
      <c r="AA287" s="1023"/>
      <c r="AB287" s="1023"/>
      <c r="AC287" s="1023"/>
      <c r="AD287" s="1023"/>
      <c r="AE287" s="1023"/>
      <c r="AF287" s="1023"/>
      <c r="AG287" s="1023"/>
      <c r="AH287" s="1023"/>
      <c r="AI287" s="1023"/>
      <c r="AJ287" s="1023"/>
      <c r="AK287" s="1023"/>
      <c r="AL287" s="1023"/>
      <c r="AM287" s="1023"/>
      <c r="AN287" s="1023"/>
      <c r="AO287" s="1023"/>
      <c r="AP287" s="1023"/>
      <c r="AQ287" s="1023"/>
      <c r="AR287" s="1023"/>
      <c r="AS287" s="1023"/>
      <c r="AT287" s="1023"/>
      <c r="AU287" s="1023"/>
      <c r="AV287" s="1023"/>
      <c r="AW287" s="1023"/>
    </row>
    <row r="288" spans="1:49">
      <c r="A288" s="1023"/>
      <c r="B288" s="1040"/>
      <c r="C288" s="1040"/>
      <c r="D288" s="1040"/>
      <c r="E288" s="1023"/>
      <c r="F288" s="1040"/>
      <c r="G288" s="1023"/>
      <c r="L288" s="1040"/>
      <c r="M288" s="1040"/>
      <c r="N288" s="1023"/>
      <c r="O288" s="1023"/>
      <c r="P288" s="1023"/>
      <c r="Q288" s="1023"/>
      <c r="R288" s="1023"/>
      <c r="S288" s="1023"/>
      <c r="T288" s="1023"/>
      <c r="U288" s="1023"/>
      <c r="V288" s="1023"/>
      <c r="W288" s="1023"/>
      <c r="X288" s="1023"/>
      <c r="Y288" s="1023"/>
      <c r="Z288" s="1023"/>
      <c r="AA288" s="1023"/>
      <c r="AB288" s="1023"/>
      <c r="AC288" s="1023"/>
      <c r="AD288" s="1023"/>
      <c r="AE288" s="1023"/>
      <c r="AF288" s="1023"/>
      <c r="AG288" s="1023"/>
      <c r="AH288" s="1023"/>
      <c r="AI288" s="1023"/>
      <c r="AJ288" s="1023"/>
      <c r="AK288" s="1023"/>
      <c r="AL288" s="1023"/>
      <c r="AM288" s="1023"/>
      <c r="AN288" s="1023"/>
      <c r="AO288" s="1023"/>
      <c r="AP288" s="1023"/>
      <c r="AQ288" s="1023"/>
      <c r="AR288" s="1023"/>
      <c r="AS288" s="1023"/>
      <c r="AT288" s="1023"/>
      <c r="AU288" s="1023"/>
      <c r="AV288" s="1023"/>
      <c r="AW288" s="1023"/>
    </row>
    <row r="289" spans="1:49">
      <c r="A289" s="1023"/>
      <c r="B289" s="1040"/>
      <c r="C289" s="1040"/>
      <c r="D289" s="1040"/>
      <c r="E289" s="1023"/>
      <c r="F289" s="1040"/>
      <c r="G289" s="1023"/>
      <c r="L289" s="1040"/>
      <c r="M289" s="1040"/>
      <c r="N289" s="1023"/>
      <c r="O289" s="1023"/>
      <c r="P289" s="1023"/>
      <c r="Q289" s="1023"/>
      <c r="R289" s="1023"/>
      <c r="S289" s="1023"/>
      <c r="T289" s="1023"/>
      <c r="U289" s="1023"/>
      <c r="V289" s="1023"/>
      <c r="W289" s="1023"/>
      <c r="X289" s="1023"/>
      <c r="Y289" s="1023"/>
      <c r="Z289" s="1023"/>
      <c r="AA289" s="1023"/>
      <c r="AB289" s="1023"/>
      <c r="AC289" s="1023"/>
      <c r="AD289" s="1023"/>
      <c r="AE289" s="1023"/>
      <c r="AF289" s="1023"/>
      <c r="AG289" s="1023"/>
      <c r="AH289" s="1023"/>
      <c r="AI289" s="1023"/>
      <c r="AJ289" s="1023"/>
      <c r="AK289" s="1023"/>
      <c r="AL289" s="1023"/>
      <c r="AM289" s="1023"/>
      <c r="AN289" s="1023"/>
      <c r="AO289" s="1023"/>
      <c r="AP289" s="1023"/>
      <c r="AQ289" s="1023"/>
      <c r="AR289" s="1023"/>
      <c r="AS289" s="1023"/>
      <c r="AT289" s="1023"/>
      <c r="AU289" s="1023"/>
      <c r="AV289" s="1023"/>
      <c r="AW289" s="1023"/>
    </row>
    <row r="290" spans="1:49">
      <c r="A290" s="1023"/>
      <c r="B290" s="1040"/>
      <c r="C290" s="1040"/>
      <c r="D290" s="1040"/>
      <c r="E290" s="1023"/>
      <c r="F290" s="1040"/>
      <c r="G290" s="1023"/>
      <c r="L290" s="1040"/>
      <c r="M290" s="1040"/>
      <c r="N290" s="1023"/>
      <c r="O290" s="1023"/>
      <c r="P290" s="1023"/>
      <c r="Q290" s="1023"/>
      <c r="R290" s="1023"/>
      <c r="S290" s="1023"/>
      <c r="T290" s="1023"/>
      <c r="U290" s="1023"/>
      <c r="V290" s="1023"/>
      <c r="W290" s="1023"/>
      <c r="X290" s="1023"/>
      <c r="Y290" s="1023"/>
      <c r="Z290" s="1023"/>
      <c r="AA290" s="1023"/>
      <c r="AB290" s="1023"/>
      <c r="AC290" s="1023"/>
      <c r="AD290" s="1023"/>
      <c r="AE290" s="1023"/>
      <c r="AF290" s="1023"/>
      <c r="AG290" s="1023"/>
      <c r="AH290" s="1023"/>
      <c r="AI290" s="1023"/>
      <c r="AJ290" s="1023"/>
      <c r="AK290" s="1023"/>
      <c r="AL290" s="1023"/>
      <c r="AM290" s="1023"/>
      <c r="AN290" s="1023"/>
      <c r="AO290" s="1023"/>
      <c r="AP290" s="1023"/>
      <c r="AQ290" s="1023"/>
      <c r="AR290" s="1023"/>
      <c r="AS290" s="1023"/>
      <c r="AT290" s="1023"/>
      <c r="AU290" s="1023"/>
      <c r="AV290" s="1023"/>
      <c r="AW290" s="1023"/>
    </row>
    <row r="291" spans="1:49">
      <c r="A291" s="1023"/>
      <c r="B291" s="1040"/>
      <c r="C291" s="1040"/>
      <c r="D291" s="1040"/>
      <c r="E291" s="1023"/>
      <c r="F291" s="1040"/>
      <c r="G291" s="1023"/>
      <c r="L291" s="1040"/>
      <c r="M291" s="1040"/>
      <c r="N291" s="1023"/>
      <c r="O291" s="1023"/>
      <c r="P291" s="1023"/>
      <c r="Q291" s="1023"/>
      <c r="R291" s="1023"/>
      <c r="S291" s="1023"/>
      <c r="T291" s="1023"/>
      <c r="U291" s="1023"/>
      <c r="V291" s="1023"/>
      <c r="W291" s="1023"/>
      <c r="X291" s="1023"/>
      <c r="Y291" s="1023"/>
      <c r="Z291" s="1023"/>
      <c r="AA291" s="1023"/>
      <c r="AB291" s="1023"/>
      <c r="AC291" s="1023"/>
      <c r="AD291" s="1023"/>
      <c r="AE291" s="1023"/>
      <c r="AF291" s="1023"/>
      <c r="AG291" s="1023"/>
      <c r="AH291" s="1023"/>
      <c r="AI291" s="1023"/>
      <c r="AJ291" s="1023"/>
      <c r="AK291" s="1023"/>
      <c r="AL291" s="1023"/>
      <c r="AM291" s="1023"/>
      <c r="AN291" s="1023"/>
      <c r="AO291" s="1023"/>
      <c r="AP291" s="1023"/>
      <c r="AQ291" s="1023"/>
      <c r="AR291" s="1023"/>
      <c r="AS291" s="1023"/>
      <c r="AT291" s="1023"/>
      <c r="AU291" s="1023"/>
      <c r="AV291" s="1023"/>
      <c r="AW291" s="1023"/>
    </row>
    <row r="292" spans="1:49">
      <c r="A292" s="1023"/>
      <c r="B292" s="1040"/>
      <c r="C292" s="1040"/>
      <c r="D292" s="1040"/>
      <c r="E292" s="1023"/>
      <c r="F292" s="1040"/>
      <c r="G292" s="1023"/>
      <c r="L292" s="1040"/>
      <c r="M292" s="1040"/>
      <c r="N292" s="1023"/>
      <c r="O292" s="1023"/>
      <c r="P292" s="1023"/>
      <c r="Q292" s="1023"/>
      <c r="R292" s="1023"/>
      <c r="S292" s="1023"/>
      <c r="T292" s="1023"/>
      <c r="U292" s="1023"/>
      <c r="V292" s="1023"/>
      <c r="W292" s="1023"/>
      <c r="X292" s="1023"/>
      <c r="Y292" s="1023"/>
      <c r="Z292" s="1023"/>
      <c r="AA292" s="1023"/>
      <c r="AB292" s="1023"/>
      <c r="AC292" s="1023"/>
      <c r="AD292" s="1023"/>
      <c r="AE292" s="1023"/>
      <c r="AF292" s="1023"/>
      <c r="AG292" s="1023"/>
      <c r="AH292" s="1023"/>
      <c r="AI292" s="1023"/>
      <c r="AJ292" s="1023"/>
      <c r="AK292" s="1023"/>
      <c r="AL292" s="1023"/>
      <c r="AM292" s="1023"/>
      <c r="AN292" s="1023"/>
      <c r="AO292" s="1023"/>
      <c r="AP292" s="1023"/>
      <c r="AQ292" s="1023"/>
      <c r="AR292" s="1023"/>
      <c r="AS292" s="1023"/>
      <c r="AT292" s="1023"/>
      <c r="AU292" s="1023"/>
      <c r="AV292" s="1023"/>
      <c r="AW292" s="1023"/>
    </row>
    <row r="293" spans="1:49">
      <c r="A293" s="1023"/>
      <c r="B293" s="1040"/>
      <c r="C293" s="1040"/>
      <c r="D293" s="1040"/>
      <c r="E293" s="1023"/>
      <c r="F293" s="1040"/>
      <c r="G293" s="1023"/>
      <c r="L293" s="1040"/>
      <c r="M293" s="1040"/>
      <c r="N293" s="1023"/>
      <c r="O293" s="1023"/>
      <c r="P293" s="1023"/>
      <c r="Q293" s="1023"/>
      <c r="R293" s="1023"/>
      <c r="S293" s="1023"/>
      <c r="T293" s="1023"/>
      <c r="U293" s="1023"/>
      <c r="V293" s="1023"/>
      <c r="W293" s="1023"/>
      <c r="X293" s="1023"/>
      <c r="Y293" s="1023"/>
      <c r="Z293" s="1023"/>
      <c r="AA293" s="1023"/>
      <c r="AB293" s="1023"/>
      <c r="AC293" s="1023"/>
      <c r="AD293" s="1023"/>
      <c r="AE293" s="1023"/>
      <c r="AF293" s="1023"/>
      <c r="AG293" s="1023"/>
      <c r="AH293" s="1023"/>
      <c r="AI293" s="1023"/>
      <c r="AJ293" s="1023"/>
      <c r="AK293" s="1023"/>
      <c r="AL293" s="1023"/>
      <c r="AM293" s="1023"/>
      <c r="AN293" s="1023"/>
      <c r="AO293" s="1023"/>
      <c r="AP293" s="1023"/>
      <c r="AQ293" s="1023"/>
      <c r="AR293" s="1023"/>
      <c r="AS293" s="1023"/>
      <c r="AT293" s="1023"/>
      <c r="AU293" s="1023"/>
      <c r="AV293" s="1023"/>
      <c r="AW293" s="1023"/>
    </row>
    <row r="294" spans="1:49">
      <c r="A294" s="1023"/>
      <c r="B294" s="1040"/>
      <c r="C294" s="1040"/>
      <c r="D294" s="1040"/>
      <c r="E294" s="1023"/>
      <c r="F294" s="1040"/>
      <c r="G294" s="1023"/>
      <c r="L294" s="1040"/>
      <c r="M294" s="1040"/>
      <c r="N294" s="1023"/>
      <c r="O294" s="1023"/>
      <c r="P294" s="1023"/>
      <c r="Q294" s="1023"/>
      <c r="R294" s="1023"/>
      <c r="S294" s="1023"/>
      <c r="T294" s="1023"/>
      <c r="U294" s="1023"/>
      <c r="V294" s="1023"/>
      <c r="W294" s="1023"/>
      <c r="X294" s="1023"/>
      <c r="Y294" s="1023"/>
      <c r="Z294" s="1023"/>
      <c r="AA294" s="1023"/>
      <c r="AB294" s="1023"/>
      <c r="AC294" s="1023"/>
      <c r="AD294" s="1023"/>
      <c r="AE294" s="1023"/>
      <c r="AF294" s="1023"/>
      <c r="AG294" s="1023"/>
      <c r="AH294" s="1023"/>
      <c r="AI294" s="1023"/>
      <c r="AJ294" s="1023"/>
      <c r="AK294" s="1023"/>
      <c r="AL294" s="1023"/>
      <c r="AM294" s="1023"/>
      <c r="AN294" s="1023"/>
      <c r="AO294" s="1023"/>
      <c r="AP294" s="1023"/>
      <c r="AQ294" s="1023"/>
      <c r="AR294" s="1023"/>
      <c r="AS294" s="1023"/>
      <c r="AT294" s="1023"/>
      <c r="AU294" s="1023"/>
      <c r="AV294" s="1023"/>
      <c r="AW294" s="1023"/>
    </row>
    <row r="295" spans="1:49">
      <c r="A295" s="1023"/>
      <c r="B295" s="1040"/>
      <c r="C295" s="1040"/>
      <c r="D295" s="1040"/>
      <c r="E295" s="1023"/>
      <c r="F295" s="1040"/>
      <c r="G295" s="1023"/>
      <c r="L295" s="1040"/>
      <c r="M295" s="1040"/>
      <c r="N295" s="1023"/>
      <c r="O295" s="1023"/>
      <c r="P295" s="1023"/>
      <c r="Q295" s="1023"/>
      <c r="R295" s="1023"/>
      <c r="S295" s="1023"/>
      <c r="T295" s="1023"/>
      <c r="U295" s="1023"/>
      <c r="V295" s="1023"/>
      <c r="W295" s="1023"/>
      <c r="X295" s="1023"/>
      <c r="Y295" s="1023"/>
      <c r="Z295" s="1023"/>
      <c r="AA295" s="1023"/>
      <c r="AB295" s="1023"/>
      <c r="AC295" s="1023"/>
      <c r="AD295" s="1023"/>
      <c r="AE295" s="1023"/>
      <c r="AF295" s="1023"/>
      <c r="AG295" s="1023"/>
      <c r="AH295" s="1023"/>
      <c r="AI295" s="1023"/>
      <c r="AJ295" s="1023"/>
      <c r="AK295" s="1023"/>
      <c r="AL295" s="1023"/>
      <c r="AM295" s="1023"/>
      <c r="AN295" s="1023"/>
      <c r="AO295" s="1023"/>
      <c r="AP295" s="1023"/>
      <c r="AQ295" s="1023"/>
      <c r="AR295" s="1023"/>
      <c r="AS295" s="1023"/>
      <c r="AT295" s="1023"/>
      <c r="AU295" s="1023"/>
      <c r="AV295" s="1023"/>
      <c r="AW295" s="1023"/>
    </row>
    <row r="296" spans="1:49">
      <c r="A296" s="1023"/>
      <c r="B296" s="1040"/>
      <c r="C296" s="1040"/>
      <c r="D296" s="1040"/>
      <c r="E296" s="1023"/>
      <c r="F296" s="1040"/>
      <c r="G296" s="1023"/>
      <c r="L296" s="1040"/>
      <c r="M296" s="1040"/>
      <c r="N296" s="1023"/>
      <c r="O296" s="1023"/>
      <c r="P296" s="1023"/>
      <c r="Q296" s="1023"/>
      <c r="R296" s="1023"/>
      <c r="S296" s="1023"/>
      <c r="T296" s="1023"/>
      <c r="U296" s="1023"/>
      <c r="V296" s="1023"/>
      <c r="W296" s="1023"/>
      <c r="X296" s="1023"/>
      <c r="Y296" s="1023"/>
      <c r="Z296" s="1023"/>
      <c r="AA296" s="1023"/>
      <c r="AB296" s="1023"/>
      <c r="AC296" s="1023"/>
      <c r="AD296" s="1023"/>
      <c r="AE296" s="1023"/>
      <c r="AF296" s="1023"/>
      <c r="AG296" s="1023"/>
      <c r="AH296" s="1023"/>
      <c r="AI296" s="1023"/>
      <c r="AJ296" s="1023"/>
      <c r="AK296" s="1023"/>
      <c r="AL296" s="1023"/>
      <c r="AM296" s="1023"/>
      <c r="AN296" s="1023"/>
      <c r="AO296" s="1023"/>
      <c r="AP296" s="1023"/>
      <c r="AQ296" s="1023"/>
      <c r="AR296" s="1023"/>
      <c r="AS296" s="1023"/>
      <c r="AT296" s="1023"/>
      <c r="AU296" s="1023"/>
      <c r="AV296" s="1023"/>
      <c r="AW296" s="1023"/>
    </row>
    <row r="297" spans="1:49">
      <c r="A297" s="1023"/>
      <c r="B297" s="1040"/>
      <c r="C297" s="1040"/>
      <c r="D297" s="1040"/>
      <c r="E297" s="1023"/>
      <c r="F297" s="1040"/>
      <c r="G297" s="1023"/>
      <c r="L297" s="1040"/>
      <c r="M297" s="1040"/>
      <c r="N297" s="1023"/>
      <c r="O297" s="1023"/>
      <c r="P297" s="1023"/>
      <c r="Q297" s="1023"/>
      <c r="R297" s="1023"/>
      <c r="S297" s="1023"/>
      <c r="T297" s="1023"/>
      <c r="U297" s="1023"/>
      <c r="V297" s="1023"/>
      <c r="W297" s="1023"/>
      <c r="X297" s="1023"/>
      <c r="Y297" s="1023"/>
      <c r="Z297" s="1023"/>
      <c r="AA297" s="1023"/>
      <c r="AB297" s="1023"/>
      <c r="AC297" s="1023"/>
      <c r="AD297" s="1023"/>
      <c r="AE297" s="1023"/>
      <c r="AF297" s="1023"/>
      <c r="AG297" s="1023"/>
      <c r="AH297" s="1023"/>
      <c r="AI297" s="1023"/>
      <c r="AJ297" s="1023"/>
      <c r="AK297" s="1023"/>
      <c r="AL297" s="1023"/>
      <c r="AM297" s="1023"/>
      <c r="AN297" s="1023"/>
      <c r="AO297" s="1023"/>
      <c r="AP297" s="1023"/>
      <c r="AQ297" s="1023"/>
      <c r="AR297" s="1023"/>
      <c r="AS297" s="1023"/>
      <c r="AT297" s="1023"/>
      <c r="AU297" s="1023"/>
      <c r="AV297" s="1023"/>
      <c r="AW297" s="1023"/>
    </row>
    <row r="298" spans="1:49">
      <c r="A298" s="1023"/>
      <c r="B298" s="1040"/>
      <c r="C298" s="1040"/>
      <c r="D298" s="1040"/>
      <c r="E298" s="1023"/>
      <c r="F298" s="1040"/>
      <c r="G298" s="1023"/>
      <c r="L298" s="1040"/>
      <c r="M298" s="1040"/>
      <c r="N298" s="1023"/>
      <c r="O298" s="1023"/>
      <c r="P298" s="1023"/>
      <c r="Q298" s="1023"/>
      <c r="R298" s="1023"/>
      <c r="S298" s="1023"/>
      <c r="T298" s="1023"/>
      <c r="U298" s="1023"/>
      <c r="V298" s="1023"/>
      <c r="W298" s="1023"/>
      <c r="X298" s="1023"/>
      <c r="Y298" s="1023"/>
      <c r="Z298" s="1023"/>
      <c r="AA298" s="1023"/>
      <c r="AB298" s="1023"/>
      <c r="AC298" s="1023"/>
      <c r="AD298" s="1023"/>
      <c r="AE298" s="1023"/>
      <c r="AF298" s="1023"/>
      <c r="AG298" s="1023"/>
      <c r="AH298" s="1023"/>
      <c r="AI298" s="1023"/>
      <c r="AJ298" s="1023"/>
      <c r="AK298" s="1023"/>
      <c r="AL298" s="1023"/>
      <c r="AM298" s="1023"/>
      <c r="AN298" s="1023"/>
      <c r="AO298" s="1023"/>
      <c r="AP298" s="1023"/>
      <c r="AQ298" s="1023"/>
      <c r="AR298" s="1023"/>
      <c r="AS298" s="1023"/>
      <c r="AT298" s="1023"/>
      <c r="AU298" s="1023"/>
      <c r="AV298" s="1023"/>
      <c r="AW298" s="1023"/>
    </row>
    <row r="299" spans="1:49">
      <c r="A299" s="1023"/>
      <c r="B299" s="1040"/>
      <c r="C299" s="1040"/>
      <c r="D299" s="1040"/>
      <c r="E299" s="1023"/>
      <c r="F299" s="1040"/>
      <c r="G299" s="1023"/>
      <c r="L299" s="1040"/>
      <c r="M299" s="1040"/>
      <c r="N299" s="1023"/>
      <c r="O299" s="1023"/>
      <c r="P299" s="1023"/>
      <c r="Q299" s="1023"/>
      <c r="R299" s="1023"/>
      <c r="S299" s="1023"/>
      <c r="T299" s="1023"/>
      <c r="U299" s="1023"/>
      <c r="V299" s="1023"/>
      <c r="W299" s="1023"/>
      <c r="X299" s="1023"/>
      <c r="Y299" s="1023"/>
      <c r="Z299" s="1023"/>
      <c r="AA299" s="1023"/>
      <c r="AB299" s="1023"/>
      <c r="AC299" s="1023"/>
      <c r="AD299" s="1023"/>
      <c r="AE299" s="1023"/>
      <c r="AF299" s="1023"/>
      <c r="AG299" s="1023"/>
      <c r="AH299" s="1023"/>
      <c r="AI299" s="1023"/>
      <c r="AJ299" s="1023"/>
      <c r="AK299" s="1023"/>
      <c r="AL299" s="1023"/>
      <c r="AM299" s="1023"/>
      <c r="AN299" s="1023"/>
      <c r="AO299" s="1023"/>
      <c r="AP299" s="1023"/>
      <c r="AQ299" s="1023"/>
      <c r="AR299" s="1023"/>
      <c r="AS299" s="1023"/>
      <c r="AT299" s="1023"/>
      <c r="AU299" s="1023"/>
      <c r="AV299" s="1023"/>
      <c r="AW299" s="1023"/>
    </row>
    <row r="300" spans="1:49">
      <c r="A300" s="1023"/>
      <c r="B300" s="1040"/>
      <c r="C300" s="1040"/>
      <c r="D300" s="1040"/>
      <c r="E300" s="1023"/>
      <c r="F300" s="1040"/>
      <c r="G300" s="1023"/>
      <c r="L300" s="1040"/>
      <c r="M300" s="1040"/>
      <c r="N300" s="1023"/>
      <c r="O300" s="1023"/>
      <c r="P300" s="1023"/>
      <c r="Q300" s="1023"/>
      <c r="R300" s="1023"/>
      <c r="S300" s="1023"/>
      <c r="T300" s="1023"/>
      <c r="U300" s="1023"/>
      <c r="V300" s="1023"/>
      <c r="W300" s="1023"/>
      <c r="X300" s="1023"/>
      <c r="Y300" s="1023"/>
      <c r="Z300" s="1023"/>
      <c r="AA300" s="1023"/>
      <c r="AB300" s="1023"/>
      <c r="AC300" s="1023"/>
      <c r="AD300" s="1023"/>
      <c r="AE300" s="1023"/>
      <c r="AF300" s="1023"/>
      <c r="AG300" s="1023"/>
      <c r="AH300" s="1023"/>
      <c r="AI300" s="1023"/>
      <c r="AJ300" s="1023"/>
      <c r="AK300" s="1023"/>
      <c r="AL300" s="1023"/>
      <c r="AM300" s="1023"/>
      <c r="AN300" s="1023"/>
      <c r="AO300" s="1023"/>
      <c r="AP300" s="1023"/>
      <c r="AQ300" s="1023"/>
      <c r="AR300" s="1023"/>
      <c r="AS300" s="1023"/>
      <c r="AT300" s="1023"/>
      <c r="AU300" s="1023"/>
      <c r="AV300" s="1023"/>
      <c r="AW300" s="1023"/>
    </row>
    <row r="301" spans="1:49">
      <c r="A301" s="1023"/>
      <c r="B301" s="1040"/>
      <c r="C301" s="1040"/>
      <c r="D301" s="1040"/>
      <c r="E301" s="1023"/>
      <c r="F301" s="1040"/>
      <c r="G301" s="1023"/>
      <c r="L301" s="1040"/>
      <c r="M301" s="1040"/>
      <c r="N301" s="1023"/>
      <c r="O301" s="1023"/>
      <c r="P301" s="1023"/>
      <c r="Q301" s="1023"/>
      <c r="R301" s="1023"/>
      <c r="S301" s="1023"/>
      <c r="T301" s="1023"/>
      <c r="U301" s="1023"/>
      <c r="V301" s="1023"/>
      <c r="W301" s="1023"/>
      <c r="X301" s="1023"/>
      <c r="Y301" s="1023"/>
      <c r="Z301" s="1023"/>
      <c r="AA301" s="1023"/>
      <c r="AB301" s="1023"/>
      <c r="AC301" s="1023"/>
      <c r="AD301" s="1023"/>
      <c r="AE301" s="1023"/>
      <c r="AF301" s="1023"/>
      <c r="AG301" s="1023"/>
      <c r="AH301" s="1023"/>
      <c r="AI301" s="1023"/>
      <c r="AJ301" s="1023"/>
      <c r="AK301" s="1023"/>
      <c r="AL301" s="1023"/>
      <c r="AM301" s="1023"/>
      <c r="AN301" s="1023"/>
      <c r="AO301" s="1023"/>
      <c r="AP301" s="1023"/>
      <c r="AQ301" s="1023"/>
      <c r="AR301" s="1023"/>
      <c r="AS301" s="1023"/>
      <c r="AT301" s="1023"/>
      <c r="AU301" s="1023"/>
      <c r="AV301" s="1023"/>
      <c r="AW301" s="1023"/>
    </row>
    <row r="302" spans="1:49">
      <c r="A302" s="1023"/>
      <c r="B302" s="1040"/>
      <c r="C302" s="1040"/>
      <c r="D302" s="1040"/>
      <c r="E302" s="1023"/>
      <c r="F302" s="1040"/>
      <c r="G302" s="1023"/>
      <c r="L302" s="1040"/>
      <c r="M302" s="1040"/>
      <c r="N302" s="1023"/>
      <c r="O302" s="1023"/>
      <c r="P302" s="1023"/>
      <c r="Q302" s="1023"/>
      <c r="R302" s="1023"/>
      <c r="S302" s="1023"/>
      <c r="T302" s="1023"/>
      <c r="U302" s="1023"/>
      <c r="V302" s="1023"/>
      <c r="W302" s="1023"/>
      <c r="X302" s="1023"/>
      <c r="Y302" s="1023"/>
      <c r="Z302" s="1023"/>
      <c r="AA302" s="1023"/>
      <c r="AB302" s="1023"/>
      <c r="AC302" s="1023"/>
      <c r="AD302" s="1023"/>
      <c r="AE302" s="1023"/>
      <c r="AF302" s="1023"/>
      <c r="AG302" s="1023"/>
      <c r="AH302" s="1023"/>
      <c r="AI302" s="1023"/>
      <c r="AJ302" s="1023"/>
      <c r="AK302" s="1023"/>
      <c r="AL302" s="1023"/>
      <c r="AM302" s="1023"/>
      <c r="AN302" s="1023"/>
      <c r="AO302" s="1023"/>
      <c r="AP302" s="1023"/>
      <c r="AQ302" s="1023"/>
      <c r="AR302" s="1023"/>
      <c r="AS302" s="1023"/>
      <c r="AT302" s="1023"/>
      <c r="AU302" s="1023"/>
      <c r="AV302" s="1023"/>
      <c r="AW302" s="1023"/>
    </row>
    <row r="303" spans="1:49">
      <c r="A303" s="1023"/>
      <c r="B303" s="1040"/>
      <c r="C303" s="1040"/>
      <c r="D303" s="1040"/>
      <c r="E303" s="1023"/>
      <c r="F303" s="1040"/>
      <c r="G303" s="1023"/>
      <c r="L303" s="1040"/>
      <c r="M303" s="1040"/>
      <c r="N303" s="1023"/>
      <c r="O303" s="1023"/>
      <c r="P303" s="1023"/>
      <c r="Q303" s="1023"/>
      <c r="R303" s="1023"/>
      <c r="S303" s="1023"/>
      <c r="T303" s="1023"/>
      <c r="U303" s="1023"/>
      <c r="V303" s="1023"/>
      <c r="W303" s="1023"/>
      <c r="X303" s="1023"/>
      <c r="Y303" s="1023"/>
      <c r="Z303" s="1023"/>
      <c r="AA303" s="1023"/>
      <c r="AB303" s="1023"/>
      <c r="AC303" s="1023"/>
      <c r="AD303" s="1023"/>
      <c r="AE303" s="1023"/>
      <c r="AF303" s="1023"/>
      <c r="AG303" s="1023"/>
      <c r="AH303" s="1023"/>
      <c r="AI303" s="1023"/>
      <c r="AJ303" s="1023"/>
      <c r="AK303" s="1023"/>
      <c r="AL303" s="1023"/>
      <c r="AM303" s="1023"/>
      <c r="AN303" s="1023"/>
      <c r="AO303" s="1023"/>
      <c r="AP303" s="1023"/>
      <c r="AQ303" s="1023"/>
      <c r="AR303" s="1023"/>
      <c r="AS303" s="1023"/>
      <c r="AT303" s="1023"/>
      <c r="AU303" s="1023"/>
      <c r="AV303" s="1023"/>
      <c r="AW303" s="1023"/>
    </row>
    <row r="304" spans="1:49">
      <c r="A304" s="1023"/>
      <c r="B304" s="1040"/>
      <c r="C304" s="1040"/>
      <c r="D304" s="1040"/>
      <c r="E304" s="1023"/>
      <c r="F304" s="1040"/>
      <c r="G304" s="1023"/>
      <c r="L304" s="1040"/>
      <c r="M304" s="1040"/>
      <c r="N304" s="1023"/>
      <c r="O304" s="1023"/>
      <c r="P304" s="1023"/>
      <c r="Q304" s="1023"/>
      <c r="R304" s="1023"/>
      <c r="S304" s="1023"/>
      <c r="T304" s="1023"/>
      <c r="U304" s="1023"/>
      <c r="V304" s="1023"/>
      <c r="W304" s="1023"/>
      <c r="X304" s="1023"/>
      <c r="Y304" s="1023"/>
      <c r="Z304" s="1023"/>
      <c r="AA304" s="1023"/>
      <c r="AB304" s="1023"/>
      <c r="AC304" s="1023"/>
      <c r="AD304" s="1023"/>
      <c r="AE304" s="1023"/>
      <c r="AF304" s="1023"/>
      <c r="AG304" s="1023"/>
      <c r="AH304" s="1023"/>
      <c r="AI304" s="1023"/>
      <c r="AJ304" s="1023"/>
      <c r="AK304" s="1023"/>
      <c r="AL304" s="1023"/>
      <c r="AM304" s="1023"/>
      <c r="AN304" s="1023"/>
      <c r="AO304" s="1023"/>
      <c r="AP304" s="1023"/>
      <c r="AQ304" s="1023"/>
      <c r="AR304" s="1023"/>
      <c r="AS304" s="1023"/>
      <c r="AT304" s="1023"/>
      <c r="AU304" s="1023"/>
      <c r="AV304" s="1023"/>
      <c r="AW304" s="1023"/>
    </row>
    <row r="305" spans="1:49">
      <c r="A305" s="1023"/>
      <c r="B305" s="1040"/>
      <c r="C305" s="1040"/>
      <c r="D305" s="1040"/>
      <c r="E305" s="1023"/>
      <c r="F305" s="1040"/>
      <c r="G305" s="1023"/>
      <c r="L305" s="1040"/>
      <c r="M305" s="1040"/>
      <c r="N305" s="1023"/>
      <c r="O305" s="1023"/>
      <c r="P305" s="1023"/>
      <c r="Q305" s="1023"/>
      <c r="R305" s="1023"/>
      <c r="S305" s="1023"/>
      <c r="T305" s="1023"/>
      <c r="U305" s="1023"/>
      <c r="V305" s="1023"/>
      <c r="W305" s="1023"/>
      <c r="X305" s="1023"/>
      <c r="Y305" s="1023"/>
      <c r="Z305" s="1023"/>
      <c r="AA305" s="1023"/>
      <c r="AB305" s="1023"/>
      <c r="AC305" s="1023"/>
      <c r="AD305" s="1023"/>
      <c r="AE305" s="1023"/>
      <c r="AF305" s="1023"/>
      <c r="AG305" s="1023"/>
      <c r="AH305" s="1023"/>
      <c r="AI305" s="1023"/>
      <c r="AJ305" s="1023"/>
      <c r="AK305" s="1023"/>
      <c r="AL305" s="1023"/>
      <c r="AM305" s="1023"/>
      <c r="AN305" s="1023"/>
      <c r="AO305" s="1023"/>
      <c r="AP305" s="1023"/>
      <c r="AQ305" s="1023"/>
      <c r="AR305" s="1023"/>
      <c r="AS305" s="1023"/>
      <c r="AT305" s="1023"/>
      <c r="AU305" s="1023"/>
      <c r="AV305" s="1023"/>
      <c r="AW305" s="1023"/>
    </row>
    <row r="306" spans="1:49">
      <c r="A306" s="1023"/>
      <c r="B306" s="1040"/>
      <c r="C306" s="1040"/>
      <c r="D306" s="1040"/>
      <c r="E306" s="1023"/>
      <c r="F306" s="1040"/>
      <c r="G306" s="1023"/>
      <c r="L306" s="1040"/>
      <c r="M306" s="1040"/>
      <c r="N306" s="1023"/>
      <c r="O306" s="1023"/>
      <c r="P306" s="1023"/>
      <c r="Q306" s="1023"/>
      <c r="R306" s="1023"/>
      <c r="S306" s="1023"/>
      <c r="T306" s="1023"/>
      <c r="U306" s="1023"/>
      <c r="V306" s="1023"/>
      <c r="W306" s="1023"/>
      <c r="X306" s="1023"/>
      <c r="Y306" s="1023"/>
      <c r="Z306" s="1023"/>
      <c r="AA306" s="1023"/>
      <c r="AB306" s="1023"/>
      <c r="AC306" s="1023"/>
      <c r="AD306" s="1023"/>
      <c r="AE306" s="1023"/>
      <c r="AF306" s="1023"/>
      <c r="AG306" s="1023"/>
      <c r="AH306" s="1023"/>
      <c r="AI306" s="1023"/>
      <c r="AJ306" s="1023"/>
      <c r="AK306" s="1023"/>
      <c r="AL306" s="1023"/>
      <c r="AM306" s="1023"/>
      <c r="AN306" s="1023"/>
      <c r="AO306" s="1023"/>
      <c r="AP306" s="1023"/>
      <c r="AQ306" s="1023"/>
      <c r="AR306" s="1023"/>
      <c r="AS306" s="1023"/>
      <c r="AT306" s="1023"/>
      <c r="AU306" s="1023"/>
      <c r="AV306" s="1023"/>
      <c r="AW306" s="1023"/>
    </row>
    <row r="307" spans="1:49">
      <c r="A307" s="1023"/>
      <c r="B307" s="1040"/>
      <c r="C307" s="1040"/>
      <c r="D307" s="1040"/>
      <c r="E307" s="1023"/>
      <c r="F307" s="1040"/>
      <c r="G307" s="1023"/>
      <c r="L307" s="1040"/>
      <c r="M307" s="1040"/>
      <c r="N307" s="1023"/>
      <c r="O307" s="1023"/>
      <c r="P307" s="1023"/>
      <c r="Q307" s="1023"/>
      <c r="R307" s="1023"/>
      <c r="S307" s="1023"/>
      <c r="T307" s="1023"/>
      <c r="U307" s="1023"/>
      <c r="V307" s="1023"/>
      <c r="W307" s="1023"/>
      <c r="X307" s="1023"/>
      <c r="Y307" s="1023"/>
      <c r="Z307" s="1023"/>
      <c r="AA307" s="1023"/>
      <c r="AB307" s="1023"/>
      <c r="AC307" s="1023"/>
      <c r="AD307" s="1023"/>
      <c r="AE307" s="1023"/>
      <c r="AF307" s="1023"/>
      <c r="AG307" s="1023"/>
      <c r="AH307" s="1023"/>
      <c r="AI307" s="1023"/>
      <c r="AJ307" s="1023"/>
      <c r="AK307" s="1023"/>
      <c r="AL307" s="1023"/>
      <c r="AM307" s="1023"/>
      <c r="AN307" s="1023"/>
      <c r="AO307" s="1023"/>
      <c r="AP307" s="1023"/>
      <c r="AQ307" s="1023"/>
      <c r="AR307" s="1023"/>
      <c r="AS307" s="1023"/>
      <c r="AT307" s="1023"/>
      <c r="AU307" s="1023"/>
      <c r="AV307" s="1023"/>
      <c r="AW307" s="1023"/>
    </row>
    <row r="308" spans="1:49">
      <c r="A308" s="1023"/>
      <c r="B308" s="1040"/>
      <c r="C308" s="1040"/>
      <c r="D308" s="1040"/>
      <c r="E308" s="1023"/>
      <c r="F308" s="1040"/>
      <c r="G308" s="1023"/>
      <c r="L308" s="1040"/>
      <c r="M308" s="1040"/>
      <c r="N308" s="1023"/>
      <c r="O308" s="1023"/>
      <c r="P308" s="1023"/>
      <c r="Q308" s="1023"/>
      <c r="R308" s="1023"/>
      <c r="S308" s="1023"/>
      <c r="T308" s="1023"/>
      <c r="U308" s="1023"/>
      <c r="V308" s="1023"/>
      <c r="W308" s="1023"/>
      <c r="X308" s="1023"/>
      <c r="Y308" s="1023"/>
      <c r="Z308" s="1023"/>
      <c r="AA308" s="1023"/>
      <c r="AB308" s="1023"/>
      <c r="AC308" s="1023"/>
      <c r="AD308" s="1023"/>
      <c r="AE308" s="1023"/>
      <c r="AF308" s="1023"/>
      <c r="AG308" s="1023"/>
      <c r="AH308" s="1023"/>
      <c r="AI308" s="1023"/>
      <c r="AJ308" s="1023"/>
      <c r="AK308" s="1023"/>
      <c r="AL308" s="1023"/>
      <c r="AM308" s="1023"/>
      <c r="AN308" s="1023"/>
      <c r="AO308" s="1023"/>
      <c r="AP308" s="1023"/>
      <c r="AQ308" s="1023"/>
      <c r="AR308" s="1023"/>
      <c r="AS308" s="1023"/>
      <c r="AT308" s="1023"/>
      <c r="AU308" s="1023"/>
      <c r="AV308" s="1023"/>
      <c r="AW308" s="1023"/>
    </row>
    <row r="309" spans="1:49">
      <c r="A309" s="1023"/>
      <c r="B309" s="1040"/>
      <c r="C309" s="1040"/>
      <c r="D309" s="1040"/>
      <c r="E309" s="1023"/>
      <c r="F309" s="1040"/>
      <c r="G309" s="1023"/>
      <c r="L309" s="1040"/>
      <c r="M309" s="1040"/>
      <c r="N309" s="1023"/>
      <c r="O309" s="1023"/>
      <c r="P309" s="1023"/>
      <c r="Q309" s="1023"/>
      <c r="R309" s="1023"/>
      <c r="S309" s="1023"/>
      <c r="T309" s="1023"/>
      <c r="U309" s="1023"/>
      <c r="V309" s="1023"/>
      <c r="W309" s="1023"/>
      <c r="X309" s="1023"/>
      <c r="Y309" s="1023"/>
      <c r="Z309" s="1023"/>
      <c r="AA309" s="1023"/>
      <c r="AB309" s="1023"/>
      <c r="AC309" s="1023"/>
      <c r="AD309" s="1023"/>
      <c r="AE309" s="1023"/>
      <c r="AF309" s="1023"/>
      <c r="AG309" s="1023"/>
      <c r="AH309" s="1023"/>
      <c r="AI309" s="1023"/>
      <c r="AJ309" s="1023"/>
      <c r="AK309" s="1023"/>
      <c r="AL309" s="1023"/>
      <c r="AM309" s="1023"/>
      <c r="AN309" s="1023"/>
      <c r="AO309" s="1023"/>
      <c r="AP309" s="1023"/>
      <c r="AQ309" s="1023"/>
      <c r="AR309" s="1023"/>
      <c r="AS309" s="1023"/>
      <c r="AT309" s="1023"/>
      <c r="AU309" s="1023"/>
      <c r="AV309" s="1023"/>
      <c r="AW309" s="1023"/>
    </row>
    <row r="310" spans="1:49">
      <c r="A310" s="1023"/>
      <c r="B310" s="1040"/>
      <c r="C310" s="1040"/>
      <c r="D310" s="1040"/>
      <c r="E310" s="1023"/>
      <c r="F310" s="1040"/>
      <c r="G310" s="1023"/>
      <c r="L310" s="1040"/>
      <c r="M310" s="1040"/>
      <c r="N310" s="1023"/>
      <c r="O310" s="1023"/>
      <c r="P310" s="1023"/>
      <c r="Q310" s="1023"/>
      <c r="R310" s="1023"/>
      <c r="S310" s="1023"/>
      <c r="T310" s="1023"/>
      <c r="U310" s="1023"/>
      <c r="V310" s="1023"/>
      <c r="W310" s="1023"/>
      <c r="X310" s="1023"/>
      <c r="Y310" s="1023"/>
      <c r="Z310" s="1023"/>
      <c r="AA310" s="1023"/>
      <c r="AB310" s="1023"/>
      <c r="AC310" s="1023"/>
      <c r="AD310" s="1023"/>
      <c r="AE310" s="1023"/>
      <c r="AF310" s="1023"/>
      <c r="AG310" s="1023"/>
      <c r="AH310" s="1023"/>
      <c r="AI310" s="1023"/>
      <c r="AJ310" s="1023"/>
      <c r="AK310" s="1023"/>
      <c r="AL310" s="1023"/>
      <c r="AM310" s="1023"/>
      <c r="AN310" s="1023"/>
      <c r="AO310" s="1023"/>
      <c r="AP310" s="1023"/>
      <c r="AQ310" s="1023"/>
      <c r="AR310" s="1023"/>
      <c r="AS310" s="1023"/>
      <c r="AT310" s="1023"/>
      <c r="AU310" s="1023"/>
      <c r="AV310" s="1023"/>
      <c r="AW310" s="1023"/>
    </row>
    <row r="311" spans="1:49">
      <c r="A311" s="1023"/>
      <c r="B311" s="1040"/>
      <c r="C311" s="1040"/>
      <c r="D311" s="1040"/>
      <c r="E311" s="1023"/>
      <c r="F311" s="1040"/>
      <c r="G311" s="1023"/>
      <c r="L311" s="1040"/>
      <c r="M311" s="1040"/>
      <c r="N311" s="1023"/>
      <c r="O311" s="1023"/>
      <c r="P311" s="1023"/>
      <c r="Q311" s="1023"/>
      <c r="R311" s="1023"/>
      <c r="S311" s="1023"/>
      <c r="T311" s="1023"/>
      <c r="U311" s="1023"/>
      <c r="V311" s="1023"/>
      <c r="W311" s="1023"/>
      <c r="X311" s="1023"/>
      <c r="Y311" s="1023"/>
      <c r="Z311" s="1023"/>
      <c r="AA311" s="1023"/>
      <c r="AB311" s="1023"/>
      <c r="AC311" s="1023"/>
      <c r="AD311" s="1023"/>
      <c r="AE311" s="1023"/>
      <c r="AF311" s="1023"/>
      <c r="AG311" s="1023"/>
      <c r="AH311" s="1023"/>
      <c r="AI311" s="1023"/>
      <c r="AJ311" s="1023"/>
      <c r="AK311" s="1023"/>
      <c r="AL311" s="1023"/>
      <c r="AM311" s="1023"/>
      <c r="AN311" s="1023"/>
      <c r="AO311" s="1023"/>
      <c r="AP311" s="1023"/>
      <c r="AQ311" s="1023"/>
      <c r="AR311" s="1023"/>
      <c r="AS311" s="1023"/>
      <c r="AT311" s="1023"/>
      <c r="AU311" s="1023"/>
      <c r="AV311" s="1023"/>
      <c r="AW311" s="1023"/>
    </row>
    <row r="312" spans="1:49">
      <c r="A312" s="1023"/>
      <c r="B312" s="1040"/>
      <c r="C312" s="1040"/>
      <c r="D312" s="1040"/>
      <c r="E312" s="1023"/>
      <c r="F312" s="1040"/>
      <c r="G312" s="1023"/>
      <c r="L312" s="1040"/>
      <c r="M312" s="1040"/>
      <c r="N312" s="1023"/>
      <c r="O312" s="1023"/>
      <c r="P312" s="1023"/>
      <c r="Q312" s="1023"/>
      <c r="R312" s="1023"/>
      <c r="S312" s="1023"/>
      <c r="T312" s="1023"/>
      <c r="U312" s="1023"/>
      <c r="V312" s="1023"/>
      <c r="W312" s="1023"/>
      <c r="X312" s="1023"/>
      <c r="Y312" s="1023"/>
      <c r="Z312" s="1023"/>
      <c r="AA312" s="1023"/>
      <c r="AB312" s="1023"/>
      <c r="AC312" s="1023"/>
      <c r="AD312" s="1023"/>
      <c r="AE312" s="1023"/>
      <c r="AF312" s="1023"/>
      <c r="AG312" s="1023"/>
      <c r="AH312" s="1023"/>
      <c r="AI312" s="1023"/>
      <c r="AJ312" s="1023"/>
      <c r="AK312" s="1023"/>
      <c r="AL312" s="1023"/>
      <c r="AM312" s="1023"/>
      <c r="AN312" s="1023"/>
      <c r="AO312" s="1023"/>
      <c r="AP312" s="1023"/>
      <c r="AQ312" s="1023"/>
      <c r="AR312" s="1023"/>
      <c r="AS312" s="1023"/>
      <c r="AT312" s="1023"/>
      <c r="AU312" s="1023"/>
      <c r="AV312" s="1023"/>
      <c r="AW312" s="1023"/>
    </row>
    <row r="313" spans="1:49">
      <c r="A313" s="1023"/>
      <c r="B313" s="1040"/>
      <c r="C313" s="1040"/>
      <c r="D313" s="1040"/>
      <c r="E313" s="1023"/>
      <c r="F313" s="1040"/>
      <c r="G313" s="1023"/>
      <c r="L313" s="1040"/>
      <c r="M313" s="1040"/>
      <c r="N313" s="1023"/>
      <c r="O313" s="1023"/>
      <c r="P313" s="1023"/>
      <c r="Q313" s="1023"/>
      <c r="R313" s="1023"/>
      <c r="S313" s="1023"/>
      <c r="T313" s="1023"/>
      <c r="U313" s="1023"/>
      <c r="V313" s="1023"/>
      <c r="W313" s="1023"/>
      <c r="X313" s="1023"/>
      <c r="Y313" s="1023"/>
      <c r="Z313" s="1023"/>
      <c r="AA313" s="1023"/>
      <c r="AB313" s="1023"/>
      <c r="AC313" s="1023"/>
      <c r="AD313" s="1023"/>
      <c r="AE313" s="1023"/>
      <c r="AF313" s="1023"/>
      <c r="AG313" s="1023"/>
      <c r="AH313" s="1023"/>
      <c r="AI313" s="1023"/>
      <c r="AJ313" s="1023"/>
      <c r="AK313" s="1023"/>
      <c r="AL313" s="1023"/>
      <c r="AM313" s="1023"/>
      <c r="AN313" s="1023"/>
      <c r="AO313" s="1023"/>
      <c r="AP313" s="1023"/>
      <c r="AQ313" s="1023"/>
      <c r="AR313" s="1023"/>
      <c r="AS313" s="1023"/>
      <c r="AT313" s="1023"/>
      <c r="AU313" s="1023"/>
      <c r="AV313" s="1023"/>
      <c r="AW313" s="1023"/>
    </row>
    <row r="314" spans="1:49">
      <c r="A314" s="1023"/>
      <c r="B314" s="1040"/>
      <c r="C314" s="1040"/>
      <c r="D314" s="1040"/>
      <c r="E314" s="1023"/>
      <c r="F314" s="1040"/>
      <c r="G314" s="1023"/>
      <c r="L314" s="1040"/>
      <c r="M314" s="1040"/>
      <c r="N314" s="1023"/>
      <c r="O314" s="1023"/>
      <c r="P314" s="1023"/>
      <c r="Q314" s="1023"/>
      <c r="R314" s="1023"/>
      <c r="S314" s="1023"/>
      <c r="T314" s="1023"/>
      <c r="U314" s="1023"/>
      <c r="V314" s="1023"/>
      <c r="W314" s="1023"/>
      <c r="X314" s="1023"/>
      <c r="Y314" s="1023"/>
      <c r="Z314" s="1023"/>
      <c r="AA314" s="1023"/>
      <c r="AB314" s="1023"/>
      <c r="AC314" s="1023"/>
      <c r="AD314" s="1023"/>
      <c r="AE314" s="1023"/>
      <c r="AF314" s="1023"/>
      <c r="AG314" s="1023"/>
      <c r="AH314" s="1023"/>
      <c r="AI314" s="1023"/>
      <c r="AJ314" s="1023"/>
      <c r="AK314" s="1023"/>
      <c r="AL314" s="1023"/>
      <c r="AM314" s="1023"/>
      <c r="AN314" s="1023"/>
      <c r="AO314" s="1023"/>
      <c r="AP314" s="1023"/>
      <c r="AQ314" s="1023"/>
      <c r="AR314" s="1023"/>
      <c r="AS314" s="1023"/>
      <c r="AT314" s="1023"/>
      <c r="AU314" s="1023"/>
      <c r="AV314" s="1023"/>
      <c r="AW314" s="1023"/>
    </row>
    <row r="315" spans="1:49">
      <c r="A315" s="1023"/>
      <c r="B315" s="1040"/>
      <c r="C315" s="1040"/>
      <c r="D315" s="1040"/>
      <c r="E315" s="1023"/>
      <c r="F315" s="1040"/>
      <c r="G315" s="1023"/>
      <c r="L315" s="1040"/>
      <c r="M315" s="1040"/>
      <c r="N315" s="1023"/>
      <c r="O315" s="1023"/>
      <c r="P315" s="1023"/>
      <c r="Q315" s="1023"/>
      <c r="R315" s="1023"/>
      <c r="S315" s="1023"/>
      <c r="T315" s="1023"/>
      <c r="U315" s="1023"/>
      <c r="V315" s="1023"/>
      <c r="W315" s="1023"/>
      <c r="X315" s="1023"/>
      <c r="Y315" s="1023"/>
      <c r="Z315" s="1023"/>
      <c r="AA315" s="1023"/>
      <c r="AB315" s="1023"/>
      <c r="AC315" s="1023"/>
      <c r="AD315" s="1023"/>
      <c r="AE315" s="1023"/>
      <c r="AF315" s="1023"/>
      <c r="AG315" s="1023"/>
      <c r="AH315" s="1023"/>
      <c r="AI315" s="1023"/>
      <c r="AJ315" s="1023"/>
      <c r="AK315" s="1023"/>
      <c r="AL315" s="1023"/>
      <c r="AM315" s="1023"/>
      <c r="AN315" s="1023"/>
      <c r="AO315" s="1023"/>
      <c r="AP315" s="1023"/>
      <c r="AQ315" s="1023"/>
      <c r="AR315" s="1023"/>
      <c r="AS315" s="1023"/>
      <c r="AT315" s="1023"/>
      <c r="AU315" s="1023"/>
      <c r="AV315" s="1023"/>
      <c r="AW315" s="1023"/>
    </row>
    <row r="316" spans="1:49">
      <c r="A316" s="1023"/>
      <c r="B316" s="1040"/>
      <c r="C316" s="1040"/>
      <c r="D316" s="1040"/>
      <c r="E316" s="1023"/>
      <c r="F316" s="1040"/>
      <c r="G316" s="1023"/>
      <c r="L316" s="1040"/>
      <c r="M316" s="1040"/>
      <c r="N316" s="1023"/>
      <c r="O316" s="1023"/>
      <c r="P316" s="1023"/>
      <c r="Q316" s="1023"/>
      <c r="R316" s="1023"/>
      <c r="S316" s="1023"/>
      <c r="T316" s="1023"/>
      <c r="U316" s="1023"/>
      <c r="V316" s="1023"/>
      <c r="W316" s="1023"/>
      <c r="X316" s="1023"/>
      <c r="Y316" s="1023"/>
      <c r="Z316" s="1023"/>
      <c r="AA316" s="1023"/>
      <c r="AB316" s="1023"/>
      <c r="AC316" s="1023"/>
      <c r="AD316" s="1023"/>
      <c r="AE316" s="1023"/>
      <c r="AF316" s="1023"/>
      <c r="AG316" s="1023"/>
      <c r="AH316" s="1023"/>
      <c r="AI316" s="1023"/>
      <c r="AJ316" s="1023"/>
      <c r="AK316" s="1023"/>
      <c r="AL316" s="1023"/>
      <c r="AM316" s="1023"/>
      <c r="AN316" s="1023"/>
      <c r="AO316" s="1023"/>
      <c r="AP316" s="1023"/>
      <c r="AQ316" s="1023"/>
      <c r="AR316" s="1023"/>
      <c r="AS316" s="1023"/>
      <c r="AT316" s="1023"/>
      <c r="AU316" s="1023"/>
      <c r="AV316" s="1023"/>
      <c r="AW316" s="1023"/>
    </row>
    <row r="317" spans="1:49">
      <c r="A317" s="1023"/>
      <c r="B317" s="1040"/>
      <c r="C317" s="1040"/>
      <c r="D317" s="1040"/>
      <c r="E317" s="1023"/>
      <c r="F317" s="1040"/>
      <c r="G317" s="1023"/>
      <c r="L317" s="1040"/>
      <c r="M317" s="1040"/>
      <c r="N317" s="1023"/>
      <c r="O317" s="1023"/>
      <c r="P317" s="1023"/>
      <c r="Q317" s="1023"/>
      <c r="R317" s="1023"/>
      <c r="S317" s="1023"/>
      <c r="T317" s="1023"/>
      <c r="U317" s="1023"/>
      <c r="V317" s="1023"/>
      <c r="W317" s="1023"/>
      <c r="X317" s="1023"/>
      <c r="Y317" s="1023"/>
      <c r="Z317" s="1023"/>
      <c r="AA317" s="1023"/>
      <c r="AB317" s="1023"/>
      <c r="AC317" s="1023"/>
      <c r="AD317" s="1023"/>
      <c r="AE317" s="1023"/>
      <c r="AF317" s="1023"/>
      <c r="AG317" s="1023"/>
      <c r="AH317" s="1023"/>
      <c r="AI317" s="1023"/>
      <c r="AJ317" s="1023"/>
      <c r="AK317" s="1023"/>
      <c r="AL317" s="1023"/>
      <c r="AM317" s="1023"/>
      <c r="AN317" s="1023"/>
      <c r="AO317" s="1023"/>
      <c r="AP317" s="1023"/>
      <c r="AQ317" s="1023"/>
      <c r="AR317" s="1023"/>
      <c r="AS317" s="1023"/>
      <c r="AT317" s="1023"/>
      <c r="AU317" s="1023"/>
      <c r="AV317" s="1023"/>
      <c r="AW317" s="1023"/>
    </row>
    <row r="318" spans="1:49">
      <c r="A318" s="1023"/>
      <c r="B318" s="1040"/>
      <c r="C318" s="1040"/>
      <c r="D318" s="1040"/>
      <c r="E318" s="1023"/>
      <c r="F318" s="1040"/>
      <c r="G318" s="1023"/>
      <c r="L318" s="1040"/>
      <c r="M318" s="1040"/>
      <c r="N318" s="1023"/>
      <c r="O318" s="1023"/>
      <c r="P318" s="1023"/>
      <c r="Q318" s="1023"/>
      <c r="R318" s="1023"/>
      <c r="S318" s="1023"/>
      <c r="T318" s="1023"/>
      <c r="U318" s="1023"/>
      <c r="V318" s="1023"/>
      <c r="W318" s="1023"/>
      <c r="X318" s="1023"/>
      <c r="Y318" s="1023"/>
      <c r="Z318" s="1023"/>
      <c r="AA318" s="1023"/>
      <c r="AB318" s="1023"/>
      <c r="AC318" s="1023"/>
      <c r="AD318" s="1023"/>
      <c r="AE318" s="1023"/>
      <c r="AF318" s="1023"/>
      <c r="AG318" s="1023"/>
      <c r="AH318" s="1023"/>
      <c r="AI318" s="1023"/>
      <c r="AJ318" s="1023"/>
      <c r="AK318" s="1023"/>
      <c r="AL318" s="1023"/>
      <c r="AM318" s="1023"/>
      <c r="AN318" s="1023"/>
      <c r="AO318" s="1023"/>
      <c r="AP318" s="1023"/>
      <c r="AQ318" s="1023"/>
      <c r="AR318" s="1023"/>
      <c r="AS318" s="1023"/>
      <c r="AT318" s="1023"/>
      <c r="AU318" s="1023"/>
      <c r="AV318" s="1023"/>
      <c r="AW318" s="1023"/>
    </row>
    <row r="319" spans="1:49">
      <c r="A319" s="1023"/>
      <c r="B319" s="1040"/>
      <c r="C319" s="1040"/>
      <c r="D319" s="1040"/>
      <c r="E319" s="1023"/>
      <c r="F319" s="1040"/>
      <c r="G319" s="1023"/>
      <c r="L319" s="1040"/>
      <c r="M319" s="1040"/>
      <c r="N319" s="1023"/>
      <c r="O319" s="1023"/>
      <c r="P319" s="1023"/>
      <c r="Q319" s="1023"/>
      <c r="R319" s="1023"/>
      <c r="S319" s="1023"/>
      <c r="T319" s="1023"/>
      <c r="U319" s="1023"/>
      <c r="V319" s="1023"/>
      <c r="W319" s="1023"/>
      <c r="X319" s="1023"/>
      <c r="Y319" s="1023"/>
      <c r="Z319" s="1023"/>
      <c r="AA319" s="1023"/>
      <c r="AB319" s="1023"/>
      <c r="AC319" s="1023"/>
      <c r="AD319" s="1023"/>
      <c r="AE319" s="1023"/>
      <c r="AF319" s="1023"/>
      <c r="AG319" s="1023"/>
      <c r="AH319" s="1023"/>
      <c r="AI319" s="1023"/>
      <c r="AJ319" s="1023"/>
      <c r="AK319" s="1023"/>
      <c r="AL319" s="1023"/>
      <c r="AM319" s="1023"/>
      <c r="AN319" s="1023"/>
      <c r="AO319" s="1023"/>
      <c r="AP319" s="1023"/>
      <c r="AQ319" s="1023"/>
      <c r="AR319" s="1023"/>
      <c r="AS319" s="1023"/>
      <c r="AT319" s="1023"/>
      <c r="AU319" s="1023"/>
      <c r="AV319" s="1023"/>
      <c r="AW319" s="1023"/>
    </row>
    <row r="320" spans="1:49">
      <c r="A320" s="1023"/>
      <c r="B320" s="1040"/>
      <c r="C320" s="1040"/>
      <c r="D320" s="1040"/>
      <c r="E320" s="1023"/>
      <c r="F320" s="1040"/>
      <c r="G320" s="1023"/>
      <c r="L320" s="1040"/>
      <c r="M320" s="1040"/>
      <c r="N320" s="1023"/>
      <c r="O320" s="1023"/>
      <c r="P320" s="1023"/>
      <c r="Q320" s="1023"/>
      <c r="R320" s="1023"/>
      <c r="S320" s="1023"/>
      <c r="T320" s="1023"/>
      <c r="U320" s="1023"/>
      <c r="V320" s="1023"/>
      <c r="W320" s="1023"/>
      <c r="X320" s="1023"/>
      <c r="Y320" s="1023"/>
      <c r="Z320" s="1023"/>
      <c r="AA320" s="1023"/>
      <c r="AB320" s="1023"/>
      <c r="AC320" s="1023"/>
      <c r="AD320" s="1023"/>
      <c r="AE320" s="1023"/>
      <c r="AF320" s="1023"/>
      <c r="AG320" s="1023"/>
      <c r="AH320" s="1023"/>
      <c r="AI320" s="1023"/>
      <c r="AJ320" s="1023"/>
      <c r="AK320" s="1023"/>
      <c r="AL320" s="1023"/>
      <c r="AM320" s="1023"/>
      <c r="AN320" s="1023"/>
      <c r="AO320" s="1023"/>
      <c r="AP320" s="1023"/>
      <c r="AQ320" s="1023"/>
      <c r="AR320" s="1023"/>
      <c r="AS320" s="1023"/>
      <c r="AT320" s="1023"/>
      <c r="AU320" s="1023"/>
      <c r="AV320" s="1023"/>
      <c r="AW320" s="1023"/>
    </row>
    <row r="321" spans="1:49">
      <c r="A321" s="1023"/>
      <c r="B321" s="1040"/>
      <c r="C321" s="1040"/>
      <c r="D321" s="1040"/>
      <c r="E321" s="1023"/>
      <c r="F321" s="1040"/>
      <c r="G321" s="1023"/>
      <c r="L321" s="1040"/>
      <c r="M321" s="1040"/>
      <c r="N321" s="1023"/>
      <c r="O321" s="1023"/>
      <c r="P321" s="1023"/>
      <c r="Q321" s="1023"/>
      <c r="R321" s="1023"/>
      <c r="S321" s="1023"/>
      <c r="T321" s="1023"/>
      <c r="U321" s="1023"/>
      <c r="V321" s="1023"/>
      <c r="W321" s="1023"/>
      <c r="X321" s="1023"/>
      <c r="Y321" s="1023"/>
      <c r="Z321" s="1023"/>
      <c r="AA321" s="1023"/>
      <c r="AB321" s="1023"/>
      <c r="AC321" s="1023"/>
      <c r="AD321" s="1023"/>
      <c r="AE321" s="1023"/>
      <c r="AF321" s="1023"/>
      <c r="AG321" s="1023"/>
      <c r="AH321" s="1023"/>
      <c r="AI321" s="1023"/>
      <c r="AJ321" s="1023"/>
      <c r="AK321" s="1023"/>
      <c r="AL321" s="1023"/>
      <c r="AM321" s="1023"/>
      <c r="AN321" s="1023"/>
      <c r="AO321" s="1023"/>
      <c r="AP321" s="1023"/>
      <c r="AQ321" s="1023"/>
      <c r="AR321" s="1023"/>
      <c r="AS321" s="1023"/>
      <c r="AT321" s="1023"/>
      <c r="AU321" s="1023"/>
      <c r="AV321" s="1023"/>
      <c r="AW321" s="1023"/>
    </row>
    <row r="322" spans="1:49">
      <c r="A322" s="1023"/>
      <c r="B322" s="1040"/>
      <c r="C322" s="1040"/>
      <c r="D322" s="1040"/>
      <c r="E322" s="1023"/>
      <c r="F322" s="1040"/>
      <c r="G322" s="1023"/>
      <c r="L322" s="1040"/>
      <c r="M322" s="1040"/>
      <c r="N322" s="1023"/>
      <c r="O322" s="1023"/>
      <c r="P322" s="1023"/>
      <c r="Q322" s="1023"/>
      <c r="R322" s="1023"/>
      <c r="S322" s="1023"/>
      <c r="T322" s="1023"/>
      <c r="U322" s="1023"/>
      <c r="V322" s="1023"/>
      <c r="W322" s="1023"/>
      <c r="X322" s="1023"/>
      <c r="Y322" s="1023"/>
      <c r="Z322" s="1023"/>
      <c r="AA322" s="1023"/>
      <c r="AB322" s="1023"/>
      <c r="AC322" s="1023"/>
      <c r="AD322" s="1023"/>
      <c r="AE322" s="1023"/>
      <c r="AF322" s="1023"/>
      <c r="AG322" s="1023"/>
      <c r="AH322" s="1023"/>
      <c r="AI322" s="1023"/>
      <c r="AJ322" s="1023"/>
      <c r="AK322" s="1023"/>
      <c r="AL322" s="1023"/>
      <c r="AM322" s="1023"/>
      <c r="AN322" s="1023"/>
      <c r="AO322" s="1023"/>
      <c r="AP322" s="1023"/>
      <c r="AQ322" s="1023"/>
      <c r="AR322" s="1023"/>
      <c r="AS322" s="1023"/>
      <c r="AT322" s="1023"/>
      <c r="AU322" s="1023"/>
      <c r="AV322" s="1023"/>
      <c r="AW322" s="1023"/>
    </row>
    <row r="323" spans="1:49">
      <c r="A323" s="1023"/>
      <c r="B323" s="1040"/>
      <c r="C323" s="1040"/>
      <c r="D323" s="1040"/>
      <c r="E323" s="1023"/>
      <c r="F323" s="1040"/>
      <c r="G323" s="1023"/>
      <c r="L323" s="1040"/>
      <c r="M323" s="1040"/>
      <c r="N323" s="1023"/>
      <c r="O323" s="1023"/>
      <c r="P323" s="1023"/>
      <c r="Q323" s="1023"/>
      <c r="R323" s="1023"/>
      <c r="S323" s="1023"/>
      <c r="T323" s="1023"/>
      <c r="U323" s="1023"/>
      <c r="V323" s="1023"/>
      <c r="W323" s="1023"/>
      <c r="X323" s="1023"/>
      <c r="Y323" s="1023"/>
      <c r="Z323" s="1023"/>
      <c r="AA323" s="1023"/>
      <c r="AB323" s="1023"/>
      <c r="AC323" s="1023"/>
      <c r="AD323" s="1023"/>
      <c r="AE323" s="1023"/>
      <c r="AF323" s="1023"/>
      <c r="AG323" s="1023"/>
      <c r="AH323" s="1023"/>
      <c r="AI323" s="1023"/>
      <c r="AJ323" s="1023"/>
      <c r="AK323" s="1023"/>
      <c r="AL323" s="1023"/>
      <c r="AM323" s="1023"/>
      <c r="AN323" s="1023"/>
      <c r="AO323" s="1023"/>
      <c r="AP323" s="1023"/>
      <c r="AQ323" s="1023"/>
      <c r="AR323" s="1023"/>
      <c r="AS323" s="1023"/>
      <c r="AT323" s="1023"/>
      <c r="AU323" s="1023"/>
      <c r="AV323" s="1023"/>
      <c r="AW323" s="1023"/>
    </row>
    <row r="324" spans="1:49">
      <c r="A324" s="1023"/>
      <c r="B324" s="1040"/>
      <c r="C324" s="1040"/>
      <c r="D324" s="1040"/>
      <c r="E324" s="1023"/>
      <c r="F324" s="1040"/>
      <c r="G324" s="1023"/>
      <c r="L324" s="1040"/>
      <c r="M324" s="1040"/>
      <c r="N324" s="1023"/>
      <c r="O324" s="1023"/>
      <c r="P324" s="1023"/>
      <c r="Q324" s="1023"/>
      <c r="R324" s="1023"/>
      <c r="S324" s="1023"/>
      <c r="T324" s="1023"/>
      <c r="U324" s="1023"/>
      <c r="V324" s="1023"/>
      <c r="W324" s="1023"/>
      <c r="X324" s="1023"/>
      <c r="Y324" s="1023"/>
      <c r="Z324" s="1023"/>
      <c r="AA324" s="1023"/>
      <c r="AB324" s="1023"/>
      <c r="AC324" s="1023"/>
      <c r="AD324" s="1023"/>
      <c r="AE324" s="1023"/>
      <c r="AF324" s="1023"/>
      <c r="AG324" s="1023"/>
      <c r="AH324" s="1023"/>
      <c r="AI324" s="1023"/>
      <c r="AJ324" s="1023"/>
      <c r="AK324" s="1023"/>
      <c r="AL324" s="1023"/>
      <c r="AM324" s="1023"/>
      <c r="AN324" s="1023"/>
      <c r="AO324" s="1023"/>
      <c r="AP324" s="1023"/>
      <c r="AQ324" s="1023"/>
      <c r="AR324" s="1023"/>
      <c r="AS324" s="1023"/>
      <c r="AT324" s="1023"/>
      <c r="AU324" s="1023"/>
      <c r="AV324" s="1023"/>
      <c r="AW324" s="1023"/>
    </row>
    <row r="325" spans="1:49">
      <c r="A325" s="1023"/>
      <c r="B325" s="1040"/>
      <c r="C325" s="1040"/>
      <c r="D325" s="1040"/>
      <c r="E325" s="1023"/>
      <c r="F325" s="1040"/>
      <c r="G325" s="1023"/>
      <c r="L325" s="1040"/>
      <c r="M325" s="1040"/>
      <c r="N325" s="1023"/>
      <c r="O325" s="1023"/>
      <c r="P325" s="1023"/>
      <c r="Q325" s="1023"/>
      <c r="R325" s="1023"/>
      <c r="S325" s="1023"/>
      <c r="T325" s="1023"/>
      <c r="U325" s="1023"/>
      <c r="V325" s="1023"/>
      <c r="W325" s="1023"/>
      <c r="X325" s="1023"/>
      <c r="Y325" s="1023"/>
      <c r="Z325" s="1023"/>
      <c r="AA325" s="1023"/>
      <c r="AB325" s="1023"/>
      <c r="AC325" s="1023"/>
      <c r="AD325" s="1023"/>
      <c r="AE325" s="1023"/>
      <c r="AF325" s="1023"/>
      <c r="AG325" s="1023"/>
      <c r="AH325" s="1023"/>
      <c r="AI325" s="1023"/>
      <c r="AJ325" s="1023"/>
      <c r="AK325" s="1023"/>
      <c r="AL325" s="1023"/>
      <c r="AM325" s="1023"/>
      <c r="AN325" s="1023"/>
      <c r="AO325" s="1023"/>
      <c r="AP325" s="1023"/>
      <c r="AQ325" s="1023"/>
      <c r="AR325" s="1023"/>
      <c r="AS325" s="1023"/>
      <c r="AT325" s="1023"/>
      <c r="AU325" s="1023"/>
      <c r="AV325" s="1023"/>
      <c r="AW325" s="1023"/>
    </row>
    <row r="326" spans="1:49">
      <c r="A326" s="1023"/>
      <c r="B326" s="1040"/>
      <c r="C326" s="1040"/>
      <c r="D326" s="1040"/>
      <c r="E326" s="1023"/>
      <c r="F326" s="1040"/>
      <c r="G326" s="1023"/>
      <c r="L326" s="1040"/>
      <c r="M326" s="1040"/>
      <c r="N326" s="1023"/>
      <c r="O326" s="1023"/>
      <c r="P326" s="1023"/>
      <c r="Q326" s="1023"/>
      <c r="R326" s="1023"/>
      <c r="S326" s="1023"/>
      <c r="T326" s="1023"/>
      <c r="U326" s="1023"/>
      <c r="V326" s="1023"/>
      <c r="W326" s="1023"/>
      <c r="X326" s="1023"/>
      <c r="Y326" s="1023"/>
      <c r="Z326" s="1023"/>
      <c r="AA326" s="1023"/>
      <c r="AB326" s="1023"/>
      <c r="AC326" s="1023"/>
      <c r="AD326" s="1023"/>
      <c r="AE326" s="1023"/>
      <c r="AF326" s="1023"/>
      <c r="AG326" s="1023"/>
      <c r="AH326" s="1023"/>
      <c r="AI326" s="1023"/>
      <c r="AJ326" s="1023"/>
      <c r="AK326" s="1023"/>
      <c r="AL326" s="1023"/>
      <c r="AM326" s="1023"/>
      <c r="AN326" s="1023"/>
      <c r="AO326" s="1023"/>
      <c r="AP326" s="1023"/>
      <c r="AQ326" s="1023"/>
      <c r="AR326" s="1023"/>
      <c r="AS326" s="1023"/>
      <c r="AT326" s="1023"/>
      <c r="AU326" s="1023"/>
      <c r="AV326" s="1023"/>
      <c r="AW326" s="1023"/>
    </row>
    <row r="327" spans="1:49">
      <c r="A327" s="1023"/>
      <c r="B327" s="1040"/>
      <c r="C327" s="1040"/>
      <c r="D327" s="1040"/>
      <c r="E327" s="1023"/>
      <c r="F327" s="1040"/>
      <c r="G327" s="1023"/>
      <c r="L327" s="1040"/>
      <c r="M327" s="1040"/>
      <c r="N327" s="1023"/>
      <c r="O327" s="1023"/>
      <c r="P327" s="1023"/>
      <c r="Q327" s="1023"/>
      <c r="R327" s="1023"/>
      <c r="S327" s="1023"/>
      <c r="T327" s="1023"/>
      <c r="U327" s="1023"/>
      <c r="V327" s="1023"/>
      <c r="W327" s="1023"/>
      <c r="X327" s="1023"/>
      <c r="Y327" s="1023"/>
      <c r="Z327" s="1023"/>
      <c r="AA327" s="1023"/>
      <c r="AB327" s="1023"/>
      <c r="AC327" s="1023"/>
      <c r="AD327" s="1023"/>
      <c r="AE327" s="1023"/>
      <c r="AF327" s="1023"/>
      <c r="AG327" s="1023"/>
      <c r="AH327" s="1023"/>
      <c r="AI327" s="1023"/>
      <c r="AJ327" s="1023"/>
      <c r="AK327" s="1023"/>
      <c r="AL327" s="1023"/>
      <c r="AM327" s="1023"/>
      <c r="AN327" s="1023"/>
      <c r="AO327" s="1023"/>
      <c r="AP327" s="1023"/>
      <c r="AQ327" s="1023"/>
      <c r="AR327" s="1023"/>
      <c r="AS327" s="1023"/>
      <c r="AT327" s="1023"/>
      <c r="AU327" s="1023"/>
      <c r="AV327" s="1023"/>
      <c r="AW327" s="1023"/>
    </row>
    <row r="328" spans="1:49">
      <c r="A328" s="1023"/>
      <c r="B328" s="1040"/>
      <c r="C328" s="1040"/>
      <c r="D328" s="1040"/>
      <c r="E328" s="1023"/>
      <c r="F328" s="1040"/>
      <c r="G328" s="1023"/>
      <c r="L328" s="1040"/>
      <c r="M328" s="1040"/>
      <c r="N328" s="1023"/>
      <c r="O328" s="1023"/>
      <c r="P328" s="1023"/>
      <c r="Q328" s="1023"/>
      <c r="R328" s="1023"/>
      <c r="S328" s="1023"/>
      <c r="T328" s="1023"/>
      <c r="U328" s="1023"/>
      <c r="V328" s="1023"/>
      <c r="W328" s="1023"/>
      <c r="X328" s="1023"/>
      <c r="Y328" s="1023"/>
      <c r="Z328" s="1023"/>
      <c r="AA328" s="1023"/>
      <c r="AB328" s="1023"/>
      <c r="AC328" s="1023"/>
      <c r="AD328" s="1023"/>
      <c r="AE328" s="1023"/>
      <c r="AF328" s="1023"/>
      <c r="AG328" s="1023"/>
      <c r="AH328" s="1023"/>
      <c r="AI328" s="1023"/>
      <c r="AJ328" s="1023"/>
      <c r="AK328" s="1023"/>
      <c r="AL328" s="1023"/>
      <c r="AM328" s="1023"/>
      <c r="AN328" s="1023"/>
      <c r="AO328" s="1023"/>
      <c r="AP328" s="1023"/>
      <c r="AQ328" s="1023"/>
      <c r="AR328" s="1023"/>
      <c r="AS328" s="1023"/>
      <c r="AT328" s="1023"/>
      <c r="AU328" s="1023"/>
      <c r="AV328" s="1023"/>
      <c r="AW328" s="1023"/>
    </row>
    <row r="329" spans="1:49">
      <c r="A329" s="1023"/>
      <c r="B329" s="1040"/>
      <c r="C329" s="1040"/>
      <c r="D329" s="1040"/>
      <c r="E329" s="1023"/>
      <c r="F329" s="1040"/>
      <c r="G329" s="1023"/>
      <c r="L329" s="1040"/>
      <c r="M329" s="1040"/>
      <c r="N329" s="1023"/>
      <c r="O329" s="1023"/>
      <c r="P329" s="1023"/>
      <c r="Q329" s="1023"/>
      <c r="R329" s="1023"/>
      <c r="S329" s="1023"/>
      <c r="T329" s="1023"/>
      <c r="U329" s="1023"/>
      <c r="V329" s="1023"/>
      <c r="W329" s="1023"/>
      <c r="X329" s="1023"/>
      <c r="Y329" s="1023"/>
      <c r="Z329" s="1023"/>
      <c r="AA329" s="1023"/>
      <c r="AB329" s="1023"/>
      <c r="AC329" s="1023"/>
      <c r="AD329" s="1023"/>
      <c r="AE329" s="1023"/>
      <c r="AF329" s="1023"/>
      <c r="AG329" s="1023"/>
      <c r="AH329" s="1023"/>
      <c r="AI329" s="1023"/>
      <c r="AJ329" s="1023"/>
      <c r="AK329" s="1023"/>
      <c r="AL329" s="1023"/>
      <c r="AM329" s="1023"/>
      <c r="AN329" s="1023"/>
      <c r="AO329" s="1023"/>
      <c r="AP329" s="1023"/>
      <c r="AQ329" s="1023"/>
      <c r="AR329" s="1023"/>
      <c r="AS329" s="1023"/>
      <c r="AT329" s="1023"/>
      <c r="AU329" s="1023"/>
      <c r="AV329" s="1023"/>
      <c r="AW329" s="1023"/>
    </row>
    <row r="330" spans="1:49">
      <c r="A330" s="1023"/>
      <c r="B330" s="1040"/>
      <c r="C330" s="1040"/>
      <c r="D330" s="1040"/>
      <c r="E330" s="1023"/>
      <c r="F330" s="1040"/>
      <c r="G330" s="1023"/>
      <c r="L330" s="1040"/>
      <c r="M330" s="1040"/>
      <c r="N330" s="1023"/>
      <c r="O330" s="1023"/>
      <c r="P330" s="1023"/>
      <c r="Q330" s="1023"/>
      <c r="R330" s="1023"/>
      <c r="S330" s="1023"/>
      <c r="T330" s="1023"/>
      <c r="U330" s="1023"/>
      <c r="V330" s="1023"/>
      <c r="W330" s="1023"/>
      <c r="X330" s="1023"/>
      <c r="Y330" s="1023"/>
      <c r="Z330" s="1023"/>
      <c r="AA330" s="1023"/>
      <c r="AB330" s="1023"/>
      <c r="AC330" s="1023"/>
      <c r="AD330" s="1023"/>
      <c r="AE330" s="1023"/>
      <c r="AF330" s="1023"/>
      <c r="AG330" s="1023"/>
      <c r="AH330" s="1023"/>
      <c r="AI330" s="1023"/>
      <c r="AJ330" s="1023"/>
      <c r="AK330" s="1023"/>
      <c r="AL330" s="1023"/>
      <c r="AM330" s="1023"/>
      <c r="AN330" s="1023"/>
      <c r="AO330" s="1023"/>
      <c r="AP330" s="1023"/>
      <c r="AQ330" s="1023"/>
      <c r="AR330" s="1023"/>
      <c r="AS330" s="1023"/>
      <c r="AT330" s="1023"/>
      <c r="AU330" s="1023"/>
      <c r="AV330" s="1023"/>
      <c r="AW330" s="1023"/>
    </row>
    <row r="331" spans="1:49">
      <c r="A331" s="1023"/>
      <c r="B331" s="1040"/>
      <c r="C331" s="1040"/>
      <c r="D331" s="1040"/>
      <c r="E331" s="1023"/>
      <c r="F331" s="1040"/>
      <c r="G331" s="1023"/>
      <c r="L331" s="1040"/>
      <c r="M331" s="1040"/>
      <c r="N331" s="1023"/>
      <c r="O331" s="1023"/>
      <c r="P331" s="1023"/>
      <c r="Q331" s="1023"/>
      <c r="R331" s="1023"/>
      <c r="S331" s="1023"/>
      <c r="T331" s="1023"/>
      <c r="U331" s="1023"/>
      <c r="V331" s="1023"/>
      <c r="W331" s="1023"/>
      <c r="X331" s="1023"/>
      <c r="Y331" s="1023"/>
      <c r="Z331" s="1023"/>
      <c r="AA331" s="1023"/>
      <c r="AB331" s="1023"/>
      <c r="AC331" s="1023"/>
      <c r="AD331" s="1023"/>
      <c r="AE331" s="1023"/>
      <c r="AF331" s="1023"/>
      <c r="AG331" s="1023"/>
      <c r="AH331" s="1023"/>
      <c r="AI331" s="1023"/>
      <c r="AJ331" s="1023"/>
      <c r="AK331" s="1023"/>
      <c r="AL331" s="1023"/>
      <c r="AM331" s="1023"/>
      <c r="AN331" s="1023"/>
      <c r="AO331" s="1023"/>
      <c r="AP331" s="1023"/>
      <c r="AQ331" s="1023"/>
      <c r="AR331" s="1023"/>
      <c r="AS331" s="1023"/>
      <c r="AT331" s="1023"/>
      <c r="AU331" s="1023"/>
      <c r="AV331" s="1023"/>
      <c r="AW331" s="1023"/>
    </row>
    <row r="332" spans="1:49">
      <c r="A332" s="1023"/>
      <c r="B332" s="1040"/>
      <c r="C332" s="1040"/>
      <c r="D332" s="1040"/>
      <c r="E332" s="1023"/>
      <c r="F332" s="1040"/>
      <c r="G332" s="1023"/>
      <c r="L332" s="1040"/>
      <c r="M332" s="1040"/>
      <c r="N332" s="1023"/>
      <c r="O332" s="1023"/>
      <c r="P332" s="1023"/>
      <c r="Q332" s="1023"/>
      <c r="R332" s="1023"/>
      <c r="S332" s="1023"/>
      <c r="T332" s="1023"/>
      <c r="U332" s="1023"/>
      <c r="V332" s="1023"/>
      <c r="W332" s="1023"/>
      <c r="X332" s="1023"/>
      <c r="Y332" s="1023"/>
      <c r="Z332" s="1023"/>
      <c r="AA332" s="1023"/>
      <c r="AB332" s="1023"/>
      <c r="AC332" s="1023"/>
      <c r="AD332" s="1023"/>
      <c r="AE332" s="1023"/>
      <c r="AF332" s="1023"/>
      <c r="AG332" s="1023"/>
      <c r="AH332" s="1023"/>
      <c r="AI332" s="1023"/>
      <c r="AJ332" s="1023"/>
      <c r="AK332" s="1023"/>
      <c r="AL332" s="1023"/>
      <c r="AM332" s="1023"/>
      <c r="AN332" s="1023"/>
      <c r="AO332" s="1023"/>
      <c r="AP332" s="1023"/>
      <c r="AQ332" s="1023"/>
      <c r="AR332" s="1023"/>
      <c r="AS332" s="1023"/>
      <c r="AT332" s="1023"/>
      <c r="AU332" s="1023"/>
      <c r="AV332" s="1023"/>
      <c r="AW332" s="1023"/>
    </row>
    <row r="333" spans="1:49">
      <c r="A333" s="1023"/>
      <c r="B333" s="1040"/>
      <c r="C333" s="1040"/>
      <c r="D333" s="1040"/>
      <c r="E333" s="1023"/>
      <c r="F333" s="1040"/>
      <c r="G333" s="1023"/>
      <c r="L333" s="1040"/>
      <c r="M333" s="1040"/>
      <c r="N333" s="1023"/>
      <c r="O333" s="1023"/>
      <c r="P333" s="1023"/>
      <c r="Q333" s="1023"/>
      <c r="R333" s="1023"/>
      <c r="S333" s="1023"/>
      <c r="T333" s="1023"/>
      <c r="U333" s="1023"/>
      <c r="V333" s="1023"/>
      <c r="W333" s="1023"/>
      <c r="X333" s="1023"/>
      <c r="Y333" s="1023"/>
      <c r="Z333" s="1023"/>
      <c r="AA333" s="1023"/>
      <c r="AB333" s="1023"/>
      <c r="AC333" s="1023"/>
      <c r="AD333" s="1023"/>
      <c r="AE333" s="1023"/>
      <c r="AF333" s="1023"/>
      <c r="AG333" s="1023"/>
      <c r="AH333" s="1023"/>
      <c r="AI333" s="1023"/>
      <c r="AJ333" s="1023"/>
      <c r="AK333" s="1023"/>
      <c r="AL333" s="1023"/>
      <c r="AM333" s="1023"/>
      <c r="AN333" s="1023"/>
      <c r="AO333" s="1023"/>
      <c r="AP333" s="1023"/>
      <c r="AQ333" s="1023"/>
      <c r="AR333" s="1023"/>
      <c r="AS333" s="1023"/>
      <c r="AT333" s="1023"/>
      <c r="AU333" s="1023"/>
      <c r="AV333" s="1023"/>
      <c r="AW333" s="1023"/>
    </row>
    <row r="334" spans="1:49">
      <c r="A334" s="1023"/>
      <c r="B334" s="1040"/>
      <c r="C334" s="1040"/>
      <c r="D334" s="1040"/>
      <c r="E334" s="1023"/>
      <c r="F334" s="1040"/>
      <c r="G334" s="1023"/>
      <c r="L334" s="1040"/>
      <c r="M334" s="1040"/>
      <c r="N334" s="1023"/>
      <c r="O334" s="1023"/>
      <c r="P334" s="1023"/>
      <c r="Q334" s="1023"/>
      <c r="R334" s="1023"/>
      <c r="S334" s="1023"/>
      <c r="T334" s="1023"/>
      <c r="U334" s="1023"/>
      <c r="V334" s="1023"/>
      <c r="W334" s="1023"/>
      <c r="X334" s="1023"/>
      <c r="Y334" s="1023"/>
      <c r="Z334" s="1023"/>
      <c r="AA334" s="1023"/>
      <c r="AB334" s="1023"/>
      <c r="AC334" s="1023"/>
      <c r="AD334" s="1023"/>
      <c r="AE334" s="1023"/>
      <c r="AF334" s="1023"/>
      <c r="AG334" s="1023"/>
      <c r="AH334" s="1023"/>
      <c r="AI334" s="1023"/>
      <c r="AJ334" s="1023"/>
      <c r="AK334" s="1023"/>
      <c r="AL334" s="1023"/>
      <c r="AM334" s="1023"/>
      <c r="AN334" s="1023"/>
      <c r="AO334" s="1023"/>
      <c r="AP334" s="1023"/>
      <c r="AQ334" s="1023"/>
      <c r="AR334" s="1023"/>
      <c r="AS334" s="1023"/>
      <c r="AT334" s="1023"/>
      <c r="AU334" s="1023"/>
      <c r="AV334" s="1023"/>
      <c r="AW334" s="1023"/>
    </row>
    <row r="335" spans="1:49">
      <c r="A335" s="1023"/>
      <c r="B335" s="1040"/>
      <c r="C335" s="1040"/>
      <c r="D335" s="1040"/>
      <c r="E335" s="1023"/>
      <c r="F335" s="1040"/>
      <c r="G335" s="1023"/>
      <c r="L335" s="1040"/>
      <c r="M335" s="1040"/>
      <c r="N335" s="1023"/>
      <c r="O335" s="1023"/>
      <c r="P335" s="1023"/>
      <c r="Q335" s="1023"/>
      <c r="R335" s="1023"/>
      <c r="S335" s="1023"/>
      <c r="T335" s="1023"/>
      <c r="U335" s="1023"/>
      <c r="V335" s="1023"/>
      <c r="W335" s="1023"/>
      <c r="X335" s="1023"/>
      <c r="Y335" s="1023"/>
      <c r="Z335" s="1023"/>
      <c r="AA335" s="1023"/>
      <c r="AB335" s="1023"/>
      <c r="AC335" s="1023"/>
      <c r="AD335" s="1023"/>
      <c r="AE335" s="1023"/>
      <c r="AF335" s="1023"/>
      <c r="AG335" s="1023"/>
      <c r="AH335" s="1023"/>
      <c r="AI335" s="1023"/>
      <c r="AJ335" s="1023"/>
      <c r="AK335" s="1023"/>
      <c r="AL335" s="1023"/>
      <c r="AM335" s="1023"/>
      <c r="AN335" s="1023"/>
      <c r="AO335" s="1023"/>
      <c r="AP335" s="1023"/>
      <c r="AQ335" s="1023"/>
      <c r="AR335" s="1023"/>
      <c r="AS335" s="1023"/>
      <c r="AT335" s="1023"/>
      <c r="AU335" s="1023"/>
      <c r="AV335" s="1023"/>
      <c r="AW335" s="1023"/>
    </row>
    <row r="336" spans="1:49">
      <c r="A336" s="1023"/>
      <c r="B336" s="1040"/>
      <c r="C336" s="1040"/>
      <c r="D336" s="1040"/>
      <c r="E336" s="1023"/>
      <c r="F336" s="1040"/>
      <c r="G336" s="1023"/>
      <c r="L336" s="1040"/>
      <c r="M336" s="1040"/>
      <c r="N336" s="1023"/>
      <c r="O336" s="1023"/>
      <c r="P336" s="1023"/>
      <c r="Q336" s="1023"/>
      <c r="R336" s="1023"/>
      <c r="S336" s="1023"/>
      <c r="T336" s="1023"/>
      <c r="U336" s="1023"/>
      <c r="V336" s="1023"/>
      <c r="W336" s="1023"/>
      <c r="X336" s="1023"/>
      <c r="Y336" s="1023"/>
      <c r="Z336" s="1023"/>
      <c r="AA336" s="1023"/>
      <c r="AB336" s="1023"/>
      <c r="AC336" s="1023"/>
      <c r="AD336" s="1023"/>
      <c r="AE336" s="1023"/>
      <c r="AF336" s="1023"/>
      <c r="AG336" s="1023"/>
      <c r="AH336" s="1023"/>
      <c r="AI336" s="1023"/>
      <c r="AJ336" s="1023"/>
      <c r="AK336" s="1023"/>
      <c r="AL336" s="1023"/>
      <c r="AM336" s="1023"/>
      <c r="AN336" s="1023"/>
      <c r="AO336" s="1023"/>
      <c r="AP336" s="1023"/>
      <c r="AQ336" s="1023"/>
      <c r="AR336" s="1023"/>
      <c r="AS336" s="1023"/>
      <c r="AT336" s="1023"/>
      <c r="AU336" s="1023"/>
      <c r="AV336" s="1023"/>
      <c r="AW336" s="1023"/>
    </row>
    <row r="337" spans="1:49">
      <c r="A337" s="1023"/>
      <c r="B337" s="1040"/>
      <c r="C337" s="1040"/>
      <c r="D337" s="1040"/>
      <c r="E337" s="1023"/>
      <c r="F337" s="1040"/>
      <c r="G337" s="1023"/>
      <c r="L337" s="1040"/>
      <c r="M337" s="1040"/>
      <c r="N337" s="1023"/>
      <c r="O337" s="1023"/>
      <c r="P337" s="1023"/>
      <c r="Q337" s="1023"/>
      <c r="R337" s="1023"/>
      <c r="S337" s="1023"/>
      <c r="T337" s="1023"/>
      <c r="U337" s="1023"/>
      <c r="V337" s="1023"/>
      <c r="W337" s="1023"/>
      <c r="X337" s="1023"/>
      <c r="Y337" s="1023"/>
      <c r="Z337" s="1023"/>
      <c r="AA337" s="1023"/>
      <c r="AB337" s="1023"/>
      <c r="AC337" s="1023"/>
      <c r="AD337" s="1023"/>
      <c r="AE337" s="1023"/>
      <c r="AF337" s="1023"/>
      <c r="AG337" s="1023"/>
      <c r="AH337" s="1023"/>
      <c r="AI337" s="1023"/>
      <c r="AJ337" s="1023"/>
      <c r="AK337" s="1023"/>
      <c r="AL337" s="1023"/>
      <c r="AM337" s="1023"/>
      <c r="AN337" s="1023"/>
      <c r="AO337" s="1023"/>
      <c r="AP337" s="1023"/>
      <c r="AQ337" s="1023"/>
      <c r="AR337" s="1023"/>
      <c r="AS337" s="1023"/>
      <c r="AT337" s="1023"/>
      <c r="AU337" s="1023"/>
      <c r="AV337" s="1023"/>
      <c r="AW337" s="1023"/>
    </row>
    <row r="338" spans="1:49">
      <c r="A338" s="1023"/>
      <c r="B338" s="1040"/>
      <c r="C338" s="1040"/>
      <c r="D338" s="1040"/>
      <c r="E338" s="1023"/>
      <c r="F338" s="1040"/>
      <c r="G338" s="1023"/>
      <c r="L338" s="1040"/>
      <c r="M338" s="1040"/>
      <c r="N338" s="1023"/>
      <c r="O338" s="1023"/>
      <c r="P338" s="1023"/>
      <c r="Q338" s="1023"/>
      <c r="R338" s="1023"/>
      <c r="S338" s="1023"/>
      <c r="T338" s="1023"/>
      <c r="U338" s="1023"/>
      <c r="V338" s="1023"/>
      <c r="W338" s="1023"/>
      <c r="X338" s="1023"/>
      <c r="Y338" s="1023"/>
      <c r="Z338" s="1023"/>
      <c r="AA338" s="1023"/>
      <c r="AB338" s="1023"/>
      <c r="AC338" s="1023"/>
      <c r="AD338" s="1023"/>
      <c r="AE338" s="1023"/>
      <c r="AF338" s="1023"/>
      <c r="AG338" s="1023"/>
      <c r="AH338" s="1023"/>
      <c r="AI338" s="1023"/>
      <c r="AJ338" s="1023"/>
      <c r="AK338" s="1023"/>
      <c r="AL338" s="1023"/>
      <c r="AM338" s="1023"/>
      <c r="AN338" s="1023"/>
      <c r="AO338" s="1023"/>
      <c r="AP338" s="1023"/>
      <c r="AQ338" s="1023"/>
      <c r="AR338" s="1023"/>
      <c r="AS338" s="1023"/>
      <c r="AT338" s="1023"/>
      <c r="AU338" s="1023"/>
      <c r="AV338" s="1023"/>
      <c r="AW338" s="1023"/>
    </row>
    <row r="339" spans="1:49">
      <c r="A339" s="1023"/>
      <c r="B339" s="1040"/>
      <c r="C339" s="1040"/>
      <c r="D339" s="1040"/>
      <c r="E339" s="1023"/>
      <c r="F339" s="1040"/>
      <c r="G339" s="1023"/>
      <c r="L339" s="1040"/>
      <c r="M339" s="1040"/>
      <c r="N339" s="1023"/>
      <c r="O339" s="1023"/>
      <c r="P339" s="1023"/>
      <c r="Q339" s="1023"/>
      <c r="R339" s="1023"/>
      <c r="S339" s="1023"/>
      <c r="T339" s="1023"/>
      <c r="U339" s="1023"/>
      <c r="V339" s="1023"/>
      <c r="W339" s="1023"/>
      <c r="X339" s="1023"/>
      <c r="Y339" s="1023"/>
      <c r="Z339" s="1023"/>
      <c r="AA339" s="1023"/>
      <c r="AB339" s="1023"/>
      <c r="AC339" s="1023"/>
      <c r="AD339" s="1023"/>
      <c r="AE339" s="1023"/>
      <c r="AF339" s="1023"/>
      <c r="AG339" s="1023"/>
      <c r="AH339" s="1023"/>
      <c r="AI339" s="1023"/>
      <c r="AJ339" s="1023"/>
      <c r="AK339" s="1023"/>
      <c r="AL339" s="1023"/>
      <c r="AM339" s="1023"/>
      <c r="AN339" s="1023"/>
      <c r="AO339" s="1023"/>
      <c r="AP339" s="1023"/>
      <c r="AQ339" s="1023"/>
      <c r="AR339" s="1023"/>
      <c r="AS339" s="1023"/>
      <c r="AT339" s="1023"/>
      <c r="AU339" s="1023"/>
      <c r="AV339" s="1023"/>
      <c r="AW339" s="1023"/>
    </row>
    <row r="340" spans="1:49">
      <c r="A340" s="1023"/>
      <c r="B340" s="1040"/>
      <c r="C340" s="1040"/>
      <c r="D340" s="1040"/>
      <c r="E340" s="1023"/>
      <c r="F340" s="1040"/>
      <c r="G340" s="1023"/>
      <c r="L340" s="1040"/>
      <c r="M340" s="1040"/>
      <c r="N340" s="1023"/>
      <c r="O340" s="1023"/>
      <c r="P340" s="1023"/>
      <c r="Q340" s="1023"/>
      <c r="R340" s="1023"/>
      <c r="S340" s="1023"/>
      <c r="T340" s="1023"/>
      <c r="U340" s="1023"/>
      <c r="V340" s="1023"/>
      <c r="W340" s="1023"/>
      <c r="X340" s="1023"/>
      <c r="Y340" s="1023"/>
      <c r="Z340" s="1023"/>
      <c r="AA340" s="1023"/>
      <c r="AB340" s="1023"/>
      <c r="AC340" s="1023"/>
      <c r="AD340" s="1023"/>
      <c r="AE340" s="1023"/>
      <c r="AF340" s="1023"/>
      <c r="AG340" s="1023"/>
      <c r="AH340" s="1023"/>
      <c r="AI340" s="1023"/>
      <c r="AJ340" s="1023"/>
      <c r="AK340" s="1023"/>
      <c r="AL340" s="1023"/>
      <c r="AM340" s="1023"/>
      <c r="AN340" s="1023"/>
      <c r="AO340" s="1023"/>
      <c r="AP340" s="1023"/>
      <c r="AQ340" s="1023"/>
      <c r="AR340" s="1023"/>
      <c r="AS340" s="1023"/>
      <c r="AT340" s="1023"/>
      <c r="AU340" s="1023"/>
      <c r="AV340" s="1023"/>
      <c r="AW340" s="1023"/>
    </row>
    <row r="341" spans="1:49">
      <c r="A341" s="1023"/>
      <c r="B341" s="1040"/>
      <c r="C341" s="1040"/>
      <c r="D341" s="1040"/>
      <c r="E341" s="1023"/>
      <c r="F341" s="1040"/>
      <c r="G341" s="1023"/>
      <c r="L341" s="1040"/>
      <c r="M341" s="1040"/>
      <c r="N341" s="1023"/>
      <c r="O341" s="1023"/>
      <c r="P341" s="1023"/>
      <c r="Q341" s="1023"/>
      <c r="R341" s="1023"/>
      <c r="S341" s="1023"/>
      <c r="T341" s="1023"/>
      <c r="U341" s="1023"/>
      <c r="V341" s="1023"/>
      <c r="W341" s="1023"/>
      <c r="X341" s="1023"/>
      <c r="Y341" s="1023"/>
      <c r="Z341" s="1023"/>
      <c r="AA341" s="1023"/>
      <c r="AB341" s="1023"/>
      <c r="AC341" s="1023"/>
      <c r="AD341" s="1023"/>
      <c r="AE341" s="1023"/>
      <c r="AF341" s="1023"/>
      <c r="AG341" s="1023"/>
      <c r="AH341" s="1023"/>
      <c r="AI341" s="1023"/>
      <c r="AJ341" s="1023"/>
      <c r="AK341" s="1023"/>
      <c r="AL341" s="1023"/>
      <c r="AM341" s="1023"/>
      <c r="AN341" s="1023"/>
      <c r="AO341" s="1023"/>
      <c r="AP341" s="1023"/>
      <c r="AQ341" s="1023"/>
      <c r="AR341" s="1023"/>
      <c r="AS341" s="1023"/>
      <c r="AT341" s="1023"/>
      <c r="AU341" s="1023"/>
      <c r="AV341" s="1023"/>
      <c r="AW341" s="1023"/>
    </row>
    <row r="342" spans="1:49">
      <c r="A342" s="1023"/>
      <c r="B342" s="1040"/>
      <c r="C342" s="1040"/>
      <c r="D342" s="1040"/>
      <c r="E342" s="1023"/>
      <c r="F342" s="1040"/>
      <c r="G342" s="1023"/>
      <c r="L342" s="1040"/>
      <c r="M342" s="1040"/>
      <c r="N342" s="1023"/>
      <c r="O342" s="1023"/>
      <c r="P342" s="1023"/>
      <c r="Q342" s="1023"/>
      <c r="R342" s="1023"/>
      <c r="S342" s="1023"/>
      <c r="T342" s="1023"/>
      <c r="U342" s="1023"/>
      <c r="V342" s="1023"/>
      <c r="W342" s="1023"/>
      <c r="X342" s="1023"/>
      <c r="Y342" s="1023"/>
      <c r="Z342" s="1023"/>
      <c r="AA342" s="1023"/>
      <c r="AB342" s="1023"/>
      <c r="AC342" s="1023"/>
      <c r="AD342" s="1023"/>
      <c r="AE342" s="1023"/>
      <c r="AF342" s="1023"/>
      <c r="AG342" s="1023"/>
      <c r="AH342" s="1023"/>
      <c r="AI342" s="1023"/>
      <c r="AJ342" s="1023"/>
      <c r="AK342" s="1023"/>
      <c r="AL342" s="1023"/>
      <c r="AM342" s="1023"/>
      <c r="AN342" s="1023"/>
      <c r="AO342" s="1023"/>
      <c r="AP342" s="1023"/>
      <c r="AQ342" s="1023"/>
      <c r="AR342" s="1023"/>
      <c r="AS342" s="1023"/>
      <c r="AT342" s="1023"/>
      <c r="AU342" s="1023"/>
      <c r="AV342" s="1023"/>
      <c r="AW342" s="1023"/>
    </row>
    <row r="343" spans="1:49">
      <c r="A343" s="1023"/>
      <c r="B343" s="1040"/>
      <c r="C343" s="1040"/>
      <c r="D343" s="1040"/>
      <c r="E343" s="1023"/>
      <c r="F343" s="1040"/>
      <c r="G343" s="1023"/>
      <c r="L343" s="1040"/>
      <c r="M343" s="1040"/>
      <c r="N343" s="1023"/>
      <c r="O343" s="1023"/>
      <c r="P343" s="1023"/>
      <c r="Q343" s="1023"/>
      <c r="R343" s="1023"/>
      <c r="S343" s="1023"/>
      <c r="T343" s="1023"/>
      <c r="U343" s="1023"/>
      <c r="V343" s="1023"/>
      <c r="W343" s="1023"/>
      <c r="X343" s="1023"/>
      <c r="Y343" s="1023"/>
      <c r="Z343" s="1023"/>
      <c r="AA343" s="1023"/>
      <c r="AB343" s="1023"/>
      <c r="AC343" s="1023"/>
      <c r="AD343" s="1023"/>
      <c r="AE343" s="1023"/>
      <c r="AF343" s="1023"/>
      <c r="AG343" s="1023"/>
      <c r="AH343" s="1023"/>
      <c r="AI343" s="1023"/>
      <c r="AJ343" s="1023"/>
      <c r="AK343" s="1023"/>
      <c r="AL343" s="1023"/>
      <c r="AM343" s="1023"/>
      <c r="AN343" s="1023"/>
      <c r="AO343" s="1023"/>
      <c r="AP343" s="1023"/>
      <c r="AQ343" s="1023"/>
      <c r="AR343" s="1023"/>
      <c r="AS343" s="1023"/>
      <c r="AT343" s="1023"/>
      <c r="AU343" s="1023"/>
      <c r="AV343" s="1023"/>
      <c r="AW343" s="1023"/>
    </row>
    <row r="344" spans="1:49">
      <c r="A344" s="1023"/>
      <c r="B344" s="1040"/>
      <c r="C344" s="1040"/>
      <c r="D344" s="1040"/>
      <c r="E344" s="1023"/>
      <c r="F344" s="1040"/>
      <c r="G344" s="1023"/>
      <c r="L344" s="1040"/>
      <c r="M344" s="1040"/>
      <c r="N344" s="1023"/>
      <c r="O344" s="1023"/>
      <c r="P344" s="1023"/>
      <c r="Q344" s="1023"/>
      <c r="R344" s="1023"/>
      <c r="S344" s="1023"/>
      <c r="T344" s="1023"/>
      <c r="U344" s="1023"/>
      <c r="V344" s="1023"/>
      <c r="W344" s="1023"/>
      <c r="X344" s="1023"/>
      <c r="Y344" s="1023"/>
      <c r="Z344" s="1023"/>
      <c r="AA344" s="1023"/>
      <c r="AB344" s="1023"/>
      <c r="AC344" s="1023"/>
      <c r="AD344" s="1023"/>
      <c r="AE344" s="1023"/>
      <c r="AF344" s="1023"/>
      <c r="AG344" s="1023"/>
      <c r="AH344" s="1023"/>
      <c r="AI344" s="1023"/>
      <c r="AJ344" s="1023"/>
      <c r="AK344" s="1023"/>
      <c r="AL344" s="1023"/>
      <c r="AM344" s="1023"/>
      <c r="AN344" s="1023"/>
      <c r="AO344" s="1023"/>
      <c r="AP344" s="1023"/>
      <c r="AQ344" s="1023"/>
      <c r="AR344" s="1023"/>
      <c r="AS344" s="1023"/>
      <c r="AT344" s="1023"/>
      <c r="AU344" s="1023"/>
      <c r="AV344" s="1023"/>
      <c r="AW344" s="1023"/>
    </row>
    <row r="345" spans="1:49">
      <c r="A345" s="1023"/>
      <c r="B345" s="1040"/>
      <c r="C345" s="1040"/>
      <c r="D345" s="1040"/>
      <c r="E345" s="1023"/>
      <c r="F345" s="1040"/>
      <c r="G345" s="1023"/>
      <c r="L345" s="1040"/>
      <c r="M345" s="1040"/>
      <c r="N345" s="1023"/>
      <c r="O345" s="1023"/>
      <c r="P345" s="1023"/>
      <c r="Q345" s="1023"/>
      <c r="R345" s="1023"/>
      <c r="S345" s="1023"/>
      <c r="T345" s="1023"/>
      <c r="U345" s="1023"/>
      <c r="V345" s="1023"/>
      <c r="W345" s="1023"/>
      <c r="X345" s="1023"/>
      <c r="Y345" s="1023"/>
      <c r="Z345" s="1023"/>
      <c r="AA345" s="1023"/>
      <c r="AB345" s="1023"/>
      <c r="AC345" s="1023"/>
      <c r="AD345" s="1023"/>
      <c r="AE345" s="1023"/>
      <c r="AF345" s="1023"/>
      <c r="AG345" s="1023"/>
      <c r="AH345" s="1023"/>
      <c r="AI345" s="1023"/>
      <c r="AJ345" s="1023"/>
      <c r="AK345" s="1023"/>
      <c r="AL345" s="1023"/>
      <c r="AM345" s="1023"/>
      <c r="AN345" s="1023"/>
      <c r="AO345" s="1023"/>
      <c r="AP345" s="1023"/>
      <c r="AQ345" s="1023"/>
      <c r="AR345" s="1023"/>
      <c r="AS345" s="1023"/>
      <c r="AT345" s="1023"/>
      <c r="AU345" s="1023"/>
      <c r="AV345" s="1023"/>
      <c r="AW345" s="1023"/>
    </row>
    <row r="346" spans="1:49">
      <c r="A346" s="1023"/>
      <c r="B346" s="1040"/>
      <c r="C346" s="1040"/>
      <c r="D346" s="1040"/>
      <c r="E346" s="1023"/>
      <c r="F346" s="1040"/>
      <c r="G346" s="1023"/>
      <c r="L346" s="1040"/>
      <c r="M346" s="1040"/>
      <c r="N346" s="1023"/>
      <c r="O346" s="1023"/>
      <c r="P346" s="1023"/>
      <c r="Q346" s="1023"/>
      <c r="R346" s="1023"/>
      <c r="S346" s="1023"/>
      <c r="T346" s="1023"/>
      <c r="U346" s="1023"/>
      <c r="V346" s="1023"/>
      <c r="W346" s="1023"/>
      <c r="X346" s="1023"/>
      <c r="Y346" s="1023"/>
      <c r="Z346" s="1023"/>
      <c r="AA346" s="1023"/>
      <c r="AB346" s="1023"/>
      <c r="AC346" s="1023"/>
      <c r="AD346" s="1023"/>
      <c r="AE346" s="1023"/>
      <c r="AF346" s="1023"/>
      <c r="AG346" s="1023"/>
      <c r="AH346" s="1023"/>
      <c r="AI346" s="1023"/>
      <c r="AJ346" s="1023"/>
      <c r="AK346" s="1023"/>
      <c r="AL346" s="1023"/>
      <c r="AM346" s="1023"/>
      <c r="AN346" s="1023"/>
      <c r="AO346" s="1023"/>
      <c r="AP346" s="1023"/>
      <c r="AQ346" s="1023"/>
      <c r="AR346" s="1023"/>
      <c r="AS346" s="1023"/>
      <c r="AT346" s="1023"/>
      <c r="AU346" s="1023"/>
      <c r="AV346" s="1023"/>
      <c r="AW346" s="1023"/>
    </row>
    <row r="347" spans="1:49">
      <c r="A347" s="1023"/>
      <c r="B347" s="1040"/>
      <c r="C347" s="1040"/>
      <c r="D347" s="1040"/>
      <c r="E347" s="1023"/>
      <c r="F347" s="1040"/>
      <c r="G347" s="1023"/>
      <c r="L347" s="1040"/>
      <c r="M347" s="1040"/>
      <c r="N347" s="1023"/>
      <c r="O347" s="1023"/>
      <c r="P347" s="1023"/>
      <c r="Q347" s="1023"/>
      <c r="R347" s="1023"/>
      <c r="S347" s="1023"/>
      <c r="T347" s="1023"/>
      <c r="U347" s="1023"/>
      <c r="V347" s="1023"/>
      <c r="W347" s="1023"/>
      <c r="X347" s="1023"/>
      <c r="Y347" s="1023"/>
      <c r="Z347" s="1023"/>
      <c r="AA347" s="1023"/>
      <c r="AB347" s="1023"/>
      <c r="AC347" s="1023"/>
      <c r="AD347" s="1023"/>
      <c r="AE347" s="1023"/>
      <c r="AF347" s="1023"/>
      <c r="AG347" s="1023"/>
      <c r="AH347" s="1023"/>
      <c r="AI347" s="1023"/>
      <c r="AJ347" s="1023"/>
      <c r="AK347" s="1023"/>
      <c r="AL347" s="1023"/>
      <c r="AM347" s="1023"/>
      <c r="AN347" s="1023"/>
      <c r="AO347" s="1023"/>
      <c r="AP347" s="1023"/>
      <c r="AQ347" s="1023"/>
      <c r="AR347" s="1023"/>
      <c r="AS347" s="1023"/>
      <c r="AT347" s="1023"/>
      <c r="AU347" s="1023"/>
      <c r="AV347" s="1023"/>
      <c r="AW347" s="1023"/>
    </row>
    <row r="348" spans="1:49">
      <c r="A348" s="1023"/>
      <c r="B348" s="1040"/>
      <c r="C348" s="1040"/>
      <c r="D348" s="1040"/>
      <c r="E348" s="1023"/>
      <c r="F348" s="1040"/>
      <c r="G348" s="1023"/>
      <c r="L348" s="1040"/>
      <c r="M348" s="1040"/>
      <c r="N348" s="1023"/>
      <c r="O348" s="1023"/>
      <c r="P348" s="1023"/>
      <c r="Q348" s="1023"/>
      <c r="R348" s="1023"/>
      <c r="S348" s="1023"/>
      <c r="T348" s="1023"/>
      <c r="U348" s="1023"/>
      <c r="V348" s="1023"/>
      <c r="W348" s="1023"/>
      <c r="X348" s="1023"/>
      <c r="Y348" s="1023"/>
      <c r="Z348" s="1023"/>
      <c r="AA348" s="1023"/>
      <c r="AB348" s="1023"/>
      <c r="AC348" s="1023"/>
      <c r="AD348" s="1023"/>
      <c r="AE348" s="1023"/>
      <c r="AF348" s="1023"/>
      <c r="AG348" s="1023"/>
      <c r="AH348" s="1023"/>
      <c r="AI348" s="1023"/>
      <c r="AJ348" s="1023"/>
      <c r="AK348" s="1023"/>
      <c r="AL348" s="1023"/>
      <c r="AM348" s="1023"/>
      <c r="AN348" s="1023"/>
      <c r="AO348" s="1023"/>
      <c r="AP348" s="1023"/>
      <c r="AQ348" s="1023"/>
      <c r="AR348" s="1023"/>
      <c r="AS348" s="1023"/>
      <c r="AT348" s="1023"/>
      <c r="AU348" s="1023"/>
      <c r="AV348" s="1023"/>
      <c r="AW348" s="1023"/>
    </row>
    <row r="349" spans="1:49">
      <c r="A349" s="1023"/>
      <c r="B349" s="1040"/>
      <c r="C349" s="1040"/>
      <c r="D349" s="1040"/>
      <c r="E349" s="1023"/>
      <c r="F349" s="1040"/>
      <c r="G349" s="1023"/>
      <c r="L349" s="1040"/>
      <c r="M349" s="1040"/>
      <c r="N349" s="1023"/>
      <c r="O349" s="1023"/>
      <c r="P349" s="1023"/>
      <c r="Q349" s="1023"/>
      <c r="R349" s="1023"/>
      <c r="S349" s="1023"/>
      <c r="T349" s="1023"/>
      <c r="U349" s="1023"/>
      <c r="V349" s="1023"/>
      <c r="W349" s="1023"/>
      <c r="X349" s="1023"/>
      <c r="Y349" s="1023"/>
      <c r="Z349" s="1023"/>
      <c r="AA349" s="1023"/>
      <c r="AB349" s="1023"/>
      <c r="AC349" s="1023"/>
      <c r="AD349" s="1023"/>
      <c r="AE349" s="1023"/>
      <c r="AF349" s="1023"/>
      <c r="AG349" s="1023"/>
      <c r="AH349" s="1023"/>
      <c r="AI349" s="1023"/>
      <c r="AJ349" s="1023"/>
      <c r="AK349" s="1023"/>
      <c r="AL349" s="1023"/>
      <c r="AM349" s="1023"/>
      <c r="AN349" s="1023"/>
      <c r="AO349" s="1023"/>
      <c r="AP349" s="1023"/>
      <c r="AQ349" s="1023"/>
      <c r="AR349" s="1023"/>
      <c r="AS349" s="1023"/>
      <c r="AT349" s="1023"/>
      <c r="AU349" s="1023"/>
      <c r="AV349" s="1023"/>
      <c r="AW349" s="1023"/>
    </row>
    <row r="350" spans="1:49">
      <c r="A350" s="1023"/>
      <c r="B350" s="1040"/>
      <c r="C350" s="1040"/>
      <c r="D350" s="1040"/>
      <c r="E350" s="1023"/>
      <c r="F350" s="1040"/>
      <c r="G350" s="1023"/>
      <c r="L350" s="1040"/>
      <c r="M350" s="1040"/>
      <c r="N350" s="1023"/>
      <c r="O350" s="1023"/>
      <c r="P350" s="1023"/>
      <c r="Q350" s="1023"/>
      <c r="R350" s="1023"/>
      <c r="S350" s="1023"/>
      <c r="T350" s="1023"/>
      <c r="U350" s="1023"/>
      <c r="V350" s="1023"/>
      <c r="W350" s="1023"/>
      <c r="X350" s="1023"/>
      <c r="Y350" s="1023"/>
      <c r="Z350" s="1023"/>
      <c r="AA350" s="1023"/>
      <c r="AB350" s="1023"/>
      <c r="AC350" s="1023"/>
      <c r="AD350" s="1023"/>
      <c r="AE350" s="1023"/>
      <c r="AF350" s="1023"/>
      <c r="AG350" s="1023"/>
      <c r="AH350" s="1023"/>
      <c r="AI350" s="1023"/>
      <c r="AJ350" s="1023"/>
      <c r="AK350" s="1023"/>
      <c r="AL350" s="1023"/>
      <c r="AM350" s="1023"/>
      <c r="AN350" s="1023"/>
      <c r="AO350" s="1023"/>
      <c r="AP350" s="1023"/>
      <c r="AQ350" s="1023"/>
      <c r="AR350" s="1023"/>
      <c r="AS350" s="1023"/>
      <c r="AT350" s="1023"/>
      <c r="AU350" s="1023"/>
      <c r="AV350" s="1023"/>
      <c r="AW350" s="1023"/>
    </row>
    <row r="351" spans="1:49">
      <c r="A351" s="1023"/>
      <c r="B351" s="1040"/>
      <c r="C351" s="1040"/>
      <c r="D351" s="1040"/>
      <c r="E351" s="1023"/>
      <c r="F351" s="1040"/>
      <c r="G351" s="1023"/>
      <c r="L351" s="1040"/>
      <c r="M351" s="1040"/>
      <c r="N351" s="1023"/>
      <c r="O351" s="1023"/>
      <c r="P351" s="1023"/>
      <c r="Q351" s="1023"/>
      <c r="R351" s="1023"/>
      <c r="S351" s="1023"/>
      <c r="T351" s="1023"/>
      <c r="U351" s="1023"/>
      <c r="V351" s="1023"/>
      <c r="W351" s="1023"/>
      <c r="X351" s="1023"/>
      <c r="Y351" s="1023"/>
      <c r="Z351" s="1023"/>
      <c r="AA351" s="1023"/>
      <c r="AB351" s="1023"/>
      <c r="AC351" s="1023"/>
      <c r="AD351" s="1023"/>
      <c r="AE351" s="1023"/>
      <c r="AF351" s="1023"/>
      <c r="AG351" s="1023"/>
      <c r="AH351" s="1023"/>
      <c r="AI351" s="1023"/>
      <c r="AJ351" s="1023"/>
      <c r="AK351" s="1023"/>
      <c r="AL351" s="1023"/>
      <c r="AM351" s="1023"/>
      <c r="AN351" s="1023"/>
      <c r="AO351" s="1023"/>
      <c r="AP351" s="1023"/>
      <c r="AQ351" s="1023"/>
      <c r="AR351" s="1023"/>
      <c r="AS351" s="1023"/>
      <c r="AT351" s="1023"/>
      <c r="AU351" s="1023"/>
      <c r="AV351" s="1023"/>
      <c r="AW351" s="1023"/>
    </row>
    <row r="352" spans="1:49">
      <c r="A352" s="1023"/>
      <c r="B352" s="1040"/>
      <c r="C352" s="1040"/>
      <c r="D352" s="1040"/>
      <c r="E352" s="1023"/>
      <c r="F352" s="1040"/>
      <c r="G352" s="1023"/>
      <c r="L352" s="1040"/>
      <c r="M352" s="1040"/>
      <c r="N352" s="1023"/>
      <c r="O352" s="1023"/>
      <c r="P352" s="1023"/>
      <c r="Q352" s="1023"/>
      <c r="R352" s="1023"/>
      <c r="S352" s="1023"/>
      <c r="T352" s="1023"/>
      <c r="U352" s="1023"/>
      <c r="V352" s="1023"/>
      <c r="W352" s="1023"/>
      <c r="X352" s="1023"/>
      <c r="Y352" s="1023"/>
      <c r="Z352" s="1023"/>
      <c r="AA352" s="1023"/>
      <c r="AB352" s="1023"/>
      <c r="AC352" s="1023"/>
      <c r="AD352" s="1023"/>
      <c r="AE352" s="1023"/>
      <c r="AF352" s="1023"/>
      <c r="AG352" s="1023"/>
      <c r="AH352" s="1023"/>
      <c r="AI352" s="1023"/>
      <c r="AJ352" s="1023"/>
      <c r="AK352" s="1023"/>
      <c r="AL352" s="1023"/>
      <c r="AM352" s="1023"/>
      <c r="AN352" s="1023"/>
      <c r="AO352" s="1023"/>
      <c r="AP352" s="1023"/>
      <c r="AQ352" s="1023"/>
      <c r="AR352" s="1023"/>
      <c r="AS352" s="1023"/>
      <c r="AT352" s="1023"/>
      <c r="AU352" s="1023"/>
      <c r="AV352" s="1023"/>
      <c r="AW352" s="1023"/>
    </row>
    <row r="353" spans="1:49">
      <c r="A353" s="1023"/>
      <c r="B353" s="1040"/>
      <c r="C353" s="1040"/>
      <c r="D353" s="1040"/>
      <c r="E353" s="1023"/>
      <c r="F353" s="1040"/>
      <c r="G353" s="1023"/>
      <c r="L353" s="1040"/>
      <c r="M353" s="1040"/>
      <c r="N353" s="1023"/>
      <c r="O353" s="1023"/>
      <c r="P353" s="1023"/>
      <c r="Q353" s="1023"/>
      <c r="R353" s="1023"/>
      <c r="S353" s="1023"/>
      <c r="T353" s="1023"/>
      <c r="U353" s="1023"/>
      <c r="V353" s="1023"/>
      <c r="W353" s="1023"/>
      <c r="X353" s="1023"/>
      <c r="Y353" s="1023"/>
      <c r="Z353" s="1023"/>
      <c r="AA353" s="1023"/>
      <c r="AB353" s="1023"/>
      <c r="AC353" s="1023"/>
      <c r="AD353" s="1023"/>
      <c r="AE353" s="1023"/>
      <c r="AF353" s="1023"/>
      <c r="AG353" s="1023"/>
      <c r="AH353" s="1023"/>
      <c r="AI353" s="1023"/>
      <c r="AJ353" s="1023"/>
      <c r="AK353" s="1023"/>
      <c r="AL353" s="1023"/>
      <c r="AM353" s="1023"/>
      <c r="AN353" s="1023"/>
      <c r="AO353" s="1023"/>
      <c r="AP353" s="1023"/>
      <c r="AQ353" s="1023"/>
      <c r="AR353" s="1023"/>
      <c r="AS353" s="1023"/>
      <c r="AT353" s="1023"/>
      <c r="AU353" s="1023"/>
      <c r="AV353" s="1023"/>
      <c r="AW353" s="1023"/>
    </row>
    <row r="354" spans="1:49">
      <c r="A354" s="1023"/>
      <c r="B354" s="1040"/>
      <c r="C354" s="1040"/>
      <c r="D354" s="1040"/>
      <c r="E354" s="1023"/>
      <c r="F354" s="1040"/>
      <c r="G354" s="1023"/>
      <c r="L354" s="1040"/>
      <c r="M354" s="1040"/>
      <c r="N354" s="1023"/>
      <c r="O354" s="1023"/>
      <c r="P354" s="1023"/>
      <c r="Q354" s="1023"/>
      <c r="R354" s="1023"/>
      <c r="S354" s="1023"/>
      <c r="T354" s="1023"/>
      <c r="U354" s="1023"/>
      <c r="V354" s="1023"/>
      <c r="W354" s="1023"/>
      <c r="X354" s="1023"/>
      <c r="Y354" s="1023"/>
      <c r="Z354" s="1023"/>
      <c r="AA354" s="1023"/>
      <c r="AB354" s="1023"/>
      <c r="AC354" s="1023"/>
      <c r="AD354" s="1023"/>
      <c r="AE354" s="1023"/>
      <c r="AF354" s="1023"/>
      <c r="AG354" s="1023"/>
      <c r="AH354" s="1023"/>
      <c r="AI354" s="1023"/>
      <c r="AJ354" s="1023"/>
      <c r="AK354" s="1023"/>
      <c r="AL354" s="1023"/>
      <c r="AM354" s="1023"/>
      <c r="AN354" s="1023"/>
      <c r="AO354" s="1023"/>
      <c r="AP354" s="1023"/>
      <c r="AQ354" s="1023"/>
      <c r="AR354" s="1023"/>
      <c r="AS354" s="1023"/>
      <c r="AT354" s="1023"/>
      <c r="AU354" s="1023"/>
      <c r="AV354" s="1023"/>
      <c r="AW354" s="1023"/>
    </row>
    <row r="355" spans="1:49">
      <c r="A355" s="1023"/>
      <c r="B355" s="1040"/>
      <c r="C355" s="1040"/>
      <c r="D355" s="1040"/>
      <c r="E355" s="1023"/>
      <c r="F355" s="1040"/>
      <c r="G355" s="1023"/>
      <c r="L355" s="1040"/>
      <c r="M355" s="1040"/>
      <c r="N355" s="1023"/>
      <c r="O355" s="1023"/>
      <c r="P355" s="1023"/>
      <c r="Q355" s="1023"/>
      <c r="R355" s="1023"/>
      <c r="S355" s="1023"/>
      <c r="T355" s="1023"/>
      <c r="U355" s="1023"/>
      <c r="V355" s="1023"/>
      <c r="W355" s="1023"/>
      <c r="X355" s="1023"/>
      <c r="Y355" s="1023"/>
      <c r="Z355" s="1023"/>
      <c r="AA355" s="1023"/>
      <c r="AB355" s="1023"/>
      <c r="AC355" s="1023"/>
      <c r="AD355" s="1023"/>
      <c r="AE355" s="1023"/>
      <c r="AF355" s="1023"/>
      <c r="AG355" s="1023"/>
      <c r="AH355" s="1023"/>
      <c r="AI355" s="1023"/>
      <c r="AJ355" s="1023"/>
      <c r="AK355" s="1023"/>
      <c r="AL355" s="1023"/>
      <c r="AM355" s="1023"/>
      <c r="AN355" s="1023"/>
      <c r="AO355" s="1023"/>
      <c r="AP355" s="1023"/>
      <c r="AQ355" s="1023"/>
      <c r="AR355" s="1023"/>
      <c r="AS355" s="1023"/>
      <c r="AT355" s="1023"/>
      <c r="AU355" s="1023"/>
      <c r="AV355" s="1023"/>
      <c r="AW355" s="1023"/>
    </row>
    <row r="356" spans="1:49">
      <c r="A356" s="1023"/>
      <c r="B356" s="1040"/>
      <c r="C356" s="1040"/>
      <c r="D356" s="1040"/>
      <c r="E356" s="1023"/>
      <c r="F356" s="1040"/>
      <c r="G356" s="1023"/>
      <c r="L356" s="1040"/>
      <c r="M356" s="1040"/>
      <c r="N356" s="1023"/>
      <c r="O356" s="1023"/>
      <c r="P356" s="1023"/>
      <c r="Q356" s="1023"/>
      <c r="R356" s="1023"/>
      <c r="S356" s="1023"/>
      <c r="T356" s="1023"/>
      <c r="U356" s="1023"/>
      <c r="V356" s="1023"/>
      <c r="W356" s="1023"/>
      <c r="X356" s="1023"/>
      <c r="Y356" s="1023"/>
      <c r="Z356" s="1023"/>
      <c r="AA356" s="1023"/>
      <c r="AB356" s="1023"/>
      <c r="AC356" s="1023"/>
      <c r="AD356" s="1023"/>
      <c r="AE356" s="1023"/>
      <c r="AF356" s="1023"/>
      <c r="AG356" s="1023"/>
      <c r="AH356" s="1023"/>
      <c r="AI356" s="1023"/>
      <c r="AJ356" s="1023"/>
      <c r="AK356" s="1023"/>
      <c r="AL356" s="1023"/>
      <c r="AM356" s="1023"/>
      <c r="AN356" s="1023"/>
      <c r="AO356" s="1023"/>
      <c r="AP356" s="1023"/>
      <c r="AQ356" s="1023"/>
      <c r="AR356" s="1023"/>
      <c r="AS356" s="1023"/>
      <c r="AT356" s="1023"/>
      <c r="AU356" s="1023"/>
      <c r="AV356" s="1023"/>
      <c r="AW356" s="1023"/>
    </row>
    <row r="357" spans="1:49">
      <c r="A357" s="1023"/>
      <c r="B357" s="1040"/>
      <c r="C357" s="1040"/>
      <c r="D357" s="1040"/>
      <c r="E357" s="1023"/>
      <c r="F357" s="1040"/>
      <c r="G357" s="1023"/>
      <c r="L357" s="1040"/>
      <c r="M357" s="1040"/>
      <c r="N357" s="1023"/>
      <c r="O357" s="1023"/>
      <c r="P357" s="1023"/>
      <c r="Q357" s="1023"/>
      <c r="R357" s="1023"/>
      <c r="S357" s="1023"/>
      <c r="T357" s="1023"/>
      <c r="U357" s="1023"/>
      <c r="V357" s="1023"/>
      <c r="W357" s="1023"/>
      <c r="X357" s="1023"/>
      <c r="Y357" s="1023"/>
      <c r="Z357" s="1023"/>
      <c r="AA357" s="1023"/>
      <c r="AB357" s="1023"/>
      <c r="AC357" s="1023"/>
      <c r="AD357" s="1023"/>
      <c r="AE357" s="1023"/>
      <c r="AF357" s="1023"/>
      <c r="AG357" s="1023"/>
      <c r="AH357" s="1023"/>
      <c r="AI357" s="1023"/>
      <c r="AJ357" s="1023"/>
      <c r="AK357" s="1023"/>
      <c r="AL357" s="1023"/>
      <c r="AM357" s="1023"/>
      <c r="AN357" s="1023"/>
      <c r="AO357" s="1023"/>
      <c r="AP357" s="1023"/>
      <c r="AQ357" s="1023"/>
      <c r="AR357" s="1023"/>
      <c r="AS357" s="1023"/>
      <c r="AT357" s="1023"/>
      <c r="AU357" s="1023"/>
      <c r="AV357" s="1023"/>
      <c r="AW357" s="1023"/>
    </row>
    <row r="358" spans="1:49">
      <c r="A358" s="1023"/>
      <c r="B358" s="1040"/>
      <c r="C358" s="1040"/>
      <c r="D358" s="1040"/>
      <c r="E358" s="1023"/>
      <c r="F358" s="1040"/>
      <c r="G358" s="1023"/>
      <c r="L358" s="1040"/>
      <c r="M358" s="1040"/>
      <c r="N358" s="1023"/>
      <c r="O358" s="1023"/>
      <c r="P358" s="1023"/>
      <c r="Q358" s="1023"/>
      <c r="R358" s="1023"/>
      <c r="S358" s="1023"/>
      <c r="T358" s="1023"/>
      <c r="U358" s="1023"/>
      <c r="V358" s="1023"/>
      <c r="W358" s="1023"/>
      <c r="X358" s="1023"/>
      <c r="Y358" s="1023"/>
      <c r="Z358" s="1023"/>
      <c r="AA358" s="1023"/>
      <c r="AB358" s="1023"/>
      <c r="AC358" s="1023"/>
      <c r="AD358" s="1023"/>
      <c r="AE358" s="1023"/>
      <c r="AF358" s="1023"/>
      <c r="AG358" s="1023"/>
      <c r="AH358" s="1023"/>
      <c r="AI358" s="1023"/>
      <c r="AJ358" s="1023"/>
      <c r="AK358" s="1023"/>
      <c r="AL358" s="1023"/>
      <c r="AM358" s="1023"/>
      <c r="AN358" s="1023"/>
      <c r="AO358" s="1023"/>
      <c r="AP358" s="1023"/>
      <c r="AQ358" s="1023"/>
      <c r="AR358" s="1023"/>
      <c r="AS358" s="1023"/>
      <c r="AT358" s="1023"/>
      <c r="AU358" s="1023"/>
      <c r="AV358" s="1023"/>
      <c r="AW358" s="1023"/>
    </row>
    <row r="359" spans="1:49">
      <c r="A359" s="1023"/>
      <c r="B359" s="1040"/>
      <c r="C359" s="1040"/>
      <c r="D359" s="1040"/>
      <c r="E359" s="1023"/>
      <c r="F359" s="1040"/>
      <c r="G359" s="1023"/>
      <c r="L359" s="1040"/>
      <c r="M359" s="1040"/>
      <c r="N359" s="1023"/>
      <c r="O359" s="1023"/>
      <c r="P359" s="1023"/>
      <c r="Q359" s="1023"/>
      <c r="R359" s="1023"/>
      <c r="S359" s="1023"/>
      <c r="T359" s="1023"/>
      <c r="U359" s="1023"/>
      <c r="V359" s="1023"/>
      <c r="W359" s="1023"/>
      <c r="X359" s="1023"/>
      <c r="Y359" s="1023"/>
      <c r="Z359" s="1023"/>
      <c r="AA359" s="1023"/>
      <c r="AB359" s="1023"/>
      <c r="AC359" s="1023"/>
      <c r="AD359" s="1023"/>
      <c r="AE359" s="1023"/>
      <c r="AF359" s="1023"/>
      <c r="AG359" s="1023"/>
      <c r="AH359" s="1023"/>
      <c r="AI359" s="1023"/>
      <c r="AJ359" s="1023"/>
      <c r="AK359" s="1023"/>
      <c r="AL359" s="1023"/>
      <c r="AM359" s="1023"/>
      <c r="AN359" s="1023"/>
      <c r="AO359" s="1023"/>
      <c r="AP359" s="1023"/>
      <c r="AQ359" s="1023"/>
      <c r="AR359" s="1023"/>
      <c r="AS359" s="1023"/>
      <c r="AT359" s="1023"/>
      <c r="AU359" s="1023"/>
      <c r="AV359" s="1023"/>
      <c r="AW359" s="1023"/>
    </row>
    <row r="360" spans="1:49">
      <c r="A360" s="1023"/>
      <c r="B360" s="1040"/>
      <c r="C360" s="1040"/>
      <c r="D360" s="1040"/>
      <c r="E360" s="1023"/>
      <c r="F360" s="1040"/>
      <c r="G360" s="1023"/>
      <c r="L360" s="1040"/>
      <c r="M360" s="1040"/>
      <c r="N360" s="1023"/>
      <c r="O360" s="1023"/>
      <c r="P360" s="1023"/>
      <c r="Q360" s="1023"/>
      <c r="R360" s="1023"/>
      <c r="S360" s="1023"/>
      <c r="T360" s="1023"/>
      <c r="U360" s="1023"/>
      <c r="V360" s="1023"/>
      <c r="W360" s="1023"/>
      <c r="X360" s="1023"/>
      <c r="Y360" s="1023"/>
      <c r="Z360" s="1023"/>
      <c r="AA360" s="1023"/>
      <c r="AB360" s="1023"/>
      <c r="AC360" s="1023"/>
      <c r="AD360" s="1023"/>
      <c r="AE360" s="1023"/>
      <c r="AF360" s="1023"/>
      <c r="AG360" s="1023"/>
      <c r="AH360" s="1023"/>
      <c r="AI360" s="1023"/>
      <c r="AJ360" s="1023"/>
      <c r="AK360" s="1023"/>
      <c r="AL360" s="1023"/>
      <c r="AM360" s="1023"/>
      <c r="AN360" s="1023"/>
      <c r="AO360" s="1023"/>
      <c r="AP360" s="1023"/>
      <c r="AQ360" s="1023"/>
      <c r="AR360" s="1023"/>
      <c r="AS360" s="1023"/>
      <c r="AT360" s="1023"/>
      <c r="AU360" s="1023"/>
      <c r="AV360" s="1023"/>
      <c r="AW360" s="1023"/>
    </row>
    <row r="361" spans="1:49">
      <c r="A361" s="1023"/>
      <c r="B361" s="1040"/>
      <c r="C361" s="1040"/>
      <c r="D361" s="1040"/>
      <c r="E361" s="1023"/>
      <c r="F361" s="1040"/>
      <c r="G361" s="1023"/>
      <c r="L361" s="1040"/>
      <c r="M361" s="1040"/>
      <c r="N361" s="1023"/>
      <c r="O361" s="1023"/>
      <c r="P361" s="1023"/>
      <c r="Q361" s="1023"/>
      <c r="R361" s="1023"/>
      <c r="S361" s="1023"/>
      <c r="T361" s="1023"/>
      <c r="U361" s="1023"/>
      <c r="V361" s="1023"/>
      <c r="W361" s="1023"/>
      <c r="X361" s="1023"/>
      <c r="Y361" s="1023"/>
      <c r="Z361" s="1023"/>
      <c r="AA361" s="1023"/>
      <c r="AB361" s="1023"/>
      <c r="AC361" s="1023"/>
      <c r="AD361" s="1023"/>
      <c r="AE361" s="1023"/>
      <c r="AF361" s="1023"/>
      <c r="AG361" s="1023"/>
      <c r="AH361" s="1023"/>
      <c r="AI361" s="1023"/>
      <c r="AJ361" s="1023"/>
      <c r="AK361" s="1023"/>
      <c r="AL361" s="1023"/>
      <c r="AM361" s="1023"/>
      <c r="AN361" s="1023"/>
      <c r="AO361" s="1023"/>
      <c r="AP361" s="1023"/>
      <c r="AQ361" s="1023"/>
      <c r="AR361" s="1023"/>
      <c r="AS361" s="1023"/>
      <c r="AT361" s="1023"/>
      <c r="AU361" s="1023"/>
      <c r="AV361" s="1023"/>
      <c r="AW361" s="1023"/>
    </row>
    <row r="362" spans="1:49">
      <c r="A362" s="1023"/>
      <c r="B362" s="1040"/>
      <c r="C362" s="1040"/>
      <c r="D362" s="1040"/>
      <c r="E362" s="1023"/>
      <c r="F362" s="1040"/>
      <c r="G362" s="1023"/>
      <c r="L362" s="1040"/>
      <c r="M362" s="1040"/>
      <c r="N362" s="1023"/>
      <c r="O362" s="1023"/>
      <c r="P362" s="1023"/>
      <c r="Q362" s="1023"/>
      <c r="R362" s="1023"/>
      <c r="S362" s="1023"/>
      <c r="T362" s="1023"/>
      <c r="U362" s="1023"/>
      <c r="V362" s="1023"/>
      <c r="W362" s="1023"/>
      <c r="X362" s="1023"/>
      <c r="Y362" s="1023"/>
      <c r="Z362" s="1023"/>
      <c r="AA362" s="1023"/>
      <c r="AB362" s="1023"/>
      <c r="AC362" s="1023"/>
      <c r="AD362" s="1023"/>
      <c r="AE362" s="1023"/>
      <c r="AF362" s="1023"/>
      <c r="AG362" s="1023"/>
      <c r="AH362" s="1023"/>
      <c r="AI362" s="1023"/>
      <c r="AJ362" s="1023"/>
      <c r="AK362" s="1023"/>
      <c r="AL362" s="1023"/>
      <c r="AM362" s="1023"/>
      <c r="AN362" s="1023"/>
      <c r="AO362" s="1023"/>
      <c r="AP362" s="1023"/>
      <c r="AQ362" s="1023"/>
      <c r="AR362" s="1023"/>
      <c r="AS362" s="1023"/>
      <c r="AT362" s="1023"/>
      <c r="AU362" s="1023"/>
      <c r="AV362" s="1023"/>
      <c r="AW362" s="1023"/>
    </row>
    <row r="363" spans="1:49">
      <c r="A363" s="1023"/>
      <c r="B363" s="1040"/>
      <c r="C363" s="1040"/>
      <c r="D363" s="1040"/>
      <c r="E363" s="1023"/>
      <c r="F363" s="1040"/>
      <c r="G363" s="1023"/>
      <c r="L363" s="1040"/>
      <c r="M363" s="1040"/>
      <c r="N363" s="1023"/>
      <c r="O363" s="1023"/>
      <c r="P363" s="1023"/>
      <c r="Q363" s="1023"/>
      <c r="R363" s="1023"/>
      <c r="S363" s="1023"/>
      <c r="T363" s="1023"/>
      <c r="U363" s="1023"/>
      <c r="V363" s="1023"/>
      <c r="W363" s="1023"/>
      <c r="X363" s="1023"/>
      <c r="Y363" s="1023"/>
      <c r="Z363" s="1023"/>
      <c r="AA363" s="1023"/>
      <c r="AB363" s="1023"/>
      <c r="AC363" s="1023"/>
      <c r="AD363" s="1023"/>
      <c r="AE363" s="1023"/>
      <c r="AF363" s="1023"/>
      <c r="AG363" s="1023"/>
      <c r="AH363" s="1023"/>
      <c r="AI363" s="1023"/>
      <c r="AJ363" s="1023"/>
      <c r="AK363" s="1023"/>
      <c r="AL363" s="1023"/>
      <c r="AM363" s="1023"/>
      <c r="AN363" s="1023"/>
      <c r="AO363" s="1023"/>
      <c r="AP363" s="1023"/>
      <c r="AQ363" s="1023"/>
      <c r="AR363" s="1023"/>
      <c r="AS363" s="1023"/>
      <c r="AT363" s="1023"/>
      <c r="AU363" s="1023"/>
      <c r="AV363" s="1023"/>
      <c r="AW363" s="1023"/>
    </row>
    <row r="364" spans="1:49">
      <c r="A364" s="1023"/>
      <c r="B364" s="1040"/>
      <c r="C364" s="1040"/>
      <c r="D364" s="1040"/>
      <c r="E364" s="1023"/>
      <c r="F364" s="1040"/>
      <c r="G364" s="1023"/>
      <c r="L364" s="1040"/>
      <c r="M364" s="1040"/>
      <c r="N364" s="1023"/>
      <c r="O364" s="1023"/>
      <c r="P364" s="1023"/>
      <c r="Q364" s="1023"/>
      <c r="R364" s="1023"/>
      <c r="S364" s="1023"/>
      <c r="T364" s="1023"/>
      <c r="U364" s="1023"/>
      <c r="V364" s="1023"/>
      <c r="W364" s="1023"/>
      <c r="X364" s="1023"/>
      <c r="Y364" s="1023"/>
      <c r="Z364" s="1023"/>
      <c r="AA364" s="1023"/>
      <c r="AB364" s="1023"/>
      <c r="AC364" s="1023"/>
      <c r="AD364" s="1023"/>
      <c r="AE364" s="1023"/>
      <c r="AF364" s="1023"/>
      <c r="AG364" s="1023"/>
      <c r="AH364" s="1023"/>
      <c r="AI364" s="1023"/>
      <c r="AJ364" s="1023"/>
      <c r="AK364" s="1023"/>
      <c r="AL364" s="1023"/>
      <c r="AM364" s="1023"/>
      <c r="AN364" s="1023"/>
      <c r="AO364" s="1023"/>
      <c r="AP364" s="1023"/>
      <c r="AQ364" s="1023"/>
      <c r="AR364" s="1023"/>
      <c r="AS364" s="1023"/>
      <c r="AT364" s="1023"/>
      <c r="AU364" s="1023"/>
      <c r="AV364" s="1023"/>
      <c r="AW364" s="1023"/>
    </row>
    <row r="365" spans="1:49">
      <c r="A365" s="1023"/>
      <c r="B365" s="1040"/>
      <c r="C365" s="1040"/>
      <c r="D365" s="1040"/>
      <c r="E365" s="1023"/>
      <c r="F365" s="1040"/>
      <c r="G365" s="1023"/>
      <c r="L365" s="1040"/>
      <c r="M365" s="1040"/>
      <c r="N365" s="1023"/>
      <c r="O365" s="1023"/>
      <c r="P365" s="1023"/>
      <c r="Q365" s="1023"/>
      <c r="R365" s="1023"/>
      <c r="S365" s="1023"/>
      <c r="T365" s="1023"/>
      <c r="U365" s="1023"/>
      <c r="V365" s="1023"/>
      <c r="W365" s="1023"/>
      <c r="X365" s="1023"/>
      <c r="Y365" s="1023"/>
      <c r="Z365" s="1023"/>
      <c r="AA365" s="1023"/>
      <c r="AB365" s="1023"/>
      <c r="AC365" s="1023"/>
      <c r="AD365" s="1023"/>
      <c r="AE365" s="1023"/>
      <c r="AF365" s="1023"/>
      <c r="AG365" s="1023"/>
      <c r="AH365" s="1023"/>
      <c r="AI365" s="1023"/>
      <c r="AJ365" s="1023"/>
      <c r="AK365" s="1023"/>
      <c r="AL365" s="1023"/>
      <c r="AM365" s="1023"/>
      <c r="AN365" s="1023"/>
      <c r="AO365" s="1023"/>
      <c r="AP365" s="1023"/>
      <c r="AQ365" s="1023"/>
      <c r="AR365" s="1023"/>
      <c r="AS365" s="1023"/>
      <c r="AT365" s="1023"/>
      <c r="AU365" s="1023"/>
      <c r="AV365" s="1023"/>
      <c r="AW365" s="1023"/>
    </row>
    <row r="366" spans="1:49">
      <c r="A366" s="1023"/>
      <c r="B366" s="1040"/>
      <c r="C366" s="1040"/>
      <c r="D366" s="1040"/>
      <c r="E366" s="1023"/>
      <c r="F366" s="1040"/>
      <c r="G366" s="1023"/>
      <c r="L366" s="1040"/>
      <c r="M366" s="1040"/>
      <c r="N366" s="1023"/>
      <c r="O366" s="1023"/>
      <c r="P366" s="1023"/>
      <c r="Q366" s="1023"/>
      <c r="R366" s="1023"/>
      <c r="S366" s="1023"/>
      <c r="T366" s="1023"/>
      <c r="U366" s="1023"/>
      <c r="V366" s="1023"/>
      <c r="W366" s="1023"/>
      <c r="X366" s="1023"/>
      <c r="Y366" s="1023"/>
      <c r="Z366" s="1023"/>
      <c r="AA366" s="1023"/>
      <c r="AB366" s="1023"/>
      <c r="AC366" s="1023"/>
      <c r="AD366" s="1023"/>
      <c r="AE366" s="1023"/>
      <c r="AF366" s="1023"/>
      <c r="AG366" s="1023"/>
      <c r="AH366" s="1023"/>
      <c r="AI366" s="1023"/>
      <c r="AJ366" s="1023"/>
      <c r="AK366" s="1023"/>
      <c r="AL366" s="1023"/>
      <c r="AM366" s="1023"/>
      <c r="AN366" s="1023"/>
      <c r="AO366" s="1023"/>
      <c r="AP366" s="1023"/>
      <c r="AQ366" s="1023"/>
      <c r="AR366" s="1023"/>
      <c r="AS366" s="1023"/>
      <c r="AT366" s="1023"/>
      <c r="AU366" s="1023"/>
      <c r="AV366" s="1023"/>
      <c r="AW366" s="1023"/>
    </row>
    <row r="367" spans="1:49">
      <c r="A367" s="1023"/>
      <c r="B367" s="1040"/>
      <c r="C367" s="1040"/>
      <c r="D367" s="1040"/>
      <c r="E367" s="1023"/>
      <c r="F367" s="1040"/>
      <c r="G367" s="1023"/>
      <c r="L367" s="1040"/>
      <c r="M367" s="1040"/>
      <c r="N367" s="1023"/>
      <c r="O367" s="1023"/>
      <c r="P367" s="1023"/>
      <c r="Q367" s="1023"/>
      <c r="R367" s="1023"/>
      <c r="S367" s="1023"/>
      <c r="T367" s="1023"/>
      <c r="U367" s="1023"/>
      <c r="V367" s="1023"/>
      <c r="W367" s="1023"/>
      <c r="X367" s="1023"/>
      <c r="Y367" s="1023"/>
      <c r="Z367" s="1023"/>
      <c r="AA367" s="1023"/>
      <c r="AB367" s="1023"/>
      <c r="AC367" s="1023"/>
      <c r="AD367" s="1023"/>
      <c r="AE367" s="1023"/>
      <c r="AF367" s="1023"/>
      <c r="AG367" s="1023"/>
      <c r="AH367" s="1023"/>
      <c r="AI367" s="1023"/>
      <c r="AJ367" s="1023"/>
      <c r="AK367" s="1023"/>
      <c r="AL367" s="1023"/>
      <c r="AM367" s="1023"/>
      <c r="AN367" s="1023"/>
      <c r="AO367" s="1023"/>
      <c r="AP367" s="1023"/>
      <c r="AQ367" s="1023"/>
      <c r="AR367" s="1023"/>
      <c r="AS367" s="1023"/>
      <c r="AT367" s="1023"/>
      <c r="AU367" s="1023"/>
      <c r="AV367" s="1023"/>
      <c r="AW367" s="1023"/>
    </row>
    <row r="368" spans="1:49">
      <c r="A368" s="1023"/>
      <c r="B368" s="1040"/>
      <c r="C368" s="1040"/>
      <c r="D368" s="1040"/>
      <c r="E368" s="1023"/>
      <c r="F368" s="1040"/>
      <c r="G368" s="1023"/>
      <c r="L368" s="1040"/>
      <c r="M368" s="1040"/>
      <c r="N368" s="1023"/>
      <c r="O368" s="1023"/>
      <c r="P368" s="1023"/>
      <c r="Q368" s="1023"/>
      <c r="R368" s="1023"/>
      <c r="S368" s="1023"/>
      <c r="T368" s="1023"/>
      <c r="U368" s="1023"/>
      <c r="V368" s="1023"/>
      <c r="W368" s="1023"/>
      <c r="X368" s="1023"/>
      <c r="Y368" s="1023"/>
      <c r="Z368" s="1023"/>
      <c r="AA368" s="1023"/>
      <c r="AB368" s="1023"/>
      <c r="AC368" s="1023"/>
      <c r="AD368" s="1023"/>
      <c r="AE368" s="1023"/>
      <c r="AF368" s="1023"/>
      <c r="AG368" s="1023"/>
      <c r="AH368" s="1023"/>
      <c r="AI368" s="1023"/>
      <c r="AJ368" s="1023"/>
      <c r="AK368" s="1023"/>
      <c r="AL368" s="1023"/>
      <c r="AM368" s="1023"/>
      <c r="AN368" s="1023"/>
      <c r="AO368" s="1023"/>
      <c r="AP368" s="1023"/>
      <c r="AQ368" s="1023"/>
      <c r="AR368" s="1023"/>
      <c r="AS368" s="1023"/>
      <c r="AT368" s="1023"/>
      <c r="AU368" s="1023"/>
      <c r="AV368" s="1023"/>
      <c r="AW368" s="1023"/>
    </row>
    <row r="369" spans="1:49">
      <c r="A369" s="1023"/>
      <c r="B369" s="1040"/>
      <c r="C369" s="1040"/>
      <c r="D369" s="1040"/>
      <c r="E369" s="1023"/>
      <c r="F369" s="1040"/>
      <c r="G369" s="1023"/>
      <c r="L369" s="1040"/>
      <c r="M369" s="1040"/>
      <c r="N369" s="1023"/>
      <c r="O369" s="1023"/>
      <c r="P369" s="1023"/>
      <c r="Q369" s="1023"/>
      <c r="R369" s="1023"/>
      <c r="S369" s="1023"/>
      <c r="T369" s="1023"/>
      <c r="U369" s="1023"/>
      <c r="V369" s="1023"/>
      <c r="W369" s="1023"/>
      <c r="X369" s="1023"/>
      <c r="Y369" s="1023"/>
      <c r="Z369" s="1023"/>
      <c r="AA369" s="1023"/>
      <c r="AB369" s="1023"/>
      <c r="AC369" s="1023"/>
      <c r="AD369" s="1023"/>
      <c r="AE369" s="1023"/>
      <c r="AF369" s="1023"/>
      <c r="AG369" s="1023"/>
      <c r="AH369" s="1023"/>
      <c r="AI369" s="1023"/>
      <c r="AJ369" s="1023"/>
      <c r="AK369" s="1023"/>
      <c r="AL369" s="1023"/>
      <c r="AM369" s="1023"/>
      <c r="AN369" s="1023"/>
      <c r="AO369" s="1023"/>
      <c r="AP369" s="1023"/>
      <c r="AQ369" s="1023"/>
      <c r="AR369" s="1023"/>
      <c r="AS369" s="1023"/>
      <c r="AT369" s="1023"/>
      <c r="AU369" s="1023"/>
      <c r="AV369" s="1023"/>
      <c r="AW369" s="1023"/>
    </row>
    <row r="370" spans="1:49">
      <c r="A370" s="1023"/>
      <c r="B370" s="1040"/>
      <c r="C370" s="1040"/>
      <c r="D370" s="1040"/>
      <c r="E370" s="1023"/>
      <c r="F370" s="1040"/>
      <c r="G370" s="1023"/>
      <c r="L370" s="1040"/>
      <c r="M370" s="1040"/>
      <c r="N370" s="1023"/>
      <c r="O370" s="1023"/>
      <c r="P370" s="1023"/>
      <c r="Q370" s="1023"/>
      <c r="R370" s="1023"/>
      <c r="S370" s="1023"/>
      <c r="T370" s="1023"/>
      <c r="U370" s="1023"/>
      <c r="V370" s="1023"/>
      <c r="W370" s="1023"/>
      <c r="X370" s="1023"/>
      <c r="Y370" s="1023"/>
      <c r="Z370" s="1023"/>
      <c r="AA370" s="1023"/>
      <c r="AB370" s="1023"/>
      <c r="AC370" s="1023"/>
      <c r="AD370" s="1023"/>
      <c r="AE370" s="1023"/>
      <c r="AF370" s="1023"/>
      <c r="AG370" s="1023"/>
      <c r="AH370" s="1023"/>
      <c r="AI370" s="1023"/>
      <c r="AJ370" s="1023"/>
      <c r="AK370" s="1023"/>
      <c r="AL370" s="1023"/>
      <c r="AM370" s="1023"/>
      <c r="AN370" s="1023"/>
      <c r="AO370" s="1023"/>
      <c r="AP370" s="1023"/>
      <c r="AQ370" s="1023"/>
      <c r="AR370" s="1023"/>
      <c r="AS370" s="1023"/>
      <c r="AT370" s="1023"/>
      <c r="AU370" s="1023"/>
      <c r="AV370" s="1023"/>
      <c r="AW370" s="1023"/>
    </row>
    <row r="371" spans="1:49">
      <c r="A371" s="1023"/>
      <c r="B371" s="1040"/>
      <c r="C371" s="1040"/>
      <c r="D371" s="1040"/>
      <c r="E371" s="1023"/>
      <c r="F371" s="1040"/>
      <c r="G371" s="1023"/>
      <c r="L371" s="1040"/>
      <c r="M371" s="1040"/>
      <c r="N371" s="1023"/>
      <c r="O371" s="1023"/>
      <c r="P371" s="1023"/>
      <c r="Q371" s="1023"/>
      <c r="R371" s="1023"/>
      <c r="S371" s="1023"/>
      <c r="T371" s="1023"/>
      <c r="U371" s="1023"/>
      <c r="V371" s="1023"/>
      <c r="W371" s="1023"/>
      <c r="X371" s="1023"/>
      <c r="Y371" s="1023"/>
      <c r="Z371" s="1023"/>
      <c r="AA371" s="1023"/>
      <c r="AB371" s="1023"/>
      <c r="AC371" s="1023"/>
      <c r="AD371" s="1023"/>
      <c r="AE371" s="1023"/>
      <c r="AF371" s="1023"/>
      <c r="AG371" s="1023"/>
      <c r="AH371" s="1023"/>
      <c r="AI371" s="1023"/>
      <c r="AJ371" s="1023"/>
      <c r="AK371" s="1023"/>
      <c r="AL371" s="1023"/>
      <c r="AM371" s="1023"/>
      <c r="AN371" s="1023"/>
      <c r="AO371" s="1023"/>
      <c r="AP371" s="1023"/>
      <c r="AQ371" s="1023"/>
      <c r="AR371" s="1023"/>
      <c r="AS371" s="1023"/>
      <c r="AT371" s="1023"/>
      <c r="AU371" s="1023"/>
      <c r="AV371" s="1023"/>
      <c r="AW371" s="1023"/>
    </row>
    <row r="372" spans="1:49">
      <c r="A372" s="1023"/>
      <c r="B372" s="1040"/>
      <c r="C372" s="1040"/>
      <c r="D372" s="1040"/>
      <c r="E372" s="1023"/>
      <c r="F372" s="1040"/>
      <c r="G372" s="1023"/>
      <c r="L372" s="1040"/>
      <c r="M372" s="1040"/>
      <c r="N372" s="1023"/>
      <c r="O372" s="1023"/>
      <c r="P372" s="1023"/>
      <c r="Q372" s="1023"/>
      <c r="R372" s="1023"/>
      <c r="S372" s="1023"/>
      <c r="T372" s="1023"/>
      <c r="U372" s="1023"/>
      <c r="V372" s="1023"/>
      <c r="W372" s="1023"/>
      <c r="X372" s="1023"/>
      <c r="Y372" s="1023"/>
      <c r="Z372" s="1023"/>
      <c r="AA372" s="1023"/>
      <c r="AB372" s="1023"/>
      <c r="AC372" s="1023"/>
      <c r="AD372" s="1023"/>
      <c r="AE372" s="1023"/>
      <c r="AF372" s="1023"/>
      <c r="AG372" s="1023"/>
      <c r="AH372" s="1023"/>
      <c r="AI372" s="1023"/>
      <c r="AJ372" s="1023"/>
      <c r="AK372" s="1023"/>
      <c r="AL372" s="1023"/>
      <c r="AM372" s="1023"/>
      <c r="AN372" s="1023"/>
      <c r="AO372" s="1023"/>
      <c r="AP372" s="1023"/>
      <c r="AQ372" s="1023"/>
      <c r="AR372" s="1023"/>
      <c r="AS372" s="1023"/>
      <c r="AT372" s="1023"/>
      <c r="AU372" s="1023"/>
      <c r="AV372" s="1023"/>
      <c r="AW372" s="1023"/>
    </row>
    <row r="373" spans="1:49">
      <c r="A373" s="1023"/>
      <c r="B373" s="1040"/>
      <c r="C373" s="1040"/>
      <c r="D373" s="1040"/>
      <c r="E373" s="1023"/>
      <c r="F373" s="1040"/>
      <c r="G373" s="1023"/>
      <c r="L373" s="1040"/>
      <c r="M373" s="1040"/>
      <c r="N373" s="1023"/>
      <c r="O373" s="1023"/>
      <c r="P373" s="1023"/>
      <c r="Q373" s="1023"/>
      <c r="R373" s="1023"/>
      <c r="S373" s="1023"/>
      <c r="T373" s="1023"/>
      <c r="U373" s="1023"/>
      <c r="V373" s="1023"/>
      <c r="W373" s="1023"/>
      <c r="X373" s="1023"/>
      <c r="Y373" s="1023"/>
      <c r="Z373" s="1023"/>
      <c r="AA373" s="1023"/>
      <c r="AB373" s="1023"/>
      <c r="AC373" s="1023"/>
      <c r="AD373" s="1023"/>
      <c r="AE373" s="1023"/>
      <c r="AF373" s="1023"/>
      <c r="AG373" s="1023"/>
      <c r="AH373" s="1023"/>
      <c r="AI373" s="1023"/>
      <c r="AJ373" s="1023"/>
      <c r="AK373" s="1023"/>
      <c r="AL373" s="1023"/>
      <c r="AM373" s="1023"/>
      <c r="AN373" s="1023"/>
      <c r="AO373" s="1023"/>
      <c r="AP373" s="1023"/>
      <c r="AQ373" s="1023"/>
      <c r="AR373" s="1023"/>
      <c r="AS373" s="1023"/>
      <c r="AT373" s="1023"/>
      <c r="AU373" s="1023"/>
      <c r="AV373" s="1023"/>
      <c r="AW373" s="1023"/>
    </row>
    <row r="374" spans="1:49">
      <c r="A374" s="1023"/>
      <c r="B374" s="1040"/>
      <c r="C374" s="1040"/>
      <c r="D374" s="1040"/>
      <c r="E374" s="1023"/>
      <c r="F374" s="1040"/>
      <c r="G374" s="1023"/>
      <c r="L374" s="1040"/>
      <c r="M374" s="1040"/>
      <c r="N374" s="1023"/>
      <c r="O374" s="1023"/>
      <c r="P374" s="1023"/>
      <c r="Q374" s="1023"/>
      <c r="R374" s="1023"/>
      <c r="S374" s="1023"/>
      <c r="T374" s="1023"/>
      <c r="U374" s="1023"/>
      <c r="V374" s="1023"/>
      <c r="W374" s="1023"/>
      <c r="X374" s="1023"/>
      <c r="Y374" s="1023"/>
      <c r="Z374" s="1023"/>
      <c r="AA374" s="1023"/>
      <c r="AB374" s="1023"/>
      <c r="AC374" s="1023"/>
      <c r="AD374" s="1023"/>
      <c r="AE374" s="1023"/>
      <c r="AF374" s="1023"/>
      <c r="AG374" s="1023"/>
      <c r="AH374" s="1023"/>
      <c r="AI374" s="1023"/>
      <c r="AJ374" s="1023"/>
      <c r="AK374" s="1023"/>
      <c r="AL374" s="1023"/>
      <c r="AM374" s="1023"/>
      <c r="AN374" s="1023"/>
      <c r="AO374" s="1023"/>
      <c r="AP374" s="1023"/>
      <c r="AQ374" s="1023"/>
      <c r="AR374" s="1023"/>
      <c r="AS374" s="1023"/>
      <c r="AT374" s="1023"/>
      <c r="AU374" s="1023"/>
      <c r="AV374" s="1023"/>
      <c r="AW374" s="1023"/>
    </row>
    <row r="375" spans="1:49">
      <c r="A375" s="1023"/>
      <c r="B375" s="1040"/>
      <c r="C375" s="1040"/>
      <c r="D375" s="1040"/>
      <c r="E375" s="1023"/>
      <c r="F375" s="1040"/>
      <c r="G375" s="1023"/>
      <c r="L375" s="1040"/>
      <c r="M375" s="1040"/>
      <c r="N375" s="1023"/>
      <c r="O375" s="1023"/>
      <c r="P375" s="1023"/>
      <c r="Q375" s="1023"/>
      <c r="R375" s="1023"/>
      <c r="S375" s="1023"/>
      <c r="T375" s="1023"/>
      <c r="U375" s="1023"/>
      <c r="V375" s="1023"/>
      <c r="W375" s="1023"/>
      <c r="X375" s="1023"/>
      <c r="Y375" s="1023"/>
      <c r="Z375" s="1023"/>
      <c r="AA375" s="1023"/>
      <c r="AB375" s="1023"/>
      <c r="AC375" s="1023"/>
      <c r="AD375" s="1023"/>
      <c r="AE375" s="1023"/>
      <c r="AF375" s="1023"/>
      <c r="AG375" s="1023"/>
      <c r="AH375" s="1023"/>
      <c r="AI375" s="1023"/>
      <c r="AJ375" s="1023"/>
      <c r="AK375" s="1023"/>
      <c r="AL375" s="1023"/>
      <c r="AM375" s="1023"/>
      <c r="AN375" s="1023"/>
      <c r="AO375" s="1023"/>
      <c r="AP375" s="1023"/>
      <c r="AQ375" s="1023"/>
      <c r="AR375" s="1023"/>
      <c r="AS375" s="1023"/>
      <c r="AT375" s="1023"/>
      <c r="AU375" s="1023"/>
      <c r="AV375" s="1023"/>
      <c r="AW375" s="1023"/>
    </row>
    <row r="376" spans="1:49">
      <c r="A376" s="1023"/>
      <c r="B376" s="1040"/>
      <c r="C376" s="1040"/>
      <c r="D376" s="1040"/>
      <c r="E376" s="1023"/>
      <c r="F376" s="1040"/>
      <c r="G376" s="1023"/>
      <c r="L376" s="1040"/>
      <c r="M376" s="1040"/>
      <c r="N376" s="1023"/>
      <c r="O376" s="1023"/>
      <c r="P376" s="1023"/>
      <c r="Q376" s="1023"/>
      <c r="R376" s="1023"/>
      <c r="S376" s="1023"/>
      <c r="T376" s="1023"/>
      <c r="U376" s="1023"/>
      <c r="V376" s="1023"/>
      <c r="W376" s="1023"/>
      <c r="X376" s="1023"/>
      <c r="Y376" s="1023"/>
      <c r="Z376" s="1023"/>
      <c r="AA376" s="1023"/>
      <c r="AB376" s="1023"/>
      <c r="AC376" s="1023"/>
      <c r="AD376" s="1023"/>
      <c r="AE376" s="1023"/>
      <c r="AF376" s="1023"/>
      <c r="AG376" s="1023"/>
      <c r="AH376" s="1023"/>
      <c r="AI376" s="1023"/>
      <c r="AJ376" s="1023"/>
      <c r="AK376" s="1023"/>
      <c r="AL376" s="1023"/>
      <c r="AM376" s="1023"/>
      <c r="AN376" s="1023"/>
      <c r="AO376" s="1023"/>
      <c r="AP376" s="1023"/>
      <c r="AQ376" s="1023"/>
      <c r="AR376" s="1023"/>
      <c r="AS376" s="1023"/>
      <c r="AT376" s="1023"/>
      <c r="AU376" s="1023"/>
      <c r="AV376" s="1023"/>
      <c r="AW376" s="1023"/>
    </row>
    <row r="377" spans="1:49">
      <c r="A377" s="1023"/>
      <c r="B377" s="1040"/>
      <c r="C377" s="1040"/>
      <c r="D377" s="1040"/>
      <c r="E377" s="1023"/>
      <c r="F377" s="1040"/>
      <c r="G377" s="1023"/>
      <c r="L377" s="1040"/>
      <c r="M377" s="1040"/>
      <c r="N377" s="1023"/>
      <c r="O377" s="1023"/>
      <c r="P377" s="1023"/>
      <c r="Q377" s="1023"/>
      <c r="R377" s="1023"/>
      <c r="S377" s="1023"/>
      <c r="T377" s="1023"/>
      <c r="U377" s="1023"/>
      <c r="V377" s="1023"/>
      <c r="W377" s="1023"/>
      <c r="X377" s="1023"/>
      <c r="Y377" s="1023"/>
      <c r="Z377" s="1023"/>
      <c r="AA377" s="1023"/>
      <c r="AB377" s="1023"/>
      <c r="AC377" s="1023"/>
      <c r="AD377" s="1023"/>
      <c r="AE377" s="1023"/>
      <c r="AF377" s="1023"/>
      <c r="AG377" s="1023"/>
      <c r="AH377" s="1023"/>
      <c r="AI377" s="1023"/>
      <c r="AJ377" s="1023"/>
      <c r="AK377" s="1023"/>
      <c r="AL377" s="1023"/>
      <c r="AM377" s="1023"/>
      <c r="AN377" s="1023"/>
      <c r="AO377" s="1023"/>
      <c r="AP377" s="1023"/>
      <c r="AQ377" s="1023"/>
      <c r="AR377" s="1023"/>
      <c r="AS377" s="1023"/>
      <c r="AT377" s="1023"/>
      <c r="AU377" s="1023"/>
      <c r="AV377" s="1023"/>
      <c r="AW377" s="1023"/>
    </row>
    <row r="378" spans="1:49">
      <c r="A378" s="1023"/>
      <c r="B378" s="1040"/>
      <c r="C378" s="1040"/>
      <c r="D378" s="1040"/>
      <c r="E378" s="1023"/>
      <c r="F378" s="1040"/>
      <c r="G378" s="1023"/>
      <c r="L378" s="1040"/>
      <c r="M378" s="1040"/>
      <c r="N378" s="1023"/>
      <c r="O378" s="1023"/>
      <c r="P378" s="1023"/>
      <c r="Q378" s="1023"/>
      <c r="R378" s="1023"/>
      <c r="S378" s="1023"/>
      <c r="T378" s="1023"/>
      <c r="U378" s="1023"/>
      <c r="V378" s="1023"/>
      <c r="W378" s="1023"/>
      <c r="X378" s="1023"/>
      <c r="Y378" s="1023"/>
      <c r="Z378" s="1023"/>
      <c r="AA378" s="1023"/>
      <c r="AB378" s="1023"/>
      <c r="AC378" s="1023"/>
      <c r="AD378" s="1023"/>
      <c r="AE378" s="1023"/>
      <c r="AF378" s="1023"/>
      <c r="AG378" s="1023"/>
      <c r="AH378" s="1023"/>
      <c r="AI378" s="1023"/>
      <c r="AJ378" s="1023"/>
      <c r="AK378" s="1023"/>
      <c r="AL378" s="1023"/>
      <c r="AM378" s="1023"/>
      <c r="AN378" s="1023"/>
      <c r="AO378" s="1023"/>
      <c r="AP378" s="1023"/>
      <c r="AQ378" s="1023"/>
      <c r="AR378" s="1023"/>
      <c r="AS378" s="1023"/>
      <c r="AT378" s="1023"/>
      <c r="AU378" s="1023"/>
      <c r="AV378" s="1023"/>
      <c r="AW378" s="1023"/>
    </row>
    <row r="379" spans="1:49">
      <c r="A379" s="1023"/>
      <c r="B379" s="1040"/>
      <c r="C379" s="1040"/>
      <c r="D379" s="1040"/>
      <c r="E379" s="1023"/>
      <c r="F379" s="1040"/>
      <c r="G379" s="1023"/>
      <c r="L379" s="1040"/>
      <c r="M379" s="1040"/>
      <c r="N379" s="1023"/>
      <c r="O379" s="1023"/>
      <c r="P379" s="1023"/>
      <c r="Q379" s="1023"/>
      <c r="R379" s="1023"/>
      <c r="S379" s="1023"/>
      <c r="T379" s="1023"/>
      <c r="U379" s="1023"/>
      <c r="V379" s="1023"/>
      <c r="W379" s="1023"/>
      <c r="X379" s="1023"/>
      <c r="Y379" s="1023"/>
      <c r="Z379" s="1023"/>
      <c r="AA379" s="1023"/>
      <c r="AB379" s="1023"/>
      <c r="AC379" s="1023"/>
      <c r="AD379" s="1023"/>
      <c r="AE379" s="1023"/>
      <c r="AF379" s="1023"/>
      <c r="AG379" s="1023"/>
      <c r="AH379" s="1023"/>
      <c r="AI379" s="1023"/>
      <c r="AJ379" s="1023"/>
      <c r="AK379" s="1023"/>
      <c r="AL379" s="1023"/>
      <c r="AM379" s="1023"/>
      <c r="AN379" s="1023"/>
      <c r="AO379" s="1023"/>
      <c r="AP379" s="1023"/>
      <c r="AQ379" s="1023"/>
      <c r="AR379" s="1023"/>
      <c r="AS379" s="1023"/>
      <c r="AT379" s="1023"/>
      <c r="AU379" s="1023"/>
      <c r="AV379" s="1023"/>
      <c r="AW379" s="1023"/>
    </row>
    <row r="380" spans="1:49">
      <c r="A380" s="1023"/>
      <c r="B380" s="1040"/>
      <c r="C380" s="1040"/>
      <c r="D380" s="1040"/>
      <c r="E380" s="1023"/>
      <c r="F380" s="1040"/>
      <c r="G380" s="1023"/>
      <c r="L380" s="1040"/>
      <c r="M380" s="1040"/>
      <c r="N380" s="1023"/>
      <c r="O380" s="1023"/>
      <c r="P380" s="1023"/>
      <c r="Q380" s="1023"/>
      <c r="R380" s="1023"/>
      <c r="S380" s="1023"/>
      <c r="T380" s="1023"/>
      <c r="U380" s="1023"/>
      <c r="V380" s="1023"/>
      <c r="W380" s="1023"/>
      <c r="X380" s="1023"/>
      <c r="Y380" s="1023"/>
      <c r="Z380" s="1023"/>
      <c r="AA380" s="1023"/>
      <c r="AB380" s="1023"/>
      <c r="AC380" s="1023"/>
      <c r="AD380" s="1023"/>
      <c r="AE380" s="1023"/>
      <c r="AF380" s="1023"/>
      <c r="AG380" s="1023"/>
      <c r="AH380" s="1023"/>
      <c r="AI380" s="1023"/>
      <c r="AJ380" s="1023"/>
      <c r="AK380" s="1023"/>
      <c r="AL380" s="1023"/>
      <c r="AM380" s="1023"/>
      <c r="AN380" s="1023"/>
      <c r="AO380" s="1023"/>
      <c r="AP380" s="1023"/>
      <c r="AQ380" s="1023"/>
      <c r="AR380" s="1023"/>
      <c r="AS380" s="1023"/>
      <c r="AT380" s="1023"/>
      <c r="AU380" s="1023"/>
      <c r="AV380" s="1023"/>
      <c r="AW380" s="1023"/>
    </row>
    <row r="381" spans="1:49">
      <c r="A381" s="1023"/>
      <c r="B381" s="1040"/>
      <c r="C381" s="1040"/>
      <c r="D381" s="1040"/>
      <c r="E381" s="1023"/>
      <c r="F381" s="1040"/>
      <c r="G381" s="1023"/>
      <c r="L381" s="1040"/>
      <c r="M381" s="1040"/>
      <c r="N381" s="1023"/>
      <c r="O381" s="1023"/>
      <c r="P381" s="1023"/>
      <c r="Q381" s="1023"/>
      <c r="R381" s="1023"/>
      <c r="S381" s="1023"/>
      <c r="T381" s="1023"/>
      <c r="U381" s="1023"/>
      <c r="V381" s="1023"/>
      <c r="W381" s="1023"/>
      <c r="X381" s="1023"/>
      <c r="Y381" s="1023"/>
      <c r="Z381" s="1023"/>
      <c r="AA381" s="1023"/>
      <c r="AB381" s="1023"/>
      <c r="AC381" s="1023"/>
      <c r="AD381" s="1023"/>
      <c r="AE381" s="1023"/>
      <c r="AF381" s="1023"/>
      <c r="AG381" s="1023"/>
      <c r="AH381" s="1023"/>
      <c r="AI381" s="1023"/>
      <c r="AJ381" s="1023"/>
      <c r="AK381" s="1023"/>
      <c r="AL381" s="1023"/>
      <c r="AM381" s="1023"/>
      <c r="AN381" s="1023"/>
      <c r="AO381" s="1023"/>
      <c r="AP381" s="1023"/>
      <c r="AQ381" s="1023"/>
      <c r="AR381" s="1023"/>
      <c r="AS381" s="1023"/>
      <c r="AT381" s="1023"/>
      <c r="AU381" s="1023"/>
      <c r="AV381" s="1023"/>
      <c r="AW381" s="1023"/>
    </row>
    <row r="382" spans="1:49">
      <c r="A382" s="1023"/>
      <c r="B382" s="1040"/>
      <c r="C382" s="1040"/>
      <c r="D382" s="1040"/>
      <c r="E382" s="1023"/>
      <c r="F382" s="1040"/>
      <c r="G382" s="1023"/>
      <c r="L382" s="1040"/>
      <c r="M382" s="1040"/>
      <c r="N382" s="1023"/>
      <c r="O382" s="1023"/>
      <c r="P382" s="1023"/>
      <c r="Q382" s="1023"/>
      <c r="R382" s="1023"/>
      <c r="S382" s="1023"/>
      <c r="T382" s="1023"/>
      <c r="U382" s="1023"/>
      <c r="V382" s="1023"/>
      <c r="W382" s="1023"/>
      <c r="X382" s="1023"/>
      <c r="Y382" s="1023"/>
      <c r="Z382" s="1023"/>
      <c r="AA382" s="1023"/>
      <c r="AB382" s="1023"/>
      <c r="AC382" s="1023"/>
      <c r="AD382" s="1023"/>
      <c r="AE382" s="1023"/>
      <c r="AF382" s="1023"/>
      <c r="AG382" s="1023"/>
      <c r="AH382" s="1023"/>
      <c r="AI382" s="1023"/>
      <c r="AJ382" s="1023"/>
      <c r="AK382" s="1023"/>
      <c r="AL382" s="1023"/>
      <c r="AM382" s="1023"/>
      <c r="AN382" s="1023"/>
      <c r="AO382" s="1023"/>
      <c r="AP382" s="1023"/>
      <c r="AQ382" s="1023"/>
      <c r="AR382" s="1023"/>
      <c r="AS382" s="1023"/>
      <c r="AT382" s="1023"/>
      <c r="AU382" s="1023"/>
      <c r="AV382" s="1023"/>
      <c r="AW382" s="1023"/>
    </row>
    <row r="383" spans="1:49">
      <c r="A383" s="1023"/>
      <c r="B383" s="1040"/>
      <c r="C383" s="1040"/>
      <c r="D383" s="1040"/>
      <c r="E383" s="1023"/>
      <c r="F383" s="1040"/>
      <c r="G383" s="1023"/>
      <c r="L383" s="1040"/>
      <c r="M383" s="1040"/>
      <c r="N383" s="1023"/>
      <c r="O383" s="1023"/>
      <c r="P383" s="1023"/>
      <c r="Q383" s="1023"/>
      <c r="R383" s="1023"/>
      <c r="S383" s="1023"/>
      <c r="T383" s="1023"/>
      <c r="U383" s="1023"/>
      <c r="V383" s="1023"/>
      <c r="W383" s="1023"/>
      <c r="X383" s="1023"/>
      <c r="Y383" s="1023"/>
      <c r="Z383" s="1023"/>
      <c r="AA383" s="1023"/>
      <c r="AB383" s="1023"/>
      <c r="AC383" s="1023"/>
      <c r="AD383" s="1023"/>
      <c r="AE383" s="1023"/>
      <c r="AF383" s="1023"/>
      <c r="AG383" s="1023"/>
      <c r="AH383" s="1023"/>
      <c r="AI383" s="1023"/>
      <c r="AJ383" s="1023"/>
      <c r="AK383" s="1023"/>
      <c r="AL383" s="1023"/>
      <c r="AM383" s="1023"/>
      <c r="AN383" s="1023"/>
      <c r="AO383" s="1023"/>
      <c r="AP383" s="1023"/>
      <c r="AQ383" s="1023"/>
      <c r="AR383" s="1023"/>
      <c r="AS383" s="1023"/>
      <c r="AT383" s="1023"/>
      <c r="AU383" s="1023"/>
      <c r="AV383" s="1023"/>
      <c r="AW383" s="1023"/>
    </row>
  </sheetData>
  <mergeCells count="101">
    <mergeCell ref="H97:K97"/>
    <mergeCell ref="H98:K98"/>
    <mergeCell ref="H99:K99"/>
    <mergeCell ref="H91:K91"/>
    <mergeCell ref="H92:K92"/>
    <mergeCell ref="H93:K93"/>
    <mergeCell ref="H94:K94"/>
    <mergeCell ref="H95:K95"/>
    <mergeCell ref="H96:K96"/>
    <mergeCell ref="H85:K85"/>
    <mergeCell ref="H86:K86"/>
    <mergeCell ref="H87:K87"/>
    <mergeCell ref="H88:K88"/>
    <mergeCell ref="H89:K89"/>
    <mergeCell ref="H90:K90"/>
    <mergeCell ref="H79:K79"/>
    <mergeCell ref="H80:K80"/>
    <mergeCell ref="H81:K81"/>
    <mergeCell ref="H82:K82"/>
    <mergeCell ref="H83:K83"/>
    <mergeCell ref="H84:K84"/>
    <mergeCell ref="H73:K73"/>
    <mergeCell ref="H74:K74"/>
    <mergeCell ref="H75:K75"/>
    <mergeCell ref="H76:K76"/>
    <mergeCell ref="H77:K77"/>
    <mergeCell ref="H78:K78"/>
    <mergeCell ref="H67:K67"/>
    <mergeCell ref="H68:K68"/>
    <mergeCell ref="H69:K69"/>
    <mergeCell ref="H70:K70"/>
    <mergeCell ref="H71:K71"/>
    <mergeCell ref="H72:K72"/>
    <mergeCell ref="H61:K61"/>
    <mergeCell ref="H62:K62"/>
    <mergeCell ref="H63:K63"/>
    <mergeCell ref="H64:K64"/>
    <mergeCell ref="H65:K65"/>
    <mergeCell ref="H66:K66"/>
    <mergeCell ref="H55:K55"/>
    <mergeCell ref="H56:K56"/>
    <mergeCell ref="H57:K57"/>
    <mergeCell ref="H58:K58"/>
    <mergeCell ref="H59:K59"/>
    <mergeCell ref="H60:K60"/>
    <mergeCell ref="H49:K49"/>
    <mergeCell ref="H50:K50"/>
    <mergeCell ref="H51:K51"/>
    <mergeCell ref="H52:K52"/>
    <mergeCell ref="H53:K53"/>
    <mergeCell ref="H54:K54"/>
    <mergeCell ref="H43:K43"/>
    <mergeCell ref="H44:K44"/>
    <mergeCell ref="H45:K45"/>
    <mergeCell ref="H46:K46"/>
    <mergeCell ref="H47:K47"/>
    <mergeCell ref="H48:K48"/>
    <mergeCell ref="H37:K37"/>
    <mergeCell ref="H38:K38"/>
    <mergeCell ref="H39:K39"/>
    <mergeCell ref="H40:K40"/>
    <mergeCell ref="H41:K41"/>
    <mergeCell ref="H42:K42"/>
    <mergeCell ref="H31:K31"/>
    <mergeCell ref="H32:K32"/>
    <mergeCell ref="H33:K33"/>
    <mergeCell ref="H34:K34"/>
    <mergeCell ref="H35:K35"/>
    <mergeCell ref="H36:K36"/>
    <mergeCell ref="H25:K25"/>
    <mergeCell ref="H26:K26"/>
    <mergeCell ref="H27:K27"/>
    <mergeCell ref="H28:K28"/>
    <mergeCell ref="H29:K29"/>
    <mergeCell ref="H30:K30"/>
    <mergeCell ref="H19:K19"/>
    <mergeCell ref="H20:K20"/>
    <mergeCell ref="H21:K21"/>
    <mergeCell ref="H22:K22"/>
    <mergeCell ref="H23:K23"/>
    <mergeCell ref="H24:K24"/>
    <mergeCell ref="H14:K14"/>
    <mergeCell ref="H15:K15"/>
    <mergeCell ref="H16:K16"/>
    <mergeCell ref="H17:K17"/>
    <mergeCell ref="H18:K18"/>
    <mergeCell ref="H7:K7"/>
    <mergeCell ref="H8:K8"/>
    <mergeCell ref="H9:K9"/>
    <mergeCell ref="H10:K10"/>
    <mergeCell ref="H11:K11"/>
    <mergeCell ref="H12:K12"/>
    <mergeCell ref="H1:K1"/>
    <mergeCell ref="O1:Q1"/>
    <mergeCell ref="H2:K2"/>
    <mergeCell ref="O2:Q2"/>
    <mergeCell ref="H3:K3"/>
    <mergeCell ref="H4:K4"/>
    <mergeCell ref="H5:K5"/>
    <mergeCell ref="H6:K6"/>
    <mergeCell ref="H13:K13"/>
  </mergeCells>
  <phoneticPr fontId="216" type="noConversion"/>
  <conditionalFormatting sqref="B85:C86">
    <cfRule type="duplicateValues" dxfId="134" priority="17007" stopIfTrue="1"/>
    <cfRule type="duplicateValues" dxfId="133" priority="17008" stopIfTrue="1"/>
    <cfRule type="duplicateValues" dxfId="132" priority="17009" stopIfTrue="1"/>
    <cfRule type="expression" dxfId="131" priority="17010" stopIfTrue="1">
      <formula>AND(COUNTIF($E$3:$E$65385, B85)+COUNTIF(#REF!, B85)+COUNTIF(#REF!, B85)+COUNTIF(#REF!, B85)+COUNTIF(#REF!, B85)+COUNTIF(#REF!, B85)+COUNTIF(#REF!, B85)+COUNTIF(#REF!, B85)+COUNTIF(#REF!, B85)+COUNTIF($E$1:$E$2, B85)+COUNTIF(#REF!, B85)+COUNTIF(#REF!, B85)+COUNTIF(#REF!, B85)+COUNTIF(#REF!, B85)&gt;1,NOT(ISBLANK(B85)))</formula>
    </cfRule>
    <cfRule type="expression" dxfId="130" priority="17011" stopIfTrue="1">
      <formula>AND(COUNTIF($E$3:$E$65385, B85)+COUNTIF(#REF!, B85)+COUNTIF(#REF!, B85)+COUNTIF(#REF!, B85)+COUNTIF(#REF!, B85)+COUNTIF(#REF!, B85)+COUNTIF(#REF!, B85)+COUNTIF(#REF!, B85)+COUNTIF($E$1:$E$2, B85)+COUNTIF(#REF!, B85)+COUNTIF(#REF!, B85)+COUNTIF(#REF!, B85)+COUNTIF(#REF!, B85)&gt;1,NOT(ISBLANK(B85)))</formula>
    </cfRule>
    <cfRule type="expression" dxfId="129" priority="17012" stopIfTrue="1">
      <formula>AND(COUNTIF($E$3:$E$65385, B85)+COUNTIF($E$1:$E$2, B85)+COUNTIF(#REF!, B85)+COUNTIF(#REF!, B85)+COUNTIF(#REF!, B85)+COUNTIF(#REF!, B85)+COUNTIF(#REF!, B85)&gt;1,NOT(ISBLANK(B85)))</formula>
    </cfRule>
    <cfRule type="duplicateValues" dxfId="128" priority="17013" stopIfTrue="1"/>
    <cfRule type="duplicateValues" dxfId="127" priority="17014" stopIfTrue="1"/>
    <cfRule type="duplicateValues" dxfId="126" priority="17015" stopIfTrue="1"/>
    <cfRule type="expression" dxfId="125" priority="17016" stopIfTrue="1">
      <formula>AND(COUNTIF(#REF!, B85)+COUNTIF(#REF!, B85)&gt;1,NOT(ISBLANK(B85)))</formula>
    </cfRule>
    <cfRule type="expression" dxfId="124" priority="17017" stopIfTrue="1">
      <formula>AND(COUNTIF($E$3:$E$65388, B85)+COUNTIF(#REF!, B85)+COUNTIF(#REF!, B85)+COUNTIF(#REF!, B85)+COUNTIF(#REF!, B85)+COUNTIF(#REF!, B85)+COUNTIF(#REF!, B85)+COUNTIF(#REF!, B85)+COUNTIF(#REF!, B85)+COUNTIF($E$1:$E$2, B85)+COUNTIF(#REF!, B85)+COUNTIF(#REF!, B85)+COUNTIF(#REF!, B85)+COUNTIF(#REF!, B85)&gt;1,NOT(ISBLANK(B85)))</formula>
    </cfRule>
    <cfRule type="expression" dxfId="123" priority="17018" stopIfTrue="1">
      <formula>AND(COUNTIF($E$3:$E$65388, B85)+COUNTIF(#REF!, B85)+COUNTIF(#REF!, B85)+COUNTIF(#REF!, B85)+COUNTIF(#REF!, B85)+COUNTIF(#REF!, B85)+COUNTIF(#REF!, B85)+COUNTIF(#REF!, B85)+COUNTIF($E$1:$E$2, B85)+COUNTIF(#REF!, B85)+COUNTIF(#REF!, B85)+COUNTIF(#REF!, B85)+COUNTIF(#REF!, B85)&gt;1,NOT(ISBLANK(B85)))</formula>
    </cfRule>
    <cfRule type="expression" dxfId="122" priority="17019" stopIfTrue="1">
      <formula>AND(COUNTIF($E$3:$E$65388, B85)+COUNTIF($E$1:$E$2, B85)+COUNTIF(#REF!, B85)+COUNTIF(#REF!, B85)+COUNTIF(#REF!, B85)+COUNTIF(#REF!, B85)+COUNTIF(#REF!, B85)&gt;1,NOT(ISBLANK(B85)))</formula>
    </cfRule>
  </conditionalFormatting>
  <conditionalFormatting sqref="B91:C91">
    <cfRule type="duplicateValues" dxfId="121" priority="17020" stopIfTrue="1"/>
    <cfRule type="duplicateValues" dxfId="120" priority="17021" stopIfTrue="1"/>
    <cfRule type="duplicateValues" dxfId="119" priority="17022" stopIfTrue="1"/>
    <cfRule type="duplicateValues" dxfId="118" priority="17023" stopIfTrue="1"/>
    <cfRule type="duplicateValues" dxfId="117" priority="17024" stopIfTrue="1"/>
    <cfRule type="duplicateValues" dxfId="116" priority="17025" stopIfTrue="1"/>
    <cfRule type="expression" dxfId="115" priority="17026" stopIfTrue="1">
      <formula>AND(COUNTIF($E$3:$E$65488, B91)+COUNTIF(#REF!, B91)+COUNTIF(#REF!, B91)+COUNTIF(#REF!, B91)+COUNTIF(#REF!, B91)+COUNTIF(#REF!, B91)+COUNTIF(#REF!, B91)+COUNTIF(#REF!, B91)+COUNTIF(#REF!, B91)+COUNTIF($E$1:$E$2, B91)+COUNTIF(#REF!, B91)+COUNTIF(#REF!, B91)+COUNTIF(#REF!, B91)+COUNTIF(#REF!, B91)&gt;1,NOT(ISBLANK(B91)))</formula>
    </cfRule>
    <cfRule type="expression" dxfId="114" priority="17027" stopIfTrue="1">
      <formula>AND(COUNTIF($E$3:$E$65488, B91)+COUNTIF(#REF!, B91)+COUNTIF(#REF!, B91)+COUNTIF(#REF!, B91)+COUNTIF(#REF!, B91)+COUNTIF(#REF!, B91)+COUNTIF(#REF!, B91)+COUNTIF(#REF!, B91)+COUNTIF($E$1:$E$2, B91)+COUNTIF(#REF!, B91)+COUNTIF(#REF!, B91)+COUNTIF(#REF!, B91)+COUNTIF(#REF!, B91)&gt;1,NOT(ISBLANK(B91)))</formula>
    </cfRule>
    <cfRule type="expression" dxfId="113" priority="17028" stopIfTrue="1">
      <formula>AND(COUNTIF($E$3:$E$65488, B91)+COUNTIF($E$1:$E$2, B91)+COUNTIF(#REF!, B91)+COUNTIF(#REF!, B91)+COUNTIF(#REF!, B91)+COUNTIF(#REF!, B91)+COUNTIF(#REF!, B91)&gt;1,NOT(ISBLANK(B91)))</formula>
    </cfRule>
    <cfRule type="expression" dxfId="112" priority="17029" stopIfTrue="1">
      <formula>AND(COUNTIF(#REF!, B91)+COUNTIF(#REF!, B91)&gt;1,NOT(ISBLANK(B91)))</formula>
    </cfRule>
    <cfRule type="expression" dxfId="111" priority="17030" stopIfTrue="1">
      <formula>AND(COUNTIF($E$3:$E$65491, B91)+COUNTIF(#REF!, B91)+COUNTIF(#REF!, B91)+COUNTIF(#REF!, B91)+COUNTIF(#REF!, B91)+COUNTIF(#REF!, B91)+COUNTIF(#REF!, B91)+COUNTIF(#REF!, B91)+COUNTIF(#REF!, B91)+COUNTIF($E$1:$E$2, B91)+COUNTIF(#REF!, B91)+COUNTIF(#REF!, B91)+COUNTIF(#REF!, B91)+COUNTIF(#REF!, B91)&gt;1,NOT(ISBLANK(B91)))</formula>
    </cfRule>
    <cfRule type="expression" dxfId="110" priority="17031" stopIfTrue="1">
      <formula>AND(COUNTIF($E$3:$E$65491, B91)+COUNTIF(#REF!, B91)+COUNTIF(#REF!, B91)+COUNTIF(#REF!, B91)+COUNTIF(#REF!, B91)+COUNTIF(#REF!, B91)+COUNTIF(#REF!, B91)+COUNTIF(#REF!, B91)+COUNTIF($E$1:$E$2, B91)+COUNTIF(#REF!, B91)+COUNTIF(#REF!, B91)+COUNTIF(#REF!, B91)+COUNTIF(#REF!, B91)&gt;1,NOT(ISBLANK(B91)))</formula>
    </cfRule>
    <cfRule type="expression" dxfId="109" priority="17032" stopIfTrue="1">
      <formula>AND(COUNTIF($E$3:$E$65491, B91)+COUNTIF($E$1:$E$2, B91)+COUNTIF(#REF!, B91)+COUNTIF(#REF!, B91)+COUNTIF(#REF!, B91)+COUNTIF(#REF!, B91)+COUNTIF(#REF!, B91)&gt;1,NOT(ISBLANK(B91)))</formula>
    </cfRule>
  </conditionalFormatting>
  <conditionalFormatting sqref="B2:C2">
    <cfRule type="duplicateValues" dxfId="108" priority="17562"/>
  </conditionalFormatting>
  <conditionalFormatting sqref="B2:C2">
    <cfRule type="duplicateValues" dxfId="107" priority="17563"/>
  </conditionalFormatting>
  <conditionalFormatting sqref="B2:C2">
    <cfRule type="duplicateValues" dxfId="106" priority="17564"/>
  </conditionalFormatting>
  <conditionalFormatting sqref="B2:C1048576">
    <cfRule type="duplicateValues" dxfId="105" priority="17565"/>
  </conditionalFormatting>
  <pageMargins left="0.7" right="0.7" top="0.75" bottom="0.75" header="0.3" footer="0.3"/>
  <pageSetup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9"/>
  <sheetViews>
    <sheetView view="pageBreakPreview" zoomScaleNormal="115" zoomScaleSheetLayoutView="100" workbookViewId="0">
      <selection activeCell="J18" sqref="J18"/>
    </sheetView>
  </sheetViews>
  <sheetFormatPr defaultColWidth="9" defaultRowHeight="14.4"/>
  <cols>
    <col min="1" max="1" width="9.21875" style="188" customWidth="1"/>
    <col min="2" max="2" width="10.109375" style="188" customWidth="1"/>
    <col min="3" max="3" width="9" style="188"/>
    <col min="4" max="4" width="10.5546875" style="188" bestFit="1" customWidth="1"/>
    <col min="5" max="5" width="9.88671875" style="188" customWidth="1"/>
    <col min="6" max="6" width="10.33203125" style="188" customWidth="1"/>
    <col min="7" max="7" width="14.6640625" style="188" customWidth="1"/>
    <col min="8" max="8" width="9" style="545"/>
  </cols>
  <sheetData>
    <row r="1" spans="1:8" ht="15.6">
      <c r="A1" s="1335" t="s">
        <v>48</v>
      </c>
      <c r="B1" s="1336"/>
      <c r="C1" s="1336"/>
      <c r="D1" s="1336"/>
      <c r="E1" s="1336"/>
      <c r="F1" s="1336"/>
      <c r="G1" s="1337"/>
      <c r="H1" s="1190"/>
    </row>
    <row r="2" spans="1:8" ht="15.6" customHeight="1">
      <c r="A2" s="1338" t="s">
        <v>49</v>
      </c>
      <c r="B2" s="1339"/>
      <c r="C2" s="1339"/>
      <c r="D2" s="1339"/>
      <c r="E2" s="1339"/>
      <c r="F2" s="1339"/>
      <c r="G2" s="1340"/>
      <c r="H2" s="1191"/>
    </row>
    <row r="3" spans="1:8" ht="15.6" customHeight="1">
      <c r="A3" s="1338" t="s">
        <v>50</v>
      </c>
      <c r="B3" s="1339"/>
      <c r="C3" s="1339"/>
      <c r="D3" s="1339"/>
      <c r="E3" s="1339"/>
      <c r="F3" s="1339"/>
      <c r="G3" s="1340"/>
      <c r="H3" s="1191"/>
    </row>
    <row r="4" spans="1:8">
      <c r="A4" s="1192"/>
      <c r="B4" s="314"/>
      <c r="C4" s="314"/>
      <c r="D4" s="314"/>
      <c r="E4" s="314"/>
      <c r="F4" s="314"/>
      <c r="G4" s="1193"/>
    </row>
    <row r="5" spans="1:8" ht="14.4" customHeight="1">
      <c r="A5" s="1352" t="s">
        <v>167</v>
      </c>
      <c r="B5" s="1291" t="s">
        <v>168</v>
      </c>
      <c r="C5" s="1291" t="s">
        <v>1849</v>
      </c>
      <c r="D5" s="1291" t="s">
        <v>169</v>
      </c>
      <c r="E5" s="1291" t="s">
        <v>185</v>
      </c>
      <c r="F5" s="1354" t="s">
        <v>172</v>
      </c>
      <c r="G5" s="1350" t="s">
        <v>20</v>
      </c>
    </row>
    <row r="6" spans="1:8" ht="27.6" customHeight="1">
      <c r="A6" s="1353"/>
      <c r="B6" s="1292"/>
      <c r="C6" s="1292"/>
      <c r="D6" s="1292"/>
      <c r="E6" s="1292"/>
      <c r="F6" s="1355"/>
      <c r="G6" s="1351"/>
    </row>
    <row r="7" spans="1:8">
      <c r="A7" s="314">
        <v>1</v>
      </c>
      <c r="B7" s="1188" t="s">
        <v>1820</v>
      </c>
      <c r="C7" s="320" t="s">
        <v>1609</v>
      </c>
      <c r="D7" s="1196" t="s">
        <v>1827</v>
      </c>
      <c r="E7" s="1183" t="s">
        <v>256</v>
      </c>
      <c r="F7" s="1199">
        <v>46073</v>
      </c>
      <c r="G7" s="314"/>
    </row>
    <row r="8" spans="1:8">
      <c r="A8" s="314">
        <v>2</v>
      </c>
      <c r="B8" s="1188" t="s">
        <v>1821</v>
      </c>
      <c r="C8" s="320" t="s">
        <v>1609</v>
      </c>
      <c r="D8" s="1196" t="s">
        <v>1827</v>
      </c>
      <c r="E8" s="1183" t="s">
        <v>256</v>
      </c>
      <c r="F8" s="1199">
        <v>46073</v>
      </c>
      <c r="G8" s="314"/>
    </row>
    <row r="9" spans="1:8">
      <c r="A9" s="314">
        <v>3</v>
      </c>
      <c r="B9" s="1188" t="s">
        <v>1163</v>
      </c>
      <c r="C9" s="320" t="s">
        <v>1608</v>
      </c>
      <c r="D9" s="1196" t="s">
        <v>147</v>
      </c>
      <c r="E9" s="320" t="s">
        <v>256</v>
      </c>
      <c r="F9" s="1199">
        <v>46073</v>
      </c>
      <c r="G9" s="314"/>
    </row>
  </sheetData>
  <mergeCells count="10">
    <mergeCell ref="G5:G6"/>
    <mergeCell ref="C5:C6"/>
    <mergeCell ref="A1:G1"/>
    <mergeCell ref="A2:G2"/>
    <mergeCell ref="A3:G3"/>
    <mergeCell ref="A5:A6"/>
    <mergeCell ref="B5:B6"/>
    <mergeCell ref="D5:D6"/>
    <mergeCell ref="E5:E6"/>
    <mergeCell ref="F5:F6"/>
  </mergeCells>
  <phoneticPr fontId="143" type="noConversion"/>
  <conditionalFormatting sqref="B5:B6 C10:C1048576 C4">
    <cfRule type="duplicateValues" dxfId="104" priority="11"/>
    <cfRule type="duplicateValues" dxfId="103" priority="12"/>
    <cfRule type="duplicateValues" dxfId="102" priority="14"/>
  </conditionalFormatting>
  <conditionalFormatting sqref="B5:B6">
    <cfRule type="duplicateValues" dxfId="101" priority="335"/>
    <cfRule type="duplicateValues" dxfId="100" priority="349"/>
    <cfRule type="duplicateValues" dxfId="99" priority="351" stopIfTrue="1"/>
  </conditionalFormatting>
  <conditionalFormatting sqref="B5:B6 C10:C1048576 C4">
    <cfRule type="duplicateValues" dxfId="98" priority="17622"/>
  </conditionalFormatting>
  <conditionalFormatting sqref="C10:C1048576">
    <cfRule type="duplicateValues" dxfId="97" priority="17625"/>
  </conditionalFormatting>
  <conditionalFormatting sqref="B5:B6 C10:C1048576 C4">
    <cfRule type="duplicateValues" dxfId="96" priority="17628"/>
    <cfRule type="duplicateValues" dxfId="95" priority="17629"/>
    <cfRule type="duplicateValues" dxfId="94" priority="17630"/>
    <cfRule type="duplicateValues" dxfId="93" priority="17631"/>
  </conditionalFormatting>
  <conditionalFormatting sqref="B5:B6 C10:C1048576 C4">
    <cfRule type="duplicateValues" dxfId="92" priority="17640"/>
    <cfRule type="duplicateValues" dxfId="91" priority="17641"/>
    <cfRule type="duplicateValues" dxfId="90" priority="17642"/>
    <cfRule type="duplicateValues" dxfId="89" priority="17643"/>
    <cfRule type="duplicateValues" dxfId="88" priority="17644"/>
    <cfRule type="duplicateValues" dxfId="87" priority="17645"/>
    <cfRule type="duplicateValues" dxfId="86" priority="17646"/>
    <cfRule type="duplicateValues" dxfId="85" priority="17647"/>
    <cfRule type="duplicateValues" dxfId="84" priority="17648"/>
    <cfRule type="duplicateValues" dxfId="83" priority="17649"/>
    <cfRule type="duplicateValues" dxfId="82" priority="17650"/>
    <cfRule type="duplicateValues" dxfId="81" priority="17651"/>
    <cfRule type="duplicateValues" dxfId="80" priority="17652"/>
    <cfRule type="duplicateValues" dxfId="79" priority="17653"/>
    <cfRule type="duplicateValues" dxfId="78" priority="17654"/>
  </conditionalFormatting>
  <conditionalFormatting sqref="B7:B9">
    <cfRule type="duplicateValues" dxfId="77" priority="17745" stopIfTrue="1"/>
  </conditionalFormatting>
  <conditionalFormatting sqref="B7:B9">
    <cfRule type="duplicateValues" dxfId="76" priority="17747"/>
    <cfRule type="duplicateValues" dxfId="75" priority="17748"/>
    <cfRule type="duplicateValues" dxfId="74" priority="17749"/>
  </conditionalFormatting>
  <conditionalFormatting sqref="B7:B9">
    <cfRule type="duplicateValues" dxfId="73" priority="17753"/>
    <cfRule type="duplicateValues" dxfId="72" priority="17754"/>
  </conditionalFormatting>
  <conditionalFormatting sqref="B7:B9">
    <cfRule type="duplicateValues" dxfId="71" priority="17757"/>
  </conditionalFormatting>
  <conditionalFormatting sqref="B7:B9">
    <cfRule type="duplicateValues" dxfId="70" priority="17759"/>
  </conditionalFormatting>
  <conditionalFormatting sqref="D7:D9">
    <cfRule type="duplicateValues" dxfId="69" priority="17761"/>
  </conditionalFormatting>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Q5"/>
  <sheetViews>
    <sheetView workbookViewId="0">
      <selection activeCell="G13" sqref="G13"/>
    </sheetView>
  </sheetViews>
  <sheetFormatPr defaultRowHeight="14.4"/>
  <cols>
    <col min="1" max="1" width="6.5546875" customWidth="1"/>
    <col min="2" max="2" width="15.109375" customWidth="1"/>
    <col min="3" max="3" width="11.77734375" bestFit="1" customWidth="1"/>
    <col min="4" max="4" width="14.77734375" bestFit="1" customWidth="1"/>
    <col min="5" max="6" width="13.33203125" bestFit="1" customWidth="1"/>
    <col min="7" max="7" width="12.44140625" customWidth="1"/>
    <col min="8" max="8" width="14.109375" style="1078" bestFit="1" customWidth="1"/>
    <col min="9" max="9" width="15.109375" style="1078" bestFit="1" customWidth="1"/>
    <col min="10" max="10" width="13.33203125" bestFit="1" customWidth="1"/>
    <col min="11" max="11" width="14.109375" bestFit="1" customWidth="1"/>
    <col min="12" max="12" width="15.109375" style="1078" bestFit="1" customWidth="1"/>
    <col min="13" max="13" width="12.77734375" bestFit="1" customWidth="1"/>
    <col min="14" max="14" width="9.88671875" bestFit="1" customWidth="1"/>
    <col min="15" max="15" width="31.77734375" bestFit="1" customWidth="1"/>
    <col min="16" max="16" width="10.44140625" bestFit="1" customWidth="1"/>
    <col min="17" max="17" width="19.44140625" bestFit="1" customWidth="1"/>
  </cols>
  <sheetData>
    <row r="1" spans="1:17" ht="16.2" thickBot="1">
      <c r="A1" s="1058"/>
      <c r="B1" s="1059"/>
      <c r="C1" s="1058"/>
      <c r="D1" s="1123" t="s">
        <v>1791</v>
      </c>
      <c r="E1" s="1124"/>
      <c r="F1" s="1058"/>
      <c r="G1" s="1058"/>
      <c r="H1" s="1058"/>
      <c r="I1" s="1058"/>
      <c r="J1" s="1058"/>
      <c r="K1" s="1058"/>
      <c r="L1" s="1058"/>
      <c r="M1" s="1056"/>
    </row>
    <row r="2" spans="1:17" ht="16.2" thickBot="1">
      <c r="A2" s="1059"/>
      <c r="B2" s="1059"/>
      <c r="C2" s="1060"/>
      <c r="D2" s="1059"/>
      <c r="E2" s="1060"/>
      <c r="F2" s="1059"/>
      <c r="G2" s="1060"/>
      <c r="H2" s="1061"/>
      <c r="I2" s="1061"/>
      <c r="J2" s="1060"/>
      <c r="K2" s="1059"/>
      <c r="L2" s="1061"/>
      <c r="M2" s="1060"/>
    </row>
    <row r="3" spans="1:17" ht="29.4" thickBot="1">
      <c r="A3" s="1062" t="s">
        <v>1792</v>
      </c>
      <c r="B3" s="1063" t="s">
        <v>1793</v>
      </c>
      <c r="C3" s="1063" t="s">
        <v>1794</v>
      </c>
      <c r="D3" s="1063" t="s">
        <v>1795</v>
      </c>
      <c r="E3" s="1063" t="s">
        <v>1796</v>
      </c>
      <c r="F3" s="1064" t="s">
        <v>1797</v>
      </c>
      <c r="G3" s="1065" t="s">
        <v>1798</v>
      </c>
      <c r="H3" s="1064" t="s">
        <v>1799</v>
      </c>
      <c r="I3" s="1064" t="s">
        <v>1800</v>
      </c>
      <c r="J3" s="1063" t="s">
        <v>1801</v>
      </c>
      <c r="K3" s="1064" t="s">
        <v>1802</v>
      </c>
      <c r="L3" s="1064" t="s">
        <v>1803</v>
      </c>
      <c r="M3" s="1063" t="s">
        <v>267</v>
      </c>
      <c r="N3" s="1063" t="s">
        <v>1787</v>
      </c>
      <c r="O3" s="1063" t="s">
        <v>1629</v>
      </c>
      <c r="P3" s="1063" t="s">
        <v>1804</v>
      </c>
      <c r="Q3" s="1066" t="s">
        <v>20</v>
      </c>
    </row>
    <row r="4" spans="1:17">
      <c r="A4" s="1067"/>
      <c r="B4" s="1068"/>
      <c r="C4" s="1069"/>
      <c r="D4" s="1070"/>
      <c r="E4" s="1071"/>
      <c r="F4" s="1067"/>
      <c r="G4" s="1072"/>
      <c r="H4" s="1073"/>
      <c r="I4" s="1073"/>
      <c r="J4" s="1071"/>
      <c r="K4" s="1073"/>
      <c r="L4" s="1073"/>
      <c r="M4" s="1071"/>
      <c r="N4" s="1067"/>
      <c r="O4" s="1057"/>
      <c r="P4" s="1067"/>
      <c r="Q4" s="1067"/>
    </row>
    <row r="5" spans="1:17">
      <c r="A5" s="1074"/>
      <c r="B5" s="1074"/>
      <c r="C5" s="1074"/>
      <c r="D5" s="1074" t="s">
        <v>445</v>
      </c>
      <c r="E5" s="1075"/>
      <c r="F5" s="1076"/>
      <c r="G5" s="1122"/>
      <c r="H5" s="1076"/>
      <c r="I5" s="1076"/>
      <c r="J5" s="1076"/>
      <c r="K5" s="1076"/>
      <c r="L5" s="1076"/>
      <c r="M5" s="1076"/>
      <c r="N5" s="1076"/>
      <c r="O5" s="1077"/>
      <c r="P5" s="1076"/>
      <c r="Q5" s="1076"/>
    </row>
  </sheetData>
  <conditionalFormatting sqref="B6:B1048576">
    <cfRule type="duplicateValues" dxfId="68" priority="2"/>
  </conditionalFormatting>
  <conditionalFormatting sqref="B5 B1:B3">
    <cfRule type="duplicateValues" dxfId="67" priority="1"/>
  </conditionalFormatting>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3"/>
  <sheetViews>
    <sheetView workbookViewId="0">
      <selection activeCell="J22" sqref="J22"/>
    </sheetView>
  </sheetViews>
  <sheetFormatPr defaultColWidth="9" defaultRowHeight="14.4"/>
  <cols>
    <col min="1" max="6" width="15.21875" customWidth="1"/>
  </cols>
  <sheetData>
    <row r="1" spans="1:19" ht="15.6">
      <c r="A1" s="1250" t="s">
        <v>48</v>
      </c>
      <c r="B1" s="1251"/>
      <c r="C1" s="1251"/>
      <c r="D1" s="1251"/>
      <c r="E1" s="1251"/>
      <c r="F1" s="1251"/>
      <c r="G1" s="1251"/>
      <c r="H1" s="1251"/>
      <c r="I1" s="1251"/>
      <c r="J1" s="1251"/>
      <c r="K1" s="1251"/>
      <c r="L1" s="1251"/>
      <c r="M1" s="1251"/>
      <c r="N1" s="1251"/>
      <c r="O1" s="1251"/>
      <c r="P1" s="1251"/>
      <c r="Q1" s="1251"/>
      <c r="R1" s="1251"/>
      <c r="S1" s="1252"/>
    </row>
    <row r="2" spans="1:19" ht="15.6">
      <c r="A2" s="1253" t="s">
        <v>49</v>
      </c>
      <c r="B2" s="1254"/>
      <c r="C2" s="1254"/>
      <c r="D2" s="1254"/>
      <c r="E2" s="1254"/>
      <c r="F2" s="1254"/>
      <c r="G2" s="1254"/>
      <c r="H2" s="1254"/>
      <c r="I2" s="1254"/>
      <c r="J2" s="1254"/>
      <c r="K2" s="1254"/>
      <c r="L2" s="1254"/>
      <c r="M2" s="1254"/>
      <c r="N2" s="1254"/>
      <c r="O2" s="1254"/>
      <c r="P2" s="1254"/>
      <c r="Q2" s="1254"/>
      <c r="R2" s="1254"/>
      <c r="S2" s="1255"/>
    </row>
    <row r="3" spans="1:19" ht="15.6">
      <c r="A3" s="1253" t="s">
        <v>50</v>
      </c>
      <c r="B3" s="1254"/>
      <c r="C3" s="1254"/>
      <c r="D3" s="1254"/>
      <c r="E3" s="1254"/>
      <c r="F3" s="1254"/>
      <c r="G3" s="1254"/>
      <c r="H3" s="1254"/>
      <c r="I3" s="1254"/>
      <c r="J3" s="1254"/>
      <c r="K3" s="1254"/>
      <c r="L3" s="1254"/>
      <c r="M3" s="1254"/>
      <c r="N3" s="1254"/>
      <c r="O3" s="1254"/>
      <c r="P3" s="1254"/>
      <c r="Q3" s="1254"/>
      <c r="R3" s="1254"/>
      <c r="S3" s="1255"/>
    </row>
  </sheetData>
  <mergeCells count="3">
    <mergeCell ref="A1:S1"/>
    <mergeCell ref="A2:S2"/>
    <mergeCell ref="A3:S3"/>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77734375" defaultRowHeight="12"/>
  <cols>
    <col min="1" max="1" width="11.21875" style="426" customWidth="1"/>
    <col min="2" max="2" width="17.6640625" style="426" customWidth="1"/>
    <col min="3" max="3" width="11.21875" style="426" customWidth="1"/>
    <col min="4" max="4" width="17.6640625" style="426" customWidth="1"/>
    <col min="5" max="5" width="13" style="426" customWidth="1"/>
    <col min="6" max="6" width="17.6640625" style="426" customWidth="1"/>
    <col min="7" max="7" width="11.21875" style="426" customWidth="1"/>
    <col min="8" max="8" width="17.6640625" style="426" customWidth="1"/>
    <col min="9" max="9" width="15.77734375" style="426" customWidth="1"/>
    <col min="10" max="10" width="17.6640625" style="426" customWidth="1"/>
    <col min="11" max="11" width="11.21875" style="426" customWidth="1"/>
    <col min="12" max="12" width="17.6640625" style="426" customWidth="1"/>
    <col min="13" max="13" width="11.21875" style="426" customWidth="1"/>
    <col min="14" max="14" width="17.6640625" style="426" customWidth="1"/>
    <col min="15" max="15" width="11.21875" style="426" customWidth="1"/>
    <col min="16" max="16" width="17.6640625" style="426" customWidth="1"/>
    <col min="17" max="17" width="16.88671875" style="426" customWidth="1"/>
    <col min="18" max="18" width="17.6640625" style="426" customWidth="1"/>
    <col min="19" max="19" width="14.21875" style="426" customWidth="1"/>
    <col min="20" max="20" width="17.6640625" style="426" customWidth="1"/>
    <col min="21" max="21" width="19.33203125" style="426" customWidth="1"/>
    <col min="22" max="22" width="23.109375" style="426" customWidth="1"/>
    <col min="23" max="23" width="19.109375" style="426" customWidth="1"/>
    <col min="24" max="24" width="17.6640625" style="426" customWidth="1"/>
    <col min="25" max="25" width="13" style="426" customWidth="1"/>
    <col min="26" max="26" width="17.6640625" style="426" customWidth="1"/>
    <col min="27" max="27" width="11.21875" style="426" customWidth="1"/>
    <col min="28" max="28" width="17.6640625" style="426" customWidth="1"/>
    <col min="29" max="29" width="13.44140625" style="426" customWidth="1"/>
    <col min="30" max="30" width="14.77734375" style="426" customWidth="1"/>
    <col min="31" max="31" width="14.33203125" style="426" customWidth="1"/>
    <col min="32" max="32" width="15.44140625" style="426" customWidth="1"/>
    <col min="33" max="33" width="8.44140625" style="426" customWidth="1"/>
    <col min="34" max="38" width="11" style="426" hidden="1" customWidth="1"/>
    <col min="39" max="39" width="28.77734375" style="426" customWidth="1"/>
    <col min="40" max="40" width="12.21875" style="426" bestFit="1" customWidth="1"/>
    <col min="41" max="41" width="32" style="426" bestFit="1" customWidth="1"/>
    <col min="42" max="16384" width="8.77734375" style="426"/>
  </cols>
  <sheetData>
    <row r="1" spans="1:41" ht="46.05" customHeight="1" thickBot="1">
      <c r="A1" s="1356" t="s">
        <v>1439</v>
      </c>
      <c r="B1" s="1357"/>
      <c r="C1" s="1357"/>
      <c r="D1" s="1357"/>
      <c r="E1" s="1357"/>
      <c r="F1" s="1357"/>
      <c r="G1" s="1357"/>
      <c r="H1" s="1357"/>
      <c r="I1" s="1357"/>
      <c r="J1" s="1357"/>
      <c r="K1" s="1357"/>
      <c r="L1" s="1357"/>
      <c r="M1" s="1357"/>
      <c r="N1" s="1357"/>
      <c r="O1" s="1357"/>
      <c r="P1" s="1357"/>
      <c r="Q1" s="1357"/>
      <c r="R1" s="1357"/>
      <c r="S1" s="1357"/>
      <c r="T1" s="1357"/>
      <c r="U1" s="1357"/>
      <c r="V1" s="1357"/>
      <c r="W1" s="1357"/>
      <c r="X1" s="1357"/>
      <c r="Y1" s="1357"/>
      <c r="Z1" s="1358"/>
      <c r="AA1" s="1358"/>
      <c r="AB1" s="1358"/>
      <c r="AC1" s="1358"/>
      <c r="AD1" s="1358"/>
      <c r="AE1" s="424"/>
      <c r="AF1" s="424"/>
      <c r="AG1" s="424"/>
    </row>
    <row r="2" spans="1:41" ht="48.45" customHeight="1" thickBot="1">
      <c r="A2" s="1359" t="s">
        <v>1126</v>
      </c>
      <c r="B2" s="1360"/>
      <c r="C2" s="1360"/>
      <c r="D2" s="1360"/>
      <c r="E2" s="1360"/>
      <c r="F2" s="1360"/>
      <c r="G2" s="1360"/>
      <c r="H2" s="1360"/>
      <c r="I2" s="1360"/>
      <c r="J2" s="1360"/>
      <c r="K2" s="1360"/>
      <c r="L2" s="1360"/>
      <c r="M2" s="1360"/>
      <c r="N2" s="1360"/>
      <c r="O2" s="1360"/>
      <c r="P2" s="1360"/>
      <c r="Q2" s="1360"/>
      <c r="R2" s="1360"/>
      <c r="S2" s="1360"/>
      <c r="T2" s="1360"/>
      <c r="U2" s="1360"/>
      <c r="V2" s="1360"/>
      <c r="W2" s="1360"/>
      <c r="X2" s="1360"/>
      <c r="Y2" s="1360"/>
      <c r="Z2" s="1361" t="s">
        <v>1440</v>
      </c>
      <c r="AA2" s="1361"/>
      <c r="AB2" s="1361">
        <f ca="1">NOW()-1</f>
        <v>46114.469186921298</v>
      </c>
      <c r="AC2" s="1361"/>
      <c r="AD2" s="1361"/>
    </row>
    <row r="3" spans="1:41" ht="15">
      <c r="A3" s="1362" t="s">
        <v>1127</v>
      </c>
      <c r="B3" s="1363"/>
      <c r="C3" s="1363"/>
      <c r="D3" s="1363"/>
      <c r="E3" s="1363"/>
      <c r="F3" s="1363"/>
      <c r="G3" s="1363"/>
      <c r="H3" s="1363"/>
      <c r="I3" s="1363"/>
      <c r="J3" s="1363"/>
      <c r="K3" s="1363"/>
      <c r="L3" s="1363"/>
      <c r="M3" s="1363"/>
      <c r="N3" s="1363"/>
      <c r="O3" s="1363"/>
      <c r="P3" s="1364"/>
      <c r="Q3" s="607"/>
      <c r="R3" s="607"/>
      <c r="S3" s="1368"/>
      <c r="T3" s="1368"/>
      <c r="U3" s="1368"/>
      <c r="V3" s="608"/>
      <c r="W3" s="1369"/>
      <c r="X3" s="1369"/>
      <c r="Y3" s="1369"/>
      <c r="Z3" s="1370"/>
      <c r="AA3" s="608"/>
      <c r="AB3" s="608"/>
      <c r="AC3" s="609"/>
      <c r="AD3" s="609"/>
    </row>
    <row r="4" spans="1:41" ht="25.2">
      <c r="A4" s="1365"/>
      <c r="B4" s="1366"/>
      <c r="C4" s="1366"/>
      <c r="D4" s="1366"/>
      <c r="E4" s="1366"/>
      <c r="F4" s="1366"/>
      <c r="G4" s="1366"/>
      <c r="H4" s="1366"/>
      <c r="I4" s="1366"/>
      <c r="J4" s="1366"/>
      <c r="K4" s="1366"/>
      <c r="L4" s="1366"/>
      <c r="M4" s="1366"/>
      <c r="N4" s="1366"/>
      <c r="O4" s="1366"/>
      <c r="P4" s="1367"/>
      <c r="Q4" s="607"/>
      <c r="R4" s="607"/>
      <c r="S4" s="1371" t="s">
        <v>1128</v>
      </c>
      <c r="T4" s="1371"/>
      <c r="U4" s="1371"/>
      <c r="V4" s="610"/>
      <c r="W4" s="1372" t="s">
        <v>1129</v>
      </c>
      <c r="X4" s="1372"/>
      <c r="Y4" s="1372"/>
      <c r="Z4" s="1372"/>
      <c r="AA4" s="610"/>
      <c r="AB4" s="610"/>
      <c r="AC4" s="610"/>
      <c r="AD4" s="610"/>
    </row>
    <row r="5" spans="1:41" ht="30">
      <c r="A5" s="1374" t="s">
        <v>976</v>
      </c>
      <c r="B5" s="1375"/>
      <c r="C5" s="1375" t="s">
        <v>13</v>
      </c>
      <c r="D5" s="1375"/>
      <c r="E5" s="1375"/>
      <c r="F5" s="1375" t="s">
        <v>1130</v>
      </c>
      <c r="G5" s="1375"/>
      <c r="H5" s="1375" t="s">
        <v>1131</v>
      </c>
      <c r="I5" s="1375"/>
      <c r="J5" s="1375"/>
      <c r="K5" s="1375" t="s">
        <v>1441</v>
      </c>
      <c r="L5" s="1375"/>
      <c r="M5" s="1375"/>
      <c r="N5" s="1375" t="s">
        <v>821</v>
      </c>
      <c r="O5" s="1375"/>
      <c r="P5" s="1381"/>
      <c r="Q5" s="607"/>
      <c r="R5" s="607"/>
      <c r="S5" s="612"/>
      <c r="T5" s="610"/>
      <c r="U5" s="610"/>
      <c r="V5" s="610"/>
      <c r="W5" s="610"/>
      <c r="X5" s="610"/>
      <c r="Y5" s="610"/>
      <c r="Z5" s="610"/>
      <c r="AA5" s="1373" t="s">
        <v>45</v>
      </c>
      <c r="AB5" s="1373"/>
      <c r="AC5" s="1373"/>
      <c r="AD5" s="613"/>
    </row>
    <row r="6" spans="1:41" ht="17.399999999999999">
      <c r="A6" s="1374"/>
      <c r="B6" s="1375"/>
      <c r="C6" s="1375"/>
      <c r="D6" s="1375"/>
      <c r="E6" s="1375"/>
      <c r="F6" s="1375"/>
      <c r="G6" s="1375"/>
      <c r="H6" s="1375"/>
      <c r="I6" s="1375"/>
      <c r="J6" s="1375"/>
      <c r="K6" s="1375"/>
      <c r="L6" s="1375"/>
      <c r="M6" s="1375"/>
      <c r="N6" s="1375"/>
      <c r="O6" s="1375"/>
      <c r="P6" s="1381"/>
      <c r="Q6" s="607"/>
      <c r="R6" s="607"/>
      <c r="S6" s="612"/>
      <c r="T6" s="610"/>
      <c r="U6" s="610"/>
      <c r="V6" s="610"/>
      <c r="W6" s="610"/>
      <c r="X6" s="610"/>
      <c r="Y6" s="610"/>
      <c r="Z6" s="610"/>
      <c r="AA6" s="614"/>
      <c r="AB6" s="614"/>
      <c r="AC6" s="614"/>
      <c r="AD6" s="614"/>
    </row>
    <row r="7" spans="1:41" ht="40.049999999999997" customHeight="1">
      <c r="A7" s="1374">
        <v>1</v>
      </c>
      <c r="B7" s="1375"/>
      <c r="C7" s="1366" t="s">
        <v>1133</v>
      </c>
      <c r="D7" s="1366"/>
      <c r="E7" s="1366"/>
      <c r="F7" s="1375" t="s">
        <v>1029</v>
      </c>
      <c r="G7" s="1375"/>
      <c r="H7" s="1376">
        <v>188.44399999999999</v>
      </c>
      <c r="I7" s="1376"/>
      <c r="J7" s="1376"/>
      <c r="K7" s="1377">
        <v>188.44399999999999</v>
      </c>
      <c r="L7" s="1378"/>
      <c r="M7" s="1379"/>
      <c r="N7" s="1376">
        <f t="shared" ref="N7:N14" si="0">H7-K7</f>
        <v>0</v>
      </c>
      <c r="O7" s="1376"/>
      <c r="P7" s="1380"/>
      <c r="Q7" s="607"/>
      <c r="R7" s="607"/>
      <c r="S7" s="612"/>
      <c r="T7" s="610"/>
      <c r="U7" s="610"/>
      <c r="V7" s="610"/>
      <c r="W7" s="610"/>
      <c r="X7" s="610"/>
      <c r="Y7" s="610"/>
      <c r="Z7" s="610"/>
      <c r="AA7" s="614"/>
      <c r="AB7" s="614"/>
      <c r="AC7" s="614"/>
      <c r="AD7" s="614"/>
    </row>
    <row r="8" spans="1:41" ht="40.049999999999997" customHeight="1">
      <c r="A8" s="1374">
        <f t="shared" ref="A8:A16" si="1">A7+1</f>
        <v>2</v>
      </c>
      <c r="B8" s="1375"/>
      <c r="C8" s="1366" t="s">
        <v>1134</v>
      </c>
      <c r="D8" s="1366"/>
      <c r="E8" s="1366"/>
      <c r="F8" s="1375" t="s">
        <v>1029</v>
      </c>
      <c r="G8" s="1375"/>
      <c r="H8" s="1376">
        <v>188.44399999999999</v>
      </c>
      <c r="I8" s="1376"/>
      <c r="J8" s="1376"/>
      <c r="K8" s="1376">
        <v>178.07499999999999</v>
      </c>
      <c r="L8" s="1376"/>
      <c r="M8" s="1376"/>
      <c r="N8" s="1376">
        <f t="shared" si="0"/>
        <v>10.369</v>
      </c>
      <c r="O8" s="1376"/>
      <c r="P8" s="1380"/>
      <c r="Q8" s="607"/>
      <c r="R8" s="607"/>
      <c r="S8" s="607"/>
      <c r="T8" s="609"/>
      <c r="U8" s="609"/>
      <c r="V8" s="609"/>
      <c r="W8" s="609"/>
      <c r="X8" s="609"/>
      <c r="Y8" s="609"/>
      <c r="Z8" s="609"/>
      <c r="AA8" s="615"/>
      <c r="AB8" s="615"/>
      <c r="AC8" s="615"/>
      <c r="AD8" s="615"/>
    </row>
    <row r="9" spans="1:41" ht="40.049999999999997" customHeight="1">
      <c r="A9" s="1374">
        <f t="shared" si="1"/>
        <v>3</v>
      </c>
      <c r="B9" s="1375"/>
      <c r="C9" s="1366" t="s">
        <v>1442</v>
      </c>
      <c r="D9" s="1366"/>
      <c r="E9" s="1366"/>
      <c r="F9" s="1375" t="s">
        <v>1029</v>
      </c>
      <c r="G9" s="1375"/>
      <c r="H9" s="1376">
        <v>188.44399999999999</v>
      </c>
      <c r="I9" s="1376"/>
      <c r="J9" s="1376"/>
      <c r="K9" s="1377">
        <v>178.07499999999999</v>
      </c>
      <c r="L9" s="1378"/>
      <c r="M9" s="1379"/>
      <c r="N9" s="1376">
        <f t="shared" si="0"/>
        <v>10.369</v>
      </c>
      <c r="O9" s="1376"/>
      <c r="P9" s="1380"/>
      <c r="Q9" s="607"/>
      <c r="R9" s="607"/>
      <c r="S9" s="607"/>
      <c r="T9" s="609"/>
      <c r="U9" s="609"/>
      <c r="V9" s="609"/>
      <c r="W9" s="609"/>
      <c r="X9" s="609"/>
      <c r="Y9" s="609"/>
      <c r="Z9" s="609"/>
      <c r="AA9" s="615"/>
      <c r="AB9" s="615"/>
      <c r="AC9" s="615"/>
      <c r="AD9" s="615"/>
    </row>
    <row r="10" spans="1:41" ht="40.049999999999997" customHeight="1">
      <c r="A10" s="1374">
        <f t="shared" si="1"/>
        <v>4</v>
      </c>
      <c r="B10" s="1375"/>
      <c r="C10" s="1366" t="s">
        <v>1135</v>
      </c>
      <c r="D10" s="1366"/>
      <c r="E10" s="1366"/>
      <c r="F10" s="1382" t="s">
        <v>1136</v>
      </c>
      <c r="G10" s="1383"/>
      <c r="H10" s="1384">
        <v>73</v>
      </c>
      <c r="I10" s="1385"/>
      <c r="J10" s="1386"/>
      <c r="K10" s="1384">
        <v>73</v>
      </c>
      <c r="L10" s="1385"/>
      <c r="M10" s="1386"/>
      <c r="N10" s="1388">
        <f t="shared" si="0"/>
        <v>0</v>
      </c>
      <c r="O10" s="1388"/>
      <c r="P10" s="1389"/>
      <c r="Q10" s="607"/>
      <c r="R10" s="607"/>
      <c r="S10" s="607"/>
      <c r="T10" s="609"/>
      <c r="U10" s="609"/>
      <c r="V10" s="609"/>
      <c r="W10" s="609"/>
      <c r="X10" s="609"/>
      <c r="Y10" s="609"/>
      <c r="Z10" s="609"/>
      <c r="AA10" s="615"/>
      <c r="AB10" s="615"/>
      <c r="AC10" s="615"/>
      <c r="AD10" s="615"/>
    </row>
    <row r="11" spans="1:41" ht="40.049999999999997" customHeight="1">
      <c r="A11" s="1374">
        <f t="shared" si="1"/>
        <v>5</v>
      </c>
      <c r="B11" s="1375"/>
      <c r="C11" s="1366" t="s">
        <v>268</v>
      </c>
      <c r="D11" s="1366"/>
      <c r="E11" s="1366"/>
      <c r="F11" s="1382" t="s">
        <v>1136</v>
      </c>
      <c r="G11" s="1383"/>
      <c r="H11" s="1384">
        <v>512</v>
      </c>
      <c r="I11" s="1385"/>
      <c r="J11" s="1386"/>
      <c r="K11" s="1387">
        <v>208</v>
      </c>
      <c r="L11" s="1387"/>
      <c r="M11" s="1387"/>
      <c r="N11" s="1388">
        <f t="shared" si="0"/>
        <v>304</v>
      </c>
      <c r="O11" s="1388"/>
      <c r="P11" s="1389"/>
      <c r="Q11" s="607"/>
      <c r="R11" s="607"/>
      <c r="S11" s="609"/>
      <c r="T11" s="609"/>
      <c r="U11" s="609"/>
      <c r="V11" s="609"/>
      <c r="W11" s="609"/>
      <c r="X11" s="609"/>
      <c r="Y11" s="609"/>
      <c r="Z11" s="609"/>
      <c r="AA11" s="616" t="s">
        <v>1137</v>
      </c>
      <c r="AB11" s="617"/>
      <c r="AC11" s="615"/>
      <c r="AD11" s="615"/>
    </row>
    <row r="12" spans="1:41" ht="40.049999999999997" customHeight="1">
      <c r="A12" s="1374">
        <f t="shared" si="1"/>
        <v>6</v>
      </c>
      <c r="B12" s="1375"/>
      <c r="C12" s="1366" t="s">
        <v>269</v>
      </c>
      <c r="D12" s="1366"/>
      <c r="E12" s="1366"/>
      <c r="F12" s="1382" t="s">
        <v>1138</v>
      </c>
      <c r="G12" s="1383"/>
      <c r="H12" s="1384">
        <v>514</v>
      </c>
      <c r="I12" s="1385"/>
      <c r="J12" s="1386"/>
      <c r="K12" s="1387">
        <v>190</v>
      </c>
      <c r="L12" s="1387"/>
      <c r="M12" s="1387"/>
      <c r="N12" s="1388">
        <f t="shared" si="0"/>
        <v>324</v>
      </c>
      <c r="O12" s="1388"/>
      <c r="P12" s="1389"/>
      <c r="Q12" s="607"/>
      <c r="R12" s="618"/>
      <c r="S12" s="619" t="s">
        <v>1139</v>
      </c>
      <c r="T12" s="611"/>
      <c r="U12" s="609"/>
      <c r="V12" s="1390" t="s">
        <v>183</v>
      </c>
      <c r="W12" s="1390"/>
      <c r="X12" s="1390"/>
      <c r="Y12" s="609"/>
      <c r="Z12" s="609"/>
      <c r="AA12" s="615"/>
      <c r="AB12" s="620"/>
      <c r="AC12" s="616" t="s">
        <v>1443</v>
      </c>
      <c r="AD12" s="617"/>
    </row>
    <row r="13" spans="1:41" ht="40.049999999999997" customHeight="1">
      <c r="A13" s="1374">
        <f t="shared" si="1"/>
        <v>7</v>
      </c>
      <c r="B13" s="1375"/>
      <c r="C13" s="1366" t="s">
        <v>1141</v>
      </c>
      <c r="D13" s="1366"/>
      <c r="E13" s="1366"/>
      <c r="F13" s="1382" t="s">
        <v>1136</v>
      </c>
      <c r="G13" s="1383"/>
      <c r="H13" s="1384">
        <v>512</v>
      </c>
      <c r="I13" s="1385"/>
      <c r="J13" s="1386"/>
      <c r="K13" s="1387">
        <v>75</v>
      </c>
      <c r="L13" s="1387"/>
      <c r="M13" s="1387"/>
      <c r="N13" s="1388">
        <f t="shared" si="0"/>
        <v>437</v>
      </c>
      <c r="O13" s="1388"/>
      <c r="P13" s="1389"/>
      <c r="Q13" s="607"/>
      <c r="R13" s="618"/>
      <c r="S13" s="611" t="s">
        <v>269</v>
      </c>
      <c r="T13" s="611"/>
      <c r="U13" s="609"/>
      <c r="V13" s="1391"/>
      <c r="W13" s="1391"/>
      <c r="X13" s="1391"/>
      <c r="Y13" s="609"/>
      <c r="Z13" s="609"/>
      <c r="AA13" s="621"/>
      <c r="AB13" s="615"/>
      <c r="AC13" s="615"/>
      <c r="AD13" s="615"/>
    </row>
    <row r="14" spans="1:41" ht="40.049999999999997" customHeight="1">
      <c r="A14" s="1374">
        <f t="shared" si="1"/>
        <v>8</v>
      </c>
      <c r="B14" s="1375"/>
      <c r="C14" s="1366" t="s">
        <v>481</v>
      </c>
      <c r="D14" s="1366"/>
      <c r="E14" s="1366"/>
      <c r="F14" s="1382" t="s">
        <v>1138</v>
      </c>
      <c r="G14" s="1383"/>
      <c r="H14" s="1384">
        <v>512</v>
      </c>
      <c r="I14" s="1385"/>
      <c r="J14" s="1386"/>
      <c r="K14" s="1387"/>
      <c r="L14" s="1387"/>
      <c r="M14" s="1387"/>
      <c r="N14" s="1388">
        <f t="shared" si="0"/>
        <v>512</v>
      </c>
      <c r="O14" s="1388"/>
      <c r="P14" s="1389"/>
      <c r="Q14" s="607"/>
      <c r="R14" s="607"/>
      <c r="S14" s="607"/>
      <c r="T14" s="609"/>
      <c r="U14" s="609"/>
      <c r="V14" s="609"/>
      <c r="W14" s="609"/>
      <c r="X14" s="609"/>
      <c r="Y14" s="609"/>
      <c r="Z14" s="609"/>
      <c r="AA14" s="615"/>
      <c r="AB14" s="615"/>
      <c r="AC14" s="615"/>
      <c r="AD14" s="615"/>
    </row>
    <row r="15" spans="1:41" ht="40.049999999999997" customHeight="1">
      <c r="A15" s="1374">
        <f t="shared" si="1"/>
        <v>9</v>
      </c>
      <c r="B15" s="1375"/>
      <c r="C15" s="1393" t="s">
        <v>1444</v>
      </c>
      <c r="D15" s="1393"/>
      <c r="E15" s="1393"/>
      <c r="F15" s="1375" t="s">
        <v>1029</v>
      </c>
      <c r="G15" s="1375"/>
      <c r="H15" s="1376">
        <v>188.44399999999999</v>
      </c>
      <c r="I15" s="1376"/>
      <c r="J15" s="1376"/>
      <c r="K15" s="1375"/>
      <c r="L15" s="1375"/>
      <c r="M15" s="1375"/>
      <c r="N15" s="1376">
        <v>188.44399999999999</v>
      </c>
      <c r="O15" s="1376"/>
      <c r="P15" s="1380"/>
      <c r="Q15" s="607"/>
      <c r="R15" s="607"/>
      <c r="S15" s="1392" t="s">
        <v>1445</v>
      </c>
      <c r="T15" s="1392"/>
      <c r="U15" s="609"/>
      <c r="V15" s="609"/>
      <c r="W15" s="610"/>
      <c r="X15" s="619" t="s">
        <v>1143</v>
      </c>
      <c r="Y15" s="610"/>
      <c r="Z15" s="610"/>
      <c r="AA15" s="610"/>
      <c r="AB15" s="610"/>
      <c r="AC15" s="610"/>
      <c r="AD15" s="610"/>
      <c r="AO15" s="622"/>
    </row>
    <row r="16" spans="1:41" ht="40.049999999999997" customHeight="1">
      <c r="A16" s="1374">
        <f t="shared" si="1"/>
        <v>10</v>
      </c>
      <c r="B16" s="1375"/>
      <c r="C16" s="1393" t="s">
        <v>1446</v>
      </c>
      <c r="D16" s="1393"/>
      <c r="E16" s="1393"/>
      <c r="F16" s="1375" t="s">
        <v>1029</v>
      </c>
      <c r="G16" s="1375"/>
      <c r="H16" s="1376">
        <v>188.44399999999999</v>
      </c>
      <c r="I16" s="1376"/>
      <c r="J16" s="1376"/>
      <c r="K16" s="1375"/>
      <c r="L16" s="1375"/>
      <c r="M16" s="1375"/>
      <c r="N16" s="1376">
        <v>188.44399999999999</v>
      </c>
      <c r="O16" s="1376"/>
      <c r="P16" s="1380"/>
      <c r="Q16" s="623"/>
      <c r="R16" s="623"/>
      <c r="S16" s="623"/>
      <c r="T16" s="624"/>
      <c r="U16" s="624"/>
      <c r="V16" s="624"/>
      <c r="W16" s="625"/>
      <c r="X16" s="625"/>
      <c r="Y16" s="625"/>
      <c r="Z16" s="626" t="s">
        <v>1447</v>
      </c>
      <c r="AA16" s="627" t="s">
        <v>1448</v>
      </c>
      <c r="AB16" s="1397" t="s">
        <v>1449</v>
      </c>
      <c r="AC16" s="1397"/>
      <c r="AD16" s="1397"/>
    </row>
    <row r="17" spans="1:41" ht="67.05" customHeight="1">
      <c r="A17" s="1398" t="s">
        <v>1450</v>
      </c>
      <c r="B17" s="1399"/>
      <c r="C17" s="629"/>
      <c r="D17" s="628" t="s">
        <v>484</v>
      </c>
      <c r="E17" s="629"/>
      <c r="F17" s="1400" t="s">
        <v>1451</v>
      </c>
      <c r="G17" s="1400"/>
      <c r="H17" s="630" t="s">
        <v>485</v>
      </c>
      <c r="I17" s="629"/>
      <c r="J17" s="630" t="s">
        <v>486</v>
      </c>
      <c r="K17" s="629"/>
      <c r="L17" s="630" t="s">
        <v>1149</v>
      </c>
      <c r="M17" s="629"/>
      <c r="N17" s="630" t="s">
        <v>488</v>
      </c>
      <c r="O17" s="629"/>
      <c r="P17" s="630" t="s">
        <v>489</v>
      </c>
      <c r="Q17" s="629"/>
      <c r="R17" s="630" t="s">
        <v>496</v>
      </c>
      <c r="S17" s="629"/>
      <c r="T17" s="630" t="s">
        <v>497</v>
      </c>
      <c r="U17" s="629"/>
      <c r="V17" s="630" t="s">
        <v>1150</v>
      </c>
      <c r="W17" s="629"/>
      <c r="X17" s="630" t="s">
        <v>1151</v>
      </c>
      <c r="Y17" s="629"/>
      <c r="Z17" s="630" t="s">
        <v>1152</v>
      </c>
      <c r="AA17" s="629"/>
      <c r="AB17" s="630" t="s">
        <v>1153</v>
      </c>
      <c r="AC17" s="631" t="s">
        <v>1448</v>
      </c>
      <c r="AD17" s="632"/>
      <c r="AE17" s="446"/>
      <c r="AF17" s="446"/>
      <c r="AG17" s="446"/>
    </row>
    <row r="18" spans="1:41" ht="33.6">
      <c r="A18" s="438"/>
      <c r="B18" s="357"/>
      <c r="C18" s="632"/>
      <c r="D18" s="357"/>
      <c r="E18" s="632"/>
      <c r="F18" s="357"/>
      <c r="G18" s="632"/>
      <c r="H18" s="357"/>
      <c r="I18" s="632"/>
      <c r="J18" s="357"/>
      <c r="K18" s="632"/>
      <c r="L18" s="357"/>
      <c r="M18" s="632"/>
      <c r="N18" s="357"/>
      <c r="O18" s="633"/>
      <c r="P18" s="357"/>
      <c r="Q18" s="632"/>
      <c r="R18" s="357"/>
      <c r="S18" s="632"/>
      <c r="T18" s="357"/>
      <c r="U18" s="632"/>
      <c r="V18" s="357"/>
      <c r="W18" s="632"/>
      <c r="X18" s="357"/>
      <c r="Y18" s="632"/>
      <c r="Z18" s="357"/>
      <c r="AA18" s="632"/>
      <c r="AB18" s="357"/>
      <c r="AC18" s="632"/>
      <c r="AD18" s="357"/>
      <c r="AE18" s="446"/>
      <c r="AF18" s="446"/>
      <c r="AG18" s="446"/>
      <c r="AM18" s="630" t="s">
        <v>354</v>
      </c>
      <c r="AN18" s="630" t="s">
        <v>192</v>
      </c>
      <c r="AO18" s="630" t="s">
        <v>339</v>
      </c>
    </row>
    <row r="19" spans="1:41" ht="15" thickBot="1">
      <c r="A19" s="438"/>
      <c r="B19" s="634"/>
      <c r="C19" s="632"/>
      <c r="D19" s="634"/>
      <c r="E19" s="632"/>
      <c r="F19" s="634"/>
      <c r="G19" s="632"/>
      <c r="H19" s="634"/>
      <c r="I19" s="632"/>
      <c r="J19" s="634"/>
      <c r="K19" s="632"/>
      <c r="L19" s="634"/>
      <c r="M19" s="632"/>
      <c r="N19" s="634"/>
      <c r="O19" s="633"/>
      <c r="P19" s="634"/>
      <c r="Q19" s="632"/>
      <c r="R19" s="634"/>
      <c r="S19" s="632"/>
      <c r="T19" s="634"/>
      <c r="U19" s="632"/>
      <c r="V19" s="634"/>
      <c r="W19" s="632"/>
      <c r="X19" s="634"/>
      <c r="Y19" s="632"/>
      <c r="Z19" s="634"/>
      <c r="AA19" s="632"/>
      <c r="AB19" s="634"/>
      <c r="AC19" s="632"/>
      <c r="AD19" s="632"/>
      <c r="AE19" s="446"/>
      <c r="AF19" s="446"/>
      <c r="AG19" s="446"/>
    </row>
    <row r="20" spans="1:41" ht="101.55" customHeight="1" thickBot="1">
      <c r="A20" s="438"/>
      <c r="B20" s="635"/>
      <c r="C20" s="636">
        <v>89</v>
      </c>
      <c r="D20" s="637"/>
      <c r="E20" s="636">
        <v>113</v>
      </c>
      <c r="F20" s="637"/>
      <c r="G20" s="636">
        <v>264</v>
      </c>
      <c r="H20" s="637"/>
      <c r="I20" s="636">
        <v>244</v>
      </c>
      <c r="J20" s="637"/>
      <c r="K20" s="636">
        <v>657</v>
      </c>
      <c r="L20" s="637"/>
      <c r="M20" s="636">
        <v>419.226</v>
      </c>
      <c r="N20" s="637"/>
      <c r="O20" s="636">
        <v>420.01</v>
      </c>
      <c r="P20" s="637"/>
      <c r="Q20" s="636">
        <v>416.53100000000001</v>
      </c>
      <c r="R20" s="637"/>
      <c r="S20" s="636">
        <v>356.262</v>
      </c>
      <c r="T20" s="637"/>
      <c r="U20" s="636">
        <v>343.07400000000001</v>
      </c>
      <c r="V20" s="637"/>
      <c r="W20" s="636">
        <v>381.32900000000001</v>
      </c>
      <c r="X20" s="637"/>
      <c r="Y20" s="636">
        <v>373.32299999999998</v>
      </c>
      <c r="Z20" s="637"/>
      <c r="AA20" s="636">
        <v>246.012</v>
      </c>
      <c r="AB20" s="637"/>
      <c r="AC20" s="638">
        <v>249.42400000000001</v>
      </c>
      <c r="AD20" s="632"/>
      <c r="AE20" s="642"/>
      <c r="AF20" s="642"/>
      <c r="AG20" s="642"/>
      <c r="AM20" s="809">
        <f>COUNTIF(B20:AB20,"U/P")</f>
        <v>0</v>
      </c>
      <c r="AN20" s="809">
        <f>COUNTIF(C20:AC20,"ROW")</f>
        <v>0</v>
      </c>
      <c r="AO20" s="809">
        <f>COUNTIF(D20:AD20,"C")</f>
        <v>0</v>
      </c>
    </row>
    <row r="21" spans="1:41" ht="15" thickBot="1">
      <c r="A21" s="438"/>
      <c r="B21" s="639"/>
      <c r="C21" s="633"/>
      <c r="D21" s="640"/>
      <c r="E21" s="633"/>
      <c r="F21" s="640"/>
      <c r="G21" s="633"/>
      <c r="H21" s="640"/>
      <c r="I21" s="633"/>
      <c r="J21" s="640"/>
      <c r="K21" s="633"/>
      <c r="L21" s="640"/>
      <c r="M21" s="633"/>
      <c r="N21" s="640"/>
      <c r="O21" s="633"/>
      <c r="P21" s="640"/>
      <c r="Q21" s="633"/>
      <c r="R21" s="640"/>
      <c r="S21" s="633"/>
      <c r="T21" s="640"/>
      <c r="U21" s="633"/>
      <c r="V21" s="640"/>
      <c r="W21" s="633"/>
      <c r="X21" s="640"/>
      <c r="Y21" s="633"/>
      <c r="Z21" s="640"/>
      <c r="AA21" s="633"/>
      <c r="AB21" s="640"/>
      <c r="AC21" s="633"/>
      <c r="AD21" s="632"/>
      <c r="AE21" s="641"/>
      <c r="AF21" s="642"/>
      <c r="AG21" s="642"/>
    </row>
    <row r="22" spans="1:41" ht="33.6">
      <c r="A22" s="643"/>
      <c r="B22" s="644"/>
      <c r="C22" s="644"/>
      <c r="D22" s="645" t="s">
        <v>90</v>
      </c>
      <c r="E22" s="646"/>
      <c r="F22" s="645" t="s">
        <v>108</v>
      </c>
      <c r="G22" s="646"/>
      <c r="H22" s="645" t="s">
        <v>78</v>
      </c>
      <c r="I22" s="647"/>
      <c r="J22" s="645" t="s">
        <v>78</v>
      </c>
      <c r="K22" s="647"/>
      <c r="L22" s="645" t="s">
        <v>132</v>
      </c>
      <c r="M22" s="644"/>
      <c r="N22" s="644" t="s">
        <v>147</v>
      </c>
      <c r="O22" s="644"/>
      <c r="P22" s="644" t="s">
        <v>212</v>
      </c>
      <c r="Q22" s="644"/>
      <c r="R22" s="645" t="s">
        <v>80</v>
      </c>
      <c r="S22" s="644"/>
      <c r="T22" s="644" t="s">
        <v>147</v>
      </c>
      <c r="U22" s="644"/>
      <c r="V22" s="644" t="s">
        <v>147</v>
      </c>
      <c r="W22" s="644"/>
      <c r="X22" s="644" t="s">
        <v>206</v>
      </c>
      <c r="Y22" s="644"/>
      <c r="Z22" s="644" t="s">
        <v>150</v>
      </c>
      <c r="AA22" s="644"/>
      <c r="AB22" s="645" t="s">
        <v>84</v>
      </c>
      <c r="AC22" s="648"/>
      <c r="AD22" s="632"/>
      <c r="AE22" s="641"/>
      <c r="AF22" s="642"/>
      <c r="AG22" s="642"/>
      <c r="AM22" s="809"/>
      <c r="AN22" s="809"/>
      <c r="AO22" s="809"/>
    </row>
    <row r="23" spans="1:41" ht="28.95" customHeight="1">
      <c r="A23" s="1401" t="s">
        <v>1592</v>
      </c>
      <c r="B23" s="1402"/>
      <c r="C23" s="1402"/>
      <c r="D23" s="1402"/>
      <c r="E23" s="1402"/>
      <c r="F23" s="1402"/>
      <c r="G23" s="1402"/>
      <c r="H23" s="1402"/>
      <c r="I23" s="1402"/>
      <c r="J23" s="1402"/>
      <c r="K23" s="1402"/>
      <c r="L23" s="1402"/>
      <c r="M23" s="1402"/>
      <c r="N23" s="1402"/>
      <c r="O23" s="1402"/>
      <c r="P23" s="1402"/>
      <c r="Q23" s="1402"/>
      <c r="R23" s="1402"/>
      <c r="S23" s="1402"/>
      <c r="T23" s="1402"/>
      <c r="U23" s="1402"/>
      <c r="V23" s="1402"/>
      <c r="W23" s="1402"/>
      <c r="X23" s="1402"/>
      <c r="Y23" s="1402"/>
      <c r="Z23" s="1402"/>
      <c r="AA23" s="1402"/>
      <c r="AB23" s="1402"/>
      <c r="AC23" s="1402"/>
      <c r="AD23" s="1402"/>
      <c r="AE23" s="1402"/>
      <c r="AF23" s="1402"/>
      <c r="AG23" s="1402"/>
      <c r="AH23" s="1402"/>
      <c r="AI23" s="820"/>
      <c r="AJ23" s="820"/>
      <c r="AK23" s="820"/>
      <c r="AL23" s="820"/>
      <c r="AM23" s="809"/>
      <c r="AN23" s="809"/>
      <c r="AO23" s="809"/>
    </row>
    <row r="24" spans="1:41" ht="29.55" customHeight="1">
      <c r="A24" s="643"/>
      <c r="B24" s="630" t="s">
        <v>1158</v>
      </c>
      <c r="C24" s="629"/>
      <c r="D24" s="630" t="s">
        <v>1159</v>
      </c>
      <c r="E24" s="629"/>
      <c r="F24" s="630" t="s">
        <v>1160</v>
      </c>
      <c r="G24" s="629"/>
      <c r="H24" s="630" t="s">
        <v>1161</v>
      </c>
      <c r="I24" s="629"/>
      <c r="J24" s="630" t="s">
        <v>498</v>
      </c>
      <c r="K24" s="629"/>
      <c r="L24" s="630" t="s">
        <v>501</v>
      </c>
      <c r="M24" s="629"/>
      <c r="N24" s="630" t="s">
        <v>1162</v>
      </c>
      <c r="O24" s="629"/>
      <c r="P24" s="630" t="s">
        <v>1163</v>
      </c>
      <c r="Q24" s="629"/>
      <c r="R24" s="630" t="s">
        <v>1164</v>
      </c>
      <c r="S24" s="629"/>
      <c r="T24" s="630" t="s">
        <v>1165</v>
      </c>
      <c r="U24" s="629"/>
      <c r="V24" s="630" t="s">
        <v>1166</v>
      </c>
      <c r="W24" s="629"/>
      <c r="X24" s="630" t="s">
        <v>1167</v>
      </c>
      <c r="Y24" s="629"/>
      <c r="Z24" s="630" t="s">
        <v>1168</v>
      </c>
      <c r="AA24" s="629"/>
      <c r="AB24" s="630" t="s">
        <v>502</v>
      </c>
      <c r="AC24" s="648"/>
      <c r="AD24" s="649"/>
      <c r="AE24" s="642"/>
      <c r="AF24" s="642"/>
      <c r="AG24" s="642"/>
      <c r="AM24" s="809"/>
      <c r="AN24" s="809"/>
      <c r="AO24" s="809"/>
    </row>
    <row r="25" spans="1:41" ht="31.2">
      <c r="A25" s="438"/>
      <c r="B25" s="650"/>
      <c r="C25" s="651"/>
      <c r="D25" s="650"/>
      <c r="E25" s="651"/>
      <c r="F25" s="650"/>
      <c r="G25" s="651"/>
      <c r="H25" s="650"/>
      <c r="I25" s="651"/>
      <c r="J25" s="650"/>
      <c r="K25" s="651"/>
      <c r="L25" s="650"/>
      <c r="M25" s="651"/>
      <c r="N25" s="650"/>
      <c r="O25" s="651"/>
      <c r="P25" s="650"/>
      <c r="Q25" s="651"/>
      <c r="R25" s="650"/>
      <c r="S25" s="651"/>
      <c r="T25" s="650"/>
      <c r="U25" s="651"/>
      <c r="V25" s="650"/>
      <c r="W25" s="651"/>
      <c r="X25" s="650"/>
      <c r="Y25" s="651"/>
      <c r="Z25" s="650"/>
      <c r="AA25" s="651"/>
      <c r="AB25" s="650"/>
      <c r="AC25" s="651"/>
      <c r="AD25" s="649"/>
      <c r="AE25" s="642"/>
      <c r="AF25" s="642"/>
      <c r="AG25" s="642"/>
      <c r="AM25" s="809"/>
      <c r="AN25" s="809"/>
      <c r="AO25" s="809"/>
    </row>
    <row r="26" spans="1:41" ht="16.5" customHeight="1" thickBot="1">
      <c r="A26" s="438"/>
      <c r="B26" s="652"/>
      <c r="C26" s="651"/>
      <c r="D26" s="652"/>
      <c r="E26" s="651"/>
      <c r="F26" s="652"/>
      <c r="G26" s="651"/>
      <c r="H26" s="652"/>
      <c r="I26" s="651"/>
      <c r="J26" s="652"/>
      <c r="K26" s="651"/>
      <c r="L26" s="652"/>
      <c r="M26" s="651"/>
      <c r="N26" s="652"/>
      <c r="O26" s="651"/>
      <c r="P26" s="652"/>
      <c r="Q26" s="651"/>
      <c r="R26" s="652"/>
      <c r="S26" s="651"/>
      <c r="T26" s="652"/>
      <c r="U26" s="651"/>
      <c r="V26" s="652"/>
      <c r="W26" s="651"/>
      <c r="X26" s="652"/>
      <c r="Y26" s="651"/>
      <c r="Z26" s="652"/>
      <c r="AA26" s="651"/>
      <c r="AB26" s="652"/>
      <c r="AC26" s="651"/>
      <c r="AD26" s="649"/>
      <c r="AE26" s="642"/>
      <c r="AF26" s="642"/>
      <c r="AG26" s="642"/>
      <c r="AM26" s="809"/>
      <c r="AN26" s="809"/>
      <c r="AO26" s="809"/>
    </row>
    <row r="27" spans="1:41" ht="100.05" customHeight="1" thickBot="1">
      <c r="A27" s="438"/>
      <c r="B27" s="526"/>
      <c r="C27" s="653">
        <v>399.70699999999999</v>
      </c>
      <c r="D27" s="637"/>
      <c r="E27" s="653">
        <v>438.61599999999999</v>
      </c>
      <c r="F27" s="637"/>
      <c r="G27" s="653">
        <v>400.60399999999998</v>
      </c>
      <c r="H27" s="637"/>
      <c r="I27" s="653">
        <v>438.76499999999999</v>
      </c>
      <c r="J27" s="637"/>
      <c r="K27" s="653">
        <v>226.315</v>
      </c>
      <c r="L27" s="637"/>
      <c r="M27" s="653">
        <v>442.553</v>
      </c>
      <c r="N27" s="637"/>
      <c r="O27" s="653">
        <v>389.32900000000001</v>
      </c>
      <c r="P27" s="637"/>
      <c r="Q27" s="653">
        <v>359.36099999999999</v>
      </c>
      <c r="R27" s="637"/>
      <c r="S27" s="653">
        <v>405.00599999999997</v>
      </c>
      <c r="T27" s="637"/>
      <c r="U27" s="653">
        <v>426.51799999999997</v>
      </c>
      <c r="V27" s="637"/>
      <c r="W27" s="653">
        <v>356.05500000000001</v>
      </c>
      <c r="X27" s="637"/>
      <c r="Y27" s="653">
        <v>369.29500000000002</v>
      </c>
      <c r="Z27" s="637"/>
      <c r="AA27" s="653">
        <v>374.99299999999999</v>
      </c>
      <c r="AB27" s="637"/>
      <c r="AC27" s="654">
        <v>383.76799999999997</v>
      </c>
      <c r="AD27" s="649"/>
      <c r="AE27" s="642"/>
      <c r="AF27" s="642"/>
      <c r="AG27" s="642"/>
      <c r="AM27" s="809">
        <f>COUNTIF(B27:AB27,"U/P")</f>
        <v>0</v>
      </c>
      <c r="AN27" s="809">
        <f>COUNTIF(C27:AC27,"ROW")</f>
        <v>0</v>
      </c>
      <c r="AO27" s="809">
        <f>COUNTIF(D27:AD27,"C")</f>
        <v>0</v>
      </c>
    </row>
    <row r="28" spans="1:41" ht="34.200000000000003" thickBot="1">
      <c r="A28" s="438"/>
      <c r="B28" s="655"/>
      <c r="C28" s="648"/>
      <c r="D28" s="656"/>
      <c r="E28" s="648"/>
      <c r="F28" s="656"/>
      <c r="G28" s="648"/>
      <c r="H28" s="656"/>
      <c r="I28" s="648"/>
      <c r="J28" s="656"/>
      <c r="K28" s="648"/>
      <c r="L28" s="656"/>
      <c r="M28" s="648"/>
      <c r="N28" s="656"/>
      <c r="O28" s="648"/>
      <c r="P28" s="656"/>
      <c r="Q28" s="648"/>
      <c r="R28" s="656"/>
      <c r="S28" s="648"/>
      <c r="T28" s="656"/>
      <c r="U28" s="648"/>
      <c r="V28" s="656"/>
      <c r="W28" s="648"/>
      <c r="X28" s="656"/>
      <c r="Y28" s="648"/>
      <c r="Z28" s="656"/>
      <c r="AA28" s="648"/>
      <c r="AB28" s="656"/>
      <c r="AC28" s="651"/>
      <c r="AD28" s="649"/>
      <c r="AE28" s="642"/>
      <c r="AF28" s="642"/>
      <c r="AG28" s="642"/>
      <c r="AM28" s="809"/>
      <c r="AN28" s="809"/>
      <c r="AO28" s="809"/>
    </row>
    <row r="29" spans="1:41" ht="33.6">
      <c r="A29" s="438"/>
      <c r="B29" s="644" t="s">
        <v>147</v>
      </c>
      <c r="C29" s="644"/>
      <c r="D29" s="644" t="s">
        <v>206</v>
      </c>
      <c r="E29" s="644"/>
      <c r="F29" s="644" t="s">
        <v>206</v>
      </c>
      <c r="G29" s="644"/>
      <c r="H29" s="644" t="s">
        <v>150</v>
      </c>
      <c r="I29" s="644"/>
      <c r="J29" s="645" t="s">
        <v>82</v>
      </c>
      <c r="K29" s="644"/>
      <c r="L29" s="645" t="s">
        <v>82</v>
      </c>
      <c r="M29" s="644"/>
      <c r="N29" s="644" t="s">
        <v>150</v>
      </c>
      <c r="O29" s="644"/>
      <c r="P29" s="644" t="s">
        <v>147</v>
      </c>
      <c r="Q29" s="644"/>
      <c r="R29" s="644" t="s">
        <v>147</v>
      </c>
      <c r="S29" s="644"/>
      <c r="T29" s="644" t="s">
        <v>147</v>
      </c>
      <c r="U29" s="644"/>
      <c r="V29" s="644" t="s">
        <v>147</v>
      </c>
      <c r="W29" s="644"/>
      <c r="X29" s="644" t="s">
        <v>147</v>
      </c>
      <c r="Y29" s="644"/>
      <c r="Z29" s="644" t="s">
        <v>147</v>
      </c>
      <c r="AA29" s="644"/>
      <c r="AB29" s="645" t="s">
        <v>84</v>
      </c>
      <c r="AC29" s="651"/>
      <c r="AD29" s="649"/>
      <c r="AE29" s="641"/>
      <c r="AF29" s="642"/>
      <c r="AG29" s="642"/>
      <c r="AM29" s="809"/>
      <c r="AN29" s="809"/>
      <c r="AO29" s="809"/>
    </row>
    <row r="30" spans="1:41" ht="28.5" customHeight="1">
      <c r="A30" s="1401" t="s">
        <v>1592</v>
      </c>
      <c r="B30" s="1402"/>
      <c r="C30" s="1402"/>
      <c r="D30" s="1402"/>
      <c r="E30" s="1402"/>
      <c r="F30" s="1402"/>
      <c r="G30" s="1402"/>
      <c r="H30" s="1402"/>
      <c r="I30" s="1402"/>
      <c r="J30" s="1402"/>
      <c r="K30" s="1402"/>
      <c r="L30" s="1402"/>
      <c r="M30" s="1402"/>
      <c r="N30" s="1402"/>
      <c r="O30" s="1402"/>
      <c r="P30" s="1402"/>
      <c r="Q30" s="1402"/>
      <c r="R30" s="1402"/>
      <c r="S30" s="1402"/>
      <c r="T30" s="1402"/>
      <c r="U30" s="1402"/>
      <c r="V30" s="1402"/>
      <c r="W30" s="1402"/>
      <c r="X30" s="1402"/>
      <c r="Y30" s="1402"/>
      <c r="Z30" s="1402"/>
      <c r="AA30" s="1402"/>
      <c r="AB30" s="1402"/>
      <c r="AC30" s="1402"/>
      <c r="AD30" s="1402"/>
      <c r="AE30" s="1402"/>
      <c r="AF30" s="1402"/>
      <c r="AG30" s="1402"/>
      <c r="AH30" s="1402"/>
      <c r="AI30" s="820"/>
      <c r="AJ30" s="820"/>
      <c r="AK30" s="820"/>
      <c r="AL30" s="820"/>
    </row>
    <row r="31" spans="1:41" ht="21" customHeight="1">
      <c r="A31" s="438"/>
      <c r="B31" s="630" t="s">
        <v>503</v>
      </c>
      <c r="C31" s="629"/>
      <c r="D31" s="630"/>
      <c r="E31" s="629"/>
      <c r="F31" s="630" t="s">
        <v>506</v>
      </c>
      <c r="G31" s="629"/>
      <c r="H31" s="630" t="s">
        <v>507</v>
      </c>
      <c r="I31" s="629"/>
      <c r="J31" s="630" t="s">
        <v>508</v>
      </c>
      <c r="K31" s="629"/>
      <c r="L31" s="630" t="s">
        <v>509</v>
      </c>
      <c r="M31" s="629"/>
      <c r="N31" s="630" t="s">
        <v>510</v>
      </c>
      <c r="O31" s="629"/>
      <c r="P31" s="630" t="s">
        <v>1169</v>
      </c>
      <c r="Q31" s="629"/>
      <c r="R31" s="630" t="s">
        <v>1170</v>
      </c>
      <c r="S31" s="629"/>
      <c r="T31" s="630" t="s">
        <v>1171</v>
      </c>
      <c r="U31" s="629"/>
      <c r="V31" s="630" t="s">
        <v>1172</v>
      </c>
      <c r="W31" s="629"/>
      <c r="X31" s="630" t="s">
        <v>512</v>
      </c>
      <c r="Y31" s="629"/>
      <c r="Z31" s="657" t="s">
        <v>1173</v>
      </c>
      <c r="AA31" s="629"/>
      <c r="AB31" s="630" t="s">
        <v>1174</v>
      </c>
      <c r="AC31" s="648"/>
      <c r="AD31" s="649"/>
      <c r="AE31" s="642"/>
      <c r="AF31" s="642"/>
      <c r="AG31" s="642"/>
    </row>
    <row r="32" spans="1:41" ht="33.6">
      <c r="A32" s="438"/>
      <c r="B32" s="658"/>
      <c r="C32" s="648"/>
      <c r="D32" s="658"/>
      <c r="E32" s="644"/>
      <c r="F32" s="658"/>
      <c r="G32" s="659"/>
      <c r="H32" s="658"/>
      <c r="I32" s="648"/>
      <c r="J32" s="658"/>
      <c r="K32" s="648"/>
      <c r="L32" s="658"/>
      <c r="M32" s="648"/>
      <c r="N32" s="658"/>
      <c r="O32" s="648"/>
      <c r="P32" s="658"/>
      <c r="Q32" s="648"/>
      <c r="R32" s="658"/>
      <c r="S32" s="648"/>
      <c r="T32" s="658"/>
      <c r="U32" s="648"/>
      <c r="V32" s="658"/>
      <c r="W32" s="644"/>
      <c r="X32" s="658"/>
      <c r="Y32" s="644"/>
      <c r="Z32" s="658"/>
      <c r="AA32" s="648"/>
      <c r="AB32" s="658"/>
      <c r="AC32" s="648"/>
      <c r="AD32" s="649"/>
      <c r="AE32" s="642"/>
      <c r="AF32" s="642"/>
      <c r="AG32" s="642"/>
    </row>
    <row r="33" spans="1:41" ht="15" customHeight="1" thickBot="1">
      <c r="A33" s="438"/>
      <c r="B33" s="660"/>
      <c r="C33" s="648"/>
      <c r="D33" s="660"/>
      <c r="E33" s="648"/>
      <c r="F33" s="660"/>
      <c r="G33" s="648"/>
      <c r="H33" s="660"/>
      <c r="I33" s="648"/>
      <c r="J33" s="660"/>
      <c r="K33" s="648"/>
      <c r="L33" s="660"/>
      <c r="M33" s="648"/>
      <c r="N33" s="660"/>
      <c r="O33" s="648"/>
      <c r="P33" s="660"/>
      <c r="Q33" s="648"/>
      <c r="R33" s="660"/>
      <c r="S33" s="648"/>
      <c r="T33" s="660"/>
      <c r="U33" s="648"/>
      <c r="V33" s="660"/>
      <c r="W33" s="648"/>
      <c r="X33" s="660"/>
      <c r="Y33" s="648"/>
      <c r="Z33" s="660"/>
      <c r="AA33" s="648"/>
      <c r="AB33" s="660"/>
      <c r="AC33" s="648"/>
      <c r="AD33" s="649"/>
      <c r="AE33" s="642"/>
      <c r="AF33" s="642"/>
      <c r="AG33" s="642"/>
    </row>
    <row r="34" spans="1:41" ht="100.05" customHeight="1" thickBot="1">
      <c r="A34" s="438"/>
      <c r="B34" s="637"/>
      <c r="C34" s="653"/>
      <c r="D34" s="653">
        <v>396.38</v>
      </c>
      <c r="E34" s="653"/>
      <c r="F34" s="637"/>
      <c r="G34" s="653">
        <v>392.53399999999999</v>
      </c>
      <c r="H34" s="637"/>
      <c r="I34" s="653">
        <v>332.16199999999998</v>
      </c>
      <c r="J34" s="637"/>
      <c r="K34" s="653">
        <v>352.11200000000002</v>
      </c>
      <c r="L34" s="637"/>
      <c r="M34" s="653">
        <v>389.39299999999997</v>
      </c>
      <c r="N34" s="637"/>
      <c r="O34" s="653">
        <v>374.47699999999998</v>
      </c>
      <c r="P34" s="637"/>
      <c r="Q34" s="653">
        <v>419.97699999999998</v>
      </c>
      <c r="R34" s="637"/>
      <c r="S34" s="653">
        <v>387.899</v>
      </c>
      <c r="T34" s="637"/>
      <c r="U34" s="653">
        <v>407.654</v>
      </c>
      <c r="V34" s="637"/>
      <c r="W34" s="653">
        <v>402.35700000000003</v>
      </c>
      <c r="X34" s="637"/>
      <c r="Y34" s="636">
        <v>372.25900000000001</v>
      </c>
      <c r="Z34" s="637"/>
      <c r="AA34" s="653">
        <v>410.94900000000001</v>
      </c>
      <c r="AB34" s="637"/>
      <c r="AC34" s="653">
        <v>379.07499999999999</v>
      </c>
      <c r="AD34" s="649"/>
      <c r="AE34" s="642"/>
      <c r="AF34" s="642"/>
      <c r="AG34" s="642"/>
      <c r="AM34" s="809">
        <f>COUNTIF(B34:AB34,"U/P")</f>
        <v>0</v>
      </c>
      <c r="AN34" s="809">
        <f>COUNTIF(C34:AC34,"ROW")</f>
        <v>0</v>
      </c>
      <c r="AO34" s="809">
        <f>COUNTIF(D34:AD34,"C")</f>
        <v>0</v>
      </c>
    </row>
    <row r="35" spans="1:41" ht="34.200000000000003" thickBot="1">
      <c r="A35" s="438"/>
      <c r="B35" s="656"/>
      <c r="C35" s="648"/>
      <c r="D35" s="658"/>
      <c r="E35" s="648"/>
      <c r="F35" s="656"/>
      <c r="G35" s="648"/>
      <c r="H35" s="656"/>
      <c r="I35" s="648"/>
      <c r="J35" s="656"/>
      <c r="K35" s="648"/>
      <c r="L35" s="656"/>
      <c r="M35" s="648"/>
      <c r="N35" s="656"/>
      <c r="O35" s="648"/>
      <c r="P35" s="656"/>
      <c r="Q35" s="648"/>
      <c r="R35" s="656"/>
      <c r="S35" s="648"/>
      <c r="T35" s="814" t="s">
        <v>418</v>
      </c>
      <c r="U35" s="648"/>
      <c r="V35" s="656"/>
      <c r="W35" s="648"/>
      <c r="X35" s="656"/>
      <c r="Y35" s="648"/>
      <c r="Z35" s="656"/>
      <c r="AA35" s="648"/>
      <c r="AB35" s="656"/>
      <c r="AC35" s="648"/>
      <c r="AD35" s="649"/>
      <c r="AE35" s="642"/>
      <c r="AF35" s="642"/>
      <c r="AG35" s="642"/>
    </row>
    <row r="36" spans="1:41" ht="33.6">
      <c r="A36" s="438"/>
      <c r="B36" s="661" t="s">
        <v>147</v>
      </c>
      <c r="C36" s="644"/>
      <c r="D36" s="661"/>
      <c r="E36" s="644"/>
      <c r="F36" s="661" t="s">
        <v>147</v>
      </c>
      <c r="G36" s="644"/>
      <c r="H36" s="661" t="s">
        <v>147</v>
      </c>
      <c r="I36" s="644"/>
      <c r="J36" s="661" t="s">
        <v>147</v>
      </c>
      <c r="K36" s="644"/>
      <c r="L36" s="661" t="s">
        <v>147</v>
      </c>
      <c r="M36" s="644"/>
      <c r="N36" s="661" t="s">
        <v>147</v>
      </c>
      <c r="O36" s="644"/>
      <c r="P36" s="661" t="s">
        <v>147</v>
      </c>
      <c r="Q36" s="644"/>
      <c r="R36" s="661" t="s">
        <v>150</v>
      </c>
      <c r="S36" s="644"/>
      <c r="T36" s="661" t="s">
        <v>147</v>
      </c>
      <c r="U36" s="644"/>
      <c r="V36" s="661" t="s">
        <v>150</v>
      </c>
      <c r="W36" s="644"/>
      <c r="X36" s="645" t="s">
        <v>84</v>
      </c>
      <c r="Y36" s="644"/>
      <c r="Z36" s="661" t="s">
        <v>147</v>
      </c>
      <c r="AA36" s="644"/>
      <c r="AB36" s="661" t="s">
        <v>147</v>
      </c>
      <c r="AC36" s="651"/>
      <c r="AD36" s="649"/>
      <c r="AE36" s="641"/>
      <c r="AF36" s="642"/>
      <c r="AG36" s="642"/>
    </row>
    <row r="37" spans="1:41" ht="30.45" customHeight="1">
      <c r="A37" s="1403" t="s">
        <v>1593</v>
      </c>
      <c r="B37" s="1404"/>
      <c r="C37" s="1404"/>
      <c r="D37" s="1404"/>
      <c r="E37" s="1404"/>
      <c r="F37" s="1404"/>
      <c r="G37" s="1404"/>
      <c r="H37" s="1404"/>
      <c r="I37" s="1404"/>
      <c r="J37" s="1404"/>
      <c r="K37" s="1404"/>
      <c r="L37" s="1404"/>
      <c r="M37" s="1404"/>
      <c r="N37" s="1404"/>
      <c r="O37" s="1404"/>
      <c r="P37" s="1404"/>
      <c r="Q37" s="1404"/>
      <c r="R37" s="1404"/>
      <c r="S37" s="1404"/>
      <c r="T37" s="1404"/>
      <c r="U37" s="1404"/>
      <c r="V37" s="1404"/>
      <c r="W37" s="1404"/>
      <c r="X37" s="1404"/>
      <c r="Y37" s="1404"/>
      <c r="Z37" s="1404"/>
      <c r="AA37" s="1404"/>
      <c r="AB37" s="1404"/>
      <c r="AC37" s="1404"/>
      <c r="AD37" s="1404"/>
      <c r="AE37" s="1404"/>
      <c r="AF37" s="1404"/>
      <c r="AG37" s="1404"/>
      <c r="AH37" s="1404"/>
      <c r="AI37" s="820"/>
      <c r="AJ37" s="820"/>
      <c r="AK37" s="820"/>
      <c r="AL37" s="820"/>
    </row>
    <row r="38" spans="1:41" ht="25.05" customHeight="1">
      <c r="A38" s="438"/>
      <c r="B38" s="630" t="s">
        <v>1175</v>
      </c>
      <c r="C38" s="629"/>
      <c r="D38" s="630" t="s">
        <v>1176</v>
      </c>
      <c r="E38" s="629"/>
      <c r="F38" s="630" t="s">
        <v>520</v>
      </c>
      <c r="G38" s="629"/>
      <c r="H38" s="630" t="s">
        <v>1177</v>
      </c>
      <c r="I38" s="629"/>
      <c r="J38" s="630" t="s">
        <v>1178</v>
      </c>
      <c r="K38" s="629"/>
      <c r="L38" s="630" t="s">
        <v>1179</v>
      </c>
      <c r="M38" s="629"/>
      <c r="N38" s="630" t="s">
        <v>1180</v>
      </c>
      <c r="O38" s="629"/>
      <c r="P38" s="630" t="s">
        <v>1181</v>
      </c>
      <c r="Q38" s="629"/>
      <c r="R38" s="630" t="s">
        <v>1452</v>
      </c>
      <c r="S38" s="629"/>
      <c r="T38" s="630" t="s">
        <v>1182</v>
      </c>
      <c r="U38" s="629"/>
      <c r="V38" s="630" t="s">
        <v>1183</v>
      </c>
      <c r="W38" s="629"/>
      <c r="X38" s="630" t="s">
        <v>1184</v>
      </c>
      <c r="Y38" s="629"/>
      <c r="Z38" s="630" t="s">
        <v>1185</v>
      </c>
      <c r="AA38" s="629"/>
      <c r="AB38" s="630" t="s">
        <v>1186</v>
      </c>
      <c r="AC38" s="648"/>
      <c r="AD38" s="649"/>
      <c r="AE38" s="642"/>
      <c r="AF38" s="642"/>
      <c r="AG38" s="642"/>
    </row>
    <row r="39" spans="1:41" ht="33.6">
      <c r="A39" s="438"/>
      <c r="B39" s="658"/>
      <c r="C39" s="648"/>
      <c r="D39" s="658"/>
      <c r="E39" s="648"/>
      <c r="F39" s="658"/>
      <c r="G39" s="648"/>
      <c r="H39" s="658"/>
      <c r="I39" s="648"/>
      <c r="J39" s="658"/>
      <c r="K39" s="648"/>
      <c r="L39" s="658"/>
      <c r="M39" s="648"/>
      <c r="N39" s="658"/>
      <c r="O39" s="648"/>
      <c r="P39" s="658"/>
      <c r="Q39" s="648"/>
      <c r="R39" s="658"/>
      <c r="S39" s="648"/>
      <c r="T39" s="658"/>
      <c r="U39" s="648"/>
      <c r="V39" s="658"/>
      <c r="W39" s="648"/>
      <c r="X39" s="658"/>
      <c r="Y39" s="648"/>
      <c r="Z39" s="658"/>
      <c r="AA39" s="648"/>
      <c r="AB39" s="658"/>
      <c r="AC39" s="648"/>
      <c r="AD39" s="649"/>
      <c r="AE39" s="642"/>
      <c r="AF39" s="642"/>
      <c r="AG39" s="642"/>
    </row>
    <row r="40" spans="1:41" ht="15" customHeight="1" thickBot="1">
      <c r="A40" s="438"/>
      <c r="B40" s="660"/>
      <c r="C40" s="648"/>
      <c r="D40" s="660"/>
      <c r="E40" s="648"/>
      <c r="F40" s="660"/>
      <c r="G40" s="648"/>
      <c r="H40" s="660"/>
      <c r="I40" s="648"/>
      <c r="J40" s="660"/>
      <c r="K40" s="648"/>
      <c r="L40" s="660"/>
      <c r="M40" s="648"/>
      <c r="N40" s="660"/>
      <c r="O40" s="648"/>
      <c r="P40" s="660"/>
      <c r="Q40" s="648"/>
      <c r="R40" s="660"/>
      <c r="S40" s="648"/>
      <c r="T40" s="660"/>
      <c r="U40" s="648"/>
      <c r="V40" s="660"/>
      <c r="W40" s="648"/>
      <c r="X40" s="660"/>
      <c r="Y40" s="648"/>
      <c r="Z40" s="660"/>
      <c r="AA40" s="648"/>
      <c r="AB40" s="660"/>
      <c r="AC40" s="648"/>
      <c r="AD40" s="649"/>
      <c r="AE40" s="642"/>
      <c r="AF40" s="642"/>
      <c r="AG40" s="642"/>
    </row>
    <row r="41" spans="1:41" ht="100.05" customHeight="1" thickBot="1">
      <c r="A41" s="438"/>
      <c r="B41" s="637"/>
      <c r="C41" s="653">
        <v>412.596</v>
      </c>
      <c r="D41" s="637"/>
      <c r="E41" s="653">
        <v>340.11200000000002</v>
      </c>
      <c r="F41" s="637"/>
      <c r="G41" s="653">
        <v>410.76</v>
      </c>
      <c r="H41" s="637"/>
      <c r="I41" s="653">
        <v>427.9</v>
      </c>
      <c r="J41" s="637"/>
      <c r="K41" s="653">
        <v>404.21</v>
      </c>
      <c r="L41" s="637"/>
      <c r="M41" s="653">
        <v>398.44600000000003</v>
      </c>
      <c r="N41" s="637"/>
      <c r="O41" s="653">
        <v>431.93900000000002</v>
      </c>
      <c r="P41" s="637"/>
      <c r="Q41" s="653">
        <v>486.19600000000003</v>
      </c>
      <c r="R41" s="637"/>
      <c r="S41" s="653">
        <v>369.71699999999998</v>
      </c>
      <c r="T41" s="637"/>
      <c r="U41" s="653">
        <v>389.34399999999999</v>
      </c>
      <c r="V41" s="637"/>
      <c r="W41" s="653">
        <v>395.60199999999998</v>
      </c>
      <c r="X41" s="637"/>
      <c r="Y41" s="653">
        <v>375</v>
      </c>
      <c r="Z41" s="637"/>
      <c r="AA41" s="653">
        <v>462</v>
      </c>
      <c r="AB41" s="637"/>
      <c r="AC41" s="653">
        <v>382</v>
      </c>
      <c r="AD41" s="649"/>
      <c r="AE41" s="642"/>
      <c r="AF41" s="642"/>
      <c r="AG41" s="642"/>
      <c r="AM41" s="809">
        <f>COUNTIF(B41:AB41,"U/P")</f>
        <v>0</v>
      </c>
      <c r="AN41" s="809">
        <f>COUNTIF(C41:AC41,"ROW")</f>
        <v>0</v>
      </c>
      <c r="AO41" s="809">
        <f>COUNTIF(D41:AD41,"C")</f>
        <v>0</v>
      </c>
    </row>
    <row r="42" spans="1:41" ht="34.200000000000003" thickBot="1">
      <c r="A42" s="438"/>
      <c r="B42" s="656"/>
      <c r="C42" s="648"/>
      <c r="D42" s="656"/>
      <c r="E42" s="648"/>
      <c r="F42" s="656"/>
      <c r="G42" s="648"/>
      <c r="H42" s="656"/>
      <c r="I42" s="648"/>
      <c r="J42" s="656"/>
      <c r="K42" s="648"/>
      <c r="L42" s="656"/>
      <c r="M42" s="648"/>
      <c r="N42" s="656"/>
      <c r="O42" s="648"/>
      <c r="P42" s="656"/>
      <c r="Q42" s="648"/>
      <c r="R42" s="656"/>
      <c r="S42" s="648"/>
      <c r="T42" s="656"/>
      <c r="U42" s="648"/>
      <c r="V42" s="656"/>
      <c r="W42" s="648"/>
      <c r="X42" s="656"/>
      <c r="Y42" s="648"/>
      <c r="Z42" s="656"/>
      <c r="AA42" s="648"/>
      <c r="AB42" s="656"/>
      <c r="AC42" s="648"/>
      <c r="AD42" s="649"/>
      <c r="AE42" s="642"/>
      <c r="AF42" s="642"/>
      <c r="AG42" s="642"/>
    </row>
    <row r="43" spans="1:41" ht="33.6">
      <c r="A43" s="438"/>
      <c r="B43" s="644" t="s">
        <v>147</v>
      </c>
      <c r="C43" s="644"/>
      <c r="D43" s="644" t="s">
        <v>150</v>
      </c>
      <c r="E43" s="644"/>
      <c r="F43" s="645" t="s">
        <v>84</v>
      </c>
      <c r="G43" s="644"/>
      <c r="H43" s="644" t="s">
        <v>150</v>
      </c>
      <c r="I43" s="644"/>
      <c r="J43" s="644" t="s">
        <v>206</v>
      </c>
      <c r="K43" s="644"/>
      <c r="L43" s="644" t="s">
        <v>147</v>
      </c>
      <c r="M43" s="644"/>
      <c r="N43" s="644" t="s">
        <v>150</v>
      </c>
      <c r="O43" s="644"/>
      <c r="P43" s="645" t="s">
        <v>97</v>
      </c>
      <c r="Q43" s="644"/>
      <c r="R43" s="645" t="s">
        <v>102</v>
      </c>
      <c r="S43" s="644"/>
      <c r="T43" s="644" t="s">
        <v>150</v>
      </c>
      <c r="U43" s="644"/>
      <c r="V43" s="644" t="s">
        <v>147</v>
      </c>
      <c r="W43" s="644"/>
      <c r="X43" s="644" t="s">
        <v>150</v>
      </c>
      <c r="Y43" s="644"/>
      <c r="Z43" s="644" t="s">
        <v>206</v>
      </c>
      <c r="AA43" s="644"/>
      <c r="AB43" s="644" t="s">
        <v>147</v>
      </c>
      <c r="AC43" s="648"/>
      <c r="AD43" s="649"/>
      <c r="AE43" s="642"/>
      <c r="AF43" s="642"/>
      <c r="AG43" s="642"/>
    </row>
    <row r="44" spans="1:41" ht="30.45" customHeight="1">
      <c r="A44" s="1394" t="s">
        <v>1453</v>
      </c>
      <c r="B44" s="1395"/>
      <c r="C44" s="1395"/>
      <c r="D44" s="1395"/>
      <c r="E44" s="1395"/>
      <c r="F44" s="1395"/>
      <c r="G44" s="1395"/>
      <c r="H44" s="1395"/>
      <c r="I44" s="1395"/>
      <c r="J44" s="1395"/>
      <c r="K44" s="1395"/>
      <c r="L44" s="1395"/>
      <c r="M44" s="1395"/>
      <c r="N44" s="1395"/>
      <c r="O44" s="1395"/>
      <c r="P44" s="1395"/>
      <c r="Q44" s="1395"/>
      <c r="R44" s="1395"/>
      <c r="S44" s="1395"/>
      <c r="T44" s="1395"/>
      <c r="U44" s="1395"/>
      <c r="V44" s="1395"/>
      <c r="W44" s="1395"/>
      <c r="X44" s="1395"/>
      <c r="Y44" s="1395"/>
      <c r="Z44" s="1395"/>
      <c r="AA44" s="1395"/>
      <c r="AB44" s="1395"/>
      <c r="AC44" s="1395"/>
      <c r="AD44" s="1395"/>
      <c r="AE44" s="1395"/>
      <c r="AF44" s="1395"/>
      <c r="AG44" s="1395"/>
      <c r="AH44" s="1395"/>
      <c r="AI44" s="817"/>
      <c r="AJ44" s="817"/>
      <c r="AK44" s="817"/>
      <c r="AL44" s="817"/>
    </row>
    <row r="45" spans="1:41" ht="67.05" customHeight="1">
      <c r="A45" s="438"/>
      <c r="B45" s="630" t="s">
        <v>1187</v>
      </c>
      <c r="C45" s="629"/>
      <c r="D45" s="630" t="s">
        <v>1188</v>
      </c>
      <c r="E45" s="629"/>
      <c r="F45" s="630" t="s">
        <v>1189</v>
      </c>
      <c r="G45" s="629"/>
      <c r="H45" s="630" t="s">
        <v>1190</v>
      </c>
      <c r="I45" s="629"/>
      <c r="J45" s="630" t="s">
        <v>1191</v>
      </c>
      <c r="K45" s="629"/>
      <c r="L45" s="1396" t="s">
        <v>1192</v>
      </c>
      <c r="M45" s="1396"/>
      <c r="N45" s="1396" t="s">
        <v>1193</v>
      </c>
      <c r="O45" s="1396"/>
      <c r="P45" s="1396" t="s">
        <v>1194</v>
      </c>
      <c r="Q45" s="1396"/>
      <c r="R45" s="1396" t="s">
        <v>1195</v>
      </c>
      <c r="S45" s="1396"/>
      <c r="T45" s="1396" t="s">
        <v>1196</v>
      </c>
      <c r="U45" s="1396"/>
      <c r="V45" s="1396" t="s">
        <v>537</v>
      </c>
      <c r="W45" s="1396"/>
      <c r="X45" s="630" t="s">
        <v>1197</v>
      </c>
      <c r="Y45" s="629"/>
      <c r="Z45" s="630" t="s">
        <v>1198</v>
      </c>
      <c r="AA45" s="629"/>
      <c r="AB45" s="630" t="s">
        <v>1199</v>
      </c>
      <c r="AC45" s="648"/>
      <c r="AD45" s="649"/>
      <c r="AE45" s="642"/>
      <c r="AF45" s="642"/>
      <c r="AG45" s="642"/>
    </row>
    <row r="46" spans="1:41" ht="33.6">
      <c r="A46" s="438"/>
      <c r="B46" s="658"/>
      <c r="C46" s="648"/>
      <c r="D46" s="658"/>
      <c r="E46" s="648"/>
      <c r="F46" s="658"/>
      <c r="G46" s="648"/>
      <c r="H46" s="658"/>
      <c r="I46" s="648"/>
      <c r="J46" s="658"/>
      <c r="K46" s="648"/>
      <c r="L46" s="658"/>
      <c r="M46" s="648"/>
      <c r="N46" s="658"/>
      <c r="O46" s="648"/>
      <c r="P46" s="658"/>
      <c r="Q46" s="648"/>
      <c r="R46" s="658"/>
      <c r="S46" s="648"/>
      <c r="T46" s="658"/>
      <c r="U46" s="648"/>
      <c r="V46" s="658"/>
      <c r="W46" s="648"/>
      <c r="X46" s="658"/>
      <c r="Y46" s="648"/>
      <c r="Z46" s="658"/>
      <c r="AA46" s="648"/>
      <c r="AB46" s="658"/>
      <c r="AC46" s="648"/>
      <c r="AD46" s="649"/>
      <c r="AE46" s="642"/>
      <c r="AF46" s="642"/>
      <c r="AG46" s="642"/>
    </row>
    <row r="47" spans="1:41" ht="16.5" customHeight="1" thickBot="1">
      <c r="A47" s="438"/>
      <c r="B47" s="660"/>
      <c r="C47" s="648"/>
      <c r="D47" s="660"/>
      <c r="E47" s="648"/>
      <c r="F47" s="660"/>
      <c r="G47" s="648"/>
      <c r="H47" s="660"/>
      <c r="I47" s="648"/>
      <c r="J47" s="660"/>
      <c r="K47" s="648"/>
      <c r="L47" s="660"/>
      <c r="M47" s="648"/>
      <c r="N47" s="660"/>
      <c r="O47" s="648"/>
      <c r="P47" s="660"/>
      <c r="Q47" s="648"/>
      <c r="R47" s="660"/>
      <c r="S47" s="648"/>
      <c r="T47" s="660"/>
      <c r="U47" s="648"/>
      <c r="V47" s="660"/>
      <c r="W47" s="648"/>
      <c r="X47" s="660"/>
      <c r="Y47" s="648"/>
      <c r="Z47" s="660"/>
      <c r="AA47" s="648"/>
      <c r="AB47" s="660"/>
      <c r="AC47" s="648"/>
      <c r="AD47" s="649"/>
      <c r="AE47" s="642"/>
      <c r="AF47" s="642"/>
      <c r="AG47" s="642"/>
    </row>
    <row r="48" spans="1:41" ht="100.05" customHeight="1" thickBot="1">
      <c r="A48" s="438"/>
      <c r="B48" s="637"/>
      <c r="C48" s="653">
        <v>428</v>
      </c>
      <c r="D48" s="637"/>
      <c r="E48" s="653">
        <v>411</v>
      </c>
      <c r="F48" s="637"/>
      <c r="G48" s="653">
        <v>352</v>
      </c>
      <c r="H48" s="637"/>
      <c r="I48" s="653">
        <v>405</v>
      </c>
      <c r="J48" s="637"/>
      <c r="K48" s="653">
        <v>400.12599999999998</v>
      </c>
      <c r="L48" s="637"/>
      <c r="M48" s="653">
        <v>384</v>
      </c>
      <c r="N48" s="637"/>
      <c r="O48" s="653">
        <v>406</v>
      </c>
      <c r="P48" s="637"/>
      <c r="Q48" s="653">
        <v>378</v>
      </c>
      <c r="R48" s="637"/>
      <c r="S48" s="653">
        <v>373</v>
      </c>
      <c r="T48" s="637"/>
      <c r="U48" s="653">
        <v>378.36200000000002</v>
      </c>
      <c r="V48" s="637"/>
      <c r="W48" s="653">
        <v>433.995</v>
      </c>
      <c r="X48" s="637"/>
      <c r="Y48" s="653">
        <v>370.685</v>
      </c>
      <c r="Z48" s="637"/>
      <c r="AA48" s="653">
        <v>323.97199999999998</v>
      </c>
      <c r="AB48" s="637"/>
      <c r="AC48" s="653">
        <v>384.46199999999999</v>
      </c>
      <c r="AD48" s="649"/>
      <c r="AE48" s="642"/>
      <c r="AF48" s="642"/>
      <c r="AG48" s="642"/>
      <c r="AM48" s="809">
        <f>COUNTIF(B48:AB48,"U/P")</f>
        <v>0</v>
      </c>
      <c r="AN48" s="809">
        <f>COUNTIF(C48:AC48,"ROW")</f>
        <v>0</v>
      </c>
      <c r="AO48" s="809">
        <f>COUNTIF(D48:AD48,"C")</f>
        <v>0</v>
      </c>
    </row>
    <row r="49" spans="1:41" ht="34.200000000000003" thickBot="1">
      <c r="A49" s="438"/>
      <c r="B49" s="656"/>
      <c r="C49" s="648"/>
      <c r="D49" s="656"/>
      <c r="E49" s="648"/>
      <c r="F49" s="656"/>
      <c r="G49" s="648"/>
      <c r="H49" s="656"/>
      <c r="I49" s="648"/>
      <c r="J49" s="656"/>
      <c r="K49" s="648"/>
      <c r="L49" s="656"/>
      <c r="M49" s="648"/>
      <c r="N49" s="656"/>
      <c r="O49" s="648"/>
      <c r="P49" s="656"/>
      <c r="Q49" s="648"/>
      <c r="R49" s="656"/>
      <c r="S49" s="648"/>
      <c r="T49" s="656"/>
      <c r="U49" s="648"/>
      <c r="V49" s="656"/>
      <c r="W49" s="648"/>
      <c r="X49" s="656"/>
      <c r="Y49" s="648"/>
      <c r="Z49" s="656"/>
      <c r="AA49" s="648"/>
      <c r="AB49" s="656"/>
      <c r="AC49" s="648"/>
      <c r="AD49" s="649"/>
      <c r="AE49" s="642"/>
      <c r="AF49" s="642"/>
      <c r="AG49" s="642"/>
    </row>
    <row r="50" spans="1:41" ht="33.6">
      <c r="A50" s="438"/>
      <c r="B50" s="644" t="s">
        <v>147</v>
      </c>
      <c r="C50" s="644"/>
      <c r="D50" s="644" t="s">
        <v>147</v>
      </c>
      <c r="E50" s="644"/>
      <c r="F50" s="644" t="s">
        <v>147</v>
      </c>
      <c r="G50" s="644"/>
      <c r="H50" s="645" t="s">
        <v>84</v>
      </c>
      <c r="I50" s="644"/>
      <c r="J50" s="644" t="s">
        <v>147</v>
      </c>
      <c r="K50" s="644"/>
      <c r="L50" s="644" t="s">
        <v>150</v>
      </c>
      <c r="M50" s="644"/>
      <c r="N50" s="644" t="s">
        <v>150</v>
      </c>
      <c r="O50" s="644"/>
      <c r="P50" s="644" t="s">
        <v>150</v>
      </c>
      <c r="Q50" s="644"/>
      <c r="R50" s="644" t="s">
        <v>147</v>
      </c>
      <c r="S50" s="644"/>
      <c r="T50" s="644" t="s">
        <v>206</v>
      </c>
      <c r="U50" s="644"/>
      <c r="V50" s="645" t="s">
        <v>84</v>
      </c>
      <c r="W50" s="644"/>
      <c r="X50" s="644" t="s">
        <v>150</v>
      </c>
      <c r="Y50" s="644"/>
      <c r="Z50" s="644" t="s">
        <v>147</v>
      </c>
      <c r="AA50" s="644"/>
      <c r="AB50" s="644" t="s">
        <v>147</v>
      </c>
      <c r="AC50" s="648"/>
      <c r="AD50" s="649"/>
      <c r="AE50" s="641"/>
      <c r="AF50" s="642"/>
      <c r="AG50" s="642"/>
    </row>
    <row r="51" spans="1:41" ht="29.55" customHeight="1">
      <c r="A51" s="438"/>
      <c r="B51" s="662"/>
      <c r="C51" s="662"/>
      <c r="D51" s="663" t="s">
        <v>1529</v>
      </c>
      <c r="E51" s="662"/>
      <c r="F51" s="662"/>
      <c r="G51" s="662"/>
      <c r="H51" s="662"/>
      <c r="I51" s="662"/>
      <c r="J51" s="663" t="s">
        <v>1529</v>
      </c>
      <c r="K51" s="662"/>
      <c r="L51" s="662"/>
      <c r="M51" s="662"/>
      <c r="N51" s="662"/>
      <c r="O51" s="662"/>
      <c r="P51" s="662"/>
      <c r="Q51" s="662"/>
      <c r="R51" s="662"/>
      <c r="S51" s="662"/>
      <c r="T51" s="662"/>
      <c r="U51" s="662"/>
      <c r="V51" s="662"/>
      <c r="W51" s="662"/>
      <c r="X51" s="662"/>
      <c r="Y51" s="662"/>
      <c r="Z51" s="662"/>
      <c r="AA51" s="662"/>
      <c r="AB51" s="662"/>
      <c r="AC51" s="651"/>
      <c r="AD51" s="649"/>
      <c r="AE51" s="641"/>
      <c r="AF51" s="642"/>
      <c r="AG51" s="642"/>
    </row>
    <row r="52" spans="1:41" ht="41.55" customHeight="1">
      <c r="A52" s="1403" t="s">
        <v>1453</v>
      </c>
      <c r="B52" s="1404"/>
      <c r="C52" s="1404"/>
      <c r="D52" s="1404"/>
      <c r="E52" s="1404"/>
      <c r="F52" s="1404"/>
      <c r="G52" s="1404"/>
      <c r="H52" s="1404"/>
      <c r="I52" s="1404"/>
      <c r="J52" s="1404"/>
      <c r="K52" s="1404"/>
      <c r="L52" s="1404"/>
      <c r="M52" s="1404"/>
      <c r="N52" s="1404"/>
      <c r="O52" s="1404"/>
      <c r="P52" s="1404"/>
      <c r="Q52" s="1404"/>
      <c r="R52" s="1404"/>
      <c r="S52" s="1404"/>
      <c r="T52" s="1404"/>
      <c r="U52" s="1404"/>
      <c r="V52" s="1404"/>
      <c r="W52" s="1404"/>
      <c r="X52" s="1404"/>
      <c r="Y52" s="1404"/>
      <c r="Z52" s="1404"/>
      <c r="AA52" s="1404"/>
      <c r="AB52" s="1404"/>
      <c r="AC52" s="1404"/>
      <c r="AD52" s="1404"/>
      <c r="AE52" s="1404"/>
      <c r="AF52" s="1404"/>
      <c r="AG52" s="1404"/>
      <c r="AH52" s="1404"/>
      <c r="AI52" s="817"/>
      <c r="AJ52" s="817"/>
      <c r="AK52" s="817"/>
      <c r="AL52" s="817"/>
    </row>
    <row r="53" spans="1:41" ht="29.55" customHeight="1">
      <c r="A53" s="664"/>
      <c r="B53" s="665"/>
      <c r="C53" s="665"/>
      <c r="D53" s="665"/>
      <c r="E53" s="665"/>
      <c r="F53" s="665"/>
      <c r="G53" s="665"/>
      <c r="H53" s="665"/>
      <c r="I53" s="665"/>
      <c r="J53" s="665"/>
      <c r="K53" s="665"/>
      <c r="L53" s="665"/>
      <c r="M53" s="665"/>
      <c r="N53" s="665"/>
      <c r="O53" s="665"/>
      <c r="P53" s="665"/>
      <c r="Q53" s="665"/>
      <c r="R53" s="665"/>
      <c r="S53" s="665"/>
      <c r="T53" s="665"/>
      <c r="U53" s="665"/>
      <c r="V53" s="665"/>
      <c r="W53" s="665"/>
      <c r="X53" s="665"/>
      <c r="Y53" s="665"/>
      <c r="Z53" s="665"/>
      <c r="AA53" s="665"/>
      <c r="AB53" s="665"/>
      <c r="AC53" s="665"/>
      <c r="AD53" s="665"/>
      <c r="AE53" s="665"/>
      <c r="AF53" s="665"/>
      <c r="AG53" s="665"/>
      <c r="AH53" s="665"/>
      <c r="AI53" s="665"/>
      <c r="AJ53" s="665"/>
      <c r="AK53" s="665"/>
      <c r="AL53" s="665"/>
    </row>
    <row r="54" spans="1:41" ht="67.05" customHeight="1">
      <c r="A54" s="438"/>
      <c r="B54" s="630" t="s">
        <v>1200</v>
      </c>
      <c r="C54" s="629"/>
      <c r="D54" s="630" t="s">
        <v>1201</v>
      </c>
      <c r="E54" s="629"/>
      <c r="F54" s="630" t="s">
        <v>1202</v>
      </c>
      <c r="G54" s="629"/>
      <c r="H54" s="630" t="s">
        <v>539</v>
      </c>
      <c r="I54" s="629"/>
      <c r="J54" s="630" t="s">
        <v>1203</v>
      </c>
      <c r="K54" s="629"/>
      <c r="L54" s="630" t="s">
        <v>1204</v>
      </c>
      <c r="M54" s="629"/>
      <c r="N54" s="1407" t="s">
        <v>548</v>
      </c>
      <c r="O54" s="1407"/>
      <c r="P54" s="630" t="s">
        <v>1205</v>
      </c>
      <c r="Q54" s="629"/>
      <c r="R54" s="630" t="s">
        <v>1206</v>
      </c>
      <c r="S54" s="629"/>
      <c r="T54" s="630" t="s">
        <v>1207</v>
      </c>
      <c r="U54" s="629"/>
      <c r="V54" s="1407" t="s">
        <v>553</v>
      </c>
      <c r="W54" s="1407"/>
      <c r="X54" s="630" t="s">
        <v>1208</v>
      </c>
      <c r="Y54" s="629"/>
      <c r="Z54" s="1407" t="s">
        <v>554</v>
      </c>
      <c r="AA54" s="1407"/>
      <c r="AB54" s="630" t="s">
        <v>1209</v>
      </c>
      <c r="AC54" s="648"/>
      <c r="AD54" s="666"/>
      <c r="AE54" s="642"/>
      <c r="AF54" s="642"/>
      <c r="AG54" s="642"/>
    </row>
    <row r="55" spans="1:41" ht="33.6">
      <c r="A55" s="438"/>
      <c r="B55" s="658"/>
      <c r="C55" s="648"/>
      <c r="D55" s="658"/>
      <c r="E55" s="659"/>
      <c r="F55" s="658"/>
      <c r="G55" s="659"/>
      <c r="H55" s="658"/>
      <c r="I55" s="648"/>
      <c r="J55" s="658"/>
      <c r="K55" s="648"/>
      <c r="L55" s="658"/>
      <c r="M55" s="648"/>
      <c r="N55" s="658"/>
      <c r="O55" s="648"/>
      <c r="P55" s="658"/>
      <c r="Q55" s="648"/>
      <c r="R55" s="658"/>
      <c r="S55" s="659"/>
      <c r="T55" s="658"/>
      <c r="U55" s="659"/>
      <c r="V55" s="658"/>
      <c r="W55" s="644"/>
      <c r="X55" s="658"/>
      <c r="Y55" s="648"/>
      <c r="Z55" s="658"/>
      <c r="AA55" s="667"/>
      <c r="AB55" s="658"/>
      <c r="AC55" s="648"/>
      <c r="AD55" s="666"/>
      <c r="AE55" s="642"/>
      <c r="AF55" s="642"/>
      <c r="AG55" s="642"/>
    </row>
    <row r="56" spans="1:41" ht="13.95" customHeight="1" thickBot="1">
      <c r="A56" s="438"/>
      <c r="B56" s="660"/>
      <c r="C56" s="648"/>
      <c r="D56" s="660"/>
      <c r="E56" s="648"/>
      <c r="F56" s="660"/>
      <c r="G56" s="648"/>
      <c r="H56" s="660"/>
      <c r="I56" s="648"/>
      <c r="J56" s="660"/>
      <c r="K56" s="648"/>
      <c r="L56" s="660"/>
      <c r="M56" s="648"/>
      <c r="N56" s="660"/>
      <c r="O56" s="648"/>
      <c r="P56" s="660"/>
      <c r="Q56" s="648"/>
      <c r="R56" s="660"/>
      <c r="S56" s="648"/>
      <c r="T56" s="660"/>
      <c r="U56" s="648"/>
      <c r="V56" s="660"/>
      <c r="W56" s="648"/>
      <c r="X56" s="660"/>
      <c r="Y56" s="648"/>
      <c r="Z56" s="660"/>
      <c r="AA56" s="648"/>
      <c r="AB56" s="660"/>
      <c r="AC56" s="648"/>
      <c r="AD56" s="666"/>
      <c r="AE56" s="642"/>
      <c r="AF56" s="642"/>
      <c r="AG56" s="642"/>
    </row>
    <row r="57" spans="1:41" ht="100.05" customHeight="1" thickBot="1">
      <c r="A57" s="438"/>
      <c r="B57" s="637"/>
      <c r="C57" s="653">
        <v>381.18799999999999</v>
      </c>
      <c r="D57" s="637"/>
      <c r="E57" s="653">
        <v>336.40899999999999</v>
      </c>
      <c r="F57" s="637"/>
      <c r="G57" s="653">
        <v>438.97</v>
      </c>
      <c r="H57" s="637"/>
      <c r="I57" s="653">
        <v>395.17899999999997</v>
      </c>
      <c r="J57" s="637"/>
      <c r="K57" s="653">
        <v>388.12</v>
      </c>
      <c r="L57" s="637"/>
      <c r="M57" s="653">
        <v>364.44600000000003</v>
      </c>
      <c r="N57" s="637"/>
      <c r="O57" s="653">
        <v>404.572</v>
      </c>
      <c r="P57" s="637"/>
      <c r="Q57" s="653">
        <v>432.27</v>
      </c>
      <c r="R57" s="637"/>
      <c r="S57" s="653">
        <v>404.23</v>
      </c>
      <c r="T57" s="637"/>
      <c r="U57" s="653">
        <v>416.62099999999998</v>
      </c>
      <c r="V57" s="637"/>
      <c r="W57" s="653">
        <v>468.03899999999999</v>
      </c>
      <c r="X57" s="637"/>
      <c r="Y57" s="653">
        <v>432.31799999999998</v>
      </c>
      <c r="Z57" s="637"/>
      <c r="AA57" s="653">
        <v>464.52100000000002</v>
      </c>
      <c r="AB57" s="637"/>
      <c r="AC57" s="653">
        <v>369.74299999999999</v>
      </c>
      <c r="AD57" s="666"/>
      <c r="AE57" s="642"/>
      <c r="AF57" s="642"/>
      <c r="AG57" s="642"/>
      <c r="AM57" s="809">
        <f>COUNTIF(B57:AB57,"U/P")</f>
        <v>0</v>
      </c>
      <c r="AN57" s="809">
        <f>COUNTIF(C57:AC57,"ROW")</f>
        <v>0</v>
      </c>
      <c r="AO57" s="809">
        <f>COUNTIF(D57:AD57,"C")</f>
        <v>0</v>
      </c>
    </row>
    <row r="58" spans="1:41" ht="34.200000000000003" thickBot="1">
      <c r="A58" s="438"/>
      <c r="B58" s="656"/>
      <c r="C58" s="648"/>
      <c r="D58" s="656"/>
      <c r="E58" s="648"/>
      <c r="F58" s="656"/>
      <c r="G58" s="648"/>
      <c r="H58" s="656"/>
      <c r="I58" s="648"/>
      <c r="J58" s="656"/>
      <c r="K58" s="648"/>
      <c r="L58" s="656"/>
      <c r="M58" s="648"/>
      <c r="N58" s="656"/>
      <c r="O58" s="648"/>
      <c r="P58" s="656"/>
      <c r="Q58" s="648"/>
      <c r="R58" s="656"/>
      <c r="S58" s="648"/>
      <c r="T58" s="656"/>
      <c r="U58" s="648"/>
      <c r="V58" s="656"/>
      <c r="W58" s="648"/>
      <c r="X58" s="656"/>
      <c r="Y58" s="648"/>
      <c r="Z58" s="656"/>
      <c r="AA58" s="648"/>
      <c r="AB58" s="656"/>
      <c r="AC58" s="648"/>
      <c r="AD58" s="666"/>
      <c r="AE58" s="642"/>
      <c r="AF58" s="642"/>
      <c r="AG58" s="642"/>
    </row>
    <row r="59" spans="1:41" ht="33.6">
      <c r="A59" s="438"/>
      <c r="B59" s="644" t="s">
        <v>147</v>
      </c>
      <c r="C59" s="644"/>
      <c r="D59" s="644" t="s">
        <v>147</v>
      </c>
      <c r="E59" s="644"/>
      <c r="F59" s="644" t="s">
        <v>147</v>
      </c>
      <c r="G59" s="644"/>
      <c r="H59" s="645" t="s">
        <v>84</v>
      </c>
      <c r="I59" s="644"/>
      <c r="J59" s="644" t="s">
        <v>147</v>
      </c>
      <c r="K59" s="644"/>
      <c r="L59" s="644" t="s">
        <v>150</v>
      </c>
      <c r="M59" s="644"/>
      <c r="N59" s="645" t="s">
        <v>80</v>
      </c>
      <c r="O59" s="644"/>
      <c r="P59" s="644" t="s">
        <v>212</v>
      </c>
      <c r="Q59" s="644"/>
      <c r="R59" s="644" t="s">
        <v>206</v>
      </c>
      <c r="S59" s="644"/>
      <c r="T59" s="644" t="s">
        <v>150</v>
      </c>
      <c r="U59" s="644"/>
      <c r="V59" s="645" t="s">
        <v>84</v>
      </c>
      <c r="W59" s="644"/>
      <c r="X59" s="645" t="s">
        <v>97</v>
      </c>
      <c r="Y59" s="644"/>
      <c r="Z59" s="645" t="s">
        <v>88</v>
      </c>
      <c r="AA59" s="644"/>
      <c r="AB59" s="644" t="s">
        <v>206</v>
      </c>
      <c r="AC59" s="648"/>
      <c r="AD59" s="666"/>
      <c r="AE59" s="642"/>
      <c r="AF59" s="642"/>
      <c r="AG59" s="642"/>
    </row>
    <row r="60" spans="1:41" ht="51" customHeight="1">
      <c r="A60" s="438"/>
      <c r="B60" s="644"/>
      <c r="C60" s="644"/>
      <c r="D60" s="644"/>
      <c r="E60" s="644"/>
      <c r="F60" s="644"/>
      <c r="G60" s="644"/>
      <c r="H60" s="644"/>
      <c r="I60" s="1405" t="s">
        <v>1454</v>
      </c>
      <c r="J60" s="1405"/>
      <c r="K60" s="653"/>
      <c r="L60" s="1406" t="s">
        <v>1455</v>
      </c>
      <c r="M60" s="1406"/>
      <c r="N60" s="644"/>
      <c r="O60" s="644"/>
      <c r="P60" s="644"/>
      <c r="Q60" s="644"/>
      <c r="R60" s="644"/>
      <c r="S60" s="644"/>
      <c r="T60" s="644"/>
      <c r="U60" s="644"/>
      <c r="V60" s="675" t="s">
        <v>1575</v>
      </c>
      <c r="W60" s="644"/>
      <c r="X60" s="644"/>
      <c r="Y60" s="644"/>
      <c r="Z60" s="644"/>
      <c r="AA60" s="644"/>
      <c r="AB60" s="644"/>
      <c r="AC60" s="648"/>
      <c r="AD60" s="666"/>
      <c r="AE60" s="642"/>
      <c r="AF60" s="642"/>
      <c r="AG60" s="642"/>
    </row>
    <row r="61" spans="1:41" ht="33.450000000000003" customHeight="1">
      <c r="A61" s="1403" t="s">
        <v>1453</v>
      </c>
      <c r="B61" s="1404"/>
      <c r="C61" s="1404"/>
      <c r="D61" s="1404"/>
      <c r="E61" s="1404"/>
      <c r="F61" s="1404"/>
      <c r="G61" s="1404"/>
      <c r="H61" s="1404"/>
      <c r="I61" s="1404"/>
      <c r="J61" s="1404"/>
      <c r="K61" s="1404"/>
      <c r="L61" s="1404"/>
      <c r="M61" s="1404"/>
      <c r="N61" s="1404"/>
      <c r="O61" s="1404"/>
      <c r="P61" s="1404"/>
      <c r="Q61" s="1404"/>
      <c r="R61" s="1404"/>
      <c r="S61" s="1404"/>
      <c r="T61" s="1404"/>
      <c r="U61" s="1404"/>
      <c r="V61" s="1404"/>
      <c r="W61" s="1404"/>
      <c r="X61" s="1404"/>
      <c r="Y61" s="1404"/>
      <c r="Z61" s="1404"/>
      <c r="AA61" s="1404"/>
      <c r="AB61" s="1404"/>
      <c r="AC61" s="1404"/>
      <c r="AD61" s="1404"/>
      <c r="AE61" s="1404"/>
      <c r="AF61" s="1404"/>
      <c r="AG61" s="1404"/>
      <c r="AH61" s="1404"/>
      <c r="AI61" s="817"/>
      <c r="AJ61" s="817"/>
      <c r="AK61" s="817"/>
      <c r="AL61" s="817"/>
    </row>
    <row r="62" spans="1:41" ht="23.55" customHeight="1">
      <c r="A62" s="438"/>
      <c r="B62" s="630" t="s">
        <v>559</v>
      </c>
      <c r="C62" s="629"/>
      <c r="D62" s="630" t="s">
        <v>1210</v>
      </c>
      <c r="E62" s="629"/>
      <c r="F62" s="630" t="s">
        <v>568</v>
      </c>
      <c r="G62" s="629"/>
      <c r="H62" s="630" t="s">
        <v>1211</v>
      </c>
      <c r="I62" s="629"/>
      <c r="J62" s="630" t="s">
        <v>572</v>
      </c>
      <c r="K62" s="629"/>
      <c r="L62" s="630" t="s">
        <v>1212</v>
      </c>
      <c r="M62" s="629"/>
      <c r="N62" s="630" t="s">
        <v>573</v>
      </c>
      <c r="O62" s="629"/>
      <c r="P62" s="630" t="s">
        <v>1213</v>
      </c>
      <c r="Q62" s="629"/>
      <c r="R62" s="630" t="s">
        <v>1214</v>
      </c>
      <c r="S62" s="629"/>
      <c r="T62" s="630" t="s">
        <v>1215</v>
      </c>
      <c r="U62" s="629"/>
      <c r="V62" s="630" t="s">
        <v>574</v>
      </c>
      <c r="W62" s="629"/>
      <c r="X62" s="630" t="s">
        <v>1216</v>
      </c>
      <c r="Y62" s="629"/>
      <c r="Z62" s="630" t="s">
        <v>1217</v>
      </c>
      <c r="AA62" s="629"/>
      <c r="AB62" s="630" t="s">
        <v>1218</v>
      </c>
      <c r="AC62" s="648"/>
      <c r="AD62" s="666"/>
      <c r="AE62" s="669"/>
      <c r="AF62" s="669"/>
      <c r="AG62" s="669"/>
      <c r="AH62" s="666"/>
      <c r="AI62" s="666"/>
      <c r="AJ62" s="666"/>
      <c r="AK62" s="666"/>
      <c r="AL62" s="666"/>
    </row>
    <row r="63" spans="1:41" ht="33.6">
      <c r="A63" s="438"/>
      <c r="B63" s="658"/>
      <c r="C63" s="648"/>
      <c r="D63" s="658"/>
      <c r="E63" s="648"/>
      <c r="F63" s="658"/>
      <c r="G63" s="648"/>
      <c r="H63" s="658"/>
      <c r="I63" s="648"/>
      <c r="J63" s="658"/>
      <c r="K63" s="648"/>
      <c r="L63" s="658"/>
      <c r="M63" s="659"/>
      <c r="N63" s="658"/>
      <c r="O63" s="644"/>
      <c r="P63" s="658"/>
      <c r="Q63" s="648"/>
      <c r="R63" s="658"/>
      <c r="S63" s="648"/>
      <c r="T63" s="658"/>
      <c r="U63" s="648"/>
      <c r="V63" s="658"/>
      <c r="W63" s="648"/>
      <c r="X63" s="658"/>
      <c r="Y63" s="648"/>
      <c r="Z63" s="658"/>
      <c r="AA63" s="648"/>
      <c r="AB63" s="658"/>
      <c r="AC63" s="648"/>
      <c r="AD63" s="666"/>
      <c r="AE63" s="669"/>
      <c r="AF63" s="669"/>
      <c r="AG63" s="669"/>
      <c r="AH63" s="666"/>
      <c r="AI63" s="666"/>
      <c r="AJ63" s="666"/>
      <c r="AK63" s="666"/>
      <c r="AL63" s="666"/>
    </row>
    <row r="64" spans="1:41" ht="15" customHeight="1" thickBot="1">
      <c r="A64" s="438"/>
      <c r="B64" s="660"/>
      <c r="C64" s="648"/>
      <c r="D64" s="660"/>
      <c r="E64" s="648"/>
      <c r="F64" s="660"/>
      <c r="G64" s="648"/>
      <c r="H64" s="660"/>
      <c r="I64" s="648"/>
      <c r="J64" s="660"/>
      <c r="K64" s="648"/>
      <c r="L64" s="660"/>
      <c r="M64" s="648"/>
      <c r="N64" s="660"/>
      <c r="O64" s="648"/>
      <c r="P64" s="660"/>
      <c r="Q64" s="648"/>
      <c r="R64" s="660"/>
      <c r="S64" s="648"/>
      <c r="T64" s="660"/>
      <c r="U64" s="648"/>
      <c r="V64" s="660"/>
      <c r="W64" s="648"/>
      <c r="X64" s="660"/>
      <c r="Y64" s="648"/>
      <c r="Z64" s="660"/>
      <c r="AA64" s="648"/>
      <c r="AB64" s="660"/>
      <c r="AC64" s="648"/>
      <c r="AD64" s="666"/>
      <c r="AE64" s="669"/>
      <c r="AF64" s="669"/>
      <c r="AG64" s="669"/>
      <c r="AH64" s="666"/>
      <c r="AI64" s="666"/>
      <c r="AJ64" s="666"/>
      <c r="AK64" s="666"/>
      <c r="AL64" s="666"/>
    </row>
    <row r="65" spans="1:41" ht="100.05" customHeight="1" thickBot="1">
      <c r="A65" s="438"/>
      <c r="B65" s="637"/>
      <c r="C65" s="653">
        <v>284.16000000000003</v>
      </c>
      <c r="D65" s="637"/>
      <c r="E65" s="653">
        <v>270.74200000000002</v>
      </c>
      <c r="F65" s="637"/>
      <c r="G65" s="653">
        <v>286.64</v>
      </c>
      <c r="H65" s="637"/>
      <c r="I65" s="653">
        <v>291.69900000000001</v>
      </c>
      <c r="J65" s="637"/>
      <c r="K65" s="653">
        <v>398.71899999999999</v>
      </c>
      <c r="L65" s="637"/>
      <c r="M65" s="653">
        <v>425.46499999999997</v>
      </c>
      <c r="N65" s="637"/>
      <c r="O65" s="653">
        <v>383.81299999999999</v>
      </c>
      <c r="P65" s="637"/>
      <c r="Q65" s="653">
        <v>403.279</v>
      </c>
      <c r="R65" s="637"/>
      <c r="S65" s="653">
        <v>355.21499999999997</v>
      </c>
      <c r="T65" s="637"/>
      <c r="U65" s="653">
        <v>399.839</v>
      </c>
      <c r="V65" s="637"/>
      <c r="W65" s="653">
        <v>287.44200000000001</v>
      </c>
      <c r="X65" s="637"/>
      <c r="Y65" s="653">
        <v>390.74799999999999</v>
      </c>
      <c r="Z65" s="637"/>
      <c r="AA65" s="653">
        <v>364.274</v>
      </c>
      <c r="AB65" s="637"/>
      <c r="AC65" s="653">
        <v>337.54599999999999</v>
      </c>
      <c r="AD65" s="666"/>
      <c r="AE65" s="669"/>
      <c r="AF65" s="669"/>
      <c r="AG65" s="669"/>
      <c r="AH65" s="666"/>
      <c r="AI65" s="666"/>
      <c r="AJ65" s="666"/>
      <c r="AK65" s="666"/>
      <c r="AL65" s="666"/>
      <c r="AM65" s="809">
        <f>COUNTIF(B65:AB65,"U/P")</f>
        <v>0</v>
      </c>
      <c r="AN65" s="809">
        <f>COUNTIF(C65:AC65,"ROW")</f>
        <v>0</v>
      </c>
      <c r="AO65" s="809">
        <f>COUNTIF(D65:AD65,"C")</f>
        <v>0</v>
      </c>
    </row>
    <row r="66" spans="1:41" ht="34.200000000000003" thickBot="1">
      <c r="A66" s="438"/>
      <c r="B66" s="656"/>
      <c r="C66" s="648"/>
      <c r="D66" s="656"/>
      <c r="E66" s="648"/>
      <c r="F66" s="656"/>
      <c r="G66" s="648"/>
      <c r="H66" s="656"/>
      <c r="I66" s="648"/>
      <c r="J66" s="656"/>
      <c r="K66" s="648"/>
      <c r="L66" s="656"/>
      <c r="M66" s="648"/>
      <c r="N66" s="656"/>
      <c r="O66" s="648"/>
      <c r="P66" s="656"/>
      <c r="Q66" s="648"/>
      <c r="R66" s="656"/>
      <c r="S66" s="648"/>
      <c r="T66" s="656"/>
      <c r="U66" s="648"/>
      <c r="V66" s="656"/>
      <c r="W66" s="648"/>
      <c r="X66" s="656"/>
      <c r="Y66" s="648"/>
      <c r="Z66" s="656"/>
      <c r="AA66" s="648"/>
      <c r="AB66" s="656"/>
      <c r="AC66" s="648"/>
      <c r="AD66" s="666"/>
      <c r="AE66" s="669"/>
      <c r="AF66" s="669"/>
      <c r="AG66" s="669"/>
      <c r="AH66" s="666"/>
      <c r="AI66" s="666"/>
      <c r="AJ66" s="666"/>
      <c r="AK66" s="666"/>
      <c r="AL66" s="666"/>
    </row>
    <row r="67" spans="1:41" ht="21" customHeight="1">
      <c r="A67" s="438"/>
      <c r="B67" s="645" t="s">
        <v>90</v>
      </c>
      <c r="C67" s="644"/>
      <c r="D67" s="644" t="s">
        <v>147</v>
      </c>
      <c r="E67" s="644"/>
      <c r="F67" s="645" t="s">
        <v>84</v>
      </c>
      <c r="G67" s="644"/>
      <c r="H67" s="644" t="s">
        <v>147</v>
      </c>
      <c r="I67" s="644"/>
      <c r="J67" s="645" t="s">
        <v>80</v>
      </c>
      <c r="K67" s="644"/>
      <c r="L67" s="644" t="s">
        <v>206</v>
      </c>
      <c r="M67" s="644"/>
      <c r="N67" s="645" t="s">
        <v>90</v>
      </c>
      <c r="O67" s="644"/>
      <c r="P67" s="644" t="s">
        <v>150</v>
      </c>
      <c r="Q67" s="644"/>
      <c r="R67" s="644" t="s">
        <v>147</v>
      </c>
      <c r="S67" s="644"/>
      <c r="T67" s="644" t="s">
        <v>150</v>
      </c>
      <c r="U67" s="644"/>
      <c r="V67" s="645" t="s">
        <v>80</v>
      </c>
      <c r="W67" s="644"/>
      <c r="X67" s="644" t="s">
        <v>147</v>
      </c>
      <c r="Y67" s="644"/>
      <c r="Z67" s="644" t="s">
        <v>147</v>
      </c>
      <c r="AA67" s="644"/>
      <c r="AB67" s="644" t="s">
        <v>147</v>
      </c>
      <c r="AC67" s="648"/>
      <c r="AD67" s="666"/>
      <c r="AE67" s="669"/>
      <c r="AF67" s="669"/>
      <c r="AG67" s="669"/>
      <c r="AH67" s="666"/>
      <c r="AI67" s="666"/>
      <c r="AJ67" s="666"/>
      <c r="AK67" s="666"/>
      <c r="AL67" s="666"/>
    </row>
    <row r="68" spans="1:41" ht="37.5" customHeight="1">
      <c r="A68" s="438"/>
      <c r="B68" s="644"/>
      <c r="C68" s="644"/>
      <c r="D68" s="644"/>
      <c r="E68" s="644"/>
      <c r="F68" s="644"/>
      <c r="G68" s="644"/>
      <c r="H68" s="644"/>
      <c r="I68" s="644"/>
      <c r="J68" s="644"/>
      <c r="K68" s="644"/>
      <c r="L68" s="644"/>
      <c r="M68" s="1405" t="s">
        <v>1456</v>
      </c>
      <c r="N68" s="1405"/>
      <c r="O68" s="644"/>
      <c r="P68" s="644"/>
      <c r="Q68" s="644"/>
      <c r="R68" s="644"/>
      <c r="S68" s="644"/>
      <c r="T68" s="644"/>
      <c r="U68" s="644"/>
      <c r="V68" s="644"/>
      <c r="W68" s="644"/>
      <c r="X68" s="1406" t="s">
        <v>1457</v>
      </c>
      <c r="Y68" s="1406"/>
      <c r="Z68" s="644"/>
      <c r="AA68" s="644"/>
      <c r="AB68" s="644"/>
      <c r="AC68" s="648"/>
      <c r="AD68" s="666"/>
      <c r="AE68" s="669"/>
      <c r="AF68" s="669"/>
      <c r="AG68" s="669"/>
      <c r="AH68" s="666"/>
      <c r="AI68" s="666"/>
      <c r="AJ68" s="666"/>
      <c r="AK68" s="666"/>
      <c r="AL68" s="666"/>
    </row>
    <row r="69" spans="1:41" ht="41.55" customHeight="1">
      <c r="A69" s="1403" t="s">
        <v>1453</v>
      </c>
      <c r="B69" s="1404"/>
      <c r="C69" s="1404"/>
      <c r="D69" s="1404"/>
      <c r="E69" s="1404"/>
      <c r="F69" s="1404"/>
      <c r="G69" s="1404"/>
      <c r="H69" s="1404"/>
      <c r="I69" s="1404"/>
      <c r="J69" s="1404"/>
      <c r="K69" s="1404"/>
      <c r="L69" s="1404"/>
      <c r="M69" s="1404"/>
      <c r="N69" s="1404"/>
      <c r="O69" s="1404"/>
      <c r="P69" s="1404"/>
      <c r="Q69" s="1404"/>
      <c r="R69" s="1404"/>
      <c r="S69" s="1404"/>
      <c r="T69" s="1404"/>
      <c r="U69" s="1404"/>
      <c r="V69" s="1404"/>
      <c r="W69" s="1404"/>
      <c r="X69" s="1404"/>
      <c r="Y69" s="1404"/>
      <c r="Z69" s="1404"/>
      <c r="AA69" s="1404"/>
      <c r="AB69" s="1404"/>
      <c r="AC69" s="1404"/>
      <c r="AD69" s="1404"/>
      <c r="AE69" s="1404"/>
      <c r="AF69" s="1404"/>
      <c r="AG69" s="1404"/>
      <c r="AH69" s="1404"/>
      <c r="AI69" s="817"/>
      <c r="AJ69" s="817"/>
      <c r="AK69" s="817"/>
      <c r="AL69" s="817"/>
    </row>
    <row r="70" spans="1:41" ht="35.549999999999997" customHeight="1">
      <c r="A70" s="438"/>
      <c r="B70" s="630" t="s">
        <v>1219</v>
      </c>
      <c r="C70" s="629"/>
      <c r="D70" s="630" t="s">
        <v>1220</v>
      </c>
      <c r="E70" s="629"/>
      <c r="F70" s="630" t="s">
        <v>1221</v>
      </c>
      <c r="G70" s="629"/>
      <c r="H70" s="630" t="s">
        <v>580</v>
      </c>
      <c r="I70" s="629"/>
      <c r="J70" s="630" t="s">
        <v>1222</v>
      </c>
      <c r="K70" s="629"/>
      <c r="L70" s="630" t="s">
        <v>1223</v>
      </c>
      <c r="M70" s="629"/>
      <c r="N70" s="1407" t="s">
        <v>584</v>
      </c>
      <c r="O70" s="1407"/>
      <c r="P70" s="1407" t="s">
        <v>587</v>
      </c>
      <c r="Q70" s="1407"/>
      <c r="R70" s="630" t="s">
        <v>1224</v>
      </c>
      <c r="S70" s="629"/>
      <c r="T70" s="630" t="s">
        <v>1225</v>
      </c>
      <c r="U70" s="629"/>
      <c r="V70" s="630" t="s">
        <v>1226</v>
      </c>
      <c r="W70" s="629"/>
      <c r="X70" s="630" t="s">
        <v>588</v>
      </c>
      <c r="Y70" s="629"/>
      <c r="Z70" s="630" t="s">
        <v>1227</v>
      </c>
      <c r="AA70" s="629"/>
      <c r="AB70" s="630" t="s">
        <v>589</v>
      </c>
      <c r="AC70" s="648"/>
      <c r="AD70" s="666"/>
      <c r="AE70" s="669"/>
      <c r="AF70" s="669"/>
      <c r="AG70" s="669"/>
      <c r="AH70" s="666"/>
      <c r="AI70" s="666"/>
      <c r="AJ70" s="666"/>
      <c r="AK70" s="666"/>
      <c r="AL70" s="666"/>
    </row>
    <row r="71" spans="1:41" ht="33.6">
      <c r="A71" s="438"/>
      <c r="B71" s="658"/>
      <c r="C71" s="648"/>
      <c r="D71" s="658"/>
      <c r="E71" s="648"/>
      <c r="F71" s="658"/>
      <c r="G71" s="648"/>
      <c r="H71" s="658"/>
      <c r="I71" s="648"/>
      <c r="J71" s="658"/>
      <c r="K71" s="648"/>
      <c r="L71" s="658"/>
      <c r="M71" s="648"/>
      <c r="N71" s="658"/>
      <c r="O71" s="648"/>
      <c r="P71" s="658"/>
      <c r="Q71" s="648"/>
      <c r="R71" s="658"/>
      <c r="S71" s="659"/>
      <c r="T71" s="658"/>
      <c r="U71" s="659"/>
      <c r="V71" s="658"/>
      <c r="W71" s="648"/>
      <c r="X71" s="658"/>
      <c r="Y71" s="648"/>
      <c r="Z71" s="658"/>
      <c r="AA71" s="648"/>
      <c r="AB71" s="658"/>
      <c r="AC71" s="648"/>
      <c r="AD71" s="666"/>
      <c r="AE71" s="669"/>
      <c r="AF71" s="669"/>
      <c r="AG71" s="669"/>
      <c r="AH71" s="666"/>
      <c r="AI71" s="666"/>
      <c r="AJ71" s="666"/>
      <c r="AK71" s="666"/>
      <c r="AL71" s="666"/>
    </row>
    <row r="72" spans="1:41" ht="15.45" customHeight="1" thickBot="1">
      <c r="A72" s="438"/>
      <c r="B72" s="660"/>
      <c r="C72" s="648"/>
      <c r="D72" s="660"/>
      <c r="E72" s="648"/>
      <c r="F72" s="660"/>
      <c r="G72" s="648"/>
      <c r="H72" s="660"/>
      <c r="I72" s="648"/>
      <c r="J72" s="660"/>
      <c r="K72" s="648"/>
      <c r="L72" s="660"/>
      <c r="M72" s="648"/>
      <c r="N72" s="660"/>
      <c r="O72" s="648"/>
      <c r="P72" s="660"/>
      <c r="Q72" s="648"/>
      <c r="R72" s="660"/>
      <c r="S72" s="648"/>
      <c r="T72" s="660"/>
      <c r="U72" s="648"/>
      <c r="V72" s="660"/>
      <c r="W72" s="648"/>
      <c r="X72" s="660"/>
      <c r="Y72" s="648"/>
      <c r="Z72" s="660"/>
      <c r="AA72" s="648"/>
      <c r="AB72" s="660"/>
      <c r="AC72" s="648"/>
      <c r="AD72" s="666"/>
      <c r="AE72" s="669"/>
      <c r="AF72" s="669"/>
      <c r="AG72" s="669"/>
      <c r="AH72" s="666"/>
      <c r="AI72" s="666"/>
      <c r="AJ72" s="666"/>
      <c r="AK72" s="666"/>
      <c r="AL72" s="666"/>
    </row>
    <row r="73" spans="1:41" ht="100.05" customHeight="1" thickBot="1">
      <c r="A73" s="438"/>
      <c r="B73" s="637"/>
      <c r="C73" s="653">
        <v>348.29199999999997</v>
      </c>
      <c r="D73" s="637"/>
      <c r="E73" s="653">
        <v>418.83499999999998</v>
      </c>
      <c r="F73" s="637"/>
      <c r="G73" s="653">
        <v>408.96300000000002</v>
      </c>
      <c r="H73" s="637"/>
      <c r="I73" s="653">
        <v>365.46699999999998</v>
      </c>
      <c r="J73" s="637"/>
      <c r="K73" s="653">
        <v>437.07400000000001</v>
      </c>
      <c r="L73" s="637"/>
      <c r="M73" s="653">
        <v>363.142</v>
      </c>
      <c r="N73" s="637"/>
      <c r="O73" s="653">
        <v>159.78899999999999</v>
      </c>
      <c r="P73" s="637"/>
      <c r="Q73" s="653">
        <v>300.15800000000002</v>
      </c>
      <c r="R73" s="637"/>
      <c r="S73" s="653">
        <v>293.13099999999997</v>
      </c>
      <c r="T73" s="637"/>
      <c r="U73" s="653">
        <v>357.37700000000001</v>
      </c>
      <c r="V73" s="637"/>
      <c r="W73" s="653">
        <v>341.40899999999999</v>
      </c>
      <c r="X73" s="637"/>
      <c r="Y73" s="653">
        <v>362.90499999999997</v>
      </c>
      <c r="Z73" s="637"/>
      <c r="AA73" s="653">
        <v>421.05200000000002</v>
      </c>
      <c r="AB73" s="637"/>
      <c r="AC73" s="653">
        <v>216.44800000000001</v>
      </c>
      <c r="AD73" s="666"/>
      <c r="AE73" s="669"/>
      <c r="AF73" s="669"/>
      <c r="AG73" s="669"/>
      <c r="AH73" s="666"/>
      <c r="AI73" s="666"/>
      <c r="AJ73" s="666"/>
      <c r="AK73" s="666"/>
      <c r="AL73" s="666"/>
      <c r="AM73" s="809">
        <f>COUNTIF(B73:AB73,"U/P")</f>
        <v>0</v>
      </c>
      <c r="AN73" s="809">
        <f>COUNTIF(C73:AC73,"ROW")</f>
        <v>0</v>
      </c>
      <c r="AO73" s="809">
        <f>COUNTIF(D73:AD73,"C")</f>
        <v>0</v>
      </c>
    </row>
    <row r="74" spans="1:41" ht="34.200000000000003" thickBot="1">
      <c r="A74" s="438"/>
      <c r="B74" s="656"/>
      <c r="C74" s="648"/>
      <c r="D74" s="656"/>
      <c r="E74" s="648"/>
      <c r="F74" s="656"/>
      <c r="G74" s="648"/>
      <c r="H74" s="656"/>
      <c r="I74" s="648"/>
      <c r="J74" s="656"/>
      <c r="K74" s="648"/>
      <c r="L74" s="656"/>
      <c r="M74" s="648"/>
      <c r="N74" s="656"/>
      <c r="O74" s="648"/>
      <c r="P74" s="656"/>
      <c r="Q74" s="648"/>
      <c r="R74" s="656"/>
      <c r="S74" s="648"/>
      <c r="T74" s="656"/>
      <c r="U74" s="648"/>
      <c r="V74" s="656"/>
      <c r="W74" s="648"/>
      <c r="X74" s="656"/>
      <c r="Y74" s="648"/>
      <c r="Z74" s="656"/>
      <c r="AA74" s="648"/>
      <c r="AB74" s="656"/>
      <c r="AC74" s="648"/>
      <c r="AD74" s="666"/>
      <c r="AE74" s="669"/>
      <c r="AF74" s="669"/>
      <c r="AG74" s="669"/>
      <c r="AH74" s="666"/>
      <c r="AI74" s="666"/>
      <c r="AJ74" s="666"/>
      <c r="AK74" s="666"/>
      <c r="AL74" s="666"/>
    </row>
    <row r="75" spans="1:41" ht="33.6">
      <c r="A75" s="438"/>
      <c r="B75" s="644" t="s">
        <v>147</v>
      </c>
      <c r="C75" s="644"/>
      <c r="D75" s="644" t="s">
        <v>150</v>
      </c>
      <c r="E75" s="644"/>
      <c r="F75" s="644" t="s">
        <v>212</v>
      </c>
      <c r="G75" s="644"/>
      <c r="H75" s="645" t="s">
        <v>108</v>
      </c>
      <c r="I75" s="644"/>
      <c r="J75" s="644" t="s">
        <v>147</v>
      </c>
      <c r="K75" s="644"/>
      <c r="L75" s="644" t="s">
        <v>206</v>
      </c>
      <c r="M75" s="644"/>
      <c r="N75" s="645" t="s">
        <v>153</v>
      </c>
      <c r="O75" s="644"/>
      <c r="P75" s="645" t="s">
        <v>90</v>
      </c>
      <c r="Q75" s="644"/>
      <c r="R75" s="645" t="s">
        <v>153</v>
      </c>
      <c r="S75" s="644"/>
      <c r="T75" s="644" t="s">
        <v>147</v>
      </c>
      <c r="U75" s="644"/>
      <c r="V75" s="644" t="s">
        <v>147</v>
      </c>
      <c r="W75" s="644"/>
      <c r="X75" s="645" t="s">
        <v>88</v>
      </c>
      <c r="Y75" s="644"/>
      <c r="Z75" s="644" t="s">
        <v>212</v>
      </c>
      <c r="AA75" s="644"/>
      <c r="AB75" s="645" t="s">
        <v>157</v>
      </c>
      <c r="AC75" s="648"/>
      <c r="AD75" s="666"/>
      <c r="AE75" s="669"/>
      <c r="AF75" s="669"/>
      <c r="AG75" s="669"/>
      <c r="AH75" s="666"/>
      <c r="AI75" s="666"/>
      <c r="AJ75" s="666"/>
      <c r="AK75" s="666"/>
      <c r="AL75" s="666"/>
    </row>
    <row r="76" spans="1:41" ht="33.6">
      <c r="A76" s="438"/>
      <c r="B76" s="644"/>
      <c r="C76" s="644"/>
      <c r="D76" s="644"/>
      <c r="E76" s="675" t="s">
        <v>1530</v>
      </c>
      <c r="G76" s="644"/>
      <c r="H76" s="645"/>
      <c r="I76" s="644"/>
      <c r="J76" s="644"/>
      <c r="K76" s="644"/>
      <c r="L76" s="644"/>
      <c r="M76" s="644"/>
      <c r="N76" s="645"/>
      <c r="O76" s="644"/>
      <c r="P76" s="645"/>
      <c r="Q76" s="644"/>
      <c r="R76" s="645"/>
      <c r="S76" s="644"/>
      <c r="T76" s="644"/>
      <c r="U76" s="644"/>
      <c r="V76" s="644"/>
      <c r="W76" s="644"/>
      <c r="X76" s="645"/>
      <c r="Y76" s="644"/>
      <c r="Z76" s="644"/>
      <c r="AA76" s="644"/>
      <c r="AB76" s="645"/>
      <c r="AC76" s="648"/>
      <c r="AD76" s="666"/>
      <c r="AE76" s="669"/>
      <c r="AF76" s="669"/>
      <c r="AG76" s="669"/>
      <c r="AH76" s="666"/>
      <c r="AI76" s="666"/>
      <c r="AJ76" s="666"/>
      <c r="AK76" s="666"/>
      <c r="AL76" s="666"/>
    </row>
    <row r="77" spans="1:41" ht="36" customHeight="1">
      <c r="A77" s="1403" t="s">
        <v>1453</v>
      </c>
      <c r="B77" s="1404"/>
      <c r="C77" s="1404"/>
      <c r="D77" s="1404"/>
      <c r="E77" s="1404"/>
      <c r="F77" s="1404"/>
      <c r="G77" s="1404"/>
      <c r="H77" s="1404"/>
      <c r="I77" s="1404"/>
      <c r="J77" s="1404"/>
      <c r="K77" s="1404"/>
      <c r="L77" s="1404"/>
      <c r="M77" s="1404"/>
      <c r="N77" s="1404"/>
      <c r="O77" s="1404"/>
      <c r="P77" s="1404"/>
      <c r="Q77" s="1404"/>
      <c r="R77" s="1404"/>
      <c r="S77" s="1404"/>
      <c r="T77" s="1404"/>
      <c r="U77" s="1404"/>
      <c r="V77" s="1404"/>
      <c r="W77" s="1404"/>
      <c r="X77" s="1402" t="s">
        <v>1503</v>
      </c>
      <c r="Y77" s="1402"/>
      <c r="Z77" s="1402"/>
      <c r="AA77" s="1402"/>
      <c r="AB77" s="1402"/>
      <c r="AC77" s="1402"/>
      <c r="AD77" s="1402"/>
      <c r="AE77" s="1402"/>
      <c r="AF77" s="1402"/>
      <c r="AG77" s="1402"/>
      <c r="AH77" s="1402"/>
      <c r="AI77" s="820"/>
      <c r="AJ77" s="820"/>
      <c r="AK77" s="820"/>
      <c r="AL77" s="820"/>
    </row>
    <row r="78" spans="1:41" ht="22.05" customHeight="1">
      <c r="A78" s="671"/>
      <c r="B78" s="672"/>
      <c r="C78" s="672"/>
      <c r="D78" s="672"/>
      <c r="E78" s="672"/>
      <c r="F78" s="672"/>
      <c r="G78" s="672"/>
      <c r="H78" s="673"/>
      <c r="I78" s="672"/>
      <c r="J78" s="672"/>
      <c r="K78" s="672"/>
      <c r="L78" s="672"/>
      <c r="M78" s="672"/>
      <c r="N78" s="673"/>
      <c r="O78" s="672"/>
      <c r="P78" s="673"/>
      <c r="Q78" s="672"/>
      <c r="R78" s="673"/>
      <c r="S78" s="672"/>
      <c r="T78" s="672"/>
      <c r="U78" s="672"/>
      <c r="V78" s="672"/>
      <c r="W78" s="672"/>
      <c r="X78" s="673"/>
      <c r="Y78" s="672"/>
      <c r="Z78" s="672"/>
      <c r="AA78" s="672"/>
      <c r="AB78" s="673"/>
      <c r="AC78" s="651"/>
      <c r="AD78" s="649"/>
      <c r="AE78" s="641"/>
      <c r="AF78" s="642"/>
      <c r="AG78" s="642"/>
    </row>
    <row r="79" spans="1:41" ht="44.55" customHeight="1">
      <c r="A79" s="438"/>
      <c r="B79" s="630" t="s">
        <v>1544</v>
      </c>
      <c r="C79" s="629"/>
      <c r="D79" s="1407" t="s">
        <v>1546</v>
      </c>
      <c r="E79" s="1407"/>
      <c r="F79" s="1407" t="s">
        <v>1548</v>
      </c>
      <c r="G79" s="1407"/>
      <c r="H79" s="1407" t="s">
        <v>1549</v>
      </c>
      <c r="I79" s="1407"/>
      <c r="J79" s="1407" t="s">
        <v>1550</v>
      </c>
      <c r="K79" s="1407"/>
      <c r="L79" s="1407" t="s">
        <v>1229</v>
      </c>
      <c r="M79" s="1407"/>
      <c r="N79" s="1407" t="s">
        <v>1230</v>
      </c>
      <c r="O79" s="1407"/>
      <c r="P79" s="1407" t="s">
        <v>1232</v>
      </c>
      <c r="Q79" s="1407"/>
      <c r="R79" s="1407" t="s">
        <v>1233</v>
      </c>
      <c r="S79" s="1407"/>
      <c r="T79" s="1407" t="s">
        <v>1234</v>
      </c>
      <c r="U79" s="1407"/>
      <c r="V79" s="1407" t="s">
        <v>1235</v>
      </c>
      <c r="W79" s="1407"/>
      <c r="X79" s="1407" t="s">
        <v>601</v>
      </c>
      <c r="Y79" s="1407"/>
      <c r="Z79" s="630" t="s">
        <v>602</v>
      </c>
      <c r="AA79" s="629"/>
      <c r="AB79" s="630" t="s">
        <v>606</v>
      </c>
      <c r="AC79" s="630"/>
      <c r="AD79" s="648"/>
      <c r="AE79" s="666"/>
      <c r="AF79" s="641"/>
      <c r="AG79" s="642"/>
      <c r="AH79" s="642"/>
    </row>
    <row r="80" spans="1:41" ht="33.6">
      <c r="A80" s="438"/>
      <c r="B80" s="658"/>
      <c r="C80" s="648"/>
      <c r="D80" s="658"/>
      <c r="E80" s="648"/>
      <c r="F80" s="658"/>
      <c r="G80" s="648"/>
      <c r="H80" s="658"/>
      <c r="I80" s="648"/>
      <c r="J80" s="658"/>
      <c r="K80" s="648"/>
      <c r="L80" s="658"/>
      <c r="M80" s="648"/>
      <c r="N80" s="658"/>
      <c r="O80" s="648"/>
      <c r="P80" s="658"/>
      <c r="Q80" s="648"/>
      <c r="R80" s="658"/>
      <c r="S80" s="648"/>
      <c r="T80" s="658"/>
      <c r="U80" s="648"/>
      <c r="V80" s="658"/>
      <c r="W80" s="648"/>
      <c r="X80" s="658"/>
      <c r="Y80" s="648"/>
      <c r="Z80" s="658"/>
      <c r="AA80" s="648"/>
      <c r="AB80" s="658"/>
      <c r="AC80" s="648"/>
      <c r="AD80" s="666"/>
      <c r="AE80" s="642"/>
      <c r="AF80" s="642"/>
      <c r="AG80" s="642"/>
    </row>
    <row r="81" spans="1:43" ht="16.05" customHeight="1" thickBot="1">
      <c r="A81" s="438"/>
      <c r="B81" s="660"/>
      <c r="C81" s="648"/>
      <c r="D81" s="660"/>
      <c r="E81" s="648"/>
      <c r="F81" s="660"/>
      <c r="G81" s="648"/>
      <c r="H81" s="660"/>
      <c r="I81" s="648"/>
      <c r="J81" s="660"/>
      <c r="K81" s="648"/>
      <c r="L81" s="660"/>
      <c r="M81" s="648"/>
      <c r="N81" s="660"/>
      <c r="O81" s="648"/>
      <c r="P81" s="660"/>
      <c r="Q81" s="648"/>
      <c r="R81" s="660"/>
      <c r="S81" s="648"/>
      <c r="T81" s="660"/>
      <c r="U81" s="648"/>
      <c r="V81" s="660"/>
      <c r="W81" s="648"/>
      <c r="X81" s="660"/>
      <c r="Y81" s="648"/>
      <c r="Z81" s="660"/>
      <c r="AA81" s="648"/>
      <c r="AB81" s="660"/>
      <c r="AC81" s="648"/>
      <c r="AD81" s="666"/>
      <c r="AE81" s="642"/>
      <c r="AF81" s="642"/>
      <c r="AG81" s="642"/>
      <c r="AM81" s="809"/>
      <c r="AN81" s="809"/>
      <c r="AO81" s="809"/>
    </row>
    <row r="82" spans="1:43" ht="100.05" customHeight="1" thickBot="1">
      <c r="A82" s="438"/>
      <c r="B82" s="637"/>
      <c r="C82" s="653">
        <v>439.69499999999999</v>
      </c>
      <c r="D82" s="637"/>
      <c r="E82" s="653">
        <v>243.18799999999999</v>
      </c>
      <c r="F82" s="637"/>
      <c r="G82" s="653">
        <v>333.21899999999999</v>
      </c>
      <c r="H82" s="637"/>
      <c r="I82" s="653">
        <v>333.21899999999999</v>
      </c>
      <c r="J82" s="637"/>
      <c r="K82" s="653">
        <v>363.00099999999998</v>
      </c>
      <c r="L82" s="637"/>
      <c r="M82" s="653">
        <v>363.00099999999998</v>
      </c>
      <c r="N82" s="637"/>
      <c r="O82" s="653">
        <v>356.12400000000002</v>
      </c>
      <c r="P82" s="637"/>
      <c r="Q82" s="653">
        <v>376.245</v>
      </c>
      <c r="R82" s="637"/>
      <c r="S82" s="653">
        <v>381.12200000000001</v>
      </c>
      <c r="T82" s="637"/>
      <c r="U82" s="653">
        <v>364.43299999999999</v>
      </c>
      <c r="V82" s="637"/>
      <c r="W82" s="653">
        <v>263.077</v>
      </c>
      <c r="X82" s="637"/>
      <c r="Y82" s="653">
        <v>356.19299999999998</v>
      </c>
      <c r="Z82" s="637"/>
      <c r="AA82" s="653">
        <v>352.42</v>
      </c>
      <c r="AB82" s="637"/>
      <c r="AC82" s="653">
        <v>381.02800000000002</v>
      </c>
      <c r="AD82" s="666"/>
      <c r="AE82" s="642"/>
      <c r="AF82" s="642"/>
      <c r="AG82" s="642"/>
      <c r="AM82" s="809">
        <f>COUNTIF(B82:AB82,"U/P")</f>
        <v>0</v>
      </c>
      <c r="AN82" s="809">
        <f>COUNTIF(C82:AC82,"ROW")</f>
        <v>0</v>
      </c>
      <c r="AO82" s="809">
        <f>COUNTIF(D82:AD82,"C")</f>
        <v>0</v>
      </c>
    </row>
    <row r="83" spans="1:43" ht="34.200000000000003" thickBot="1">
      <c r="A83" s="438"/>
      <c r="B83" s="656"/>
      <c r="C83" s="648"/>
      <c r="D83" s="656"/>
      <c r="E83" s="648"/>
      <c r="F83" s="656"/>
      <c r="G83" s="648"/>
      <c r="H83" s="656"/>
      <c r="I83" s="648"/>
      <c r="J83" s="656"/>
      <c r="K83" s="648"/>
      <c r="L83" s="656"/>
      <c r="M83" s="648"/>
      <c r="N83" s="656"/>
      <c r="O83" s="648"/>
      <c r="P83" s="656"/>
      <c r="Q83" s="648"/>
      <c r="R83" s="656"/>
      <c r="S83" s="648"/>
      <c r="T83" s="656"/>
      <c r="U83" s="648"/>
      <c r="V83" s="656"/>
      <c r="W83" s="648"/>
      <c r="X83" s="656"/>
      <c r="Y83" s="648"/>
      <c r="Z83" s="656"/>
      <c r="AA83" s="648"/>
      <c r="AB83" s="656"/>
      <c r="AC83" s="648"/>
      <c r="AD83" s="666"/>
      <c r="AE83" s="642"/>
      <c r="AF83" s="642"/>
      <c r="AG83" s="642"/>
    </row>
    <row r="84" spans="1:43" ht="33.6">
      <c r="A84" s="438"/>
      <c r="B84" s="645" t="s">
        <v>1545</v>
      </c>
      <c r="C84" s="644"/>
      <c r="D84" s="645" t="s">
        <v>1547</v>
      </c>
      <c r="E84" s="644"/>
      <c r="F84" s="645" t="s">
        <v>84</v>
      </c>
      <c r="G84" s="644"/>
      <c r="H84" s="645" t="s">
        <v>88</v>
      </c>
      <c r="I84" s="644"/>
      <c r="J84" s="645" t="s">
        <v>112</v>
      </c>
      <c r="K84" s="644"/>
      <c r="L84" s="644" t="s">
        <v>147</v>
      </c>
      <c r="M84" s="644"/>
      <c r="N84" s="644" t="s">
        <v>206</v>
      </c>
      <c r="O84" s="644"/>
      <c r="P84" s="645" t="s">
        <v>80</v>
      </c>
      <c r="Q84" s="644"/>
      <c r="R84" s="644" t="s">
        <v>206</v>
      </c>
      <c r="S84" s="644"/>
      <c r="T84" s="644" t="s">
        <v>147</v>
      </c>
      <c r="U84" s="644"/>
      <c r="V84" s="644" t="s">
        <v>212</v>
      </c>
      <c r="W84" s="644"/>
      <c r="X84" s="645" t="s">
        <v>153</v>
      </c>
      <c r="Y84" s="644"/>
      <c r="Z84" s="644" t="s">
        <v>150</v>
      </c>
      <c r="AA84" s="644"/>
      <c r="AB84" s="645" t="s">
        <v>97</v>
      </c>
      <c r="AC84" s="648"/>
      <c r="AD84" s="666"/>
      <c r="AE84" s="642"/>
      <c r="AF84" s="642"/>
      <c r="AG84" s="642"/>
    </row>
    <row r="85" spans="1:43" ht="37.049999999999997" customHeight="1">
      <c r="A85" s="1401" t="s">
        <v>1502</v>
      </c>
      <c r="B85" s="1402"/>
      <c r="C85" s="1402"/>
      <c r="D85" s="1402"/>
      <c r="E85" s="1402"/>
      <c r="F85" s="1402"/>
      <c r="G85" s="1402"/>
      <c r="H85" s="1402"/>
      <c r="I85" s="1404" t="s">
        <v>1593</v>
      </c>
      <c r="J85" s="1404"/>
      <c r="K85" s="1404"/>
      <c r="L85" s="1404"/>
      <c r="M85" s="1404"/>
      <c r="N85" s="1404"/>
      <c r="O85" s="1404"/>
      <c r="P85" s="1404"/>
      <c r="Q85" s="1404"/>
      <c r="R85" s="1404"/>
      <c r="S85" s="1404"/>
      <c r="T85" s="1404"/>
      <c r="U85" s="1404"/>
      <c r="V85" s="1404"/>
      <c r="W85" s="1404"/>
      <c r="X85" s="1404"/>
      <c r="Y85" s="1404"/>
      <c r="Z85" s="1404"/>
      <c r="AA85" s="1404"/>
      <c r="AB85" s="1404"/>
      <c r="AC85" s="1404"/>
      <c r="AD85" s="1404"/>
      <c r="AE85" s="1404"/>
      <c r="AF85" s="1404"/>
      <c r="AG85" s="883"/>
      <c r="AH85" s="883"/>
      <c r="AI85" s="820"/>
      <c r="AJ85" s="820"/>
      <c r="AK85" s="820"/>
      <c r="AL85" s="820"/>
    </row>
    <row r="86" spans="1:43" ht="21.45" customHeight="1">
      <c r="A86" s="438"/>
      <c r="B86" s="662"/>
      <c r="C86" s="662"/>
      <c r="D86" s="662"/>
      <c r="E86" s="662"/>
      <c r="F86" s="662"/>
      <c r="G86" s="662"/>
      <c r="H86" s="662"/>
      <c r="I86" s="662"/>
      <c r="J86" s="662"/>
      <c r="K86" s="662"/>
      <c r="L86" s="662"/>
      <c r="M86" s="662"/>
      <c r="N86" s="662"/>
      <c r="O86" s="662"/>
      <c r="P86" s="662"/>
      <c r="Q86" s="662"/>
      <c r="R86" s="662"/>
      <c r="S86" s="662"/>
      <c r="T86" s="662"/>
      <c r="U86" s="662"/>
      <c r="V86" s="662"/>
      <c r="W86" s="662"/>
      <c r="X86" s="662"/>
      <c r="Y86" s="662"/>
      <c r="Z86" s="662"/>
      <c r="AA86" s="662"/>
      <c r="AB86" s="662"/>
      <c r="AC86" s="651"/>
      <c r="AD86" s="649"/>
      <c r="AE86" s="641"/>
      <c r="AF86" s="642"/>
      <c r="AG86" s="642"/>
    </row>
    <row r="87" spans="1:43" ht="31.95" customHeight="1">
      <c r="A87" s="438"/>
      <c r="B87" s="630" t="s">
        <v>607</v>
      </c>
      <c r="C87" s="629"/>
      <c r="D87" s="630" t="s">
        <v>608</v>
      </c>
      <c r="E87" s="629"/>
      <c r="F87" s="630" t="s">
        <v>1551</v>
      </c>
      <c r="G87" s="629"/>
      <c r="H87" s="630" t="s">
        <v>609</v>
      </c>
      <c r="I87" s="629"/>
      <c r="J87" s="630" t="s">
        <v>610</v>
      </c>
      <c r="K87" s="629"/>
      <c r="L87" s="630" t="s">
        <v>611</v>
      </c>
      <c r="M87" s="629"/>
      <c r="N87" s="630" t="s">
        <v>612</v>
      </c>
      <c r="O87" s="629"/>
      <c r="P87" s="630" t="s">
        <v>613</v>
      </c>
      <c r="Q87" s="629"/>
      <c r="R87" s="630" t="s">
        <v>614</v>
      </c>
      <c r="S87" s="629"/>
      <c r="T87" s="630" t="s">
        <v>615</v>
      </c>
      <c r="U87" s="629"/>
      <c r="V87" s="630" t="s">
        <v>616</v>
      </c>
      <c r="W87" s="629"/>
      <c r="X87" s="630" t="s">
        <v>617</v>
      </c>
      <c r="Y87" s="629"/>
      <c r="Z87" s="630" t="s">
        <v>618</v>
      </c>
      <c r="AA87" s="629"/>
      <c r="AB87" s="630" t="s">
        <v>619</v>
      </c>
      <c r="AC87" s="629"/>
      <c r="AD87" s="630" t="s">
        <v>620</v>
      </c>
      <c r="AE87" s="648"/>
      <c r="AF87" s="666"/>
      <c r="AG87" s="642"/>
      <c r="AH87" s="642"/>
      <c r="AI87" s="642"/>
    </row>
    <row r="88" spans="1:43" ht="33.6">
      <c r="A88" s="438"/>
      <c r="B88" s="658"/>
      <c r="C88" s="648"/>
      <c r="D88" s="658"/>
      <c r="E88" s="648"/>
      <c r="F88" s="658"/>
      <c r="G88" s="648"/>
      <c r="H88" s="658"/>
      <c r="I88" s="648"/>
      <c r="J88" s="658"/>
      <c r="K88" s="659"/>
      <c r="L88" s="658"/>
      <c r="M88" s="648"/>
      <c r="N88" s="658"/>
      <c r="O88" s="648"/>
      <c r="P88" s="658"/>
      <c r="Q88" s="648"/>
      <c r="R88" s="658"/>
      <c r="S88" s="648"/>
      <c r="T88" s="658"/>
      <c r="U88" s="648"/>
      <c r="V88" s="658"/>
      <c r="W88" s="648"/>
      <c r="X88" s="658"/>
      <c r="Y88" s="648"/>
      <c r="Z88" s="658"/>
      <c r="AA88" s="648"/>
      <c r="AB88" s="658"/>
      <c r="AC88" s="659"/>
      <c r="AD88" s="658"/>
      <c r="AE88" s="648"/>
      <c r="AF88" s="666"/>
      <c r="AG88" s="642"/>
      <c r="AH88" s="642"/>
      <c r="AI88" s="642"/>
    </row>
    <row r="89" spans="1:43" ht="15.45" customHeight="1" thickBot="1">
      <c r="A89" s="438"/>
      <c r="B89" s="660"/>
      <c r="C89" s="648"/>
      <c r="D89" s="660"/>
      <c r="E89" s="648"/>
      <c r="F89" s="660"/>
      <c r="G89" s="648"/>
      <c r="H89" s="660"/>
      <c r="I89" s="648"/>
      <c r="J89" s="660"/>
      <c r="K89" s="648"/>
      <c r="L89" s="660"/>
      <c r="M89" s="648"/>
      <c r="N89" s="660"/>
      <c r="O89" s="648"/>
      <c r="P89" s="660"/>
      <c r="Q89" s="648"/>
      <c r="R89" s="660"/>
      <c r="S89" s="648"/>
      <c r="T89" s="660"/>
      <c r="U89" s="648"/>
      <c r="V89" s="660"/>
      <c r="W89" s="648"/>
      <c r="X89" s="660"/>
      <c r="Y89" s="648"/>
      <c r="Z89" s="660"/>
      <c r="AA89" s="648"/>
      <c r="AB89" s="660"/>
      <c r="AC89" s="648"/>
      <c r="AD89" s="660"/>
      <c r="AE89" s="648"/>
      <c r="AF89" s="666"/>
      <c r="AG89" s="642"/>
      <c r="AH89" s="642"/>
      <c r="AI89" s="642"/>
    </row>
    <row r="90" spans="1:43" ht="100.05" customHeight="1" thickBot="1">
      <c r="A90" s="438"/>
      <c r="B90" s="637"/>
      <c r="C90" s="653">
        <v>419.60300000000001</v>
      </c>
      <c r="D90" s="637"/>
      <c r="E90" s="653">
        <v>425.18</v>
      </c>
      <c r="F90" s="637"/>
      <c r="G90" s="653">
        <v>425.18</v>
      </c>
      <c r="H90" s="637"/>
      <c r="I90" s="653">
        <v>287.53699999999998</v>
      </c>
      <c r="J90" s="637"/>
      <c r="K90" s="653">
        <v>336.512</v>
      </c>
      <c r="L90" s="637"/>
      <c r="M90" s="653">
        <v>325.30399999999997</v>
      </c>
      <c r="N90" s="637"/>
      <c r="O90" s="653">
        <v>214.25299999999999</v>
      </c>
      <c r="P90" s="637"/>
      <c r="Q90" s="653">
        <v>455.94600000000003</v>
      </c>
      <c r="R90" s="637"/>
      <c r="S90" s="653">
        <v>421</v>
      </c>
      <c r="T90" s="637"/>
      <c r="U90" s="653">
        <v>419</v>
      </c>
      <c r="V90" s="637"/>
      <c r="W90" s="653">
        <v>408</v>
      </c>
      <c r="X90" s="637"/>
      <c r="Y90" s="653">
        <v>409.74900000000002</v>
      </c>
      <c r="Z90" s="637"/>
      <c r="AA90" s="653">
        <v>324.02999999999997</v>
      </c>
      <c r="AB90" s="637"/>
      <c r="AC90" s="653">
        <v>366.7</v>
      </c>
      <c r="AD90" s="637"/>
      <c r="AE90" s="636">
        <v>473.30500000000001</v>
      </c>
      <c r="AF90" s="666"/>
      <c r="AG90" s="642"/>
      <c r="AH90" s="642"/>
      <c r="AI90" s="642"/>
      <c r="AM90" s="809">
        <f>COUNTIF(A90:AB90,"U/P")</f>
        <v>0</v>
      </c>
      <c r="AN90" s="809">
        <f>COUNTIF(A90:AC90,"ROW")</f>
        <v>0</v>
      </c>
      <c r="AO90" s="809">
        <f>COUNTIF(B90:AD90,"C")</f>
        <v>0</v>
      </c>
      <c r="AP90" s="809"/>
      <c r="AQ90" s="809"/>
    </row>
    <row r="91" spans="1:43" ht="34.200000000000003" thickBot="1">
      <c r="A91" s="438"/>
      <c r="B91" s="656"/>
      <c r="C91" s="648"/>
      <c r="D91" s="656"/>
      <c r="E91" s="648"/>
      <c r="F91" s="656"/>
      <c r="G91" s="648"/>
      <c r="H91" s="656"/>
      <c r="I91" s="648"/>
      <c r="J91" s="656"/>
      <c r="K91" s="648"/>
      <c r="L91" s="656"/>
      <c r="M91" s="648"/>
      <c r="N91" s="656"/>
      <c r="O91" s="648"/>
      <c r="P91" s="656"/>
      <c r="Q91" s="648"/>
      <c r="R91" s="656"/>
      <c r="S91" s="648"/>
      <c r="T91" s="656"/>
      <c r="U91" s="648"/>
      <c r="V91" s="656"/>
      <c r="W91" s="648"/>
      <c r="X91" s="656"/>
      <c r="Y91" s="648"/>
      <c r="Z91" s="656"/>
      <c r="AA91" s="648"/>
      <c r="AB91" s="656"/>
      <c r="AC91" s="648"/>
      <c r="AD91" s="656"/>
      <c r="AE91" s="648"/>
      <c r="AF91" s="666"/>
      <c r="AG91" s="642"/>
      <c r="AH91" s="642"/>
      <c r="AI91" s="642"/>
    </row>
    <row r="92" spans="1:43" ht="33.6">
      <c r="A92" s="438"/>
      <c r="B92" s="644" t="s">
        <v>206</v>
      </c>
      <c r="C92" s="644"/>
      <c r="D92" s="644" t="s">
        <v>212</v>
      </c>
      <c r="E92" s="644"/>
      <c r="F92" s="644" t="s">
        <v>97</v>
      </c>
      <c r="G92" s="644"/>
      <c r="H92" s="645" t="s">
        <v>80</v>
      </c>
      <c r="I92" s="644"/>
      <c r="J92" s="644" t="s">
        <v>147</v>
      </c>
      <c r="K92" s="644"/>
      <c r="L92" s="644" t="s">
        <v>147</v>
      </c>
      <c r="M92" s="644"/>
      <c r="N92" s="644" t="s">
        <v>147</v>
      </c>
      <c r="O92" s="644"/>
      <c r="P92" s="645" t="s">
        <v>88</v>
      </c>
      <c r="Q92" s="646"/>
      <c r="R92" s="645" t="s">
        <v>88</v>
      </c>
      <c r="S92" s="644"/>
      <c r="T92" s="644" t="s">
        <v>150</v>
      </c>
      <c r="U92" s="644"/>
      <c r="V92" s="644" t="s">
        <v>150</v>
      </c>
      <c r="W92" s="644"/>
      <c r="X92" s="644" t="s">
        <v>212</v>
      </c>
      <c r="Y92" s="644"/>
      <c r="Z92" s="645" t="s">
        <v>84</v>
      </c>
      <c r="AA92" s="646"/>
      <c r="AB92" s="645" t="s">
        <v>93</v>
      </c>
      <c r="AC92" s="644"/>
      <c r="AD92" s="644" t="s">
        <v>212</v>
      </c>
      <c r="AE92" s="648"/>
      <c r="AF92" s="666"/>
      <c r="AG92" s="642"/>
      <c r="AH92" s="642"/>
      <c r="AI92" s="642"/>
    </row>
    <row r="93" spans="1:43" ht="37.049999999999997" customHeight="1">
      <c r="A93" s="1403" t="s">
        <v>1594</v>
      </c>
      <c r="B93" s="1404"/>
      <c r="C93" s="1404"/>
      <c r="D93" s="1404"/>
      <c r="E93" s="1404"/>
      <c r="F93" s="1404"/>
      <c r="G93" s="1404"/>
      <c r="H93" s="1404"/>
      <c r="I93" s="1404"/>
      <c r="J93" s="1404"/>
      <c r="K93" s="1404"/>
      <c r="L93" s="1404"/>
      <c r="M93" s="1404"/>
      <c r="N93" s="1404"/>
      <c r="O93" s="1404"/>
      <c r="P93" s="1404"/>
      <c r="Q93" s="1404"/>
      <c r="R93" s="1404"/>
      <c r="S93" s="1404"/>
      <c r="T93" s="1404"/>
      <c r="U93" s="1404"/>
      <c r="V93" s="1404"/>
      <c r="W93" s="1404"/>
      <c r="X93" s="1404"/>
      <c r="Y93" s="1404"/>
      <c r="Z93" s="1404"/>
      <c r="AA93" s="1404"/>
      <c r="AB93" s="1404"/>
      <c r="AC93" s="1404"/>
      <c r="AD93" s="1404"/>
      <c r="AE93" s="1404"/>
      <c r="AF93" s="1404"/>
      <c r="AG93" s="1404"/>
      <c r="AH93" s="1404"/>
      <c r="AI93" s="820"/>
      <c r="AJ93" s="820"/>
      <c r="AK93" s="820"/>
      <c r="AL93" s="820"/>
    </row>
    <row r="94" spans="1:43" ht="15" customHeight="1">
      <c r="A94" s="438"/>
      <c r="B94" s="662"/>
      <c r="C94" s="662"/>
      <c r="D94" s="662"/>
      <c r="E94" s="662"/>
      <c r="F94" s="662"/>
      <c r="G94" s="662"/>
      <c r="H94" s="662"/>
      <c r="I94" s="662"/>
      <c r="J94" s="662"/>
      <c r="K94" s="662"/>
      <c r="L94" s="662"/>
      <c r="M94" s="651"/>
      <c r="N94" s="662"/>
      <c r="O94" s="662"/>
      <c r="P94" s="662"/>
      <c r="Q94" s="662"/>
      <c r="R94" s="662"/>
      <c r="S94" s="662"/>
      <c r="T94" s="662"/>
      <c r="U94" s="662"/>
      <c r="V94" s="662"/>
      <c r="W94" s="662"/>
      <c r="X94" s="662"/>
      <c r="Y94" s="662"/>
      <c r="Z94" s="662"/>
      <c r="AA94" s="662"/>
      <c r="AB94" s="662"/>
      <c r="AC94" s="651"/>
      <c r="AD94" s="649"/>
      <c r="AE94" s="641"/>
      <c r="AF94" s="642"/>
      <c r="AG94" s="642"/>
    </row>
    <row r="95" spans="1:43" ht="18" customHeight="1">
      <c r="A95" s="438"/>
      <c r="B95" s="649"/>
      <c r="C95" s="651"/>
      <c r="D95" s="649"/>
      <c r="E95" s="651"/>
      <c r="F95" s="649"/>
      <c r="G95" s="651"/>
      <c r="H95" s="649"/>
      <c r="I95" s="651"/>
      <c r="J95" s="649"/>
      <c r="K95" s="651"/>
      <c r="L95" s="649"/>
      <c r="M95" s="651"/>
      <c r="N95" s="649"/>
      <c r="O95" s="651"/>
      <c r="P95" s="649"/>
      <c r="Q95" s="651"/>
      <c r="R95" s="649"/>
      <c r="S95" s="651"/>
      <c r="T95" s="649"/>
      <c r="U95" s="651"/>
      <c r="V95" s="649"/>
      <c r="W95" s="651"/>
      <c r="X95" s="649"/>
      <c r="Y95" s="651"/>
      <c r="Z95" s="649"/>
      <c r="AA95" s="651"/>
      <c r="AB95" s="649"/>
      <c r="AC95" s="651"/>
      <c r="AD95" s="649"/>
      <c r="AE95" s="641"/>
      <c r="AF95" s="642"/>
      <c r="AG95" s="642"/>
    </row>
    <row r="96" spans="1:43" ht="28.05" customHeight="1">
      <c r="A96" s="438"/>
      <c r="B96" s="630" t="s">
        <v>621</v>
      </c>
      <c r="C96" s="629"/>
      <c r="D96" s="630" t="s">
        <v>622</v>
      </c>
      <c r="E96" s="629"/>
      <c r="F96" s="630" t="s">
        <v>623</v>
      </c>
      <c r="G96" s="629"/>
      <c r="H96" s="630" t="s">
        <v>624</v>
      </c>
      <c r="I96" s="629"/>
      <c r="J96" s="630" t="s">
        <v>625</v>
      </c>
      <c r="K96" s="629"/>
      <c r="L96" s="630" t="s">
        <v>1357</v>
      </c>
      <c r="M96" s="666"/>
      <c r="N96" s="630" t="s">
        <v>626</v>
      </c>
      <c r="O96" s="629"/>
      <c r="P96" s="630" t="s">
        <v>628</v>
      </c>
      <c r="Q96" s="629"/>
      <c r="R96" s="630" t="s">
        <v>629</v>
      </c>
      <c r="S96" s="629"/>
      <c r="T96" s="630" t="s">
        <v>630</v>
      </c>
      <c r="U96" s="629"/>
      <c r="V96" s="630" t="s">
        <v>631</v>
      </c>
      <c r="W96" s="629"/>
      <c r="X96" s="630" t="s">
        <v>1552</v>
      </c>
      <c r="Y96" s="629"/>
      <c r="Z96" s="630" t="s">
        <v>1553</v>
      </c>
      <c r="AA96" s="629"/>
      <c r="AB96" s="630" t="s">
        <v>632</v>
      </c>
      <c r="AC96" s="629"/>
      <c r="AD96" s="630" t="s">
        <v>633</v>
      </c>
      <c r="AE96" s="629"/>
      <c r="AF96" s="630" t="s">
        <v>634</v>
      </c>
      <c r="AG96" s="651"/>
      <c r="AH96" s="642"/>
      <c r="AI96" s="642"/>
    </row>
    <row r="97" spans="1:45" ht="33.6">
      <c r="A97" s="438"/>
      <c r="B97" s="658"/>
      <c r="C97" s="648"/>
      <c r="D97" s="658"/>
      <c r="E97" s="648"/>
      <c r="F97" s="658"/>
      <c r="G97" s="648"/>
      <c r="H97" s="658"/>
      <c r="I97" s="648"/>
      <c r="J97" s="658"/>
      <c r="K97" s="648"/>
      <c r="L97" s="658"/>
      <c r="M97" s="666"/>
      <c r="N97" s="658"/>
      <c r="O97" s="648"/>
      <c r="P97" s="658"/>
      <c r="Q97" s="648"/>
      <c r="R97" s="658"/>
      <c r="S97" s="648"/>
      <c r="T97" s="658"/>
      <c r="U97" s="648"/>
      <c r="V97" s="658"/>
      <c r="W97" s="648"/>
      <c r="X97" s="658"/>
      <c r="Y97" s="648"/>
      <c r="Z97" s="658"/>
      <c r="AA97" s="648"/>
      <c r="AB97" s="658"/>
      <c r="AC97" s="648"/>
      <c r="AD97" s="658"/>
      <c r="AE97" s="648"/>
      <c r="AF97" s="658"/>
      <c r="AG97" s="651"/>
      <c r="AH97" s="642"/>
      <c r="AI97" s="642"/>
    </row>
    <row r="98" spans="1:45" ht="15.45" customHeight="1" thickBot="1">
      <c r="A98" s="438"/>
      <c r="B98" s="660"/>
      <c r="C98" s="648"/>
      <c r="D98" s="660"/>
      <c r="E98" s="648"/>
      <c r="F98" s="660"/>
      <c r="G98" s="648"/>
      <c r="H98" s="660"/>
      <c r="I98" s="648"/>
      <c r="J98" s="660"/>
      <c r="K98" s="648"/>
      <c r="L98" s="660"/>
      <c r="M98" s="666"/>
      <c r="N98" s="660"/>
      <c r="O98" s="648"/>
      <c r="P98" s="660"/>
      <c r="Q98" s="648"/>
      <c r="R98" s="660"/>
      <c r="S98" s="648"/>
      <c r="T98" s="660"/>
      <c r="U98" s="648"/>
      <c r="V98" s="660"/>
      <c r="W98" s="648"/>
      <c r="X98" s="660"/>
      <c r="Y98" s="648"/>
      <c r="Z98" s="660"/>
      <c r="AA98" s="648"/>
      <c r="AB98" s="660"/>
      <c r="AC98" s="648"/>
      <c r="AD98" s="660"/>
      <c r="AE98" s="648"/>
      <c r="AF98" s="660"/>
      <c r="AG98" s="651"/>
      <c r="AH98" s="642"/>
      <c r="AI98" s="642"/>
    </row>
    <row r="99" spans="1:45" ht="100.05" customHeight="1" thickBot="1">
      <c r="A99" s="438"/>
      <c r="B99" s="637"/>
      <c r="C99" s="653">
        <v>358.32100000000003</v>
      </c>
      <c r="D99" s="637"/>
      <c r="E99" s="653">
        <v>477.815</v>
      </c>
      <c r="F99" s="637"/>
      <c r="G99" s="653">
        <v>415.464</v>
      </c>
      <c r="H99" s="637"/>
      <c r="I99" s="653">
        <v>402.22899999999998</v>
      </c>
      <c r="J99" s="637"/>
      <c r="K99" s="653">
        <v>437.43400000000003</v>
      </c>
      <c r="L99" s="637"/>
      <c r="M99" s="666"/>
      <c r="N99" s="637"/>
      <c r="O99" s="653">
        <v>455.92200000000003</v>
      </c>
      <c r="P99" s="637"/>
      <c r="Q99" s="653">
        <v>419.76499999999999</v>
      </c>
      <c r="R99" s="637"/>
      <c r="S99" s="653">
        <v>418.91699999999997</v>
      </c>
      <c r="T99" s="637"/>
      <c r="U99" s="653">
        <v>386.48599999999999</v>
      </c>
      <c r="V99" s="637"/>
      <c r="W99" s="653">
        <v>376.53</v>
      </c>
      <c r="X99" s="637"/>
      <c r="Y99" s="653"/>
      <c r="Z99" s="637"/>
      <c r="AA99" s="653"/>
      <c r="AB99" s="637"/>
      <c r="AC99" s="653">
        <v>404.73899999999998</v>
      </c>
      <c r="AD99" s="637"/>
      <c r="AE99" s="653">
        <v>366.72899999999998</v>
      </c>
      <c r="AF99" s="637"/>
      <c r="AG99" s="654">
        <v>274.58699999999999</v>
      </c>
      <c r="AH99" s="642"/>
      <c r="AI99" s="642"/>
      <c r="AM99" s="809">
        <f>COUNTIF(A99:AB99,"U/P")</f>
        <v>0</v>
      </c>
      <c r="AN99" s="809">
        <f>COUNTIF(A99:AC99,"ROW")</f>
        <v>0</v>
      </c>
      <c r="AO99" s="809">
        <f>COUNTIF(B99:AC99,"C")</f>
        <v>0</v>
      </c>
      <c r="AP99" s="809"/>
      <c r="AQ99" s="809"/>
      <c r="AR99" s="809"/>
      <c r="AS99" s="809"/>
    </row>
    <row r="100" spans="1:45" ht="34.200000000000003" thickBot="1">
      <c r="A100" s="438"/>
      <c r="B100" s="656"/>
      <c r="C100" s="648"/>
      <c r="D100" s="656"/>
      <c r="E100" s="648"/>
      <c r="F100" s="656"/>
      <c r="G100" s="648"/>
      <c r="H100" s="656"/>
      <c r="I100" s="648"/>
      <c r="J100" s="656"/>
      <c r="K100" s="648"/>
      <c r="L100" s="656"/>
      <c r="M100" s="666"/>
      <c r="N100" s="656"/>
      <c r="O100" s="648"/>
      <c r="P100" s="656"/>
      <c r="Q100" s="648"/>
      <c r="R100" s="656"/>
      <c r="S100" s="648"/>
      <c r="T100" s="656"/>
      <c r="U100" s="648"/>
      <c r="V100" s="656"/>
      <c r="W100" s="648"/>
      <c r="X100" s="656"/>
      <c r="Y100" s="648"/>
      <c r="Z100" s="656"/>
      <c r="AA100" s="648"/>
      <c r="AB100" s="656"/>
      <c r="AC100" s="648"/>
      <c r="AD100" s="656"/>
      <c r="AE100" s="648"/>
      <c r="AF100" s="656"/>
      <c r="AG100" s="651"/>
      <c r="AH100" s="642"/>
      <c r="AI100" s="642"/>
    </row>
    <row r="101" spans="1:45" ht="33.6">
      <c r="A101" s="438"/>
      <c r="B101" s="645" t="s">
        <v>88</v>
      </c>
      <c r="C101" s="644"/>
      <c r="D101" s="644" t="s">
        <v>212</v>
      </c>
      <c r="E101" s="644"/>
      <c r="F101" s="645" t="s">
        <v>93</v>
      </c>
      <c r="G101" s="644"/>
      <c r="H101" s="644" t="s">
        <v>212</v>
      </c>
      <c r="I101" s="644"/>
      <c r="J101" s="644" t="s">
        <v>147</v>
      </c>
      <c r="K101" s="644"/>
      <c r="L101" s="644" t="s">
        <v>90</v>
      </c>
      <c r="M101" s="666"/>
      <c r="N101" s="645" t="s">
        <v>90</v>
      </c>
      <c r="O101" s="644"/>
      <c r="P101" s="645" t="s">
        <v>84</v>
      </c>
      <c r="Q101" s="644"/>
      <c r="R101" s="644" t="s">
        <v>132</v>
      </c>
      <c r="S101" s="644"/>
      <c r="T101" s="644" t="s">
        <v>150</v>
      </c>
      <c r="U101" s="644"/>
      <c r="V101" s="644" t="s">
        <v>212</v>
      </c>
      <c r="W101" s="644"/>
      <c r="X101" s="644" t="s">
        <v>147</v>
      </c>
      <c r="Y101" s="644"/>
      <c r="Z101" s="644" t="s">
        <v>212</v>
      </c>
      <c r="AA101" s="644"/>
      <c r="AB101" s="645" t="s">
        <v>153</v>
      </c>
      <c r="AC101" s="644"/>
      <c r="AD101" s="644" t="s">
        <v>206</v>
      </c>
      <c r="AE101" s="644"/>
      <c r="AF101" s="644" t="s">
        <v>147</v>
      </c>
      <c r="AG101" s="651"/>
      <c r="AH101" s="642"/>
      <c r="AI101" s="642"/>
    </row>
    <row r="102" spans="1:45" ht="34.950000000000003" customHeight="1">
      <c r="A102" s="1403" t="s">
        <v>1594</v>
      </c>
      <c r="B102" s="1404"/>
      <c r="C102" s="1404"/>
      <c r="D102" s="1404"/>
      <c r="E102" s="1404"/>
      <c r="F102" s="1404"/>
      <c r="G102" s="1404"/>
      <c r="H102" s="1404"/>
      <c r="I102" s="1404"/>
      <c r="J102" s="1404"/>
      <c r="K102" s="1404"/>
      <c r="L102" s="1404"/>
      <c r="M102" s="1404"/>
      <c r="N102" s="1404"/>
      <c r="O102" s="1404"/>
      <c r="P102" s="1404"/>
      <c r="Q102" s="1404"/>
      <c r="R102" s="1404"/>
      <c r="S102" s="1404"/>
      <c r="T102" s="1404"/>
      <c r="U102" s="1404"/>
      <c r="V102" s="1404"/>
      <c r="W102" s="1404"/>
      <c r="X102" s="1404"/>
      <c r="Y102" s="1404"/>
      <c r="Z102" s="1404"/>
      <c r="AA102" s="1404"/>
      <c r="AB102" s="1404"/>
      <c r="AC102" s="1404"/>
      <c r="AD102" s="1404"/>
      <c r="AE102" s="1404"/>
      <c r="AF102" s="1404"/>
      <c r="AG102" s="1404"/>
      <c r="AH102" s="1404"/>
      <c r="AI102" s="820"/>
      <c r="AJ102" s="820"/>
      <c r="AK102" s="820"/>
      <c r="AL102" s="820"/>
    </row>
    <row r="103" spans="1:45" ht="14.55" customHeight="1">
      <c r="A103" s="438"/>
      <c r="B103" s="662"/>
      <c r="C103" s="662"/>
      <c r="D103" s="662"/>
      <c r="E103" s="662"/>
      <c r="F103" s="662"/>
      <c r="G103" s="662"/>
      <c r="H103" s="662"/>
      <c r="I103" s="662"/>
      <c r="J103" s="662"/>
      <c r="K103" s="662"/>
      <c r="L103" s="662"/>
      <c r="M103" s="662"/>
      <c r="N103" s="662"/>
      <c r="O103" s="662"/>
      <c r="P103" s="662"/>
      <c r="Q103" s="662"/>
      <c r="R103" s="662"/>
      <c r="S103" s="662"/>
      <c r="T103" s="662"/>
      <c r="U103" s="662"/>
      <c r="V103" s="662"/>
      <c r="W103" s="662"/>
      <c r="X103" s="662"/>
      <c r="Y103" s="662"/>
      <c r="Z103" s="662"/>
      <c r="AA103" s="662"/>
      <c r="AB103" s="662"/>
      <c r="AC103" s="651"/>
      <c r="AD103" s="649"/>
      <c r="AE103" s="641"/>
      <c r="AF103" s="642"/>
      <c r="AG103" s="642"/>
    </row>
    <row r="104" spans="1:45" ht="67.2">
      <c r="A104" s="438"/>
      <c r="B104" s="630" t="s">
        <v>635</v>
      </c>
      <c r="C104" s="629"/>
      <c r="D104" s="630" t="s">
        <v>636</v>
      </c>
      <c r="E104" s="629"/>
      <c r="F104" s="630" t="s">
        <v>638</v>
      </c>
      <c r="G104" s="629"/>
      <c r="H104" s="629"/>
      <c r="I104" s="630" t="s">
        <v>641</v>
      </c>
      <c r="J104" s="629"/>
      <c r="K104" s="630" t="s">
        <v>642</v>
      </c>
      <c r="L104" s="629"/>
      <c r="M104" s="630" t="s">
        <v>643</v>
      </c>
      <c r="N104" s="629"/>
      <c r="O104" s="630" t="s">
        <v>644</v>
      </c>
      <c r="P104" s="629"/>
      <c r="Q104" s="630" t="s">
        <v>645</v>
      </c>
      <c r="R104" s="629"/>
      <c r="S104" s="630" t="s">
        <v>646</v>
      </c>
      <c r="T104" s="629"/>
      <c r="U104" s="630" t="s">
        <v>647</v>
      </c>
      <c r="V104" s="629"/>
      <c r="W104" s="630" t="s">
        <v>648</v>
      </c>
      <c r="X104" s="648"/>
      <c r="Y104" s="649"/>
      <c r="Z104" s="642"/>
      <c r="AA104" s="642"/>
      <c r="AB104" s="642"/>
    </row>
    <row r="105" spans="1:45" ht="33.6">
      <c r="A105" s="438"/>
      <c r="B105" s="658"/>
      <c r="C105" s="644"/>
      <c r="D105" s="658"/>
      <c r="E105" s="648"/>
      <c r="F105" s="658"/>
      <c r="G105" s="648"/>
      <c r="H105" s="648"/>
      <c r="I105" s="658"/>
      <c r="J105" s="648"/>
      <c r="K105" s="658"/>
      <c r="L105" s="659"/>
      <c r="M105" s="658"/>
      <c r="N105" s="659"/>
      <c r="O105" s="658"/>
      <c r="P105" s="648"/>
      <c r="Q105" s="658"/>
      <c r="R105" s="648"/>
      <c r="S105" s="658"/>
      <c r="T105" s="648"/>
      <c r="U105" s="658"/>
      <c r="V105" s="648"/>
      <c r="W105" s="658"/>
      <c r="X105" s="648"/>
      <c r="Y105" s="649"/>
      <c r="Z105" s="642"/>
      <c r="AA105" s="642"/>
      <c r="AB105" s="642"/>
    </row>
    <row r="106" spans="1:45" ht="15.45" customHeight="1" thickBot="1">
      <c r="A106" s="438"/>
      <c r="B106" s="660"/>
      <c r="C106" s="648"/>
      <c r="D106" s="660"/>
      <c r="E106" s="648"/>
      <c r="F106" s="660"/>
      <c r="G106" s="648"/>
      <c r="H106" s="648"/>
      <c r="I106" s="660"/>
      <c r="J106" s="648"/>
      <c r="K106" s="660"/>
      <c r="L106" s="648"/>
      <c r="M106" s="660"/>
      <c r="N106" s="648"/>
      <c r="O106" s="660"/>
      <c r="P106" s="648"/>
      <c r="Q106" s="660"/>
      <c r="R106" s="648"/>
      <c r="S106" s="660"/>
      <c r="T106" s="648"/>
      <c r="U106" s="660"/>
      <c r="V106" s="648"/>
      <c r="W106" s="660"/>
      <c r="X106" s="648"/>
      <c r="Y106" s="649"/>
      <c r="Z106" s="642"/>
      <c r="AA106" s="642"/>
      <c r="AB106" s="642"/>
    </row>
    <row r="107" spans="1:45" ht="100.05" customHeight="1" thickBot="1">
      <c r="A107" s="438"/>
      <c r="B107" s="637"/>
      <c r="C107" s="653">
        <v>341.66800000000001</v>
      </c>
      <c r="D107" s="637"/>
      <c r="E107" s="653">
        <v>425.863</v>
      </c>
      <c r="F107" s="637"/>
      <c r="G107" s="653">
        <v>370.45</v>
      </c>
      <c r="H107" s="653">
        <v>397.61</v>
      </c>
      <c r="I107" s="637"/>
      <c r="J107" s="653">
        <v>413.4</v>
      </c>
      <c r="K107" s="637"/>
      <c r="L107" s="636">
        <v>423.65</v>
      </c>
      <c r="M107" s="637"/>
      <c r="N107" s="653">
        <v>415.97</v>
      </c>
      <c r="O107" s="637"/>
      <c r="P107" s="653">
        <v>415.35</v>
      </c>
      <c r="Q107" s="637"/>
      <c r="R107" s="636">
        <v>394.875</v>
      </c>
      <c r="S107" s="893" t="s">
        <v>354</v>
      </c>
      <c r="T107" s="636">
        <v>429.62</v>
      </c>
      <c r="U107" s="637"/>
      <c r="V107" s="636">
        <v>381.90499999999997</v>
      </c>
      <c r="W107" s="637"/>
      <c r="X107" s="636">
        <v>405.26</v>
      </c>
      <c r="Y107" s="649"/>
      <c r="Z107" s="642"/>
      <c r="AA107" s="642"/>
      <c r="AB107" s="642"/>
      <c r="AH107" s="809">
        <f>COUNTIF(B107:W107,"U/P")</f>
        <v>1</v>
      </c>
      <c r="AI107" s="809">
        <f>COUNTIF(C107:X107,"ROW")</f>
        <v>0</v>
      </c>
      <c r="AJ107" s="809">
        <f>COUNTIF(D107:Y107,"C")</f>
        <v>0</v>
      </c>
      <c r="AM107" s="809">
        <f>COUNTIF(B107:AB107,"U/P")</f>
        <v>1</v>
      </c>
      <c r="AN107" s="809">
        <f>COUNTIF(C107:AC107,"ROW")</f>
        <v>0</v>
      </c>
      <c r="AO107" s="809">
        <f>COUNTIF(D107:AD107,"C")</f>
        <v>0</v>
      </c>
    </row>
    <row r="108" spans="1:45" ht="34.200000000000003" thickBot="1">
      <c r="A108" s="438"/>
      <c r="B108" s="656"/>
      <c r="C108" s="648"/>
      <c r="D108" s="656"/>
      <c r="E108" s="648"/>
      <c r="F108" s="656"/>
      <c r="G108" s="648"/>
      <c r="H108" s="648"/>
      <c r="I108" s="656"/>
      <c r="J108" s="648"/>
      <c r="K108" s="656"/>
      <c r="L108" s="648"/>
      <c r="M108" s="656"/>
      <c r="N108" s="648"/>
      <c r="O108" s="656"/>
      <c r="P108" s="648"/>
      <c r="Q108" s="656"/>
      <c r="R108" s="648"/>
      <c r="S108" s="730" t="s">
        <v>192</v>
      </c>
      <c r="T108" s="648"/>
      <c r="U108" s="656"/>
      <c r="V108" s="648"/>
      <c r="W108" s="656"/>
      <c r="X108" s="648"/>
      <c r="Y108" s="649"/>
      <c r="Z108" s="642"/>
      <c r="AA108" s="642"/>
      <c r="AB108" s="642"/>
    </row>
    <row r="109" spans="1:45" ht="33.6">
      <c r="A109" s="438"/>
      <c r="B109" s="644" t="s">
        <v>147</v>
      </c>
      <c r="C109" s="644"/>
      <c r="D109" s="644" t="s">
        <v>206</v>
      </c>
      <c r="E109" s="644"/>
      <c r="F109" s="645" t="s">
        <v>108</v>
      </c>
      <c r="G109" s="644"/>
      <c r="H109" s="644"/>
      <c r="I109" s="645" t="s">
        <v>84</v>
      </c>
      <c r="J109" s="644"/>
      <c r="K109" s="644" t="s">
        <v>212</v>
      </c>
      <c r="L109" s="644"/>
      <c r="M109" s="644" t="s">
        <v>147</v>
      </c>
      <c r="N109" s="644"/>
      <c r="O109" s="644" t="s">
        <v>212</v>
      </c>
      <c r="P109" s="644"/>
      <c r="Q109" s="645" t="s">
        <v>102</v>
      </c>
      <c r="R109" s="644"/>
      <c r="S109" s="644" t="s">
        <v>212</v>
      </c>
      <c r="T109" s="644"/>
      <c r="U109" s="674" t="s">
        <v>1236</v>
      </c>
      <c r="V109" s="644"/>
      <c r="W109" s="644" t="s">
        <v>212</v>
      </c>
      <c r="X109" s="648"/>
      <c r="Y109" s="649"/>
      <c r="Z109" s="642"/>
      <c r="AA109" s="642"/>
      <c r="AB109" s="642"/>
    </row>
    <row r="110" spans="1:45" ht="69" customHeight="1">
      <c r="A110" s="438"/>
      <c r="B110" s="644"/>
      <c r="C110" s="644"/>
      <c r="D110" s="644"/>
      <c r="E110" s="644"/>
      <c r="F110" s="644"/>
      <c r="G110" s="644"/>
      <c r="H110" s="644"/>
      <c r="I110" s="644"/>
      <c r="J110" s="644"/>
      <c r="K110" s="644"/>
      <c r="L110" s="644"/>
      <c r="M110" s="675" t="s">
        <v>1576</v>
      </c>
      <c r="N110" s="644"/>
      <c r="O110" s="644"/>
      <c r="P110" s="644"/>
      <c r="Q110" s="644"/>
      <c r="R110" s="675" t="s">
        <v>1531</v>
      </c>
      <c r="S110" s="644"/>
      <c r="T110" s="644"/>
      <c r="U110" s="644"/>
      <c r="V110" s="644"/>
      <c r="W110" s="1408" t="s">
        <v>1530</v>
      </c>
      <c r="X110" s="1408"/>
      <c r="Y110" s="1408"/>
      <c r="Z110" s="675"/>
      <c r="AA110" s="644"/>
      <c r="AB110" s="676"/>
      <c r="AC110" s="648"/>
      <c r="AD110" s="649"/>
      <c r="AE110" s="642"/>
      <c r="AF110" s="642"/>
      <c r="AG110" s="642"/>
    </row>
    <row r="111" spans="1:45" ht="40.950000000000003" customHeight="1">
      <c r="A111" s="1403" t="s">
        <v>1453</v>
      </c>
      <c r="B111" s="1404"/>
      <c r="C111" s="1404"/>
      <c r="D111" s="1404"/>
      <c r="E111" s="1404"/>
      <c r="F111" s="1404"/>
      <c r="G111" s="1404"/>
      <c r="H111" s="1404"/>
      <c r="I111" s="1404"/>
      <c r="J111" s="1404"/>
      <c r="K111" s="1404"/>
      <c r="L111" s="1404"/>
      <c r="M111" s="1404"/>
      <c r="N111" s="1404"/>
      <c r="O111" s="1404"/>
      <c r="P111" s="1404"/>
      <c r="Q111" s="1404"/>
      <c r="R111" s="1404"/>
      <c r="S111" s="1404"/>
      <c r="T111" s="1404"/>
      <c r="U111" s="1404"/>
      <c r="V111" s="1404"/>
      <c r="W111" s="1404"/>
      <c r="X111" s="1404"/>
      <c r="Y111" s="1404"/>
      <c r="Z111" s="1404"/>
      <c r="AA111" s="1404"/>
      <c r="AB111" s="1404"/>
      <c r="AC111" s="1404"/>
      <c r="AD111" s="1404"/>
      <c r="AE111" s="1404"/>
      <c r="AF111" s="1404"/>
      <c r="AG111" s="1404"/>
      <c r="AH111" s="1404"/>
      <c r="AI111" s="817"/>
      <c r="AJ111" s="817"/>
      <c r="AK111" s="817"/>
      <c r="AL111" s="817"/>
    </row>
    <row r="112" spans="1:45" ht="67.05" customHeight="1">
      <c r="A112" s="438"/>
      <c r="B112" s="630" t="s">
        <v>649</v>
      </c>
      <c r="C112" s="629"/>
      <c r="D112" s="630" t="s">
        <v>650</v>
      </c>
      <c r="E112" s="629"/>
      <c r="F112" s="630" t="s">
        <v>651</v>
      </c>
      <c r="G112" s="629"/>
      <c r="H112" s="630" t="s">
        <v>652</v>
      </c>
      <c r="I112" s="629"/>
      <c r="J112" s="630" t="s">
        <v>653</v>
      </c>
      <c r="K112" s="677" t="s">
        <v>1447</v>
      </c>
      <c r="L112" s="1407" t="s">
        <v>654</v>
      </c>
      <c r="M112" s="1407"/>
      <c r="N112" s="630" t="s">
        <v>655</v>
      </c>
      <c r="O112" s="629"/>
      <c r="P112" s="1407" t="s">
        <v>656</v>
      </c>
      <c r="Q112" s="1407"/>
      <c r="R112" s="630" t="s">
        <v>657</v>
      </c>
      <c r="S112" s="629"/>
      <c r="T112" s="630" t="s">
        <v>658</v>
      </c>
      <c r="U112" s="629"/>
      <c r="V112" s="630" t="s">
        <v>659</v>
      </c>
      <c r="W112" s="629"/>
      <c r="X112" s="630" t="s">
        <v>660</v>
      </c>
      <c r="Y112" s="629"/>
      <c r="Z112" s="1407" t="s">
        <v>661</v>
      </c>
      <c r="AA112" s="1407"/>
      <c r="AB112" s="630" t="s">
        <v>662</v>
      </c>
      <c r="AC112" s="648"/>
      <c r="AD112" s="649"/>
      <c r="AE112" s="642"/>
      <c r="AF112" s="642"/>
      <c r="AG112" s="642"/>
    </row>
    <row r="113" spans="1:41" ht="33.6">
      <c r="A113" s="438"/>
      <c r="B113" s="658"/>
      <c r="C113" s="648"/>
      <c r="D113" s="658"/>
      <c r="E113" s="648"/>
      <c r="F113" s="658"/>
      <c r="G113" s="648"/>
      <c r="H113" s="658"/>
      <c r="I113" s="648"/>
      <c r="J113" s="658"/>
      <c r="K113" s="648"/>
      <c r="L113" s="658"/>
      <c r="M113" s="648"/>
      <c r="N113" s="658"/>
      <c r="O113" s="648"/>
      <c r="P113" s="658"/>
      <c r="Q113" s="648"/>
      <c r="R113" s="658"/>
      <c r="S113" s="648"/>
      <c r="T113" s="658"/>
      <c r="U113" s="648"/>
      <c r="V113" s="658"/>
      <c r="W113" s="648"/>
      <c r="X113" s="658"/>
      <c r="Y113" s="648"/>
      <c r="Z113" s="658"/>
      <c r="AA113" s="648"/>
      <c r="AB113" s="658"/>
      <c r="AC113" s="648"/>
      <c r="AD113" s="649"/>
      <c r="AE113" s="642"/>
      <c r="AF113" s="642"/>
      <c r="AG113" s="642"/>
    </row>
    <row r="114" spans="1:41" ht="13.95" customHeight="1" thickBot="1">
      <c r="A114" s="438"/>
      <c r="B114" s="660"/>
      <c r="C114" s="648"/>
      <c r="D114" s="660"/>
      <c r="E114" s="648"/>
      <c r="F114" s="660"/>
      <c r="G114" s="648"/>
      <c r="H114" s="660"/>
      <c r="I114" s="648"/>
      <c r="J114" s="660"/>
      <c r="K114" s="648"/>
      <c r="L114" s="660"/>
      <c r="M114" s="648"/>
      <c r="N114" s="660"/>
      <c r="O114" s="648"/>
      <c r="P114" s="660"/>
      <c r="Q114" s="648"/>
      <c r="R114" s="660"/>
      <c r="S114" s="648"/>
      <c r="T114" s="660"/>
      <c r="U114" s="648"/>
      <c r="V114" s="660"/>
      <c r="W114" s="648"/>
      <c r="X114" s="660"/>
      <c r="Y114" s="648"/>
      <c r="Z114" s="660"/>
      <c r="AA114" s="648"/>
      <c r="AB114" s="660"/>
      <c r="AC114" s="648"/>
      <c r="AD114" s="649"/>
      <c r="AE114" s="642"/>
      <c r="AF114" s="642"/>
      <c r="AG114" s="642"/>
    </row>
    <row r="115" spans="1:41" ht="100.05" customHeight="1" thickBot="1">
      <c r="A115" s="438"/>
      <c r="B115" s="637"/>
      <c r="C115" s="653">
        <v>338.15600000000001</v>
      </c>
      <c r="D115" s="637"/>
      <c r="E115" s="653">
        <v>288.303</v>
      </c>
      <c r="F115" s="637"/>
      <c r="G115" s="653">
        <v>297.14999999999998</v>
      </c>
      <c r="H115" s="637"/>
      <c r="I115" s="653">
        <v>195.90299999999999</v>
      </c>
      <c r="J115" s="637"/>
      <c r="K115" s="653">
        <v>249.66</v>
      </c>
      <c r="L115" s="637"/>
      <c r="M115" s="653">
        <v>374.48</v>
      </c>
      <c r="N115" s="637"/>
      <c r="O115" s="653">
        <v>430.3</v>
      </c>
      <c r="P115" s="637"/>
      <c r="Q115" s="653">
        <v>404.38600000000002</v>
      </c>
      <c r="R115" s="637"/>
      <c r="S115" s="653">
        <v>341.423</v>
      </c>
      <c r="T115" s="637"/>
      <c r="U115" s="653">
        <v>305.40100000000001</v>
      </c>
      <c r="V115" s="637"/>
      <c r="W115" s="653">
        <v>319.98099999999999</v>
      </c>
      <c r="X115" s="637"/>
      <c r="Y115" s="653">
        <v>345.62099999999998</v>
      </c>
      <c r="Z115" s="637"/>
      <c r="AA115" s="653">
        <v>223.15100000000001</v>
      </c>
      <c r="AB115" s="637"/>
      <c r="AC115" s="653">
        <v>393.81700000000001</v>
      </c>
      <c r="AD115" s="649"/>
      <c r="AE115" s="642"/>
      <c r="AF115" s="642"/>
      <c r="AG115" s="642"/>
      <c r="AM115" s="809">
        <f>COUNTIF(B115:AB115,"U/P")</f>
        <v>0</v>
      </c>
      <c r="AN115" s="809">
        <f>COUNTIF(C115:AC115,"ROW")</f>
        <v>0</v>
      </c>
      <c r="AO115" s="809">
        <f>COUNTIF(D115:AD115,"C")</f>
        <v>0</v>
      </c>
    </row>
    <row r="116" spans="1:41" ht="34.200000000000003" thickBot="1">
      <c r="A116" s="438"/>
      <c r="B116" s="656"/>
      <c r="C116" s="648"/>
      <c r="D116" s="656"/>
      <c r="E116" s="648"/>
      <c r="F116" s="656"/>
      <c r="G116" s="648"/>
      <c r="H116" s="656"/>
      <c r="I116" s="648"/>
      <c r="J116" s="656"/>
      <c r="K116" s="648"/>
      <c r="L116" s="656"/>
      <c r="M116" s="648"/>
      <c r="N116" s="656"/>
      <c r="O116" s="648"/>
      <c r="P116" s="656"/>
      <c r="Q116" s="648"/>
      <c r="R116" s="656"/>
      <c r="S116" s="648"/>
      <c r="T116" s="656"/>
      <c r="U116" s="648"/>
      <c r="V116" s="656"/>
      <c r="W116" s="648"/>
      <c r="X116" s="656"/>
      <c r="Y116" s="648"/>
      <c r="Z116" s="656"/>
      <c r="AA116" s="648"/>
      <c r="AB116" s="656"/>
      <c r="AC116" s="648"/>
      <c r="AD116" s="649"/>
      <c r="AE116" s="642"/>
      <c r="AF116" s="642"/>
      <c r="AG116" s="642"/>
    </row>
    <row r="117" spans="1:41" ht="33.6">
      <c r="A117" s="438"/>
      <c r="B117" s="644" t="s">
        <v>212</v>
      </c>
      <c r="C117" s="644"/>
      <c r="D117" s="644" t="s">
        <v>147</v>
      </c>
      <c r="E117" s="644"/>
      <c r="F117" s="644" t="s">
        <v>150</v>
      </c>
      <c r="G117" s="644"/>
      <c r="H117" s="644" t="s">
        <v>147</v>
      </c>
      <c r="I117" s="644"/>
      <c r="J117" s="645" t="s">
        <v>93</v>
      </c>
      <c r="K117" s="644"/>
      <c r="L117" s="645" t="s">
        <v>97</v>
      </c>
      <c r="M117" s="644"/>
      <c r="N117" s="644" t="s">
        <v>212</v>
      </c>
      <c r="O117" s="644"/>
      <c r="P117" s="645" t="s">
        <v>112</v>
      </c>
      <c r="Q117" s="644"/>
      <c r="R117" s="644" t="s">
        <v>147</v>
      </c>
      <c r="S117" s="644"/>
      <c r="T117" s="644" t="s">
        <v>150</v>
      </c>
      <c r="U117" s="644"/>
      <c r="V117" s="644" t="s">
        <v>147</v>
      </c>
      <c r="W117" s="644"/>
      <c r="X117" s="644" t="s">
        <v>206</v>
      </c>
      <c r="Y117" s="644"/>
      <c r="Z117" s="645" t="s">
        <v>108</v>
      </c>
      <c r="AA117" s="644"/>
      <c r="AB117" s="645" t="s">
        <v>112</v>
      </c>
      <c r="AC117" s="648"/>
      <c r="AD117" s="649"/>
      <c r="AE117" s="642"/>
      <c r="AF117" s="642"/>
      <c r="AG117" s="642"/>
    </row>
    <row r="118" spans="1:41" ht="37.5" customHeight="1">
      <c r="A118" s="675" t="s">
        <v>1530</v>
      </c>
      <c r="C118" s="648"/>
      <c r="D118" s="675" t="s">
        <v>330</v>
      </c>
      <c r="E118" s="648"/>
      <c r="F118" s="675" t="s">
        <v>1532</v>
      </c>
      <c r="G118" s="648"/>
      <c r="H118" s="675" t="s">
        <v>330</v>
      </c>
      <c r="I118" s="648"/>
      <c r="J118" s="666"/>
      <c r="K118" s="648"/>
      <c r="L118" s="675" t="s">
        <v>1459</v>
      </c>
      <c r="M118" s="648"/>
      <c r="N118" s="675" t="s">
        <v>1459</v>
      </c>
      <c r="O118" s="648"/>
      <c r="P118" s="666"/>
      <c r="Q118" s="648"/>
      <c r="R118" s="666"/>
      <c r="S118" s="648"/>
      <c r="T118" s="666"/>
      <c r="U118" s="648"/>
      <c r="V118" s="666"/>
      <c r="W118" s="648"/>
      <c r="X118" s="666"/>
      <c r="Y118" s="648"/>
      <c r="Z118" s="666"/>
      <c r="AA118" s="648"/>
      <c r="AB118" s="666"/>
      <c r="AC118" s="648"/>
      <c r="AD118" s="649"/>
      <c r="AE118" s="642"/>
      <c r="AF118" s="642"/>
      <c r="AG118" s="642"/>
    </row>
    <row r="119" spans="1:41" ht="34.950000000000003" customHeight="1">
      <c r="A119" s="1403" t="s">
        <v>1453</v>
      </c>
      <c r="B119" s="1404"/>
      <c r="C119" s="1404"/>
      <c r="D119" s="1404"/>
      <c r="E119" s="1404"/>
      <c r="F119" s="1404"/>
      <c r="G119" s="1404"/>
      <c r="H119" s="1404"/>
      <c r="I119" s="1404"/>
      <c r="J119" s="1404"/>
      <c r="K119" s="1404"/>
      <c r="L119" s="1404"/>
      <c r="M119" s="1404"/>
      <c r="N119" s="1404"/>
      <c r="O119" s="1404"/>
      <c r="P119" s="1404"/>
      <c r="Q119" s="1402" t="s">
        <v>1595</v>
      </c>
      <c r="R119" s="1402"/>
      <c r="S119" s="1402"/>
      <c r="T119" s="1402"/>
      <c r="U119" s="1402"/>
      <c r="V119" s="1402"/>
      <c r="W119" s="1402"/>
      <c r="X119" s="1402"/>
      <c r="Y119" s="1402"/>
      <c r="Z119" s="1402"/>
      <c r="AA119" s="1402"/>
      <c r="AB119" s="1402"/>
      <c r="AC119" s="1402"/>
      <c r="AD119" s="1402"/>
      <c r="AE119" s="1402"/>
      <c r="AF119" s="1402"/>
      <c r="AG119" s="883"/>
      <c r="AH119" s="883"/>
      <c r="AI119" s="820"/>
      <c r="AJ119" s="820"/>
      <c r="AK119" s="820"/>
      <c r="AL119" s="820"/>
    </row>
    <row r="120" spans="1:41" ht="31.05" customHeight="1">
      <c r="A120" s="438"/>
      <c r="B120" s="630" t="s">
        <v>663</v>
      </c>
      <c r="C120" s="629"/>
      <c r="D120" s="630" t="s">
        <v>664</v>
      </c>
      <c r="E120" s="629"/>
      <c r="F120" s="630" t="s">
        <v>665</v>
      </c>
      <c r="G120" s="629"/>
      <c r="H120" s="630" t="s">
        <v>666</v>
      </c>
      <c r="I120" s="629"/>
      <c r="J120" s="630" t="s">
        <v>1238</v>
      </c>
      <c r="K120" s="629"/>
      <c r="L120" s="630" t="s">
        <v>274</v>
      </c>
      <c r="M120" s="629"/>
      <c r="N120" s="630" t="s">
        <v>236</v>
      </c>
      <c r="O120" s="629"/>
      <c r="P120" s="630" t="s">
        <v>237</v>
      </c>
      <c r="Q120" s="629"/>
      <c r="R120" s="630" t="s">
        <v>275</v>
      </c>
      <c r="S120" s="629"/>
      <c r="T120" s="630" t="s">
        <v>276</v>
      </c>
      <c r="U120" s="629"/>
      <c r="V120" s="630" t="s">
        <v>277</v>
      </c>
      <c r="W120" s="629"/>
      <c r="X120" s="630" t="s">
        <v>278</v>
      </c>
      <c r="Y120" s="631" t="s">
        <v>1448</v>
      </c>
      <c r="Z120" s="630" t="s">
        <v>279</v>
      </c>
      <c r="AA120" s="629"/>
      <c r="AB120" s="630" t="s">
        <v>280</v>
      </c>
      <c r="AC120" s="648"/>
      <c r="AD120" s="666"/>
      <c r="AE120" s="669"/>
      <c r="AF120" s="669"/>
      <c r="AG120" s="669"/>
      <c r="AH120" s="666"/>
      <c r="AI120" s="666"/>
      <c r="AJ120" s="666"/>
      <c r="AK120" s="666"/>
      <c r="AL120" s="666"/>
    </row>
    <row r="121" spans="1:41" ht="33.6">
      <c r="A121" s="438"/>
      <c r="B121" s="658"/>
      <c r="C121" s="648"/>
      <c r="D121" s="658"/>
      <c r="E121" s="648"/>
      <c r="F121" s="658"/>
      <c r="G121" s="648"/>
      <c r="H121" s="658"/>
      <c r="I121" s="648"/>
      <c r="J121" s="658"/>
      <c r="K121" s="648"/>
      <c r="L121" s="658"/>
      <c r="M121" s="648"/>
      <c r="N121" s="658"/>
      <c r="O121" s="648"/>
      <c r="P121" s="658"/>
      <c r="Q121" s="648"/>
      <c r="R121" s="658"/>
      <c r="S121" s="648"/>
      <c r="T121" s="658"/>
      <c r="U121" s="648"/>
      <c r="V121" s="658"/>
      <c r="W121" s="648"/>
      <c r="X121" s="658"/>
      <c r="Y121" s="659"/>
      <c r="Z121" s="658"/>
      <c r="AA121" s="659"/>
      <c r="AB121" s="658"/>
      <c r="AC121" s="648"/>
      <c r="AD121" s="666"/>
      <c r="AE121" s="669"/>
      <c r="AF121" s="669"/>
      <c r="AG121" s="669"/>
      <c r="AH121" s="666"/>
      <c r="AI121" s="666"/>
      <c r="AJ121" s="666"/>
      <c r="AK121" s="666"/>
      <c r="AL121" s="666"/>
    </row>
    <row r="122" spans="1:41" ht="13.05" customHeight="1" thickBot="1">
      <c r="A122" s="438"/>
      <c r="B122" s="660"/>
      <c r="C122" s="648"/>
      <c r="D122" s="660"/>
      <c r="E122" s="648"/>
      <c r="F122" s="660"/>
      <c r="G122" s="648"/>
      <c r="H122" s="660"/>
      <c r="I122" s="648"/>
      <c r="J122" s="660"/>
      <c r="K122" s="648"/>
      <c r="L122" s="660"/>
      <c r="M122" s="648"/>
      <c r="N122" s="660"/>
      <c r="O122" s="648"/>
      <c r="P122" s="660"/>
      <c r="Q122" s="648"/>
      <c r="R122" s="660"/>
      <c r="S122" s="648"/>
      <c r="T122" s="660"/>
      <c r="U122" s="648"/>
      <c r="V122" s="660"/>
      <c r="W122" s="648"/>
      <c r="X122" s="660"/>
      <c r="Y122" s="648"/>
      <c r="Z122" s="660"/>
      <c r="AA122" s="648"/>
      <c r="AB122" s="660"/>
      <c r="AC122" s="648"/>
      <c r="AD122" s="666"/>
      <c r="AE122" s="669"/>
      <c r="AF122" s="669"/>
      <c r="AG122" s="669"/>
      <c r="AH122" s="666"/>
      <c r="AI122" s="666"/>
      <c r="AJ122" s="666"/>
      <c r="AK122" s="666"/>
      <c r="AL122" s="666"/>
    </row>
    <row r="123" spans="1:41" ht="100.05" customHeight="1" thickBot="1">
      <c r="A123" s="438"/>
      <c r="B123" s="637"/>
      <c r="C123" s="653">
        <v>435.13600000000002</v>
      </c>
      <c r="D123" s="637" t="s">
        <v>354</v>
      </c>
      <c r="E123" s="653">
        <v>403.209</v>
      </c>
      <c r="F123" s="679"/>
      <c r="G123" s="653">
        <v>422.55399999999997</v>
      </c>
      <c r="H123" s="637"/>
      <c r="I123" s="653">
        <v>353.48399999999998</v>
      </c>
      <c r="J123" s="637"/>
      <c r="K123" s="653">
        <v>274.89999999999998</v>
      </c>
      <c r="L123" s="637"/>
      <c r="M123" s="653">
        <v>465.03300000000002</v>
      </c>
      <c r="N123" s="678"/>
      <c r="O123" s="653">
        <v>373.98</v>
      </c>
      <c r="P123" s="679"/>
      <c r="Q123" s="653">
        <v>416.86399999999998</v>
      </c>
      <c r="R123" s="679"/>
      <c r="S123" s="653">
        <v>381.01900000000001</v>
      </c>
      <c r="T123" s="637"/>
      <c r="U123" s="653">
        <v>391.52</v>
      </c>
      <c r="V123" s="637"/>
      <c r="W123" s="653">
        <v>374.93</v>
      </c>
      <c r="X123" s="637"/>
      <c r="Y123" s="636">
        <v>248.57</v>
      </c>
      <c r="Z123" s="637"/>
      <c r="AA123" s="653">
        <v>384.17</v>
      </c>
      <c r="AB123" s="637"/>
      <c r="AC123" s="636">
        <v>330.76</v>
      </c>
      <c r="AD123" s="666"/>
      <c r="AE123" s="669"/>
      <c r="AF123" s="669"/>
      <c r="AG123" s="669"/>
      <c r="AH123" s="666"/>
      <c r="AI123" s="666"/>
      <c r="AJ123" s="666"/>
      <c r="AK123" s="666"/>
      <c r="AL123" s="666"/>
      <c r="AM123" s="809">
        <f>COUNTIF(B123:AB123,"U/P")</f>
        <v>1</v>
      </c>
      <c r="AN123" s="809">
        <f>COUNTIF(C123:AC123,"ROW")</f>
        <v>0</v>
      </c>
      <c r="AO123" s="809">
        <f>COUNTIF(D123:AD123,"C")</f>
        <v>0</v>
      </c>
    </row>
    <row r="124" spans="1:41" ht="34.200000000000003" thickBot="1">
      <c r="A124" s="438"/>
      <c r="B124" s="656"/>
      <c r="C124" s="648"/>
      <c r="D124" s="730" t="s">
        <v>192</v>
      </c>
      <c r="E124" s="648"/>
      <c r="F124" s="656"/>
      <c r="G124" s="648"/>
      <c r="H124" s="656"/>
      <c r="I124" s="648"/>
      <c r="J124" s="656"/>
      <c r="K124" s="648"/>
      <c r="L124" s="656"/>
      <c r="M124" s="648"/>
      <c r="N124" s="656"/>
      <c r="O124" s="648"/>
      <c r="P124" s="656"/>
      <c r="Q124" s="648"/>
      <c r="R124" s="656"/>
      <c r="S124" s="648"/>
      <c r="T124" s="656"/>
      <c r="U124" s="648"/>
      <c r="V124" s="656"/>
      <c r="W124" s="648"/>
      <c r="X124" s="656"/>
      <c r="Y124" s="648"/>
      <c r="Z124" s="656"/>
      <c r="AA124" s="648"/>
      <c r="AB124" s="656"/>
      <c r="AC124" s="648"/>
      <c r="AD124" s="666"/>
      <c r="AE124" s="669"/>
      <c r="AF124" s="669"/>
      <c r="AG124" s="669"/>
      <c r="AH124" s="666"/>
      <c r="AI124" s="666"/>
      <c r="AJ124" s="666"/>
      <c r="AK124" s="666"/>
      <c r="AL124" s="666"/>
    </row>
    <row r="125" spans="1:41" ht="33.6">
      <c r="A125" s="438"/>
      <c r="B125" s="661" t="s">
        <v>212</v>
      </c>
      <c r="C125" s="644"/>
      <c r="D125" s="661" t="s">
        <v>212</v>
      </c>
      <c r="E125" s="644"/>
      <c r="F125" s="645" t="s">
        <v>108</v>
      </c>
      <c r="G125" s="644"/>
      <c r="H125" s="645" t="s">
        <v>108</v>
      </c>
      <c r="I125" s="644"/>
      <c r="J125" s="645" t="s">
        <v>112</v>
      </c>
      <c r="K125" s="644"/>
      <c r="L125" s="645" t="s">
        <v>82</v>
      </c>
      <c r="M125" s="644"/>
      <c r="N125" s="661" t="s">
        <v>150</v>
      </c>
      <c r="O125" s="644"/>
      <c r="P125" s="661" t="s">
        <v>147</v>
      </c>
      <c r="Q125" s="644"/>
      <c r="R125" s="661" t="s">
        <v>150</v>
      </c>
      <c r="S125" s="644"/>
      <c r="T125" s="645" t="s">
        <v>84</v>
      </c>
      <c r="U125" s="644"/>
      <c r="V125" s="661" t="s">
        <v>206</v>
      </c>
      <c r="W125" s="644"/>
      <c r="X125" s="645" t="s">
        <v>90</v>
      </c>
      <c r="Y125" s="644"/>
      <c r="Z125" s="645" t="s">
        <v>80</v>
      </c>
      <c r="AA125" s="644"/>
      <c r="AB125" s="661" t="s">
        <v>150</v>
      </c>
      <c r="AC125" s="648"/>
      <c r="AD125" s="666"/>
      <c r="AE125" s="669"/>
      <c r="AF125" s="669"/>
      <c r="AG125" s="669"/>
      <c r="AH125" s="666"/>
      <c r="AI125" s="666"/>
      <c r="AJ125" s="666"/>
      <c r="AK125" s="666"/>
      <c r="AL125" s="666"/>
    </row>
    <row r="126" spans="1:41" ht="33.6">
      <c r="A126" s="438"/>
      <c r="B126" s="661"/>
      <c r="C126" s="644"/>
      <c r="D126" s="661"/>
      <c r="E126" s="644"/>
      <c r="F126" s="661"/>
      <c r="G126" s="644"/>
      <c r="H126" s="661"/>
      <c r="I126" s="644"/>
      <c r="J126" s="675" t="s">
        <v>1459</v>
      </c>
      <c r="K126" s="644"/>
      <c r="L126" s="661"/>
      <c r="M126" s="644"/>
      <c r="N126" s="661"/>
      <c r="O126" s="644"/>
      <c r="P126" s="661"/>
      <c r="Q126" s="644"/>
      <c r="R126" s="661"/>
      <c r="S126" s="644"/>
      <c r="T126" s="680" t="s">
        <v>1577</v>
      </c>
      <c r="U126" s="644"/>
      <c r="V126" s="680" t="s">
        <v>1533</v>
      </c>
      <c r="W126" s="644"/>
      <c r="X126" s="661"/>
      <c r="Y126" s="644"/>
      <c r="Z126" s="661"/>
      <c r="AA126" s="644"/>
      <c r="AB126" s="661"/>
      <c r="AC126" s="648"/>
      <c r="AD126" s="666"/>
      <c r="AE126" s="669"/>
      <c r="AF126" s="669"/>
      <c r="AG126" s="669"/>
      <c r="AH126" s="666"/>
      <c r="AI126" s="666"/>
      <c r="AJ126" s="666"/>
      <c r="AK126" s="666"/>
      <c r="AL126" s="666"/>
    </row>
    <row r="127" spans="1:41" ht="38.549999999999997" customHeight="1">
      <c r="A127" s="1412" t="s">
        <v>1596</v>
      </c>
      <c r="B127" s="1413"/>
      <c r="C127" s="1413"/>
      <c r="D127" s="1413"/>
      <c r="E127" s="1413"/>
      <c r="F127" s="1414"/>
      <c r="G127" s="1394" t="s">
        <v>1460</v>
      </c>
      <c r="H127" s="1395"/>
      <c r="I127" s="1395"/>
      <c r="J127" s="1395"/>
      <c r="K127" s="1395"/>
      <c r="L127" s="1395"/>
      <c r="M127" s="1395"/>
      <c r="N127" s="1395"/>
      <c r="O127" s="1415"/>
      <c r="P127" s="681"/>
      <c r="Q127" s="681"/>
      <c r="R127" s="681"/>
      <c r="S127" s="1404" t="s">
        <v>1453</v>
      </c>
      <c r="T127" s="1404"/>
      <c r="U127" s="1404"/>
      <c r="V127" s="1404"/>
      <c r="W127" s="1404"/>
      <c r="X127" s="1404"/>
      <c r="Y127" s="1404"/>
      <c r="Z127" s="1404"/>
      <c r="AA127" s="1404"/>
      <c r="AB127" s="1404"/>
      <c r="AC127" s="1404"/>
      <c r="AD127" s="1404"/>
      <c r="AE127" s="1404"/>
      <c r="AF127" s="1404"/>
      <c r="AG127" s="1404"/>
      <c r="AH127" s="1404"/>
      <c r="AI127" s="817"/>
      <c r="AJ127" s="817"/>
      <c r="AK127" s="817"/>
      <c r="AL127" s="817"/>
    </row>
    <row r="128" spans="1:41" ht="13.95" customHeight="1">
      <c r="B128" s="682"/>
      <c r="C128" s="651"/>
      <c r="D128" s="682"/>
      <c r="E128" s="651"/>
      <c r="F128" s="682"/>
      <c r="G128" s="651"/>
      <c r="H128" s="682"/>
      <c r="I128" s="651"/>
      <c r="J128" s="682"/>
      <c r="K128" s="651"/>
      <c r="L128" s="682"/>
      <c r="M128" s="651"/>
      <c r="N128" s="682"/>
      <c r="O128" s="651"/>
      <c r="P128" s="682"/>
      <c r="Q128" s="651"/>
      <c r="R128" s="682"/>
      <c r="S128" s="651"/>
      <c r="T128" s="682"/>
      <c r="U128" s="651"/>
      <c r="V128" s="682"/>
      <c r="W128" s="651"/>
      <c r="X128" s="682"/>
      <c r="Y128" s="651"/>
      <c r="Z128" s="682"/>
      <c r="AA128" s="651"/>
      <c r="AB128" s="682"/>
      <c r="AC128" s="651"/>
      <c r="AD128" s="649"/>
      <c r="AE128" s="642"/>
      <c r="AF128" s="642"/>
      <c r="AG128" s="642"/>
    </row>
    <row r="129" spans="1:41" ht="67.05" customHeight="1">
      <c r="A129" s="438"/>
      <c r="B129" s="630" t="s">
        <v>284</v>
      </c>
      <c r="C129" s="629"/>
      <c r="D129" s="630" t="s">
        <v>285</v>
      </c>
      <c r="E129" s="629"/>
      <c r="F129" s="1407" t="s">
        <v>286</v>
      </c>
      <c r="G129" s="1407"/>
      <c r="H129" s="630" t="s">
        <v>287</v>
      </c>
      <c r="I129" s="630"/>
      <c r="J129" s="630" t="s">
        <v>288</v>
      </c>
      <c r="K129" s="629"/>
      <c r="L129" s="630" t="s">
        <v>289</v>
      </c>
      <c r="M129" s="629"/>
      <c r="N129" s="630" t="s">
        <v>290</v>
      </c>
      <c r="O129" s="629"/>
      <c r="P129" s="630" t="s">
        <v>291</v>
      </c>
      <c r="Q129" s="629"/>
      <c r="R129" s="630" t="s">
        <v>292</v>
      </c>
      <c r="S129" s="629"/>
      <c r="T129" s="1407" t="s">
        <v>293</v>
      </c>
      <c r="U129" s="1407"/>
      <c r="V129" s="1407" t="s">
        <v>297</v>
      </c>
      <c r="W129" s="1407"/>
      <c r="X129" s="630" t="s">
        <v>298</v>
      </c>
      <c r="Y129" s="629"/>
      <c r="Z129" s="630" t="s">
        <v>299</v>
      </c>
      <c r="AA129" s="629"/>
      <c r="AB129" s="630" t="s">
        <v>300</v>
      </c>
      <c r="AC129" s="648"/>
      <c r="AD129" s="649"/>
      <c r="AE129" s="642"/>
      <c r="AF129" s="642"/>
      <c r="AG129" s="642"/>
    </row>
    <row r="130" spans="1:41" ht="33.6">
      <c r="A130" s="438"/>
      <c r="B130" s="658"/>
      <c r="C130" s="659"/>
      <c r="D130" s="658"/>
      <c r="E130" s="659"/>
      <c r="F130" s="658"/>
      <c r="G130" s="659"/>
      <c r="H130" s="658"/>
      <c r="I130" s="683"/>
      <c r="J130" s="658"/>
      <c r="K130" s="684"/>
      <c r="L130" s="658"/>
      <c r="M130" s="644"/>
      <c r="N130" s="658"/>
      <c r="O130" s="648"/>
      <c r="P130" s="658"/>
      <c r="Q130" s="644"/>
      <c r="R130" s="658"/>
      <c r="S130" s="648"/>
      <c r="T130" s="658"/>
      <c r="U130" s="648"/>
      <c r="V130" s="658"/>
      <c r="W130" s="648"/>
      <c r="X130" s="658"/>
      <c r="Y130" s="644"/>
      <c r="Z130" s="658"/>
      <c r="AA130" s="644"/>
      <c r="AB130" s="658"/>
      <c r="AC130" s="648"/>
      <c r="AD130" s="649"/>
      <c r="AE130" s="642"/>
      <c r="AF130" s="642"/>
      <c r="AG130" s="642"/>
    </row>
    <row r="131" spans="1:41" ht="16.5" customHeight="1" thickBot="1">
      <c r="A131" s="438"/>
      <c r="B131" s="660"/>
      <c r="C131" s="648"/>
      <c r="D131" s="660"/>
      <c r="E131" s="648"/>
      <c r="F131" s="660"/>
      <c r="G131" s="648"/>
      <c r="H131" s="660"/>
      <c r="I131" s="648"/>
      <c r="J131" s="660"/>
      <c r="K131" s="648"/>
      <c r="L131" s="660" t="s">
        <v>46</v>
      </c>
      <c r="M131" s="648"/>
      <c r="N131" s="660"/>
      <c r="O131" s="648"/>
      <c r="P131" s="660"/>
      <c r="Q131" s="648"/>
      <c r="R131" s="660"/>
      <c r="S131" s="648"/>
      <c r="T131" s="660"/>
      <c r="U131" s="648"/>
      <c r="V131" s="660"/>
      <c r="W131" s="648"/>
      <c r="X131" s="660"/>
      <c r="Y131" s="648"/>
      <c r="Z131" s="660"/>
      <c r="AA131" s="648"/>
      <c r="AB131" s="660"/>
      <c r="AC131" s="648"/>
      <c r="AD131" s="649"/>
      <c r="AE131" s="642"/>
      <c r="AF131" s="642"/>
      <c r="AG131" s="642"/>
    </row>
    <row r="132" spans="1:41" ht="100.05" customHeight="1" thickBot="1">
      <c r="A132" s="438"/>
      <c r="B132" s="637" t="s">
        <v>46</v>
      </c>
      <c r="C132" s="653">
        <v>285.32</v>
      </c>
      <c r="D132" s="637"/>
      <c r="E132" s="653">
        <v>354.7</v>
      </c>
      <c r="F132" s="637"/>
      <c r="G132" s="653">
        <v>420.54</v>
      </c>
      <c r="H132" s="637"/>
      <c r="I132" s="653">
        <v>340.56</v>
      </c>
      <c r="J132" s="679"/>
      <c r="K132" s="653">
        <v>336.52</v>
      </c>
      <c r="L132" s="679"/>
      <c r="M132" s="653">
        <v>375.99</v>
      </c>
      <c r="N132" s="637"/>
      <c r="O132" s="636">
        <v>308.41000000000003</v>
      </c>
      <c r="P132" s="679"/>
      <c r="Q132" s="685">
        <v>444.84</v>
      </c>
      <c r="R132" s="679"/>
      <c r="S132" s="653">
        <v>392.02</v>
      </c>
      <c r="T132" s="679"/>
      <c r="U132" s="653">
        <v>407.803</v>
      </c>
      <c r="V132" s="679"/>
      <c r="W132" s="653">
        <v>206.06200000000001</v>
      </c>
      <c r="X132" s="679"/>
      <c r="Y132" s="636">
        <v>417.38400000000001</v>
      </c>
      <c r="Z132" s="637"/>
      <c r="AA132" s="653">
        <v>304.56400000000002</v>
      </c>
      <c r="AB132" s="637"/>
      <c r="AC132" s="636">
        <v>395.51</v>
      </c>
      <c r="AD132" s="649"/>
      <c r="AE132" s="642"/>
      <c r="AF132" s="642"/>
      <c r="AG132" s="642"/>
      <c r="AM132" s="809">
        <f>COUNTIF(B132:AB132,"U/P")</f>
        <v>0</v>
      </c>
      <c r="AN132" s="809">
        <f>COUNTIF(C132:AC132,"ROW")</f>
        <v>0</v>
      </c>
      <c r="AO132" s="809">
        <f>COUNTIF(B132:AD132,"C")</f>
        <v>1</v>
      </c>
    </row>
    <row r="133" spans="1:41" ht="34.200000000000003" thickBot="1">
      <c r="A133" s="438"/>
      <c r="B133" s="656"/>
      <c r="C133" s="648"/>
      <c r="D133" s="656"/>
      <c r="E133" s="648"/>
      <c r="F133" s="656"/>
      <c r="G133" s="648"/>
      <c r="H133" s="656"/>
      <c r="I133" s="648"/>
      <c r="J133" s="656"/>
      <c r="K133" s="648"/>
      <c r="L133" s="656"/>
      <c r="M133" s="648"/>
      <c r="N133" s="656"/>
      <c r="O133" s="648"/>
      <c r="P133" s="656"/>
      <c r="Q133" s="648"/>
      <c r="R133" s="656"/>
      <c r="S133" s="648"/>
      <c r="T133" s="656"/>
      <c r="U133" s="648"/>
      <c r="V133" s="656"/>
      <c r="W133" s="648"/>
      <c r="X133" s="656"/>
      <c r="Y133" s="648"/>
      <c r="Z133" s="656"/>
      <c r="AA133" s="648"/>
      <c r="AB133" s="656"/>
      <c r="AC133" s="648"/>
      <c r="AD133" s="649"/>
      <c r="AE133" s="642"/>
      <c r="AF133" s="642"/>
      <c r="AG133" s="642"/>
    </row>
    <row r="134" spans="1:41" ht="33.6">
      <c r="A134" s="438"/>
      <c r="B134" s="644" t="s">
        <v>206</v>
      </c>
      <c r="C134" s="644"/>
      <c r="D134" s="644" t="s">
        <v>150</v>
      </c>
      <c r="E134" s="644"/>
      <c r="F134" s="645" t="s">
        <v>82</v>
      </c>
      <c r="G134" s="644"/>
      <c r="H134" s="645" t="s">
        <v>97</v>
      </c>
      <c r="I134" s="644"/>
      <c r="J134" s="645" t="s">
        <v>97</v>
      </c>
      <c r="K134" s="644"/>
      <c r="L134" s="644" t="s">
        <v>147</v>
      </c>
      <c r="M134" s="644"/>
      <c r="N134" s="645" t="s">
        <v>97</v>
      </c>
      <c r="O134" s="644"/>
      <c r="P134" s="644" t="s">
        <v>206</v>
      </c>
      <c r="Q134" s="644"/>
      <c r="R134" s="644" t="s">
        <v>206</v>
      </c>
      <c r="S134" s="644"/>
      <c r="T134" s="645" t="s">
        <v>97</v>
      </c>
      <c r="U134" s="644"/>
      <c r="V134" s="645" t="s">
        <v>97</v>
      </c>
      <c r="W134" s="644"/>
      <c r="X134" s="645" t="s">
        <v>88</v>
      </c>
      <c r="Y134" s="644"/>
      <c r="Z134" s="660" t="s">
        <v>147</v>
      </c>
      <c r="AA134" s="644"/>
      <c r="AB134" s="645" t="s">
        <v>90</v>
      </c>
      <c r="AC134" s="648"/>
      <c r="AD134" s="649"/>
      <c r="AE134" s="642"/>
      <c r="AF134" s="642"/>
      <c r="AG134" s="642"/>
    </row>
    <row r="135" spans="1:41" ht="33.6">
      <c r="A135" s="438"/>
      <c r="B135" s="877"/>
      <c r="C135" s="644"/>
      <c r="D135" s="680" t="s">
        <v>1534</v>
      </c>
      <c r="E135" s="644"/>
      <c r="F135" s="680" t="s">
        <v>1535</v>
      </c>
      <c r="G135" s="644"/>
      <c r="H135" s="680" t="s">
        <v>1578</v>
      </c>
      <c r="I135" s="644"/>
      <c r="J135" s="644"/>
      <c r="K135" s="644"/>
      <c r="L135" s="675" t="s">
        <v>1458</v>
      </c>
      <c r="M135" s="644"/>
      <c r="N135" s="644"/>
      <c r="O135" s="644"/>
      <c r="P135" s="644"/>
      <c r="Q135" s="644"/>
      <c r="R135" s="675" t="s">
        <v>1579</v>
      </c>
      <c r="S135" s="644"/>
      <c r="T135" s="675" t="s">
        <v>1579</v>
      </c>
      <c r="U135" s="675"/>
      <c r="V135" s="675"/>
      <c r="W135" s="644"/>
      <c r="X135" s="644"/>
      <c r="Y135" s="644"/>
      <c r="Z135" s="675" t="s">
        <v>330</v>
      </c>
      <c r="AA135" s="644"/>
      <c r="AB135" s="644"/>
      <c r="AC135" s="648"/>
      <c r="AD135" s="649"/>
      <c r="AE135" s="642"/>
      <c r="AF135" s="642"/>
      <c r="AG135" s="642"/>
    </row>
    <row r="136" spans="1:41" ht="36.6">
      <c r="A136" s="1403" t="s">
        <v>1453</v>
      </c>
      <c r="B136" s="1404"/>
      <c r="C136" s="1404"/>
      <c r="D136" s="1404"/>
      <c r="E136" s="1404"/>
      <c r="F136" s="1404"/>
      <c r="G136" s="1404"/>
      <c r="H136" s="1404"/>
      <c r="I136" s="1404"/>
      <c r="J136" s="1404"/>
      <c r="K136" s="787"/>
      <c r="L136" s="787"/>
      <c r="M136" s="787"/>
      <c r="N136" s="707" t="s">
        <v>192</v>
      </c>
      <c r="O136" s="787"/>
      <c r="P136" s="787"/>
      <c r="Q136" s="787"/>
      <c r="R136" s="787"/>
      <c r="S136" s="787"/>
      <c r="T136" s="787"/>
      <c r="U136" s="1404" t="s">
        <v>1453</v>
      </c>
      <c r="V136" s="1404"/>
      <c r="W136" s="1404"/>
      <c r="X136" s="1404"/>
      <c r="Y136" s="1404"/>
      <c r="Z136" s="1404"/>
      <c r="AA136" s="1404"/>
      <c r="AB136" s="1404"/>
      <c r="AC136" s="1404"/>
      <c r="AD136" s="1404"/>
      <c r="AE136" s="1404"/>
      <c r="AF136" s="1404"/>
      <c r="AG136" s="707"/>
      <c r="AH136" s="707"/>
      <c r="AI136" s="817"/>
      <c r="AJ136" s="817"/>
      <c r="AK136" s="817"/>
      <c r="AL136" s="817"/>
    </row>
    <row r="137" spans="1:41" ht="25.05" customHeight="1">
      <c r="A137" s="438"/>
      <c r="B137" s="666"/>
      <c r="C137" s="648"/>
      <c r="D137" s="666"/>
      <c r="E137" s="648"/>
      <c r="F137" s="666"/>
      <c r="G137" s="648"/>
      <c r="H137" s="666"/>
      <c r="I137" s="648"/>
      <c r="J137" s="666"/>
      <c r="K137" s="648"/>
      <c r="L137" s="666"/>
      <c r="M137" s="648"/>
      <c r="N137" s="666"/>
      <c r="O137" s="648"/>
      <c r="P137" s="666"/>
      <c r="Q137" s="648"/>
      <c r="R137" s="666"/>
      <c r="S137" s="648"/>
      <c r="T137" s="666"/>
      <c r="U137" s="648"/>
      <c r="V137" s="666"/>
      <c r="W137" s="648"/>
      <c r="X137" s="666"/>
      <c r="Y137" s="648"/>
      <c r="Z137" s="666"/>
      <c r="AA137" s="648"/>
      <c r="AB137" s="666"/>
      <c r="AC137" s="648"/>
      <c r="AD137" s="666"/>
      <c r="AE137" s="642"/>
      <c r="AF137" s="642"/>
      <c r="AG137" s="642"/>
    </row>
    <row r="138" spans="1:41" ht="33.450000000000003" customHeight="1">
      <c r="A138" s="438"/>
      <c r="B138" s="630" t="s">
        <v>301</v>
      </c>
      <c r="C138" s="629"/>
      <c r="D138" s="630" t="s">
        <v>302</v>
      </c>
      <c r="E138" s="629"/>
      <c r="F138" s="630" t="s">
        <v>303</v>
      </c>
      <c r="G138" s="686"/>
      <c r="H138" s="630" t="s">
        <v>304</v>
      </c>
      <c r="I138" s="629"/>
      <c r="J138" s="630" t="s">
        <v>245</v>
      </c>
      <c r="K138" s="629"/>
      <c r="L138" s="630" t="s">
        <v>305</v>
      </c>
      <c r="M138" s="629"/>
      <c r="N138" s="630" t="s">
        <v>310</v>
      </c>
      <c r="O138" s="629"/>
      <c r="P138" s="630" t="s">
        <v>311</v>
      </c>
      <c r="Q138" s="629"/>
      <c r="R138" s="630" t="s">
        <v>312</v>
      </c>
      <c r="S138" s="629"/>
      <c r="T138" s="630" t="s">
        <v>246</v>
      </c>
      <c r="U138" s="629"/>
      <c r="V138" s="630" t="s">
        <v>247</v>
      </c>
      <c r="W138" s="629"/>
      <c r="X138" s="630" t="s">
        <v>313</v>
      </c>
      <c r="Y138" s="629"/>
      <c r="Z138" s="630" t="s">
        <v>314</v>
      </c>
      <c r="AA138" s="629"/>
      <c r="AB138" s="630" t="s">
        <v>315</v>
      </c>
      <c r="AC138" s="648"/>
      <c r="AD138" s="666"/>
      <c r="AE138" s="642"/>
      <c r="AF138" s="642"/>
      <c r="AG138" s="642"/>
    </row>
    <row r="139" spans="1:41" ht="33.6">
      <c r="A139" s="438"/>
      <c r="B139" s="658"/>
      <c r="C139" s="648"/>
      <c r="D139" s="658"/>
      <c r="E139" s="644"/>
      <c r="F139" s="658"/>
      <c r="G139" s="687"/>
      <c r="H139" s="658"/>
      <c r="I139" s="648"/>
      <c r="J139" s="658"/>
      <c r="K139" s="648"/>
      <c r="L139" s="658"/>
      <c r="M139" s="648"/>
      <c r="N139" s="658"/>
      <c r="O139" s="648"/>
      <c r="P139" s="658"/>
      <c r="Q139" s="688"/>
      <c r="R139" s="658"/>
      <c r="S139" s="648"/>
      <c r="T139" s="658"/>
      <c r="U139" s="648"/>
      <c r="V139" s="658"/>
      <c r="W139" s="648"/>
      <c r="X139" s="658"/>
      <c r="Y139" s="648"/>
      <c r="Z139" s="658"/>
      <c r="AA139" s="648"/>
      <c r="AB139" s="658"/>
      <c r="AC139" s="648"/>
      <c r="AD139" s="666"/>
      <c r="AE139" s="642"/>
      <c r="AF139" s="642"/>
      <c r="AG139" s="642"/>
    </row>
    <row r="140" spans="1:41" ht="15.45" customHeight="1" thickBot="1">
      <c r="A140" s="438"/>
      <c r="B140" s="660"/>
      <c r="C140" s="648"/>
      <c r="D140" s="660"/>
      <c r="E140" s="648"/>
      <c r="F140" s="660"/>
      <c r="G140" s="648"/>
      <c r="H140" s="660"/>
      <c r="I140" s="648"/>
      <c r="J140" s="660"/>
      <c r="K140" s="648"/>
      <c r="L140" s="660"/>
      <c r="M140" s="648"/>
      <c r="N140" s="660"/>
      <c r="O140" s="648"/>
      <c r="P140" s="660"/>
      <c r="Q140" s="648"/>
      <c r="R140" s="660"/>
      <c r="S140" s="648"/>
      <c r="T140" s="660"/>
      <c r="U140" s="648"/>
      <c r="V140" s="660" t="s">
        <v>192</v>
      </c>
      <c r="W140" s="648"/>
      <c r="X140" s="660"/>
      <c r="Y140" s="648"/>
      <c r="Z140" s="660"/>
      <c r="AA140" s="648"/>
      <c r="AB140" s="660"/>
      <c r="AC140" s="648"/>
      <c r="AD140" s="666"/>
      <c r="AE140" s="642"/>
      <c r="AF140" s="642"/>
      <c r="AG140" s="642"/>
    </row>
    <row r="141" spans="1:41" ht="100.05" customHeight="1" thickBot="1">
      <c r="A141" s="438"/>
      <c r="B141" s="637"/>
      <c r="C141" s="653">
        <v>431.02</v>
      </c>
      <c r="D141" s="637"/>
      <c r="E141" s="653">
        <v>403.43</v>
      </c>
      <c r="F141" s="637"/>
      <c r="G141" s="653">
        <v>420.36</v>
      </c>
      <c r="H141" s="637"/>
      <c r="I141" s="653">
        <v>446.37</v>
      </c>
      <c r="J141" s="678"/>
      <c r="K141" s="653">
        <v>297.58</v>
      </c>
      <c r="L141" s="637"/>
      <c r="M141" s="653">
        <v>280.47000000000003</v>
      </c>
      <c r="N141" s="637"/>
      <c r="O141" s="653">
        <v>272.69</v>
      </c>
      <c r="P141" s="637"/>
      <c r="Q141" s="653">
        <v>347.88</v>
      </c>
      <c r="R141" s="637"/>
      <c r="S141" s="653">
        <v>379.25</v>
      </c>
      <c r="T141" s="679"/>
      <c r="U141" s="653">
        <v>398.7</v>
      </c>
      <c r="V141" s="679"/>
      <c r="W141" s="653">
        <v>439.06</v>
      </c>
      <c r="X141" s="637" t="s">
        <v>192</v>
      </c>
      <c r="Y141" s="636">
        <v>360.21</v>
      </c>
      <c r="Z141" s="679"/>
      <c r="AA141" s="653">
        <v>379.58</v>
      </c>
      <c r="AB141" s="679"/>
      <c r="AC141" s="653">
        <v>384</v>
      </c>
      <c r="AD141" s="666"/>
      <c r="AE141" s="642"/>
      <c r="AF141" s="642"/>
      <c r="AG141" s="642"/>
      <c r="AM141" s="809">
        <f>COUNTIF(B141:AB141,"U/P")</f>
        <v>0</v>
      </c>
      <c r="AN141" s="809">
        <f>COUNTIF(C141:AC141,"ROW")</f>
        <v>1</v>
      </c>
      <c r="AO141" s="809">
        <f>COUNTIF(B141:AD141,"C")</f>
        <v>0</v>
      </c>
    </row>
    <row r="142" spans="1:41" ht="14.25" customHeight="1" thickBot="1">
      <c r="A142" s="438"/>
      <c r="B142" s="656"/>
      <c r="C142" s="648"/>
      <c r="D142" s="656"/>
      <c r="E142" s="648"/>
      <c r="F142" s="656"/>
      <c r="G142" s="648"/>
      <c r="H142" s="656"/>
      <c r="I142" s="648"/>
      <c r="J142" s="656"/>
      <c r="K142" s="648"/>
      <c r="L142" s="656"/>
      <c r="M142" s="648"/>
      <c r="N142" s="656"/>
      <c r="O142" s="648"/>
      <c r="P142" s="656"/>
      <c r="Q142" s="648"/>
      <c r="R142" s="656"/>
      <c r="S142" s="648"/>
      <c r="T142" s="656"/>
      <c r="U142" s="648"/>
      <c r="V142" s="689"/>
      <c r="W142" s="648"/>
      <c r="X142" s="656"/>
      <c r="Y142" s="648"/>
      <c r="Z142" s="656"/>
      <c r="AA142" s="648"/>
      <c r="AB142" s="656"/>
      <c r="AC142" s="648"/>
      <c r="AD142" s="666"/>
      <c r="AE142" s="642"/>
      <c r="AF142" s="642"/>
      <c r="AG142" s="642"/>
    </row>
    <row r="143" spans="1:41" ht="33.6">
      <c r="A143" s="438"/>
      <c r="B143" s="690" t="s">
        <v>212</v>
      </c>
      <c r="C143" s="644"/>
      <c r="D143" s="661" t="s">
        <v>150</v>
      </c>
      <c r="E143" s="644"/>
      <c r="F143" s="690" t="s">
        <v>212</v>
      </c>
      <c r="G143" s="644"/>
      <c r="H143" s="645" t="s">
        <v>80</v>
      </c>
      <c r="I143" s="644"/>
      <c r="J143" s="690" t="s">
        <v>212</v>
      </c>
      <c r="K143" s="644"/>
      <c r="L143" s="645" t="s">
        <v>84</v>
      </c>
      <c r="M143" s="644"/>
      <c r="N143" s="690" t="s">
        <v>147</v>
      </c>
      <c r="O143" s="644"/>
      <c r="P143" s="690" t="s">
        <v>147</v>
      </c>
      <c r="Q143" s="644"/>
      <c r="R143" s="690" t="s">
        <v>212</v>
      </c>
      <c r="S143" s="644"/>
      <c r="T143" s="690" t="s">
        <v>206</v>
      </c>
      <c r="U143" s="644"/>
      <c r="V143" s="690" t="s">
        <v>206</v>
      </c>
      <c r="W143" s="644"/>
      <c r="X143" s="645" t="s">
        <v>80</v>
      </c>
      <c r="Y143" s="644"/>
      <c r="Z143" s="690" t="s">
        <v>147</v>
      </c>
      <c r="AA143" s="644"/>
      <c r="AB143" s="645" t="s">
        <v>88</v>
      </c>
      <c r="AC143" s="648"/>
      <c r="AD143" s="666"/>
      <c r="AE143" s="642"/>
      <c r="AF143" s="642"/>
      <c r="AG143" s="642"/>
    </row>
    <row r="144" spans="1:41" ht="28.05" customHeight="1">
      <c r="A144" s="438"/>
      <c r="B144" s="690"/>
      <c r="C144" s="644"/>
      <c r="D144" s="666"/>
      <c r="E144" s="644"/>
      <c r="F144" s="691" t="s">
        <v>1536</v>
      </c>
      <c r="G144" s="644"/>
      <c r="H144" s="690"/>
      <c r="I144" s="644"/>
      <c r="J144" s="690"/>
      <c r="K144" s="644"/>
      <c r="L144" s="690"/>
      <c r="M144" s="644"/>
      <c r="N144" s="691" t="s">
        <v>1537</v>
      </c>
      <c r="O144" s="644"/>
      <c r="P144" s="690"/>
      <c r="Q144" s="644"/>
      <c r="R144" s="691" t="s">
        <v>1535</v>
      </c>
      <c r="S144" s="644"/>
      <c r="T144" s="690"/>
      <c r="U144" s="644"/>
      <c r="V144" s="690"/>
      <c r="W144" s="644"/>
      <c r="X144" s="690"/>
      <c r="Y144" s="644"/>
      <c r="Z144" s="690"/>
      <c r="AA144" s="644"/>
      <c r="AC144" s="648"/>
      <c r="AD144" s="691" t="s">
        <v>1539</v>
      </c>
      <c r="AE144" s="641"/>
      <c r="AF144" s="642"/>
      <c r="AG144" s="642"/>
    </row>
    <row r="145" spans="1:41" ht="27" customHeight="1">
      <c r="A145" s="1409" t="s">
        <v>1453</v>
      </c>
      <c r="B145" s="1409"/>
      <c r="C145" s="1409"/>
      <c r="D145" s="1409"/>
      <c r="E145" s="1409"/>
      <c r="F145" s="1409"/>
      <c r="G145" s="1409"/>
      <c r="H145" s="1409"/>
      <c r="I145" s="1409"/>
      <c r="J145" s="1409"/>
      <c r="K145" s="1409"/>
      <c r="L145" s="1409"/>
      <c r="M145" s="1409"/>
      <c r="N145" s="1409"/>
      <c r="O145" s="1409"/>
      <c r="P145" s="1409"/>
      <c r="Q145" s="1409"/>
      <c r="R145" s="1409"/>
      <c r="S145" s="1409"/>
      <c r="T145" s="681"/>
      <c r="U145" s="681"/>
      <c r="V145" s="681"/>
      <c r="W145" s="787"/>
      <c r="X145" s="694" t="s">
        <v>192</v>
      </c>
      <c r="Y145" s="787"/>
      <c r="Z145" s="787"/>
      <c r="AA145" s="787"/>
      <c r="AB145" s="884"/>
      <c r="AC145" s="787"/>
      <c r="AD145" s="787"/>
      <c r="AE145" s="787"/>
      <c r="AF145" s="787"/>
      <c r="AG145" s="707"/>
      <c r="AH145" s="885"/>
      <c r="AI145" s="707"/>
      <c r="AJ145" s="707"/>
      <c r="AK145" s="707"/>
      <c r="AL145" s="707"/>
    </row>
    <row r="146" spans="1:41" ht="12" customHeight="1">
      <c r="A146" s="438"/>
      <c r="B146" s="692"/>
      <c r="C146" s="651"/>
      <c r="D146" s="692"/>
      <c r="E146" s="651"/>
      <c r="F146" s="692"/>
      <c r="G146" s="651"/>
      <c r="H146" s="692"/>
      <c r="I146" s="651"/>
      <c r="J146" s="692"/>
      <c r="K146" s="651"/>
      <c r="L146" s="692"/>
      <c r="M146" s="651"/>
      <c r="N146" s="692"/>
      <c r="O146" s="651"/>
      <c r="P146" s="692"/>
      <c r="Q146" s="651"/>
      <c r="R146" s="692"/>
      <c r="S146" s="651"/>
      <c r="T146" s="692"/>
      <c r="U146" s="651"/>
      <c r="V146" s="692"/>
      <c r="W146" s="651"/>
      <c r="X146" s="692"/>
      <c r="Y146" s="651"/>
      <c r="Z146" s="692"/>
      <c r="AA146" s="651"/>
      <c r="AB146" s="692"/>
      <c r="AC146" s="651"/>
      <c r="AD146" s="649"/>
      <c r="AE146" s="641"/>
      <c r="AF146" s="642"/>
      <c r="AG146" s="642"/>
    </row>
    <row r="147" spans="1:41" ht="22.05" customHeight="1">
      <c r="A147" s="438"/>
      <c r="B147" s="630" t="s">
        <v>316</v>
      </c>
      <c r="C147" s="629"/>
      <c r="D147" s="630" t="s">
        <v>317</v>
      </c>
      <c r="E147" s="629"/>
      <c r="F147" s="630" t="s">
        <v>238</v>
      </c>
      <c r="G147" s="629"/>
      <c r="H147" s="630" t="s">
        <v>239</v>
      </c>
      <c r="I147" s="629"/>
      <c r="J147" s="630" t="s">
        <v>319</v>
      </c>
      <c r="K147" s="629"/>
      <c r="L147" s="630" t="s">
        <v>248</v>
      </c>
      <c r="M147" s="629"/>
      <c r="N147" s="630" t="s">
        <v>249</v>
      </c>
      <c r="O147" s="629"/>
      <c r="P147" s="630" t="s">
        <v>669</v>
      </c>
      <c r="Q147" s="629"/>
      <c r="R147" s="630" t="s">
        <v>321</v>
      </c>
      <c r="S147" s="629"/>
      <c r="T147" s="630" t="s">
        <v>670</v>
      </c>
      <c r="U147" s="629"/>
      <c r="V147" s="630" t="s">
        <v>211</v>
      </c>
      <c r="W147" s="629"/>
      <c r="X147" s="630" t="s">
        <v>224</v>
      </c>
      <c r="Y147" s="629"/>
      <c r="Z147" s="630" t="s">
        <v>225</v>
      </c>
      <c r="AA147" s="629"/>
      <c r="AB147" s="630" t="s">
        <v>250</v>
      </c>
      <c r="AC147" s="648"/>
      <c r="AD147" s="649"/>
      <c r="AE147" s="642"/>
      <c r="AF147" s="642"/>
      <c r="AG147" s="642"/>
    </row>
    <row r="148" spans="1:41" ht="33.6">
      <c r="A148" s="438"/>
      <c r="B148" s="658"/>
      <c r="C148" s="648"/>
      <c r="D148" s="658"/>
      <c r="E148" s="648"/>
      <c r="F148" s="658"/>
      <c r="G148" s="648"/>
      <c r="H148" s="658"/>
      <c r="I148" s="659"/>
      <c r="J148" s="658"/>
      <c r="K148" s="644"/>
      <c r="L148" s="658"/>
      <c r="M148" s="648"/>
      <c r="N148" s="658"/>
      <c r="O148" s="648"/>
      <c r="P148" s="658"/>
      <c r="Q148" s="644"/>
      <c r="R148" s="658"/>
      <c r="S148" s="659"/>
      <c r="T148" s="658"/>
      <c r="U148" s="648"/>
      <c r="V148" s="658"/>
      <c r="W148" s="648"/>
      <c r="X148" s="658"/>
      <c r="Y148" s="653"/>
      <c r="Z148" s="658"/>
      <c r="AA148" s="644"/>
      <c r="AB148" s="658"/>
      <c r="AC148" s="648"/>
      <c r="AD148" s="649"/>
      <c r="AE148" s="642"/>
      <c r="AF148" s="642"/>
      <c r="AG148" s="642"/>
    </row>
    <row r="149" spans="1:41" ht="13.05" customHeight="1" thickBot="1">
      <c r="A149" s="438"/>
      <c r="B149" s="660"/>
      <c r="C149" s="648"/>
      <c r="D149" s="660"/>
      <c r="E149" s="648"/>
      <c r="F149" s="660"/>
      <c r="G149" s="648"/>
      <c r="H149" s="660"/>
      <c r="I149" s="648"/>
      <c r="J149" s="660"/>
      <c r="K149" s="648"/>
      <c r="L149" s="660"/>
      <c r="M149" s="648"/>
      <c r="N149" s="660"/>
      <c r="O149" s="648"/>
      <c r="P149" s="660"/>
      <c r="Q149" s="648"/>
      <c r="R149" s="660"/>
      <c r="S149" s="648"/>
      <c r="T149" s="660"/>
      <c r="U149" s="648"/>
      <c r="V149" s="660"/>
      <c r="W149" s="648"/>
      <c r="X149" s="660"/>
      <c r="Y149" s="648"/>
      <c r="Z149" s="660"/>
      <c r="AA149" s="648"/>
      <c r="AB149" s="660"/>
      <c r="AC149" s="648"/>
      <c r="AD149" s="649"/>
      <c r="AE149" s="642"/>
      <c r="AF149" s="642"/>
      <c r="AG149" s="642"/>
    </row>
    <row r="150" spans="1:41" ht="100.05" customHeight="1" thickBot="1">
      <c r="A150" s="438"/>
      <c r="B150" s="637" t="s">
        <v>192</v>
      </c>
      <c r="C150" s="653">
        <v>442</v>
      </c>
      <c r="D150" s="637" t="s">
        <v>192</v>
      </c>
      <c r="E150" s="653">
        <v>397</v>
      </c>
      <c r="F150" s="679"/>
      <c r="G150" s="653">
        <v>395</v>
      </c>
      <c r="H150" s="679"/>
      <c r="I150" s="653">
        <v>432</v>
      </c>
      <c r="J150" s="679"/>
      <c r="K150" s="653">
        <v>408</v>
      </c>
      <c r="L150" s="679"/>
      <c r="M150" s="653">
        <v>426</v>
      </c>
      <c r="N150" s="679"/>
      <c r="O150" s="653">
        <v>392.95</v>
      </c>
      <c r="P150" s="637"/>
      <c r="Q150" s="653">
        <v>431.96</v>
      </c>
      <c r="R150" s="637"/>
      <c r="S150" s="653">
        <v>426.02</v>
      </c>
      <c r="T150" s="637"/>
      <c r="U150" s="653">
        <v>401</v>
      </c>
      <c r="V150" s="679"/>
      <c r="W150" s="653">
        <v>437</v>
      </c>
      <c r="X150" s="679"/>
      <c r="Y150" s="636">
        <v>402</v>
      </c>
      <c r="Z150" s="679"/>
      <c r="AA150" s="653">
        <v>436</v>
      </c>
      <c r="AB150" s="637"/>
      <c r="AC150" s="636">
        <v>392.28</v>
      </c>
      <c r="AD150" s="649"/>
      <c r="AE150" s="642"/>
      <c r="AF150" s="642"/>
      <c r="AG150" s="642"/>
      <c r="AM150" s="809">
        <f>COUNTIF(B150:AB150,"U/P")</f>
        <v>0</v>
      </c>
      <c r="AN150" s="809">
        <f>COUNTIF(C150:AC150,"ROW")</f>
        <v>1</v>
      </c>
      <c r="AO150" s="809">
        <f>COUNTIF(D150:AD150,"C")</f>
        <v>0</v>
      </c>
    </row>
    <row r="151" spans="1:41" ht="34.200000000000003" thickBot="1">
      <c r="A151" s="438"/>
      <c r="B151" s="656"/>
      <c r="C151" s="648"/>
      <c r="D151" s="656"/>
      <c r="E151" s="648"/>
      <c r="F151" s="656"/>
      <c r="G151" s="648"/>
      <c r="H151" s="656"/>
      <c r="I151" s="648"/>
      <c r="J151" s="656"/>
      <c r="K151" s="648"/>
      <c r="L151" s="656"/>
      <c r="M151" s="648"/>
      <c r="N151" s="656"/>
      <c r="O151" s="648"/>
      <c r="P151" s="656"/>
      <c r="Q151" s="648"/>
      <c r="R151" s="656"/>
      <c r="S151" s="648"/>
      <c r="T151" s="656"/>
      <c r="U151" s="648"/>
      <c r="V151" s="656"/>
      <c r="W151" s="648"/>
      <c r="X151" s="656"/>
      <c r="Y151" s="648"/>
      <c r="Z151" s="656"/>
      <c r="AA151" s="648"/>
      <c r="AB151" s="656"/>
      <c r="AC151" s="648"/>
      <c r="AD151" s="649"/>
      <c r="AE151" s="642"/>
      <c r="AF151" s="642"/>
      <c r="AG151" s="642"/>
    </row>
    <row r="152" spans="1:41" ht="33.6">
      <c r="A152" s="438"/>
      <c r="B152" s="644" t="s">
        <v>212</v>
      </c>
      <c r="C152" s="644"/>
      <c r="D152" s="644" t="s">
        <v>212</v>
      </c>
      <c r="E152" s="644"/>
      <c r="F152" s="644" t="s">
        <v>212</v>
      </c>
      <c r="G152" s="644"/>
      <c r="H152" s="644" t="s">
        <v>212</v>
      </c>
      <c r="I152" s="644"/>
      <c r="J152" s="644" t="s">
        <v>212</v>
      </c>
      <c r="K152" s="644"/>
      <c r="L152" s="644" t="s">
        <v>150</v>
      </c>
      <c r="M152" s="644"/>
      <c r="N152" s="644" t="s">
        <v>150</v>
      </c>
      <c r="O152" s="644"/>
      <c r="P152" s="645" t="s">
        <v>90</v>
      </c>
      <c r="Q152" s="644"/>
      <c r="R152" s="645" t="s">
        <v>97</v>
      </c>
      <c r="S152" s="644"/>
      <c r="T152" s="645" t="s">
        <v>90</v>
      </c>
      <c r="U152" s="644"/>
      <c r="V152" s="644" t="s">
        <v>212</v>
      </c>
      <c r="W152" s="644"/>
      <c r="X152" s="644" t="s">
        <v>147</v>
      </c>
      <c r="Y152" s="644"/>
      <c r="Z152" s="644" t="s">
        <v>150</v>
      </c>
      <c r="AA152" s="644"/>
      <c r="AB152" s="644" t="s">
        <v>212</v>
      </c>
      <c r="AC152" s="648"/>
      <c r="AD152" s="649"/>
      <c r="AE152" s="642"/>
      <c r="AF152" s="642"/>
      <c r="AG152" s="642"/>
    </row>
    <row r="153" spans="1:41" ht="33.6">
      <c r="A153" s="438"/>
      <c r="B153" s="675" t="s">
        <v>1535</v>
      </c>
      <c r="C153" s="644"/>
      <c r="D153" s="675" t="s">
        <v>1538</v>
      </c>
      <c r="E153" s="644"/>
      <c r="F153" s="644"/>
      <c r="G153" s="644"/>
      <c r="H153" s="644"/>
      <c r="I153" s="644"/>
      <c r="J153" s="644"/>
      <c r="K153" s="644"/>
      <c r="L153" s="644"/>
      <c r="M153" s="644"/>
      <c r="N153" s="644"/>
      <c r="O153" s="644"/>
      <c r="P153" s="644"/>
      <c r="Q153" s="644"/>
      <c r="R153" s="644"/>
      <c r="S153" s="644"/>
      <c r="T153" s="675" t="s">
        <v>1538</v>
      </c>
      <c r="U153" s="644"/>
      <c r="V153" s="644"/>
      <c r="W153" s="644"/>
      <c r="X153" s="644"/>
      <c r="Y153" s="644"/>
      <c r="Z153" s="644"/>
      <c r="AA153" s="644"/>
      <c r="AB153" s="644"/>
      <c r="AC153" s="648"/>
      <c r="AD153" s="649"/>
      <c r="AE153" s="642"/>
      <c r="AF153" s="642"/>
      <c r="AG153" s="642"/>
    </row>
    <row r="154" spans="1:41" ht="46.2">
      <c r="A154" s="693"/>
      <c r="B154" s="1404" t="s">
        <v>192</v>
      </c>
      <c r="C154" s="1404"/>
      <c r="D154" s="1404"/>
      <c r="E154" s="681"/>
      <c r="F154" s="681"/>
      <c r="G154" s="681"/>
      <c r="H154" s="681"/>
      <c r="I154" s="681"/>
      <c r="J154" s="681"/>
      <c r="K154" s="681"/>
      <c r="L154" s="681"/>
      <c r="M154" s="681"/>
      <c r="N154" s="681"/>
      <c r="O154" s="681"/>
      <c r="P154" s="1410" t="s">
        <v>192</v>
      </c>
      <c r="Q154" s="1410"/>
      <c r="R154" s="1410"/>
      <c r="S154" s="1410"/>
      <c r="T154" s="1410"/>
      <c r="U154" s="681"/>
      <c r="V154" s="681"/>
      <c r="W154" s="681"/>
      <c r="X154" s="681"/>
      <c r="Y154" s="681"/>
      <c r="Z154" s="681"/>
      <c r="AA154" s="681"/>
      <c r="AB154" s="694" t="s">
        <v>192</v>
      </c>
      <c r="AC154" s="681"/>
      <c r="AD154" s="681"/>
      <c r="AE154" s="681"/>
      <c r="AF154" s="681"/>
      <c r="AG154" s="681"/>
      <c r="AH154" s="681"/>
      <c r="AI154" s="681"/>
      <c r="AJ154" s="681"/>
      <c r="AK154" s="681"/>
      <c r="AL154" s="681"/>
    </row>
    <row r="155" spans="1:41" ht="15" customHeight="1">
      <c r="A155" s="438"/>
      <c r="B155" s="666"/>
      <c r="C155" s="648"/>
      <c r="D155" s="666"/>
      <c r="E155" s="648"/>
      <c r="F155" s="666"/>
      <c r="G155" s="648"/>
      <c r="H155" s="666"/>
      <c r="I155" s="648"/>
      <c r="J155" s="666"/>
      <c r="K155" s="648"/>
      <c r="L155" s="666"/>
      <c r="M155" s="648"/>
      <c r="N155" s="630"/>
      <c r="O155" s="648"/>
      <c r="P155" s="666"/>
      <c r="Q155" s="648"/>
      <c r="R155" s="666"/>
      <c r="S155" s="648"/>
      <c r="T155" s="666"/>
      <c r="U155" s="648"/>
      <c r="V155" s="666"/>
      <c r="W155" s="648"/>
      <c r="X155" s="666"/>
      <c r="Y155" s="648"/>
      <c r="Z155" s="666"/>
      <c r="AA155" s="648"/>
      <c r="AB155" s="666"/>
      <c r="AC155" s="651"/>
      <c r="AD155" s="649"/>
      <c r="AE155" s="642"/>
      <c r="AF155" s="642"/>
      <c r="AG155" s="642"/>
    </row>
    <row r="156" spans="1:41" ht="29.55" customHeight="1">
      <c r="A156" s="438"/>
      <c r="B156" s="630" t="s">
        <v>671</v>
      </c>
      <c r="C156" s="629"/>
      <c r="D156" s="630" t="s">
        <v>323</v>
      </c>
      <c r="E156" s="629"/>
      <c r="F156" s="630" t="s">
        <v>324</v>
      </c>
      <c r="G156" s="629"/>
      <c r="H156" s="630" t="s">
        <v>325</v>
      </c>
      <c r="I156" s="629"/>
      <c r="J156" s="630" t="s">
        <v>326</v>
      </c>
      <c r="K156" s="629"/>
      <c r="L156" s="630" t="s">
        <v>327</v>
      </c>
      <c r="M156" s="629"/>
      <c r="N156" s="630" t="s">
        <v>328</v>
      </c>
      <c r="O156" s="629"/>
      <c r="P156" s="630" t="s">
        <v>329</v>
      </c>
      <c r="Q156" s="1411" t="s">
        <v>675</v>
      </c>
      <c r="R156" s="1411"/>
      <c r="S156" s="1411" t="s">
        <v>331</v>
      </c>
      <c r="T156" s="1411"/>
      <c r="U156" s="631" t="s">
        <v>1448</v>
      </c>
      <c r="V156" s="630" t="s">
        <v>251</v>
      </c>
      <c r="W156" s="629"/>
      <c r="X156" s="630" t="s">
        <v>332</v>
      </c>
      <c r="Y156" s="629"/>
      <c r="Z156" s="630" t="s">
        <v>333</v>
      </c>
      <c r="AA156" s="630"/>
      <c r="AB156" s="695" t="s">
        <v>334</v>
      </c>
      <c r="AC156" s="651"/>
      <c r="AD156" s="649"/>
      <c r="AE156" s="642"/>
      <c r="AF156" s="642"/>
      <c r="AG156" s="642"/>
    </row>
    <row r="157" spans="1:41" ht="33.6">
      <c r="A157" s="438"/>
      <c r="B157" s="658"/>
      <c r="C157" s="648"/>
      <c r="D157" s="658"/>
      <c r="E157" s="648"/>
      <c r="F157" s="658"/>
      <c r="G157" s="696"/>
      <c r="H157" s="658"/>
      <c r="I157" s="648"/>
      <c r="J157" s="658"/>
      <c r="K157" s="648"/>
      <c r="L157" s="658"/>
      <c r="M157" s="648"/>
      <c r="N157" s="658"/>
      <c r="O157" s="648"/>
      <c r="P157" s="658"/>
      <c r="Q157" s="648"/>
      <c r="R157" s="658"/>
      <c r="S157" s="648"/>
      <c r="T157" s="658"/>
      <c r="U157" s="631"/>
      <c r="V157" s="658"/>
      <c r="W157" s="648"/>
      <c r="X157" s="658"/>
      <c r="Y157" s="648"/>
      <c r="Z157" s="658"/>
      <c r="AA157" s="648"/>
      <c r="AB157" s="658"/>
      <c r="AC157" s="651"/>
      <c r="AD157" s="649"/>
      <c r="AE157" s="642"/>
      <c r="AF157" s="642"/>
      <c r="AG157" s="642"/>
    </row>
    <row r="158" spans="1:41" ht="16.5" customHeight="1" thickBot="1">
      <c r="A158" s="438"/>
      <c r="B158" s="660"/>
      <c r="C158" s="648"/>
      <c r="D158" s="660"/>
      <c r="E158" s="648"/>
      <c r="F158" s="660"/>
      <c r="G158" s="648"/>
      <c r="H158" s="660"/>
      <c r="I158" s="648"/>
      <c r="J158" s="660"/>
      <c r="K158" s="648"/>
      <c r="L158" s="660"/>
      <c r="M158" s="648"/>
      <c r="N158" s="660"/>
      <c r="O158" s="648"/>
      <c r="P158" s="660"/>
      <c r="Q158" s="648"/>
      <c r="R158" s="660"/>
      <c r="S158" s="648"/>
      <c r="T158" s="660"/>
      <c r="U158" s="648"/>
      <c r="V158" s="660"/>
      <c r="W158" s="648"/>
      <c r="X158" s="660"/>
      <c r="Y158" s="648"/>
      <c r="Z158" s="660"/>
      <c r="AA158" s="648"/>
      <c r="AB158" s="660"/>
      <c r="AC158" s="651"/>
      <c r="AD158" s="649"/>
      <c r="AE158" s="642"/>
      <c r="AF158" s="642"/>
      <c r="AG158" s="642"/>
    </row>
    <row r="159" spans="1:41" ht="100.05" customHeight="1" thickBot="1">
      <c r="A159" s="438"/>
      <c r="B159" s="637"/>
      <c r="C159" s="653">
        <v>402.5</v>
      </c>
      <c r="D159" s="637"/>
      <c r="E159" s="653">
        <v>411.56</v>
      </c>
      <c r="F159" s="637"/>
      <c r="G159" s="653">
        <v>438.46</v>
      </c>
      <c r="H159" s="637"/>
      <c r="I159" s="653">
        <v>410.36</v>
      </c>
      <c r="J159" s="637"/>
      <c r="K159" s="653">
        <v>379.76</v>
      </c>
      <c r="L159" s="637"/>
      <c r="M159" s="653">
        <v>396.95</v>
      </c>
      <c r="N159" s="637"/>
      <c r="O159" s="653">
        <v>414.59</v>
      </c>
      <c r="P159" s="637"/>
      <c r="Q159" s="653">
        <v>352.99</v>
      </c>
      <c r="R159" s="637"/>
      <c r="S159" s="653">
        <v>389.3</v>
      </c>
      <c r="T159" s="637"/>
      <c r="U159" s="653">
        <v>237.59</v>
      </c>
      <c r="V159" s="679"/>
      <c r="W159" s="653">
        <v>290.88</v>
      </c>
      <c r="X159" s="637"/>
      <c r="Y159" s="636">
        <v>345.61</v>
      </c>
      <c r="Z159" s="637"/>
      <c r="AA159" s="653">
        <v>318.63</v>
      </c>
      <c r="AB159" s="637" t="s">
        <v>354</v>
      </c>
      <c r="AC159" s="654">
        <v>307.02</v>
      </c>
      <c r="AD159" s="649"/>
      <c r="AE159" s="642"/>
      <c r="AF159" s="642"/>
      <c r="AG159" s="642"/>
      <c r="AM159" s="809">
        <f>COUNTIF(B159:AB159,"U/P")</f>
        <v>1</v>
      </c>
      <c r="AN159" s="809">
        <f>COUNTIF(C159:AC159,"ROW")</f>
        <v>0</v>
      </c>
      <c r="AO159" s="809">
        <f>COUNTIF(B159:AD159,"C")</f>
        <v>0</v>
      </c>
    </row>
    <row r="160" spans="1:41" ht="34.200000000000003" thickBot="1">
      <c r="A160" s="438"/>
      <c r="B160" s="656"/>
      <c r="C160" s="697"/>
      <c r="D160" s="656"/>
      <c r="E160" s="697"/>
      <c r="F160" s="656"/>
      <c r="G160" s="648"/>
      <c r="H160" s="656"/>
      <c r="I160" s="648"/>
      <c r="J160" s="656"/>
      <c r="K160" s="648"/>
      <c r="L160" s="656"/>
      <c r="M160" s="697"/>
      <c r="N160" s="656"/>
      <c r="O160" s="697"/>
      <c r="P160" s="656"/>
      <c r="Q160" s="697"/>
      <c r="R160" s="656"/>
      <c r="S160" s="697"/>
      <c r="T160" s="656"/>
      <c r="U160" s="697"/>
      <c r="V160" s="656"/>
      <c r="W160" s="697"/>
      <c r="X160" s="656"/>
      <c r="Y160" s="648"/>
      <c r="Z160" s="656"/>
      <c r="AA160" s="648"/>
      <c r="AB160" s="656"/>
      <c r="AC160" s="651"/>
      <c r="AD160" s="649"/>
      <c r="AE160" s="642"/>
      <c r="AF160" s="642"/>
      <c r="AG160" s="642"/>
    </row>
    <row r="161" spans="1:41" ht="33.6">
      <c r="A161" s="438"/>
      <c r="B161" s="645" t="s">
        <v>93</v>
      </c>
      <c r="C161" s="644"/>
      <c r="D161" s="644" t="s">
        <v>206</v>
      </c>
      <c r="E161" s="644"/>
      <c r="F161" s="645" t="s">
        <v>84</v>
      </c>
      <c r="G161" s="644"/>
      <c r="H161" s="645" t="s">
        <v>97</v>
      </c>
      <c r="I161" s="644"/>
      <c r="J161" s="645" t="s">
        <v>108</v>
      </c>
      <c r="K161" s="644"/>
      <c r="L161" s="644" t="s">
        <v>206</v>
      </c>
      <c r="M161" s="644"/>
      <c r="N161" s="644" t="s">
        <v>147</v>
      </c>
      <c r="O161" s="644"/>
      <c r="P161" s="644" t="s">
        <v>147</v>
      </c>
      <c r="Q161" s="644"/>
      <c r="R161" s="645" t="s">
        <v>90</v>
      </c>
      <c r="S161" s="644"/>
      <c r="T161" s="645" t="s">
        <v>84</v>
      </c>
      <c r="U161" s="644"/>
      <c r="V161" s="644" t="s">
        <v>212</v>
      </c>
      <c r="W161" s="644"/>
      <c r="X161" s="644" t="s">
        <v>147</v>
      </c>
      <c r="Y161" s="644"/>
      <c r="Z161" s="644" t="s">
        <v>147</v>
      </c>
      <c r="AA161" s="644"/>
      <c r="AB161" s="645" t="s">
        <v>90</v>
      </c>
      <c r="AC161" s="651"/>
      <c r="AD161" s="649"/>
      <c r="AE161" s="641"/>
      <c r="AF161" s="642"/>
      <c r="AG161" s="642"/>
    </row>
    <row r="162" spans="1:41" ht="82.2" customHeight="1">
      <c r="A162" s="438"/>
      <c r="B162" s="698" t="s">
        <v>1538</v>
      </c>
      <c r="C162" s="659"/>
      <c r="D162" s="659"/>
      <c r="E162" s="659"/>
      <c r="F162" s="659"/>
      <c r="G162" s="659"/>
      <c r="H162" s="659"/>
      <c r="I162" s="659"/>
      <c r="J162" s="659"/>
      <c r="K162" s="659"/>
      <c r="L162" s="659"/>
      <c r="M162" s="659"/>
      <c r="N162" s="698" t="s">
        <v>1461</v>
      </c>
      <c r="O162" s="659"/>
      <c r="P162" s="698" t="s">
        <v>1538</v>
      </c>
      <c r="Q162" s="659"/>
      <c r="R162" s="659"/>
      <c r="S162" s="659"/>
      <c r="T162" s="659"/>
      <c r="U162" s="659"/>
      <c r="V162" s="659"/>
      <c r="W162" s="659"/>
      <c r="X162" s="659"/>
      <c r="Y162" s="659"/>
      <c r="Z162" s="698" t="s">
        <v>1581</v>
      </c>
      <c r="AA162" s="699"/>
      <c r="AB162" s="1416" t="s">
        <v>1540</v>
      </c>
      <c r="AC162" s="1416"/>
      <c r="AD162" s="1416"/>
      <c r="AE162" s="1416"/>
      <c r="AF162" s="1416"/>
      <c r="AG162" s="1416"/>
      <c r="AH162" s="1416"/>
      <c r="AI162" s="819"/>
      <c r="AJ162" s="819"/>
      <c r="AK162" s="819"/>
      <c r="AL162" s="819"/>
    </row>
    <row r="163" spans="1:41" ht="37.5" customHeight="1">
      <c r="A163" s="1409" t="s">
        <v>1453</v>
      </c>
      <c r="B163" s="1409"/>
      <c r="C163" s="1409"/>
      <c r="D163" s="1409"/>
      <c r="E163" s="1409"/>
      <c r="F163" s="1409"/>
      <c r="G163" s="1409"/>
      <c r="H163" s="1409"/>
      <c r="I163" s="1409"/>
      <c r="J163" s="1409"/>
      <c r="K163" s="1409"/>
      <c r="L163" s="1409"/>
      <c r="M163" s="1409"/>
      <c r="N163" s="1409"/>
      <c r="O163" s="1409"/>
      <c r="P163" s="1409"/>
      <c r="Q163" s="1409"/>
      <c r="R163" s="1409"/>
      <c r="S163" s="1409"/>
      <c r="T163" s="1409"/>
      <c r="U163" s="681"/>
      <c r="V163" s="681"/>
      <c r="W163" s="1409" t="s">
        <v>1453</v>
      </c>
      <c r="X163" s="1409"/>
      <c r="Y163" s="1409"/>
      <c r="Z163" s="1409"/>
      <c r="AA163" s="1409"/>
      <c r="AB163" s="1409"/>
      <c r="AC163" s="1409"/>
      <c r="AD163" s="1409"/>
      <c r="AE163" s="1409"/>
      <c r="AF163" s="1409"/>
      <c r="AG163" s="1409"/>
      <c r="AH163" s="1394"/>
      <c r="AI163" s="817"/>
      <c r="AJ163" s="817"/>
      <c r="AK163" s="817"/>
      <c r="AL163" s="817"/>
    </row>
    <row r="164" spans="1:41" ht="9.4499999999999993" hidden="1" customHeight="1">
      <c r="A164" s="438"/>
      <c r="B164" s="700"/>
      <c r="C164" s="700"/>
      <c r="D164" s="700"/>
      <c r="E164" s="700"/>
      <c r="F164" s="700"/>
      <c r="G164" s="700"/>
      <c r="H164" s="700"/>
      <c r="I164" s="700"/>
      <c r="J164" s="700"/>
      <c r="K164" s="700"/>
      <c r="L164" s="700"/>
      <c r="M164" s="700"/>
      <c r="N164" s="700"/>
      <c r="O164" s="700"/>
      <c r="P164" s="700"/>
      <c r="Q164" s="700"/>
      <c r="R164" s="700"/>
      <c r="S164" s="700"/>
      <c r="T164" s="700"/>
      <c r="U164" s="700"/>
      <c r="V164" s="700"/>
      <c r="W164" s="700"/>
      <c r="X164" s="700"/>
      <c r="Y164" s="700"/>
      <c r="Z164" s="700"/>
      <c r="AA164" s="700"/>
      <c r="AB164" s="700"/>
      <c r="AC164" s="701"/>
      <c r="AD164" s="702"/>
      <c r="AE164" s="641"/>
      <c r="AF164" s="642"/>
      <c r="AG164" s="642"/>
      <c r="AH164" s="703"/>
      <c r="AI164" s="703"/>
      <c r="AJ164" s="703"/>
      <c r="AK164" s="703"/>
      <c r="AL164" s="703"/>
    </row>
    <row r="165" spans="1:41" ht="24.45" customHeight="1">
      <c r="A165" s="438"/>
      <c r="B165" s="630" t="s">
        <v>335</v>
      </c>
      <c r="C165" s="629"/>
      <c r="D165" s="630" t="s">
        <v>336</v>
      </c>
      <c r="E165" s="629"/>
      <c r="F165" s="630" t="s">
        <v>337</v>
      </c>
      <c r="G165" s="629"/>
      <c r="H165" s="630" t="s">
        <v>252</v>
      </c>
      <c r="I165" s="629"/>
      <c r="J165" s="630" t="s">
        <v>223</v>
      </c>
      <c r="K165" s="629"/>
      <c r="L165" s="630" t="s">
        <v>215</v>
      </c>
      <c r="M165" s="629"/>
      <c r="N165" s="630" t="s">
        <v>341</v>
      </c>
      <c r="O165" s="629"/>
      <c r="P165" s="630" t="s">
        <v>261</v>
      </c>
      <c r="Q165" s="629"/>
      <c r="R165" s="630" t="s">
        <v>342</v>
      </c>
      <c r="S165" s="629"/>
      <c r="T165" s="630" t="s">
        <v>200</v>
      </c>
      <c r="U165" s="629"/>
      <c r="V165" s="630" t="s">
        <v>201</v>
      </c>
      <c r="W165" s="629"/>
      <c r="X165" s="630" t="s">
        <v>178</v>
      </c>
      <c r="Y165" s="629"/>
      <c r="Z165" s="630" t="s">
        <v>177</v>
      </c>
      <c r="AA165" s="629"/>
      <c r="AB165" s="630" t="s">
        <v>176</v>
      </c>
      <c r="AC165" s="648"/>
      <c r="AD165" s="666"/>
      <c r="AE165" s="642"/>
      <c r="AF165" s="642"/>
      <c r="AG165" s="642"/>
    </row>
    <row r="166" spans="1:41" ht="33.6">
      <c r="A166" s="438"/>
      <c r="B166" s="658"/>
      <c r="C166" s="648"/>
      <c r="D166" s="658"/>
      <c r="E166" s="648"/>
      <c r="F166" s="658"/>
      <c r="G166" s="648"/>
      <c r="H166" s="658"/>
      <c r="I166" s="648"/>
      <c r="J166" s="658"/>
      <c r="K166" s="648"/>
      <c r="L166" s="658"/>
      <c r="M166" s="648"/>
      <c r="N166" s="658"/>
      <c r="O166" s="648"/>
      <c r="P166" s="658"/>
      <c r="Q166" s="648"/>
      <c r="R166" s="658"/>
      <c r="S166" s="648"/>
      <c r="T166" s="658"/>
      <c r="U166" s="648"/>
      <c r="V166" s="658"/>
      <c r="W166" s="648"/>
      <c r="X166" s="658"/>
      <c r="Y166" s="648"/>
      <c r="Z166" s="658"/>
      <c r="AA166" s="683"/>
      <c r="AB166" s="658"/>
      <c r="AC166" s="648"/>
      <c r="AD166" s="666"/>
      <c r="AE166" s="642"/>
      <c r="AF166" s="642"/>
      <c r="AG166" s="642"/>
    </row>
    <row r="167" spans="1:41" ht="15.45" customHeight="1" thickBot="1">
      <c r="A167" s="438"/>
      <c r="B167" s="660"/>
      <c r="C167" s="648"/>
      <c r="D167" s="660"/>
      <c r="E167" s="648"/>
      <c r="F167" s="660"/>
      <c r="G167" s="648"/>
      <c r="H167" s="660"/>
      <c r="I167" s="648"/>
      <c r="J167" s="660"/>
      <c r="K167" s="648"/>
      <c r="L167" s="660"/>
      <c r="M167" s="648"/>
      <c r="N167" s="660"/>
      <c r="O167" s="648"/>
      <c r="P167" s="660"/>
      <c r="Q167" s="648"/>
      <c r="R167" s="660"/>
      <c r="S167" s="648"/>
      <c r="T167" s="660"/>
      <c r="U167" s="648"/>
      <c r="V167" s="660"/>
      <c r="W167" s="648"/>
      <c r="X167" s="660"/>
      <c r="Y167" s="648"/>
      <c r="Z167" s="660"/>
      <c r="AA167" s="648"/>
      <c r="AB167" s="660"/>
      <c r="AC167" s="648"/>
      <c r="AD167" s="666"/>
      <c r="AE167" s="642"/>
      <c r="AF167" s="642"/>
      <c r="AG167" s="642"/>
    </row>
    <row r="168" spans="1:41" ht="100.05" customHeight="1" thickBot="1">
      <c r="A168" s="438"/>
      <c r="B168" s="679"/>
      <c r="C168" s="653">
        <v>346.85</v>
      </c>
      <c r="D168" s="679"/>
      <c r="E168" s="653">
        <v>300.19</v>
      </c>
      <c r="F168" s="679"/>
      <c r="G168" s="653">
        <v>317</v>
      </c>
      <c r="H168" s="678" t="s">
        <v>354</v>
      </c>
      <c r="I168" s="653">
        <v>454</v>
      </c>
      <c r="J168" s="679"/>
      <c r="K168" s="653">
        <v>385</v>
      </c>
      <c r="L168" s="679"/>
      <c r="M168" s="653">
        <v>417.69</v>
      </c>
      <c r="N168" s="679"/>
      <c r="O168" s="653">
        <v>409.51</v>
      </c>
      <c r="P168" s="679"/>
      <c r="Q168" s="653">
        <v>385.17</v>
      </c>
      <c r="R168" s="679"/>
      <c r="S168" s="653">
        <v>345.19</v>
      </c>
      <c r="T168" s="679"/>
      <c r="U168" s="653">
        <v>332.38</v>
      </c>
      <c r="V168" s="679"/>
      <c r="W168" s="653">
        <v>393.62</v>
      </c>
      <c r="X168" s="679"/>
      <c r="Y168" s="653">
        <v>387.95</v>
      </c>
      <c r="Z168" s="679"/>
      <c r="AA168" s="653">
        <v>340.35</v>
      </c>
      <c r="AB168" s="679"/>
      <c r="AC168" s="653">
        <v>393.12</v>
      </c>
      <c r="AD168" s="666"/>
      <c r="AE168" s="642"/>
      <c r="AF168" s="642"/>
      <c r="AG168" s="642"/>
      <c r="AM168" s="809">
        <f>COUNTIF(B168:AB168,"U/P")</f>
        <v>1</v>
      </c>
      <c r="AN168" s="809">
        <f>COUNTIF(C168:AC168,"ROW")</f>
        <v>0</v>
      </c>
      <c r="AO168" s="809">
        <f>COUNTIF(D168:AD168,"C")</f>
        <v>0</v>
      </c>
    </row>
    <row r="169" spans="1:41" ht="34.200000000000003" thickBot="1">
      <c r="A169" s="438"/>
      <c r="B169" s="656"/>
      <c r="C169" s="648"/>
      <c r="D169" s="656"/>
      <c r="E169" s="648"/>
      <c r="F169" s="656"/>
      <c r="G169" s="648"/>
      <c r="H169" s="656"/>
      <c r="I169" s="648"/>
      <c r="J169" s="656"/>
      <c r="K169" s="648"/>
      <c r="L169" s="656"/>
      <c r="M169" s="648"/>
      <c r="N169" s="656"/>
      <c r="O169" s="648"/>
      <c r="P169" s="656"/>
      <c r="Q169" s="648"/>
      <c r="R169" s="656"/>
      <c r="S169" s="648"/>
      <c r="T169" s="656"/>
      <c r="U169" s="648"/>
      <c r="V169" s="656"/>
      <c r="W169" s="648"/>
      <c r="X169" s="656"/>
      <c r="Y169" s="648"/>
      <c r="Z169" s="656"/>
      <c r="AA169" s="648"/>
      <c r="AB169" s="656"/>
      <c r="AC169" s="648"/>
      <c r="AD169" s="666"/>
      <c r="AE169" s="642"/>
      <c r="AF169" s="642"/>
      <c r="AG169" s="642"/>
    </row>
    <row r="170" spans="1:41" ht="33.6">
      <c r="A170" s="438"/>
      <c r="B170" s="644" t="s">
        <v>150</v>
      </c>
      <c r="C170" s="644"/>
      <c r="D170" s="644" t="s">
        <v>150</v>
      </c>
      <c r="E170" s="644"/>
      <c r="F170" s="645" t="s">
        <v>84</v>
      </c>
      <c r="G170" s="644"/>
      <c r="H170" s="644" t="s">
        <v>147</v>
      </c>
      <c r="I170" s="644"/>
      <c r="J170" s="644" t="s">
        <v>212</v>
      </c>
      <c r="K170" s="644"/>
      <c r="L170" s="644" t="s">
        <v>212</v>
      </c>
      <c r="M170" s="644"/>
      <c r="N170" s="645" t="s">
        <v>97</v>
      </c>
      <c r="O170" s="644"/>
      <c r="P170" s="644" t="s">
        <v>147</v>
      </c>
      <c r="Q170" s="644"/>
      <c r="R170" s="645" t="s">
        <v>80</v>
      </c>
      <c r="S170" s="644"/>
      <c r="T170" s="644" t="s">
        <v>147</v>
      </c>
      <c r="U170" s="644"/>
      <c r="V170" s="644" t="s">
        <v>147</v>
      </c>
      <c r="W170" s="644"/>
      <c r="X170" s="644" t="s">
        <v>150</v>
      </c>
      <c r="Y170" s="644"/>
      <c r="Z170" s="644" t="s">
        <v>147</v>
      </c>
      <c r="AA170" s="644"/>
      <c r="AB170" s="644" t="s">
        <v>147</v>
      </c>
      <c r="AC170" s="648"/>
      <c r="AD170" s="666"/>
      <c r="AE170" s="642"/>
      <c r="AF170" s="642"/>
      <c r="AG170" s="642"/>
    </row>
    <row r="171" spans="1:41" ht="85.05" customHeight="1">
      <c r="A171" s="1417" t="s">
        <v>1580</v>
      </c>
      <c r="B171" s="1417"/>
      <c r="C171" s="1417"/>
      <c r="D171" s="704"/>
      <c r="E171" s="704"/>
      <c r="F171" s="704"/>
      <c r="G171" s="704"/>
      <c r="H171" s="788" t="s">
        <v>1493</v>
      </c>
      <c r="I171" s="704"/>
      <c r="J171" s="704"/>
      <c r="K171" s="704"/>
      <c r="L171" s="662"/>
      <c r="M171" s="662"/>
      <c r="N171" s="662"/>
      <c r="O171" s="662"/>
      <c r="P171" s="662"/>
      <c r="Q171" s="662"/>
      <c r="R171" s="662"/>
      <c r="S171" s="662"/>
      <c r="T171" s="705" t="s">
        <v>1461</v>
      </c>
      <c r="U171" s="662"/>
      <c r="V171" s="662"/>
      <c r="W171" s="662"/>
      <c r="X171" s="662"/>
      <c r="Y171" s="662"/>
      <c r="Z171" s="662"/>
      <c r="AA171" s="662"/>
      <c r="AB171" s="662"/>
      <c r="AC171" s="651"/>
      <c r="AD171" s="649"/>
      <c r="AE171" s="642"/>
      <c r="AF171" s="642"/>
      <c r="AG171" s="642"/>
    </row>
    <row r="172" spans="1:41" ht="15" customHeight="1">
      <c r="A172" s="438"/>
      <c r="B172" s="649"/>
      <c r="C172" s="651"/>
      <c r="D172" s="649"/>
      <c r="E172" s="651"/>
      <c r="F172" s="649"/>
      <c r="G172" s="651"/>
      <c r="H172" s="649"/>
      <c r="I172" s="651"/>
      <c r="J172" s="649"/>
      <c r="K172" s="651"/>
      <c r="L172" s="649"/>
      <c r="M172" s="651"/>
      <c r="N172" s="649"/>
      <c r="O172" s="651"/>
      <c r="P172" s="649"/>
      <c r="Q172" s="651"/>
      <c r="R172" s="649"/>
      <c r="S172" s="651"/>
      <c r="T172" s="649"/>
      <c r="U172" s="651"/>
      <c r="V172" s="649"/>
      <c r="W172" s="651"/>
      <c r="X172" s="649"/>
      <c r="Y172" s="651"/>
      <c r="Z172" s="649"/>
      <c r="AA172" s="651"/>
      <c r="AB172" s="649"/>
      <c r="AC172" s="651"/>
      <c r="AD172" s="649"/>
      <c r="AE172" s="642"/>
      <c r="AF172" s="642"/>
      <c r="AG172" s="642"/>
    </row>
    <row r="173" spans="1:41" ht="33.450000000000003" customHeight="1">
      <c r="A173" s="438"/>
      <c r="B173" s="630" t="s">
        <v>173</v>
      </c>
      <c r="C173" s="629"/>
      <c r="D173" s="630" t="s">
        <v>195</v>
      </c>
      <c r="E173" s="629"/>
      <c r="F173" s="630" t="s">
        <v>343</v>
      </c>
      <c r="G173" s="629"/>
      <c r="H173" s="630" t="s">
        <v>227</v>
      </c>
      <c r="I173" s="629"/>
      <c r="J173" s="630" t="s">
        <v>1242</v>
      </c>
      <c r="K173" s="629"/>
      <c r="L173" s="630" t="s">
        <v>179</v>
      </c>
      <c r="M173" s="629"/>
      <c r="N173" s="630" t="s">
        <v>180</v>
      </c>
      <c r="O173" s="629"/>
      <c r="P173" s="630" t="s">
        <v>203</v>
      </c>
      <c r="Q173" s="629"/>
      <c r="R173" s="630" t="s">
        <v>204</v>
      </c>
      <c r="S173" s="629"/>
      <c r="T173" s="630" t="s">
        <v>205</v>
      </c>
      <c r="U173" s="629"/>
      <c r="V173" s="630" t="s">
        <v>345</v>
      </c>
      <c r="W173" s="630"/>
      <c r="X173" s="630" t="s">
        <v>347</v>
      </c>
      <c r="Y173" s="629"/>
      <c r="Z173" s="630" t="s">
        <v>348</v>
      </c>
      <c r="AA173" s="629"/>
      <c r="AB173" s="630" t="s">
        <v>217</v>
      </c>
      <c r="AC173" s="648"/>
      <c r="AD173" s="666"/>
      <c r="AE173" s="642"/>
      <c r="AF173" s="642"/>
      <c r="AG173" s="642"/>
    </row>
    <row r="174" spans="1:41" ht="33.6">
      <c r="A174" s="438"/>
      <c r="B174" s="658"/>
      <c r="C174" s="644"/>
      <c r="D174" s="658"/>
      <c r="E174" s="648"/>
      <c r="F174" s="658"/>
      <c r="G174" s="653"/>
      <c r="H174" s="658"/>
      <c r="I174" s="653"/>
      <c r="J174" s="658"/>
      <c r="K174" s="653"/>
      <c r="L174" s="658"/>
      <c r="M174" s="648"/>
      <c r="N174" s="658"/>
      <c r="O174" s="648"/>
      <c r="P174" s="658"/>
      <c r="Q174" s="648"/>
      <c r="R174" s="658"/>
      <c r="S174" s="648"/>
      <c r="T174" s="658"/>
      <c r="U174" s="648"/>
      <c r="V174" s="658"/>
      <c r="W174" s="659"/>
      <c r="X174" s="658"/>
      <c r="Y174" s="659"/>
      <c r="Z174" s="658"/>
      <c r="AA174" s="648"/>
      <c r="AB174" s="658"/>
      <c r="AC174" s="648"/>
      <c r="AD174" s="666"/>
      <c r="AE174" s="642"/>
      <c r="AF174" s="642"/>
      <c r="AG174" s="642"/>
    </row>
    <row r="175" spans="1:41" ht="13.05" customHeight="1" thickBot="1">
      <c r="A175" s="438"/>
      <c r="B175" s="660"/>
      <c r="C175" s="648"/>
      <c r="D175" s="660"/>
      <c r="E175" s="648"/>
      <c r="F175" s="660"/>
      <c r="G175" s="648"/>
      <c r="H175" s="660"/>
      <c r="I175" s="648"/>
      <c r="J175" s="660"/>
      <c r="K175" s="648"/>
      <c r="L175" s="660"/>
      <c r="M175" s="648"/>
      <c r="N175" s="660"/>
      <c r="O175" s="648"/>
      <c r="P175" s="660"/>
      <c r="Q175" s="648"/>
      <c r="R175" s="660"/>
      <c r="S175" s="648"/>
      <c r="T175" s="660"/>
      <c r="U175" s="648"/>
      <c r="V175" s="660"/>
      <c r="W175" s="648"/>
      <c r="X175" s="660"/>
      <c r="Y175" s="648"/>
      <c r="Z175" s="660"/>
      <c r="AA175" s="648"/>
      <c r="AB175" s="660"/>
      <c r="AC175" s="648"/>
      <c r="AD175" s="666"/>
      <c r="AE175" s="642"/>
      <c r="AF175" s="642"/>
      <c r="AG175" s="642"/>
    </row>
    <row r="176" spans="1:41" ht="100.05" customHeight="1" thickBot="1">
      <c r="A176" s="438"/>
      <c r="B176" s="679"/>
      <c r="C176" s="653">
        <v>328.54</v>
      </c>
      <c r="D176" s="679"/>
      <c r="E176" s="653">
        <v>398.52</v>
      </c>
      <c r="F176" s="679"/>
      <c r="G176" s="653">
        <v>425.85</v>
      </c>
      <c r="H176" s="679"/>
      <c r="I176" s="653">
        <v>409.37</v>
      </c>
      <c r="J176" s="679"/>
      <c r="K176" s="653">
        <v>388.46</v>
      </c>
      <c r="L176" s="679"/>
      <c r="M176" s="653">
        <v>380.96</v>
      </c>
      <c r="N176" s="679"/>
      <c r="O176" s="653">
        <v>381.39</v>
      </c>
      <c r="P176" s="679"/>
      <c r="Q176" s="653">
        <v>344.6</v>
      </c>
      <c r="R176" s="679"/>
      <c r="S176" s="653">
        <v>395.64</v>
      </c>
      <c r="T176" s="679"/>
      <c r="U176" s="653">
        <v>414.76</v>
      </c>
      <c r="V176" s="679"/>
      <c r="W176" s="653">
        <v>401.93</v>
      </c>
      <c r="X176" s="637" t="s">
        <v>192</v>
      </c>
      <c r="Y176" s="653">
        <v>354.95</v>
      </c>
      <c r="Z176" s="709"/>
      <c r="AA176" s="653">
        <v>425</v>
      </c>
      <c r="AB176" s="709"/>
      <c r="AC176" s="636">
        <v>414</v>
      </c>
      <c r="AD176" s="666"/>
      <c r="AE176" s="642"/>
      <c r="AF176" s="642"/>
      <c r="AG176" s="642"/>
      <c r="AM176" s="809">
        <f>COUNTIF(B176:AB176,"U/P")</f>
        <v>0</v>
      </c>
      <c r="AN176" s="809">
        <f>COUNTIF(C176:AC176,"ROW")</f>
        <v>1</v>
      </c>
      <c r="AO176" s="809">
        <f>COUNTIF(D176:AD176,"C")</f>
        <v>0</v>
      </c>
    </row>
    <row r="177" spans="1:41" ht="34.200000000000003" thickBot="1">
      <c r="A177" s="438"/>
      <c r="B177" s="656"/>
      <c r="C177" s="648"/>
      <c r="D177" s="656"/>
      <c r="E177" s="648"/>
      <c r="F177" s="656"/>
      <c r="G177" s="648"/>
      <c r="H177" s="656"/>
      <c r="I177" s="648"/>
      <c r="J177" s="656"/>
      <c r="K177" s="648"/>
      <c r="L177" s="656"/>
      <c r="M177" s="648"/>
      <c r="N177" s="656"/>
      <c r="O177" s="648"/>
      <c r="P177" s="656"/>
      <c r="Q177" s="648"/>
      <c r="R177" s="656"/>
      <c r="S177" s="648"/>
      <c r="T177" s="656"/>
      <c r="U177" s="648"/>
      <c r="V177" s="656"/>
      <c r="W177" s="648"/>
      <c r="X177" s="656"/>
      <c r="Y177" s="648"/>
      <c r="Z177" s="656"/>
      <c r="AA177" s="648"/>
      <c r="AB177" s="656"/>
      <c r="AC177" s="648"/>
      <c r="AD177" s="666"/>
      <c r="AE177" s="642"/>
      <c r="AF177" s="642"/>
      <c r="AG177" s="642"/>
    </row>
    <row r="178" spans="1:41" ht="33.6">
      <c r="A178" s="438"/>
      <c r="B178" s="644" t="s">
        <v>147</v>
      </c>
      <c r="C178" s="644"/>
      <c r="D178" s="644" t="s">
        <v>147</v>
      </c>
      <c r="E178" s="644"/>
      <c r="F178" s="645" t="s">
        <v>80</v>
      </c>
      <c r="G178" s="644"/>
      <c r="H178" s="644" t="s">
        <v>206</v>
      </c>
      <c r="I178" s="644"/>
      <c r="J178" s="645" t="s">
        <v>84</v>
      </c>
      <c r="K178" s="644"/>
      <c r="L178" s="644" t="s">
        <v>147</v>
      </c>
      <c r="M178" s="644"/>
      <c r="N178" s="644" t="s">
        <v>150</v>
      </c>
      <c r="O178" s="644"/>
      <c r="P178" s="644" t="s">
        <v>147</v>
      </c>
      <c r="Q178" s="644"/>
      <c r="R178" s="644" t="s">
        <v>150</v>
      </c>
      <c r="S178" s="644"/>
      <c r="T178" s="644" t="s">
        <v>206</v>
      </c>
      <c r="U178" s="644"/>
      <c r="V178" s="645" t="s">
        <v>80</v>
      </c>
      <c r="W178" s="644"/>
      <c r="X178" s="644" t="s">
        <v>150</v>
      </c>
      <c r="Y178" s="644"/>
      <c r="Z178" s="645" t="s">
        <v>90</v>
      </c>
      <c r="AA178" s="644"/>
      <c r="AB178" s="644" t="s">
        <v>212</v>
      </c>
      <c r="AC178" s="648"/>
      <c r="AD178" s="666"/>
      <c r="AE178" s="642"/>
      <c r="AF178" s="642"/>
      <c r="AG178" s="642"/>
    </row>
    <row r="179" spans="1:41" ht="25.8">
      <c r="A179" s="438"/>
      <c r="B179" s="662"/>
      <c r="C179" s="662"/>
      <c r="D179" s="662"/>
      <c r="E179" s="662"/>
      <c r="F179" s="710"/>
      <c r="G179" s="662"/>
      <c r="H179" s="662"/>
      <c r="I179" s="662"/>
      <c r="J179" s="710"/>
      <c r="K179" s="662"/>
      <c r="L179" s="662"/>
      <c r="M179" s="662"/>
      <c r="N179" s="662"/>
      <c r="O179" s="662"/>
      <c r="P179" s="662"/>
      <c r="Q179" s="662"/>
      <c r="R179" s="662"/>
      <c r="S179" s="662"/>
      <c r="T179" s="662"/>
      <c r="U179" s="662"/>
      <c r="V179" s="710"/>
      <c r="W179" s="662"/>
      <c r="X179" s="662"/>
      <c r="Y179" s="662"/>
      <c r="Z179" s="710"/>
      <c r="AA179" s="662"/>
      <c r="AB179" s="662"/>
      <c r="AC179" s="651"/>
      <c r="AD179" s="649"/>
      <c r="AE179" s="642"/>
      <c r="AF179" s="642"/>
      <c r="AG179" s="642"/>
    </row>
    <row r="180" spans="1:41" ht="33.6">
      <c r="A180" s="438"/>
      <c r="B180" s="662"/>
      <c r="C180" s="662"/>
      <c r="D180" s="662"/>
      <c r="E180" s="662"/>
      <c r="F180" s="662"/>
      <c r="G180" s="662"/>
      <c r="H180" s="662"/>
      <c r="I180" s="662"/>
      <c r="J180" s="662"/>
      <c r="K180" s="662"/>
      <c r="L180" s="662"/>
      <c r="M180" s="662"/>
      <c r="N180" s="711" t="s">
        <v>1461</v>
      </c>
      <c r="O180" s="662"/>
      <c r="P180" s="662"/>
      <c r="Q180" s="662"/>
      <c r="R180" s="662"/>
      <c r="S180" s="662"/>
      <c r="T180" s="662"/>
      <c r="U180" s="662"/>
      <c r="V180" s="662"/>
      <c r="W180" s="662"/>
      <c r="X180" s="728" t="s">
        <v>418</v>
      </c>
      <c r="Y180" s="662"/>
      <c r="Z180" s="662"/>
      <c r="AA180" s="662"/>
      <c r="AB180" s="662"/>
      <c r="AC180" s="651"/>
      <c r="AD180" s="649"/>
      <c r="AE180" s="642"/>
      <c r="AF180" s="642"/>
      <c r="AG180" s="642"/>
    </row>
    <row r="181" spans="1:41" ht="36" customHeight="1">
      <c r="A181" s="693"/>
      <c r="B181" s="681"/>
      <c r="C181" s="681"/>
      <c r="D181" s="681"/>
      <c r="E181" s="681"/>
      <c r="F181" s="707"/>
      <c r="G181" s="681"/>
      <c r="H181" s="681"/>
      <c r="I181" s="681"/>
      <c r="J181" s="681"/>
      <c r="K181" s="681"/>
      <c r="L181" s="681"/>
      <c r="M181" s="681"/>
      <c r="N181" s="681"/>
      <c r="O181" s="681"/>
      <c r="P181" s="681"/>
      <c r="Q181" s="681"/>
      <c r="R181" s="681"/>
      <c r="S181" s="681"/>
      <c r="T181" s="681"/>
      <c r="U181" s="681"/>
      <c r="V181" s="681"/>
      <c r="W181" s="681"/>
      <c r="X181" s="817" t="s">
        <v>192</v>
      </c>
      <c r="Y181" s="681"/>
      <c r="Z181" s="681"/>
      <c r="AA181" s="681"/>
      <c r="AB181" s="681"/>
      <c r="AC181" s="681"/>
      <c r="AD181" s="681"/>
      <c r="AE181" s="681"/>
      <c r="AF181" s="681"/>
      <c r="AG181" s="681"/>
      <c r="AH181" s="681"/>
      <c r="AI181" s="681"/>
      <c r="AJ181" s="681"/>
      <c r="AK181" s="681"/>
      <c r="AL181" s="681"/>
    </row>
    <row r="182" spans="1:41" ht="21.75" customHeight="1">
      <c r="A182" s="643"/>
      <c r="B182" s="630" t="s">
        <v>349</v>
      </c>
      <c r="C182" s="629"/>
      <c r="D182" s="630" t="s">
        <v>350</v>
      </c>
      <c r="E182" s="629"/>
      <c r="F182" s="630" t="s">
        <v>221</v>
      </c>
      <c r="G182" s="629"/>
      <c r="H182" s="630" t="s">
        <v>351</v>
      </c>
      <c r="I182" s="629"/>
      <c r="J182" s="630" t="s">
        <v>231</v>
      </c>
      <c r="K182" s="629"/>
      <c r="L182" s="630" t="s">
        <v>232</v>
      </c>
      <c r="M182" s="629"/>
      <c r="N182" s="630" t="s">
        <v>233</v>
      </c>
      <c r="O182" s="629"/>
      <c r="P182" s="630" t="s">
        <v>191</v>
      </c>
      <c r="Q182" s="629"/>
      <c r="R182" s="630" t="s">
        <v>235</v>
      </c>
      <c r="S182" s="629"/>
      <c r="T182" s="630" t="s">
        <v>355</v>
      </c>
      <c r="U182" s="629"/>
      <c r="V182" s="630" t="s">
        <v>356</v>
      </c>
      <c r="W182" s="629"/>
      <c r="X182" s="630" t="s">
        <v>357</v>
      </c>
      <c r="Y182" s="629"/>
      <c r="Z182" s="630" t="s">
        <v>358</v>
      </c>
      <c r="AA182" s="629"/>
      <c r="AB182" s="630" t="s">
        <v>189</v>
      </c>
      <c r="AC182" s="648"/>
      <c r="AD182" s="666"/>
      <c r="AE182" s="642"/>
      <c r="AF182" s="642"/>
      <c r="AG182" s="642"/>
    </row>
    <row r="183" spans="1:41" ht="33.6">
      <c r="A183" s="643"/>
      <c r="B183" s="658"/>
      <c r="C183" s="644"/>
      <c r="D183" s="658"/>
      <c r="E183" s="648"/>
      <c r="F183" s="658"/>
      <c r="G183" s="648"/>
      <c r="H183" s="658"/>
      <c r="I183" s="648"/>
      <c r="J183" s="658"/>
      <c r="K183" s="648"/>
      <c r="L183" s="658"/>
      <c r="M183" s="648"/>
      <c r="N183" s="658"/>
      <c r="O183" s="648"/>
      <c r="P183" s="658"/>
      <c r="Q183" s="648"/>
      <c r="R183" s="658"/>
      <c r="S183" s="648"/>
      <c r="T183" s="658"/>
      <c r="U183" s="648"/>
      <c r="V183" s="658"/>
      <c r="W183" s="648"/>
      <c r="X183" s="658"/>
      <c r="Y183" s="648"/>
      <c r="Z183" s="658"/>
      <c r="AA183" s="648"/>
      <c r="AB183" s="658"/>
      <c r="AC183" s="648"/>
      <c r="AD183" s="666"/>
      <c r="AE183" s="642"/>
      <c r="AF183" s="642"/>
      <c r="AG183" s="642"/>
    </row>
    <row r="184" spans="1:41" ht="16.05" customHeight="1" thickBot="1">
      <c r="A184" s="643"/>
      <c r="B184" s="660"/>
      <c r="C184" s="648"/>
      <c r="D184" s="660"/>
      <c r="E184" s="648"/>
      <c r="F184" s="660"/>
      <c r="G184" s="648"/>
      <c r="H184" s="660"/>
      <c r="I184" s="648"/>
      <c r="J184" s="660"/>
      <c r="K184" s="648"/>
      <c r="L184" s="660"/>
      <c r="M184" s="648"/>
      <c r="N184" s="660"/>
      <c r="O184" s="648"/>
      <c r="P184" s="660"/>
      <c r="Q184" s="648"/>
      <c r="R184" s="660"/>
      <c r="S184" s="648"/>
      <c r="T184" s="660"/>
      <c r="U184" s="648"/>
      <c r="V184" s="660"/>
      <c r="W184" s="648"/>
      <c r="X184" s="660"/>
      <c r="Y184" s="648"/>
      <c r="Z184" s="660"/>
      <c r="AA184" s="648"/>
      <c r="AB184" s="660"/>
      <c r="AC184" s="648"/>
      <c r="AD184" s="666"/>
      <c r="AE184" s="642"/>
      <c r="AF184" s="642"/>
      <c r="AG184" s="642"/>
    </row>
    <row r="185" spans="1:41" ht="100.05" customHeight="1" thickBot="1">
      <c r="A185" s="643"/>
      <c r="B185" s="679"/>
      <c r="C185" s="653">
        <v>353.05</v>
      </c>
      <c r="D185" s="679"/>
      <c r="E185" s="653">
        <v>441.06</v>
      </c>
      <c r="F185" s="679"/>
      <c r="G185" s="653">
        <v>387.5</v>
      </c>
      <c r="H185" s="679"/>
      <c r="I185" s="653">
        <v>372.63</v>
      </c>
      <c r="J185" s="678"/>
      <c r="K185" s="653">
        <v>415.3</v>
      </c>
      <c r="L185" s="679"/>
      <c r="M185" s="653">
        <v>424.58</v>
      </c>
      <c r="N185" s="679"/>
      <c r="O185" s="653">
        <v>391.7</v>
      </c>
      <c r="P185" s="679"/>
      <c r="Q185" s="653">
        <v>410.47</v>
      </c>
      <c r="R185" s="679"/>
      <c r="S185" s="653">
        <v>385.54</v>
      </c>
      <c r="T185" s="679"/>
      <c r="U185" s="653">
        <v>418.31</v>
      </c>
      <c r="V185" s="679"/>
      <c r="W185" s="653">
        <v>421.47</v>
      </c>
      <c r="X185" s="679"/>
      <c r="Y185" s="653">
        <v>401.98</v>
      </c>
      <c r="Z185" s="679"/>
      <c r="AA185" s="653">
        <v>429.38</v>
      </c>
      <c r="AB185" s="679"/>
      <c r="AC185" s="653">
        <v>403.83</v>
      </c>
      <c r="AD185" s="666"/>
      <c r="AE185" s="642"/>
      <c r="AF185" s="642"/>
      <c r="AG185" s="642"/>
      <c r="AM185" s="809">
        <f>COUNTIF(B185:AB185,"U/P")</f>
        <v>0</v>
      </c>
      <c r="AN185" s="809">
        <f>COUNTIF(C185:AC185,"ROW")</f>
        <v>0</v>
      </c>
      <c r="AO185" s="809">
        <f>COUNTIF(D185:AD185,"C")</f>
        <v>0</v>
      </c>
    </row>
    <row r="186" spans="1:41" ht="34.200000000000003" thickBot="1">
      <c r="A186" s="643"/>
      <c r="B186" s="656"/>
      <c r="C186" s="648"/>
      <c r="D186" s="656"/>
      <c r="E186" s="648"/>
      <c r="F186" s="656"/>
      <c r="G186" s="648"/>
      <c r="H186" s="689"/>
      <c r="I186" s="648"/>
      <c r="J186" s="656"/>
      <c r="K186" s="648"/>
      <c r="L186" s="656"/>
      <c r="M186" s="648"/>
      <c r="N186" s="656"/>
      <c r="O186" s="648"/>
      <c r="P186" s="656"/>
      <c r="Q186" s="648"/>
      <c r="R186" s="656"/>
      <c r="S186" s="648"/>
      <c r="T186" s="656"/>
      <c r="U186" s="648"/>
      <c r="V186" s="656"/>
      <c r="W186" s="648"/>
      <c r="X186" s="656"/>
      <c r="Y186" s="648"/>
      <c r="Z186" s="656"/>
      <c r="AA186" s="648"/>
      <c r="AB186" s="656"/>
      <c r="AC186" s="648"/>
      <c r="AD186" s="666"/>
      <c r="AE186" s="642"/>
      <c r="AF186" s="642"/>
      <c r="AG186" s="642"/>
    </row>
    <row r="187" spans="1:41" ht="33.6">
      <c r="A187" s="643"/>
      <c r="B187" s="644" t="s">
        <v>147</v>
      </c>
      <c r="C187" s="644"/>
      <c r="D187" s="645" t="s">
        <v>153</v>
      </c>
      <c r="E187" s="644"/>
      <c r="F187" s="644" t="s">
        <v>212</v>
      </c>
      <c r="G187" s="644"/>
      <c r="H187" s="645" t="s">
        <v>97</v>
      </c>
      <c r="I187" s="644"/>
      <c r="J187" s="644" t="s">
        <v>147</v>
      </c>
      <c r="K187" s="644"/>
      <c r="L187" s="644" t="s">
        <v>150</v>
      </c>
      <c r="M187" s="644"/>
      <c r="N187" s="644" t="s">
        <v>147</v>
      </c>
      <c r="O187" s="644"/>
      <c r="P187" s="644" t="s">
        <v>147</v>
      </c>
      <c r="Q187" s="644"/>
      <c r="R187" s="644" t="s">
        <v>206</v>
      </c>
      <c r="S187" s="644"/>
      <c r="T187" s="645" t="s">
        <v>153</v>
      </c>
      <c r="U187" s="644"/>
      <c r="V187" s="644" t="s">
        <v>206</v>
      </c>
      <c r="W187" s="644"/>
      <c r="X187" s="644" t="s">
        <v>150</v>
      </c>
      <c r="Y187" s="644"/>
      <c r="Z187" s="645" t="s">
        <v>80</v>
      </c>
      <c r="AA187" s="644"/>
      <c r="AB187" s="644" t="s">
        <v>150</v>
      </c>
      <c r="AC187" s="648"/>
      <c r="AD187" s="666"/>
      <c r="AE187" s="642"/>
      <c r="AF187" s="642"/>
      <c r="AG187" s="642"/>
    </row>
    <row r="188" spans="1:41" ht="58.5" customHeight="1">
      <c r="A188" s="1418" t="s">
        <v>1462</v>
      </c>
      <c r="B188" s="1419"/>
      <c r="C188" s="644"/>
      <c r="D188" s="714" t="s">
        <v>418</v>
      </c>
      <c r="E188" s="659"/>
      <c r="F188" s="714" t="s">
        <v>1461</v>
      </c>
      <c r="G188" s="659"/>
      <c r="H188" s="714" t="s">
        <v>1461</v>
      </c>
      <c r="I188" s="659"/>
      <c r="J188" s="714" t="s">
        <v>1461</v>
      </c>
      <c r="K188" s="644"/>
      <c r="L188" s="644"/>
      <c r="M188" s="644"/>
      <c r="N188" s="644"/>
      <c r="O188" s="644"/>
      <c r="P188" s="644"/>
      <c r="Q188" s="644"/>
      <c r="R188" s="644"/>
      <c r="S188" s="644"/>
      <c r="T188" s="644"/>
      <c r="U188" s="644"/>
      <c r="V188" s="698"/>
      <c r="W188" s="644"/>
      <c r="X188" s="644"/>
      <c r="Y188" s="644"/>
      <c r="Z188" s="644"/>
      <c r="AA188" s="644"/>
      <c r="AB188" s="644"/>
      <c r="AC188" s="648"/>
      <c r="AD188" s="666"/>
      <c r="AE188" s="642"/>
      <c r="AF188" s="642"/>
      <c r="AG188" s="642"/>
    </row>
    <row r="189" spans="1:41" ht="36.6">
      <c r="A189" s="708"/>
      <c r="B189" s="708"/>
      <c r="C189" s="708"/>
      <c r="D189" s="708"/>
      <c r="E189" s="708"/>
      <c r="F189" s="708"/>
      <c r="G189" s="708"/>
      <c r="H189" s="707" t="s">
        <v>192</v>
      </c>
      <c r="I189" s="708"/>
      <c r="J189" s="708"/>
      <c r="K189" s="708"/>
      <c r="L189" s="708"/>
      <c r="M189" s="708"/>
      <c r="N189" s="708"/>
      <c r="O189" s="708"/>
      <c r="P189" s="708"/>
      <c r="Q189" s="708"/>
      <c r="R189" s="708"/>
      <c r="S189" s="708"/>
      <c r="T189" s="787"/>
      <c r="U189" s="708"/>
      <c r="V189" s="708"/>
      <c r="W189" s="708"/>
      <c r="X189" s="708"/>
      <c r="Y189" s="708"/>
      <c r="Z189" s="707" t="s">
        <v>192</v>
      </c>
      <c r="AA189" s="708"/>
      <c r="AB189" s="708"/>
      <c r="AC189" s="708"/>
      <c r="AD189" s="708"/>
      <c r="AE189" s="708"/>
      <c r="AF189" s="708"/>
      <c r="AG189" s="708"/>
      <c r="AH189" s="708"/>
      <c r="AI189" s="708"/>
      <c r="AJ189" s="708"/>
      <c r="AK189" s="708"/>
      <c r="AL189" s="708"/>
    </row>
    <row r="190" spans="1:41" ht="15" customHeight="1">
      <c r="B190" s="649"/>
      <c r="C190" s="651"/>
      <c r="D190" s="649"/>
      <c r="E190" s="651"/>
      <c r="F190" s="649"/>
      <c r="G190" s="651"/>
      <c r="H190" s="649"/>
      <c r="I190" s="651"/>
      <c r="J190" s="649"/>
      <c r="K190" s="651"/>
      <c r="L190" s="649"/>
      <c r="M190" s="651"/>
      <c r="N190" s="649"/>
      <c r="O190" s="651"/>
      <c r="P190" s="649"/>
      <c r="Q190" s="651"/>
      <c r="R190" s="649"/>
      <c r="S190" s="651"/>
      <c r="T190" s="649"/>
      <c r="U190" s="651"/>
      <c r="V190" s="649"/>
      <c r="W190" s="651"/>
      <c r="X190" s="649"/>
      <c r="Y190" s="651"/>
      <c r="Z190" s="649"/>
      <c r="AA190" s="651"/>
      <c r="AB190" s="649"/>
      <c r="AC190" s="651"/>
      <c r="AD190" s="649"/>
      <c r="AE190" s="642"/>
      <c r="AF190" s="642"/>
      <c r="AG190" s="642"/>
    </row>
    <row r="191" spans="1:41" ht="31.05" customHeight="1">
      <c r="B191" s="630" t="s">
        <v>359</v>
      </c>
      <c r="C191" s="629"/>
      <c r="D191" s="630" t="s">
        <v>360</v>
      </c>
      <c r="E191" s="629"/>
      <c r="F191" s="630" t="s">
        <v>222</v>
      </c>
      <c r="G191" s="629"/>
      <c r="H191" s="630" t="s">
        <v>362</v>
      </c>
      <c r="I191" s="629"/>
      <c r="J191" s="630" t="s">
        <v>226</v>
      </c>
      <c r="K191" s="629"/>
      <c r="L191" s="630" t="s">
        <v>208</v>
      </c>
      <c r="M191" s="629"/>
      <c r="N191" s="630" t="s">
        <v>363</v>
      </c>
      <c r="O191" s="629"/>
      <c r="P191" s="630" t="s">
        <v>241</v>
      </c>
      <c r="Q191" s="629"/>
      <c r="R191" s="630" t="s">
        <v>244</v>
      </c>
      <c r="S191" s="629"/>
      <c r="T191" s="630" t="s">
        <v>364</v>
      </c>
      <c r="U191" s="629"/>
      <c r="V191" s="630" t="s">
        <v>365</v>
      </c>
      <c r="W191" s="629"/>
      <c r="X191" s="630" t="s">
        <v>366</v>
      </c>
      <c r="Y191" s="629"/>
      <c r="Z191" s="630" t="s">
        <v>367</v>
      </c>
      <c r="AA191" s="629"/>
      <c r="AB191" s="630" t="s">
        <v>368</v>
      </c>
      <c r="AC191" s="648"/>
      <c r="AD191" s="649"/>
      <c r="AE191" s="642"/>
      <c r="AF191" s="642"/>
      <c r="AG191" s="642"/>
    </row>
    <row r="192" spans="1:41" ht="33.6">
      <c r="B192" s="658"/>
      <c r="C192" s="648"/>
      <c r="D192" s="658"/>
      <c r="E192" s="648"/>
      <c r="F192" s="658"/>
      <c r="G192" s="648"/>
      <c r="H192" s="658"/>
      <c r="I192" s="648"/>
      <c r="J192" s="658"/>
      <c r="K192" s="644"/>
      <c r="L192" s="658"/>
      <c r="M192" s="648"/>
      <c r="N192" s="658"/>
      <c r="O192" s="648"/>
      <c r="P192" s="658"/>
      <c r="Q192" s="644"/>
      <c r="R192" s="658"/>
      <c r="S192" s="644"/>
      <c r="T192" s="658"/>
      <c r="U192" s="648"/>
      <c r="V192" s="658"/>
      <c r="W192" s="648"/>
      <c r="X192" s="658"/>
      <c r="Y192" s="648"/>
      <c r="Z192" s="658"/>
      <c r="AA192" s="648"/>
      <c r="AB192" s="658"/>
      <c r="AC192" s="648"/>
      <c r="AD192" s="649"/>
      <c r="AE192" s="642"/>
      <c r="AF192" s="642"/>
      <c r="AG192" s="642"/>
    </row>
    <row r="193" spans="1:41" ht="15.45" customHeight="1" thickBot="1">
      <c r="B193" s="660"/>
      <c r="C193" s="648"/>
      <c r="D193" s="660"/>
      <c r="E193" s="648"/>
      <c r="F193" s="660"/>
      <c r="G193" s="648"/>
      <c r="H193" s="660"/>
      <c r="I193" s="648"/>
      <c r="J193" s="660"/>
      <c r="K193" s="648"/>
      <c r="L193" s="660"/>
      <c r="M193" s="648"/>
      <c r="N193" s="660"/>
      <c r="O193" s="648"/>
      <c r="P193" s="660"/>
      <c r="Q193" s="648"/>
      <c r="R193" s="660"/>
      <c r="S193" s="648"/>
      <c r="T193" s="660"/>
      <c r="U193" s="648"/>
      <c r="V193" s="660"/>
      <c r="W193" s="648"/>
      <c r="X193" s="660"/>
      <c r="Y193" s="648"/>
      <c r="Z193" s="660"/>
      <c r="AA193" s="648"/>
      <c r="AB193" s="660"/>
      <c r="AC193" s="648"/>
      <c r="AD193" s="649"/>
      <c r="AE193" s="642"/>
      <c r="AF193" s="642"/>
      <c r="AG193" s="642"/>
    </row>
    <row r="194" spans="1:41" ht="100.05" customHeight="1" thickBot="1">
      <c r="B194" s="881" t="s">
        <v>354</v>
      </c>
      <c r="C194" s="653">
        <v>384.63</v>
      </c>
      <c r="D194" s="679"/>
      <c r="E194" s="653">
        <v>380.68200000000002</v>
      </c>
      <c r="F194" s="679"/>
      <c r="G194" s="653">
        <v>354.52600000000001</v>
      </c>
      <c r="H194" s="679"/>
      <c r="I194" s="653">
        <v>405.57400000000001</v>
      </c>
      <c r="J194" s="679"/>
      <c r="K194" s="653">
        <v>416.87400000000002</v>
      </c>
      <c r="L194" s="679"/>
      <c r="M194" s="653">
        <v>380.76600000000002</v>
      </c>
      <c r="N194" s="679"/>
      <c r="O194" s="653">
        <v>411.81</v>
      </c>
      <c r="P194" s="679"/>
      <c r="Q194" s="715">
        <v>392.08</v>
      </c>
      <c r="R194" s="679"/>
      <c r="S194" s="716">
        <v>296.87</v>
      </c>
      <c r="T194" s="637" t="s">
        <v>192</v>
      </c>
      <c r="U194" s="653">
        <v>412.4</v>
      </c>
      <c r="V194" s="637" t="s">
        <v>192</v>
      </c>
      <c r="W194" s="653">
        <v>382.17</v>
      </c>
      <c r="X194" s="637" t="s">
        <v>192</v>
      </c>
      <c r="Y194" s="653">
        <v>452.74</v>
      </c>
      <c r="Z194" s="637" t="s">
        <v>192</v>
      </c>
      <c r="AA194" s="653">
        <v>420.21</v>
      </c>
      <c r="AB194" s="637" t="s">
        <v>192</v>
      </c>
      <c r="AC194" s="653">
        <v>395.01</v>
      </c>
      <c r="AD194" s="649"/>
      <c r="AE194" s="642"/>
      <c r="AF194" s="642"/>
      <c r="AG194" s="642"/>
      <c r="AM194" s="809">
        <f>COUNTIF(B194:AB194,"U/P")</f>
        <v>1</v>
      </c>
      <c r="AN194" s="809">
        <f>COUNTIF(C194:AC194,"ROW")</f>
        <v>5</v>
      </c>
      <c r="AO194" s="809">
        <f>COUNTIF(B194:AD194,"C")</f>
        <v>0</v>
      </c>
    </row>
    <row r="195" spans="1:41" ht="34.200000000000003" thickBot="1">
      <c r="B195" s="882"/>
      <c r="C195" s="648"/>
      <c r="D195" s="656"/>
      <c r="E195" s="648"/>
      <c r="F195" s="656"/>
      <c r="G195" s="648"/>
      <c r="H195" s="656"/>
      <c r="I195" s="648"/>
      <c r="J195" s="656"/>
      <c r="K195" s="648"/>
      <c r="L195" s="656"/>
      <c r="M195" s="648"/>
      <c r="N195" s="656"/>
      <c r="O195" s="648"/>
      <c r="P195" s="656"/>
      <c r="Q195" s="648"/>
      <c r="R195" s="656"/>
      <c r="S195" s="648"/>
      <c r="T195" s="656"/>
      <c r="U195" s="648"/>
      <c r="V195" s="656"/>
      <c r="W195" s="648"/>
      <c r="X195" s="656"/>
      <c r="Y195" s="648"/>
      <c r="Z195" s="656"/>
      <c r="AA195" s="648"/>
      <c r="AB195" s="656"/>
      <c r="AC195" s="666"/>
      <c r="AD195" s="649"/>
      <c r="AE195" s="642"/>
      <c r="AF195" s="642"/>
      <c r="AG195" s="642"/>
    </row>
    <row r="196" spans="1:41" ht="33.6">
      <c r="B196" s="645" t="s">
        <v>93</v>
      </c>
      <c r="C196" s="644"/>
      <c r="D196" s="645" t="s">
        <v>80</v>
      </c>
      <c r="E196" s="644"/>
      <c r="F196" s="644" t="s">
        <v>147</v>
      </c>
      <c r="G196" s="644"/>
      <c r="H196" s="645" t="s">
        <v>90</v>
      </c>
      <c r="I196" s="644"/>
      <c r="J196" s="644" t="s">
        <v>206</v>
      </c>
      <c r="K196" s="644"/>
      <c r="L196" s="644" t="s">
        <v>147</v>
      </c>
      <c r="M196" s="644"/>
      <c r="N196" s="645" t="s">
        <v>80</v>
      </c>
      <c r="O196" s="644"/>
      <c r="P196" s="644" t="s">
        <v>150</v>
      </c>
      <c r="Q196" s="644"/>
      <c r="R196" s="644" t="s">
        <v>212</v>
      </c>
      <c r="S196" s="644"/>
      <c r="T196" s="645" t="s">
        <v>93</v>
      </c>
      <c r="U196" s="644"/>
      <c r="V196" s="645" t="s">
        <v>80</v>
      </c>
      <c r="W196" s="644"/>
      <c r="X196" s="644" t="s">
        <v>212</v>
      </c>
      <c r="Y196" s="644"/>
      <c r="Z196" s="645" t="s">
        <v>80</v>
      </c>
      <c r="AA196" s="644"/>
      <c r="AB196" s="644" t="s">
        <v>212</v>
      </c>
      <c r="AC196" s="666"/>
      <c r="AD196" s="649"/>
      <c r="AE196" s="642"/>
      <c r="AF196" s="642"/>
      <c r="AG196" s="642"/>
    </row>
    <row r="197" spans="1:41" ht="27" customHeight="1">
      <c r="A197" s="681"/>
      <c r="B197" s="880"/>
      <c r="C197" s="787"/>
      <c r="D197" s="787"/>
      <c r="E197" s="681"/>
      <c r="F197" s="681"/>
      <c r="G197" s="681"/>
      <c r="H197" s="681"/>
      <c r="I197" s="681"/>
      <c r="J197" s="681"/>
      <c r="K197" s="681"/>
      <c r="L197" s="681"/>
      <c r="M197" s="681"/>
      <c r="N197" s="787"/>
      <c r="O197" s="681"/>
      <c r="P197" s="681"/>
      <c r="Q197" s="681"/>
      <c r="R197" s="681"/>
      <c r="S197" s="681"/>
      <c r="T197" s="1409" t="s">
        <v>1453</v>
      </c>
      <c r="U197" s="1409"/>
      <c r="V197" s="1409"/>
      <c r="W197" s="1409"/>
      <c r="X197" s="1409"/>
      <c r="Y197" s="1409"/>
      <c r="Z197" s="1409"/>
      <c r="AA197" s="1409"/>
      <c r="AB197" s="1409"/>
      <c r="AC197" s="681"/>
      <c r="AD197" s="681"/>
      <c r="AE197" s="681"/>
      <c r="AF197" s="681"/>
      <c r="AG197" s="681"/>
      <c r="AH197" s="681"/>
      <c r="AI197" s="681"/>
      <c r="AJ197" s="681"/>
      <c r="AK197" s="681"/>
      <c r="AL197" s="681"/>
    </row>
    <row r="198" spans="1:41" ht="25.8">
      <c r="B198" s="651"/>
      <c r="C198" s="651"/>
      <c r="D198" s="649"/>
      <c r="E198" s="651"/>
      <c r="F198" s="649"/>
      <c r="G198" s="651"/>
      <c r="H198" s="649"/>
      <c r="I198" s="651"/>
      <c r="J198" s="649"/>
      <c r="K198" s="651"/>
      <c r="L198" s="649"/>
      <c r="M198" s="651"/>
      <c r="N198" s="649"/>
      <c r="O198" s="651"/>
      <c r="P198" s="649"/>
      <c r="Q198" s="651"/>
      <c r="R198" s="649"/>
      <c r="S198" s="651"/>
      <c r="T198" s="649"/>
      <c r="U198" s="651"/>
      <c r="V198" s="649"/>
      <c r="W198" s="651"/>
      <c r="X198" s="649"/>
      <c r="Y198" s="651"/>
      <c r="Z198" s="649"/>
      <c r="AA198" s="651"/>
      <c r="AB198" s="649"/>
      <c r="AC198" s="649"/>
      <c r="AD198" s="649"/>
      <c r="AE198" s="642"/>
      <c r="AF198" s="642"/>
      <c r="AG198" s="642"/>
    </row>
    <row r="199" spans="1:41" ht="28.05" customHeight="1">
      <c r="B199" s="630" t="s">
        <v>369</v>
      </c>
      <c r="C199" s="629"/>
      <c r="D199" s="630" t="s">
        <v>370</v>
      </c>
      <c r="E199" s="629"/>
      <c r="F199" s="630" t="s">
        <v>254</v>
      </c>
      <c r="G199" s="629"/>
      <c r="H199" s="630" t="s">
        <v>371</v>
      </c>
      <c r="I199" s="629"/>
      <c r="J199" s="630" t="s">
        <v>372</v>
      </c>
      <c r="K199" s="631" t="s">
        <v>1448</v>
      </c>
      <c r="L199" s="1407" t="s">
        <v>373</v>
      </c>
      <c r="M199" s="1407"/>
      <c r="N199" s="1407" t="s">
        <v>374</v>
      </c>
      <c r="O199" s="1407"/>
      <c r="P199" s="1407" t="s">
        <v>375</v>
      </c>
      <c r="Q199" s="1407"/>
      <c r="R199" s="630" t="s">
        <v>376</v>
      </c>
      <c r="S199" s="629"/>
      <c r="T199" s="630" t="s">
        <v>378</v>
      </c>
      <c r="U199" s="629"/>
      <c r="V199" s="687" t="s">
        <v>1243</v>
      </c>
      <c r="W199" s="629"/>
      <c r="X199" s="1407" t="s">
        <v>181</v>
      </c>
      <c r="Y199" s="1407"/>
      <c r="Z199" s="1407" t="s">
        <v>380</v>
      </c>
      <c r="AA199" s="1407"/>
      <c r="AB199" s="630" t="s">
        <v>258</v>
      </c>
      <c r="AC199" s="666"/>
      <c r="AD199" s="649"/>
      <c r="AE199" s="642"/>
      <c r="AF199" s="642"/>
      <c r="AG199" s="642"/>
    </row>
    <row r="200" spans="1:41" ht="33.6">
      <c r="A200" s="438"/>
      <c r="B200" s="658"/>
      <c r="C200" s="648"/>
      <c r="D200" s="658"/>
      <c r="E200" s="648"/>
      <c r="F200" s="658"/>
      <c r="G200" s="648"/>
      <c r="H200" s="658"/>
      <c r="I200" s="648"/>
      <c r="J200" s="658"/>
      <c r="K200" s="648"/>
      <c r="L200" s="658"/>
      <c r="M200" s="648"/>
      <c r="N200" s="658"/>
      <c r="O200" s="648"/>
      <c r="P200" s="658"/>
      <c r="Q200" s="648"/>
      <c r="R200" s="658"/>
      <c r="S200" s="648"/>
      <c r="T200" s="658"/>
      <c r="U200" s="648"/>
      <c r="V200" s="658"/>
      <c r="W200" s="648"/>
      <c r="X200" s="658"/>
      <c r="Y200" s="648"/>
      <c r="Z200" s="658"/>
      <c r="AA200" s="648"/>
      <c r="AB200" s="658"/>
      <c r="AC200" s="666"/>
      <c r="AD200" s="649"/>
      <c r="AE200" s="642"/>
      <c r="AF200" s="642"/>
      <c r="AG200" s="642"/>
    </row>
    <row r="201" spans="1:41" ht="15" customHeight="1" thickBot="1">
      <c r="A201" s="438"/>
      <c r="B201" s="660"/>
      <c r="C201" s="648"/>
      <c r="D201" s="660"/>
      <c r="E201" s="648"/>
      <c r="F201" s="660"/>
      <c r="G201" s="648"/>
      <c r="H201" s="660"/>
      <c r="I201" s="648"/>
      <c r="J201" s="660"/>
      <c r="K201" s="648"/>
      <c r="L201" s="660"/>
      <c r="M201" s="648"/>
      <c r="N201" s="660"/>
      <c r="O201" s="648"/>
      <c r="P201" s="660"/>
      <c r="Q201" s="648"/>
      <c r="R201" s="660"/>
      <c r="S201" s="648"/>
      <c r="T201" s="660"/>
      <c r="U201" s="648"/>
      <c r="V201" s="660"/>
      <c r="W201" s="648"/>
      <c r="X201" s="660"/>
      <c r="Y201" s="648"/>
      <c r="Z201" s="660"/>
      <c r="AA201" s="648"/>
      <c r="AB201" s="660"/>
      <c r="AC201" s="666"/>
      <c r="AD201" s="649"/>
      <c r="AE201" s="642"/>
      <c r="AF201" s="642"/>
      <c r="AG201" s="642"/>
      <c r="AH201" s="717"/>
      <c r="AI201" s="717"/>
      <c r="AJ201" s="717"/>
      <c r="AK201" s="717"/>
      <c r="AL201" s="717"/>
      <c r="AM201" s="717"/>
      <c r="AN201" s="717"/>
    </row>
    <row r="202" spans="1:41" ht="100.05" customHeight="1" thickBot="1">
      <c r="A202" s="438"/>
      <c r="B202" s="637" t="s">
        <v>192</v>
      </c>
      <c r="C202" s="653">
        <v>386.74</v>
      </c>
      <c r="D202" s="679"/>
      <c r="E202" s="716">
        <v>378.62</v>
      </c>
      <c r="F202" s="679"/>
      <c r="G202" s="653">
        <v>350.21499999999997</v>
      </c>
      <c r="H202" s="637" t="s">
        <v>192</v>
      </c>
      <c r="I202" s="653">
        <v>357.91</v>
      </c>
      <c r="J202" s="637" t="s">
        <v>192</v>
      </c>
      <c r="K202" s="653">
        <v>237.48</v>
      </c>
      <c r="L202" s="637" t="s">
        <v>192</v>
      </c>
      <c r="M202" s="653">
        <v>440.03</v>
      </c>
      <c r="N202" s="679"/>
      <c r="O202" s="653">
        <v>503.74</v>
      </c>
      <c r="P202" s="679"/>
      <c r="Q202" s="653">
        <v>437</v>
      </c>
      <c r="R202" s="679"/>
      <c r="S202" s="653">
        <v>430</v>
      </c>
      <c r="T202" s="679"/>
      <c r="U202" s="716">
        <v>409.27</v>
      </c>
      <c r="V202" s="679"/>
      <c r="W202" s="653">
        <v>312.45</v>
      </c>
      <c r="X202" s="679"/>
      <c r="Y202" s="653">
        <v>314.25</v>
      </c>
      <c r="Z202" s="679"/>
      <c r="AA202" s="653">
        <v>361.96</v>
      </c>
      <c r="AB202" s="679"/>
      <c r="AC202" s="661">
        <v>329.49</v>
      </c>
      <c r="AD202" s="649"/>
      <c r="AE202" s="642"/>
      <c r="AF202" s="642"/>
      <c r="AG202" s="642"/>
      <c r="AM202" s="809">
        <f>COUNTIF(B202:AB202,"U/P")</f>
        <v>0</v>
      </c>
      <c r="AN202" s="809">
        <f>COUNTIF(C202:AC202,"ROW")</f>
        <v>3</v>
      </c>
      <c r="AO202" s="809">
        <f>COUNTIF(D202:AD202,"C")</f>
        <v>0</v>
      </c>
    </row>
    <row r="203" spans="1:41" ht="34.200000000000003" thickBot="1">
      <c r="A203" s="438"/>
      <c r="B203" s="656"/>
      <c r="C203" s="648"/>
      <c r="D203" s="656"/>
      <c r="E203" s="648"/>
      <c r="F203" s="656"/>
      <c r="G203" s="648"/>
      <c r="H203" s="656"/>
      <c r="I203" s="648"/>
      <c r="J203" s="656"/>
      <c r="K203" s="648"/>
      <c r="L203" s="656" t="s">
        <v>192</v>
      </c>
      <c r="M203" s="648"/>
      <c r="N203" s="656"/>
      <c r="O203" s="648"/>
      <c r="P203" s="656"/>
      <c r="Q203" s="648"/>
      <c r="R203" s="656"/>
      <c r="S203" s="648"/>
      <c r="T203" s="656"/>
      <c r="U203" s="648"/>
      <c r="V203" s="656"/>
      <c r="W203" s="648"/>
      <c r="X203" s="656"/>
      <c r="Y203" s="648"/>
      <c r="Z203" s="656"/>
      <c r="AA203" s="648"/>
      <c r="AB203" s="656"/>
      <c r="AC203" s="666"/>
      <c r="AD203" s="649"/>
      <c r="AE203" s="642"/>
      <c r="AF203" s="642"/>
      <c r="AG203" s="642"/>
    </row>
    <row r="204" spans="1:41" ht="33.6">
      <c r="A204" s="718"/>
      <c r="B204" s="719" t="s">
        <v>90</v>
      </c>
      <c r="C204" s="644"/>
      <c r="D204" s="644" t="s">
        <v>147</v>
      </c>
      <c r="E204" s="644"/>
      <c r="F204" s="644" t="s">
        <v>147</v>
      </c>
      <c r="G204" s="644"/>
      <c r="H204" s="644" t="s">
        <v>147</v>
      </c>
      <c r="I204" s="644"/>
      <c r="J204" s="645" t="s">
        <v>80</v>
      </c>
      <c r="K204" s="644"/>
      <c r="L204" s="645" t="s">
        <v>80</v>
      </c>
      <c r="M204" s="644"/>
      <c r="N204" s="645" t="s">
        <v>132</v>
      </c>
      <c r="O204" s="644"/>
      <c r="P204" s="645" t="s">
        <v>97</v>
      </c>
      <c r="Q204" s="644"/>
      <c r="R204" s="645" t="s">
        <v>84</v>
      </c>
      <c r="S204" s="644"/>
      <c r="T204" s="644" t="s">
        <v>212</v>
      </c>
      <c r="U204" s="644"/>
      <c r="V204" s="645" t="s">
        <v>84</v>
      </c>
      <c r="W204" s="644"/>
      <c r="X204" s="644" t="s">
        <v>147</v>
      </c>
      <c r="Y204" s="644"/>
      <c r="Z204" s="645" t="s">
        <v>80</v>
      </c>
      <c r="AA204" s="644"/>
      <c r="AB204" s="644" t="s">
        <v>147</v>
      </c>
      <c r="AC204" s="666"/>
      <c r="AD204" s="649"/>
      <c r="AE204" s="642"/>
      <c r="AF204" s="642"/>
      <c r="AG204" s="642"/>
    </row>
    <row r="205" spans="1:41" ht="33.450000000000003" customHeight="1">
      <c r="A205" s="693"/>
      <c r="B205" s="707" t="s">
        <v>192</v>
      </c>
      <c r="C205" s="708"/>
      <c r="D205" s="708"/>
      <c r="E205" s="708"/>
      <c r="F205" s="708"/>
      <c r="G205" s="708"/>
      <c r="H205" s="1404" t="s">
        <v>192</v>
      </c>
      <c r="I205" s="1404"/>
      <c r="J205" s="1404"/>
      <c r="K205" s="1404"/>
      <c r="L205" s="1404"/>
      <c r="M205" s="708"/>
      <c r="N205" s="787"/>
      <c r="O205" s="681"/>
      <c r="P205" s="681"/>
      <c r="Q205" s="681"/>
      <c r="R205" s="681"/>
      <c r="S205" s="681"/>
      <c r="T205" s="681"/>
      <c r="U205" s="681"/>
      <c r="V205" s="681"/>
      <c r="W205" s="681"/>
      <c r="X205" s="681"/>
      <c r="Y205" s="681"/>
      <c r="Z205" s="681"/>
      <c r="AA205" s="681"/>
      <c r="AB205" s="681"/>
      <c r="AC205" s="681"/>
      <c r="AD205" s="681"/>
      <c r="AE205" s="681"/>
      <c r="AF205" s="681"/>
      <c r="AG205" s="681"/>
      <c r="AH205" s="681"/>
      <c r="AI205" s="681"/>
      <c r="AJ205" s="681"/>
      <c r="AK205" s="681"/>
      <c r="AL205" s="681"/>
    </row>
    <row r="206" spans="1:41" ht="22.95" customHeight="1">
      <c r="A206" s="438"/>
      <c r="B206" s="662"/>
      <c r="C206" s="662"/>
      <c r="D206" s="662"/>
      <c r="E206" s="662"/>
      <c r="F206" s="662"/>
      <c r="G206" s="662"/>
      <c r="H206" s="662"/>
      <c r="I206" s="662"/>
      <c r="J206" s="662"/>
      <c r="K206" s="662"/>
      <c r="L206" s="662"/>
      <c r="M206" s="662"/>
      <c r="N206" s="662"/>
      <c r="O206" s="662"/>
      <c r="P206" s="662"/>
      <c r="Q206" s="662"/>
      <c r="R206" s="662"/>
      <c r="S206" s="662"/>
      <c r="T206" s="662"/>
      <c r="U206" s="662"/>
      <c r="V206" s="662"/>
      <c r="W206" s="662"/>
      <c r="X206" s="662"/>
      <c r="Y206" s="662"/>
      <c r="Z206" s="662"/>
      <c r="AA206" s="662"/>
      <c r="AB206" s="662"/>
      <c r="AC206" s="649"/>
      <c r="AD206" s="649"/>
      <c r="AE206" s="642"/>
      <c r="AF206" s="642"/>
      <c r="AG206" s="642"/>
    </row>
    <row r="207" spans="1:41" ht="27" customHeight="1">
      <c r="A207" s="438"/>
      <c r="B207" s="630" t="s">
        <v>240</v>
      </c>
      <c r="C207" s="629"/>
      <c r="D207" s="630" t="s">
        <v>381</v>
      </c>
      <c r="E207" s="629"/>
      <c r="F207" s="630" t="s">
        <v>382</v>
      </c>
      <c r="G207" s="629"/>
      <c r="H207" s="630" t="s">
        <v>383</v>
      </c>
      <c r="I207" s="629"/>
      <c r="J207" s="630" t="s">
        <v>134</v>
      </c>
      <c r="K207" s="629"/>
      <c r="L207" s="720" t="s">
        <v>1244</v>
      </c>
      <c r="M207" s="629"/>
      <c r="N207" s="630" t="s">
        <v>253</v>
      </c>
      <c r="O207" s="629"/>
      <c r="P207" s="1407" t="s">
        <v>1245</v>
      </c>
      <c r="Q207" s="1407"/>
      <c r="R207" s="630" t="s">
        <v>387</v>
      </c>
      <c r="S207" s="629"/>
      <c r="T207" s="1407" t="s">
        <v>388</v>
      </c>
      <c r="U207" s="1407"/>
      <c r="V207" s="1407" t="s">
        <v>682</v>
      </c>
      <c r="W207" s="1407"/>
      <c r="X207" s="630" t="s">
        <v>243</v>
      </c>
      <c r="Y207" s="629"/>
      <c r="Z207" s="630" t="s">
        <v>390</v>
      </c>
      <c r="AA207" s="629"/>
      <c r="AB207" s="630" t="s">
        <v>391</v>
      </c>
      <c r="AC207" s="666"/>
      <c r="AD207" s="649"/>
      <c r="AE207" s="642"/>
      <c r="AF207" s="642"/>
      <c r="AG207" s="642"/>
    </row>
    <row r="208" spans="1:41" ht="33.6">
      <c r="A208" s="438"/>
      <c r="B208" s="658"/>
      <c r="C208" s="648"/>
      <c r="D208" s="658"/>
      <c r="E208" s="648"/>
      <c r="F208" s="658"/>
      <c r="G208" s="648"/>
      <c r="H208" s="658"/>
      <c r="I208" s="648"/>
      <c r="J208" s="658"/>
      <c r="K208" s="648"/>
      <c r="L208" s="658"/>
      <c r="M208" s="648"/>
      <c r="N208" s="658"/>
      <c r="O208" s="648"/>
      <c r="P208" s="658"/>
      <c r="Q208" s="648"/>
      <c r="R208" s="658"/>
      <c r="S208" s="648"/>
      <c r="T208" s="658"/>
      <c r="U208" s="648"/>
      <c r="V208" s="658"/>
      <c r="W208" s="648"/>
      <c r="X208" s="658"/>
      <c r="Y208" s="648"/>
      <c r="Z208" s="658"/>
      <c r="AA208" s="648"/>
      <c r="AB208" s="658"/>
      <c r="AC208" s="666"/>
      <c r="AD208" s="649"/>
      <c r="AE208" s="642"/>
      <c r="AF208" s="642"/>
      <c r="AG208" s="642"/>
    </row>
    <row r="209" spans="1:41" ht="15" customHeight="1" thickBot="1">
      <c r="A209" s="438"/>
      <c r="B209" s="660"/>
      <c r="C209" s="648"/>
      <c r="D209" s="660"/>
      <c r="E209" s="648"/>
      <c r="F209" s="660"/>
      <c r="G209" s="648"/>
      <c r="H209" s="660"/>
      <c r="I209" s="648"/>
      <c r="J209" s="660"/>
      <c r="K209" s="648"/>
      <c r="L209" s="660"/>
      <c r="M209" s="648"/>
      <c r="N209" s="660"/>
      <c r="O209" s="648"/>
      <c r="P209" s="660"/>
      <c r="Q209" s="648"/>
      <c r="R209" s="660"/>
      <c r="S209" s="648"/>
      <c r="T209" s="660"/>
      <c r="U209" s="648"/>
      <c r="V209" s="660"/>
      <c r="W209" s="648"/>
      <c r="X209" s="660"/>
      <c r="Y209" s="648"/>
      <c r="Z209" s="660"/>
      <c r="AA209" s="648"/>
      <c r="AB209" s="660"/>
      <c r="AC209" s="666"/>
      <c r="AD209" s="649"/>
      <c r="AE209" s="642"/>
      <c r="AF209" s="642"/>
      <c r="AG209" s="642"/>
    </row>
    <row r="210" spans="1:41" ht="100.05" customHeight="1" thickBot="1">
      <c r="A210" s="438"/>
      <c r="B210" s="679"/>
      <c r="C210" s="653">
        <v>371.33</v>
      </c>
      <c r="D210" s="679"/>
      <c r="E210" s="653">
        <v>417.92</v>
      </c>
      <c r="F210" s="679"/>
      <c r="G210" s="653">
        <v>376.99</v>
      </c>
      <c r="H210" s="679"/>
      <c r="I210" s="653">
        <v>343.8</v>
      </c>
      <c r="J210" s="679"/>
      <c r="K210" s="653">
        <v>318.7</v>
      </c>
      <c r="L210" s="679"/>
      <c r="M210" s="653">
        <v>308</v>
      </c>
      <c r="N210" s="679"/>
      <c r="O210" s="716">
        <v>324.87</v>
      </c>
      <c r="P210" s="679"/>
      <c r="Q210" s="653">
        <v>365.39</v>
      </c>
      <c r="R210" s="637" t="s">
        <v>192</v>
      </c>
      <c r="S210" s="653">
        <v>269.52999999999997</v>
      </c>
      <c r="T210" s="637" t="s">
        <v>192</v>
      </c>
      <c r="U210" s="653">
        <v>360.33</v>
      </c>
      <c r="V210" s="679"/>
      <c r="W210" s="653">
        <v>414</v>
      </c>
      <c r="X210" s="679"/>
      <c r="Y210" s="653">
        <v>424</v>
      </c>
      <c r="Z210" s="679"/>
      <c r="AA210" s="653">
        <v>405</v>
      </c>
      <c r="AB210" s="679"/>
      <c r="AC210" s="653">
        <v>426</v>
      </c>
      <c r="AD210" s="649"/>
      <c r="AE210" s="642"/>
      <c r="AF210" s="642"/>
      <c r="AG210" s="642"/>
      <c r="AM210" s="809">
        <f>COUNTIF(B210:AB210,"U/P")</f>
        <v>0</v>
      </c>
      <c r="AN210" s="809">
        <f>COUNTIF(C210:AC210,"ROW")</f>
        <v>2</v>
      </c>
      <c r="AO210" s="809">
        <f>COUNTIF(D210:AD210,"C")</f>
        <v>0</v>
      </c>
    </row>
    <row r="211" spans="1:41" ht="21.45" customHeight="1" thickBot="1">
      <c r="A211" s="438"/>
      <c r="B211" s="656"/>
      <c r="C211" s="648"/>
      <c r="D211" s="656"/>
      <c r="E211" s="648"/>
      <c r="F211" s="656"/>
      <c r="G211" s="648"/>
      <c r="H211" s="721"/>
      <c r="I211" s="648"/>
      <c r="J211" s="656"/>
      <c r="K211" s="648"/>
      <c r="L211" s="656"/>
      <c r="M211" s="648"/>
      <c r="N211" s="656"/>
      <c r="O211" s="648"/>
      <c r="P211" s="721"/>
      <c r="Q211" s="666"/>
      <c r="R211" s="656"/>
      <c r="S211" s="666"/>
      <c r="T211" s="656"/>
      <c r="U211" s="666"/>
      <c r="V211" s="656"/>
      <c r="W211" s="666"/>
      <c r="X211" s="656"/>
      <c r="Y211" s="666"/>
      <c r="Z211" s="656"/>
      <c r="AA211" s="666"/>
      <c r="AB211" s="814"/>
      <c r="AC211" s="666"/>
      <c r="AD211" s="649"/>
      <c r="AE211" s="642"/>
      <c r="AF211" s="642"/>
      <c r="AG211" s="642"/>
    </row>
    <row r="212" spans="1:41" ht="24.45" customHeight="1" thickBot="1">
      <c r="A212" s="438"/>
      <c r="B212" s="644" t="s">
        <v>147</v>
      </c>
      <c r="C212" s="644"/>
      <c r="D212" s="645" t="s">
        <v>80</v>
      </c>
      <c r="E212" s="644"/>
      <c r="F212" s="644" t="s">
        <v>150</v>
      </c>
      <c r="G212" s="644"/>
      <c r="H212" s="645" t="s">
        <v>80</v>
      </c>
      <c r="I212" s="644"/>
      <c r="J212" s="644" t="s">
        <v>147</v>
      </c>
      <c r="K212" s="644"/>
      <c r="L212" s="645" t="s">
        <v>80</v>
      </c>
      <c r="M212" s="644"/>
      <c r="N212" s="644" t="s">
        <v>147</v>
      </c>
      <c r="O212" s="644"/>
      <c r="P212" s="645" t="s">
        <v>90</v>
      </c>
      <c r="Q212" s="644"/>
      <c r="R212" s="684" t="s">
        <v>147</v>
      </c>
      <c r="S212" s="644"/>
      <c r="T212" s="674" t="s">
        <v>135</v>
      </c>
      <c r="U212" s="644"/>
      <c r="V212" s="645" t="s">
        <v>80</v>
      </c>
      <c r="W212" s="644"/>
      <c r="X212" s="644" t="s">
        <v>206</v>
      </c>
      <c r="Y212" s="644"/>
      <c r="Z212" s="644" t="s">
        <v>147</v>
      </c>
      <c r="AA212" s="644"/>
      <c r="AB212" s="644" t="s">
        <v>150</v>
      </c>
      <c r="AC212" s="666"/>
      <c r="AD212" s="649"/>
      <c r="AE212" s="642"/>
      <c r="AF212" s="642"/>
      <c r="AG212" s="642"/>
    </row>
    <row r="213" spans="1:41" ht="30.45" customHeight="1" thickBot="1">
      <c r="A213" s="438"/>
      <c r="B213" s="662"/>
      <c r="C213" s="662"/>
      <c r="D213" s="662"/>
      <c r="E213" s="662"/>
      <c r="F213" s="712" t="s">
        <v>1538</v>
      </c>
      <c r="G213" s="651"/>
      <c r="H213" s="708"/>
      <c r="I213" s="651"/>
      <c r="J213" s="651"/>
      <c r="K213" s="651"/>
      <c r="L213" s="651"/>
      <c r="M213" s="637" t="s">
        <v>192</v>
      </c>
      <c r="N213" s="651"/>
      <c r="O213" s="651"/>
      <c r="P213" s="787"/>
      <c r="Q213" s="651"/>
      <c r="R213" s="722" t="s">
        <v>1534</v>
      </c>
      <c r="S213" s="651"/>
      <c r="T213" s="651"/>
      <c r="U213" s="651"/>
      <c r="V213" s="651"/>
      <c r="W213" s="651"/>
      <c r="X213" s="651"/>
      <c r="Y213" s="637"/>
      <c r="Z213" s="651"/>
      <c r="AA213" s="651"/>
      <c r="AB213" s="787"/>
      <c r="AC213" s="649"/>
      <c r="AD213" s="649"/>
      <c r="AE213" s="642"/>
      <c r="AF213" s="642"/>
      <c r="AG213" s="642"/>
    </row>
    <row r="214" spans="1:41" ht="35.549999999999997" customHeight="1">
      <c r="A214" s="693"/>
      <c r="B214" s="681"/>
      <c r="C214" s="681"/>
      <c r="D214" s="681"/>
      <c r="E214" s="681"/>
      <c r="F214" s="1420"/>
      <c r="G214" s="1420"/>
      <c r="H214" s="1420"/>
      <c r="I214" s="681"/>
      <c r="J214" s="681"/>
      <c r="K214" s="681"/>
      <c r="L214" s="681"/>
      <c r="M214" s="681"/>
      <c r="N214" s="681"/>
      <c r="O214" s="681"/>
      <c r="P214" s="787"/>
      <c r="Q214" s="787"/>
      <c r="R214" s="1404" t="s">
        <v>192</v>
      </c>
      <c r="S214" s="1404"/>
      <c r="T214" s="1404"/>
      <c r="U214" s="787"/>
      <c r="V214" s="787"/>
      <c r="W214" s="681"/>
      <c r="X214" s="681"/>
      <c r="Y214" s="681"/>
      <c r="Z214" s="681"/>
      <c r="AA214" s="681"/>
      <c r="AB214" s="681"/>
      <c r="AC214" s="681"/>
      <c r="AD214" s="681"/>
      <c r="AE214" s="681"/>
      <c r="AF214" s="681"/>
      <c r="AG214" s="681"/>
      <c r="AH214" s="681"/>
      <c r="AI214" s="681"/>
      <c r="AJ214" s="681"/>
      <c r="AK214" s="681"/>
      <c r="AL214" s="681"/>
    </row>
    <row r="215" spans="1:41" ht="67.05" customHeight="1">
      <c r="A215" s="438"/>
      <c r="B215" s="630" t="s">
        <v>392</v>
      </c>
      <c r="C215" s="629"/>
      <c r="D215" s="1421" t="s">
        <v>136</v>
      </c>
      <c r="E215" s="1421"/>
      <c r="F215" s="1407" t="s">
        <v>1279</v>
      </c>
      <c r="G215" s="1407"/>
      <c r="H215" s="1407" t="s">
        <v>1463</v>
      </c>
      <c r="I215" s="1407"/>
      <c r="J215" s="630" t="s">
        <v>1281</v>
      </c>
      <c r="K215" s="629"/>
      <c r="L215" s="1407" t="s">
        <v>1282</v>
      </c>
      <c r="M215" s="1407"/>
      <c r="N215" s="1407" t="s">
        <v>398</v>
      </c>
      <c r="O215" s="1407"/>
      <c r="P215" s="1407" t="s">
        <v>399</v>
      </c>
      <c r="Q215" s="1407"/>
      <c r="R215" s="1407" t="s">
        <v>400</v>
      </c>
      <c r="S215" s="1407"/>
      <c r="T215" s="1407" t="s">
        <v>401</v>
      </c>
      <c r="U215" s="1407"/>
      <c r="V215" s="1407" t="s">
        <v>402</v>
      </c>
      <c r="W215" s="1407"/>
      <c r="X215" s="1407" t="s">
        <v>403</v>
      </c>
      <c r="Y215" s="1407"/>
      <c r="Z215" s="1407" t="s">
        <v>404</v>
      </c>
      <c r="AA215" s="1407"/>
      <c r="AB215" s="1407" t="s">
        <v>405</v>
      </c>
      <c r="AC215" s="1407"/>
      <c r="AD215" s="649"/>
      <c r="AE215" s="642"/>
      <c r="AF215" s="642"/>
      <c r="AG215" s="642"/>
    </row>
    <row r="216" spans="1:41" ht="33.6">
      <c r="A216" s="438"/>
      <c r="B216" s="658"/>
      <c r="C216" s="648"/>
      <c r="D216" s="658"/>
      <c r="E216" s="648"/>
      <c r="F216" s="658"/>
      <c r="G216" s="648"/>
      <c r="H216" s="658"/>
      <c r="I216" s="648"/>
      <c r="J216" s="658"/>
      <c r="K216" s="648"/>
      <c r="L216" s="658"/>
      <c r="M216" s="648"/>
      <c r="N216" s="658"/>
      <c r="O216" s="648"/>
      <c r="P216" s="658"/>
      <c r="Q216" s="666"/>
      <c r="R216" s="658"/>
      <c r="S216" s="648"/>
      <c r="T216" s="658"/>
      <c r="U216" s="648"/>
      <c r="V216" s="658"/>
      <c r="W216" s="648"/>
      <c r="X216" s="658"/>
      <c r="Y216" s="648"/>
      <c r="Z216" s="658"/>
      <c r="AA216" s="648"/>
      <c r="AB216" s="658"/>
      <c r="AC216" s="666"/>
      <c r="AD216" s="649"/>
      <c r="AE216" s="642"/>
      <c r="AF216" s="642"/>
      <c r="AG216" s="642"/>
    </row>
    <row r="217" spans="1:41" ht="16.5" customHeight="1" thickBot="1">
      <c r="A217" s="438"/>
      <c r="B217" s="660"/>
      <c r="C217" s="648"/>
      <c r="D217" s="660"/>
      <c r="E217" s="648"/>
      <c r="F217" s="660"/>
      <c r="G217" s="648"/>
      <c r="H217" s="660"/>
      <c r="I217" s="648"/>
      <c r="J217" s="660"/>
      <c r="K217" s="648"/>
      <c r="L217" s="660"/>
      <c r="M217" s="648"/>
      <c r="N217" s="660"/>
      <c r="O217" s="648"/>
      <c r="P217" s="660"/>
      <c r="Q217" s="666"/>
      <c r="R217" s="660"/>
      <c r="S217" s="648"/>
      <c r="T217" s="660"/>
      <c r="U217" s="648"/>
      <c r="V217" s="660"/>
      <c r="W217" s="648"/>
      <c r="X217" s="660"/>
      <c r="Y217" s="648"/>
      <c r="Z217" s="660"/>
      <c r="AA217" s="648"/>
      <c r="AB217" s="660"/>
      <c r="AC217" s="666"/>
      <c r="AD217" s="649"/>
      <c r="AE217" s="642"/>
      <c r="AF217" s="642"/>
      <c r="AG217" s="642"/>
    </row>
    <row r="218" spans="1:41" ht="100.05" customHeight="1" thickBot="1">
      <c r="A218" s="438"/>
      <c r="B218" s="679"/>
      <c r="C218" s="683">
        <v>410</v>
      </c>
      <c r="D218" s="679"/>
      <c r="E218" s="683">
        <v>421</v>
      </c>
      <c r="F218" s="713" t="s">
        <v>192</v>
      </c>
      <c r="G218" s="683">
        <v>407.61</v>
      </c>
      <c r="H218" s="637" t="s">
        <v>192</v>
      </c>
      <c r="I218" s="683">
        <v>364.36</v>
      </c>
      <c r="J218" s="637" t="s">
        <v>192</v>
      </c>
      <c r="K218" s="683">
        <v>332.44799999999998</v>
      </c>
      <c r="L218" s="679"/>
      <c r="M218" s="683">
        <v>348.85</v>
      </c>
      <c r="N218" s="637" t="s">
        <v>192</v>
      </c>
      <c r="O218" s="683">
        <v>387.35</v>
      </c>
      <c r="P218" s="679"/>
      <c r="Q218" s="653">
        <v>452.64</v>
      </c>
      <c r="R218" s="637" t="s">
        <v>192</v>
      </c>
      <c r="S218" s="669">
        <v>386.96</v>
      </c>
      <c r="T218" s="637" t="s">
        <v>192</v>
      </c>
      <c r="U218" s="669">
        <v>382.14</v>
      </c>
      <c r="V218" s="679"/>
      <c r="W218" s="669">
        <v>336.47</v>
      </c>
      <c r="X218" s="679"/>
      <c r="Y218" s="669">
        <v>389.14</v>
      </c>
      <c r="Z218" s="878" t="s">
        <v>1582</v>
      </c>
      <c r="AA218" s="669">
        <v>334.55</v>
      </c>
      <c r="AB218" s="878" t="s">
        <v>1582</v>
      </c>
      <c r="AC218" s="653">
        <v>396.2</v>
      </c>
      <c r="AD218" s="649"/>
      <c r="AE218" s="642"/>
      <c r="AF218" s="642"/>
      <c r="AG218" s="642"/>
      <c r="AM218" s="809">
        <f>COUNTIF(B218:AB218,"U/P")</f>
        <v>0</v>
      </c>
      <c r="AN218" s="809">
        <f>COUNTIF(C218:AC218,"ROW")</f>
        <v>6</v>
      </c>
      <c r="AO218" s="809">
        <f>COUNTIF(D218:AD218,"C")</f>
        <v>0</v>
      </c>
    </row>
    <row r="219" spans="1:41" ht="16.5" customHeight="1" thickBot="1">
      <c r="A219" s="438"/>
      <c r="B219" s="656"/>
      <c r="C219" s="724"/>
      <c r="D219" s="656"/>
      <c r="E219" s="724"/>
      <c r="F219" s="656"/>
      <c r="G219" s="724"/>
      <c r="H219" s="656"/>
      <c r="I219" s="724"/>
      <c r="J219" s="656"/>
      <c r="K219" s="724"/>
      <c r="L219" s="656"/>
      <c r="M219" s="724"/>
      <c r="N219" s="656"/>
      <c r="O219" s="724"/>
      <c r="P219" s="656"/>
      <c r="Q219" s="666"/>
      <c r="R219" s="656"/>
      <c r="S219" s="666"/>
      <c r="T219" s="656"/>
      <c r="U219" s="666"/>
      <c r="V219" s="656"/>
      <c r="W219" s="666"/>
      <c r="X219" s="656"/>
      <c r="Y219" s="666"/>
      <c r="Z219" s="656"/>
      <c r="AA219" s="666"/>
      <c r="AB219" s="656"/>
      <c r="AC219" s="666"/>
      <c r="AD219" s="649"/>
      <c r="AE219" s="642"/>
      <c r="AF219" s="642"/>
      <c r="AG219" s="642"/>
    </row>
    <row r="220" spans="1:41" ht="33.6">
      <c r="A220" s="438"/>
      <c r="B220" s="644" t="s">
        <v>150</v>
      </c>
      <c r="C220" s="644"/>
      <c r="D220" s="644" t="s">
        <v>132</v>
      </c>
      <c r="E220" s="644"/>
      <c r="F220" s="644" t="s">
        <v>90</v>
      </c>
      <c r="G220" s="644"/>
      <c r="H220" s="645" t="s">
        <v>90</v>
      </c>
      <c r="I220" s="644"/>
      <c r="J220" s="644" t="s">
        <v>206</v>
      </c>
      <c r="K220" s="644"/>
      <c r="L220" s="644" t="s">
        <v>150</v>
      </c>
      <c r="M220" s="644"/>
      <c r="N220" s="645" t="s">
        <v>80</v>
      </c>
      <c r="O220" s="648"/>
      <c r="P220" s="644" t="s">
        <v>206</v>
      </c>
      <c r="Q220" s="666"/>
      <c r="R220" s="645" t="s">
        <v>90</v>
      </c>
      <c r="S220" s="666"/>
      <c r="T220" s="645" t="s">
        <v>108</v>
      </c>
      <c r="U220" s="666"/>
      <c r="V220" s="644" t="s">
        <v>147</v>
      </c>
      <c r="W220" s="666"/>
      <c r="X220" s="644" t="s">
        <v>147</v>
      </c>
      <c r="Y220" s="666"/>
      <c r="Z220" s="645" t="s">
        <v>80</v>
      </c>
      <c r="AA220" s="666"/>
      <c r="AB220" s="644" t="s">
        <v>206</v>
      </c>
      <c r="AC220" s="666"/>
      <c r="AD220" s="649"/>
      <c r="AE220" s="642"/>
      <c r="AF220" s="642"/>
      <c r="AG220" s="642"/>
    </row>
    <row r="221" spans="1:41" ht="27" customHeight="1">
      <c r="A221" s="438"/>
      <c r="B221" s="649"/>
      <c r="C221" s="649"/>
      <c r="D221" s="649"/>
      <c r="E221" s="649"/>
      <c r="F221" s="649"/>
      <c r="G221" s="649"/>
      <c r="H221" s="649"/>
      <c r="I221" s="649"/>
      <c r="J221" s="649"/>
      <c r="K221" s="649"/>
      <c r="L221" s="649"/>
      <c r="M221" s="649"/>
      <c r="N221" s="649"/>
      <c r="O221" s="649"/>
      <c r="P221" s="649"/>
      <c r="Q221" s="649"/>
      <c r="R221" s="1422" t="s">
        <v>1464</v>
      </c>
      <c r="S221" s="1422"/>
      <c r="T221" s="649"/>
      <c r="U221" s="649"/>
      <c r="V221" s="649"/>
      <c r="W221" s="649"/>
      <c r="X221" s="649"/>
      <c r="Y221" s="649"/>
      <c r="Z221" s="649"/>
      <c r="AA221" s="649"/>
      <c r="AB221" s="649"/>
      <c r="AC221" s="649"/>
      <c r="AD221" s="649"/>
      <c r="AE221" s="642"/>
      <c r="AF221" s="642"/>
      <c r="AG221" s="642"/>
    </row>
    <row r="222" spans="1:41" ht="27" customHeight="1">
      <c r="A222" s="886"/>
      <c r="B222" s="787"/>
      <c r="C222" s="787"/>
      <c r="D222" s="787"/>
      <c r="E222" s="787"/>
      <c r="F222" s="1404" t="s">
        <v>192</v>
      </c>
      <c r="G222" s="1404"/>
      <c r="H222" s="1404"/>
      <c r="I222" s="1404"/>
      <c r="J222" s="1404"/>
      <c r="K222" s="787"/>
      <c r="L222" s="681"/>
      <c r="M222" s="681"/>
      <c r="N222" s="707" t="s">
        <v>192</v>
      </c>
      <c r="O222" s="681"/>
      <c r="P222" s="681"/>
      <c r="Q222" s="681"/>
      <c r="R222" s="1404" t="s">
        <v>192</v>
      </c>
      <c r="S222" s="1404"/>
      <c r="T222" s="1404"/>
      <c r="U222" s="708"/>
      <c r="V222" s="708"/>
      <c r="W222" s="708"/>
      <c r="X222" s="708"/>
      <c r="Y222" s="708"/>
      <c r="Z222" s="1404" t="s">
        <v>192</v>
      </c>
      <c r="AA222" s="1404"/>
      <c r="AB222" s="1404"/>
      <c r="AC222" s="1404"/>
      <c r="AD222" s="708"/>
      <c r="AE222" s="708"/>
      <c r="AF222" s="708"/>
      <c r="AG222" s="707"/>
      <c r="AH222" s="707"/>
      <c r="AI222" s="817"/>
      <c r="AJ222" s="817"/>
      <c r="AK222" s="817"/>
      <c r="AL222" s="817"/>
    </row>
    <row r="223" spans="1:41" ht="54.45" customHeight="1">
      <c r="A223" s="1423" t="s">
        <v>407</v>
      </c>
      <c r="B223" s="1411"/>
      <c r="C223" s="1411" t="s">
        <v>1465</v>
      </c>
      <c r="D223" s="1411"/>
      <c r="E223" s="629"/>
      <c r="F223" s="1407" t="s">
        <v>1466</v>
      </c>
      <c r="G223" s="1407"/>
      <c r="H223" s="1424" t="s">
        <v>410</v>
      </c>
      <c r="I223" s="1424"/>
      <c r="J223" s="1407" t="s">
        <v>411</v>
      </c>
      <c r="K223" s="1407"/>
      <c r="L223" s="1407" t="s">
        <v>412</v>
      </c>
      <c r="M223" s="1407"/>
      <c r="N223" s="1407" t="s">
        <v>413</v>
      </c>
      <c r="O223" s="1407"/>
      <c r="P223" s="1407" t="s">
        <v>414</v>
      </c>
      <c r="Q223" s="1407"/>
      <c r="R223" s="1407" t="s">
        <v>415</v>
      </c>
      <c r="S223" s="1407"/>
      <c r="T223" s="1407" t="s">
        <v>416</v>
      </c>
      <c r="U223" s="1407"/>
      <c r="V223" s="1407" t="s">
        <v>692</v>
      </c>
      <c r="W223" s="1407"/>
      <c r="X223" s="725" t="s">
        <v>1467</v>
      </c>
      <c r="Y223" s="1411" t="s">
        <v>1468</v>
      </c>
      <c r="Z223" s="1411"/>
      <c r="AA223" s="666"/>
      <c r="AB223" s="1407" t="s">
        <v>421</v>
      </c>
      <c r="AC223" s="1407"/>
      <c r="AD223" s="666"/>
      <c r="AE223" s="669"/>
      <c r="AF223" s="669"/>
      <c r="AG223" s="669"/>
      <c r="AH223" s="666"/>
      <c r="AI223" s="666"/>
      <c r="AJ223" s="666"/>
      <c r="AK223" s="666"/>
      <c r="AL223" s="666"/>
    </row>
    <row r="224" spans="1:41" ht="33.6">
      <c r="A224" s="438"/>
      <c r="B224" s="658"/>
      <c r="C224" s="648"/>
      <c r="D224" s="658"/>
      <c r="E224" s="648"/>
      <c r="F224" s="658"/>
      <c r="G224" s="648"/>
      <c r="H224" s="658"/>
      <c r="I224" s="648"/>
      <c r="J224" s="658"/>
      <c r="K224" s="648"/>
      <c r="L224" s="658"/>
      <c r="M224" s="648"/>
      <c r="N224" s="658"/>
      <c r="O224" s="648"/>
      <c r="P224" s="658"/>
      <c r="Q224" s="666"/>
      <c r="R224" s="658"/>
      <c r="S224" s="648"/>
      <c r="T224" s="658"/>
      <c r="U224" s="648"/>
      <c r="V224" s="658"/>
      <c r="W224" s="648"/>
      <c r="X224" s="658"/>
      <c r="Y224" s="648"/>
      <c r="Z224" s="658"/>
      <c r="AA224" s="648"/>
      <c r="AB224" s="658"/>
      <c r="AC224" s="666"/>
      <c r="AD224" s="666"/>
      <c r="AE224" s="669"/>
      <c r="AF224" s="669"/>
      <c r="AG224" s="669"/>
      <c r="AH224" s="666"/>
      <c r="AI224" s="666"/>
      <c r="AJ224" s="666"/>
      <c r="AK224" s="666"/>
      <c r="AL224" s="666"/>
    </row>
    <row r="225" spans="1:41" ht="16.5" customHeight="1" thickBot="1">
      <c r="A225" s="438"/>
      <c r="B225" s="660"/>
      <c r="C225" s="648"/>
      <c r="D225" s="660"/>
      <c r="E225" s="648"/>
      <c r="F225" s="660"/>
      <c r="G225" s="648"/>
      <c r="H225" s="660"/>
      <c r="I225" s="648"/>
      <c r="J225" s="660"/>
      <c r="K225" s="648"/>
      <c r="L225" s="660"/>
      <c r="M225" s="648"/>
      <c r="N225" s="660"/>
      <c r="O225" s="648"/>
      <c r="P225" s="660"/>
      <c r="Q225" s="666"/>
      <c r="R225" s="660"/>
      <c r="S225" s="648"/>
      <c r="T225" s="660"/>
      <c r="U225" s="648"/>
      <c r="V225" s="660"/>
      <c r="W225" s="648"/>
      <c r="X225" s="660"/>
      <c r="Y225" s="648"/>
      <c r="Z225" s="660"/>
      <c r="AA225" s="648"/>
      <c r="AB225" s="660"/>
      <c r="AC225" s="666"/>
      <c r="AD225" s="666"/>
      <c r="AE225" s="669"/>
      <c r="AF225" s="669"/>
      <c r="AG225" s="669"/>
      <c r="AH225" s="666"/>
      <c r="AI225" s="666"/>
      <c r="AJ225" s="666"/>
      <c r="AK225" s="666"/>
      <c r="AL225" s="666"/>
    </row>
    <row r="226" spans="1:41" ht="100.05" customHeight="1" thickBot="1">
      <c r="A226" s="438"/>
      <c r="B226" s="637"/>
      <c r="C226" s="653">
        <v>233.29</v>
      </c>
      <c r="D226" s="637"/>
      <c r="E226" s="653">
        <v>467.19</v>
      </c>
      <c r="F226" s="878" t="s">
        <v>1582</v>
      </c>
      <c r="G226" s="653">
        <v>423.02</v>
      </c>
      <c r="H226" s="679"/>
      <c r="I226" s="653">
        <v>248.69</v>
      </c>
      <c r="J226" s="679"/>
      <c r="K226" s="653">
        <v>282.02999999999997</v>
      </c>
      <c r="L226" s="679"/>
      <c r="M226" s="653">
        <v>398</v>
      </c>
      <c r="N226" s="679"/>
      <c r="O226" s="653">
        <v>370.48</v>
      </c>
      <c r="P226" s="679"/>
      <c r="Q226" s="653">
        <v>437.33</v>
      </c>
      <c r="R226" s="713"/>
      <c r="S226" s="690">
        <v>435</v>
      </c>
      <c r="T226" s="879" t="s">
        <v>1582</v>
      </c>
      <c r="U226" s="690">
        <v>406.62</v>
      </c>
      <c r="V226" s="723"/>
      <c r="W226" s="690"/>
      <c r="X226" s="879" t="s">
        <v>1583</v>
      </c>
      <c r="Y226" s="690">
        <v>440.63</v>
      </c>
      <c r="Z226" s="679"/>
      <c r="AA226" s="653">
        <v>410.34</v>
      </c>
      <c r="AB226" s="679"/>
      <c r="AC226" s="653">
        <v>444.33</v>
      </c>
      <c r="AD226" s="666"/>
      <c r="AE226" s="669"/>
      <c r="AF226" s="669"/>
      <c r="AG226" s="669"/>
      <c r="AH226" s="666"/>
      <c r="AI226" s="666"/>
      <c r="AJ226" s="666"/>
      <c r="AK226" s="666"/>
      <c r="AL226" s="666"/>
      <c r="AM226" s="809">
        <f>COUNTIF(B226:AB226,"U/P")</f>
        <v>0</v>
      </c>
      <c r="AN226" s="809">
        <f>COUNTIF(C226:AC226,"ROW")</f>
        <v>0</v>
      </c>
      <c r="AO226" s="809">
        <f>COUNTIF(D226:AD226,"C")</f>
        <v>0</v>
      </c>
    </row>
    <row r="227" spans="1:41" ht="16.5" customHeight="1" thickBot="1">
      <c r="A227" s="438"/>
      <c r="B227" s="656"/>
      <c r="C227" s="666"/>
      <c r="D227" s="656"/>
      <c r="E227" s="666"/>
      <c r="F227" s="656"/>
      <c r="G227" s="666"/>
      <c r="H227" s="656"/>
      <c r="I227" s="666"/>
      <c r="J227" s="656"/>
      <c r="K227" s="666"/>
      <c r="L227" s="656"/>
      <c r="M227" s="666"/>
      <c r="N227" s="656"/>
      <c r="O227" s="666"/>
      <c r="P227" s="656"/>
      <c r="Q227" s="666"/>
      <c r="R227" s="656"/>
      <c r="S227" s="666"/>
      <c r="T227" s="656"/>
      <c r="U227" s="666"/>
      <c r="V227" s="656"/>
      <c r="W227" s="666"/>
      <c r="X227" s="656"/>
      <c r="Y227" s="666"/>
      <c r="Z227" s="656"/>
      <c r="AA227" s="666"/>
      <c r="AB227" s="656"/>
      <c r="AC227" s="666"/>
      <c r="AD227" s="666"/>
      <c r="AE227" s="669"/>
      <c r="AF227" s="669"/>
      <c r="AG227" s="669"/>
      <c r="AH227" s="666"/>
      <c r="AI227" s="666"/>
      <c r="AJ227" s="666"/>
      <c r="AK227" s="666"/>
      <c r="AL227" s="666"/>
    </row>
    <row r="228" spans="1:41" ht="33.6">
      <c r="A228" s="438"/>
      <c r="B228" s="645" t="s">
        <v>90</v>
      </c>
      <c r="C228" s="644"/>
      <c r="D228" s="645" t="s">
        <v>88</v>
      </c>
      <c r="E228" s="644"/>
      <c r="F228" s="645" t="s">
        <v>97</v>
      </c>
      <c r="G228" s="644"/>
      <c r="H228" s="644" t="s">
        <v>147</v>
      </c>
      <c r="I228" s="644"/>
      <c r="J228" s="644" t="s">
        <v>147</v>
      </c>
      <c r="K228" s="644"/>
      <c r="L228" s="645" t="s">
        <v>90</v>
      </c>
      <c r="M228" s="644"/>
      <c r="N228" s="644" t="s">
        <v>150</v>
      </c>
      <c r="O228" s="648"/>
      <c r="P228" s="645" t="s">
        <v>93</v>
      </c>
      <c r="Q228" s="666"/>
      <c r="R228" s="645" t="s">
        <v>108</v>
      </c>
      <c r="S228" s="666"/>
      <c r="T228" s="644" t="s">
        <v>212</v>
      </c>
      <c r="U228" s="666"/>
      <c r="V228" s="645" t="s">
        <v>80</v>
      </c>
      <c r="W228" s="666"/>
      <c r="X228" s="645" t="s">
        <v>102</v>
      </c>
      <c r="Y228" s="666"/>
      <c r="Z228" s="645" t="s">
        <v>132</v>
      </c>
      <c r="AA228" s="666"/>
      <c r="AB228" s="645" t="s">
        <v>80</v>
      </c>
      <c r="AC228" s="666"/>
      <c r="AD228" s="666"/>
      <c r="AE228" s="669"/>
      <c r="AF228" s="669"/>
      <c r="AG228" s="669"/>
      <c r="AH228" s="666"/>
      <c r="AI228" s="666"/>
      <c r="AJ228" s="666"/>
      <c r="AK228" s="666"/>
      <c r="AL228" s="666"/>
    </row>
    <row r="229" spans="1:41" ht="33.6">
      <c r="B229" s="644"/>
      <c r="C229" s="644"/>
      <c r="D229" s="726" t="s">
        <v>1541</v>
      </c>
      <c r="E229" s="644"/>
      <c r="F229" s="726" t="s">
        <v>1541</v>
      </c>
      <c r="G229" s="644"/>
      <c r="H229" s="644"/>
      <c r="I229" s="644"/>
      <c r="J229" s="644"/>
      <c r="K229" s="644"/>
      <c r="L229" s="644"/>
      <c r="M229" s="644"/>
      <c r="N229" s="644"/>
      <c r="O229" s="648"/>
      <c r="P229" s="644"/>
      <c r="Q229" s="666"/>
      <c r="R229" s="644"/>
      <c r="S229" s="666"/>
      <c r="T229" s="644"/>
      <c r="U229" s="666"/>
      <c r="V229" s="726" t="s">
        <v>1534</v>
      </c>
      <c r="W229" s="666"/>
      <c r="X229" s="644"/>
      <c r="Y229" s="666"/>
      <c r="Z229" s="644"/>
      <c r="AA229" s="666"/>
      <c r="AB229" s="644"/>
      <c r="AC229" s="666"/>
      <c r="AD229" s="666"/>
      <c r="AE229" s="669"/>
      <c r="AF229" s="669"/>
      <c r="AG229" s="669"/>
      <c r="AH229" s="666"/>
      <c r="AI229" s="666"/>
      <c r="AJ229" s="666"/>
      <c r="AK229" s="666"/>
      <c r="AL229" s="666"/>
    </row>
    <row r="230" spans="1:41" ht="31.05" customHeight="1">
      <c r="A230" s="1403" t="s">
        <v>1453</v>
      </c>
      <c r="B230" s="1404"/>
      <c r="C230" s="1404"/>
      <c r="D230" s="1404"/>
      <c r="E230" s="1404"/>
      <c r="F230" s="1404"/>
      <c r="G230" s="1404"/>
      <c r="H230" s="1425"/>
      <c r="I230" s="1425"/>
      <c r="J230" s="1425"/>
      <c r="K230" s="1425"/>
      <c r="L230" s="1425"/>
      <c r="M230" s="1425"/>
      <c r="N230" s="1425"/>
      <c r="O230" s="1425"/>
      <c r="P230" s="1426"/>
      <c r="Q230" s="1394" t="s">
        <v>1453</v>
      </c>
      <c r="R230" s="1395"/>
      <c r="S230" s="1395"/>
      <c r="T230" s="1395"/>
      <c r="U230" s="1395"/>
      <c r="V230" s="1395"/>
      <c r="W230" s="1395"/>
      <c r="X230" s="1395"/>
      <c r="Y230" s="1427"/>
      <c r="Z230" s="1427"/>
      <c r="AA230" s="1427"/>
      <c r="AB230" s="1427"/>
      <c r="AC230" s="1427"/>
      <c r="AD230" s="1427"/>
      <c r="AE230" s="889"/>
      <c r="AF230" s="888"/>
      <c r="AG230" s="887"/>
      <c r="AH230" s="808"/>
      <c r="AI230" s="817"/>
      <c r="AJ230" s="817"/>
      <c r="AK230" s="817"/>
      <c r="AL230" s="817"/>
    </row>
    <row r="231" spans="1:41" ht="22.5" customHeight="1">
      <c r="B231" s="649"/>
      <c r="C231" s="649"/>
      <c r="D231" s="649"/>
      <c r="E231" s="649"/>
      <c r="F231" s="649"/>
      <c r="G231" s="649"/>
      <c r="H231" s="649"/>
      <c r="I231" s="649"/>
      <c r="J231" s="649"/>
      <c r="K231" s="649"/>
      <c r="L231" s="649"/>
      <c r="M231" s="649"/>
      <c r="N231" s="649"/>
      <c r="O231" s="649"/>
      <c r="P231" s="649"/>
      <c r="Q231" s="649"/>
      <c r="R231" s="649"/>
      <c r="S231" s="649"/>
      <c r="T231" s="649"/>
      <c r="U231" s="649"/>
      <c r="V231" s="649"/>
      <c r="W231" s="649"/>
      <c r="X231" s="649"/>
      <c r="Y231" s="649"/>
      <c r="Z231" s="649"/>
      <c r="AA231" s="649"/>
      <c r="AB231" s="649"/>
      <c r="AC231" s="649"/>
      <c r="AD231" s="649"/>
      <c r="AE231" s="632"/>
      <c r="AF231" s="632"/>
      <c r="AG231" s="632"/>
    </row>
    <row r="232" spans="1:41" ht="36.450000000000003" customHeight="1">
      <c r="A232" s="1411" t="s">
        <v>422</v>
      </c>
      <c r="B232" s="1411"/>
      <c r="C232" s="666"/>
      <c r="D232" s="1407" t="s">
        <v>423</v>
      </c>
      <c r="E232" s="1407"/>
      <c r="F232" s="1407" t="s">
        <v>424</v>
      </c>
      <c r="G232" s="1407"/>
      <c r="H232" s="1407" t="s">
        <v>1469</v>
      </c>
      <c r="I232" s="1407"/>
      <c r="J232" s="1407" t="s">
        <v>426</v>
      </c>
      <c r="K232" s="1407"/>
      <c r="L232" s="1407" t="s">
        <v>427</v>
      </c>
      <c r="M232" s="1407"/>
      <c r="N232" s="1407" t="s">
        <v>428</v>
      </c>
      <c r="O232" s="1407"/>
      <c r="P232" s="1407" t="s">
        <v>429</v>
      </c>
      <c r="Q232" s="1407"/>
      <c r="R232" s="1407" t="s">
        <v>431</v>
      </c>
      <c r="S232" s="1407"/>
      <c r="T232" s="1407" t="s">
        <v>432</v>
      </c>
      <c r="U232" s="1407"/>
      <c r="V232" s="1407" t="s">
        <v>433</v>
      </c>
      <c r="W232" s="1407"/>
      <c r="X232" s="1407" t="s">
        <v>434</v>
      </c>
      <c r="Y232" s="1407"/>
      <c r="Z232" s="1407" t="s">
        <v>435</v>
      </c>
      <c r="AA232" s="1407"/>
      <c r="AB232" s="1407" t="s">
        <v>436</v>
      </c>
      <c r="AC232" s="1407"/>
      <c r="AD232" s="666"/>
      <c r="AE232" s="632"/>
      <c r="AF232" s="632"/>
      <c r="AG232" s="632"/>
    </row>
    <row r="233" spans="1:41" ht="33.6">
      <c r="A233" s="438"/>
      <c r="B233" s="658"/>
      <c r="C233" s="648"/>
      <c r="D233" s="658"/>
      <c r="E233" s="648"/>
      <c r="F233" s="658"/>
      <c r="G233" s="648"/>
      <c r="H233" s="658"/>
      <c r="I233" s="648"/>
      <c r="J233" s="658"/>
      <c r="K233" s="648"/>
      <c r="L233" s="658"/>
      <c r="M233" s="648"/>
      <c r="N233" s="658"/>
      <c r="O233" s="648"/>
      <c r="P233" s="658"/>
      <c r="Q233" s="666"/>
      <c r="R233" s="658"/>
      <c r="S233" s="648"/>
      <c r="T233" s="658"/>
      <c r="U233" s="648"/>
      <c r="V233" s="658"/>
      <c r="W233" s="648"/>
      <c r="X233" s="658"/>
      <c r="Y233" s="648"/>
      <c r="Z233" s="658"/>
      <c r="AA233" s="648"/>
      <c r="AB233" s="658"/>
      <c r="AC233" s="666"/>
      <c r="AD233" s="666"/>
      <c r="AE233" s="642"/>
      <c r="AF233" s="642"/>
      <c r="AG233" s="642"/>
    </row>
    <row r="234" spans="1:41" ht="16.5" customHeight="1" thickBot="1">
      <c r="A234" s="438"/>
      <c r="B234" s="660"/>
      <c r="C234" s="648"/>
      <c r="D234" s="660"/>
      <c r="E234" s="648"/>
      <c r="F234" s="660"/>
      <c r="G234" s="648"/>
      <c r="H234" s="660"/>
      <c r="I234" s="648"/>
      <c r="J234" s="660"/>
      <c r="K234" s="648"/>
      <c r="L234" s="660"/>
      <c r="M234" s="648"/>
      <c r="N234" s="660"/>
      <c r="O234" s="648"/>
      <c r="P234" s="660"/>
      <c r="Q234" s="666"/>
      <c r="R234" s="660"/>
      <c r="S234" s="648"/>
      <c r="T234" s="660"/>
      <c r="U234" s="648"/>
      <c r="V234" s="660"/>
      <c r="W234" s="648"/>
      <c r="X234" s="660"/>
      <c r="Y234" s="648"/>
      <c r="Z234" s="660"/>
      <c r="AA234" s="648"/>
      <c r="AB234" s="660"/>
      <c r="AC234" s="666"/>
      <c r="AD234" s="666"/>
      <c r="AE234" s="642"/>
      <c r="AF234" s="642"/>
      <c r="AG234" s="642"/>
    </row>
    <row r="235" spans="1:41" ht="100.05" customHeight="1" thickBot="1">
      <c r="A235" s="438"/>
      <c r="B235" s="709"/>
      <c r="C235" s="653">
        <v>189.81</v>
      </c>
      <c r="D235" s="679"/>
      <c r="E235" s="653">
        <v>157.88</v>
      </c>
      <c r="F235" s="878" t="s">
        <v>1584</v>
      </c>
      <c r="G235" s="653">
        <v>200.69</v>
      </c>
      <c r="H235" s="679"/>
      <c r="I235" s="653">
        <v>165.49</v>
      </c>
      <c r="J235" s="679"/>
      <c r="K235" s="653">
        <v>403.86</v>
      </c>
      <c r="L235" s="679"/>
      <c r="M235" s="653">
        <v>434.79</v>
      </c>
      <c r="N235" s="679"/>
      <c r="O235" s="690">
        <v>425.38</v>
      </c>
      <c r="P235" s="679"/>
      <c r="Q235" s="690">
        <v>441.35</v>
      </c>
      <c r="R235" s="679"/>
      <c r="S235" s="690">
        <v>357.54</v>
      </c>
      <c r="T235" s="679"/>
      <c r="U235" s="690">
        <v>438.29</v>
      </c>
      <c r="V235" s="879" t="s">
        <v>1583</v>
      </c>
      <c r="W235" s="690">
        <v>430</v>
      </c>
      <c r="X235" s="723"/>
      <c r="Y235" s="690">
        <v>410</v>
      </c>
      <c r="Z235" s="723"/>
      <c r="AA235" s="690">
        <v>439.98</v>
      </c>
      <c r="AB235" s="879" t="s">
        <v>1583</v>
      </c>
      <c r="AC235" s="653">
        <v>424.44</v>
      </c>
      <c r="AD235" s="666"/>
      <c r="AE235" s="642"/>
      <c r="AF235" s="642"/>
      <c r="AG235" s="642"/>
      <c r="AM235" s="809">
        <f>COUNTIF(B235:AB235,"U/P")</f>
        <v>0</v>
      </c>
      <c r="AN235" s="809">
        <f>COUNTIF(C235:AC235,"ROW")</f>
        <v>0</v>
      </c>
      <c r="AO235" s="809">
        <f>COUNTIF(D235:AD235,"C")</f>
        <v>0</v>
      </c>
    </row>
    <row r="236" spans="1:41" ht="16.5" customHeight="1" thickBot="1">
      <c r="A236" s="438"/>
      <c r="B236" s="656"/>
      <c r="C236" s="666"/>
      <c r="D236" s="656"/>
      <c r="E236" s="666"/>
      <c r="F236" s="656"/>
      <c r="G236" s="666"/>
      <c r="H236" s="656"/>
      <c r="I236" s="666"/>
      <c r="J236" s="656"/>
      <c r="K236" s="666"/>
      <c r="L236" s="656"/>
      <c r="M236" s="666"/>
      <c r="N236" s="656"/>
      <c r="O236" s="666"/>
      <c r="P236" s="656"/>
      <c r="Q236" s="666"/>
      <c r="R236" s="656"/>
      <c r="S236" s="666"/>
      <c r="T236" s="656"/>
      <c r="U236" s="666"/>
      <c r="V236" s="656"/>
      <c r="W236" s="666"/>
      <c r="X236" s="656"/>
      <c r="Y236" s="666"/>
      <c r="Z236" s="656"/>
      <c r="AA236" s="666"/>
      <c r="AB236" s="656"/>
      <c r="AC236" s="666"/>
      <c r="AD236" s="666"/>
      <c r="AE236" s="642"/>
      <c r="AF236" s="642"/>
      <c r="AG236" s="642"/>
    </row>
    <row r="237" spans="1:41" ht="33.6">
      <c r="A237" s="438"/>
      <c r="B237" s="645" t="s">
        <v>97</v>
      </c>
      <c r="C237" s="644"/>
      <c r="D237" s="645" t="s">
        <v>88</v>
      </c>
      <c r="E237" s="644"/>
      <c r="F237" s="645" t="s">
        <v>90</v>
      </c>
      <c r="G237" s="644"/>
      <c r="H237" s="645" t="s">
        <v>80</v>
      </c>
      <c r="I237" s="644"/>
      <c r="J237" s="645" t="s">
        <v>80</v>
      </c>
      <c r="K237" s="644"/>
      <c r="L237" s="644" t="s">
        <v>212</v>
      </c>
      <c r="M237" s="644"/>
      <c r="N237" s="645" t="s">
        <v>80</v>
      </c>
      <c r="O237" s="648"/>
      <c r="P237" s="645" t="s">
        <v>97</v>
      </c>
      <c r="Q237" s="666"/>
      <c r="R237" s="645" t="s">
        <v>90</v>
      </c>
      <c r="S237" s="666"/>
      <c r="T237" s="644" t="s">
        <v>147</v>
      </c>
      <c r="U237" s="666"/>
      <c r="V237" s="645" t="s">
        <v>90</v>
      </c>
      <c r="W237" s="666"/>
      <c r="X237" s="644" t="s">
        <v>150</v>
      </c>
      <c r="Y237" s="666"/>
      <c r="Z237" s="645" t="s">
        <v>97</v>
      </c>
      <c r="AA237" s="666"/>
      <c r="AB237" s="645" t="s">
        <v>102</v>
      </c>
      <c r="AC237" s="666"/>
      <c r="AD237" s="666"/>
      <c r="AE237" s="642"/>
      <c r="AF237" s="642"/>
      <c r="AG237" s="642"/>
    </row>
    <row r="238" spans="1:41" ht="33.6">
      <c r="B238" s="728" t="s">
        <v>1459</v>
      </c>
      <c r="C238" s="683"/>
      <c r="D238" s="631"/>
      <c r="E238" s="683"/>
      <c r="F238" s="683"/>
      <c r="G238" s="683"/>
      <c r="H238" s="683"/>
      <c r="I238" s="683"/>
      <c r="J238" s="683"/>
      <c r="K238" s="683"/>
      <c r="L238" s="683"/>
      <c r="M238" s="683"/>
      <c r="N238" s="728" t="s">
        <v>1538</v>
      </c>
      <c r="O238" s="648"/>
      <c r="P238" s="644"/>
      <c r="Q238" s="666"/>
      <c r="R238" s="644"/>
      <c r="S238" s="726" t="s">
        <v>1528</v>
      </c>
      <c r="T238" s="726"/>
      <c r="U238" s="666"/>
      <c r="V238" s="644"/>
      <c r="W238" s="666"/>
      <c r="X238" s="644"/>
      <c r="Y238" s="666"/>
      <c r="Z238" s="644"/>
      <c r="AA238" s="666"/>
      <c r="AB238" s="644"/>
      <c r="AC238" s="666"/>
      <c r="AD238" s="666"/>
      <c r="AE238" s="642"/>
      <c r="AF238" s="642"/>
      <c r="AG238" s="642"/>
    </row>
    <row r="239" spans="1:41" ht="40.950000000000003" customHeight="1">
      <c r="A239" s="708"/>
      <c r="B239" s="708"/>
      <c r="C239" s="708"/>
      <c r="D239" s="708"/>
      <c r="E239" s="708"/>
      <c r="F239" s="707" t="s">
        <v>192</v>
      </c>
      <c r="G239" s="708"/>
      <c r="H239" s="681"/>
      <c r="I239" s="681"/>
      <c r="J239" s="681"/>
      <c r="K239" s="681"/>
      <c r="L239" s="681"/>
      <c r="M239" s="681"/>
      <c r="N239" s="708"/>
      <c r="O239" s="708"/>
      <c r="P239" s="708"/>
      <c r="Q239" s="708"/>
      <c r="R239" s="708"/>
      <c r="S239" s="708"/>
      <c r="T239" s="708"/>
      <c r="U239" s="708"/>
      <c r="V239" s="1395" t="s">
        <v>192</v>
      </c>
      <c r="W239" s="1395"/>
      <c r="X239" s="1395"/>
      <c r="Y239" s="1395"/>
      <c r="Z239" s="1395"/>
      <c r="AA239" s="1395"/>
      <c r="AB239" s="1395"/>
      <c r="AC239" s="1427"/>
      <c r="AD239" s="1427"/>
      <c r="AE239" s="1427"/>
      <c r="AF239" s="1427"/>
      <c r="AG239" s="890"/>
      <c r="AH239" s="808"/>
      <c r="AI239" s="817"/>
      <c r="AJ239" s="817"/>
      <c r="AK239" s="817"/>
      <c r="AL239" s="817"/>
    </row>
    <row r="240" spans="1:41" ht="22.95" customHeight="1">
      <c r="B240" s="649"/>
      <c r="C240" s="649"/>
      <c r="D240" s="649"/>
      <c r="E240" s="649"/>
      <c r="F240" s="649"/>
      <c r="G240" s="649"/>
      <c r="H240" s="649"/>
      <c r="I240" s="649"/>
      <c r="J240" s="649"/>
      <c r="K240" s="649"/>
      <c r="L240" s="649"/>
      <c r="M240" s="649"/>
      <c r="N240" s="649"/>
      <c r="O240" s="649"/>
      <c r="P240" s="649"/>
      <c r="Q240" s="649"/>
      <c r="R240" s="649"/>
      <c r="S240" s="649"/>
      <c r="T240" s="649"/>
      <c r="U240" s="649"/>
      <c r="V240" s="649"/>
      <c r="W240" s="649"/>
      <c r="X240" s="649"/>
      <c r="Y240" s="649"/>
      <c r="Z240" s="649"/>
      <c r="AA240" s="649"/>
      <c r="AB240" s="649"/>
      <c r="AC240" s="649"/>
      <c r="AD240" s="649"/>
      <c r="AE240" s="632"/>
      <c r="AF240" s="632"/>
      <c r="AG240" s="632"/>
    </row>
    <row r="241" spans="1:41" ht="30.45" customHeight="1">
      <c r="A241" s="1411" t="s">
        <v>437</v>
      </c>
      <c r="B241" s="1411"/>
      <c r="C241" s="729"/>
      <c r="D241" s="1407" t="s">
        <v>438</v>
      </c>
      <c r="E241" s="1407"/>
      <c r="F241" s="1407" t="s">
        <v>439</v>
      </c>
      <c r="G241" s="1407"/>
      <c r="H241" s="1407" t="s">
        <v>440</v>
      </c>
      <c r="I241" s="1407"/>
      <c r="J241" s="630" t="s">
        <v>441</v>
      </c>
      <c r="K241" s="1411" t="s">
        <v>442</v>
      </c>
      <c r="L241" s="1411"/>
      <c r="M241" s="631" t="s">
        <v>1447</v>
      </c>
      <c r="N241" s="1407" t="s">
        <v>697</v>
      </c>
      <c r="O241" s="1407"/>
      <c r="P241" s="1407" t="s">
        <v>698</v>
      </c>
      <c r="Q241" s="1407"/>
      <c r="R241" s="1407" t="s">
        <v>699</v>
      </c>
      <c r="S241" s="1407"/>
      <c r="T241" s="1407" t="s">
        <v>700</v>
      </c>
      <c r="U241" s="1407"/>
      <c r="V241" s="1407" t="s">
        <v>701</v>
      </c>
      <c r="W241" s="1407"/>
      <c r="X241" s="1407" t="s">
        <v>702</v>
      </c>
      <c r="Y241" s="1407"/>
      <c r="Z241" s="1407" t="s">
        <v>703</v>
      </c>
      <c r="AA241" s="1407"/>
      <c r="AB241" s="1407" t="s">
        <v>704</v>
      </c>
      <c r="AC241" s="1407"/>
      <c r="AD241" s="649"/>
      <c r="AE241" s="632"/>
      <c r="AF241" s="632"/>
      <c r="AG241" s="632"/>
    </row>
    <row r="242" spans="1:41" ht="33.6">
      <c r="A242" s="438"/>
      <c r="B242" s="658"/>
      <c r="C242" s="648"/>
      <c r="D242" s="658"/>
      <c r="E242" s="648"/>
      <c r="F242" s="658"/>
      <c r="G242" s="648"/>
      <c r="H242" s="658"/>
      <c r="I242" s="648"/>
      <c r="J242" s="658"/>
      <c r="K242" s="648"/>
      <c r="L242" s="658"/>
      <c r="M242" s="648"/>
      <c r="N242" s="658"/>
      <c r="O242" s="648"/>
      <c r="P242" s="658"/>
      <c r="Q242" s="666"/>
      <c r="R242" s="658"/>
      <c r="S242" s="648"/>
      <c r="T242" s="658"/>
      <c r="U242" s="648"/>
      <c r="V242" s="658"/>
      <c r="W242" s="648"/>
      <c r="X242" s="658"/>
      <c r="Y242" s="648"/>
      <c r="Z242" s="658"/>
      <c r="AA242" s="648"/>
      <c r="AB242" s="658"/>
      <c r="AC242" s="649"/>
      <c r="AD242" s="649"/>
      <c r="AE242" s="642"/>
      <c r="AF242" s="642"/>
      <c r="AG242" s="642"/>
    </row>
    <row r="243" spans="1:41" ht="16.5" customHeight="1" thickBot="1">
      <c r="A243" s="438"/>
      <c r="B243" s="660"/>
      <c r="C243" s="648"/>
      <c r="D243" s="660"/>
      <c r="E243" s="648"/>
      <c r="F243" s="660"/>
      <c r="G243" s="648"/>
      <c r="H243" s="660"/>
      <c r="I243" s="648"/>
      <c r="J243" s="660"/>
      <c r="K243" s="648"/>
      <c r="L243" s="660"/>
      <c r="M243" s="648"/>
      <c r="N243" s="660"/>
      <c r="O243" s="648"/>
      <c r="P243" s="660"/>
      <c r="Q243" s="666"/>
      <c r="R243" s="660"/>
      <c r="S243" s="648"/>
      <c r="T243" s="660"/>
      <c r="U243" s="648"/>
      <c r="V243" s="660"/>
      <c r="W243" s="648"/>
      <c r="X243" s="660"/>
      <c r="Y243" s="648"/>
      <c r="Z243" s="660"/>
      <c r="AA243" s="648"/>
      <c r="AB243" s="660"/>
      <c r="AC243" s="649"/>
      <c r="AD243" s="649"/>
      <c r="AE243" s="642"/>
      <c r="AF243" s="642"/>
      <c r="AG243" s="642"/>
    </row>
    <row r="244" spans="1:41" ht="100.05" customHeight="1" thickBot="1">
      <c r="A244" s="438"/>
      <c r="B244" s="679"/>
      <c r="C244" s="653">
        <v>439</v>
      </c>
      <c r="D244" s="679"/>
      <c r="E244" s="716">
        <v>395</v>
      </c>
      <c r="F244" s="679"/>
      <c r="G244" s="716">
        <v>401.11</v>
      </c>
      <c r="H244" s="637" t="s">
        <v>192</v>
      </c>
      <c r="I244" s="653">
        <v>413</v>
      </c>
      <c r="J244" s="679"/>
      <c r="K244" s="653">
        <v>402.25</v>
      </c>
      <c r="L244" s="637"/>
      <c r="M244" s="653">
        <v>250.69</v>
      </c>
      <c r="N244" s="713"/>
      <c r="O244" s="690">
        <v>425.61</v>
      </c>
      <c r="P244" s="879" t="s">
        <v>1583</v>
      </c>
      <c r="Q244" s="690">
        <v>381.68</v>
      </c>
      <c r="R244" s="879" t="s">
        <v>1583</v>
      </c>
      <c r="S244" s="690">
        <v>351.87</v>
      </c>
      <c r="T244" s="679"/>
      <c r="U244" s="690">
        <v>419.36</v>
      </c>
      <c r="V244" s="879" t="s">
        <v>1583</v>
      </c>
      <c r="W244" s="653">
        <v>421.74</v>
      </c>
      <c r="X244" s="679"/>
      <c r="Y244" s="653">
        <v>403</v>
      </c>
      <c r="Z244" s="679"/>
      <c r="AA244" s="653">
        <v>355</v>
      </c>
      <c r="AB244" s="679"/>
      <c r="AC244" s="654">
        <v>355</v>
      </c>
      <c r="AD244" s="649"/>
      <c r="AE244" s="642"/>
      <c r="AF244" s="642"/>
      <c r="AG244" s="642"/>
      <c r="AM244" s="809">
        <f>COUNTIF(B244:AB244,"U/P")</f>
        <v>0</v>
      </c>
      <c r="AN244" s="809">
        <f>COUNTIF(C244:AC244,"ROW")</f>
        <v>1</v>
      </c>
      <c r="AO244" s="809">
        <f>COUNTIF(D244:AD244,"C")</f>
        <v>0</v>
      </c>
    </row>
    <row r="245" spans="1:41" ht="16.5" customHeight="1" thickBot="1">
      <c r="A245" s="438"/>
      <c r="B245" s="730"/>
      <c r="C245" s="666"/>
      <c r="D245" s="656"/>
      <c r="E245" s="666"/>
      <c r="F245" s="656"/>
      <c r="G245" s="666"/>
      <c r="H245" s="656"/>
      <c r="I245" s="666"/>
      <c r="J245" s="656"/>
      <c r="K245" s="666"/>
      <c r="L245" s="656"/>
      <c r="M245" s="666"/>
      <c r="N245" s="656"/>
      <c r="O245" s="666"/>
      <c r="P245" s="731"/>
      <c r="Q245" s="666"/>
      <c r="R245" s="731"/>
      <c r="S245" s="666"/>
      <c r="T245" s="731"/>
      <c r="U245" s="666"/>
      <c r="V245" s="656"/>
      <c r="W245" s="666"/>
      <c r="X245" s="656"/>
      <c r="Y245" s="666"/>
      <c r="Z245" s="656"/>
      <c r="AA245" s="666"/>
      <c r="AB245" s="656"/>
      <c r="AC245" s="649"/>
      <c r="AD245" s="649"/>
      <c r="AE245" s="642"/>
      <c r="AF245" s="642"/>
      <c r="AG245" s="642"/>
    </row>
    <row r="246" spans="1:41" ht="31.95" customHeight="1">
      <c r="A246" s="438"/>
      <c r="B246" s="645" t="s">
        <v>108</v>
      </c>
      <c r="C246" s="644"/>
      <c r="D246" s="644" t="s">
        <v>150</v>
      </c>
      <c r="E246" s="644"/>
      <c r="F246" s="644" t="s">
        <v>150</v>
      </c>
      <c r="G246" s="644"/>
      <c r="H246" s="645" t="s">
        <v>80</v>
      </c>
      <c r="I246" s="644"/>
      <c r="J246" s="644" t="s">
        <v>206</v>
      </c>
      <c r="K246" s="644"/>
      <c r="L246" s="645" t="s">
        <v>90</v>
      </c>
      <c r="M246" s="644"/>
      <c r="N246" s="645" t="s">
        <v>93</v>
      </c>
      <c r="O246" s="648"/>
      <c r="P246" s="644" t="s">
        <v>150</v>
      </c>
      <c r="Q246" s="666"/>
      <c r="R246" s="644" t="s">
        <v>150</v>
      </c>
      <c r="S246" s="666"/>
      <c r="T246" s="645" t="s">
        <v>80</v>
      </c>
      <c r="U246" s="666"/>
      <c r="V246" s="645" t="s">
        <v>102</v>
      </c>
      <c r="W246" s="666"/>
      <c r="X246" s="645" t="s">
        <v>102</v>
      </c>
      <c r="Y246" s="666"/>
      <c r="Z246" s="644" t="s">
        <v>147</v>
      </c>
      <c r="AA246" s="666"/>
      <c r="AB246" s="644" t="s">
        <v>147</v>
      </c>
      <c r="AC246" s="649"/>
      <c r="AD246" s="649"/>
      <c r="AE246" s="642"/>
      <c r="AF246" s="642"/>
      <c r="AG246" s="642"/>
    </row>
    <row r="247" spans="1:41" ht="62.55" customHeight="1">
      <c r="A247" s="681"/>
      <c r="B247" s="681"/>
      <c r="C247" s="681"/>
      <c r="D247" s="681"/>
      <c r="E247" s="681"/>
      <c r="F247" s="681"/>
      <c r="G247" s="681"/>
      <c r="H247" s="817" t="s">
        <v>192</v>
      </c>
      <c r="I247" s="681"/>
      <c r="J247" s="681"/>
      <c r="K247" s="681"/>
      <c r="M247" s="787"/>
      <c r="N247" s="787"/>
      <c r="O247" s="1395" t="s">
        <v>1453</v>
      </c>
      <c r="P247" s="1395"/>
      <c r="Q247" s="1395"/>
      <c r="R247" s="1395"/>
      <c r="S247" s="1415"/>
      <c r="T247" s="894"/>
      <c r="U247" s="1429" t="s">
        <v>1453</v>
      </c>
      <c r="V247" s="1430"/>
      <c r="W247" s="1431"/>
      <c r="X247" s="1432"/>
      <c r="Y247" s="1427"/>
      <c r="Z247" s="1427"/>
      <c r="AA247" s="1427"/>
      <c r="AB247" s="1427"/>
      <c r="AC247" s="1427"/>
      <c r="AD247" s="1427"/>
      <c r="AE247" s="1427"/>
      <c r="AF247" s="1427"/>
      <c r="AG247" s="1427"/>
      <c r="AH247" s="1427"/>
      <c r="AI247" s="818"/>
      <c r="AJ247" s="818"/>
      <c r="AK247" s="818"/>
      <c r="AL247" s="818"/>
    </row>
    <row r="248" spans="1:41" ht="28.5" customHeight="1">
      <c r="B248" s="662"/>
      <c r="C248" s="662"/>
      <c r="D248" s="662"/>
      <c r="E248" s="662"/>
      <c r="F248" s="662"/>
      <c r="G248" s="662"/>
      <c r="H248" s="662"/>
      <c r="I248" s="662"/>
      <c r="J248" s="662"/>
      <c r="K248" s="662"/>
      <c r="L248" s="662"/>
      <c r="M248" s="662"/>
      <c r="N248" s="662"/>
      <c r="O248" s="651"/>
      <c r="P248" s="662"/>
      <c r="Q248" s="649"/>
      <c r="R248" s="662"/>
      <c r="S248" s="649"/>
      <c r="T248" s="662"/>
      <c r="U248" s="649"/>
      <c r="V248" s="662"/>
      <c r="W248" s="649"/>
      <c r="X248" s="662"/>
      <c r="Y248" s="649"/>
      <c r="Z248" s="662"/>
      <c r="AA248" s="649"/>
      <c r="AB248" s="662"/>
      <c r="AC248" s="649"/>
      <c r="AD248" s="649"/>
      <c r="AE248" s="642"/>
      <c r="AF248" s="642"/>
      <c r="AG248" s="642"/>
    </row>
    <row r="249" spans="1:41" ht="67.05" customHeight="1">
      <c r="A249" s="666"/>
      <c r="B249" s="630" t="s">
        <v>705</v>
      </c>
      <c r="C249" s="630"/>
      <c r="D249" s="1407" t="s">
        <v>706</v>
      </c>
      <c r="E249" s="1407"/>
      <c r="F249" s="1407" t="s">
        <v>707</v>
      </c>
      <c r="G249" s="1407"/>
      <c r="H249" s="1407" t="s">
        <v>708</v>
      </c>
      <c r="I249" s="1407"/>
      <c r="J249" s="630" t="s">
        <v>709</v>
      </c>
      <c r="K249" s="630"/>
      <c r="L249" s="1407" t="s">
        <v>710</v>
      </c>
      <c r="M249" s="1407"/>
      <c r="N249" s="1407" t="s">
        <v>711</v>
      </c>
      <c r="O249" s="1407"/>
      <c r="P249" s="1407" t="s">
        <v>712</v>
      </c>
      <c r="Q249" s="1407"/>
      <c r="R249" s="1407" t="s">
        <v>713</v>
      </c>
      <c r="S249" s="1407"/>
      <c r="T249" s="1407" t="s">
        <v>714</v>
      </c>
      <c r="U249" s="1407"/>
      <c r="V249" s="1407" t="s">
        <v>715</v>
      </c>
      <c r="W249" s="1407"/>
      <c r="X249" s="732" t="s">
        <v>716</v>
      </c>
      <c r="Y249" s="666"/>
      <c r="Z249" s="732" t="s">
        <v>717</v>
      </c>
      <c r="AA249" s="724"/>
      <c r="AB249" s="732" t="s">
        <v>718</v>
      </c>
      <c r="AC249" s="631" t="s">
        <v>1448</v>
      </c>
      <c r="AD249" s="666"/>
      <c r="AE249" s="666"/>
      <c r="AF249" s="666"/>
      <c r="AG249" s="666"/>
      <c r="AH249" s="666"/>
      <c r="AI249" s="666"/>
      <c r="AJ249" s="666"/>
      <c r="AK249" s="666"/>
      <c r="AL249" s="666"/>
    </row>
    <row r="250" spans="1:41" ht="33.6">
      <c r="A250" s="666"/>
      <c r="B250" s="658"/>
      <c r="C250" s="648"/>
      <c r="D250" s="658"/>
      <c r="E250" s="648"/>
      <c r="F250" s="658"/>
      <c r="G250" s="648"/>
      <c r="H250" s="658"/>
      <c r="I250" s="648"/>
      <c r="J250" s="658"/>
      <c r="K250" s="648"/>
      <c r="L250" s="658"/>
      <c r="M250" s="648"/>
      <c r="N250" s="658"/>
      <c r="O250" s="648"/>
      <c r="P250" s="658"/>
      <c r="Q250" s="666"/>
      <c r="R250" s="658"/>
      <c r="S250" s="648"/>
      <c r="T250" s="658"/>
      <c r="U250" s="648"/>
      <c r="V250" s="658"/>
      <c r="W250" s="648"/>
      <c r="X250" s="658"/>
      <c r="Y250" s="648"/>
      <c r="Z250" s="658"/>
      <c r="AA250" s="648"/>
      <c r="AB250" s="658"/>
      <c r="AC250" s="666"/>
      <c r="AD250" s="666"/>
      <c r="AE250" s="669"/>
      <c r="AF250" s="669"/>
      <c r="AG250" s="669"/>
      <c r="AH250" s="666"/>
      <c r="AI250" s="666"/>
      <c r="AJ250" s="666"/>
      <c r="AK250" s="666"/>
      <c r="AL250" s="666"/>
    </row>
    <row r="251" spans="1:41" ht="16.5" customHeight="1" thickBot="1">
      <c r="A251" s="666"/>
      <c r="B251" s="660"/>
      <c r="C251" s="648"/>
      <c r="D251" s="660"/>
      <c r="E251" s="648"/>
      <c r="F251" s="660"/>
      <c r="G251" s="648"/>
      <c r="H251" s="660"/>
      <c r="I251" s="648"/>
      <c r="J251" s="660"/>
      <c r="K251" s="648"/>
      <c r="L251" s="660"/>
      <c r="M251" s="648"/>
      <c r="N251" s="660"/>
      <c r="O251" s="648"/>
      <c r="P251" s="660"/>
      <c r="Q251" s="666"/>
      <c r="R251" s="660"/>
      <c r="S251" s="648"/>
      <c r="T251" s="660"/>
      <c r="U251" s="648"/>
      <c r="V251" s="660"/>
      <c r="W251" s="648"/>
      <c r="X251" s="660"/>
      <c r="Y251" s="648"/>
      <c r="Z251" s="660"/>
      <c r="AA251" s="648"/>
      <c r="AB251" s="660"/>
      <c r="AC251" s="666"/>
      <c r="AD251" s="666"/>
      <c r="AE251" s="669"/>
      <c r="AF251" s="669"/>
      <c r="AG251" s="669"/>
      <c r="AH251" s="666"/>
      <c r="AI251" s="666"/>
      <c r="AJ251" s="666"/>
      <c r="AK251" s="666"/>
      <c r="AL251" s="666"/>
    </row>
    <row r="252" spans="1:41" ht="100.05" customHeight="1" thickBot="1">
      <c r="A252" s="666"/>
      <c r="B252" s="679"/>
      <c r="C252" s="653">
        <v>373.77100000000002</v>
      </c>
      <c r="D252" s="679"/>
      <c r="E252" s="653">
        <v>364</v>
      </c>
      <c r="F252" s="709"/>
      <c r="G252" s="653">
        <v>421</v>
      </c>
      <c r="H252" s="709"/>
      <c r="I252" s="653">
        <v>334</v>
      </c>
      <c r="J252" s="637" t="s">
        <v>1588</v>
      </c>
      <c r="K252" s="653">
        <v>388.22</v>
      </c>
      <c r="L252" s="637" t="s">
        <v>1588</v>
      </c>
      <c r="M252" s="653">
        <v>398</v>
      </c>
      <c r="N252" s="879" t="s">
        <v>1584</v>
      </c>
      <c r="O252" s="653">
        <v>442.51499999999999</v>
      </c>
      <c r="P252" s="679"/>
      <c r="Q252" s="653">
        <v>415</v>
      </c>
      <c r="R252" s="879" t="s">
        <v>1583</v>
      </c>
      <c r="S252" s="653">
        <v>417.97</v>
      </c>
      <c r="T252" s="709"/>
      <c r="U252" s="653">
        <v>424</v>
      </c>
      <c r="V252" s="709"/>
      <c r="W252" s="653">
        <v>415</v>
      </c>
      <c r="X252" s="709"/>
      <c r="Y252" s="653">
        <v>412.21</v>
      </c>
      <c r="Z252" s="709"/>
      <c r="AA252" s="653">
        <v>268</v>
      </c>
      <c r="AB252" s="879" t="s">
        <v>1583</v>
      </c>
      <c r="AC252" s="690">
        <v>259.27</v>
      </c>
      <c r="AD252" s="666"/>
      <c r="AE252" s="669"/>
      <c r="AF252" s="669"/>
      <c r="AG252" s="669"/>
      <c r="AH252" s="666"/>
      <c r="AI252" s="666"/>
      <c r="AJ252" s="666"/>
      <c r="AK252" s="666"/>
      <c r="AL252" s="666"/>
      <c r="AM252" s="809">
        <f>COUNTIF(B252:AB252,"U/P")</f>
        <v>0</v>
      </c>
      <c r="AN252" s="809">
        <f>COUNTIF(C252:AC252,"ROW")</f>
        <v>0</v>
      </c>
      <c r="AO252" s="809">
        <f>COUNTIF(B252:AD252,"C")</f>
        <v>0</v>
      </c>
    </row>
    <row r="253" spans="1:41" ht="16.5" customHeight="1" thickBot="1">
      <c r="A253" s="666"/>
      <c r="B253" s="656"/>
      <c r="C253" s="666"/>
      <c r="D253" s="656"/>
      <c r="E253" s="666"/>
      <c r="F253" s="656"/>
      <c r="G253" s="666"/>
      <c r="H253" s="656"/>
      <c r="I253" s="666"/>
      <c r="J253" s="656"/>
      <c r="K253" s="666"/>
      <c r="L253" s="656"/>
      <c r="M253" s="666"/>
      <c r="N253" s="656"/>
      <c r="O253" s="666"/>
      <c r="P253" s="656"/>
      <c r="Q253" s="666"/>
      <c r="R253" s="656"/>
      <c r="S253" s="666"/>
      <c r="T253" s="656"/>
      <c r="U253" s="666"/>
      <c r="V253" s="656"/>
      <c r="W253" s="666"/>
      <c r="X253" s="656"/>
      <c r="Y253" s="666"/>
      <c r="Z253" s="656"/>
      <c r="AA253" s="666"/>
      <c r="AB253" s="656"/>
      <c r="AC253" s="666"/>
      <c r="AD253" s="666"/>
      <c r="AE253" s="669"/>
      <c r="AF253" s="669"/>
      <c r="AG253" s="669"/>
      <c r="AH253" s="666"/>
      <c r="AI253" s="666"/>
      <c r="AJ253" s="666"/>
      <c r="AK253" s="666"/>
      <c r="AL253" s="666"/>
    </row>
    <row r="254" spans="1:41" ht="33.6">
      <c r="A254" s="666"/>
      <c r="B254" s="644" t="s">
        <v>147</v>
      </c>
      <c r="C254" s="644"/>
      <c r="D254" s="645" t="s">
        <v>93</v>
      </c>
      <c r="E254" s="644"/>
      <c r="F254" s="644" t="s">
        <v>206</v>
      </c>
      <c r="G254" s="644"/>
      <c r="H254" s="644" t="s">
        <v>150</v>
      </c>
      <c r="I254" s="644"/>
      <c r="J254" s="644" t="s">
        <v>206</v>
      </c>
      <c r="K254" s="644"/>
      <c r="L254" s="645" t="s">
        <v>157</v>
      </c>
      <c r="M254" s="644"/>
      <c r="N254" s="644" t="s">
        <v>212</v>
      </c>
      <c r="O254" s="648"/>
      <c r="P254" s="645" t="s">
        <v>102</v>
      </c>
      <c r="Q254" s="644"/>
      <c r="R254" s="644" t="s">
        <v>206</v>
      </c>
      <c r="S254" s="666"/>
      <c r="T254" s="645" t="s">
        <v>80</v>
      </c>
      <c r="U254" s="666"/>
      <c r="V254" s="644" t="s">
        <v>150</v>
      </c>
      <c r="W254" s="666"/>
      <c r="X254" s="661" t="s">
        <v>212</v>
      </c>
      <c r="Y254" s="666"/>
      <c r="Z254" s="645" t="s">
        <v>93</v>
      </c>
      <c r="AA254" s="666"/>
      <c r="AB254" s="661" t="s">
        <v>147</v>
      </c>
      <c r="AC254" s="666"/>
      <c r="AD254" s="666"/>
      <c r="AE254" s="669"/>
      <c r="AF254" s="669"/>
      <c r="AG254" s="669"/>
      <c r="AH254" s="666"/>
      <c r="AI254" s="666"/>
      <c r="AJ254" s="666"/>
      <c r="AK254" s="666"/>
      <c r="AL254" s="666"/>
    </row>
    <row r="255" spans="1:41" ht="31.5" customHeight="1">
      <c r="A255" s="891"/>
      <c r="B255" s="707"/>
      <c r="C255" s="708"/>
      <c r="D255" s="708"/>
      <c r="E255" s="708"/>
      <c r="F255" s="708"/>
      <c r="G255" s="708"/>
      <c r="H255" s="708"/>
      <c r="I255" s="708"/>
      <c r="J255" s="1404" t="s">
        <v>192</v>
      </c>
      <c r="K255" s="1404"/>
      <c r="L255" s="1404"/>
      <c r="M255" s="1404"/>
      <c r="N255" s="1404"/>
      <c r="O255" s="708"/>
      <c r="P255" s="708"/>
      <c r="Q255" s="708"/>
      <c r="R255" s="707" t="s">
        <v>192</v>
      </c>
      <c r="S255" s="708"/>
      <c r="T255" s="708"/>
      <c r="U255" s="708"/>
      <c r="V255" s="708"/>
      <c r="W255" s="708" t="s">
        <v>1535</v>
      </c>
      <c r="X255" s="708"/>
      <c r="Y255" s="708"/>
      <c r="Z255" s="708"/>
      <c r="AA255" s="708"/>
      <c r="AB255" s="708"/>
      <c r="AC255" s="708"/>
      <c r="AD255" s="708"/>
      <c r="AE255" s="708"/>
      <c r="AF255" s="708"/>
      <c r="AG255" s="707"/>
      <c r="AH255" s="707"/>
      <c r="AI255" s="817"/>
      <c r="AJ255" s="817"/>
      <c r="AK255" s="817"/>
      <c r="AL255" s="817"/>
    </row>
    <row r="256" spans="1:41" ht="13.5" customHeight="1">
      <c r="B256" s="649"/>
      <c r="C256" s="649"/>
      <c r="D256" s="649"/>
      <c r="E256" s="649"/>
      <c r="F256" s="649"/>
      <c r="G256" s="649"/>
      <c r="H256" s="649"/>
      <c r="I256" s="649"/>
      <c r="J256" s="649"/>
      <c r="K256" s="649"/>
      <c r="L256" s="649"/>
      <c r="M256" s="649"/>
      <c r="N256" s="649"/>
      <c r="O256" s="649"/>
      <c r="P256" s="649"/>
      <c r="Q256" s="649"/>
      <c r="R256" s="649"/>
      <c r="S256" s="649"/>
      <c r="T256" s="649"/>
      <c r="U256" s="649"/>
      <c r="V256" s="649"/>
      <c r="W256" s="649"/>
      <c r="X256" s="649"/>
      <c r="Y256" s="649"/>
      <c r="Z256" s="649"/>
      <c r="AA256" s="649"/>
      <c r="AB256" s="649"/>
      <c r="AC256" s="649"/>
      <c r="AD256" s="649"/>
      <c r="AE256" s="727"/>
      <c r="AF256" s="632"/>
      <c r="AG256" s="632"/>
    </row>
    <row r="257" spans="1:41" ht="33.6">
      <c r="B257" s="661" t="s">
        <v>1246</v>
      </c>
      <c r="C257" s="661"/>
      <c r="D257" s="661" t="s">
        <v>719</v>
      </c>
      <c r="E257" s="666"/>
      <c r="F257" s="661" t="s">
        <v>720</v>
      </c>
      <c r="G257" s="666"/>
      <c r="H257" s="661" t="s">
        <v>1247</v>
      </c>
      <c r="I257" s="666"/>
      <c r="J257" s="661" t="s">
        <v>722</v>
      </c>
      <c r="K257" s="666"/>
      <c r="L257" s="661" t="s">
        <v>723</v>
      </c>
      <c r="M257" s="666"/>
      <c r="N257" s="661" t="s">
        <v>724</v>
      </c>
      <c r="O257" s="666"/>
      <c r="P257" s="661" t="s">
        <v>725</v>
      </c>
      <c r="Q257" s="666"/>
      <c r="R257" s="661" t="s">
        <v>726</v>
      </c>
      <c r="S257" s="666"/>
      <c r="T257" s="661" t="s">
        <v>145</v>
      </c>
      <c r="U257" s="661"/>
      <c r="V257" s="661" t="s">
        <v>146</v>
      </c>
      <c r="W257" s="661"/>
      <c r="X257" s="661" t="s">
        <v>148</v>
      </c>
      <c r="Y257" s="661"/>
      <c r="Z257" s="661" t="s">
        <v>727</v>
      </c>
      <c r="AA257" s="661"/>
      <c r="AB257" s="661" t="s">
        <v>728</v>
      </c>
      <c r="AC257" s="666"/>
      <c r="AD257" s="666"/>
      <c r="AE257" s="632"/>
      <c r="AF257" s="632"/>
      <c r="AG257" s="632"/>
    </row>
    <row r="258" spans="1:41" ht="33.6">
      <c r="B258" s="658"/>
      <c r="C258" s="648"/>
      <c r="D258" s="658"/>
      <c r="E258" s="648"/>
      <c r="F258" s="658"/>
      <c r="G258" s="648"/>
      <c r="H258" s="658"/>
      <c r="I258" s="648"/>
      <c r="J258" s="658"/>
      <c r="K258" s="648"/>
      <c r="L258" s="658"/>
      <c r="M258" s="648"/>
      <c r="N258" s="658"/>
      <c r="O258" s="648"/>
      <c r="P258" s="658"/>
      <c r="Q258" s="666"/>
      <c r="R258" s="658"/>
      <c r="S258" s="648"/>
      <c r="T258" s="658"/>
      <c r="U258" s="648"/>
      <c r="V258" s="658"/>
      <c r="W258" s="648"/>
      <c r="X258" s="658"/>
      <c r="Y258" s="648"/>
      <c r="Z258" s="658"/>
      <c r="AA258" s="648"/>
      <c r="AB258" s="658"/>
      <c r="AC258" s="666"/>
      <c r="AD258" s="666"/>
      <c r="AE258" s="642"/>
      <c r="AF258" s="642"/>
      <c r="AG258" s="642"/>
    </row>
    <row r="259" spans="1:41" ht="16.5" customHeight="1" thickBot="1">
      <c r="A259" s="438"/>
      <c r="B259" s="660"/>
      <c r="C259" s="648"/>
      <c r="D259" s="660"/>
      <c r="E259" s="648"/>
      <c r="F259" s="660"/>
      <c r="G259" s="648"/>
      <c r="H259" s="660"/>
      <c r="I259" s="648"/>
      <c r="J259" s="660"/>
      <c r="K259" s="648"/>
      <c r="L259" s="660"/>
      <c r="M259" s="648"/>
      <c r="N259" s="660"/>
      <c r="O259" s="648"/>
      <c r="P259" s="660"/>
      <c r="Q259" s="666"/>
      <c r="R259" s="660"/>
      <c r="S259" s="648"/>
      <c r="T259" s="660"/>
      <c r="U259" s="648"/>
      <c r="V259" s="660"/>
      <c r="W259" s="648"/>
      <c r="X259" s="660"/>
      <c r="Y259" s="648"/>
      <c r="Z259" s="660"/>
      <c r="AA259" s="648"/>
      <c r="AB259" s="660"/>
      <c r="AC259" s="666"/>
      <c r="AD259" s="666"/>
      <c r="AE259" s="642"/>
      <c r="AF259" s="642"/>
      <c r="AG259" s="642"/>
    </row>
    <row r="260" spans="1:41" ht="100.05" customHeight="1" thickBot="1">
      <c r="A260" s="438"/>
      <c r="B260" s="679"/>
      <c r="C260" s="653">
        <v>395</v>
      </c>
      <c r="D260" s="679"/>
      <c r="E260" s="653">
        <v>408</v>
      </c>
      <c r="F260" s="679"/>
      <c r="G260" s="653">
        <v>356</v>
      </c>
      <c r="H260" s="637"/>
      <c r="I260" s="653">
        <v>379</v>
      </c>
      <c r="J260" s="679"/>
      <c r="K260" s="653">
        <v>367</v>
      </c>
      <c r="L260" s="637"/>
      <c r="M260" s="653">
        <v>384</v>
      </c>
      <c r="N260" s="679"/>
      <c r="O260" s="653">
        <v>385</v>
      </c>
      <c r="P260" s="679"/>
      <c r="Q260" s="690">
        <v>419.37</v>
      </c>
      <c r="R260" s="679"/>
      <c r="S260" s="653">
        <v>343.49</v>
      </c>
      <c r="T260" s="679"/>
      <c r="U260" s="653">
        <v>392.09</v>
      </c>
      <c r="V260" s="679"/>
      <c r="W260" s="653">
        <v>390.92</v>
      </c>
      <c r="X260" s="679"/>
      <c r="Y260" s="653">
        <v>372.24</v>
      </c>
      <c r="Z260" s="679"/>
      <c r="AA260" s="653">
        <v>388.01</v>
      </c>
      <c r="AB260" s="679"/>
      <c r="AC260" s="690">
        <v>414.07</v>
      </c>
      <c r="AD260" s="666"/>
      <c r="AE260" s="642"/>
      <c r="AF260" s="642"/>
      <c r="AG260" s="642"/>
      <c r="AM260" s="809">
        <f>COUNTIF(B260:AB260,"U/P")</f>
        <v>0</v>
      </c>
      <c r="AN260" s="809">
        <f>COUNTIF(C260:AC260,"ROW")</f>
        <v>0</v>
      </c>
      <c r="AO260" s="809">
        <f>COUNTIF(D260:AD260,"C")</f>
        <v>0</v>
      </c>
    </row>
    <row r="261" spans="1:41" ht="16.5" customHeight="1" thickBot="1">
      <c r="A261" s="438"/>
      <c r="B261" s="656"/>
      <c r="C261" s="666"/>
      <c r="D261" s="656"/>
      <c r="E261" s="666"/>
      <c r="F261" s="656"/>
      <c r="G261" s="666"/>
      <c r="H261" s="656"/>
      <c r="I261" s="666"/>
      <c r="J261" s="656"/>
      <c r="K261" s="666"/>
      <c r="L261" s="656"/>
      <c r="M261" s="666"/>
      <c r="N261" s="656"/>
      <c r="O261" s="666"/>
      <c r="P261" s="656"/>
      <c r="Q261" s="666"/>
      <c r="R261" s="656"/>
      <c r="S261" s="666"/>
      <c r="T261" s="656"/>
      <c r="U261" s="666"/>
      <c r="V261" s="656"/>
      <c r="W261" s="666"/>
      <c r="X261" s="656"/>
      <c r="Y261" s="666"/>
      <c r="Z261" s="656"/>
      <c r="AA261" s="666"/>
      <c r="AB261" s="656"/>
      <c r="AC261" s="666"/>
      <c r="AD261" s="666"/>
      <c r="AE261" s="642"/>
      <c r="AF261" s="642"/>
      <c r="AG261" s="642"/>
    </row>
    <row r="262" spans="1:41" ht="33.6">
      <c r="A262" s="438"/>
      <c r="B262" s="645" t="s">
        <v>90</v>
      </c>
      <c r="C262" s="644"/>
      <c r="D262" s="644" t="s">
        <v>150</v>
      </c>
      <c r="E262" s="644"/>
      <c r="F262" s="644" t="s">
        <v>150</v>
      </c>
      <c r="G262" s="644"/>
      <c r="H262" s="645" t="s">
        <v>90</v>
      </c>
      <c r="I262" s="644"/>
      <c r="J262" s="644" t="s">
        <v>147</v>
      </c>
      <c r="K262" s="644"/>
      <c r="L262" s="644" t="s">
        <v>147</v>
      </c>
      <c r="M262" s="644"/>
      <c r="N262" s="644" t="s">
        <v>147</v>
      </c>
      <c r="O262" s="648"/>
      <c r="P262" s="644" t="s">
        <v>147</v>
      </c>
      <c r="Q262" s="666"/>
      <c r="R262" s="645" t="s">
        <v>80</v>
      </c>
      <c r="S262" s="666"/>
      <c r="T262" s="661" t="s">
        <v>147</v>
      </c>
      <c r="U262" s="666"/>
      <c r="V262" s="661" t="s">
        <v>147</v>
      </c>
      <c r="W262" s="666"/>
      <c r="X262" s="661" t="s">
        <v>147</v>
      </c>
      <c r="Y262" s="666"/>
      <c r="Z262" s="661" t="s">
        <v>147</v>
      </c>
      <c r="AA262" s="666"/>
      <c r="AB262" s="661" t="s">
        <v>147</v>
      </c>
      <c r="AC262" s="666"/>
      <c r="AD262" s="666"/>
      <c r="AE262" s="642"/>
      <c r="AF262" s="642"/>
      <c r="AG262" s="642"/>
    </row>
    <row r="263" spans="1:41" ht="33.6">
      <c r="A263" s="438"/>
      <c r="B263" s="645"/>
      <c r="C263" s="644"/>
      <c r="D263" s="644"/>
      <c r="E263" s="644"/>
      <c r="F263" s="644"/>
      <c r="G263" s="644"/>
      <c r="H263" s="645"/>
      <c r="I263" s="644"/>
      <c r="J263" s="644"/>
      <c r="K263" s="644"/>
      <c r="L263" s="644"/>
      <c r="M263" s="644"/>
      <c r="N263" s="644"/>
      <c r="O263" s="648"/>
      <c r="P263" s="644"/>
      <c r="Q263" s="666"/>
      <c r="R263" s="645" t="s">
        <v>1573</v>
      </c>
      <c r="S263" s="666"/>
      <c r="T263" s="661"/>
      <c r="U263" s="666"/>
      <c r="V263" s="728" t="s">
        <v>1538</v>
      </c>
      <c r="W263" s="666"/>
      <c r="X263" s="661"/>
      <c r="Y263" s="666"/>
      <c r="Z263" s="661"/>
      <c r="AA263" s="666"/>
      <c r="AB263" s="661"/>
      <c r="AC263" s="666"/>
      <c r="AD263" s="666"/>
      <c r="AE263" s="642"/>
      <c r="AF263" s="642"/>
      <c r="AG263" s="642"/>
    </row>
    <row r="264" spans="1:41" ht="31.95" customHeight="1">
      <c r="A264" s="706"/>
      <c r="B264" s="708"/>
      <c r="C264" s="708"/>
      <c r="D264" s="708"/>
      <c r="E264" s="708"/>
      <c r="F264" s="708"/>
      <c r="G264" s="708"/>
      <c r="H264" s="707" t="s">
        <v>192</v>
      </c>
      <c r="I264" s="708"/>
      <c r="J264" s="708"/>
      <c r="K264" s="708"/>
      <c r="L264" s="707" t="s">
        <v>192</v>
      </c>
      <c r="M264" s="708"/>
      <c r="N264" s="708"/>
      <c r="O264" s="708"/>
      <c r="P264" s="707"/>
      <c r="Q264" s="708"/>
      <c r="R264" s="708"/>
      <c r="S264" s="708"/>
      <c r="T264" s="708"/>
      <c r="U264" s="708"/>
      <c r="V264" s="708"/>
      <c r="W264" s="708"/>
      <c r="X264" s="708"/>
      <c r="Y264" s="708"/>
      <c r="Z264" s="708"/>
      <c r="AA264" s="708"/>
      <c r="AB264" s="708"/>
      <c r="AC264" s="708"/>
      <c r="AD264" s="708"/>
      <c r="AE264" s="708"/>
      <c r="AF264" s="708"/>
      <c r="AG264" s="708"/>
      <c r="AH264" s="708"/>
      <c r="AI264" s="817"/>
      <c r="AJ264" s="817"/>
      <c r="AK264" s="817"/>
      <c r="AL264" s="817"/>
    </row>
    <row r="265" spans="1:41" ht="33.6">
      <c r="B265" s="661" t="s">
        <v>729</v>
      </c>
      <c r="C265" s="666"/>
      <c r="D265" s="661" t="s">
        <v>730</v>
      </c>
      <c r="E265" s="666"/>
      <c r="F265" s="661" t="s">
        <v>731</v>
      </c>
      <c r="G265" s="666"/>
      <c r="H265" s="661" t="s">
        <v>733</v>
      </c>
      <c r="I265" s="666"/>
      <c r="J265" s="661" t="s">
        <v>1303</v>
      </c>
      <c r="K265" s="666"/>
      <c r="L265" s="661" t="s">
        <v>1299</v>
      </c>
      <c r="M265" s="666"/>
      <c r="N265" s="661" t="s">
        <v>1300</v>
      </c>
      <c r="O265" s="666"/>
      <c r="P265" s="661" t="s">
        <v>1301</v>
      </c>
      <c r="Q265" s="666"/>
      <c r="R265" s="661" t="s">
        <v>1304</v>
      </c>
      <c r="S265" s="666"/>
      <c r="T265" s="661" t="s">
        <v>737</v>
      </c>
      <c r="U265" s="666"/>
      <c r="V265" s="661" t="s">
        <v>738</v>
      </c>
      <c r="W265" s="666"/>
      <c r="X265" s="661" t="s">
        <v>739</v>
      </c>
      <c r="Y265" s="666"/>
      <c r="Z265" s="661" t="s">
        <v>740</v>
      </c>
      <c r="AA265" s="666"/>
      <c r="AB265" s="690" t="s">
        <v>741</v>
      </c>
      <c r="AC265" s="666"/>
      <c r="AD265" s="661" t="s">
        <v>742</v>
      </c>
      <c r="AE265" s="666"/>
      <c r="AF265" s="666"/>
      <c r="AG265" s="666"/>
      <c r="AH265" s="666"/>
      <c r="AI265" s="666"/>
      <c r="AJ265" s="666"/>
      <c r="AK265" s="666"/>
      <c r="AL265" s="666"/>
    </row>
    <row r="266" spans="1:41" ht="33.6">
      <c r="A266" s="438"/>
      <c r="B266" s="658"/>
      <c r="C266" s="648"/>
      <c r="D266" s="658"/>
      <c r="E266" s="648"/>
      <c r="F266" s="658"/>
      <c r="G266" s="648"/>
      <c r="H266" s="658"/>
      <c r="I266" s="648"/>
      <c r="J266" s="658"/>
      <c r="K266" s="648"/>
      <c r="L266" s="658"/>
      <c r="M266" s="648"/>
      <c r="N266" s="658"/>
      <c r="O266" s="648"/>
      <c r="P266" s="658"/>
      <c r="Q266" s="666"/>
      <c r="R266" s="658"/>
      <c r="S266" s="666"/>
      <c r="T266" s="658"/>
      <c r="U266" s="648"/>
      <c r="V266" s="658"/>
      <c r="W266" s="648"/>
      <c r="X266" s="658"/>
      <c r="Y266" s="648"/>
      <c r="Z266" s="658"/>
      <c r="AA266" s="648"/>
      <c r="AB266" s="658"/>
      <c r="AC266" s="648"/>
      <c r="AD266" s="658"/>
      <c r="AE266" s="666"/>
      <c r="AF266" s="669"/>
      <c r="AG266" s="669"/>
      <c r="AH266" s="666"/>
      <c r="AI266" s="666"/>
      <c r="AJ266" s="666"/>
      <c r="AK266" s="666"/>
      <c r="AL266" s="666"/>
    </row>
    <row r="267" spans="1:41" ht="16.5" customHeight="1" thickBot="1">
      <c r="A267" s="438"/>
      <c r="B267" s="660"/>
      <c r="C267" s="648"/>
      <c r="D267" s="660"/>
      <c r="E267" s="648"/>
      <c r="F267" s="660"/>
      <c r="G267" s="648"/>
      <c r="H267" s="660"/>
      <c r="I267" s="648"/>
      <c r="J267" s="660"/>
      <c r="K267" s="648"/>
      <c r="L267" s="660"/>
      <c r="M267" s="648"/>
      <c r="N267" s="660"/>
      <c r="O267" s="648"/>
      <c r="P267" s="660"/>
      <c r="Q267" s="666"/>
      <c r="R267" s="660"/>
      <c r="S267" s="666"/>
      <c r="T267" s="660"/>
      <c r="U267" s="648"/>
      <c r="V267" s="660"/>
      <c r="W267" s="648"/>
      <c r="X267" s="660"/>
      <c r="Y267" s="648"/>
      <c r="Z267" s="660"/>
      <c r="AA267" s="648"/>
      <c r="AB267" s="660"/>
      <c r="AC267" s="648"/>
      <c r="AD267" s="660"/>
      <c r="AE267" s="666"/>
      <c r="AF267" s="669"/>
      <c r="AG267" s="669"/>
      <c r="AH267" s="666"/>
      <c r="AI267" s="666"/>
      <c r="AJ267" s="666"/>
      <c r="AK267" s="666"/>
      <c r="AL267" s="666"/>
    </row>
    <row r="268" spans="1:41" ht="100.05" customHeight="1" thickBot="1">
      <c r="A268" s="438"/>
      <c r="B268" s="679"/>
      <c r="C268" s="653">
        <v>410.11</v>
      </c>
      <c r="D268" s="679"/>
      <c r="E268" s="653">
        <v>414.83</v>
      </c>
      <c r="F268" s="679"/>
      <c r="G268" s="653">
        <v>360.43</v>
      </c>
      <c r="H268" s="679"/>
      <c r="I268" s="653">
        <v>226.21</v>
      </c>
      <c r="J268" s="679"/>
      <c r="K268" s="653">
        <v>438.04</v>
      </c>
      <c r="L268" s="679"/>
      <c r="M268" s="653">
        <v>402.74</v>
      </c>
      <c r="N268" s="679"/>
      <c r="O268" s="653">
        <v>433.49</v>
      </c>
      <c r="P268" s="637" t="s">
        <v>354</v>
      </c>
      <c r="Q268" s="690">
        <v>409.21</v>
      </c>
      <c r="R268" s="679"/>
      <c r="S268" s="690">
        <v>436.61</v>
      </c>
      <c r="T268" s="679"/>
      <c r="U268" s="653">
        <v>394.61</v>
      </c>
      <c r="V268" s="679"/>
      <c r="W268" s="653">
        <v>383.9</v>
      </c>
      <c r="X268" s="709"/>
      <c r="Y268" s="653">
        <v>356.32</v>
      </c>
      <c r="Z268" s="904" t="s">
        <v>354</v>
      </c>
      <c r="AA268" s="653">
        <v>378.3</v>
      </c>
      <c r="AB268" s="709"/>
      <c r="AC268" s="653">
        <v>356.03</v>
      </c>
      <c r="AD268" s="709"/>
      <c r="AE268" s="690">
        <v>426.81700000000001</v>
      </c>
      <c r="AF268" s="669"/>
      <c r="AG268" s="669"/>
      <c r="AH268" s="653"/>
      <c r="AI268" s="653"/>
      <c r="AJ268" s="653"/>
      <c r="AK268" s="653"/>
      <c r="AL268" s="653"/>
      <c r="AM268" s="809">
        <f>COUNTIF(B268:AE268,"U/P")</f>
        <v>2</v>
      </c>
      <c r="AN268" s="809">
        <f>COUNTIF(C268:AC268,"ROW")</f>
        <v>0</v>
      </c>
      <c r="AO268" s="809">
        <f>COUNTIF(D268:AD268,"C")</f>
        <v>0</v>
      </c>
    </row>
    <row r="269" spans="1:41" ht="16.5" customHeight="1" thickBot="1">
      <c r="A269" s="438"/>
      <c r="B269" s="656"/>
      <c r="C269" s="666"/>
      <c r="D269" s="656"/>
      <c r="E269" s="666"/>
      <c r="F269" s="656"/>
      <c r="G269" s="666"/>
      <c r="H269" s="656"/>
      <c r="I269" s="666"/>
      <c r="J269" s="656"/>
      <c r="K269" s="666"/>
      <c r="L269" s="656"/>
      <c r="M269" s="666"/>
      <c r="N269" s="656"/>
      <c r="O269" s="666"/>
      <c r="P269" s="656"/>
      <c r="Q269" s="666"/>
      <c r="R269" s="656"/>
      <c r="S269" s="666"/>
      <c r="T269" s="656"/>
      <c r="U269" s="666"/>
      <c r="V269" s="656"/>
      <c r="W269" s="666"/>
      <c r="X269" s="656"/>
      <c r="Y269" s="666"/>
      <c r="Z269" s="656"/>
      <c r="AA269" s="666"/>
      <c r="AB269" s="656"/>
      <c r="AC269" s="666"/>
      <c r="AD269" s="656"/>
      <c r="AE269" s="666"/>
      <c r="AF269" s="669"/>
      <c r="AG269" s="669"/>
      <c r="AH269" s="666"/>
      <c r="AI269" s="666"/>
      <c r="AJ269" s="666"/>
      <c r="AK269" s="666"/>
      <c r="AL269" s="666"/>
    </row>
    <row r="270" spans="1:41" ht="33.6">
      <c r="A270" s="438"/>
      <c r="B270" s="644" t="s">
        <v>150</v>
      </c>
      <c r="C270" s="644"/>
      <c r="D270" s="644" t="s">
        <v>147</v>
      </c>
      <c r="E270" s="644"/>
      <c r="F270" s="644" t="s">
        <v>206</v>
      </c>
      <c r="G270" s="644"/>
      <c r="H270" s="645" t="s">
        <v>90</v>
      </c>
      <c r="I270" s="644"/>
      <c r="J270" s="645" t="s">
        <v>90</v>
      </c>
      <c r="K270" s="644"/>
      <c r="L270" s="644" t="s">
        <v>212</v>
      </c>
      <c r="M270" s="644"/>
      <c r="N270" s="644" t="s">
        <v>150</v>
      </c>
      <c r="O270" s="648"/>
      <c r="P270" s="644" t="s">
        <v>206</v>
      </c>
      <c r="Q270" s="666"/>
      <c r="R270" s="644" t="s">
        <v>212</v>
      </c>
      <c r="S270" s="666"/>
      <c r="T270" s="645" t="s">
        <v>80</v>
      </c>
      <c r="U270" s="666"/>
      <c r="V270" s="661" t="s">
        <v>147</v>
      </c>
      <c r="W270" s="666"/>
      <c r="X270" s="661" t="s">
        <v>147</v>
      </c>
      <c r="Y270" s="666"/>
      <c r="Z270" s="661" t="s">
        <v>150</v>
      </c>
      <c r="AA270" s="666"/>
      <c r="AB270" s="645" t="s">
        <v>90</v>
      </c>
      <c r="AC270" s="666"/>
      <c r="AD270" s="645" t="s">
        <v>153</v>
      </c>
      <c r="AE270" s="666"/>
      <c r="AF270" s="669"/>
      <c r="AG270" s="669"/>
      <c r="AH270" s="666"/>
      <c r="AI270" s="666"/>
      <c r="AJ270" s="666"/>
      <c r="AK270" s="666"/>
      <c r="AL270" s="666"/>
    </row>
    <row r="271" spans="1:41" ht="31.95" customHeight="1">
      <c r="A271" s="706"/>
      <c r="B271" s="708"/>
      <c r="C271" s="708"/>
      <c r="D271" s="708"/>
      <c r="E271" s="708"/>
      <c r="F271" s="708"/>
      <c r="G271" s="708"/>
      <c r="H271" s="708"/>
      <c r="I271" s="708"/>
      <c r="J271" s="708"/>
      <c r="K271" s="708"/>
      <c r="L271" s="708"/>
      <c r="M271" s="708"/>
      <c r="N271" s="708"/>
      <c r="O271" s="708"/>
      <c r="P271" s="708"/>
      <c r="Q271" s="708"/>
      <c r="R271" s="708"/>
      <c r="S271" s="708"/>
      <c r="T271" s="708"/>
      <c r="U271" s="708"/>
      <c r="V271" s="708"/>
      <c r="W271" s="708"/>
      <c r="X271" s="708"/>
      <c r="Y271" s="708"/>
      <c r="Z271" s="817" t="s">
        <v>192</v>
      </c>
      <c r="AA271" s="708"/>
      <c r="AB271" s="708"/>
      <c r="AC271" s="708"/>
      <c r="AD271" s="708"/>
      <c r="AE271" s="708"/>
      <c r="AF271" s="708"/>
      <c r="AG271" s="708"/>
      <c r="AH271" s="708"/>
      <c r="AI271" s="817"/>
      <c r="AJ271" s="817"/>
      <c r="AK271" s="817"/>
      <c r="AL271" s="817"/>
    </row>
    <row r="272" spans="1:41" ht="15" customHeight="1">
      <c r="B272" s="662"/>
      <c r="C272" s="662"/>
      <c r="D272" s="662"/>
      <c r="E272" s="662"/>
      <c r="F272" s="662"/>
      <c r="G272" s="662"/>
      <c r="H272" s="662"/>
      <c r="I272" s="662"/>
      <c r="J272" s="662"/>
      <c r="K272" s="662"/>
      <c r="L272" s="662"/>
      <c r="M272" s="662"/>
      <c r="N272" s="662"/>
      <c r="O272" s="651"/>
      <c r="P272" s="662"/>
      <c r="Q272" s="649"/>
      <c r="R272" s="682"/>
      <c r="S272" s="649"/>
      <c r="T272" s="682"/>
      <c r="U272" s="649"/>
      <c r="V272" s="682"/>
      <c r="W272" s="649"/>
      <c r="X272" s="682"/>
      <c r="Y272" s="649"/>
      <c r="Z272" s="682"/>
      <c r="AA272" s="649"/>
      <c r="AB272" s="682"/>
      <c r="AC272" s="649"/>
      <c r="AD272" s="649"/>
      <c r="AE272" s="641"/>
      <c r="AF272" s="642"/>
      <c r="AG272" s="642"/>
    </row>
    <row r="273" spans="1:41" ht="33.6">
      <c r="B273" s="661" t="s">
        <v>743</v>
      </c>
      <c r="C273" s="666"/>
      <c r="D273" s="690" t="s">
        <v>744</v>
      </c>
      <c r="E273" s="666"/>
      <c r="F273" s="690" t="s">
        <v>745</v>
      </c>
      <c r="G273" s="666"/>
      <c r="H273" s="690" t="s">
        <v>746</v>
      </c>
      <c r="I273" s="666"/>
      <c r="J273" s="661" t="s">
        <v>747</v>
      </c>
      <c r="K273" s="666"/>
      <c r="L273" s="661" t="s">
        <v>748</v>
      </c>
      <c r="M273" s="666"/>
      <c r="N273" s="661" t="s">
        <v>749</v>
      </c>
      <c r="O273" s="666"/>
      <c r="P273" s="661" t="s">
        <v>750</v>
      </c>
      <c r="Q273" s="666"/>
      <c r="R273" s="661" t="s">
        <v>751</v>
      </c>
      <c r="S273" s="666"/>
      <c r="T273" s="661" t="s">
        <v>752</v>
      </c>
      <c r="U273" s="666"/>
      <c r="V273" s="661" t="s">
        <v>753</v>
      </c>
      <c r="W273" s="666"/>
      <c r="X273" s="661" t="s">
        <v>754</v>
      </c>
      <c r="Y273" s="666"/>
      <c r="Z273" s="690" t="s">
        <v>755</v>
      </c>
      <c r="AA273" s="666"/>
      <c r="AB273" s="661" t="s">
        <v>756</v>
      </c>
      <c r="AC273" s="666"/>
      <c r="AD273" s="666"/>
      <c r="AE273" s="666"/>
      <c r="AF273" s="666"/>
      <c r="AG273" s="666"/>
      <c r="AH273" s="666"/>
      <c r="AI273" s="666"/>
      <c r="AJ273" s="666"/>
      <c r="AK273" s="666"/>
      <c r="AL273" s="666"/>
    </row>
    <row r="274" spans="1:41" ht="33.6">
      <c r="A274" s="438"/>
      <c r="B274" s="658"/>
      <c r="C274" s="648"/>
      <c r="D274" s="658"/>
      <c r="E274" s="648"/>
      <c r="F274" s="658"/>
      <c r="G274" s="648"/>
      <c r="H274" s="658"/>
      <c r="I274" s="648"/>
      <c r="J274" s="658"/>
      <c r="K274" s="648"/>
      <c r="L274" s="658"/>
      <c r="M274" s="648"/>
      <c r="N274" s="658"/>
      <c r="O274" s="648"/>
      <c r="P274" s="658"/>
      <c r="Q274" s="666"/>
      <c r="R274" s="658"/>
      <c r="S274" s="648"/>
      <c r="T274" s="658"/>
      <c r="U274" s="648"/>
      <c r="V274" s="658"/>
      <c r="W274" s="648"/>
      <c r="X274" s="658"/>
      <c r="Y274" s="648"/>
      <c r="Z274" s="658"/>
      <c r="AA274" s="648"/>
      <c r="AB274" s="658"/>
      <c r="AC274" s="666"/>
      <c r="AD274" s="666"/>
      <c r="AE274" s="669"/>
      <c r="AF274" s="669"/>
      <c r="AG274" s="669"/>
      <c r="AH274" s="666"/>
      <c r="AI274" s="666"/>
      <c r="AJ274" s="666"/>
      <c r="AK274" s="666"/>
      <c r="AL274" s="666"/>
    </row>
    <row r="275" spans="1:41" ht="16.5" customHeight="1" thickBot="1">
      <c r="A275" s="438"/>
      <c r="B275" s="660"/>
      <c r="C275" s="648"/>
      <c r="D275" s="660"/>
      <c r="E275" s="648"/>
      <c r="F275" s="660"/>
      <c r="G275" s="648"/>
      <c r="H275" s="660"/>
      <c r="I275" s="648"/>
      <c r="J275" s="660"/>
      <c r="K275" s="648"/>
      <c r="L275" s="660"/>
      <c r="M275" s="648"/>
      <c r="N275" s="660"/>
      <c r="O275" s="648"/>
      <c r="P275" s="660"/>
      <c r="Q275" s="666"/>
      <c r="R275" s="660"/>
      <c r="S275" s="648"/>
      <c r="T275" s="660"/>
      <c r="U275" s="648"/>
      <c r="V275" s="660"/>
      <c r="W275" s="648"/>
      <c r="X275" s="660"/>
      <c r="Y275" s="648"/>
      <c r="Z275" s="660"/>
      <c r="AA275" s="648"/>
      <c r="AB275" s="660"/>
      <c r="AC275" s="666"/>
      <c r="AD275" s="666"/>
      <c r="AE275" s="669"/>
      <c r="AF275" s="669"/>
      <c r="AG275" s="669"/>
      <c r="AH275" s="666"/>
      <c r="AI275" s="666"/>
      <c r="AJ275" s="666"/>
      <c r="AK275" s="666"/>
      <c r="AL275" s="666"/>
    </row>
    <row r="276" spans="1:41" ht="100.05" customHeight="1" thickBot="1">
      <c r="A276" s="438"/>
      <c r="B276" s="679"/>
      <c r="C276" s="653">
        <v>381</v>
      </c>
      <c r="D276" s="679"/>
      <c r="E276" s="653">
        <v>334</v>
      </c>
      <c r="F276" s="709"/>
      <c r="G276" s="653">
        <v>347</v>
      </c>
      <c r="H276" s="709"/>
      <c r="I276" s="653">
        <v>375.55</v>
      </c>
      <c r="J276" s="709"/>
      <c r="K276" s="653">
        <v>392</v>
      </c>
      <c r="L276" s="637" t="s">
        <v>1588</v>
      </c>
      <c r="M276" s="653">
        <v>407.97</v>
      </c>
      <c r="N276" s="879" t="s">
        <v>1583</v>
      </c>
      <c r="O276" s="653">
        <v>392</v>
      </c>
      <c r="P276" s="637" t="s">
        <v>1588</v>
      </c>
      <c r="Q276" s="690">
        <v>405</v>
      </c>
      <c r="R276" s="679"/>
      <c r="S276" s="653">
        <v>435</v>
      </c>
      <c r="T276" s="679"/>
      <c r="U276" s="653">
        <v>378.33</v>
      </c>
      <c r="V276" s="679"/>
      <c r="W276" s="653">
        <v>386</v>
      </c>
      <c r="X276" s="679"/>
      <c r="Y276" s="653">
        <v>391</v>
      </c>
      <c r="Z276" s="709"/>
      <c r="AA276" s="653">
        <v>399.83</v>
      </c>
      <c r="AB276" s="709"/>
      <c r="AC276" s="733">
        <v>437.01</v>
      </c>
      <c r="AD276" s="666"/>
      <c r="AE276" s="669"/>
      <c r="AF276" s="669"/>
      <c r="AG276" s="669"/>
      <c r="AH276" s="666"/>
      <c r="AI276" s="666"/>
      <c r="AJ276" s="666"/>
      <c r="AK276" s="666"/>
      <c r="AL276" s="666"/>
      <c r="AM276" s="809">
        <f>COUNTIF(B276:AB276,"U/P")</f>
        <v>0</v>
      </c>
      <c r="AN276" s="809">
        <f>COUNTIF(C276:AC276,"ROW")</f>
        <v>0</v>
      </c>
      <c r="AO276" s="809">
        <f>COUNTIF(D276:AD276,"C")</f>
        <v>0</v>
      </c>
    </row>
    <row r="277" spans="1:41" ht="16.5" customHeight="1" thickBot="1">
      <c r="A277" s="438"/>
      <c r="B277" s="656"/>
      <c r="C277" s="666"/>
      <c r="D277" s="656"/>
      <c r="E277" s="666"/>
      <c r="F277" s="656"/>
      <c r="G277" s="666"/>
      <c r="H277" s="656"/>
      <c r="I277" s="666"/>
      <c r="J277" s="656"/>
      <c r="K277" s="666"/>
      <c r="L277" s="656"/>
      <c r="M277" s="666"/>
      <c r="N277" s="656"/>
      <c r="O277" s="666"/>
      <c r="P277" s="656"/>
      <c r="Q277" s="666"/>
      <c r="R277" s="656"/>
      <c r="S277" s="666"/>
      <c r="T277" s="656"/>
      <c r="U277" s="666"/>
      <c r="V277" s="656"/>
      <c r="W277" s="666"/>
      <c r="X277" s="656"/>
      <c r="Y277" s="666"/>
      <c r="Z277" s="656"/>
      <c r="AA277" s="666"/>
      <c r="AB277" s="656"/>
      <c r="AC277" s="666"/>
      <c r="AD277" s="666"/>
      <c r="AE277" s="669"/>
      <c r="AF277" s="669"/>
      <c r="AG277" s="669"/>
      <c r="AH277" s="666"/>
      <c r="AI277" s="666"/>
      <c r="AJ277" s="666"/>
      <c r="AK277" s="666"/>
      <c r="AL277" s="666"/>
    </row>
    <row r="278" spans="1:41" ht="33.6">
      <c r="A278" s="438"/>
      <c r="B278" s="645" t="s">
        <v>153</v>
      </c>
      <c r="C278" s="644"/>
      <c r="D278" s="644" t="s">
        <v>147</v>
      </c>
      <c r="E278" s="644"/>
      <c r="F278" s="644" t="s">
        <v>147</v>
      </c>
      <c r="G278" s="644"/>
      <c r="H278" s="644" t="s">
        <v>147</v>
      </c>
      <c r="I278" s="644"/>
      <c r="J278" s="645" t="s">
        <v>102</v>
      </c>
      <c r="K278" s="644"/>
      <c r="L278" s="644" t="s">
        <v>212</v>
      </c>
      <c r="M278" s="644"/>
      <c r="N278" s="645" t="s">
        <v>84</v>
      </c>
      <c r="O278" s="648"/>
      <c r="P278" s="644" t="s">
        <v>150</v>
      </c>
      <c r="Q278" s="666"/>
      <c r="R278" s="661" t="s">
        <v>150</v>
      </c>
      <c r="S278" s="666"/>
      <c r="T278" s="661" t="s">
        <v>150</v>
      </c>
      <c r="U278" s="666"/>
      <c r="V278" s="645" t="s">
        <v>80</v>
      </c>
      <c r="W278" s="666"/>
      <c r="X278" s="661" t="s">
        <v>147</v>
      </c>
      <c r="Y278" s="666"/>
      <c r="Z278" s="733" t="s">
        <v>206</v>
      </c>
      <c r="AA278" s="666"/>
      <c r="AB278" s="645" t="s">
        <v>102</v>
      </c>
      <c r="AC278" s="666"/>
      <c r="AD278" s="666"/>
      <c r="AE278" s="669"/>
      <c r="AF278" s="669"/>
      <c r="AG278" s="669"/>
      <c r="AH278" s="666"/>
      <c r="AI278" s="666"/>
      <c r="AJ278" s="666"/>
      <c r="AK278" s="666"/>
      <c r="AL278" s="666"/>
    </row>
    <row r="279" spans="1:41" ht="31.05" customHeight="1">
      <c r="B279" s="644"/>
      <c r="C279" s="644"/>
      <c r="D279" s="644"/>
      <c r="E279" s="644"/>
      <c r="F279" s="644"/>
      <c r="G279" s="644"/>
      <c r="H279" s="644"/>
      <c r="I279" s="644"/>
      <c r="J279" s="726" t="s">
        <v>1538</v>
      </c>
      <c r="K279" s="644"/>
      <c r="L279" s="1428" t="s">
        <v>192</v>
      </c>
      <c r="M279" s="1428"/>
      <c r="N279" s="1428"/>
      <c r="O279" s="1428"/>
      <c r="P279" s="1428"/>
      <c r="Q279" s="666"/>
      <c r="R279" s="661"/>
      <c r="S279" s="666"/>
      <c r="T279" s="661"/>
      <c r="U279" s="666"/>
      <c r="V279" s="661"/>
      <c r="W279" s="666"/>
      <c r="X279" s="661"/>
      <c r="Y279" s="666"/>
      <c r="Z279" s="733"/>
      <c r="AA279" s="666"/>
      <c r="AB279" s="675" t="s">
        <v>192</v>
      </c>
      <c r="AC279" s="666"/>
      <c r="AD279" s="666"/>
      <c r="AE279" s="668"/>
      <c r="AF279" s="669"/>
      <c r="AG279" s="669"/>
      <c r="AH279" s="666"/>
      <c r="AI279" s="666"/>
      <c r="AJ279" s="666"/>
      <c r="AK279" s="666"/>
      <c r="AL279" s="666"/>
    </row>
    <row r="280" spans="1:41" ht="39" customHeight="1">
      <c r="A280" s="706"/>
      <c r="B280" s="708"/>
      <c r="C280" s="708"/>
      <c r="D280" s="708"/>
      <c r="E280" s="708"/>
      <c r="F280" s="708"/>
      <c r="G280" s="708"/>
      <c r="H280" s="708"/>
      <c r="I280" s="708"/>
      <c r="J280" s="708"/>
      <c r="K280" s="708"/>
      <c r="L280" s="708"/>
      <c r="M280" s="708"/>
      <c r="N280" s="708"/>
      <c r="O280" s="708"/>
      <c r="P280" s="708"/>
      <c r="Q280" s="708"/>
      <c r="R280" s="708"/>
      <c r="S280" s="708"/>
      <c r="T280" s="708"/>
      <c r="U280" s="708"/>
      <c r="V280" s="708"/>
      <c r="W280" s="708"/>
      <c r="X280" s="708"/>
      <c r="Y280" s="708"/>
      <c r="Z280" s="708"/>
      <c r="AA280" s="708"/>
      <c r="AB280" s="708"/>
      <c r="AC280" s="708"/>
      <c r="AD280" s="708"/>
      <c r="AE280" s="708"/>
      <c r="AF280" s="708"/>
      <c r="AG280" s="708"/>
      <c r="AH280" s="708"/>
      <c r="AI280" s="817"/>
      <c r="AJ280" s="817"/>
      <c r="AK280" s="817"/>
      <c r="AL280" s="817"/>
    </row>
    <row r="281" spans="1:41" ht="33.6">
      <c r="B281" s="661" t="s">
        <v>757</v>
      </c>
      <c r="C281" s="666"/>
      <c r="D281" s="690" t="s">
        <v>758</v>
      </c>
      <c r="E281" s="666"/>
      <c r="F281" s="690" t="s">
        <v>759</v>
      </c>
      <c r="G281" s="690"/>
      <c r="H281" s="690" t="s">
        <v>760</v>
      </c>
      <c r="I281" s="690"/>
      <c r="J281" s="690" t="s">
        <v>761</v>
      </c>
      <c r="K281" s="690"/>
      <c r="L281" s="690" t="s">
        <v>762</v>
      </c>
      <c r="M281" s="690"/>
      <c r="N281" s="690" t="s">
        <v>763</v>
      </c>
      <c r="O281" s="690"/>
      <c r="P281" s="690" t="s">
        <v>764</v>
      </c>
      <c r="Q281" s="690"/>
      <c r="R281" s="690" t="s">
        <v>765</v>
      </c>
      <c r="S281" s="690"/>
      <c r="T281" s="690" t="s">
        <v>766</v>
      </c>
      <c r="U281" s="690"/>
      <c r="V281" s="690" t="s">
        <v>767</v>
      </c>
      <c r="W281" s="690"/>
      <c r="X281" s="690" t="s">
        <v>768</v>
      </c>
      <c r="Y281" s="690"/>
      <c r="Z281" s="690" t="s">
        <v>769</v>
      </c>
      <c r="AA281" s="690"/>
      <c r="AB281" s="690" t="s">
        <v>770</v>
      </c>
      <c r="AC281" s="666"/>
      <c r="AD281" s="666"/>
      <c r="AE281" s="666"/>
      <c r="AF281" s="666"/>
      <c r="AG281" s="666"/>
      <c r="AH281" s="666"/>
      <c r="AI281" s="666"/>
      <c r="AJ281" s="666"/>
      <c r="AK281" s="666"/>
      <c r="AL281" s="666"/>
    </row>
    <row r="282" spans="1:41" ht="33.6">
      <c r="A282" s="438"/>
      <c r="B282" s="658"/>
      <c r="C282" s="648"/>
      <c r="D282" s="658"/>
      <c r="E282" s="648"/>
      <c r="F282" s="658"/>
      <c r="G282" s="648"/>
      <c r="H282" s="658"/>
      <c r="I282" s="648"/>
      <c r="J282" s="658"/>
      <c r="K282" s="648"/>
      <c r="L282" s="658"/>
      <c r="M282" s="648"/>
      <c r="N282" s="658"/>
      <c r="O282" s="648"/>
      <c r="P282" s="658"/>
      <c r="Q282" s="666"/>
      <c r="R282" s="658"/>
      <c r="S282" s="648"/>
      <c r="T282" s="658"/>
      <c r="U282" s="648"/>
      <c r="V282" s="658"/>
      <c r="W282" s="648"/>
      <c r="X282" s="658"/>
      <c r="Y282" s="648"/>
      <c r="Z282" s="658"/>
      <c r="AA282" s="648"/>
      <c r="AB282" s="658"/>
      <c r="AC282" s="666"/>
      <c r="AD282" s="666"/>
      <c r="AE282" s="669"/>
      <c r="AF282" s="669"/>
      <c r="AG282" s="669"/>
      <c r="AH282" s="666"/>
      <c r="AI282" s="666"/>
      <c r="AJ282" s="666"/>
      <c r="AK282" s="666"/>
      <c r="AL282" s="666"/>
    </row>
    <row r="283" spans="1:41" ht="16.5" customHeight="1" thickBot="1">
      <c r="A283" s="438"/>
      <c r="B283" s="660"/>
      <c r="C283" s="648"/>
      <c r="D283" s="660"/>
      <c r="E283" s="648"/>
      <c r="F283" s="660"/>
      <c r="G283" s="648"/>
      <c r="H283" s="660"/>
      <c r="I283" s="648"/>
      <c r="J283" s="660"/>
      <c r="K283" s="648"/>
      <c r="L283" s="660"/>
      <c r="M283" s="648"/>
      <c r="N283" s="660"/>
      <c r="O283" s="648"/>
      <c r="P283" s="660"/>
      <c r="Q283" s="666"/>
      <c r="R283" s="660"/>
      <c r="S283" s="648"/>
      <c r="T283" s="660"/>
      <c r="U283" s="648"/>
      <c r="V283" s="660"/>
      <c r="W283" s="648"/>
      <c r="X283" s="660"/>
      <c r="Y283" s="648"/>
      <c r="Z283" s="660"/>
      <c r="AA283" s="648"/>
      <c r="AB283" s="660"/>
      <c r="AC283" s="666"/>
      <c r="AD283" s="666"/>
      <c r="AE283" s="669"/>
      <c r="AF283" s="669"/>
      <c r="AG283" s="669"/>
      <c r="AH283" s="666"/>
      <c r="AI283" s="666"/>
      <c r="AJ283" s="666"/>
      <c r="AK283" s="666"/>
      <c r="AL283" s="666"/>
    </row>
    <row r="284" spans="1:41" ht="100.05" customHeight="1" thickBot="1">
      <c r="A284" s="438"/>
      <c r="B284" s="679"/>
      <c r="C284" s="653">
        <v>401.76</v>
      </c>
      <c r="D284" s="709"/>
      <c r="E284" s="653">
        <v>416.24</v>
      </c>
      <c r="F284" s="709"/>
      <c r="G284" s="653">
        <v>417</v>
      </c>
      <c r="H284" s="709"/>
      <c r="I284" s="653">
        <v>399</v>
      </c>
      <c r="J284" s="709"/>
      <c r="K284" s="653">
        <v>420</v>
      </c>
      <c r="L284" s="709"/>
      <c r="M284" s="653">
        <v>409</v>
      </c>
      <c r="N284" s="709"/>
      <c r="O284" s="653">
        <v>412</v>
      </c>
      <c r="P284" s="709"/>
      <c r="Q284" s="690">
        <v>400.41</v>
      </c>
      <c r="R284" s="709"/>
      <c r="S284" s="653">
        <v>232.12</v>
      </c>
      <c r="T284" s="679"/>
      <c r="U284" s="653">
        <v>442</v>
      </c>
      <c r="V284" s="679"/>
      <c r="W284" s="653">
        <v>385</v>
      </c>
      <c r="X284" s="812"/>
      <c r="Y284" s="653">
        <v>362</v>
      </c>
      <c r="Z284" s="812"/>
      <c r="AA284" s="653">
        <v>399</v>
      </c>
      <c r="AB284" s="812"/>
      <c r="AC284" s="690">
        <v>382.07</v>
      </c>
      <c r="AD284" s="666"/>
      <c r="AE284" s="669"/>
      <c r="AF284" s="669"/>
      <c r="AG284" s="669"/>
      <c r="AH284" s="666"/>
      <c r="AI284" s="666"/>
      <c r="AJ284" s="666"/>
      <c r="AK284" s="666"/>
      <c r="AL284" s="666"/>
      <c r="AM284" s="809">
        <f>COUNTIF(B284:AB284,"U/P")</f>
        <v>0</v>
      </c>
      <c r="AN284" s="809">
        <f>COUNTIF(C284:AC284,"ROW")</f>
        <v>0</v>
      </c>
      <c r="AO284" s="809">
        <f>COUNTIF(D284:AD284,"C")</f>
        <v>0</v>
      </c>
    </row>
    <row r="285" spans="1:41" ht="16.5" customHeight="1" thickBot="1">
      <c r="A285" s="438"/>
      <c r="B285" s="656"/>
      <c r="C285" s="666"/>
      <c r="D285" s="656"/>
      <c r="E285" s="666"/>
      <c r="F285" s="656"/>
      <c r="G285" s="666"/>
      <c r="H285" s="656"/>
      <c r="I285" s="666"/>
      <c r="J285" s="656"/>
      <c r="K285" s="666"/>
      <c r="L285" s="656"/>
      <c r="M285" s="666"/>
      <c r="N285" s="656"/>
      <c r="O285" s="666"/>
      <c r="P285" s="656"/>
      <c r="Q285" s="666"/>
      <c r="R285" s="656"/>
      <c r="S285" s="666"/>
      <c r="T285" s="656"/>
      <c r="U285" s="666"/>
      <c r="V285" s="656"/>
      <c r="W285" s="666"/>
      <c r="X285" s="656"/>
      <c r="Y285" s="666"/>
      <c r="Z285" s="656"/>
      <c r="AA285" s="666"/>
      <c r="AB285" s="656"/>
      <c r="AC285" s="666"/>
      <c r="AD285" s="666"/>
      <c r="AE285" s="669"/>
      <c r="AF285" s="669"/>
      <c r="AG285" s="669"/>
      <c r="AH285" s="666"/>
      <c r="AI285" s="666"/>
      <c r="AJ285" s="666"/>
      <c r="AK285" s="666"/>
      <c r="AL285" s="666"/>
    </row>
    <row r="286" spans="1:41" ht="33.6">
      <c r="A286" s="438"/>
      <c r="B286" s="645" t="s">
        <v>102</v>
      </c>
      <c r="C286" s="644"/>
      <c r="D286" s="644" t="s">
        <v>206</v>
      </c>
      <c r="E286" s="644"/>
      <c r="F286" s="644" t="s">
        <v>147</v>
      </c>
      <c r="G286" s="644"/>
      <c r="H286" s="644" t="s">
        <v>150</v>
      </c>
      <c r="I286" s="644"/>
      <c r="J286" s="644" t="s">
        <v>150</v>
      </c>
      <c r="K286" s="644"/>
      <c r="L286" s="644" t="s">
        <v>150</v>
      </c>
      <c r="M286" s="644"/>
      <c r="N286" s="644" t="s">
        <v>147</v>
      </c>
      <c r="O286" s="648"/>
      <c r="P286" s="644" t="s">
        <v>150</v>
      </c>
      <c r="Q286" s="666"/>
      <c r="R286" s="645" t="s">
        <v>157</v>
      </c>
      <c r="S286" s="666"/>
      <c r="T286" s="645" t="s">
        <v>157</v>
      </c>
      <c r="U286" s="661"/>
      <c r="V286" s="661" t="s">
        <v>150</v>
      </c>
      <c r="W286" s="666"/>
      <c r="X286" s="661" t="s">
        <v>147</v>
      </c>
      <c r="Y286" s="666"/>
      <c r="Z286" s="661" t="s">
        <v>147</v>
      </c>
      <c r="AA286" s="666"/>
      <c r="AB286" s="661" t="s">
        <v>150</v>
      </c>
      <c r="AC286" s="666"/>
      <c r="AD286" s="666"/>
      <c r="AE286" s="669"/>
      <c r="AF286" s="669"/>
      <c r="AG286" s="669"/>
      <c r="AH286" s="666"/>
      <c r="AI286" s="666"/>
      <c r="AJ286" s="666"/>
      <c r="AK286" s="666"/>
      <c r="AL286" s="666"/>
    </row>
    <row r="287" spans="1:41" ht="36.6">
      <c r="A287" s="708"/>
      <c r="B287" s="708"/>
      <c r="C287" s="708"/>
      <c r="D287" s="708"/>
      <c r="E287" s="708"/>
      <c r="F287" s="708"/>
      <c r="G287" s="708"/>
      <c r="H287" s="708"/>
      <c r="I287" s="708"/>
      <c r="J287" s="708"/>
      <c r="K287" s="708"/>
      <c r="L287" s="708"/>
      <c r="M287" s="708"/>
      <c r="N287" s="708"/>
      <c r="O287" s="708"/>
      <c r="P287" s="708"/>
      <c r="Q287" s="708"/>
      <c r="R287" s="708"/>
      <c r="S287" s="708"/>
      <c r="T287" s="708"/>
      <c r="U287" s="708"/>
      <c r="V287" s="708"/>
      <c r="W287" s="708"/>
      <c r="X287" s="708"/>
      <c r="Y287" s="708"/>
      <c r="Z287" s="708"/>
      <c r="AA287" s="708"/>
      <c r="AB287" s="708"/>
      <c r="AC287" s="708"/>
      <c r="AD287" s="708"/>
      <c r="AE287" s="708"/>
      <c r="AF287" s="708"/>
      <c r="AG287" s="708"/>
      <c r="AH287" s="708"/>
      <c r="AI287" s="817"/>
      <c r="AJ287" s="817"/>
      <c r="AK287" s="817"/>
      <c r="AL287" s="817"/>
    </row>
    <row r="288" spans="1:41" ht="17.55" customHeight="1">
      <c r="B288" s="662"/>
      <c r="C288" s="662"/>
      <c r="D288" s="662"/>
      <c r="E288" s="662"/>
      <c r="F288" s="662"/>
      <c r="G288" s="662"/>
      <c r="H288" s="662"/>
      <c r="I288" s="662"/>
      <c r="J288" s="662"/>
      <c r="K288" s="662"/>
      <c r="L288" s="662"/>
      <c r="M288" s="662"/>
      <c r="N288" s="662"/>
      <c r="O288" s="651"/>
      <c r="P288" s="662"/>
      <c r="Q288" s="649"/>
      <c r="R288" s="682"/>
      <c r="S288" s="649"/>
      <c r="T288" s="682"/>
      <c r="U288" s="682"/>
      <c r="V288" s="682"/>
      <c r="W288" s="649"/>
      <c r="X288" s="682"/>
      <c r="Y288" s="649"/>
      <c r="Z288" s="682"/>
      <c r="AA288" s="649"/>
      <c r="AB288" s="682"/>
      <c r="AC288" s="649"/>
      <c r="AD288" s="649"/>
      <c r="AE288" s="641"/>
      <c r="AF288" s="642"/>
      <c r="AG288" s="642"/>
    </row>
    <row r="289" spans="1:41" ht="33.6">
      <c r="B289" s="661" t="s">
        <v>771</v>
      </c>
      <c r="C289" s="666"/>
      <c r="D289" s="661" t="s">
        <v>772</v>
      </c>
      <c r="E289" s="666"/>
      <c r="F289" s="690" t="s">
        <v>773</v>
      </c>
      <c r="G289" s="666"/>
      <c r="H289" s="690" t="s">
        <v>1248</v>
      </c>
      <c r="I289" s="666"/>
      <c r="J289" s="690" t="s">
        <v>774</v>
      </c>
      <c r="K289" s="666"/>
      <c r="L289" s="690" t="s">
        <v>775</v>
      </c>
      <c r="M289" s="666"/>
      <c r="N289" s="690" t="s">
        <v>776</v>
      </c>
      <c r="O289" s="666"/>
      <c r="P289" s="690" t="s">
        <v>777</v>
      </c>
      <c r="Q289" s="666"/>
      <c r="R289" s="690" t="s">
        <v>778</v>
      </c>
      <c r="S289" s="666"/>
      <c r="T289" s="690" t="s">
        <v>779</v>
      </c>
      <c r="U289" s="690"/>
      <c r="V289" s="690" t="s">
        <v>780</v>
      </c>
      <c r="W289" s="690"/>
      <c r="X289" s="690" t="s">
        <v>781</v>
      </c>
      <c r="Y289" s="690"/>
      <c r="Z289" s="690" t="s">
        <v>1249</v>
      </c>
      <c r="AA289" s="631" t="s">
        <v>1448</v>
      </c>
      <c r="AB289" s="690" t="s">
        <v>1250</v>
      </c>
      <c r="AC289" s="666"/>
      <c r="AD289" s="666"/>
      <c r="AE289" s="666"/>
      <c r="AF289" s="666"/>
      <c r="AG289" s="666"/>
      <c r="AH289" s="666"/>
      <c r="AI289" s="666"/>
      <c r="AJ289" s="666"/>
      <c r="AK289" s="666"/>
      <c r="AL289" s="666"/>
    </row>
    <row r="290" spans="1:41" ht="33.6">
      <c r="B290" s="658"/>
      <c r="C290" s="648"/>
      <c r="D290" s="658"/>
      <c r="E290" s="648"/>
      <c r="F290" s="658"/>
      <c r="G290" s="648"/>
      <c r="H290" s="658"/>
      <c r="I290" s="648"/>
      <c r="J290" s="658"/>
      <c r="K290" s="648"/>
      <c r="L290" s="658"/>
      <c r="M290" s="648"/>
      <c r="N290" s="658"/>
      <c r="O290" s="648"/>
      <c r="P290" s="658"/>
      <c r="Q290" s="666"/>
      <c r="R290" s="658"/>
      <c r="S290" s="648"/>
      <c r="T290" s="658"/>
      <c r="U290" s="648"/>
      <c r="V290" s="658"/>
      <c r="W290" s="648"/>
      <c r="X290" s="658"/>
      <c r="Y290" s="648"/>
      <c r="Z290" s="658"/>
      <c r="AA290" s="648"/>
      <c r="AB290" s="658"/>
      <c r="AC290" s="666"/>
      <c r="AD290" s="666"/>
      <c r="AE290" s="669"/>
      <c r="AF290" s="669"/>
      <c r="AG290" s="669"/>
      <c r="AH290" s="666"/>
      <c r="AI290" s="666"/>
      <c r="AJ290" s="666"/>
      <c r="AK290" s="666"/>
      <c r="AL290" s="666"/>
    </row>
    <row r="291" spans="1:41" ht="16.5" customHeight="1" thickBot="1">
      <c r="B291" s="660"/>
      <c r="C291" s="648"/>
      <c r="D291" s="660"/>
      <c r="E291" s="648"/>
      <c r="F291" s="660"/>
      <c r="G291" s="648"/>
      <c r="H291" s="660"/>
      <c r="I291" s="648"/>
      <c r="J291" s="660"/>
      <c r="K291" s="648"/>
      <c r="L291" s="660"/>
      <c r="M291" s="648"/>
      <c r="N291" s="660"/>
      <c r="O291" s="648"/>
      <c r="P291" s="660"/>
      <c r="Q291" s="666"/>
      <c r="R291" s="660"/>
      <c r="S291" s="648"/>
      <c r="T291" s="660"/>
      <c r="U291" s="648"/>
      <c r="V291" s="660"/>
      <c r="W291" s="648"/>
      <c r="X291" s="660"/>
      <c r="Y291" s="648"/>
      <c r="Z291" s="660"/>
      <c r="AA291" s="648"/>
      <c r="AB291" s="660"/>
      <c r="AC291" s="666"/>
      <c r="AD291" s="666"/>
      <c r="AE291" s="669"/>
      <c r="AF291" s="669"/>
      <c r="AG291" s="669"/>
      <c r="AH291" s="666"/>
      <c r="AI291" s="666"/>
      <c r="AJ291" s="666"/>
      <c r="AK291" s="666"/>
      <c r="AL291" s="666"/>
    </row>
    <row r="292" spans="1:41" ht="100.05" customHeight="1" thickBot="1">
      <c r="B292" s="679"/>
      <c r="C292" s="653">
        <v>392</v>
      </c>
      <c r="D292" s="679"/>
      <c r="E292" s="653">
        <v>422</v>
      </c>
      <c r="F292" s="679"/>
      <c r="G292" s="653">
        <v>409.46</v>
      </c>
      <c r="H292" s="679"/>
      <c r="I292" s="653">
        <v>373.69</v>
      </c>
      <c r="J292" s="679"/>
      <c r="K292" s="653">
        <v>381.62</v>
      </c>
      <c r="L292" s="679"/>
      <c r="M292" s="653">
        <v>381.82</v>
      </c>
      <c r="N292" s="679"/>
      <c r="O292" s="653">
        <v>391.44</v>
      </c>
      <c r="P292" s="679"/>
      <c r="Q292" s="690">
        <v>385.78</v>
      </c>
      <c r="R292" s="679"/>
      <c r="S292" s="653">
        <v>367.45</v>
      </c>
      <c r="T292" s="679"/>
      <c r="U292" s="653">
        <v>379.63</v>
      </c>
      <c r="V292" s="679"/>
      <c r="W292" s="653">
        <v>380.46</v>
      </c>
      <c r="X292" s="679"/>
      <c r="Y292" s="653">
        <v>382.98</v>
      </c>
      <c r="Z292" s="679"/>
      <c r="AA292" s="653">
        <v>241.5</v>
      </c>
      <c r="AB292" s="637" t="s">
        <v>192</v>
      </c>
      <c r="AC292" s="733">
        <v>363.92</v>
      </c>
      <c r="AD292" s="666"/>
      <c r="AE292" s="669"/>
      <c r="AF292" s="669"/>
      <c r="AG292" s="669"/>
      <c r="AH292" s="666"/>
      <c r="AI292" s="666"/>
      <c r="AJ292" s="666"/>
      <c r="AK292" s="666"/>
      <c r="AL292" s="666"/>
      <c r="AM292" s="809">
        <f>COUNTIF(B292:AB292,"U/P")</f>
        <v>0</v>
      </c>
      <c r="AN292" s="809">
        <f>COUNTIF(C292:AC292,"ROW")</f>
        <v>1</v>
      </c>
      <c r="AO292" s="809">
        <f>COUNTIF(D292:AD292,"C")</f>
        <v>0</v>
      </c>
    </row>
    <row r="293" spans="1:41" ht="16.5" customHeight="1" thickBot="1">
      <c r="B293" s="656"/>
      <c r="C293" s="666"/>
      <c r="D293" s="656"/>
      <c r="E293" s="666"/>
      <c r="F293" s="656"/>
      <c r="G293" s="666"/>
      <c r="H293" s="656"/>
      <c r="I293" s="666"/>
      <c r="J293" s="656"/>
      <c r="K293" s="666"/>
      <c r="L293" s="656"/>
      <c r="M293" s="666"/>
      <c r="N293" s="656"/>
      <c r="O293" s="666"/>
      <c r="P293" s="656"/>
      <c r="Q293" s="666"/>
      <c r="R293" s="656"/>
      <c r="S293" s="666"/>
      <c r="T293" s="656"/>
      <c r="U293" s="666"/>
      <c r="V293" s="656"/>
      <c r="W293" s="666"/>
      <c r="X293" s="656"/>
      <c r="Y293" s="666"/>
      <c r="Z293" s="656"/>
      <c r="AA293" s="666"/>
      <c r="AB293" s="656"/>
      <c r="AC293" s="666"/>
      <c r="AD293" s="666"/>
      <c r="AE293" s="669"/>
      <c r="AF293" s="669"/>
      <c r="AG293" s="669"/>
      <c r="AH293" s="666"/>
      <c r="AI293" s="666"/>
      <c r="AJ293" s="666"/>
      <c r="AK293" s="666"/>
      <c r="AL293" s="666"/>
    </row>
    <row r="294" spans="1:41" ht="33.6">
      <c r="B294" s="645" t="s">
        <v>80</v>
      </c>
      <c r="C294" s="644"/>
      <c r="D294" s="644" t="s">
        <v>150</v>
      </c>
      <c r="E294" s="644"/>
      <c r="F294" s="644" t="s">
        <v>147</v>
      </c>
      <c r="G294" s="644"/>
      <c r="H294" s="645" t="s">
        <v>80</v>
      </c>
      <c r="I294" s="644"/>
      <c r="J294" s="644" t="s">
        <v>147</v>
      </c>
      <c r="K294" s="644"/>
      <c r="L294" s="644" t="s">
        <v>147</v>
      </c>
      <c r="M294" s="644"/>
      <c r="N294" s="644" t="s">
        <v>147</v>
      </c>
      <c r="O294" s="648"/>
      <c r="P294" s="644" t="s">
        <v>147</v>
      </c>
      <c r="Q294" s="666"/>
      <c r="R294" s="661" t="s">
        <v>147</v>
      </c>
      <c r="S294" s="666"/>
      <c r="T294" s="661" t="s">
        <v>147</v>
      </c>
      <c r="U294" s="661"/>
      <c r="V294" s="661" t="s">
        <v>147</v>
      </c>
      <c r="W294" s="661"/>
      <c r="X294" s="661" t="s">
        <v>147</v>
      </c>
      <c r="Y294" s="661"/>
      <c r="Z294" s="661" t="s">
        <v>147</v>
      </c>
      <c r="AA294" s="661"/>
      <c r="AB294" s="645" t="s">
        <v>84</v>
      </c>
      <c r="AC294" s="666"/>
      <c r="AD294" s="666"/>
      <c r="AE294" s="669"/>
      <c r="AF294" s="669"/>
      <c r="AG294" s="669"/>
      <c r="AH294" s="666"/>
      <c r="AI294" s="666"/>
      <c r="AJ294" s="666"/>
      <c r="AK294" s="666"/>
      <c r="AL294" s="666"/>
      <c r="AM294" s="810"/>
    </row>
    <row r="295" spans="1:41" ht="46.2">
      <c r="A295" s="681"/>
      <c r="B295" s="708"/>
      <c r="C295" s="681"/>
      <c r="D295" s="681"/>
      <c r="E295" s="681"/>
      <c r="F295" s="681"/>
      <c r="G295" s="681"/>
      <c r="H295" s="681"/>
      <c r="I295" s="681"/>
      <c r="J295" s="681"/>
      <c r="K295" s="681"/>
      <c r="L295" s="681"/>
      <c r="M295" s="681"/>
      <c r="N295" s="681"/>
      <c r="O295" s="681"/>
      <c r="P295" s="681"/>
      <c r="Q295" s="681"/>
      <c r="R295" s="681"/>
      <c r="S295" s="681"/>
      <c r="T295" s="708"/>
      <c r="U295" s="681"/>
      <c r="V295" s="681"/>
      <c r="W295" s="681"/>
      <c r="X295" s="681"/>
      <c r="Y295" s="681"/>
      <c r="Z295" s="708"/>
      <c r="AA295" s="708"/>
      <c r="AB295" s="817" t="s">
        <v>192</v>
      </c>
      <c r="AC295" s="681"/>
      <c r="AD295" s="681"/>
      <c r="AE295" s="681"/>
      <c r="AF295" s="681"/>
      <c r="AG295" s="681"/>
      <c r="AH295" s="681"/>
      <c r="AI295" s="681"/>
      <c r="AJ295" s="681"/>
      <c r="AK295" s="681"/>
      <c r="AL295" s="681"/>
    </row>
    <row r="296" spans="1:41" ht="15" customHeight="1">
      <c r="B296" s="662"/>
      <c r="C296" s="662"/>
      <c r="D296" s="662"/>
      <c r="E296" s="662"/>
      <c r="F296" s="662"/>
      <c r="G296" s="662"/>
      <c r="H296" s="662"/>
      <c r="I296" s="662"/>
      <c r="J296" s="662"/>
      <c r="K296" s="662"/>
      <c r="L296" s="662"/>
      <c r="M296" s="662"/>
      <c r="N296" s="662"/>
      <c r="O296" s="651"/>
      <c r="P296" s="662"/>
      <c r="Q296" s="649"/>
      <c r="R296" s="682"/>
      <c r="S296" s="649"/>
      <c r="T296" s="682"/>
      <c r="U296" s="682"/>
      <c r="V296" s="682"/>
      <c r="W296" s="682"/>
      <c r="X296" s="682"/>
      <c r="Y296" s="682"/>
      <c r="Z296" s="682"/>
      <c r="AA296" s="682"/>
      <c r="AB296" s="682"/>
      <c r="AC296" s="649"/>
      <c r="AD296" s="649"/>
      <c r="AE296" s="641"/>
      <c r="AF296" s="642"/>
      <c r="AG296" s="642"/>
    </row>
    <row r="297" spans="1:41" ht="33.6">
      <c r="A297" s="474"/>
      <c r="B297" s="690" t="s">
        <v>782</v>
      </c>
      <c r="C297" s="690"/>
      <c r="D297" s="690" t="s">
        <v>783</v>
      </c>
      <c r="E297" s="690"/>
      <c r="F297" s="690" t="s">
        <v>784</v>
      </c>
      <c r="G297" s="690"/>
      <c r="H297" s="690" t="s">
        <v>785</v>
      </c>
      <c r="I297" s="690"/>
      <c r="J297" s="690" t="s">
        <v>786</v>
      </c>
      <c r="K297" s="690"/>
      <c r="L297" s="690" t="s">
        <v>787</v>
      </c>
      <c r="M297" s="690"/>
      <c r="N297" s="690" t="s">
        <v>788</v>
      </c>
      <c r="O297" s="690"/>
      <c r="P297" s="690" t="s">
        <v>791</v>
      </c>
      <c r="Q297" s="690"/>
      <c r="R297" s="690" t="s">
        <v>1305</v>
      </c>
      <c r="S297" s="690"/>
      <c r="T297" s="690" t="s">
        <v>1306</v>
      </c>
      <c r="U297" s="690"/>
      <c r="V297" s="690" t="s">
        <v>1307</v>
      </c>
      <c r="W297" s="690"/>
      <c r="X297" s="690" t="s">
        <v>1308</v>
      </c>
      <c r="Y297" s="690"/>
      <c r="Z297" s="690" t="s">
        <v>1309</v>
      </c>
      <c r="AA297" s="666"/>
      <c r="AB297" s="690" t="s">
        <v>794</v>
      </c>
      <c r="AC297" s="690"/>
      <c r="AD297" s="690" t="s">
        <v>795</v>
      </c>
      <c r="AE297" s="666"/>
      <c r="AF297" s="666"/>
      <c r="AG297" s="666"/>
      <c r="AH297" s="666"/>
      <c r="AI297" s="666"/>
      <c r="AJ297" s="666"/>
      <c r="AK297" s="666"/>
      <c r="AL297" s="666"/>
    </row>
    <row r="298" spans="1:41" ht="33.6">
      <c r="B298" s="658"/>
      <c r="C298" s="648"/>
      <c r="D298" s="658"/>
      <c r="E298" s="648"/>
      <c r="F298" s="658"/>
      <c r="G298" s="648"/>
      <c r="H298" s="658"/>
      <c r="I298" s="648"/>
      <c r="J298" s="658"/>
      <c r="K298" s="648"/>
      <c r="L298" s="658"/>
      <c r="M298" s="648"/>
      <c r="N298" s="658"/>
      <c r="O298" s="648"/>
      <c r="P298" s="658"/>
      <c r="Q298" s="666"/>
      <c r="R298" s="658"/>
      <c r="S298" s="648"/>
      <c r="T298" s="658"/>
      <c r="U298" s="648"/>
      <c r="V298" s="658"/>
      <c r="W298" s="648"/>
      <c r="X298" s="658"/>
      <c r="Y298" s="648"/>
      <c r="Z298" s="658"/>
      <c r="AA298" s="666"/>
      <c r="AB298" s="658"/>
      <c r="AC298" s="648"/>
      <c r="AD298" s="658"/>
      <c r="AE298" s="666"/>
      <c r="AF298" s="669"/>
      <c r="AG298" s="669"/>
      <c r="AH298" s="666"/>
      <c r="AI298" s="666"/>
      <c r="AJ298" s="666"/>
      <c r="AK298" s="666"/>
      <c r="AL298" s="666"/>
    </row>
    <row r="299" spans="1:41" ht="16.5" customHeight="1" thickBot="1">
      <c r="B299" s="660"/>
      <c r="C299" s="648"/>
      <c r="D299" s="660"/>
      <c r="E299" s="648"/>
      <c r="F299" s="660"/>
      <c r="G299" s="648"/>
      <c r="H299" s="660"/>
      <c r="I299" s="648"/>
      <c r="J299" s="660"/>
      <c r="K299" s="648"/>
      <c r="L299" s="660"/>
      <c r="M299" s="648"/>
      <c r="N299" s="660"/>
      <c r="O299" s="648"/>
      <c r="P299" s="660"/>
      <c r="Q299" s="666"/>
      <c r="R299" s="660"/>
      <c r="S299" s="648"/>
      <c r="T299" s="660"/>
      <c r="U299" s="648"/>
      <c r="V299" s="660"/>
      <c r="W299" s="648"/>
      <c r="X299" s="660"/>
      <c r="Y299" s="648"/>
      <c r="Z299" s="660"/>
      <c r="AA299" s="666"/>
      <c r="AB299" s="660"/>
      <c r="AC299" s="648"/>
      <c r="AD299" s="660"/>
      <c r="AE299" s="666"/>
      <c r="AF299" s="669"/>
      <c r="AG299" s="669"/>
      <c r="AH299" s="666"/>
      <c r="AI299" s="666"/>
      <c r="AJ299" s="666"/>
      <c r="AK299" s="666"/>
      <c r="AL299" s="666"/>
    </row>
    <row r="300" spans="1:41" ht="100.05" customHeight="1" thickBot="1">
      <c r="B300" s="679"/>
      <c r="C300" s="653">
        <v>359.14</v>
      </c>
      <c r="D300" s="679"/>
      <c r="E300" s="653">
        <v>384.88</v>
      </c>
      <c r="F300" s="679"/>
      <c r="G300" s="653">
        <v>381.91</v>
      </c>
      <c r="H300" s="679"/>
      <c r="I300" s="653">
        <v>397.15</v>
      </c>
      <c r="J300" s="679"/>
      <c r="K300" s="653">
        <v>387.13</v>
      </c>
      <c r="L300" s="679"/>
      <c r="M300" s="653">
        <v>392.12</v>
      </c>
      <c r="N300" s="679"/>
      <c r="O300" s="653">
        <v>364.62</v>
      </c>
      <c r="P300" s="679"/>
      <c r="Q300" s="690">
        <v>188.37</v>
      </c>
      <c r="R300" s="709"/>
      <c r="S300" s="653">
        <v>395.54</v>
      </c>
      <c r="T300" s="679"/>
      <c r="U300" s="653">
        <v>425</v>
      </c>
      <c r="V300" s="679"/>
      <c r="W300" s="653">
        <v>407</v>
      </c>
      <c r="X300" s="679"/>
      <c r="Y300" s="653">
        <v>433</v>
      </c>
      <c r="Z300" s="637" t="s">
        <v>354</v>
      </c>
      <c r="AA300" s="653">
        <v>489.23</v>
      </c>
      <c r="AB300" s="637" t="s">
        <v>46</v>
      </c>
      <c r="AC300" s="653">
        <v>290</v>
      </c>
      <c r="AD300" s="637"/>
      <c r="AE300" s="733">
        <v>419.40300000000002</v>
      </c>
      <c r="AF300" s="669"/>
      <c r="AG300" s="669"/>
      <c r="AH300" s="666"/>
      <c r="AI300" s="666"/>
      <c r="AJ300" s="666"/>
      <c r="AK300" s="666"/>
      <c r="AL300" s="666"/>
      <c r="AM300" s="809">
        <f>COUNTIF(B300:AB300,"U/P")</f>
        <v>1</v>
      </c>
      <c r="AN300" s="809">
        <f>COUNTIF(C300:AC300,"ROW")</f>
        <v>0</v>
      </c>
      <c r="AO300" s="809">
        <f>COUNTIF(B300:AD300,"C")</f>
        <v>1</v>
      </c>
    </row>
    <row r="301" spans="1:41" ht="16.5" customHeight="1" thickBot="1">
      <c r="B301" s="656"/>
      <c r="C301" s="666"/>
      <c r="D301" s="656"/>
      <c r="E301" s="666"/>
      <c r="F301" s="656"/>
      <c r="G301" s="666"/>
      <c r="H301" s="656"/>
      <c r="I301" s="666"/>
      <c r="J301" s="656"/>
      <c r="K301" s="666"/>
      <c r="L301" s="656"/>
      <c r="M301" s="666"/>
      <c r="N301" s="656"/>
      <c r="O301" s="666"/>
      <c r="P301" s="656"/>
      <c r="Q301" s="666"/>
      <c r="R301" s="656"/>
      <c r="S301" s="666"/>
      <c r="T301" s="656"/>
      <c r="U301" s="666"/>
      <c r="V301" s="656"/>
      <c r="W301" s="666"/>
      <c r="X301" s="656"/>
      <c r="Y301" s="666"/>
      <c r="Z301" s="656"/>
      <c r="AA301" s="666"/>
      <c r="AB301" s="656"/>
      <c r="AC301" s="666"/>
      <c r="AD301" s="734"/>
      <c r="AE301" s="666"/>
      <c r="AF301" s="669"/>
      <c r="AG301" s="669"/>
      <c r="AH301" s="666"/>
      <c r="AI301" s="666"/>
      <c r="AJ301" s="666"/>
      <c r="AK301" s="666"/>
      <c r="AL301" s="666"/>
    </row>
    <row r="302" spans="1:41" ht="33.6">
      <c r="B302" s="644" t="s">
        <v>147</v>
      </c>
      <c r="C302" s="644"/>
      <c r="D302" s="644" t="s">
        <v>147</v>
      </c>
      <c r="E302" s="644"/>
      <c r="F302" s="644" t="s">
        <v>147</v>
      </c>
      <c r="G302" s="644"/>
      <c r="H302" s="644" t="s">
        <v>147</v>
      </c>
      <c r="I302" s="644"/>
      <c r="J302" s="644" t="s">
        <v>147</v>
      </c>
      <c r="K302" s="644"/>
      <c r="L302" s="644" t="s">
        <v>147</v>
      </c>
      <c r="M302" s="644"/>
      <c r="N302" s="644" t="s">
        <v>147</v>
      </c>
      <c r="O302" s="648"/>
      <c r="P302" s="644" t="s">
        <v>90</v>
      </c>
      <c r="Q302" s="666"/>
      <c r="R302" s="735" t="s">
        <v>90</v>
      </c>
      <c r="S302" s="666"/>
      <c r="T302" s="645" t="s">
        <v>153</v>
      </c>
      <c r="U302" s="666"/>
      <c r="V302" s="666" t="s">
        <v>150</v>
      </c>
      <c r="W302" s="666"/>
      <c r="X302" s="736" t="s">
        <v>147</v>
      </c>
      <c r="Y302" s="666"/>
      <c r="Z302" s="645" t="s">
        <v>97</v>
      </c>
      <c r="AA302" s="666"/>
      <c r="AB302" s="645" t="s">
        <v>112</v>
      </c>
      <c r="AC302" s="666"/>
      <c r="AD302" s="645" t="s">
        <v>112</v>
      </c>
      <c r="AE302" s="666"/>
      <c r="AF302" s="669"/>
      <c r="AG302" s="669"/>
      <c r="AH302" s="666"/>
      <c r="AI302" s="666"/>
      <c r="AJ302" s="666"/>
      <c r="AK302" s="666"/>
      <c r="AL302" s="666"/>
    </row>
    <row r="303" spans="1:41" ht="4.5" customHeight="1">
      <c r="B303" s="649"/>
      <c r="C303" s="649"/>
      <c r="D303" s="649"/>
      <c r="E303" s="649"/>
      <c r="F303" s="649"/>
      <c r="G303" s="649"/>
      <c r="H303" s="649"/>
      <c r="I303" s="649"/>
      <c r="J303" s="649"/>
      <c r="K303" s="649"/>
      <c r="L303" s="649"/>
      <c r="M303" s="649"/>
      <c r="N303" s="649"/>
      <c r="O303" s="649"/>
      <c r="P303" s="649"/>
      <c r="Q303" s="649"/>
      <c r="R303" s="649"/>
      <c r="S303" s="649"/>
      <c r="T303" s="649"/>
      <c r="U303" s="649"/>
      <c r="V303" s="649"/>
      <c r="W303" s="649"/>
      <c r="X303" s="649"/>
      <c r="Y303" s="649"/>
      <c r="Z303" s="649"/>
      <c r="AA303" s="649"/>
      <c r="AB303" s="649"/>
      <c r="AC303" s="649"/>
      <c r="AD303" s="649"/>
      <c r="AE303" s="727"/>
      <c r="AF303" s="632"/>
      <c r="AG303" s="632"/>
    </row>
    <row r="304" spans="1:41" ht="30" customHeight="1">
      <c r="A304" s="681"/>
      <c r="B304" s="681"/>
      <c r="C304" s="681"/>
      <c r="D304" s="708"/>
      <c r="E304" s="681"/>
      <c r="F304" s="681"/>
      <c r="G304" s="681"/>
      <c r="H304" s="681"/>
      <c r="I304" s="681"/>
      <c r="J304" s="1427"/>
      <c r="K304" s="1427"/>
      <c r="L304" s="1427"/>
      <c r="M304" s="1427"/>
      <c r="N304" s="1427"/>
      <c r="O304" s="1427"/>
      <c r="P304" s="1427"/>
      <c r="Q304" s="1427"/>
      <c r="R304" s="1427"/>
      <c r="S304" s="1427"/>
      <c r="T304" s="1427"/>
      <c r="U304" s="1427"/>
      <c r="V304" s="1427"/>
      <c r="W304" s="1427"/>
      <c r="X304" s="1427"/>
      <c r="Y304" s="1427"/>
      <c r="Z304" s="1395" t="s">
        <v>1476</v>
      </c>
      <c r="AA304" s="1395"/>
      <c r="AB304" s="1395"/>
      <c r="AC304" s="1395"/>
      <c r="AD304" s="1395"/>
      <c r="AE304" s="1395"/>
      <c r="AF304" s="1415"/>
      <c r="AG304" s="786"/>
      <c r="AH304" s="808"/>
      <c r="AI304" s="817"/>
      <c r="AJ304" s="817"/>
      <c r="AK304" s="817"/>
      <c r="AL304" s="817"/>
    </row>
    <row r="305" spans="1:41" ht="33.6">
      <c r="A305" s="474"/>
      <c r="B305" s="690" t="s">
        <v>796</v>
      </c>
      <c r="C305" s="690"/>
      <c r="D305" s="690" t="s">
        <v>797</v>
      </c>
      <c r="E305" s="690"/>
      <c r="F305" s="690" t="s">
        <v>1251</v>
      </c>
      <c r="G305" s="690"/>
      <c r="H305" s="690" t="s">
        <v>799</v>
      </c>
      <c r="I305" s="690"/>
      <c r="J305" s="690" t="s">
        <v>800</v>
      </c>
      <c r="K305" s="690"/>
      <c r="L305" s="690" t="s">
        <v>801</v>
      </c>
      <c r="M305" s="690"/>
      <c r="N305" s="690" t="s">
        <v>802</v>
      </c>
      <c r="O305" s="690"/>
      <c r="P305" s="1439" t="s">
        <v>1450</v>
      </c>
      <c r="Q305" s="1439"/>
      <c r="R305" s="666"/>
      <c r="S305" s="649"/>
      <c r="T305" s="892">
        <v>1</v>
      </c>
      <c r="U305" s="1440" t="s">
        <v>1470</v>
      </c>
      <c r="V305" s="1440"/>
      <c r="W305" s="1440"/>
      <c r="X305" s="1440"/>
      <c r="Y305" s="1440"/>
      <c r="Z305" s="1433"/>
      <c r="AA305" s="1433"/>
      <c r="AB305" s="1436"/>
      <c r="AC305" s="1436"/>
      <c r="AD305" s="1441"/>
      <c r="AE305" s="1442"/>
      <c r="AF305" s="1442"/>
      <c r="AG305" s="1442"/>
      <c r="AH305" s="1442"/>
      <c r="AI305" s="822"/>
      <c r="AJ305" s="822"/>
      <c r="AK305" s="822"/>
      <c r="AL305" s="822"/>
    </row>
    <row r="306" spans="1:41" ht="33.450000000000003" customHeight="1">
      <c r="B306" s="658"/>
      <c r="C306" s="648"/>
      <c r="D306" s="658"/>
      <c r="E306" s="648"/>
      <c r="F306" s="658"/>
      <c r="G306" s="648"/>
      <c r="H306" s="658"/>
      <c r="I306" s="648"/>
      <c r="J306" s="658"/>
      <c r="K306" s="648"/>
      <c r="L306" s="658"/>
      <c r="M306" s="648"/>
      <c r="N306" s="658"/>
      <c r="O306" s="648"/>
      <c r="P306" s="666"/>
      <c r="Q306" s="666"/>
      <c r="R306" s="658"/>
      <c r="S306" s="651"/>
      <c r="T306" s="738">
        <v>2</v>
      </c>
      <c r="U306" s="1433" t="s">
        <v>1471</v>
      </c>
      <c r="V306" s="1433"/>
      <c r="W306" s="1433"/>
      <c r="X306" s="1433"/>
      <c r="Y306" s="1433"/>
      <c r="Z306" s="1433"/>
      <c r="AA306" s="1433"/>
      <c r="AB306" s="1434"/>
      <c r="AC306" s="1434"/>
      <c r="AD306" s="1443">
        <f>AB306+AB307+AB308</f>
        <v>0</v>
      </c>
      <c r="AE306" s="1443"/>
      <c r="AF306" s="1443"/>
      <c r="AG306" s="1443"/>
      <c r="AH306" s="1443"/>
      <c r="AI306" s="816"/>
      <c r="AJ306" s="816"/>
      <c r="AK306" s="816"/>
      <c r="AL306" s="816"/>
    </row>
    <row r="307" spans="1:41" ht="32.549999999999997" customHeight="1" thickBot="1">
      <c r="A307" s="438"/>
      <c r="B307" s="660"/>
      <c r="C307" s="648"/>
      <c r="D307" s="660"/>
      <c r="E307" s="648"/>
      <c r="F307" s="660"/>
      <c r="G307" s="648"/>
      <c r="H307" s="660"/>
      <c r="I307" s="648"/>
      <c r="J307" s="660"/>
      <c r="K307" s="648"/>
      <c r="L307" s="660"/>
      <c r="M307" s="648"/>
      <c r="N307" s="660"/>
      <c r="O307" s="648"/>
      <c r="P307" s="660"/>
      <c r="Q307" s="666"/>
      <c r="R307" s="660"/>
      <c r="S307" s="651"/>
      <c r="T307" s="739">
        <v>3</v>
      </c>
      <c r="U307" s="1444" t="s">
        <v>1472</v>
      </c>
      <c r="V307" s="1445"/>
      <c r="W307" s="1445"/>
      <c r="X307" s="1445"/>
      <c r="Y307" s="1445"/>
      <c r="Z307" s="1445"/>
      <c r="AA307" s="1446"/>
      <c r="AB307" s="1434"/>
      <c r="AC307" s="1434"/>
      <c r="AD307" s="1443"/>
      <c r="AE307" s="1443"/>
      <c r="AF307" s="1443"/>
      <c r="AG307" s="1443"/>
      <c r="AH307" s="1443"/>
      <c r="AI307" s="816"/>
      <c r="AJ307" s="816"/>
      <c r="AK307" s="816"/>
      <c r="AL307" s="816"/>
    </row>
    <row r="308" spans="1:41" ht="100.05" customHeight="1" thickBot="1">
      <c r="A308" s="438"/>
      <c r="B308" s="709"/>
      <c r="C308" s="653">
        <v>242.63</v>
      </c>
      <c r="D308" s="637" t="s">
        <v>354</v>
      </c>
      <c r="E308" s="653">
        <v>342.72699999999998</v>
      </c>
      <c r="F308" s="679"/>
      <c r="G308" s="653">
        <v>389.221</v>
      </c>
      <c r="H308" s="637"/>
      <c r="I308" s="653">
        <v>220.25299999999999</v>
      </c>
      <c r="J308" s="637"/>
      <c r="K308" s="653">
        <v>241.31200000000001</v>
      </c>
      <c r="L308" s="637"/>
      <c r="M308" s="653">
        <v>214.90199999999999</v>
      </c>
      <c r="N308" s="637"/>
      <c r="O308" s="644">
        <v>113.742</v>
      </c>
      <c r="P308" s="740"/>
      <c r="Q308" s="666"/>
      <c r="R308" s="741"/>
      <c r="S308" s="654"/>
      <c r="T308" s="738">
        <v>4</v>
      </c>
      <c r="U308" s="1433" t="s">
        <v>1473</v>
      </c>
      <c r="V308" s="1433"/>
      <c r="W308" s="1433"/>
      <c r="X308" s="1433"/>
      <c r="Y308" s="1433"/>
      <c r="Z308" s="1433"/>
      <c r="AA308" s="1433"/>
      <c r="AB308" s="1447"/>
      <c r="AC308" s="1448"/>
      <c r="AD308" s="1443"/>
      <c r="AE308" s="1443"/>
      <c r="AF308" s="1443"/>
      <c r="AG308" s="1443"/>
      <c r="AH308" s="1443"/>
      <c r="AI308" s="816"/>
      <c r="AJ308" s="816"/>
      <c r="AK308" s="816"/>
      <c r="AL308" s="816"/>
      <c r="AM308" s="809">
        <f>COUNTIF(B308:AB308,"U/P")</f>
        <v>1</v>
      </c>
      <c r="AN308" s="809">
        <f>COUNTIF(C308:AC308,"ROW")</f>
        <v>0</v>
      </c>
      <c r="AO308" s="809">
        <f>COUNTIF(D308:AD308,"C")</f>
        <v>0</v>
      </c>
    </row>
    <row r="309" spans="1:41" ht="26.55" customHeight="1" thickBot="1">
      <c r="A309" s="438"/>
      <c r="B309" s="656"/>
      <c r="C309" s="666"/>
      <c r="D309" s="656"/>
      <c r="E309" s="666"/>
      <c r="F309" s="656"/>
      <c r="G309" s="666"/>
      <c r="H309" s="656"/>
      <c r="I309" s="666"/>
      <c r="J309" s="656"/>
      <c r="K309" s="666"/>
      <c r="L309" s="656"/>
      <c r="M309" s="666"/>
      <c r="N309" s="656"/>
      <c r="O309" s="666"/>
      <c r="P309" s="742"/>
      <c r="Q309" s="666"/>
      <c r="R309" s="658"/>
      <c r="S309" s="649"/>
      <c r="T309" s="670">
        <v>5</v>
      </c>
      <c r="U309" s="1433" t="s">
        <v>1474</v>
      </c>
      <c r="V309" s="1433"/>
      <c r="W309" s="1433"/>
      <c r="X309" s="1433"/>
      <c r="Y309" s="1433"/>
      <c r="Z309" s="1433"/>
      <c r="AA309" s="1433"/>
      <c r="AB309" s="1434"/>
      <c r="AC309" s="1434"/>
      <c r="AD309" s="1435">
        <f>AB309+AB310</f>
        <v>0</v>
      </c>
      <c r="AE309" s="1435"/>
      <c r="AF309" s="1435"/>
      <c r="AG309" s="1435"/>
      <c r="AH309" s="1435"/>
      <c r="AI309" s="815"/>
      <c r="AJ309" s="815"/>
      <c r="AK309" s="815"/>
      <c r="AL309" s="815"/>
      <c r="AM309" s="644">
        <f>SUM(AM19:AM308)</f>
        <v>9</v>
      </c>
      <c r="AN309" s="644">
        <f>SUM(AN20:AN308)</f>
        <v>21</v>
      </c>
      <c r="AO309" s="644">
        <f>SUM(AO20:AO308)</f>
        <v>2</v>
      </c>
    </row>
    <row r="310" spans="1:41" ht="34.950000000000003" customHeight="1">
      <c r="A310" s="438"/>
      <c r="B310" s="645" t="s">
        <v>82</v>
      </c>
      <c r="C310" s="644"/>
      <c r="D310" s="645" t="s">
        <v>82</v>
      </c>
      <c r="E310" s="644"/>
      <c r="F310" s="645" t="s">
        <v>84</v>
      </c>
      <c r="G310" s="644"/>
      <c r="H310" s="645" t="s">
        <v>90</v>
      </c>
      <c r="I310" s="644"/>
      <c r="J310" s="645" t="s">
        <v>90</v>
      </c>
      <c r="K310" s="644"/>
      <c r="L310" s="645" t="s">
        <v>112</v>
      </c>
      <c r="M310" s="644"/>
      <c r="N310" s="645" t="s">
        <v>90</v>
      </c>
      <c r="O310" s="648"/>
      <c r="P310" s="648"/>
      <c r="Q310" s="666"/>
      <c r="R310" s="666"/>
      <c r="S310" s="649"/>
      <c r="T310" s="743">
        <v>6</v>
      </c>
      <c r="U310" s="1433" t="s">
        <v>1475</v>
      </c>
      <c r="V310" s="1433"/>
      <c r="W310" s="1433"/>
      <c r="X310" s="1433"/>
      <c r="Y310" s="1433"/>
      <c r="Z310" s="1433"/>
      <c r="AA310" s="1433"/>
      <c r="AB310" s="1436"/>
      <c r="AC310" s="1436"/>
      <c r="AD310" s="1435"/>
      <c r="AE310" s="1435"/>
      <c r="AF310" s="1435"/>
      <c r="AG310" s="1435"/>
      <c r="AH310" s="1435"/>
      <c r="AI310" s="815"/>
      <c r="AJ310" s="815"/>
      <c r="AK310" s="815"/>
      <c r="AL310" s="815"/>
      <c r="AM310" s="684" t="s">
        <v>354</v>
      </c>
      <c r="AN310" s="684" t="s">
        <v>192</v>
      </c>
      <c r="AO310" s="684" t="s">
        <v>339</v>
      </c>
    </row>
    <row r="311" spans="1:41" ht="39.450000000000003" customHeight="1">
      <c r="A311" s="894"/>
      <c r="B311" s="894"/>
      <c r="C311" s="894"/>
      <c r="D311" s="894" t="s">
        <v>192</v>
      </c>
      <c r="E311" s="894"/>
      <c r="F311" s="894"/>
      <c r="G311" s="894"/>
      <c r="J311" s="808" t="s">
        <v>1476</v>
      </c>
      <c r="K311" s="885"/>
      <c r="L311" s="885"/>
      <c r="M311" s="885"/>
      <c r="N311" s="885"/>
      <c r="O311" s="885"/>
      <c r="P311" s="885"/>
      <c r="Q311" s="885"/>
      <c r="R311" s="902"/>
      <c r="S311" s="681"/>
      <c r="T311" s="802">
        <v>7</v>
      </c>
      <c r="U311" s="1437" t="s">
        <v>1477</v>
      </c>
      <c r="V311" s="1437"/>
      <c r="W311" s="1437"/>
      <c r="X311" s="1437"/>
      <c r="Y311" s="1437"/>
      <c r="Z311" s="1437"/>
      <c r="AA311" s="1437"/>
      <c r="AB311" s="1438"/>
      <c r="AC311" s="1438"/>
      <c r="AD311" s="1435"/>
      <c r="AE311" s="1435"/>
      <c r="AF311" s="1435"/>
      <c r="AG311" s="1435"/>
      <c r="AH311" s="1435"/>
      <c r="AI311" s="815"/>
      <c r="AJ311" s="815"/>
      <c r="AK311" s="815"/>
      <c r="AL311" s="815"/>
    </row>
    <row r="312" spans="1:41" ht="14.4">
      <c r="AE312" s="632"/>
      <c r="AF312" s="632"/>
      <c r="AG312" s="632"/>
    </row>
    <row r="313" spans="1:41" ht="14.4">
      <c r="A313" s="438"/>
      <c r="B313" s="443"/>
      <c r="C313" s="444"/>
      <c r="D313" s="443"/>
      <c r="E313" s="444"/>
      <c r="F313" s="443"/>
      <c r="G313" s="444"/>
      <c r="H313" s="443"/>
      <c r="I313" s="444"/>
      <c r="J313" s="443"/>
      <c r="K313" s="444"/>
      <c r="L313" s="443"/>
      <c r="M313" s="444"/>
      <c r="N313" s="443"/>
      <c r="O313" s="444"/>
      <c r="P313" s="443"/>
      <c r="R313" s="443"/>
      <c r="S313" s="444"/>
      <c r="T313" s="443"/>
      <c r="U313" s="444"/>
      <c r="V313" s="443"/>
      <c r="W313" s="444"/>
      <c r="X313" s="443"/>
      <c r="Y313" s="444"/>
      <c r="Z313" s="443"/>
      <c r="AA313" s="444"/>
      <c r="AB313" s="443"/>
      <c r="AE313" s="642"/>
      <c r="AF313" s="642"/>
      <c r="AG313" s="642"/>
    </row>
    <row r="314" spans="1:41" ht="16.5" customHeight="1">
      <c r="A314" s="438"/>
      <c r="B314" s="415"/>
      <c r="C314" s="444"/>
      <c r="D314" s="415"/>
      <c r="E314" s="444"/>
      <c r="F314" s="415"/>
      <c r="G314" s="444"/>
      <c r="H314" s="415"/>
      <c r="I314" s="444"/>
      <c r="J314" s="415"/>
      <c r="K314" s="444"/>
      <c r="L314" s="415"/>
      <c r="M314" s="444"/>
      <c r="N314" s="415"/>
      <c r="O314" s="444"/>
      <c r="P314" s="415"/>
      <c r="R314" s="415"/>
      <c r="S314" s="444"/>
      <c r="T314" s="415"/>
      <c r="U314" s="444"/>
      <c r="V314" s="415"/>
      <c r="W314" s="444"/>
      <c r="X314" s="415"/>
      <c r="Y314" s="444"/>
      <c r="Z314" s="415"/>
      <c r="AA314" s="444"/>
      <c r="AB314" s="415"/>
      <c r="AE314" s="446"/>
      <c r="AF314" s="446"/>
      <c r="AG314" s="446"/>
    </row>
    <row r="315" spans="1:41" ht="42.75" customHeight="1">
      <c r="A315" s="438"/>
      <c r="B315" s="423"/>
      <c r="C315" s="448"/>
      <c r="D315" s="423"/>
      <c r="E315" s="448"/>
      <c r="F315" s="423"/>
      <c r="G315" s="448"/>
      <c r="H315" s="423"/>
      <c r="I315" s="448"/>
      <c r="J315" s="423"/>
      <c r="K315" s="448"/>
      <c r="L315" s="423"/>
      <c r="M315" s="448"/>
      <c r="N315" s="423"/>
      <c r="O315" s="444"/>
      <c r="P315" s="423"/>
      <c r="R315" s="423"/>
      <c r="S315" s="448"/>
      <c r="T315" s="423"/>
      <c r="U315" s="448"/>
      <c r="V315" s="423"/>
      <c r="W315" s="448"/>
      <c r="X315" s="423"/>
      <c r="Y315" s="448"/>
      <c r="Z315" s="423"/>
      <c r="AA315" s="448"/>
      <c r="AB315" s="423"/>
      <c r="AE315" s="446"/>
      <c r="AF315" s="446"/>
      <c r="AG315" s="446"/>
    </row>
    <row r="316" spans="1:41" ht="16.5" customHeight="1">
      <c r="A316" s="438"/>
      <c r="B316" s="443"/>
      <c r="D316" s="443"/>
      <c r="F316" s="443"/>
      <c r="H316" s="443"/>
      <c r="J316" s="443"/>
      <c r="L316" s="443"/>
      <c r="N316" s="443"/>
      <c r="P316" s="443"/>
      <c r="R316" s="443"/>
      <c r="T316" s="443"/>
      <c r="V316" s="443"/>
      <c r="X316" s="443"/>
      <c r="Z316" s="443"/>
      <c r="AB316" s="443"/>
      <c r="AE316" s="446"/>
      <c r="AF316" s="446"/>
      <c r="AG316" s="446"/>
    </row>
    <row r="317" spans="1:41">
      <c r="A317" s="438"/>
      <c r="B317" s="421"/>
      <c r="C317" s="421"/>
      <c r="D317" s="421"/>
      <c r="E317" s="421"/>
      <c r="F317" s="421"/>
      <c r="G317" s="421"/>
      <c r="H317" s="421"/>
      <c r="I317" s="421"/>
      <c r="J317" s="421"/>
      <c r="K317" s="421"/>
      <c r="L317" s="421"/>
      <c r="M317" s="421"/>
      <c r="N317" s="421"/>
      <c r="O317" s="444"/>
      <c r="P317" s="444"/>
      <c r="AE317" s="446"/>
      <c r="AF317" s="446"/>
      <c r="AG317" s="446"/>
    </row>
    <row r="319" spans="1:41">
      <c r="AE319" s="446"/>
      <c r="AF319" s="446"/>
      <c r="AG319" s="446"/>
    </row>
  </sheetData>
  <mergeCells count="25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D249:E249"/>
    <mergeCell ref="F249:G249"/>
    <mergeCell ref="H249:I249"/>
    <mergeCell ref="L249:M249"/>
    <mergeCell ref="N249:O249"/>
    <mergeCell ref="P249:Q249"/>
    <mergeCell ref="P241:Q241"/>
    <mergeCell ref="R241:S241"/>
    <mergeCell ref="T241:U241"/>
    <mergeCell ref="R249:S249"/>
    <mergeCell ref="T249:U249"/>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A230:G230"/>
    <mergeCell ref="H230:P230"/>
    <mergeCell ref="Q230:X230"/>
    <mergeCell ref="Y230:AD230"/>
    <mergeCell ref="L223:M223"/>
    <mergeCell ref="N223:O223"/>
    <mergeCell ref="P223:Q223"/>
    <mergeCell ref="R223:S223"/>
    <mergeCell ref="T223:U223"/>
    <mergeCell ref="V223:W223"/>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P207:Q207"/>
    <mergeCell ref="T207:U207"/>
    <mergeCell ref="V207:W207"/>
    <mergeCell ref="F214:H214"/>
    <mergeCell ref="R214:T214"/>
    <mergeCell ref="D215:E215"/>
    <mergeCell ref="F215:G215"/>
    <mergeCell ref="H215:I215"/>
    <mergeCell ref="L215:M215"/>
    <mergeCell ref="N215:O215"/>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A102:AH102"/>
    <mergeCell ref="W110:Y110"/>
    <mergeCell ref="A111:AH111"/>
    <mergeCell ref="L112:M112"/>
    <mergeCell ref="P112:Q112"/>
    <mergeCell ref="Z112:AA112"/>
    <mergeCell ref="T79:U79"/>
    <mergeCell ref="V79:W79"/>
    <mergeCell ref="X79:Y79"/>
    <mergeCell ref="A85:H85"/>
    <mergeCell ref="I85:AF85"/>
    <mergeCell ref="A93:AH93"/>
    <mergeCell ref="A77:W77"/>
    <mergeCell ref="X77:AH77"/>
    <mergeCell ref="D79:E79"/>
    <mergeCell ref="F79:G79"/>
    <mergeCell ref="H79:I79"/>
    <mergeCell ref="J79:K79"/>
    <mergeCell ref="L79:M79"/>
    <mergeCell ref="N79:O79"/>
    <mergeCell ref="P79:Q79"/>
    <mergeCell ref="R79:S79"/>
    <mergeCell ref="A61:AH61"/>
    <mergeCell ref="M68:N68"/>
    <mergeCell ref="X68:Y68"/>
    <mergeCell ref="A69:AH69"/>
    <mergeCell ref="N70:O70"/>
    <mergeCell ref="P70:Q70"/>
    <mergeCell ref="A52:AH52"/>
    <mergeCell ref="N54:O54"/>
    <mergeCell ref="V54:W54"/>
    <mergeCell ref="Z54:AA54"/>
    <mergeCell ref="I60:J60"/>
    <mergeCell ref="L60:M60"/>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S15:T15"/>
    <mergeCell ref="A16:B16"/>
    <mergeCell ref="C16:E16"/>
    <mergeCell ref="F16:G16"/>
    <mergeCell ref="H16:J16"/>
    <mergeCell ref="K16:M16"/>
    <mergeCell ref="N16:P16"/>
    <mergeCell ref="A15:B15"/>
    <mergeCell ref="C15:E15"/>
    <mergeCell ref="F15:G15"/>
    <mergeCell ref="H15:J15"/>
    <mergeCell ref="K15:M15"/>
    <mergeCell ref="N15:P15"/>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A11:B11"/>
    <mergeCell ref="C11:E11"/>
    <mergeCell ref="F11:G11"/>
    <mergeCell ref="H11:J11"/>
    <mergeCell ref="K11:M11"/>
    <mergeCell ref="N11:P11"/>
    <mergeCell ref="A10:B10"/>
    <mergeCell ref="C10:E10"/>
    <mergeCell ref="F10:G10"/>
    <mergeCell ref="H10:J10"/>
    <mergeCell ref="K10:M10"/>
    <mergeCell ref="N10:P10"/>
    <mergeCell ref="A9:B9"/>
    <mergeCell ref="C9:E9"/>
    <mergeCell ref="F9:G9"/>
    <mergeCell ref="H9:J9"/>
    <mergeCell ref="K9:M9"/>
    <mergeCell ref="N9:P9"/>
    <mergeCell ref="A8:B8"/>
    <mergeCell ref="C8:E8"/>
    <mergeCell ref="F8:G8"/>
    <mergeCell ref="H8:J8"/>
    <mergeCell ref="K8:M8"/>
    <mergeCell ref="N8:P8"/>
    <mergeCell ref="AA5:AC5"/>
    <mergeCell ref="A7:B7"/>
    <mergeCell ref="C7:E7"/>
    <mergeCell ref="F7:G7"/>
    <mergeCell ref="H7:J7"/>
    <mergeCell ref="K7:M7"/>
    <mergeCell ref="N7:P7"/>
    <mergeCell ref="A5:B6"/>
    <mergeCell ref="C5:E6"/>
    <mergeCell ref="F5:G6"/>
    <mergeCell ref="H5:J6"/>
    <mergeCell ref="K5:M6"/>
    <mergeCell ref="N5:P6"/>
    <mergeCell ref="A1:AD1"/>
    <mergeCell ref="A2:Y2"/>
    <mergeCell ref="Z2:AA2"/>
    <mergeCell ref="AB2:AD2"/>
    <mergeCell ref="A3:P4"/>
    <mergeCell ref="S3:U3"/>
    <mergeCell ref="W3:Z3"/>
    <mergeCell ref="S4:U4"/>
    <mergeCell ref="W4:Z4"/>
  </mergeCells>
  <conditionalFormatting sqref="A118">
    <cfRule type="cellIs" dxfId="66" priority="459" operator="equal">
      <formula>0</formula>
    </cfRule>
  </conditionalFormatting>
  <conditionalFormatting sqref="A171">
    <cfRule type="cellIs" dxfId="65" priority="409" operator="equal">
      <formula>0</formula>
    </cfRule>
  </conditionalFormatting>
  <conditionalFormatting sqref="A188 D188 F188 H188 J188 L188 N188 P188 R188 T188 V188 X188 Z188 AB188">
    <cfRule type="cellIs" dxfId="64" priority="1453" operator="equal">
      <formula>0</formula>
    </cfRule>
  </conditionalFormatting>
  <conditionalFormatting sqref="B51 D51 F51 H51 J51 L51 N51 P51 R51 T51 V51 X51 Z51 AB51">
    <cfRule type="cellIs" dxfId="63" priority="1513" operator="equal">
      <formula>0</formula>
    </cfRule>
  </conditionalFormatting>
  <conditionalFormatting sqref="B60 D60 F60 N60 P60 R60 T60 V60 X60 Z60 AB60">
    <cfRule type="cellIs" dxfId="62" priority="1512" operator="equal">
      <formula>0</formula>
    </cfRule>
  </conditionalFormatting>
  <conditionalFormatting sqref="B68 D68 F68 H68 J68 L68:M68 P68 R68 T68 V68 X68 Z68 AB68">
    <cfRule type="cellIs" dxfId="61" priority="1511" operator="equal">
      <formula>0</formula>
    </cfRule>
  </conditionalFormatting>
  <conditionalFormatting sqref="B86 D86 F86 H86 J86 L86 N86 P86 R86 T86 V86 X86 Z86 AB86">
    <cfRule type="cellIs" dxfId="60" priority="1501" operator="equal">
      <formula>0</formula>
    </cfRule>
  </conditionalFormatting>
  <conditionalFormatting sqref="B94 D94 F94 H94 J94 L94 N94 P94 R94 T94 V94 X94 Z94 AB94">
    <cfRule type="cellIs" dxfId="59" priority="1500" operator="equal">
      <formula>0</formula>
    </cfRule>
  </conditionalFormatting>
  <conditionalFormatting sqref="B103 D103 F103 H103 J103 L103 N103 P103 R103 T103 V103 X103 Z103 AB103">
    <cfRule type="cellIs" dxfId="58" priority="1499" operator="equal">
      <formula>0</formula>
    </cfRule>
  </conditionalFormatting>
  <conditionalFormatting sqref="B110 D110 F110 H110 J110 L110 N110 P110 T110 AB110">
    <cfRule type="cellIs" dxfId="57" priority="1498" operator="equal">
      <formula>0</formula>
    </cfRule>
  </conditionalFormatting>
  <conditionalFormatting sqref="B135 D135 F135 H135 J135 L135 N135 P135 R135 T135 V135 X135 Z135 AB135">
    <cfRule type="cellIs" dxfId="56" priority="1476" operator="equal">
      <formula>0</formula>
    </cfRule>
  </conditionalFormatting>
  <conditionalFormatting sqref="B153 D153 F153 H153 J153 L153 N153 P153 R153 T153 V153 X153 Z153 AB153">
    <cfRule type="cellIs" dxfId="55" priority="1475" operator="equal">
      <formula>0</formula>
    </cfRule>
  </conditionalFormatting>
  <conditionalFormatting sqref="B162 D162 F162 H162 J162 L162 N162 P162 R162 T162 V162 X162 Z162 AB162 B164 D164 F164 H164 J164 L164 N164 P164 R164 T164 V164 X164 Z164 AB164">
    <cfRule type="cellIs" dxfId="54" priority="1474" operator="equal">
      <formula>0</formula>
    </cfRule>
  </conditionalFormatting>
  <conditionalFormatting sqref="B180 D180 F180 H180 J180 L180 N180 P180 R180 T180 V180 X180 Z180 AB180">
    <cfRule type="cellIs" dxfId="53" priority="1472" operator="equal">
      <formula>0</formula>
    </cfRule>
  </conditionalFormatting>
  <conditionalFormatting sqref="B206 D206 F206 H206 J206 L206 N206 P206 R206 T206 V206 X206 Z206 AB206">
    <cfRule type="cellIs" dxfId="52" priority="1452" operator="equal">
      <formula>0</formula>
    </cfRule>
  </conditionalFormatting>
  <conditionalFormatting sqref="D118">
    <cfRule type="cellIs" dxfId="51" priority="458" operator="equal">
      <formula>0</formula>
    </cfRule>
  </conditionalFormatting>
  <conditionalFormatting sqref="H118">
    <cfRule type="cellIs" dxfId="50" priority="457" operator="equal">
      <formula>0</formula>
    </cfRule>
  </conditionalFormatting>
  <conditionalFormatting sqref="H171">
    <cfRule type="cellIs" dxfId="49" priority="410" operator="equal">
      <formula>0</formula>
    </cfRule>
  </conditionalFormatting>
  <conditionalFormatting sqref="H60:I60">
    <cfRule type="cellIs" dxfId="48" priority="463" operator="equal">
      <formula>0</formula>
    </cfRule>
  </conditionalFormatting>
  <conditionalFormatting sqref="L60">
    <cfRule type="cellIs" dxfId="47" priority="464" operator="equal">
      <formula>0</formula>
    </cfRule>
  </conditionalFormatting>
  <conditionalFormatting sqref="L171 N171 P171 R171 V171 X171 Z171 AB171">
    <cfRule type="cellIs" dxfId="46" priority="1473" operator="equal">
      <formula>0</formula>
    </cfRule>
  </conditionalFormatting>
  <conditionalFormatting sqref="R110">
    <cfRule type="cellIs" dxfId="45" priority="460" operator="equal">
      <formula>0</formula>
    </cfRule>
  </conditionalFormatting>
  <conditionalFormatting sqref="T171">
    <cfRule type="cellIs" dxfId="44" priority="432" operator="equal">
      <formula>0</formula>
    </cfRule>
  </conditionalFormatting>
  <conditionalFormatting sqref="V110:W110">
    <cfRule type="cellIs" dxfId="43" priority="461" operator="equal">
      <formula>0</formula>
    </cfRule>
  </conditionalFormatting>
  <conditionalFormatting sqref="Z110">
    <cfRule type="cellIs" dxfId="42" priority="462" operator="equal">
      <formula>0</formula>
    </cfRule>
  </conditionalFormatting>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77734375" defaultRowHeight="12"/>
  <cols>
    <col min="1" max="1" width="8.77734375" style="426"/>
    <col min="2" max="2" width="10" style="426" customWidth="1"/>
    <col min="3" max="3" width="6.6640625" style="426" customWidth="1"/>
    <col min="4" max="4" width="7.44140625" style="426" customWidth="1"/>
    <col min="5" max="5" width="6.6640625" style="426" customWidth="1"/>
    <col min="6" max="6" width="7.33203125" style="426" customWidth="1"/>
    <col min="7" max="7" width="6.6640625" style="426" customWidth="1"/>
    <col min="8" max="8" width="7.6640625" style="426" customWidth="1"/>
    <col min="9" max="13" width="6.6640625" style="426" customWidth="1"/>
    <col min="14" max="14" width="7.77734375" style="426" bestFit="1" customWidth="1"/>
    <col min="15" max="17" width="6.6640625" style="426" customWidth="1"/>
    <col min="18" max="18" width="7.77734375" style="426" bestFit="1" customWidth="1"/>
    <col min="19" max="21" width="6.6640625" style="426" customWidth="1"/>
    <col min="22" max="22" width="7.33203125" style="426" bestFit="1" customWidth="1"/>
    <col min="23" max="23" width="6.6640625" style="426" customWidth="1"/>
    <col min="24" max="24" width="7.44140625" style="426" customWidth="1"/>
    <col min="25" max="25" width="6.6640625" style="426" customWidth="1"/>
    <col min="26" max="26" width="7.44140625" style="426" customWidth="1"/>
    <col min="27" max="28" width="6.6640625" style="426" customWidth="1"/>
    <col min="29" max="29" width="8.77734375" style="426"/>
    <col min="30" max="30" width="6.21875" style="426" customWidth="1"/>
    <col min="31" max="31" width="5" style="426" customWidth="1"/>
    <col min="32" max="32" width="6.77734375" style="426" customWidth="1"/>
    <col min="33" max="33" width="6.5546875" style="426" customWidth="1"/>
    <col min="34" max="34" width="6.21875" style="426" customWidth="1"/>
    <col min="35" max="35" width="6.77734375" style="426" customWidth="1"/>
    <col min="36" max="36" width="11.77734375" style="426" customWidth="1"/>
    <col min="37" max="37" width="6.5546875" style="426" customWidth="1"/>
    <col min="38" max="16384" width="8.77734375" style="426"/>
  </cols>
  <sheetData>
    <row r="1" spans="1:37" ht="36.75" customHeight="1" thickBot="1">
      <c r="A1" s="1468">
        <v>52</v>
      </c>
      <c r="B1" s="1469"/>
      <c r="C1" s="1469"/>
      <c r="D1" s="1469"/>
      <c r="E1" s="1469"/>
      <c r="F1" s="1469"/>
      <c r="G1" s="1469"/>
      <c r="H1" s="1469"/>
      <c r="I1" s="1469"/>
      <c r="J1" s="1469"/>
      <c r="K1" s="1469"/>
      <c r="L1" s="1469"/>
      <c r="M1" s="1469"/>
      <c r="N1" s="1469"/>
      <c r="O1" s="1469"/>
      <c r="P1" s="1469"/>
      <c r="Q1" s="1469"/>
      <c r="R1" s="1469"/>
      <c r="S1" s="1469"/>
      <c r="T1" s="1469"/>
      <c r="U1" s="1469"/>
      <c r="V1" s="1469"/>
      <c r="W1" s="1469"/>
      <c r="X1" s="1469"/>
      <c r="Y1" s="1469"/>
      <c r="Z1" s="1469"/>
      <c r="AA1" s="1469"/>
      <c r="AB1" s="1469"/>
      <c r="AC1" s="1469"/>
      <c r="AD1" s="1469"/>
      <c r="AE1" s="1470"/>
      <c r="AF1" s="424"/>
      <c r="AG1" s="424"/>
      <c r="AH1" s="424"/>
      <c r="AI1" s="424"/>
      <c r="AJ1" s="424"/>
      <c r="AK1" s="425"/>
    </row>
    <row r="2" spans="1:37">
      <c r="A2" s="1471">
        <f ca="1">NOW()-1</f>
        <v>46114.469186921298</v>
      </c>
      <c r="B2" s="1472"/>
      <c r="C2" s="1472"/>
      <c r="D2" s="1472"/>
      <c r="E2" s="1472"/>
      <c r="F2" s="1472"/>
      <c r="G2" s="1472"/>
      <c r="H2" s="1472"/>
      <c r="I2" s="1472"/>
      <c r="J2" s="1472"/>
      <c r="K2" s="1472"/>
      <c r="L2" s="1472"/>
      <c r="M2" s="1472"/>
      <c r="N2" s="1472"/>
      <c r="O2" s="1472"/>
      <c r="P2" s="1472"/>
      <c r="Q2" s="1472"/>
      <c r="R2" s="1472"/>
      <c r="S2" s="1472"/>
      <c r="T2" s="1472"/>
      <c r="U2" s="1472"/>
      <c r="V2" s="1472"/>
      <c r="W2" s="1472"/>
      <c r="X2" s="1472"/>
      <c r="Y2" s="1472"/>
      <c r="Z2" s="1472"/>
      <c r="AA2" s="1472"/>
      <c r="AB2" s="1472"/>
      <c r="AC2" s="1472"/>
      <c r="AD2" s="1472"/>
      <c r="AE2" s="427"/>
      <c r="AK2" s="428"/>
    </row>
    <row r="3" spans="1:37" ht="12.6" thickBot="1">
      <c r="A3" s="1473" t="s">
        <v>1126</v>
      </c>
      <c r="B3" s="1474"/>
      <c r="C3" s="1474"/>
      <c r="D3" s="1474"/>
      <c r="E3" s="1474"/>
      <c r="F3" s="1474"/>
      <c r="G3" s="1474"/>
      <c r="H3" s="1474"/>
      <c r="I3" s="1474"/>
      <c r="J3" s="1474"/>
      <c r="K3" s="1474"/>
      <c r="L3" s="1474"/>
      <c r="M3" s="1474"/>
      <c r="N3" s="1474"/>
      <c r="O3" s="1474"/>
      <c r="P3" s="1474"/>
      <c r="Q3" s="1474"/>
      <c r="R3" s="1474"/>
      <c r="S3" s="1474"/>
      <c r="T3" s="1474"/>
      <c r="U3" s="1474"/>
      <c r="V3" s="1474"/>
      <c r="W3" s="1474"/>
      <c r="X3" s="1474"/>
      <c r="Y3" s="1474"/>
      <c r="Z3" s="1474"/>
      <c r="AA3" s="1474"/>
      <c r="AB3" s="1474"/>
      <c r="AC3" s="1474"/>
      <c r="AD3" s="1474"/>
      <c r="AE3" s="1475"/>
      <c r="AK3" s="428"/>
    </row>
    <row r="4" spans="1:37">
      <c r="A4" s="1476" t="s">
        <v>1127</v>
      </c>
      <c r="B4" s="1477"/>
      <c r="C4" s="1477"/>
      <c r="D4" s="1477"/>
      <c r="E4" s="1477"/>
      <c r="F4" s="1477"/>
      <c r="G4" s="1477"/>
      <c r="H4" s="1477"/>
      <c r="I4" s="1477"/>
      <c r="J4" s="1477"/>
      <c r="K4" s="1477"/>
      <c r="L4" s="1477"/>
      <c r="M4" s="1477"/>
      <c r="N4" s="1477"/>
      <c r="O4" s="1477"/>
      <c r="P4" s="1478"/>
      <c r="Q4" s="429"/>
      <c r="R4" s="429"/>
      <c r="S4" s="1481"/>
      <c r="T4" s="1481"/>
      <c r="U4" s="1481"/>
      <c r="V4" s="430"/>
      <c r="W4" s="1482"/>
      <c r="X4" s="1482"/>
      <c r="Y4" s="1482"/>
      <c r="Z4" s="1482"/>
      <c r="AA4" s="430"/>
      <c r="AB4" s="430"/>
      <c r="AC4" s="431"/>
      <c r="AD4" s="431"/>
      <c r="AE4" s="432"/>
      <c r="AK4" s="428"/>
    </row>
    <row r="5" spans="1:37">
      <c r="A5" s="1479"/>
      <c r="B5" s="1458"/>
      <c r="C5" s="1458"/>
      <c r="D5" s="1458"/>
      <c r="E5" s="1458"/>
      <c r="F5" s="1458"/>
      <c r="G5" s="1458"/>
      <c r="H5" s="1458"/>
      <c r="I5" s="1458"/>
      <c r="J5" s="1458"/>
      <c r="K5" s="1458"/>
      <c r="L5" s="1458"/>
      <c r="M5" s="1458"/>
      <c r="N5" s="1458"/>
      <c r="O5" s="1458"/>
      <c r="P5" s="1480"/>
      <c r="Q5" s="429"/>
      <c r="R5" s="429"/>
      <c r="S5" s="1483" t="s">
        <v>1128</v>
      </c>
      <c r="T5" s="1483"/>
      <c r="U5" s="1483"/>
      <c r="V5" s="431"/>
      <c r="W5" s="1465" t="s">
        <v>1129</v>
      </c>
      <c r="X5" s="1465"/>
      <c r="Y5" s="1465"/>
      <c r="Z5" s="1465"/>
      <c r="AA5" s="431"/>
      <c r="AB5" s="431"/>
      <c r="AC5" s="431"/>
      <c r="AD5" s="431"/>
      <c r="AE5" s="432"/>
      <c r="AK5" s="428"/>
    </row>
    <row r="6" spans="1:37">
      <c r="A6" s="1452" t="s">
        <v>976</v>
      </c>
      <c r="B6" s="1453"/>
      <c r="C6" s="1453" t="s">
        <v>13</v>
      </c>
      <c r="D6" s="1453"/>
      <c r="E6" s="1453"/>
      <c r="F6" s="1453" t="s">
        <v>1130</v>
      </c>
      <c r="G6" s="1453"/>
      <c r="H6" s="1455" t="s">
        <v>1131</v>
      </c>
      <c r="I6" s="1455"/>
      <c r="J6" s="1455"/>
      <c r="K6" s="1455" t="s">
        <v>1132</v>
      </c>
      <c r="L6" s="1455"/>
      <c r="M6" s="1455"/>
      <c r="N6" s="1455" t="s">
        <v>821</v>
      </c>
      <c r="O6" s="1455"/>
      <c r="P6" s="1457"/>
      <c r="Q6" s="429"/>
      <c r="R6" s="429"/>
      <c r="S6" s="429"/>
      <c r="T6" s="431"/>
      <c r="U6" s="431"/>
      <c r="V6" s="431"/>
      <c r="W6" s="431"/>
      <c r="X6" s="431"/>
      <c r="Y6" s="431"/>
      <c r="Z6" s="431"/>
      <c r="AA6" s="431"/>
      <c r="AB6" s="431"/>
      <c r="AC6" s="431"/>
      <c r="AD6" s="431" t="s">
        <v>45</v>
      </c>
      <c r="AE6" s="432"/>
      <c r="AK6" s="428"/>
    </row>
    <row r="7" spans="1:37">
      <c r="A7" s="1452"/>
      <c r="B7" s="1453"/>
      <c r="C7" s="1453"/>
      <c r="D7" s="1453"/>
      <c r="E7" s="1453"/>
      <c r="F7" s="1453"/>
      <c r="G7" s="1453"/>
      <c r="H7" s="1455"/>
      <c r="I7" s="1455"/>
      <c r="J7" s="1455"/>
      <c r="K7" s="1455"/>
      <c r="L7" s="1455"/>
      <c r="M7" s="1455"/>
      <c r="N7" s="1455"/>
      <c r="O7" s="1455"/>
      <c r="P7" s="1457"/>
      <c r="Q7" s="429"/>
      <c r="R7" s="429"/>
      <c r="S7" s="429"/>
      <c r="T7" s="431"/>
      <c r="U7" s="431"/>
      <c r="V7" s="431"/>
      <c r="W7" s="431"/>
      <c r="X7" s="431"/>
      <c r="Y7" s="431"/>
      <c r="Z7" s="431"/>
      <c r="AA7" s="412"/>
      <c r="AB7" s="412"/>
      <c r="AC7" s="412"/>
      <c r="AD7" s="412"/>
      <c r="AE7" s="432"/>
      <c r="AK7" s="428"/>
    </row>
    <row r="8" spans="1:37" ht="19.95" customHeight="1">
      <c r="A8" s="1452">
        <v>1</v>
      </c>
      <c r="B8" s="1453"/>
      <c r="C8" s="1458" t="s">
        <v>1133</v>
      </c>
      <c r="D8" s="1458"/>
      <c r="E8" s="1458"/>
      <c r="F8" s="1455" t="s">
        <v>1029</v>
      </c>
      <c r="G8" s="1455"/>
      <c r="H8" s="1456">
        <v>187.17500000000001</v>
      </c>
      <c r="I8" s="1456"/>
      <c r="J8" s="1456"/>
      <c r="K8" s="1456">
        <v>187.17500000000001</v>
      </c>
      <c r="L8" s="1456"/>
      <c r="M8" s="1456"/>
      <c r="N8" s="1455">
        <f t="shared" ref="N8:N16" si="0">H8-K8</f>
        <v>0</v>
      </c>
      <c r="O8" s="1455"/>
      <c r="P8" s="1457"/>
      <c r="Q8" s="429" t="s">
        <v>1356</v>
      </c>
      <c r="R8" s="429"/>
      <c r="S8" s="429"/>
      <c r="T8" s="431"/>
      <c r="U8" s="431"/>
      <c r="V8" s="431"/>
      <c r="W8" s="431"/>
      <c r="X8" s="431"/>
      <c r="Y8" s="431"/>
      <c r="Z8" s="431"/>
      <c r="AA8" s="412"/>
      <c r="AB8" s="412"/>
      <c r="AC8" s="412"/>
      <c r="AD8" s="412"/>
      <c r="AE8" s="432"/>
      <c r="AK8" s="428"/>
    </row>
    <row r="9" spans="1:37" ht="30.6" customHeight="1">
      <c r="A9" s="1452">
        <f>A8+1</f>
        <v>2</v>
      </c>
      <c r="B9" s="1453"/>
      <c r="C9" s="1458" t="s">
        <v>1134</v>
      </c>
      <c r="D9" s="1458"/>
      <c r="E9" s="1458"/>
      <c r="F9" s="1455" t="s">
        <v>1029</v>
      </c>
      <c r="G9" s="1455"/>
      <c r="H9" s="1456">
        <v>187.17500000000001</v>
      </c>
      <c r="I9" s="1456"/>
      <c r="J9" s="1456"/>
      <c r="K9" s="1461">
        <v>169.16800000000001</v>
      </c>
      <c r="L9" s="1462"/>
      <c r="M9" s="1463"/>
      <c r="N9" s="1455">
        <f t="shared" si="0"/>
        <v>18.007000000000005</v>
      </c>
      <c r="O9" s="1455"/>
      <c r="P9" s="1457"/>
      <c r="Q9" s="429" t="s">
        <v>1355</v>
      </c>
      <c r="R9" s="429"/>
      <c r="S9" s="429"/>
      <c r="T9" s="431"/>
      <c r="U9" s="431"/>
      <c r="V9" s="431"/>
      <c r="W9" s="431"/>
      <c r="X9" s="431"/>
      <c r="Y9" s="431"/>
      <c r="Z9" s="431"/>
      <c r="AA9" s="412"/>
      <c r="AB9" s="412"/>
      <c r="AC9" s="412"/>
      <c r="AD9" s="412"/>
      <c r="AE9" s="432"/>
      <c r="AK9" s="428"/>
    </row>
    <row r="10" spans="1:37" ht="33" customHeight="1">
      <c r="A10" s="1452">
        <f t="shared" ref="A10:A16" si="1">A9+1</f>
        <v>3</v>
      </c>
      <c r="B10" s="1453"/>
      <c r="C10" s="1458" t="s">
        <v>1135</v>
      </c>
      <c r="D10" s="1458"/>
      <c r="E10" s="1458"/>
      <c r="F10" s="1459" t="s">
        <v>1136</v>
      </c>
      <c r="G10" s="1460"/>
      <c r="H10" s="1461">
        <v>73</v>
      </c>
      <c r="I10" s="1462"/>
      <c r="J10" s="1463"/>
      <c r="K10" s="1464">
        <v>73</v>
      </c>
      <c r="L10" s="1464"/>
      <c r="M10" s="1464"/>
      <c r="N10" s="1455">
        <f t="shared" si="0"/>
        <v>0</v>
      </c>
      <c r="O10" s="1455"/>
      <c r="P10" s="1457"/>
      <c r="Q10" s="429"/>
      <c r="R10" s="429"/>
      <c r="S10" s="429"/>
      <c r="T10" s="431"/>
      <c r="U10" s="431"/>
      <c r="V10" s="431"/>
      <c r="W10" s="431"/>
      <c r="X10" s="431"/>
      <c r="Y10" s="431"/>
      <c r="Z10" s="431"/>
      <c r="AA10" s="412"/>
      <c r="AB10" s="412"/>
      <c r="AC10" s="412"/>
      <c r="AD10" s="412"/>
      <c r="AE10" s="432"/>
      <c r="AK10" s="428"/>
    </row>
    <row r="11" spans="1:37" ht="25.8" customHeight="1">
      <c r="A11" s="1452">
        <f t="shared" si="1"/>
        <v>4</v>
      </c>
      <c r="B11" s="1453"/>
      <c r="C11" s="1458" t="s">
        <v>268</v>
      </c>
      <c r="D11" s="1458"/>
      <c r="E11" s="1458"/>
      <c r="F11" s="1459" t="s">
        <v>1136</v>
      </c>
      <c r="G11" s="1460"/>
      <c r="H11" s="1461">
        <v>495</v>
      </c>
      <c r="I11" s="1462"/>
      <c r="J11" s="1463"/>
      <c r="K11" s="1464">
        <v>79</v>
      </c>
      <c r="L11" s="1464"/>
      <c r="M11" s="1464"/>
      <c r="N11" s="1455">
        <f t="shared" si="0"/>
        <v>416</v>
      </c>
      <c r="O11" s="1455"/>
      <c r="P11" s="1457"/>
      <c r="Q11" s="429"/>
      <c r="R11" s="429"/>
      <c r="S11" s="431"/>
      <c r="T11" s="431"/>
      <c r="U11" s="431"/>
      <c r="V11" s="431"/>
      <c r="W11" s="431"/>
      <c r="X11" s="431"/>
      <c r="Y11" s="431"/>
      <c r="Z11" s="431"/>
      <c r="AA11" s="413" t="s">
        <v>1137</v>
      </c>
      <c r="AB11" s="412"/>
      <c r="AC11" s="412"/>
      <c r="AD11" s="412"/>
      <c r="AE11" s="432"/>
      <c r="AK11" s="428"/>
    </row>
    <row r="12" spans="1:37" ht="21" customHeight="1">
      <c r="A12" s="1452">
        <f t="shared" si="1"/>
        <v>5</v>
      </c>
      <c r="B12" s="1453"/>
      <c r="C12" s="1458" t="s">
        <v>269</v>
      </c>
      <c r="D12" s="1458"/>
      <c r="E12" s="1458"/>
      <c r="F12" s="1459" t="s">
        <v>1138</v>
      </c>
      <c r="G12" s="1460"/>
      <c r="H12" s="1461">
        <v>497</v>
      </c>
      <c r="I12" s="1462"/>
      <c r="J12" s="1463"/>
      <c r="K12" s="1464">
        <v>61</v>
      </c>
      <c r="L12" s="1464"/>
      <c r="M12" s="1464"/>
      <c r="N12" s="1455">
        <f t="shared" si="0"/>
        <v>436</v>
      </c>
      <c r="O12" s="1455"/>
      <c r="P12" s="1457"/>
      <c r="Q12" s="429"/>
      <c r="R12" s="429"/>
      <c r="S12" s="433" t="s">
        <v>1139</v>
      </c>
      <c r="T12" s="431"/>
      <c r="U12" s="431"/>
      <c r="V12" s="1465" t="s">
        <v>183</v>
      </c>
      <c r="W12" s="1465"/>
      <c r="X12" s="1465"/>
      <c r="Y12" s="431"/>
      <c r="Z12" s="431"/>
      <c r="AA12" s="412"/>
      <c r="AB12" s="1466"/>
      <c r="AC12" s="1466"/>
      <c r="AD12" s="412"/>
      <c r="AE12" s="434" t="s">
        <v>1140</v>
      </c>
      <c r="AK12" s="428"/>
    </row>
    <row r="13" spans="1:37">
      <c r="A13" s="1452">
        <f t="shared" si="1"/>
        <v>6</v>
      </c>
      <c r="B13" s="1453"/>
      <c r="C13" s="1458" t="s">
        <v>1141</v>
      </c>
      <c r="D13" s="1458"/>
      <c r="E13" s="1458"/>
      <c r="F13" s="1459" t="s">
        <v>1136</v>
      </c>
      <c r="G13" s="1460"/>
      <c r="H13" s="1461">
        <v>495</v>
      </c>
      <c r="I13" s="1462"/>
      <c r="J13" s="1463"/>
      <c r="K13" s="1464"/>
      <c r="L13" s="1464"/>
      <c r="M13" s="1464"/>
      <c r="N13" s="1455">
        <f t="shared" si="0"/>
        <v>495</v>
      </c>
      <c r="O13" s="1455"/>
      <c r="P13" s="1457"/>
      <c r="Q13" s="429"/>
      <c r="R13" s="429"/>
      <c r="S13" s="431" t="s">
        <v>269</v>
      </c>
      <c r="T13" s="431"/>
      <c r="U13" s="431"/>
      <c r="V13" s="1467"/>
      <c r="W13" s="1467"/>
      <c r="X13" s="1467"/>
      <c r="Y13" s="431"/>
      <c r="Z13" s="431"/>
      <c r="AA13" s="435"/>
      <c r="AB13" s="412"/>
      <c r="AC13" s="412"/>
      <c r="AD13" s="412"/>
      <c r="AE13" s="432"/>
      <c r="AK13" s="428"/>
    </row>
    <row r="14" spans="1:37" ht="21" customHeight="1">
      <c r="A14" s="1452">
        <f t="shared" si="1"/>
        <v>7</v>
      </c>
      <c r="B14" s="1453"/>
      <c r="C14" s="1458" t="s">
        <v>481</v>
      </c>
      <c r="D14" s="1458"/>
      <c r="E14" s="1458"/>
      <c r="F14" s="1459" t="s">
        <v>1138</v>
      </c>
      <c r="G14" s="1460"/>
      <c r="H14" s="1461">
        <v>405</v>
      </c>
      <c r="I14" s="1462"/>
      <c r="J14" s="1463"/>
      <c r="K14" s="1464"/>
      <c r="L14" s="1464"/>
      <c r="M14" s="1464"/>
      <c r="N14" s="1455">
        <f t="shared" si="0"/>
        <v>405</v>
      </c>
      <c r="O14" s="1455"/>
      <c r="P14" s="1457"/>
      <c r="Q14" s="429"/>
      <c r="R14" s="429"/>
      <c r="S14" s="429"/>
      <c r="T14" s="431"/>
      <c r="U14" s="431"/>
      <c r="V14" s="431"/>
      <c r="W14" s="431"/>
      <c r="X14" s="431"/>
      <c r="Y14" s="431"/>
      <c r="Z14" s="431"/>
      <c r="AA14" s="412"/>
      <c r="AB14" s="412"/>
      <c r="AC14" s="412"/>
      <c r="AD14" s="412"/>
      <c r="AE14" s="432"/>
      <c r="AK14" s="428"/>
    </row>
    <row r="15" spans="1:37">
      <c r="A15" s="1452">
        <f t="shared" si="1"/>
        <v>8</v>
      </c>
      <c r="B15" s="1453"/>
      <c r="C15" s="1454" t="s">
        <v>1142</v>
      </c>
      <c r="D15" s="1454"/>
      <c r="E15" s="1454"/>
      <c r="F15" s="1455" t="s">
        <v>1029</v>
      </c>
      <c r="G15" s="1455"/>
      <c r="H15" s="1456">
        <v>187.17500000000001</v>
      </c>
      <c r="I15" s="1456"/>
      <c r="J15" s="1456"/>
      <c r="K15" s="1455"/>
      <c r="L15" s="1455"/>
      <c r="M15" s="1455"/>
      <c r="N15" s="1455">
        <f t="shared" si="0"/>
        <v>187.17500000000001</v>
      </c>
      <c r="O15" s="1455"/>
      <c r="P15" s="1457"/>
      <c r="Q15" s="429"/>
      <c r="R15" s="429"/>
      <c r="S15" s="429"/>
      <c r="T15" s="431"/>
      <c r="U15" s="431"/>
      <c r="V15" s="431"/>
      <c r="W15" s="431"/>
      <c r="X15" s="431" t="s">
        <v>1143</v>
      </c>
      <c r="Y15" s="431"/>
      <c r="Z15" s="431"/>
      <c r="AA15" s="431"/>
      <c r="AB15" s="431"/>
      <c r="AC15" s="431"/>
      <c r="AD15" s="431"/>
      <c r="AE15" s="432"/>
      <c r="AK15" s="428"/>
    </row>
    <row r="16" spans="1:37" ht="20.25" customHeight="1">
      <c r="A16" s="1452">
        <f t="shared" si="1"/>
        <v>9</v>
      </c>
      <c r="B16" s="1453"/>
      <c r="C16" s="1454" t="s">
        <v>1144</v>
      </c>
      <c r="D16" s="1454"/>
      <c r="E16" s="1454"/>
      <c r="F16" s="1455" t="s">
        <v>1029</v>
      </c>
      <c r="G16" s="1455"/>
      <c r="H16" s="1456">
        <v>187.17500000000001</v>
      </c>
      <c r="I16" s="1456"/>
      <c r="J16" s="1456"/>
      <c r="K16" s="1455"/>
      <c r="L16" s="1455"/>
      <c r="M16" s="1455"/>
      <c r="N16" s="1455">
        <f t="shared" si="0"/>
        <v>187.17500000000001</v>
      </c>
      <c r="O16" s="1455"/>
      <c r="P16" s="1457"/>
      <c r="Q16" s="436"/>
      <c r="R16" s="436"/>
      <c r="S16" s="436"/>
      <c r="T16" s="437"/>
      <c r="U16" s="437"/>
      <c r="V16" s="437"/>
      <c r="W16" s="437"/>
      <c r="X16" s="437"/>
      <c r="Y16" s="437"/>
      <c r="Z16" s="1449" t="s">
        <v>1145</v>
      </c>
      <c r="AA16" s="1449"/>
      <c r="AB16" s="1450" t="s">
        <v>1146</v>
      </c>
      <c r="AC16" s="1450"/>
      <c r="AD16" s="1450"/>
      <c r="AE16" s="1451"/>
      <c r="AK16" s="428"/>
    </row>
    <row r="17" spans="1:37">
      <c r="A17" s="438"/>
      <c r="AK17" s="428"/>
    </row>
    <row r="18" spans="1:37">
      <c r="A18" s="438"/>
      <c r="B18" s="426">
        <v>1</v>
      </c>
      <c r="D18" s="426">
        <v>2</v>
      </c>
      <c r="F18" s="426">
        <v>3</v>
      </c>
      <c r="H18" s="426">
        <v>4</v>
      </c>
      <c r="J18" s="426">
        <v>5</v>
      </c>
      <c r="L18" s="426">
        <v>6</v>
      </c>
      <c r="N18" s="426">
        <v>7</v>
      </c>
      <c r="P18" s="426">
        <v>8</v>
      </c>
      <c r="R18" s="426">
        <v>9</v>
      </c>
      <c r="T18" s="426">
        <v>10</v>
      </c>
      <c r="V18" s="426">
        <v>11</v>
      </c>
      <c r="X18" s="426">
        <v>12</v>
      </c>
      <c r="Z18" s="426">
        <v>13</v>
      </c>
      <c r="AB18" s="426">
        <v>14</v>
      </c>
      <c r="AK18" s="428"/>
    </row>
    <row r="19" spans="1:37">
      <c r="A19" s="438"/>
      <c r="AB19" s="439"/>
      <c r="AK19" s="428"/>
    </row>
    <row r="20" spans="1:37">
      <c r="A20" s="438"/>
      <c r="B20" s="440" t="s">
        <v>1147</v>
      </c>
      <c r="C20" s="414"/>
      <c r="D20" s="440" t="s">
        <v>484</v>
      </c>
      <c r="E20" s="414"/>
      <c r="F20" s="439" t="s">
        <v>1148</v>
      </c>
      <c r="G20" s="414"/>
      <c r="H20" s="439" t="s">
        <v>485</v>
      </c>
      <c r="I20" s="414"/>
      <c r="J20" s="439" t="s">
        <v>486</v>
      </c>
      <c r="K20" s="414"/>
      <c r="L20" s="439" t="s">
        <v>1149</v>
      </c>
      <c r="M20" s="414"/>
      <c r="N20" s="439" t="s">
        <v>488</v>
      </c>
      <c r="O20" s="414"/>
      <c r="P20" s="439" t="s">
        <v>489</v>
      </c>
      <c r="Q20" s="414"/>
      <c r="R20" s="439" t="s">
        <v>496</v>
      </c>
      <c r="S20" s="414"/>
      <c r="T20" s="439" t="s">
        <v>497</v>
      </c>
      <c r="U20" s="414"/>
      <c r="V20" s="439" t="s">
        <v>1150</v>
      </c>
      <c r="W20" s="414"/>
      <c r="X20" s="439" t="s">
        <v>1151</v>
      </c>
      <c r="Y20" s="414"/>
      <c r="Z20" s="439" t="s">
        <v>1152</v>
      </c>
      <c r="AA20" s="414"/>
      <c r="AB20" s="439" t="s">
        <v>1153</v>
      </c>
      <c r="AF20" s="441" t="s">
        <v>1154</v>
      </c>
      <c r="AG20" s="441" t="s">
        <v>318</v>
      </c>
      <c r="AH20" s="441" t="s">
        <v>1155</v>
      </c>
      <c r="AI20" s="441" t="s">
        <v>1156</v>
      </c>
      <c r="AJ20" s="441" t="s">
        <v>267</v>
      </c>
      <c r="AK20" s="442" t="s">
        <v>1157</v>
      </c>
    </row>
    <row r="21" spans="1:37">
      <c r="A21" s="438"/>
      <c r="B21" s="443"/>
      <c r="D21" s="443"/>
      <c r="F21" s="443"/>
      <c r="H21" s="443"/>
      <c r="J21" s="443"/>
      <c r="L21" s="443"/>
      <c r="N21" s="443"/>
      <c r="O21" s="444"/>
      <c r="P21" s="443"/>
      <c r="R21" s="443"/>
      <c r="T21" s="443"/>
      <c r="V21" s="443"/>
      <c r="X21" s="443"/>
      <c r="Z21" s="443"/>
      <c r="AB21" s="443"/>
      <c r="AD21" s="443"/>
      <c r="AF21" s="445"/>
      <c r="AG21" s="446"/>
      <c r="AH21" s="446"/>
      <c r="AI21" s="446"/>
      <c r="AJ21" s="446"/>
      <c r="AK21" s="447"/>
    </row>
    <row r="22" spans="1:37" ht="12.6" thickBot="1">
      <c r="A22" s="438"/>
      <c r="B22" s="415"/>
      <c r="D22" s="415"/>
      <c r="F22" s="415"/>
      <c r="H22" s="415"/>
      <c r="J22" s="415"/>
      <c r="L22" s="415"/>
      <c r="N22" s="415"/>
      <c r="O22" s="444"/>
      <c r="P22" s="415"/>
      <c r="R22" s="415"/>
      <c r="T22" s="415"/>
      <c r="V22" s="415"/>
      <c r="X22" s="415"/>
      <c r="Z22" s="415"/>
      <c r="AB22" s="415"/>
      <c r="AF22" s="445"/>
      <c r="AG22" s="446"/>
      <c r="AH22" s="446"/>
      <c r="AI22" s="446"/>
      <c r="AJ22" s="446"/>
      <c r="AK22" s="447"/>
    </row>
    <row r="23" spans="1:37" ht="25.05" customHeight="1" thickBot="1">
      <c r="A23" s="438"/>
      <c r="B23" s="416"/>
      <c r="C23" s="448">
        <v>96.534000000000006</v>
      </c>
      <c r="D23" s="417"/>
      <c r="E23" s="448">
        <v>114.09699999999999</v>
      </c>
      <c r="F23" s="417"/>
      <c r="G23" s="448">
        <v>290.58100000000002</v>
      </c>
      <c r="H23" s="417"/>
      <c r="I23" s="448">
        <v>214.48500000000001</v>
      </c>
      <c r="J23" s="417"/>
      <c r="K23" s="448">
        <v>451.78300000000002</v>
      </c>
      <c r="L23" s="417"/>
      <c r="M23" s="448">
        <v>419.226</v>
      </c>
      <c r="N23" s="417"/>
      <c r="O23" s="448">
        <v>420.01</v>
      </c>
      <c r="P23" s="417"/>
      <c r="Q23" s="448">
        <v>416.53100000000001</v>
      </c>
      <c r="R23" s="417"/>
      <c r="S23" s="448">
        <v>356.262</v>
      </c>
      <c r="T23" s="417"/>
      <c r="U23" s="448">
        <v>343.07400000000001</v>
      </c>
      <c r="V23" s="417"/>
      <c r="W23" s="448">
        <v>381.32900000000001</v>
      </c>
      <c r="X23" s="417"/>
      <c r="Y23" s="448">
        <v>373.32299999999998</v>
      </c>
      <c r="Z23" s="417"/>
      <c r="AA23" s="448">
        <v>246.012</v>
      </c>
      <c r="AB23" s="417"/>
      <c r="AC23" s="448">
        <v>249.42400000000001</v>
      </c>
      <c r="AF23" s="441">
        <v>13</v>
      </c>
      <c r="AG23" s="441"/>
      <c r="AH23" s="441"/>
      <c r="AI23" s="441"/>
      <c r="AJ23" s="441"/>
      <c r="AK23" s="442"/>
    </row>
    <row r="24" spans="1:37" ht="12.6" thickBot="1">
      <c r="A24" s="438"/>
      <c r="B24" s="449"/>
      <c r="C24" s="444"/>
      <c r="D24" s="450"/>
      <c r="E24" s="444"/>
      <c r="F24" s="450"/>
      <c r="G24" s="444"/>
      <c r="H24" s="450"/>
      <c r="I24" s="444"/>
      <c r="J24" s="450"/>
      <c r="K24" s="444"/>
      <c r="L24" s="450"/>
      <c r="M24" s="444"/>
      <c r="N24" s="450"/>
      <c r="O24" s="444"/>
      <c r="P24" s="450"/>
      <c r="Q24" s="444"/>
      <c r="R24" s="450"/>
      <c r="S24" s="444"/>
      <c r="T24" s="450"/>
      <c r="U24" s="444"/>
      <c r="V24" s="450"/>
      <c r="W24" s="444"/>
      <c r="X24" s="450"/>
      <c r="Y24" s="444"/>
      <c r="Z24" s="450"/>
      <c r="AA24" s="444"/>
      <c r="AB24" s="450"/>
      <c r="AC24" s="444"/>
      <c r="AF24" s="445"/>
      <c r="AG24" s="446"/>
      <c r="AH24" s="446"/>
      <c r="AI24" s="446"/>
      <c r="AJ24" s="446"/>
      <c r="AK24" s="447"/>
    </row>
    <row r="25" spans="1:37">
      <c r="A25" s="438"/>
      <c r="B25" s="421"/>
      <c r="C25" s="421"/>
      <c r="D25" s="421" t="s">
        <v>90</v>
      </c>
      <c r="E25" s="421"/>
      <c r="F25" s="421" t="s">
        <v>108</v>
      </c>
      <c r="G25" s="421"/>
      <c r="H25" s="421" t="s">
        <v>78</v>
      </c>
      <c r="I25" s="421"/>
      <c r="J25" s="421" t="s">
        <v>78</v>
      </c>
      <c r="K25" s="421"/>
      <c r="L25" s="421" t="s">
        <v>132</v>
      </c>
      <c r="M25" s="421"/>
      <c r="N25" s="421" t="s">
        <v>147</v>
      </c>
      <c r="O25" s="421"/>
      <c r="P25" s="421" t="s">
        <v>212</v>
      </c>
      <c r="Q25" s="421"/>
      <c r="R25" s="421" t="s">
        <v>80</v>
      </c>
      <c r="S25" s="421"/>
      <c r="T25" s="421" t="s">
        <v>147</v>
      </c>
      <c r="U25" s="421"/>
      <c r="V25" s="421" t="s">
        <v>147</v>
      </c>
      <c r="W25" s="421"/>
      <c r="X25" s="421" t="s">
        <v>206</v>
      </c>
      <c r="Y25" s="421"/>
      <c r="Z25" s="421" t="s">
        <v>150</v>
      </c>
      <c r="AA25" s="421"/>
      <c r="AB25" s="421" t="s">
        <v>84</v>
      </c>
      <c r="AC25" s="444"/>
      <c r="AF25" s="445"/>
      <c r="AG25" s="446"/>
      <c r="AH25" s="446"/>
      <c r="AI25" s="446"/>
      <c r="AJ25" s="446"/>
      <c r="AK25" s="447"/>
    </row>
    <row r="26" spans="1:37">
      <c r="A26" s="438"/>
      <c r="B26" s="541"/>
      <c r="C26" s="541"/>
      <c r="D26" s="541"/>
      <c r="E26" s="541"/>
      <c r="F26" s="541"/>
      <c r="G26" s="541"/>
      <c r="H26" s="541"/>
      <c r="I26" s="541"/>
      <c r="J26" s="541"/>
      <c r="K26" s="541"/>
      <c r="L26" s="541"/>
      <c r="M26" s="541"/>
      <c r="N26" s="541"/>
      <c r="O26" s="541"/>
      <c r="P26" s="541"/>
      <c r="Q26" s="541"/>
      <c r="R26" s="541"/>
      <c r="S26" s="541"/>
      <c r="T26" s="541"/>
      <c r="U26" s="541"/>
      <c r="V26" s="541"/>
      <c r="W26" s="541"/>
      <c r="X26" s="541"/>
      <c r="Y26" s="541"/>
      <c r="Z26" s="541"/>
      <c r="AA26" s="541"/>
      <c r="AB26" s="541"/>
      <c r="AC26" s="444"/>
      <c r="AF26" s="445"/>
      <c r="AG26" s="446"/>
      <c r="AH26" s="446"/>
      <c r="AI26" s="446"/>
      <c r="AJ26" s="446"/>
      <c r="AK26" s="447"/>
    </row>
    <row r="27" spans="1:37">
      <c r="A27" s="438"/>
      <c r="C27" s="444"/>
      <c r="E27" s="444"/>
      <c r="G27" s="444"/>
      <c r="I27" s="444"/>
      <c r="K27" s="444"/>
      <c r="M27" s="444"/>
      <c r="O27" s="444"/>
      <c r="Q27" s="444"/>
      <c r="S27" s="444"/>
      <c r="U27" s="444"/>
      <c r="W27" s="444"/>
      <c r="Y27" s="444"/>
      <c r="AA27" s="444"/>
      <c r="AC27" s="444"/>
      <c r="AF27" s="445"/>
      <c r="AG27" s="446"/>
      <c r="AH27" s="446"/>
      <c r="AI27" s="446"/>
      <c r="AJ27" s="446"/>
      <c r="AK27" s="447"/>
    </row>
    <row r="28" spans="1:37">
      <c r="A28" s="438"/>
      <c r="B28" s="439" t="s">
        <v>1158</v>
      </c>
      <c r="C28" s="414"/>
      <c r="D28" s="439" t="s">
        <v>1159</v>
      </c>
      <c r="E28" s="414"/>
      <c r="F28" s="439" t="s">
        <v>1160</v>
      </c>
      <c r="G28" s="414"/>
      <c r="H28" s="439" t="s">
        <v>1161</v>
      </c>
      <c r="I28" s="414"/>
      <c r="J28" s="439" t="s">
        <v>498</v>
      </c>
      <c r="K28" s="414"/>
      <c r="L28" s="439" t="s">
        <v>501</v>
      </c>
      <c r="M28" s="414"/>
      <c r="N28" s="439" t="s">
        <v>1162</v>
      </c>
      <c r="O28" s="414"/>
      <c r="P28" s="439" t="s">
        <v>1163</v>
      </c>
      <c r="Q28" s="414"/>
      <c r="R28" s="439" t="s">
        <v>1164</v>
      </c>
      <c r="S28" s="414"/>
      <c r="T28" s="439" t="s">
        <v>1165</v>
      </c>
      <c r="U28" s="414"/>
      <c r="V28" s="439" t="s">
        <v>1166</v>
      </c>
      <c r="W28" s="414"/>
      <c r="X28" s="439" t="s">
        <v>1167</v>
      </c>
      <c r="Y28" s="414"/>
      <c r="Z28" s="439" t="s">
        <v>1168</v>
      </c>
      <c r="AA28" s="414"/>
      <c r="AB28" s="439" t="s">
        <v>502</v>
      </c>
      <c r="AC28" s="444"/>
      <c r="AF28" s="445"/>
      <c r="AG28" s="446"/>
      <c r="AH28" s="446"/>
      <c r="AI28" s="446"/>
      <c r="AJ28" s="446"/>
      <c r="AK28" s="447"/>
    </row>
    <row r="29" spans="1:37">
      <c r="A29" s="438"/>
      <c r="B29" s="443"/>
      <c r="C29" s="444"/>
      <c r="D29" s="443"/>
      <c r="E29" s="444"/>
      <c r="F29" s="443"/>
      <c r="G29" s="444"/>
      <c r="H29" s="443"/>
      <c r="I29" s="444"/>
      <c r="J29" s="443"/>
      <c r="K29" s="444"/>
      <c r="L29" s="443"/>
      <c r="M29" s="444"/>
      <c r="N29" s="443"/>
      <c r="O29" s="444"/>
      <c r="P29" s="443"/>
      <c r="Q29" s="444"/>
      <c r="R29" s="443"/>
      <c r="S29" s="444"/>
      <c r="T29" s="443"/>
      <c r="U29" s="444"/>
      <c r="V29" s="443"/>
      <c r="W29" s="444"/>
      <c r="X29" s="443"/>
      <c r="Y29" s="444"/>
      <c r="Z29" s="443"/>
      <c r="AA29" s="444"/>
      <c r="AB29" s="443"/>
      <c r="AC29" s="444"/>
      <c r="AF29" s="441" t="s">
        <v>1154</v>
      </c>
      <c r="AG29" s="441" t="s">
        <v>318</v>
      </c>
      <c r="AH29" s="441" t="s">
        <v>1155</v>
      </c>
      <c r="AI29" s="441" t="s">
        <v>1156</v>
      </c>
      <c r="AJ29" s="441" t="s">
        <v>267</v>
      </c>
      <c r="AK29" s="442" t="s">
        <v>1157</v>
      </c>
    </row>
    <row r="30" spans="1:37" ht="12.6" thickBot="1">
      <c r="A30" s="438"/>
      <c r="B30" s="415"/>
      <c r="C30" s="444"/>
      <c r="D30" s="415"/>
      <c r="E30" s="444"/>
      <c r="F30" s="415"/>
      <c r="G30" s="444"/>
      <c r="H30" s="415"/>
      <c r="I30" s="444"/>
      <c r="J30" s="415"/>
      <c r="K30" s="444"/>
      <c r="L30" s="415"/>
      <c r="M30" s="444"/>
      <c r="N30" s="415"/>
      <c r="O30" s="444"/>
      <c r="P30" s="415"/>
      <c r="Q30" s="444"/>
      <c r="R30" s="415"/>
      <c r="S30" s="444"/>
      <c r="T30" s="415"/>
      <c r="U30" s="444"/>
      <c r="V30" s="415"/>
      <c r="W30" s="444"/>
      <c r="X30" s="415"/>
      <c r="Y30" s="444"/>
      <c r="Z30" s="415"/>
      <c r="AA30" s="444"/>
      <c r="AB30" s="415"/>
      <c r="AC30" s="444"/>
      <c r="AF30" s="445"/>
      <c r="AG30" s="446"/>
      <c r="AH30" s="446"/>
      <c r="AI30" s="446"/>
      <c r="AJ30" s="446"/>
      <c r="AK30" s="447"/>
    </row>
    <row r="31" spans="1:37" ht="25.05" customHeight="1" thickBot="1">
      <c r="A31" s="438"/>
      <c r="B31" s="417"/>
      <c r="C31" s="448">
        <v>399.70699999999999</v>
      </c>
      <c r="D31" s="417"/>
      <c r="E31" s="448">
        <v>438.61599999999999</v>
      </c>
      <c r="F31" s="417"/>
      <c r="G31" s="448">
        <v>400.60399999999998</v>
      </c>
      <c r="H31" s="417"/>
      <c r="I31" s="448">
        <v>438.76499999999999</v>
      </c>
      <c r="J31" s="417"/>
      <c r="K31" s="448">
        <v>226.315</v>
      </c>
      <c r="L31" s="417"/>
      <c r="M31" s="448">
        <v>442.553</v>
      </c>
      <c r="N31" s="417"/>
      <c r="O31" s="448">
        <v>389.32900000000001</v>
      </c>
      <c r="P31" s="417"/>
      <c r="Q31" s="448">
        <v>359.36099999999999</v>
      </c>
      <c r="R31" s="417"/>
      <c r="S31" s="448">
        <v>405.00599999999997</v>
      </c>
      <c r="T31" s="417"/>
      <c r="U31" s="448">
        <v>426.51799999999997</v>
      </c>
      <c r="V31" s="417"/>
      <c r="W31" s="448">
        <v>356.05500000000001</v>
      </c>
      <c r="X31" s="417"/>
      <c r="Y31" s="448">
        <v>369.29500000000002</v>
      </c>
      <c r="Z31" s="417"/>
      <c r="AA31" s="448">
        <v>374.99299999999999</v>
      </c>
      <c r="AB31" s="417"/>
      <c r="AC31" s="448">
        <v>383.76799999999997</v>
      </c>
      <c r="AF31" s="441">
        <v>14</v>
      </c>
      <c r="AG31" s="441"/>
      <c r="AH31" s="441"/>
      <c r="AI31" s="441"/>
      <c r="AJ31" s="441"/>
      <c r="AK31" s="442"/>
    </row>
    <row r="32" spans="1:37" ht="12.6" thickBot="1">
      <c r="A32" s="438"/>
      <c r="B32" s="450"/>
      <c r="C32" s="444"/>
      <c r="D32" s="450"/>
      <c r="E32" s="444"/>
      <c r="F32" s="450"/>
      <c r="G32" s="444"/>
      <c r="H32" s="450"/>
      <c r="I32" s="444"/>
      <c r="J32" s="450"/>
      <c r="K32" s="444"/>
      <c r="L32" s="450"/>
      <c r="M32" s="444"/>
      <c r="N32" s="450"/>
      <c r="O32" s="444"/>
      <c r="P32" s="450"/>
      <c r="Q32" s="444"/>
      <c r="R32" s="450"/>
      <c r="S32" s="444"/>
      <c r="T32" s="450"/>
      <c r="U32" s="444"/>
      <c r="V32" s="450"/>
      <c r="W32" s="444"/>
      <c r="X32" s="450"/>
      <c r="Y32" s="444"/>
      <c r="Z32" s="450"/>
      <c r="AA32" s="444"/>
      <c r="AB32" s="450"/>
      <c r="AC32" s="444"/>
      <c r="AF32" s="445"/>
      <c r="AG32" s="446"/>
      <c r="AH32" s="446"/>
      <c r="AI32" s="446"/>
      <c r="AJ32" s="446"/>
      <c r="AK32" s="447"/>
    </row>
    <row r="33" spans="1:37">
      <c r="A33" s="438"/>
      <c r="B33" s="421" t="s">
        <v>147</v>
      </c>
      <c r="C33" s="421"/>
      <c r="D33" s="421" t="s">
        <v>206</v>
      </c>
      <c r="E33" s="421"/>
      <c r="F33" s="421" t="s">
        <v>206</v>
      </c>
      <c r="G33" s="421"/>
      <c r="H33" s="421" t="s">
        <v>150</v>
      </c>
      <c r="I33" s="421"/>
      <c r="J33" s="421" t="s">
        <v>82</v>
      </c>
      <c r="K33" s="421"/>
      <c r="L33" s="421" t="s">
        <v>82</v>
      </c>
      <c r="M33" s="421"/>
      <c r="N33" s="421" t="s">
        <v>150</v>
      </c>
      <c r="O33" s="421"/>
      <c r="P33" s="421" t="s">
        <v>147</v>
      </c>
      <c r="Q33" s="421"/>
      <c r="R33" s="421" t="s">
        <v>147</v>
      </c>
      <c r="S33" s="421"/>
      <c r="T33" s="421" t="s">
        <v>147</v>
      </c>
      <c r="U33" s="421"/>
      <c r="V33" s="421" t="s">
        <v>147</v>
      </c>
      <c r="W33" s="421"/>
      <c r="X33" s="421" t="s">
        <v>147</v>
      </c>
      <c r="Y33" s="421"/>
      <c r="Z33" s="421" t="s">
        <v>147</v>
      </c>
      <c r="AA33" s="421"/>
      <c r="AB33" s="421" t="s">
        <v>84</v>
      </c>
      <c r="AC33" s="444"/>
      <c r="AF33" s="445"/>
      <c r="AG33" s="446"/>
      <c r="AH33" s="446"/>
      <c r="AI33" s="446"/>
      <c r="AJ33" s="446"/>
      <c r="AK33" s="447"/>
    </row>
    <row r="34" spans="1:37">
      <c r="A34" s="438"/>
      <c r="B34" s="421"/>
      <c r="C34" s="421"/>
      <c r="D34" s="421"/>
      <c r="E34" s="421"/>
      <c r="F34" s="421"/>
      <c r="G34" s="421"/>
      <c r="H34" s="421"/>
      <c r="I34" s="421"/>
      <c r="J34" s="421"/>
      <c r="K34" s="421"/>
      <c r="L34" s="421"/>
      <c r="M34" s="421"/>
      <c r="N34" s="421"/>
      <c r="O34" s="421"/>
      <c r="P34" s="421"/>
      <c r="Q34" s="421"/>
      <c r="R34" s="421"/>
      <c r="S34" s="421"/>
      <c r="T34" s="421"/>
      <c r="U34" s="421"/>
      <c r="V34" s="421"/>
      <c r="W34" s="421"/>
      <c r="X34" s="421"/>
      <c r="Y34" s="421"/>
      <c r="Z34" s="421"/>
      <c r="AA34" s="421"/>
      <c r="AB34" s="421"/>
      <c r="AC34" s="444"/>
      <c r="AF34" s="445"/>
      <c r="AG34" s="446"/>
      <c r="AH34" s="446"/>
      <c r="AI34" s="446"/>
      <c r="AJ34" s="446"/>
      <c r="AK34" s="447"/>
    </row>
    <row r="35" spans="1:37">
      <c r="A35" s="438"/>
      <c r="B35" s="542"/>
      <c r="C35" s="543"/>
      <c r="D35" s="542"/>
      <c r="E35" s="543"/>
      <c r="F35" s="542"/>
      <c r="G35" s="543"/>
      <c r="H35" s="542"/>
      <c r="I35" s="543"/>
      <c r="J35" s="542"/>
      <c r="K35" s="543"/>
      <c r="L35" s="542"/>
      <c r="M35" s="543"/>
      <c r="N35" s="542"/>
      <c r="O35" s="543"/>
      <c r="P35" s="542"/>
      <c r="Q35" s="543"/>
      <c r="R35" s="542"/>
      <c r="S35" s="543"/>
      <c r="T35" s="542"/>
      <c r="U35" s="543"/>
      <c r="V35" s="542"/>
      <c r="W35" s="543"/>
      <c r="X35" s="542"/>
      <c r="Y35" s="543"/>
      <c r="Z35" s="542"/>
      <c r="AA35" s="543"/>
      <c r="AB35" s="542"/>
      <c r="AC35" s="444"/>
      <c r="AF35" s="445"/>
      <c r="AG35" s="446"/>
      <c r="AH35" s="446"/>
      <c r="AI35" s="446"/>
      <c r="AJ35" s="446"/>
      <c r="AK35" s="447"/>
    </row>
    <row r="36" spans="1:37" ht="21" customHeight="1">
      <c r="A36" s="438"/>
      <c r="B36" s="439" t="s">
        <v>503</v>
      </c>
      <c r="C36" s="414"/>
      <c r="D36" s="439" t="s">
        <v>503</v>
      </c>
      <c r="E36" s="414"/>
      <c r="F36" s="439" t="s">
        <v>506</v>
      </c>
      <c r="G36" s="414"/>
      <c r="H36" s="439" t="s">
        <v>507</v>
      </c>
      <c r="I36" s="414"/>
      <c r="J36" s="439" t="s">
        <v>508</v>
      </c>
      <c r="K36" s="414"/>
      <c r="L36" s="439" t="s">
        <v>509</v>
      </c>
      <c r="M36" s="414"/>
      <c r="N36" s="439" t="s">
        <v>510</v>
      </c>
      <c r="O36" s="414"/>
      <c r="P36" s="439" t="s">
        <v>1169</v>
      </c>
      <c r="Q36" s="414"/>
      <c r="R36" s="439" t="s">
        <v>1170</v>
      </c>
      <c r="S36" s="414"/>
      <c r="T36" s="439" t="s">
        <v>1171</v>
      </c>
      <c r="U36" s="414"/>
      <c r="V36" s="439" t="s">
        <v>1172</v>
      </c>
      <c r="W36" s="414"/>
      <c r="X36" s="439" t="s">
        <v>512</v>
      </c>
      <c r="Y36" s="414"/>
      <c r="Z36" s="451" t="s">
        <v>1173</v>
      </c>
      <c r="AA36" s="414"/>
      <c r="AB36" s="439" t="s">
        <v>1174</v>
      </c>
      <c r="AC36" s="444"/>
      <c r="AF36" s="445"/>
      <c r="AG36" s="446"/>
      <c r="AH36" s="446"/>
      <c r="AI36" s="446"/>
      <c r="AJ36" s="446"/>
      <c r="AK36" s="447"/>
    </row>
    <row r="37" spans="1:37">
      <c r="A37" s="438"/>
      <c r="B37" s="443"/>
      <c r="C37" s="444"/>
      <c r="D37" s="443"/>
      <c r="E37" s="421"/>
      <c r="F37" s="443"/>
      <c r="G37" s="452"/>
      <c r="H37" s="443"/>
      <c r="I37" s="444"/>
      <c r="J37" s="443"/>
      <c r="K37" s="444"/>
      <c r="L37" s="443"/>
      <c r="M37" s="444"/>
      <c r="N37" s="443"/>
      <c r="O37" s="444"/>
      <c r="P37" s="443"/>
      <c r="Q37" s="444"/>
      <c r="R37" s="443"/>
      <c r="S37" s="444"/>
      <c r="T37" s="443"/>
      <c r="U37" s="444"/>
      <c r="V37" s="443"/>
      <c r="W37" s="421"/>
      <c r="X37" s="443"/>
      <c r="Y37" s="421"/>
      <c r="Z37" s="443"/>
      <c r="AA37" s="444"/>
      <c r="AB37" s="443"/>
      <c r="AC37" s="444"/>
      <c r="AF37" s="441" t="s">
        <v>1154</v>
      </c>
      <c r="AG37" s="441" t="s">
        <v>318</v>
      </c>
      <c r="AH37" s="441" t="s">
        <v>1155</v>
      </c>
      <c r="AI37" s="441" t="s">
        <v>1156</v>
      </c>
      <c r="AJ37" s="441" t="s">
        <v>267</v>
      </c>
      <c r="AK37" s="442" t="s">
        <v>1157</v>
      </c>
    </row>
    <row r="38" spans="1:37" ht="12.6" thickBot="1">
      <c r="A38" s="438"/>
      <c r="B38" s="415"/>
      <c r="C38" s="444"/>
      <c r="D38" s="415"/>
      <c r="E38" s="444"/>
      <c r="F38" s="415"/>
      <c r="G38" s="444"/>
      <c r="H38" s="415"/>
      <c r="I38" s="444"/>
      <c r="J38" s="415"/>
      <c r="K38" s="444"/>
      <c r="L38" s="415"/>
      <c r="M38" s="444"/>
      <c r="N38" s="415"/>
      <c r="O38" s="444"/>
      <c r="P38" s="415"/>
      <c r="Q38" s="444"/>
      <c r="R38" s="415"/>
      <c r="S38" s="444"/>
      <c r="T38" s="415"/>
      <c r="U38" s="444"/>
      <c r="V38" s="415"/>
      <c r="W38" s="444"/>
      <c r="X38" s="415"/>
      <c r="Y38" s="444"/>
      <c r="Z38" s="415"/>
      <c r="AA38" s="444"/>
      <c r="AB38" s="415"/>
      <c r="AC38" s="444"/>
      <c r="AF38" s="445"/>
      <c r="AG38" s="446"/>
      <c r="AH38" s="446"/>
      <c r="AI38" s="446"/>
      <c r="AJ38" s="446"/>
      <c r="AK38" s="447"/>
    </row>
    <row r="39" spans="1:37" ht="25.05" customHeight="1" thickBot="1">
      <c r="A39" s="438"/>
      <c r="B39" s="417"/>
      <c r="C39" s="448">
        <v>383.76799999999997</v>
      </c>
      <c r="D39" s="417"/>
      <c r="E39" s="448">
        <v>396.38</v>
      </c>
      <c r="F39" s="417"/>
      <c r="G39" s="448">
        <v>392.53399999999999</v>
      </c>
      <c r="H39" s="417"/>
      <c r="I39" s="448">
        <v>332.16199999999998</v>
      </c>
      <c r="J39" s="417"/>
      <c r="K39" s="448">
        <v>352.11200000000002</v>
      </c>
      <c r="L39" s="417"/>
      <c r="M39" s="448">
        <v>389.39299999999997</v>
      </c>
      <c r="N39" s="417"/>
      <c r="O39" s="448">
        <v>374.47699999999998</v>
      </c>
      <c r="P39" s="417"/>
      <c r="Q39" s="448">
        <v>419.97699999999998</v>
      </c>
      <c r="R39" s="417"/>
      <c r="S39" s="448">
        <v>387.899</v>
      </c>
      <c r="T39" s="417"/>
      <c r="U39" s="448">
        <v>407.654</v>
      </c>
      <c r="V39" s="417"/>
      <c r="W39" s="448">
        <v>402.35700000000003</v>
      </c>
      <c r="X39" s="417"/>
      <c r="Y39" s="453">
        <v>372.25900000000001</v>
      </c>
      <c r="Z39" s="417"/>
      <c r="AA39" s="448">
        <v>410.94900000000001</v>
      </c>
      <c r="AB39" s="417"/>
      <c r="AC39" s="448">
        <v>379.07499999999999</v>
      </c>
      <c r="AF39" s="441">
        <v>14</v>
      </c>
      <c r="AG39" s="441"/>
      <c r="AH39" s="441"/>
      <c r="AI39" s="441"/>
      <c r="AJ39" s="441"/>
      <c r="AK39" s="442"/>
    </row>
    <row r="40" spans="1:37" ht="12.6" thickBot="1">
      <c r="A40" s="438"/>
      <c r="B40" s="450"/>
      <c r="C40" s="444"/>
      <c r="D40" s="450"/>
      <c r="E40" s="444"/>
      <c r="F40" s="450"/>
      <c r="G40" s="444"/>
      <c r="H40" s="450"/>
      <c r="I40" s="444"/>
      <c r="J40" s="450"/>
      <c r="K40" s="444"/>
      <c r="L40" s="450"/>
      <c r="M40" s="444"/>
      <c r="N40" s="450"/>
      <c r="O40" s="444"/>
      <c r="P40" s="450"/>
      <c r="Q40" s="444"/>
      <c r="R40" s="450"/>
      <c r="S40" s="444"/>
      <c r="T40" s="450"/>
      <c r="U40" s="444"/>
      <c r="V40" s="450"/>
      <c r="W40" s="444"/>
      <c r="X40" s="450"/>
      <c r="Y40" s="444"/>
      <c r="Z40" s="450"/>
      <c r="AA40" s="444"/>
      <c r="AB40" s="450"/>
      <c r="AC40" s="444"/>
      <c r="AF40" s="445"/>
      <c r="AG40" s="446"/>
      <c r="AH40" s="446"/>
      <c r="AI40" s="446"/>
      <c r="AJ40" s="446"/>
      <c r="AK40" s="447"/>
    </row>
    <row r="41" spans="1:37">
      <c r="A41" s="438"/>
      <c r="B41" s="454" t="s">
        <v>147</v>
      </c>
      <c r="C41" s="421"/>
      <c r="D41" s="454" t="s">
        <v>147</v>
      </c>
      <c r="E41" s="421"/>
      <c r="F41" s="454" t="s">
        <v>147</v>
      </c>
      <c r="G41" s="421"/>
      <c r="H41" s="454" t="s">
        <v>147</v>
      </c>
      <c r="I41" s="421"/>
      <c r="J41" s="454" t="s">
        <v>147</v>
      </c>
      <c r="K41" s="421"/>
      <c r="L41" s="454" t="s">
        <v>147</v>
      </c>
      <c r="M41" s="421"/>
      <c r="N41" s="454" t="s">
        <v>147</v>
      </c>
      <c r="O41" s="421"/>
      <c r="P41" s="454" t="s">
        <v>147</v>
      </c>
      <c r="Q41" s="421"/>
      <c r="R41" s="454" t="s">
        <v>150</v>
      </c>
      <c r="S41" s="421"/>
      <c r="T41" s="454" t="s">
        <v>147</v>
      </c>
      <c r="U41" s="421"/>
      <c r="V41" s="454" t="s">
        <v>147</v>
      </c>
      <c r="W41" s="421"/>
      <c r="X41" s="454" t="s">
        <v>84</v>
      </c>
      <c r="Y41" s="421"/>
      <c r="Z41" s="454" t="s">
        <v>147</v>
      </c>
      <c r="AA41" s="421"/>
      <c r="AB41" s="454" t="s">
        <v>147</v>
      </c>
      <c r="AC41" s="444"/>
      <c r="AF41" s="445"/>
      <c r="AG41" s="446"/>
      <c r="AH41" s="446"/>
      <c r="AI41" s="446"/>
      <c r="AJ41" s="446"/>
      <c r="AK41" s="447"/>
    </row>
    <row r="42" spans="1:37">
      <c r="A42" s="438"/>
      <c r="B42" s="454"/>
      <c r="C42" s="421"/>
      <c r="D42" s="454"/>
      <c r="E42" s="421"/>
      <c r="F42" s="454"/>
      <c r="G42" s="421"/>
      <c r="H42" s="454"/>
      <c r="I42" s="421"/>
      <c r="J42" s="454"/>
      <c r="K42" s="421"/>
      <c r="L42" s="454"/>
      <c r="M42" s="421"/>
      <c r="N42" s="454"/>
      <c r="O42" s="421"/>
      <c r="P42" s="454"/>
      <c r="Q42" s="421"/>
      <c r="R42" s="454"/>
      <c r="S42" s="421"/>
      <c r="T42" s="454"/>
      <c r="U42" s="421"/>
      <c r="V42" s="454"/>
      <c r="W42" s="421"/>
      <c r="X42" s="454"/>
      <c r="Y42" s="421"/>
      <c r="Z42" s="454"/>
      <c r="AA42" s="421"/>
      <c r="AB42" s="454"/>
      <c r="AC42" s="444"/>
      <c r="AF42" s="445"/>
      <c r="AG42" s="446"/>
      <c r="AH42" s="446"/>
      <c r="AI42" s="446"/>
      <c r="AJ42" s="446"/>
      <c r="AK42" s="447"/>
    </row>
    <row r="43" spans="1:37">
      <c r="A43" s="438"/>
      <c r="B43" s="542"/>
      <c r="C43" s="543"/>
      <c r="D43" s="542"/>
      <c r="E43" s="543"/>
      <c r="F43" s="542"/>
      <c r="G43" s="543"/>
      <c r="H43" s="542"/>
      <c r="I43" s="543"/>
      <c r="J43" s="542"/>
      <c r="K43" s="543"/>
      <c r="L43" s="542"/>
      <c r="M43" s="543"/>
      <c r="N43" s="542"/>
      <c r="O43" s="543"/>
      <c r="P43" s="542"/>
      <c r="Q43" s="543"/>
      <c r="R43" s="542"/>
      <c r="S43" s="444"/>
      <c r="U43" s="444"/>
      <c r="W43" s="444"/>
      <c r="Y43" s="444"/>
      <c r="AA43" s="444"/>
      <c r="AC43" s="444"/>
      <c r="AF43" s="445"/>
      <c r="AG43" s="446"/>
      <c r="AH43" s="446"/>
      <c r="AI43" s="446"/>
      <c r="AJ43" s="446"/>
      <c r="AK43" s="447"/>
    </row>
    <row r="44" spans="1:37">
      <c r="A44" s="438"/>
      <c r="B44" s="439" t="s">
        <v>1175</v>
      </c>
      <c r="C44" s="414"/>
      <c r="D44" s="439" t="s">
        <v>1176</v>
      </c>
      <c r="E44" s="414"/>
      <c r="F44" s="439" t="s">
        <v>520</v>
      </c>
      <c r="G44" s="414"/>
      <c r="H44" s="439" t="s">
        <v>1177</v>
      </c>
      <c r="I44" s="414"/>
      <c r="J44" s="439" t="s">
        <v>1178</v>
      </c>
      <c r="K44" s="414"/>
      <c r="L44" s="439" t="s">
        <v>1179</v>
      </c>
      <c r="M44" s="414"/>
      <c r="N44" s="439" t="s">
        <v>1180</v>
      </c>
      <c r="O44" s="414"/>
      <c r="P44" s="439" t="s">
        <v>1181</v>
      </c>
      <c r="Q44" s="414"/>
      <c r="R44" s="439" t="s">
        <v>527</v>
      </c>
      <c r="S44" s="414"/>
      <c r="T44" s="439" t="s">
        <v>1182</v>
      </c>
      <c r="U44" s="414"/>
      <c r="V44" s="439" t="s">
        <v>1183</v>
      </c>
      <c r="W44" s="414"/>
      <c r="X44" s="439" t="s">
        <v>1184</v>
      </c>
      <c r="Y44" s="414"/>
      <c r="Z44" s="439" t="s">
        <v>1185</v>
      </c>
      <c r="AA44" s="414"/>
      <c r="AB44" s="439" t="s">
        <v>1186</v>
      </c>
      <c r="AC44" s="444"/>
      <c r="AF44" s="445"/>
      <c r="AG44" s="446"/>
      <c r="AH44" s="446"/>
      <c r="AI44" s="446"/>
      <c r="AJ44" s="446"/>
      <c r="AK44" s="447"/>
    </row>
    <row r="45" spans="1:37">
      <c r="A45" s="438"/>
      <c r="B45" s="443"/>
      <c r="C45" s="444"/>
      <c r="D45" s="443"/>
      <c r="E45" s="444"/>
      <c r="F45" s="443"/>
      <c r="G45" s="444"/>
      <c r="H45" s="443"/>
      <c r="I45" s="444"/>
      <c r="J45" s="443"/>
      <c r="K45" s="444"/>
      <c r="L45" s="443"/>
      <c r="M45" s="444"/>
      <c r="N45" s="443"/>
      <c r="O45" s="444"/>
      <c r="P45" s="443"/>
      <c r="Q45" s="444"/>
      <c r="R45" s="443"/>
      <c r="S45" s="444"/>
      <c r="T45" s="443"/>
      <c r="U45" s="444"/>
      <c r="V45" s="443"/>
      <c r="W45" s="444"/>
      <c r="X45" s="443"/>
      <c r="Y45" s="444"/>
      <c r="Z45" s="443"/>
      <c r="AA45" s="444"/>
      <c r="AB45" s="443"/>
      <c r="AC45" s="444"/>
      <c r="AF45" s="441" t="s">
        <v>1154</v>
      </c>
      <c r="AG45" s="441" t="s">
        <v>318</v>
      </c>
      <c r="AH45" s="441" t="s">
        <v>1155</v>
      </c>
      <c r="AI45" s="441" t="s">
        <v>1156</v>
      </c>
      <c r="AJ45" s="441" t="s">
        <v>267</v>
      </c>
      <c r="AK45" s="442" t="s">
        <v>1157</v>
      </c>
    </row>
    <row r="46" spans="1:37" ht="15" customHeight="1" thickBot="1">
      <c r="A46" s="438"/>
      <c r="B46" s="415"/>
      <c r="C46" s="444"/>
      <c r="D46" s="415"/>
      <c r="E46" s="444"/>
      <c r="F46" s="415"/>
      <c r="G46" s="444"/>
      <c r="H46" s="415"/>
      <c r="I46" s="444"/>
      <c r="J46" s="415"/>
      <c r="K46" s="444"/>
      <c r="L46" s="415"/>
      <c r="M46" s="444"/>
      <c r="N46" s="415"/>
      <c r="O46" s="444"/>
      <c r="P46" s="415"/>
      <c r="Q46" s="444"/>
      <c r="R46" s="415"/>
      <c r="S46" s="444"/>
      <c r="T46" s="415"/>
      <c r="U46" s="444"/>
      <c r="V46" s="415"/>
      <c r="W46" s="444"/>
      <c r="X46" s="415"/>
      <c r="Y46" s="444"/>
      <c r="Z46" s="415"/>
      <c r="AA46" s="444"/>
      <c r="AB46" s="415"/>
      <c r="AC46" s="444"/>
      <c r="AF46" s="445"/>
      <c r="AG46" s="446"/>
      <c r="AH46" s="446"/>
      <c r="AI46" s="446"/>
      <c r="AJ46" s="446"/>
      <c r="AK46" s="447"/>
    </row>
    <row r="47" spans="1:37" ht="42" customHeight="1" thickBot="1">
      <c r="A47" s="438"/>
      <c r="B47" s="417"/>
      <c r="C47" s="448">
        <v>412.596</v>
      </c>
      <c r="D47" s="417"/>
      <c r="E47" s="448">
        <v>340.11200000000002</v>
      </c>
      <c r="F47" s="417"/>
      <c r="G47" s="448">
        <v>410.76</v>
      </c>
      <c r="H47" s="417"/>
      <c r="I47" s="448">
        <v>427.9</v>
      </c>
      <c r="J47" s="417"/>
      <c r="K47" s="448">
        <v>404.21</v>
      </c>
      <c r="L47" s="417"/>
      <c r="M47" s="448">
        <v>398.44600000000003</v>
      </c>
      <c r="N47" s="417"/>
      <c r="O47" s="448">
        <v>431.93900000000002</v>
      </c>
      <c r="P47" s="417"/>
      <c r="Q47" s="448">
        <v>486.19600000000003</v>
      </c>
      <c r="R47" s="417"/>
      <c r="S47" s="448">
        <v>369.71699999999998</v>
      </c>
      <c r="T47" s="417"/>
      <c r="U47" s="448">
        <v>389.34399999999999</v>
      </c>
      <c r="V47" s="417"/>
      <c r="W47" s="448">
        <v>395.60199999999998</v>
      </c>
      <c r="X47" s="417"/>
      <c r="Y47" s="448">
        <v>372.37700000000001</v>
      </c>
      <c r="Z47" s="417"/>
      <c r="AA47" s="448">
        <v>431.54700000000003</v>
      </c>
      <c r="AB47" s="417"/>
      <c r="AC47" s="448">
        <v>370.65100000000001</v>
      </c>
      <c r="AF47" s="441">
        <v>14</v>
      </c>
      <c r="AG47" s="441"/>
      <c r="AH47" s="441"/>
      <c r="AI47" s="441"/>
      <c r="AJ47" s="441"/>
      <c r="AK47" s="442"/>
    </row>
    <row r="48" spans="1:37" ht="12.6" thickBot="1">
      <c r="A48" s="438"/>
      <c r="B48" s="450"/>
      <c r="C48" s="444"/>
      <c r="D48" s="450"/>
      <c r="E48" s="444"/>
      <c r="F48" s="450"/>
      <c r="G48" s="444"/>
      <c r="H48" s="450"/>
      <c r="I48" s="444"/>
      <c r="J48" s="450"/>
      <c r="K48" s="444"/>
      <c r="L48" s="450"/>
      <c r="M48" s="444"/>
      <c r="N48" s="450"/>
      <c r="O48" s="444"/>
      <c r="P48" s="450"/>
      <c r="Q48" s="444"/>
      <c r="R48" s="450"/>
      <c r="S48" s="444"/>
      <c r="T48" s="450"/>
      <c r="U48" s="444"/>
      <c r="V48" s="450"/>
      <c r="W48" s="444"/>
      <c r="X48" s="450"/>
      <c r="Y48" s="444"/>
      <c r="Z48" s="450"/>
      <c r="AA48" s="444"/>
      <c r="AB48" s="450"/>
      <c r="AC48" s="444"/>
      <c r="AF48" s="445"/>
      <c r="AG48" s="446"/>
      <c r="AH48" s="446"/>
      <c r="AI48" s="446"/>
      <c r="AJ48" s="446"/>
      <c r="AK48" s="447"/>
    </row>
    <row r="49" spans="1:37">
      <c r="A49" s="438"/>
      <c r="B49" s="421" t="s">
        <v>147</v>
      </c>
      <c r="C49" s="421"/>
      <c r="D49" s="421" t="s">
        <v>150</v>
      </c>
      <c r="E49" s="421"/>
      <c r="F49" s="421" t="s">
        <v>84</v>
      </c>
      <c r="G49" s="421"/>
      <c r="H49" s="421" t="s">
        <v>147</v>
      </c>
      <c r="I49" s="421"/>
      <c r="J49" s="421" t="s">
        <v>206</v>
      </c>
      <c r="K49" s="421"/>
      <c r="L49" s="421" t="s">
        <v>147</v>
      </c>
      <c r="M49" s="421"/>
      <c r="N49" s="421" t="s">
        <v>150</v>
      </c>
      <c r="O49" s="421"/>
      <c r="P49" s="421" t="s">
        <v>97</v>
      </c>
      <c r="Q49" s="421"/>
      <c r="R49" s="421" t="s">
        <v>102</v>
      </c>
      <c r="S49" s="421"/>
      <c r="T49" s="421" t="s">
        <v>150</v>
      </c>
      <c r="U49" s="421"/>
      <c r="V49" s="421" t="s">
        <v>147</v>
      </c>
      <c r="W49" s="421"/>
      <c r="X49" s="421" t="s">
        <v>150</v>
      </c>
      <c r="Y49" s="421"/>
      <c r="Z49" s="421" t="s">
        <v>206</v>
      </c>
      <c r="AA49" s="421"/>
      <c r="AB49" s="421" t="s">
        <v>147</v>
      </c>
      <c r="AC49" s="444"/>
      <c r="AF49" s="445"/>
      <c r="AG49" s="446"/>
      <c r="AH49" s="446"/>
      <c r="AI49" s="446"/>
      <c r="AJ49" s="446"/>
      <c r="AK49" s="447"/>
    </row>
    <row r="50" spans="1:37">
      <c r="A50" s="438"/>
      <c r="B50" s="421"/>
      <c r="C50" s="421"/>
      <c r="D50" s="421"/>
      <c r="E50" s="421"/>
      <c r="F50" s="421"/>
      <c r="G50" s="421"/>
      <c r="H50" s="421"/>
      <c r="I50" s="421"/>
      <c r="J50" s="421"/>
      <c r="K50" s="421"/>
      <c r="L50" s="421"/>
      <c r="M50" s="421"/>
      <c r="N50" s="421"/>
      <c r="O50" s="421"/>
      <c r="P50" s="421"/>
      <c r="Q50" s="421"/>
      <c r="R50" s="421"/>
      <c r="S50" s="421"/>
      <c r="T50" s="421"/>
      <c r="U50" s="421"/>
      <c r="V50" s="421"/>
      <c r="W50" s="421"/>
      <c r="X50" s="421"/>
      <c r="Y50" s="421"/>
      <c r="Z50" s="421"/>
      <c r="AA50" s="421"/>
      <c r="AB50" s="421"/>
      <c r="AC50" s="444"/>
      <c r="AF50" s="445"/>
      <c r="AG50" s="446"/>
      <c r="AH50" s="446"/>
      <c r="AI50" s="446"/>
      <c r="AJ50" s="446"/>
      <c r="AK50" s="447"/>
    </row>
    <row r="51" spans="1:37" ht="12.45" customHeight="1">
      <c r="A51" s="438"/>
      <c r="C51" s="444"/>
      <c r="E51" s="444"/>
      <c r="G51" s="444"/>
      <c r="I51" s="444"/>
      <c r="K51" s="444"/>
      <c r="M51" s="444"/>
      <c r="O51" s="444"/>
      <c r="Q51" s="444"/>
      <c r="S51" s="444"/>
      <c r="U51" s="444"/>
      <c r="W51" s="444"/>
      <c r="Y51" s="444"/>
      <c r="AA51" s="444"/>
      <c r="AC51" s="444"/>
      <c r="AF51" s="445"/>
      <c r="AG51" s="446"/>
      <c r="AH51" s="446"/>
      <c r="AI51" s="446"/>
      <c r="AJ51" s="446"/>
      <c r="AK51" s="447"/>
    </row>
    <row r="52" spans="1:37">
      <c r="A52" s="438"/>
      <c r="B52" s="439" t="s">
        <v>1187</v>
      </c>
      <c r="C52" s="414"/>
      <c r="D52" s="439" t="s">
        <v>1188</v>
      </c>
      <c r="E52" s="414"/>
      <c r="F52" s="439" t="s">
        <v>1189</v>
      </c>
      <c r="G52" s="414"/>
      <c r="H52" s="439" t="s">
        <v>1190</v>
      </c>
      <c r="I52" s="414"/>
      <c r="J52" s="439" t="s">
        <v>1191</v>
      </c>
      <c r="K52" s="414"/>
      <c r="L52" s="439" t="s">
        <v>1192</v>
      </c>
      <c r="M52" s="414"/>
      <c r="N52" s="439" t="s">
        <v>1193</v>
      </c>
      <c r="O52" s="414"/>
      <c r="P52" s="439" t="s">
        <v>1194</v>
      </c>
      <c r="Q52" s="414"/>
      <c r="R52" s="439" t="s">
        <v>1195</v>
      </c>
      <c r="S52" s="414"/>
      <c r="T52" s="439" t="s">
        <v>1196</v>
      </c>
      <c r="U52" s="414"/>
      <c r="V52" s="439" t="s">
        <v>537</v>
      </c>
      <c r="W52" s="414"/>
      <c r="X52" s="439" t="s">
        <v>1197</v>
      </c>
      <c r="Y52" s="414"/>
      <c r="Z52" s="439" t="s">
        <v>1198</v>
      </c>
      <c r="AA52" s="414"/>
      <c r="AB52" s="439" t="s">
        <v>1199</v>
      </c>
      <c r="AC52" s="444"/>
      <c r="AF52" s="445"/>
      <c r="AG52" s="446"/>
      <c r="AH52" s="446"/>
      <c r="AI52" s="446"/>
      <c r="AJ52" s="446"/>
      <c r="AK52" s="447"/>
    </row>
    <row r="53" spans="1:37">
      <c r="A53" s="438"/>
      <c r="B53" s="443"/>
      <c r="C53" s="444"/>
      <c r="D53" s="443"/>
      <c r="E53" s="444"/>
      <c r="F53" s="443"/>
      <c r="G53" s="444"/>
      <c r="H53" s="443"/>
      <c r="I53" s="444"/>
      <c r="J53" s="443"/>
      <c r="K53" s="444"/>
      <c r="L53" s="443"/>
      <c r="M53" s="444"/>
      <c r="N53" s="443"/>
      <c r="O53" s="444"/>
      <c r="P53" s="443"/>
      <c r="Q53" s="444"/>
      <c r="R53" s="443"/>
      <c r="S53" s="444"/>
      <c r="T53" s="443"/>
      <c r="U53" s="444"/>
      <c r="V53" s="443"/>
      <c r="W53" s="444"/>
      <c r="X53" s="443"/>
      <c r="Y53" s="444"/>
      <c r="Z53" s="443"/>
      <c r="AA53" s="444"/>
      <c r="AB53" s="443"/>
      <c r="AC53" s="444"/>
      <c r="AF53" s="441" t="s">
        <v>1154</v>
      </c>
      <c r="AG53" s="441" t="s">
        <v>318</v>
      </c>
      <c r="AH53" s="441" t="s">
        <v>1155</v>
      </c>
      <c r="AI53" s="441" t="s">
        <v>1156</v>
      </c>
      <c r="AJ53" s="441" t="s">
        <v>267</v>
      </c>
      <c r="AK53" s="442" t="s">
        <v>1157</v>
      </c>
    </row>
    <row r="54" spans="1:37" ht="16.5" customHeight="1" thickBot="1">
      <c r="A54" s="438"/>
      <c r="B54" s="415"/>
      <c r="C54" s="444"/>
      <c r="D54" s="415"/>
      <c r="E54" s="444"/>
      <c r="F54" s="415"/>
      <c r="G54" s="444"/>
      <c r="H54" s="415"/>
      <c r="I54" s="444"/>
      <c r="J54" s="415"/>
      <c r="K54" s="444"/>
      <c r="L54" s="415"/>
      <c r="M54" s="444"/>
      <c r="N54" s="415"/>
      <c r="O54" s="444"/>
      <c r="P54" s="415"/>
      <c r="Q54" s="444"/>
      <c r="R54" s="415"/>
      <c r="S54" s="444"/>
      <c r="T54" s="415"/>
      <c r="U54" s="444"/>
      <c r="V54" s="415"/>
      <c r="W54" s="444"/>
      <c r="X54" s="415"/>
      <c r="Y54" s="444"/>
      <c r="Z54" s="415"/>
      <c r="AA54" s="444"/>
      <c r="AB54" s="415"/>
      <c r="AC54" s="444"/>
      <c r="AF54" s="445"/>
      <c r="AG54" s="446"/>
      <c r="AH54" s="446"/>
      <c r="AI54" s="446"/>
      <c r="AJ54" s="446"/>
      <c r="AK54" s="447"/>
    </row>
    <row r="55" spans="1:37" ht="42.75" customHeight="1" thickBot="1">
      <c r="A55" s="438"/>
      <c r="B55" s="417"/>
      <c r="C55" s="448">
        <v>345.35199999999998</v>
      </c>
      <c r="D55" s="417"/>
      <c r="E55" s="448">
        <v>381.91199999999998</v>
      </c>
      <c r="F55" s="417"/>
      <c r="G55" s="448">
        <v>366.81900000000002</v>
      </c>
      <c r="H55" s="417"/>
      <c r="I55" s="448">
        <v>424.00200000000001</v>
      </c>
      <c r="J55" s="417"/>
      <c r="K55" s="448">
        <v>400.12599999999998</v>
      </c>
      <c r="L55" s="417"/>
      <c r="M55" s="448">
        <v>403.79500000000002</v>
      </c>
      <c r="N55" s="417"/>
      <c r="O55" s="448">
        <v>437.70499999999998</v>
      </c>
      <c r="P55" s="417"/>
      <c r="Q55" s="448">
        <v>399.87</v>
      </c>
      <c r="R55" s="417"/>
      <c r="S55" s="448">
        <v>437.786</v>
      </c>
      <c r="T55" s="417"/>
      <c r="U55" s="448">
        <v>378.36200000000002</v>
      </c>
      <c r="V55" s="417"/>
      <c r="W55" s="448">
        <v>433.995</v>
      </c>
      <c r="X55" s="417"/>
      <c r="Y55" s="448">
        <v>370.685</v>
      </c>
      <c r="Z55" s="417"/>
      <c r="AA55" s="448">
        <v>323.97199999999998</v>
      </c>
      <c r="AB55" s="417"/>
      <c r="AC55" s="448">
        <v>384.46199999999999</v>
      </c>
      <c r="AF55" s="441">
        <v>14</v>
      </c>
      <c r="AG55" s="441"/>
      <c r="AH55" s="441"/>
      <c r="AI55" s="441"/>
      <c r="AJ55" s="441"/>
      <c r="AK55" s="442"/>
    </row>
    <row r="56" spans="1:37" ht="12.6" thickBot="1">
      <c r="A56" s="438"/>
      <c r="B56" s="450"/>
      <c r="C56" s="444"/>
      <c r="D56" s="450"/>
      <c r="E56" s="444"/>
      <c r="F56" s="450"/>
      <c r="G56" s="444"/>
      <c r="H56" s="450"/>
      <c r="I56" s="444"/>
      <c r="J56" s="450"/>
      <c r="K56" s="444"/>
      <c r="L56" s="450"/>
      <c r="M56" s="444"/>
      <c r="N56" s="450"/>
      <c r="O56" s="444"/>
      <c r="P56" s="450"/>
      <c r="Q56" s="444"/>
      <c r="R56" s="450"/>
      <c r="S56" s="444"/>
      <c r="T56" s="450"/>
      <c r="U56" s="444"/>
      <c r="V56" s="450"/>
      <c r="W56" s="444"/>
      <c r="X56" s="450"/>
      <c r="Y56" s="444"/>
      <c r="Z56" s="450"/>
      <c r="AA56" s="444"/>
      <c r="AB56" s="450"/>
      <c r="AC56" s="444"/>
      <c r="AF56" s="445"/>
      <c r="AG56" s="446"/>
      <c r="AH56" s="446"/>
      <c r="AI56" s="446"/>
      <c r="AJ56" s="446"/>
      <c r="AK56" s="447"/>
    </row>
    <row r="57" spans="1:37">
      <c r="A57" s="438"/>
      <c r="B57" s="421" t="s">
        <v>147</v>
      </c>
      <c r="C57" s="421"/>
      <c r="D57" s="421" t="s">
        <v>147</v>
      </c>
      <c r="E57" s="421"/>
      <c r="F57" s="421" t="s">
        <v>147</v>
      </c>
      <c r="G57" s="421"/>
      <c r="H57" s="421" t="s">
        <v>84</v>
      </c>
      <c r="I57" s="421"/>
      <c r="J57" s="421" t="s">
        <v>147</v>
      </c>
      <c r="K57" s="421"/>
      <c r="L57" s="421" t="s">
        <v>150</v>
      </c>
      <c r="M57" s="421"/>
      <c r="N57" s="421" t="s">
        <v>150</v>
      </c>
      <c r="O57" s="421"/>
      <c r="P57" s="421" t="s">
        <v>150</v>
      </c>
      <c r="Q57" s="421"/>
      <c r="R57" s="421" t="s">
        <v>147</v>
      </c>
      <c r="S57" s="421"/>
      <c r="T57" s="421" t="s">
        <v>206</v>
      </c>
      <c r="U57" s="421"/>
      <c r="V57" s="421" t="s">
        <v>84</v>
      </c>
      <c r="W57" s="421"/>
      <c r="X57" s="421" t="s">
        <v>150</v>
      </c>
      <c r="Y57" s="421"/>
      <c r="Z57" s="421" t="s">
        <v>147</v>
      </c>
      <c r="AA57" s="421"/>
      <c r="AB57" s="421" t="s">
        <v>147</v>
      </c>
      <c r="AC57" s="444"/>
      <c r="AF57" s="445"/>
      <c r="AG57" s="446"/>
      <c r="AH57" s="446"/>
      <c r="AI57" s="446"/>
      <c r="AJ57" s="446"/>
      <c r="AK57" s="447"/>
    </row>
    <row r="58" spans="1:37">
      <c r="A58" s="438"/>
      <c r="B58" s="421"/>
      <c r="C58" s="421"/>
      <c r="D58" s="421"/>
      <c r="E58" s="421"/>
      <c r="F58" s="421"/>
      <c r="G58" s="421"/>
      <c r="H58" s="421"/>
      <c r="I58" s="421"/>
      <c r="J58" s="421"/>
      <c r="K58" s="421"/>
      <c r="L58" s="421"/>
      <c r="M58" s="421"/>
      <c r="N58" s="421"/>
      <c r="O58" s="421"/>
      <c r="P58" s="421"/>
      <c r="Q58" s="421"/>
      <c r="R58" s="421"/>
      <c r="S58" s="421"/>
      <c r="T58" s="421"/>
      <c r="U58" s="421"/>
      <c r="V58" s="421"/>
      <c r="W58" s="421"/>
      <c r="X58" s="421"/>
      <c r="Y58" s="421"/>
      <c r="Z58" s="421"/>
      <c r="AA58" s="421"/>
      <c r="AB58" s="421"/>
      <c r="AC58" s="444"/>
      <c r="AF58" s="445"/>
      <c r="AG58" s="446"/>
      <c r="AH58" s="446"/>
      <c r="AI58" s="446"/>
      <c r="AJ58" s="446"/>
      <c r="AK58" s="447"/>
    </row>
    <row r="59" spans="1:37">
      <c r="A59" s="438"/>
      <c r="C59" s="444"/>
      <c r="E59" s="444"/>
      <c r="G59" s="444"/>
      <c r="I59" s="444"/>
      <c r="K59" s="444"/>
      <c r="M59" s="444"/>
      <c r="O59" s="444"/>
      <c r="Q59" s="444"/>
      <c r="S59" s="444"/>
      <c r="U59" s="444"/>
      <c r="W59" s="444"/>
      <c r="Y59" s="444"/>
      <c r="AA59" s="444"/>
      <c r="AC59" s="444"/>
      <c r="AF59" s="445"/>
      <c r="AG59" s="446"/>
      <c r="AH59" s="446"/>
      <c r="AI59" s="446"/>
      <c r="AJ59" s="446"/>
      <c r="AK59" s="447"/>
    </row>
    <row r="60" spans="1:37">
      <c r="A60" s="438"/>
      <c r="B60" s="439" t="s">
        <v>1200</v>
      </c>
      <c r="C60" s="414"/>
      <c r="D60" s="439" t="s">
        <v>1201</v>
      </c>
      <c r="E60" s="414"/>
      <c r="F60" s="439" t="s">
        <v>1202</v>
      </c>
      <c r="G60" s="414"/>
      <c r="H60" s="439" t="s">
        <v>539</v>
      </c>
      <c r="I60" s="414"/>
      <c r="J60" s="439" t="s">
        <v>1203</v>
      </c>
      <c r="K60" s="414"/>
      <c r="L60" s="439" t="s">
        <v>1204</v>
      </c>
      <c r="M60" s="414"/>
      <c r="N60" s="439" t="s">
        <v>548</v>
      </c>
      <c r="O60" s="414"/>
      <c r="P60" s="439" t="s">
        <v>1205</v>
      </c>
      <c r="Q60" s="414"/>
      <c r="R60" s="439" t="s">
        <v>1206</v>
      </c>
      <c r="S60" s="414"/>
      <c r="T60" s="439" t="s">
        <v>1207</v>
      </c>
      <c r="U60" s="414"/>
      <c r="V60" s="439" t="s">
        <v>553</v>
      </c>
      <c r="W60" s="414"/>
      <c r="X60" s="439" t="s">
        <v>1208</v>
      </c>
      <c r="Y60" s="414"/>
      <c r="Z60" s="439" t="s">
        <v>554</v>
      </c>
      <c r="AA60" s="414"/>
      <c r="AB60" s="439" t="s">
        <v>1209</v>
      </c>
      <c r="AC60" s="444"/>
      <c r="AF60" s="445"/>
      <c r="AG60" s="446"/>
      <c r="AH60" s="446"/>
      <c r="AI60" s="446"/>
      <c r="AJ60" s="446"/>
      <c r="AK60" s="447"/>
    </row>
    <row r="61" spans="1:37">
      <c r="A61" s="438"/>
      <c r="B61" s="443"/>
      <c r="C61" s="444"/>
      <c r="D61" s="443"/>
      <c r="E61" s="452"/>
      <c r="F61" s="443"/>
      <c r="G61" s="452"/>
      <c r="H61" s="443"/>
      <c r="I61" s="444"/>
      <c r="J61" s="443"/>
      <c r="K61" s="444"/>
      <c r="L61" s="443"/>
      <c r="M61" s="444"/>
      <c r="N61" s="443"/>
      <c r="O61" s="444"/>
      <c r="P61" s="443"/>
      <c r="Q61" s="444"/>
      <c r="R61" s="443"/>
      <c r="S61" s="452"/>
      <c r="T61" s="443"/>
      <c r="U61" s="452"/>
      <c r="V61" s="443"/>
      <c r="W61" s="421"/>
      <c r="X61" s="443"/>
      <c r="Y61" s="444"/>
      <c r="Z61" s="443"/>
      <c r="AA61" s="455"/>
      <c r="AB61" s="443"/>
      <c r="AC61" s="444"/>
      <c r="AF61" s="441" t="s">
        <v>1154</v>
      </c>
      <c r="AG61" s="441" t="s">
        <v>318</v>
      </c>
      <c r="AH61" s="441" t="s">
        <v>1155</v>
      </c>
      <c r="AI61" s="441" t="s">
        <v>1156</v>
      </c>
      <c r="AJ61" s="441" t="s">
        <v>267</v>
      </c>
      <c r="AK61" s="442" t="s">
        <v>1157</v>
      </c>
    </row>
    <row r="62" spans="1:37" ht="12.6" thickBot="1">
      <c r="A62" s="438"/>
      <c r="B62" s="415"/>
      <c r="C62" s="444"/>
      <c r="D62" s="415"/>
      <c r="E62" s="444"/>
      <c r="F62" s="415"/>
      <c r="G62" s="444"/>
      <c r="H62" s="415"/>
      <c r="I62" s="444"/>
      <c r="J62" s="415"/>
      <c r="K62" s="444"/>
      <c r="L62" s="415"/>
      <c r="M62" s="444"/>
      <c r="N62" s="415"/>
      <c r="O62" s="444"/>
      <c r="P62" s="415"/>
      <c r="Q62" s="444"/>
      <c r="R62" s="415"/>
      <c r="S62" s="444"/>
      <c r="T62" s="415"/>
      <c r="U62" s="444"/>
      <c r="V62" s="415"/>
      <c r="W62" s="444"/>
      <c r="X62" s="415"/>
      <c r="Y62" s="444"/>
      <c r="Z62" s="415"/>
      <c r="AA62" s="444"/>
      <c r="AB62" s="415"/>
      <c r="AC62" s="444"/>
      <c r="AF62" s="445"/>
      <c r="AG62" s="446"/>
      <c r="AH62" s="446"/>
      <c r="AI62" s="446"/>
      <c r="AJ62" s="446"/>
      <c r="AK62" s="447"/>
    </row>
    <row r="63" spans="1:37" ht="42" customHeight="1" thickBot="1">
      <c r="A63" s="438"/>
      <c r="B63" s="417"/>
      <c r="C63" s="448">
        <v>381.18799999999999</v>
      </c>
      <c r="D63" s="417"/>
      <c r="E63" s="448">
        <v>336.40899999999999</v>
      </c>
      <c r="F63" s="417"/>
      <c r="G63" s="448">
        <v>438.97</v>
      </c>
      <c r="H63" s="417"/>
      <c r="I63" s="448">
        <v>395.17899999999997</v>
      </c>
      <c r="J63" s="417"/>
      <c r="K63" s="448">
        <v>388.12</v>
      </c>
      <c r="L63" s="417"/>
      <c r="M63" s="448">
        <v>364.44600000000003</v>
      </c>
      <c r="N63" s="417"/>
      <c r="O63" s="448">
        <v>404.572</v>
      </c>
      <c r="P63" s="417"/>
      <c r="Q63" s="448">
        <v>432.27</v>
      </c>
      <c r="R63" s="417"/>
      <c r="S63" s="448">
        <v>404.23</v>
      </c>
      <c r="T63" s="417"/>
      <c r="U63" s="448">
        <v>416.62099999999998</v>
      </c>
      <c r="V63" s="417"/>
      <c r="W63" s="448">
        <v>468.03899999999999</v>
      </c>
      <c r="X63" s="417"/>
      <c r="Y63" s="448">
        <v>432.31799999999998</v>
      </c>
      <c r="Z63" s="417"/>
      <c r="AA63" s="448">
        <v>464.52100000000002</v>
      </c>
      <c r="AB63" s="417"/>
      <c r="AC63" s="448">
        <v>369.74299999999999</v>
      </c>
      <c r="AF63" s="441">
        <v>14</v>
      </c>
      <c r="AG63" s="441"/>
      <c r="AH63" s="441"/>
      <c r="AI63" s="441"/>
      <c r="AJ63" s="441"/>
      <c r="AK63" s="442"/>
    </row>
    <row r="64" spans="1:37" ht="12.6" thickBot="1">
      <c r="A64" s="438"/>
      <c r="B64" s="450"/>
      <c r="C64" s="444"/>
      <c r="D64" s="450"/>
      <c r="E64" s="444"/>
      <c r="F64" s="450"/>
      <c r="G64" s="444"/>
      <c r="H64" s="450"/>
      <c r="I64" s="444"/>
      <c r="J64" s="450"/>
      <c r="K64" s="444"/>
      <c r="L64" s="450"/>
      <c r="M64" s="444"/>
      <c r="N64" s="450"/>
      <c r="O64" s="444"/>
      <c r="P64" s="450"/>
      <c r="Q64" s="444"/>
      <c r="R64" s="450"/>
      <c r="S64" s="444"/>
      <c r="T64" s="450"/>
      <c r="U64" s="444"/>
      <c r="V64" s="450"/>
      <c r="W64" s="444"/>
      <c r="X64" s="450"/>
      <c r="Y64" s="444"/>
      <c r="Z64" s="450"/>
      <c r="AA64" s="444"/>
      <c r="AB64" s="450"/>
      <c r="AC64" s="444"/>
      <c r="AF64" s="445"/>
      <c r="AG64" s="446"/>
      <c r="AH64" s="446"/>
      <c r="AI64" s="446"/>
      <c r="AJ64" s="446"/>
      <c r="AK64" s="447"/>
    </row>
    <row r="65" spans="1:37">
      <c r="A65" s="438"/>
      <c r="B65" s="421" t="s">
        <v>147</v>
      </c>
      <c r="C65" s="421"/>
      <c r="D65" s="421" t="s">
        <v>147</v>
      </c>
      <c r="E65" s="421"/>
      <c r="F65" s="421" t="s">
        <v>147</v>
      </c>
      <c r="G65" s="421"/>
      <c r="H65" s="421" t="s">
        <v>84</v>
      </c>
      <c r="I65" s="421"/>
      <c r="J65" s="421" t="s">
        <v>147</v>
      </c>
      <c r="K65" s="421"/>
      <c r="L65" s="421" t="s">
        <v>150</v>
      </c>
      <c r="M65" s="421"/>
      <c r="N65" s="421" t="s">
        <v>80</v>
      </c>
      <c r="O65" s="421"/>
      <c r="P65" s="421" t="s">
        <v>212</v>
      </c>
      <c r="Q65" s="421"/>
      <c r="R65" s="421" t="s">
        <v>206</v>
      </c>
      <c r="S65" s="421"/>
      <c r="T65" s="421" t="s">
        <v>150</v>
      </c>
      <c r="U65" s="421"/>
      <c r="V65" s="421" t="s">
        <v>84</v>
      </c>
      <c r="W65" s="421"/>
      <c r="X65" s="421" t="s">
        <v>97</v>
      </c>
      <c r="Y65" s="421"/>
      <c r="Z65" s="421" t="s">
        <v>88</v>
      </c>
      <c r="AA65" s="421"/>
      <c r="AB65" s="421" t="s">
        <v>206</v>
      </c>
      <c r="AC65" s="444"/>
      <c r="AF65" s="445"/>
      <c r="AG65" s="446"/>
      <c r="AH65" s="446"/>
      <c r="AI65" s="446"/>
      <c r="AJ65" s="446"/>
      <c r="AK65" s="447"/>
    </row>
    <row r="66" spans="1:37">
      <c r="A66" s="438"/>
      <c r="B66" s="421"/>
      <c r="C66" s="421"/>
      <c r="D66" s="421"/>
      <c r="E66" s="421"/>
      <c r="F66" s="421"/>
      <c r="G66" s="421"/>
      <c r="H66" s="421"/>
      <c r="I66" s="421"/>
      <c r="J66" s="421"/>
      <c r="K66" s="421"/>
      <c r="L66" s="421"/>
      <c r="M66" s="421"/>
      <c r="N66" s="421"/>
      <c r="O66" s="421"/>
      <c r="P66" s="421"/>
      <c r="Q66" s="421"/>
      <c r="R66" s="421"/>
      <c r="S66" s="421"/>
      <c r="T66" s="421"/>
      <c r="U66" s="421"/>
      <c r="V66" s="421"/>
      <c r="W66" s="421"/>
      <c r="X66" s="421"/>
      <c r="Y66" s="421"/>
      <c r="Z66" s="421"/>
      <c r="AA66" s="421"/>
      <c r="AB66" s="421"/>
      <c r="AC66" s="444"/>
      <c r="AF66" s="445"/>
      <c r="AG66" s="446"/>
      <c r="AH66" s="446"/>
      <c r="AI66" s="446"/>
      <c r="AJ66" s="446"/>
      <c r="AK66" s="447"/>
    </row>
    <row r="67" spans="1:37">
      <c r="A67" s="438"/>
      <c r="C67" s="444"/>
      <c r="E67" s="444"/>
      <c r="G67" s="444"/>
      <c r="I67" s="444"/>
      <c r="K67" s="444"/>
      <c r="M67" s="444"/>
      <c r="O67" s="444"/>
      <c r="Q67" s="444"/>
      <c r="S67" s="444"/>
      <c r="U67" s="444"/>
      <c r="W67" s="444"/>
      <c r="Y67" s="444"/>
      <c r="AA67" s="444"/>
      <c r="AC67" s="444"/>
      <c r="AF67" s="445"/>
      <c r="AG67" s="446"/>
      <c r="AH67" s="446"/>
      <c r="AI67" s="446"/>
      <c r="AJ67" s="446"/>
      <c r="AK67" s="447"/>
    </row>
    <row r="68" spans="1:37">
      <c r="A68" s="438"/>
      <c r="B68" s="439" t="s">
        <v>559</v>
      </c>
      <c r="C68" s="414"/>
      <c r="D68" s="439" t="s">
        <v>1210</v>
      </c>
      <c r="E68" s="414"/>
      <c r="F68" s="439" t="s">
        <v>568</v>
      </c>
      <c r="G68" s="414"/>
      <c r="H68" s="439" t="s">
        <v>1211</v>
      </c>
      <c r="I68" s="414"/>
      <c r="J68" s="439" t="s">
        <v>572</v>
      </c>
      <c r="K68" s="414"/>
      <c r="L68" s="439" t="s">
        <v>1212</v>
      </c>
      <c r="M68" s="414"/>
      <c r="N68" s="439" t="s">
        <v>573</v>
      </c>
      <c r="O68" s="414"/>
      <c r="P68" s="439" t="s">
        <v>1213</v>
      </c>
      <c r="Q68" s="414"/>
      <c r="R68" s="439" t="s">
        <v>1214</v>
      </c>
      <c r="S68" s="414"/>
      <c r="T68" s="439" t="s">
        <v>1215</v>
      </c>
      <c r="U68" s="414"/>
      <c r="V68" s="439" t="s">
        <v>574</v>
      </c>
      <c r="W68" s="414"/>
      <c r="X68" s="439" t="s">
        <v>1216</v>
      </c>
      <c r="Y68" s="414"/>
      <c r="Z68" s="439" t="s">
        <v>1217</v>
      </c>
      <c r="AA68" s="414"/>
      <c r="AB68" s="439" t="s">
        <v>1218</v>
      </c>
      <c r="AC68" s="444"/>
      <c r="AF68" s="445"/>
      <c r="AG68" s="446"/>
      <c r="AH68" s="446"/>
      <c r="AI68" s="446"/>
      <c r="AJ68" s="446"/>
      <c r="AK68" s="447"/>
    </row>
    <row r="69" spans="1:37">
      <c r="A69" s="438"/>
      <c r="B69" s="443"/>
      <c r="C69" s="444"/>
      <c r="D69" s="443"/>
      <c r="E69" s="444"/>
      <c r="F69" s="443"/>
      <c r="G69" s="444"/>
      <c r="H69" s="443"/>
      <c r="I69" s="444"/>
      <c r="J69" s="443"/>
      <c r="K69" s="444"/>
      <c r="L69" s="443"/>
      <c r="M69" s="452"/>
      <c r="N69" s="443"/>
      <c r="O69" s="421"/>
      <c r="P69" s="443"/>
      <c r="Q69" s="444"/>
      <c r="R69" s="443"/>
      <c r="S69" s="444"/>
      <c r="T69" s="443"/>
      <c r="U69" s="444"/>
      <c r="V69" s="443"/>
      <c r="W69" s="444"/>
      <c r="X69" s="443"/>
      <c r="Y69" s="444"/>
      <c r="Z69" s="443"/>
      <c r="AA69" s="444"/>
      <c r="AB69" s="443"/>
      <c r="AC69" s="444"/>
      <c r="AF69" s="441" t="s">
        <v>1154</v>
      </c>
      <c r="AG69" s="441" t="s">
        <v>318</v>
      </c>
      <c r="AH69" s="441" t="s">
        <v>1155</v>
      </c>
      <c r="AI69" s="441" t="s">
        <v>1156</v>
      </c>
      <c r="AJ69" s="441" t="s">
        <v>267</v>
      </c>
      <c r="AK69" s="442" t="s">
        <v>1157</v>
      </c>
    </row>
    <row r="70" spans="1:37" ht="12.6" thickBot="1">
      <c r="A70" s="438"/>
      <c r="B70" s="415"/>
      <c r="C70" s="444"/>
      <c r="D70" s="415"/>
      <c r="E70" s="444"/>
      <c r="F70" s="415"/>
      <c r="G70" s="444"/>
      <c r="H70" s="415"/>
      <c r="I70" s="444"/>
      <c r="J70" s="415"/>
      <c r="K70" s="444"/>
      <c r="L70" s="415"/>
      <c r="M70" s="444"/>
      <c r="N70" s="415"/>
      <c r="O70" s="444"/>
      <c r="P70" s="415"/>
      <c r="Q70" s="444"/>
      <c r="R70" s="415"/>
      <c r="S70" s="444"/>
      <c r="T70" s="415"/>
      <c r="U70" s="444"/>
      <c r="V70" s="415"/>
      <c r="W70" s="444"/>
      <c r="X70" s="415"/>
      <c r="Y70" s="444"/>
      <c r="Z70" s="415"/>
      <c r="AA70" s="444"/>
      <c r="AB70" s="415"/>
      <c r="AC70" s="444"/>
      <c r="AF70" s="445"/>
      <c r="AG70" s="446"/>
      <c r="AH70" s="446"/>
      <c r="AI70" s="446"/>
      <c r="AJ70" s="446"/>
      <c r="AK70" s="447"/>
    </row>
    <row r="71" spans="1:37" ht="42" customHeight="1" thickBot="1">
      <c r="A71" s="438"/>
      <c r="B71" s="417"/>
      <c r="C71" s="448">
        <v>284.16000000000003</v>
      </c>
      <c r="D71" s="417"/>
      <c r="E71" s="448">
        <v>270.74200000000002</v>
      </c>
      <c r="F71" s="417"/>
      <c r="G71" s="448">
        <v>286.64</v>
      </c>
      <c r="H71" s="417"/>
      <c r="I71" s="448">
        <v>291.69900000000001</v>
      </c>
      <c r="J71" s="417"/>
      <c r="K71" s="448">
        <v>398.71899999999999</v>
      </c>
      <c r="L71" s="417"/>
      <c r="M71" s="448">
        <v>425.46499999999997</v>
      </c>
      <c r="N71" s="417"/>
      <c r="O71" s="448">
        <v>383.81299999999999</v>
      </c>
      <c r="P71" s="417"/>
      <c r="Q71" s="448">
        <v>403.279</v>
      </c>
      <c r="R71" s="417"/>
      <c r="S71" s="448">
        <v>355.21499999999997</v>
      </c>
      <c r="T71" s="417"/>
      <c r="U71" s="448">
        <v>399.839</v>
      </c>
      <c r="V71" s="417"/>
      <c r="W71" s="448">
        <v>287.44200000000001</v>
      </c>
      <c r="X71" s="417"/>
      <c r="Y71" s="448">
        <v>390.74799999999999</v>
      </c>
      <c r="Z71" s="417"/>
      <c r="AA71" s="448">
        <v>364.274</v>
      </c>
      <c r="AB71" s="417"/>
      <c r="AC71" s="448">
        <v>337.54599999999999</v>
      </c>
      <c r="AF71" s="441">
        <v>14</v>
      </c>
      <c r="AG71" s="441"/>
      <c r="AH71" s="441"/>
      <c r="AI71" s="441"/>
      <c r="AJ71" s="441"/>
      <c r="AK71" s="442"/>
    </row>
    <row r="72" spans="1:37" ht="12.6" thickBot="1">
      <c r="A72" s="438"/>
      <c r="B72" s="450"/>
      <c r="C72" s="444"/>
      <c r="D72" s="450"/>
      <c r="E72" s="444"/>
      <c r="F72" s="450"/>
      <c r="G72" s="444"/>
      <c r="H72" s="450"/>
      <c r="I72" s="444"/>
      <c r="J72" s="450"/>
      <c r="K72" s="444"/>
      <c r="L72" s="450"/>
      <c r="M72" s="444"/>
      <c r="N72" s="450"/>
      <c r="O72" s="444"/>
      <c r="P72" s="450"/>
      <c r="Q72" s="444"/>
      <c r="R72" s="450"/>
      <c r="S72" s="444"/>
      <c r="T72" s="450"/>
      <c r="U72" s="444"/>
      <c r="V72" s="450"/>
      <c r="W72" s="444"/>
      <c r="X72" s="450"/>
      <c r="Y72" s="444"/>
      <c r="Z72" s="450"/>
      <c r="AA72" s="444"/>
      <c r="AB72" s="450"/>
      <c r="AC72" s="444"/>
      <c r="AF72" s="445"/>
      <c r="AG72" s="446"/>
      <c r="AH72" s="446"/>
      <c r="AI72" s="446"/>
      <c r="AJ72" s="446"/>
      <c r="AK72" s="447"/>
    </row>
    <row r="73" spans="1:37">
      <c r="A73" s="438"/>
      <c r="B73" s="421" t="s">
        <v>90</v>
      </c>
      <c r="C73" s="421"/>
      <c r="D73" s="421" t="s">
        <v>147</v>
      </c>
      <c r="E73" s="421"/>
      <c r="F73" s="421" t="s">
        <v>84</v>
      </c>
      <c r="G73" s="421"/>
      <c r="H73" s="421" t="s">
        <v>147</v>
      </c>
      <c r="I73" s="421"/>
      <c r="J73" s="421" t="s">
        <v>80</v>
      </c>
      <c r="K73" s="421"/>
      <c r="L73" s="421" t="s">
        <v>206</v>
      </c>
      <c r="M73" s="421"/>
      <c r="N73" s="421" t="s">
        <v>90</v>
      </c>
      <c r="O73" s="421"/>
      <c r="P73" s="421" t="s">
        <v>150</v>
      </c>
      <c r="Q73" s="421"/>
      <c r="R73" s="421" t="s">
        <v>147</v>
      </c>
      <c r="S73" s="421"/>
      <c r="T73" s="421" t="s">
        <v>150</v>
      </c>
      <c r="U73" s="421"/>
      <c r="V73" s="421" t="s">
        <v>80</v>
      </c>
      <c r="W73" s="421"/>
      <c r="X73" s="421" t="s">
        <v>147</v>
      </c>
      <c r="Y73" s="421"/>
      <c r="Z73" s="421" t="s">
        <v>147</v>
      </c>
      <c r="AA73" s="421"/>
      <c r="AB73" s="421" t="s">
        <v>147</v>
      </c>
      <c r="AC73" s="444"/>
      <c r="AF73" s="445"/>
      <c r="AG73" s="446"/>
      <c r="AH73" s="446"/>
      <c r="AI73" s="446"/>
      <c r="AJ73" s="446"/>
      <c r="AK73" s="447"/>
    </row>
    <row r="74" spans="1:37">
      <c r="A74" s="438"/>
      <c r="B74" s="421"/>
      <c r="C74" s="421"/>
      <c r="D74" s="421"/>
      <c r="E74" s="421"/>
      <c r="F74" s="421"/>
      <c r="G74" s="421"/>
      <c r="H74" s="421"/>
      <c r="I74" s="421"/>
      <c r="J74" s="421"/>
      <c r="K74" s="421"/>
      <c r="L74" s="421"/>
      <c r="M74" s="421"/>
      <c r="N74" s="421"/>
      <c r="O74" s="421"/>
      <c r="P74" s="421"/>
      <c r="Q74" s="421"/>
      <c r="R74" s="421"/>
      <c r="S74" s="421"/>
      <c r="T74" s="421"/>
      <c r="U74" s="421"/>
      <c r="V74" s="421"/>
      <c r="W74" s="421"/>
      <c r="X74" s="421"/>
      <c r="Y74" s="421"/>
      <c r="Z74" s="421"/>
      <c r="AA74" s="421"/>
      <c r="AB74" s="421"/>
      <c r="AC74" s="444"/>
      <c r="AF74" s="445"/>
      <c r="AG74" s="446"/>
      <c r="AH74" s="446"/>
      <c r="AI74" s="446"/>
      <c r="AJ74" s="446"/>
      <c r="AK74" s="447"/>
    </row>
    <row r="75" spans="1:37">
      <c r="A75" s="438"/>
      <c r="C75" s="444"/>
      <c r="E75" s="444"/>
      <c r="G75" s="444"/>
      <c r="I75" s="444"/>
      <c r="K75" s="444"/>
      <c r="M75" s="444"/>
      <c r="O75" s="444"/>
      <c r="Q75" s="444"/>
      <c r="S75" s="444"/>
      <c r="U75" s="444"/>
      <c r="W75" s="444"/>
      <c r="Y75" s="444"/>
      <c r="AA75" s="444"/>
      <c r="AC75" s="444"/>
      <c r="AF75" s="445"/>
      <c r="AG75" s="446"/>
      <c r="AH75" s="446"/>
      <c r="AI75" s="446"/>
      <c r="AJ75" s="446"/>
      <c r="AK75" s="447"/>
    </row>
    <row r="76" spans="1:37">
      <c r="A76" s="438"/>
      <c r="B76" s="439" t="s">
        <v>1219</v>
      </c>
      <c r="C76" s="414"/>
      <c r="D76" s="439" t="s">
        <v>1220</v>
      </c>
      <c r="E76" s="414"/>
      <c r="F76" s="439" t="s">
        <v>1221</v>
      </c>
      <c r="G76" s="414"/>
      <c r="H76" s="439" t="s">
        <v>580</v>
      </c>
      <c r="I76" s="414"/>
      <c r="J76" s="439" t="s">
        <v>1222</v>
      </c>
      <c r="K76" s="414"/>
      <c r="L76" s="439" t="s">
        <v>1223</v>
      </c>
      <c r="M76" s="414"/>
      <c r="N76" s="439" t="s">
        <v>584</v>
      </c>
      <c r="O76" s="414"/>
      <c r="P76" s="439" t="s">
        <v>587</v>
      </c>
      <c r="Q76" s="414"/>
      <c r="R76" s="439" t="s">
        <v>1224</v>
      </c>
      <c r="S76" s="414"/>
      <c r="T76" s="439" t="s">
        <v>1225</v>
      </c>
      <c r="U76" s="414"/>
      <c r="V76" s="439" t="s">
        <v>1226</v>
      </c>
      <c r="W76" s="414"/>
      <c r="X76" s="439" t="s">
        <v>588</v>
      </c>
      <c r="Y76" s="414"/>
      <c r="Z76" s="439" t="s">
        <v>1227</v>
      </c>
      <c r="AA76" s="414"/>
      <c r="AB76" s="439" t="s">
        <v>589</v>
      </c>
      <c r="AC76" s="444"/>
      <c r="AF76" s="445"/>
      <c r="AG76" s="446"/>
      <c r="AH76" s="446"/>
      <c r="AI76" s="446"/>
      <c r="AJ76" s="446"/>
      <c r="AK76" s="447"/>
    </row>
    <row r="77" spans="1:37">
      <c r="A77" s="438"/>
      <c r="B77" s="443"/>
      <c r="C77" s="444"/>
      <c r="D77" s="443"/>
      <c r="E77" s="444"/>
      <c r="F77" s="443"/>
      <c r="G77" s="444"/>
      <c r="H77" s="443"/>
      <c r="I77" s="444"/>
      <c r="J77" s="443"/>
      <c r="K77" s="444"/>
      <c r="L77" s="443"/>
      <c r="M77" s="444"/>
      <c r="N77" s="443"/>
      <c r="O77" s="444"/>
      <c r="P77" s="443"/>
      <c r="Q77" s="444"/>
      <c r="R77" s="443"/>
      <c r="S77" s="452"/>
      <c r="T77" s="443"/>
      <c r="U77" s="452"/>
      <c r="V77" s="443"/>
      <c r="W77" s="444"/>
      <c r="X77" s="443"/>
      <c r="Y77" s="444"/>
      <c r="Z77" s="443"/>
      <c r="AA77" s="444"/>
      <c r="AB77" s="443"/>
      <c r="AC77" s="444"/>
      <c r="AF77" s="441" t="s">
        <v>1154</v>
      </c>
      <c r="AG77" s="441" t="s">
        <v>318</v>
      </c>
      <c r="AH77" s="441" t="s">
        <v>1155</v>
      </c>
      <c r="AI77" s="441" t="s">
        <v>1156</v>
      </c>
      <c r="AJ77" s="441" t="s">
        <v>267</v>
      </c>
      <c r="AK77" s="442" t="s">
        <v>1157</v>
      </c>
    </row>
    <row r="78" spans="1:37" ht="12.6" thickBot="1">
      <c r="A78" s="438"/>
      <c r="B78" s="415"/>
      <c r="C78" s="444"/>
      <c r="D78" s="415"/>
      <c r="E78" s="444"/>
      <c r="F78" s="415"/>
      <c r="G78" s="444"/>
      <c r="H78" s="415"/>
      <c r="I78" s="444"/>
      <c r="J78" s="415"/>
      <c r="K78" s="444"/>
      <c r="L78" s="415"/>
      <c r="M78" s="444"/>
      <c r="N78" s="415"/>
      <c r="O78" s="444"/>
      <c r="P78" s="415"/>
      <c r="Q78" s="444"/>
      <c r="R78" s="415"/>
      <c r="S78" s="444"/>
      <c r="T78" s="415"/>
      <c r="U78" s="444"/>
      <c r="V78" s="415"/>
      <c r="W78" s="444"/>
      <c r="X78" s="415"/>
      <c r="Y78" s="444"/>
      <c r="Z78" s="415"/>
      <c r="AA78" s="444"/>
      <c r="AB78" s="415"/>
      <c r="AC78" s="444"/>
      <c r="AF78" s="445"/>
      <c r="AG78" s="446"/>
      <c r="AH78" s="446"/>
      <c r="AI78" s="446"/>
      <c r="AJ78" s="446"/>
      <c r="AK78" s="447"/>
    </row>
    <row r="79" spans="1:37" ht="42" customHeight="1" thickBot="1">
      <c r="A79" s="438"/>
      <c r="B79" s="417"/>
      <c r="C79" s="448">
        <v>348.29199999999997</v>
      </c>
      <c r="D79" s="417"/>
      <c r="E79" s="448">
        <v>418.83499999999998</v>
      </c>
      <c r="F79" s="417"/>
      <c r="G79" s="448">
        <v>408.96300000000002</v>
      </c>
      <c r="H79" s="417"/>
      <c r="I79" s="448">
        <v>365.46699999999998</v>
      </c>
      <c r="J79" s="417"/>
      <c r="K79" s="448">
        <v>437.07400000000001</v>
      </c>
      <c r="L79" s="417"/>
      <c r="M79" s="448">
        <v>363.142</v>
      </c>
      <c r="N79" s="417"/>
      <c r="O79" s="448">
        <v>159.78899999999999</v>
      </c>
      <c r="P79" s="417"/>
      <c r="Q79" s="448">
        <v>300.15800000000002</v>
      </c>
      <c r="R79" s="417"/>
      <c r="S79" s="448">
        <v>293.13099999999997</v>
      </c>
      <c r="T79" s="417"/>
      <c r="U79" s="448">
        <v>357.37700000000001</v>
      </c>
      <c r="V79" s="417"/>
      <c r="W79" s="448">
        <v>341.40899999999999</v>
      </c>
      <c r="X79" s="417"/>
      <c r="Y79" s="448">
        <v>362.90499999999997</v>
      </c>
      <c r="Z79" s="417"/>
      <c r="AA79" s="448">
        <v>421.05200000000002</v>
      </c>
      <c r="AB79" s="417"/>
      <c r="AC79" s="448">
        <v>216.44800000000001</v>
      </c>
      <c r="AF79" s="441">
        <v>14</v>
      </c>
      <c r="AG79" s="441"/>
      <c r="AH79" s="441"/>
      <c r="AI79" s="441"/>
      <c r="AJ79" s="441"/>
      <c r="AK79" s="442"/>
    </row>
    <row r="80" spans="1:37" ht="12.6" thickBot="1">
      <c r="A80" s="438"/>
      <c r="B80" s="450"/>
      <c r="C80" s="444"/>
      <c r="D80" s="450"/>
      <c r="E80" s="444"/>
      <c r="F80" s="450"/>
      <c r="G80" s="444"/>
      <c r="H80" s="450"/>
      <c r="I80" s="444"/>
      <c r="J80" s="450"/>
      <c r="K80" s="444"/>
      <c r="L80" s="450"/>
      <c r="M80" s="444"/>
      <c r="N80" s="450"/>
      <c r="O80" s="444"/>
      <c r="P80" s="450"/>
      <c r="Q80" s="444"/>
      <c r="R80" s="450"/>
      <c r="S80" s="444"/>
      <c r="T80" s="450"/>
      <c r="U80" s="444"/>
      <c r="V80" s="450"/>
      <c r="W80" s="444"/>
      <c r="X80" s="450"/>
      <c r="Y80" s="444"/>
      <c r="Z80" s="450"/>
      <c r="AA80" s="444"/>
      <c r="AB80" s="450"/>
      <c r="AC80" s="444"/>
      <c r="AF80" s="445"/>
      <c r="AG80" s="446"/>
      <c r="AH80" s="446"/>
      <c r="AI80" s="446"/>
      <c r="AJ80" s="446"/>
      <c r="AK80" s="447"/>
    </row>
    <row r="81" spans="1:37">
      <c r="A81" s="438"/>
      <c r="B81" s="421" t="s">
        <v>147</v>
      </c>
      <c r="C81" s="421"/>
      <c r="D81" s="421" t="s">
        <v>150</v>
      </c>
      <c r="E81" s="421"/>
      <c r="F81" s="421" t="s">
        <v>212</v>
      </c>
      <c r="G81" s="421"/>
      <c r="H81" s="421" t="s">
        <v>108</v>
      </c>
      <c r="I81" s="421"/>
      <c r="J81" s="421" t="s">
        <v>147</v>
      </c>
      <c r="K81" s="421"/>
      <c r="L81" s="421" t="s">
        <v>206</v>
      </c>
      <c r="M81" s="421"/>
      <c r="N81" s="421" t="s">
        <v>153</v>
      </c>
      <c r="O81" s="421"/>
      <c r="P81" s="421" t="s">
        <v>90</v>
      </c>
      <c r="Q81" s="421"/>
      <c r="R81" s="421" t="s">
        <v>153</v>
      </c>
      <c r="S81" s="421"/>
      <c r="T81" s="421" t="s">
        <v>147</v>
      </c>
      <c r="U81" s="421"/>
      <c r="V81" s="421" t="s">
        <v>147</v>
      </c>
      <c r="W81" s="421"/>
      <c r="X81" s="421" t="s">
        <v>88</v>
      </c>
      <c r="Y81" s="421"/>
      <c r="Z81" s="421" t="s">
        <v>212</v>
      </c>
      <c r="AA81" s="421"/>
      <c r="AB81" s="421" t="s">
        <v>166</v>
      </c>
      <c r="AC81" s="444"/>
      <c r="AF81" s="445"/>
      <c r="AG81" s="446"/>
      <c r="AH81" s="446"/>
      <c r="AI81" s="446"/>
      <c r="AJ81" s="446"/>
      <c r="AK81" s="447"/>
    </row>
    <row r="82" spans="1:37">
      <c r="A82" s="438"/>
      <c r="B82" s="421"/>
      <c r="C82" s="421"/>
      <c r="D82" s="421"/>
      <c r="E82" s="421"/>
      <c r="F82" s="421"/>
      <c r="G82" s="421"/>
      <c r="H82" s="421"/>
      <c r="I82" s="421"/>
      <c r="J82" s="421"/>
      <c r="K82" s="421"/>
      <c r="L82" s="421"/>
      <c r="M82" s="421"/>
      <c r="N82" s="421"/>
      <c r="O82" s="421"/>
      <c r="P82" s="421"/>
      <c r="Q82" s="421"/>
      <c r="R82" s="421"/>
      <c r="S82" s="421"/>
      <c r="T82" s="421"/>
      <c r="U82" s="421"/>
      <c r="V82" s="421"/>
      <c r="W82" s="421"/>
      <c r="X82" s="421"/>
      <c r="Y82" s="421"/>
      <c r="Z82" s="421"/>
      <c r="AA82" s="421"/>
      <c r="AB82" s="421"/>
      <c r="AC82" s="444"/>
      <c r="AF82" s="445"/>
      <c r="AG82" s="446"/>
      <c r="AH82" s="446"/>
      <c r="AI82" s="446"/>
      <c r="AJ82" s="446"/>
      <c r="AK82" s="447"/>
    </row>
    <row r="83" spans="1:37">
      <c r="A83" s="438"/>
      <c r="C83" s="444"/>
      <c r="E83" s="444"/>
      <c r="G83" s="444"/>
      <c r="I83" s="444"/>
      <c r="K83" s="444"/>
      <c r="M83" s="444"/>
      <c r="O83" s="444"/>
      <c r="Q83" s="444"/>
      <c r="S83" s="444"/>
      <c r="U83" s="444"/>
      <c r="W83" s="444"/>
      <c r="Y83" s="444"/>
      <c r="AA83" s="444"/>
      <c r="AC83" s="444"/>
      <c r="AF83" s="445"/>
      <c r="AG83" s="446"/>
      <c r="AH83" s="446"/>
      <c r="AI83" s="446"/>
      <c r="AJ83" s="446"/>
      <c r="AK83" s="447"/>
    </row>
    <row r="84" spans="1:37">
      <c r="A84" s="438"/>
      <c r="B84" s="439" t="s">
        <v>591</v>
      </c>
      <c r="C84" s="414"/>
      <c r="D84" s="439" t="s">
        <v>598</v>
      </c>
      <c r="E84" s="414"/>
      <c r="F84" s="439" t="s">
        <v>1228</v>
      </c>
      <c r="G84" s="414"/>
      <c r="H84" s="439" t="s">
        <v>1229</v>
      </c>
      <c r="I84" s="414"/>
      <c r="J84" s="439" t="s">
        <v>1230</v>
      </c>
      <c r="K84" s="414"/>
      <c r="L84" s="439" t="s">
        <v>1231</v>
      </c>
      <c r="M84" s="414"/>
      <c r="N84" s="439" t="s">
        <v>1232</v>
      </c>
      <c r="O84" s="414"/>
      <c r="P84" s="439" t="s">
        <v>1233</v>
      </c>
      <c r="Q84" s="414"/>
      <c r="R84" s="439" t="s">
        <v>1234</v>
      </c>
      <c r="S84" s="414"/>
      <c r="T84" s="439" t="s">
        <v>1235</v>
      </c>
      <c r="U84" s="414"/>
      <c r="V84" s="439" t="s">
        <v>601</v>
      </c>
      <c r="W84" s="414"/>
      <c r="X84" s="439" t="s">
        <v>602</v>
      </c>
      <c r="Y84" s="414"/>
      <c r="Z84" s="439" t="s">
        <v>603</v>
      </c>
      <c r="AA84" s="414"/>
      <c r="AB84" s="439" t="s">
        <v>606</v>
      </c>
      <c r="AC84" s="444"/>
      <c r="AF84" s="445"/>
      <c r="AG84" s="446"/>
      <c r="AH84" s="446"/>
      <c r="AI84" s="446"/>
      <c r="AJ84" s="446"/>
      <c r="AK84" s="447"/>
    </row>
    <row r="85" spans="1:37">
      <c r="A85" s="438"/>
      <c r="B85" s="443"/>
      <c r="C85" s="444"/>
      <c r="D85" s="443"/>
      <c r="E85" s="444"/>
      <c r="F85" s="443"/>
      <c r="G85" s="444"/>
      <c r="H85" s="443"/>
      <c r="I85" s="444"/>
      <c r="J85" s="443"/>
      <c r="K85" s="444"/>
      <c r="L85" s="443"/>
      <c r="M85" s="444"/>
      <c r="N85" s="443"/>
      <c r="O85" s="444"/>
      <c r="P85" s="443"/>
      <c r="Q85" s="444"/>
      <c r="R85" s="443"/>
      <c r="S85" s="444"/>
      <c r="T85" s="443"/>
      <c r="U85" s="444"/>
      <c r="V85" s="443"/>
      <c r="W85" s="444"/>
      <c r="X85" s="443"/>
      <c r="Y85" s="444"/>
      <c r="Z85" s="443"/>
      <c r="AA85" s="444"/>
      <c r="AB85" s="443"/>
      <c r="AC85" s="444"/>
      <c r="AF85" s="441" t="s">
        <v>1154</v>
      </c>
      <c r="AG85" s="441" t="s">
        <v>318</v>
      </c>
      <c r="AH85" s="441" t="s">
        <v>1155</v>
      </c>
      <c r="AI85" s="441" t="s">
        <v>1156</v>
      </c>
      <c r="AJ85" s="441" t="s">
        <v>267</v>
      </c>
      <c r="AK85" s="442" t="s">
        <v>1157</v>
      </c>
    </row>
    <row r="86" spans="1:37" ht="12.6" thickBot="1">
      <c r="A86" s="438"/>
      <c r="B86" s="415"/>
      <c r="C86" s="444"/>
      <c r="D86" s="415"/>
      <c r="E86" s="444"/>
      <c r="F86" s="415"/>
      <c r="G86" s="444"/>
      <c r="H86" s="415"/>
      <c r="I86" s="444"/>
      <c r="J86" s="415"/>
      <c r="K86" s="444"/>
      <c r="L86" s="415"/>
      <c r="M86" s="444"/>
      <c r="N86" s="415"/>
      <c r="O86" s="444"/>
      <c r="P86" s="415"/>
      <c r="Q86" s="444"/>
      <c r="R86" s="415"/>
      <c r="S86" s="444"/>
      <c r="T86" s="415"/>
      <c r="U86" s="444"/>
      <c r="V86" s="415"/>
      <c r="W86" s="444"/>
      <c r="X86" s="415"/>
      <c r="Y86" s="444"/>
      <c r="Z86" s="415"/>
      <c r="AA86" s="444"/>
      <c r="AB86" s="415"/>
      <c r="AC86" s="444"/>
      <c r="AF86" s="445"/>
      <c r="AG86" s="446"/>
      <c r="AH86" s="446"/>
      <c r="AI86" s="446"/>
      <c r="AJ86" s="446"/>
      <c r="AK86" s="447"/>
    </row>
    <row r="87" spans="1:37" ht="42.75" customHeight="1" thickBot="1">
      <c r="A87" s="438"/>
      <c r="B87" s="417"/>
      <c r="C87" s="448">
        <v>439.69499999999999</v>
      </c>
      <c r="D87" s="417"/>
      <c r="E87" s="448">
        <v>243.18799999999999</v>
      </c>
      <c r="F87" s="417"/>
      <c r="G87" s="448">
        <v>333.21899999999999</v>
      </c>
      <c r="H87" s="417"/>
      <c r="I87" s="448">
        <v>363.00099999999998</v>
      </c>
      <c r="J87" s="417"/>
      <c r="K87" s="448">
        <v>356.12400000000002</v>
      </c>
      <c r="L87" s="417"/>
      <c r="M87" s="448">
        <v>511.69200000000001</v>
      </c>
      <c r="N87" s="417"/>
      <c r="O87" s="448">
        <v>376.245</v>
      </c>
      <c r="P87" s="417"/>
      <c r="Q87" s="448">
        <v>381.12200000000001</v>
      </c>
      <c r="R87" s="417"/>
      <c r="S87" s="448">
        <v>364.43299999999999</v>
      </c>
      <c r="T87" s="417"/>
      <c r="U87" s="448">
        <v>263.077</v>
      </c>
      <c r="V87" s="417"/>
      <c r="W87" s="448">
        <v>356.19299999999998</v>
      </c>
      <c r="X87" s="417"/>
      <c r="Y87" s="448">
        <v>352.42</v>
      </c>
      <c r="Z87" s="417"/>
      <c r="AA87" s="448">
        <v>460.56400000000002</v>
      </c>
      <c r="AB87" s="417"/>
      <c r="AC87" s="448">
        <v>381.02800000000002</v>
      </c>
      <c r="AF87" s="441">
        <v>14</v>
      </c>
      <c r="AG87" s="441"/>
      <c r="AH87" s="441"/>
      <c r="AI87" s="441"/>
      <c r="AJ87" s="441"/>
      <c r="AK87" s="442"/>
    </row>
    <row r="88" spans="1:37" ht="12.6" thickBot="1">
      <c r="A88" s="438"/>
      <c r="B88" s="450"/>
      <c r="C88" s="444"/>
      <c r="D88" s="450"/>
      <c r="E88" s="444"/>
      <c r="F88" s="450"/>
      <c r="G88" s="444"/>
      <c r="H88" s="450"/>
      <c r="I88" s="444"/>
      <c r="J88" s="450"/>
      <c r="K88" s="444"/>
      <c r="L88" s="450"/>
      <c r="M88" s="444"/>
      <c r="N88" s="450"/>
      <c r="O88" s="444"/>
      <c r="P88" s="450"/>
      <c r="Q88" s="444"/>
      <c r="R88" s="450"/>
      <c r="S88" s="444"/>
      <c r="T88" s="450"/>
      <c r="U88" s="444"/>
      <c r="V88" s="450"/>
      <c r="W88" s="444"/>
      <c r="X88" s="450"/>
      <c r="Y88" s="444"/>
      <c r="Z88" s="450"/>
      <c r="AA88" s="444"/>
      <c r="AB88" s="450"/>
      <c r="AC88" s="444"/>
      <c r="AF88" s="445"/>
      <c r="AG88" s="446"/>
      <c r="AH88" s="446"/>
      <c r="AI88" s="446"/>
      <c r="AJ88" s="446"/>
      <c r="AK88" s="447"/>
    </row>
    <row r="89" spans="1:37">
      <c r="A89" s="438"/>
      <c r="B89" s="421" t="s">
        <v>166</v>
      </c>
      <c r="C89" s="421"/>
      <c r="D89" s="421" t="s">
        <v>80</v>
      </c>
      <c r="E89" s="421"/>
      <c r="F89" s="421" t="s">
        <v>90</v>
      </c>
      <c r="G89" s="421"/>
      <c r="H89" s="421" t="s">
        <v>150</v>
      </c>
      <c r="I89" s="421"/>
      <c r="J89" s="421" t="s">
        <v>150</v>
      </c>
      <c r="K89" s="421"/>
      <c r="L89" s="421" t="s">
        <v>84</v>
      </c>
      <c r="M89" s="421"/>
      <c r="N89" s="421" t="s">
        <v>84</v>
      </c>
      <c r="O89" s="421"/>
      <c r="P89" s="421" t="s">
        <v>147</v>
      </c>
      <c r="Q89" s="421"/>
      <c r="R89" s="421" t="s">
        <v>150</v>
      </c>
      <c r="S89" s="421"/>
      <c r="T89" s="421" t="s">
        <v>212</v>
      </c>
      <c r="U89" s="421"/>
      <c r="V89" s="421" t="s">
        <v>157</v>
      </c>
      <c r="W89" s="421"/>
      <c r="X89" s="421" t="s">
        <v>147</v>
      </c>
      <c r="Y89" s="421"/>
      <c r="Z89" s="421" t="s">
        <v>97</v>
      </c>
      <c r="AA89" s="421"/>
      <c r="AB89" s="421" t="s">
        <v>93</v>
      </c>
      <c r="AC89" s="444"/>
      <c r="AF89" s="445"/>
      <c r="AG89" s="446"/>
      <c r="AH89" s="446"/>
      <c r="AI89" s="446"/>
      <c r="AJ89" s="446"/>
      <c r="AK89" s="447"/>
    </row>
    <row r="90" spans="1:37">
      <c r="A90" s="438"/>
      <c r="B90" s="421"/>
      <c r="C90" s="421"/>
      <c r="D90" s="421"/>
      <c r="E90" s="421"/>
      <c r="F90" s="421"/>
      <c r="G90" s="421"/>
      <c r="H90" s="421"/>
      <c r="I90" s="421"/>
      <c r="J90" s="421"/>
      <c r="K90" s="421"/>
      <c r="L90" s="421"/>
      <c r="M90" s="421"/>
      <c r="N90" s="421"/>
      <c r="O90" s="421"/>
      <c r="P90" s="421"/>
      <c r="Q90" s="421"/>
      <c r="R90" s="421"/>
      <c r="S90" s="421"/>
      <c r="T90" s="421"/>
      <c r="U90" s="421"/>
      <c r="V90" s="421"/>
      <c r="W90" s="421"/>
      <c r="X90" s="421"/>
      <c r="Y90" s="421"/>
      <c r="Z90" s="421"/>
      <c r="AA90" s="421"/>
      <c r="AB90" s="421"/>
      <c r="AC90" s="444"/>
      <c r="AF90" s="445"/>
      <c r="AG90" s="446"/>
      <c r="AH90" s="446"/>
      <c r="AI90" s="446"/>
      <c r="AJ90" s="446"/>
      <c r="AK90" s="447"/>
    </row>
    <row r="91" spans="1:37">
      <c r="A91" s="438"/>
      <c r="C91" s="444"/>
      <c r="E91" s="444"/>
      <c r="G91" s="444"/>
      <c r="I91" s="444"/>
      <c r="K91" s="444"/>
      <c r="M91" s="444"/>
      <c r="O91" s="444"/>
      <c r="Q91" s="444"/>
      <c r="S91" s="444"/>
      <c r="U91" s="444"/>
      <c r="W91" s="444"/>
      <c r="Y91" s="444"/>
      <c r="AA91" s="444"/>
      <c r="AC91" s="444"/>
      <c r="AF91" s="445"/>
      <c r="AG91" s="446"/>
      <c r="AH91" s="446"/>
      <c r="AI91" s="446"/>
      <c r="AJ91" s="446"/>
      <c r="AK91" s="447"/>
    </row>
    <row r="92" spans="1:37">
      <c r="A92" s="438"/>
      <c r="B92" s="439" t="s">
        <v>607</v>
      </c>
      <c r="C92" s="414"/>
      <c r="D92" s="439" t="s">
        <v>608</v>
      </c>
      <c r="E92" s="414"/>
      <c r="F92" s="439" t="s">
        <v>609</v>
      </c>
      <c r="G92" s="414"/>
      <c r="H92" s="439" t="s">
        <v>610</v>
      </c>
      <c r="I92" s="414"/>
      <c r="J92" s="439" t="s">
        <v>611</v>
      </c>
      <c r="K92" s="414"/>
      <c r="L92" s="439" t="s">
        <v>612</v>
      </c>
      <c r="M92" s="414"/>
      <c r="N92" s="439" t="s">
        <v>613</v>
      </c>
      <c r="O92" s="414"/>
      <c r="P92" s="439" t="s">
        <v>614</v>
      </c>
      <c r="Q92" s="414"/>
      <c r="R92" s="439" t="s">
        <v>615</v>
      </c>
      <c r="S92" s="414"/>
      <c r="T92" s="439" t="s">
        <v>616</v>
      </c>
      <c r="U92" s="414"/>
      <c r="V92" s="439" t="s">
        <v>617</v>
      </c>
      <c r="W92" s="414"/>
      <c r="X92" s="439" t="s">
        <v>618</v>
      </c>
      <c r="Y92" s="414"/>
      <c r="Z92" s="439" t="s">
        <v>619</v>
      </c>
      <c r="AA92" s="414"/>
      <c r="AB92" s="439" t="s">
        <v>620</v>
      </c>
      <c r="AC92" s="444"/>
      <c r="AF92" s="445"/>
      <c r="AG92" s="446"/>
      <c r="AH92" s="446"/>
      <c r="AI92" s="446"/>
      <c r="AJ92" s="446"/>
      <c r="AK92" s="447"/>
    </row>
    <row r="93" spans="1:37">
      <c r="A93" s="438"/>
      <c r="B93" s="443"/>
      <c r="C93" s="444"/>
      <c r="D93" s="443"/>
      <c r="E93" s="444"/>
      <c r="F93" s="443"/>
      <c r="G93" s="444"/>
      <c r="H93" s="443"/>
      <c r="I93" s="452"/>
      <c r="J93" s="443"/>
      <c r="K93" s="444"/>
      <c r="L93" s="443"/>
      <c r="M93" s="444"/>
      <c r="N93" s="443"/>
      <c r="O93" s="444"/>
      <c r="P93" s="443"/>
      <c r="Q93" s="444"/>
      <c r="R93" s="443"/>
      <c r="S93" s="444"/>
      <c r="T93" s="443"/>
      <c r="U93" s="444"/>
      <c r="V93" s="443"/>
      <c r="W93" s="444"/>
      <c r="X93" s="443"/>
      <c r="Y93" s="444"/>
      <c r="Z93" s="443"/>
      <c r="AA93" s="452"/>
      <c r="AB93" s="443"/>
      <c r="AC93" s="444"/>
      <c r="AF93" s="441" t="s">
        <v>1154</v>
      </c>
      <c r="AG93" s="441" t="s">
        <v>318</v>
      </c>
      <c r="AH93" s="441" t="s">
        <v>1155</v>
      </c>
      <c r="AI93" s="441" t="s">
        <v>1156</v>
      </c>
      <c r="AJ93" s="441" t="s">
        <v>267</v>
      </c>
      <c r="AK93" s="442" t="s">
        <v>1157</v>
      </c>
    </row>
    <row r="94" spans="1:37" ht="12.6" thickBot="1">
      <c r="A94" s="438"/>
      <c r="B94" s="415"/>
      <c r="C94" s="444"/>
      <c r="D94" s="415"/>
      <c r="E94" s="444"/>
      <c r="F94" s="415"/>
      <c r="G94" s="444"/>
      <c r="H94" s="415"/>
      <c r="I94" s="444"/>
      <c r="J94" s="415"/>
      <c r="K94" s="444"/>
      <c r="L94" s="415"/>
      <c r="M94" s="444"/>
      <c r="N94" s="415"/>
      <c r="O94" s="444"/>
      <c r="P94" s="415"/>
      <c r="Q94" s="444"/>
      <c r="R94" s="415"/>
      <c r="S94" s="444"/>
      <c r="T94" s="415"/>
      <c r="U94" s="444"/>
      <c r="V94" s="415"/>
      <c r="W94" s="444"/>
      <c r="X94" s="415"/>
      <c r="Y94" s="444"/>
      <c r="Z94" s="415"/>
      <c r="AA94" s="444"/>
      <c r="AB94" s="415"/>
      <c r="AC94" s="444"/>
      <c r="AF94" s="445"/>
      <c r="AG94" s="446"/>
      <c r="AH94" s="446"/>
      <c r="AI94" s="446"/>
      <c r="AJ94" s="446"/>
      <c r="AK94" s="447"/>
    </row>
    <row r="95" spans="1:37" ht="42" customHeight="1" thickBot="1">
      <c r="A95" s="438"/>
      <c r="B95" s="417"/>
      <c r="C95" s="448">
        <v>419.60300000000001</v>
      </c>
      <c r="D95" s="417"/>
      <c r="E95" s="448">
        <v>425.18</v>
      </c>
      <c r="F95" s="417"/>
      <c r="G95" s="448">
        <v>287.53699999999998</v>
      </c>
      <c r="H95" s="417"/>
      <c r="I95" s="448">
        <v>336.512</v>
      </c>
      <c r="J95" s="417"/>
      <c r="K95" s="448">
        <v>325.30399999999997</v>
      </c>
      <c r="L95" s="417"/>
      <c r="M95" s="448">
        <v>214.25299999999999</v>
      </c>
      <c r="N95" s="417"/>
      <c r="O95" s="448">
        <v>455.94600000000003</v>
      </c>
      <c r="P95" s="417"/>
      <c r="Q95" s="448">
        <v>421</v>
      </c>
      <c r="R95" s="417"/>
      <c r="S95" s="448">
        <v>419</v>
      </c>
      <c r="T95" s="417"/>
      <c r="U95" s="448">
        <v>408</v>
      </c>
      <c r="V95" s="417"/>
      <c r="W95" s="448">
        <v>409.74900000000002</v>
      </c>
      <c r="X95" s="417"/>
      <c r="Y95" s="448">
        <v>324.02999999999997</v>
      </c>
      <c r="Z95" s="417"/>
      <c r="AA95" s="448">
        <v>366.7</v>
      </c>
      <c r="AB95" s="417"/>
      <c r="AC95" s="453">
        <v>473.30500000000001</v>
      </c>
      <c r="AF95" s="441">
        <v>14</v>
      </c>
      <c r="AG95" s="441"/>
      <c r="AH95" s="441"/>
      <c r="AI95" s="441"/>
      <c r="AJ95" s="441"/>
      <c r="AK95" s="442"/>
    </row>
    <row r="96" spans="1:37" ht="12.6" thickBot="1">
      <c r="A96" s="438"/>
      <c r="B96" s="450"/>
      <c r="C96" s="444"/>
      <c r="D96" s="450"/>
      <c r="E96" s="444"/>
      <c r="F96" s="450"/>
      <c r="G96" s="444"/>
      <c r="H96" s="450"/>
      <c r="I96" s="444"/>
      <c r="J96" s="450"/>
      <c r="K96" s="444"/>
      <c r="L96" s="450"/>
      <c r="M96" s="444"/>
      <c r="N96" s="450"/>
      <c r="O96" s="444"/>
      <c r="P96" s="450"/>
      <c r="Q96" s="444"/>
      <c r="R96" s="450"/>
      <c r="S96" s="444"/>
      <c r="T96" s="450"/>
      <c r="U96" s="444"/>
      <c r="V96" s="450"/>
      <c r="W96" s="444"/>
      <c r="X96" s="450"/>
      <c r="Y96" s="444"/>
      <c r="Z96" s="450"/>
      <c r="AA96" s="444"/>
      <c r="AB96" s="450"/>
      <c r="AC96" s="444"/>
      <c r="AF96" s="445"/>
      <c r="AG96" s="446"/>
      <c r="AH96" s="446"/>
      <c r="AI96" s="446"/>
      <c r="AJ96" s="446"/>
      <c r="AK96" s="447"/>
    </row>
    <row r="97" spans="1:37">
      <c r="A97" s="438"/>
      <c r="B97" s="421" t="s">
        <v>150</v>
      </c>
      <c r="C97" s="421"/>
      <c r="D97" s="421" t="s">
        <v>212</v>
      </c>
      <c r="E97" s="421"/>
      <c r="F97" s="421" t="s">
        <v>80</v>
      </c>
      <c r="G97" s="421"/>
      <c r="H97" s="421" t="s">
        <v>147</v>
      </c>
      <c r="I97" s="421"/>
      <c r="J97" s="421" t="s">
        <v>147</v>
      </c>
      <c r="K97" s="421"/>
      <c r="L97" s="421" t="s">
        <v>147</v>
      </c>
      <c r="M97" s="421"/>
      <c r="N97" s="421" t="s">
        <v>88</v>
      </c>
      <c r="O97" s="421"/>
      <c r="P97" s="421" t="s">
        <v>88</v>
      </c>
      <c r="Q97" s="421"/>
      <c r="R97" s="421" t="s">
        <v>150</v>
      </c>
      <c r="S97" s="421"/>
      <c r="T97" s="421" t="s">
        <v>150</v>
      </c>
      <c r="U97" s="421"/>
      <c r="V97" s="421" t="s">
        <v>212</v>
      </c>
      <c r="W97" s="421"/>
      <c r="X97" s="421" t="s">
        <v>84</v>
      </c>
      <c r="Y97" s="421"/>
      <c r="Z97" s="421" t="s">
        <v>93</v>
      </c>
      <c r="AA97" s="421"/>
      <c r="AB97" s="421" t="s">
        <v>212</v>
      </c>
      <c r="AC97" s="444"/>
      <c r="AF97" s="445"/>
      <c r="AG97" s="446"/>
      <c r="AH97" s="446"/>
      <c r="AI97" s="446"/>
      <c r="AJ97" s="446"/>
      <c r="AK97" s="447"/>
    </row>
    <row r="98" spans="1:37">
      <c r="A98" s="438"/>
      <c r="B98" s="421"/>
      <c r="C98" s="421"/>
      <c r="D98" s="421"/>
      <c r="E98" s="421"/>
      <c r="F98" s="421"/>
      <c r="G98" s="421"/>
      <c r="H98" s="421"/>
      <c r="I98" s="421"/>
      <c r="J98" s="421"/>
      <c r="K98" s="421"/>
      <c r="L98" s="421"/>
      <c r="M98" s="444"/>
      <c r="N98" s="421"/>
      <c r="O98" s="421"/>
      <c r="P98" s="421"/>
      <c r="Q98" s="421"/>
      <c r="R98" s="421"/>
      <c r="S98" s="421"/>
      <c r="T98" s="421"/>
      <c r="U98" s="421"/>
      <c r="V98" s="421"/>
      <c r="W98" s="421"/>
      <c r="X98" s="421"/>
      <c r="Y98" s="421"/>
      <c r="Z98" s="421"/>
      <c r="AA98" s="421"/>
      <c r="AB98" s="421"/>
      <c r="AC98" s="444"/>
      <c r="AF98" s="445"/>
      <c r="AG98" s="446"/>
      <c r="AH98" s="446"/>
      <c r="AI98" s="446"/>
      <c r="AJ98" s="446"/>
      <c r="AK98" s="447"/>
    </row>
    <row r="99" spans="1:37" ht="9.75" customHeight="1">
      <c r="A99" s="438"/>
      <c r="C99" s="444"/>
      <c r="E99" s="444"/>
      <c r="G99" s="444"/>
      <c r="I99" s="444"/>
      <c r="K99" s="444"/>
      <c r="M99" s="444"/>
      <c r="O99" s="444"/>
      <c r="Q99" s="444"/>
      <c r="S99" s="444"/>
      <c r="U99" s="444"/>
      <c r="W99" s="444"/>
      <c r="Y99" s="444"/>
      <c r="AA99" s="444"/>
      <c r="AC99" s="444"/>
      <c r="AF99" s="445"/>
      <c r="AG99" s="446"/>
      <c r="AH99" s="446"/>
      <c r="AI99" s="446"/>
      <c r="AJ99" s="446"/>
      <c r="AK99" s="447"/>
    </row>
    <row r="100" spans="1:37" ht="23.25" customHeight="1">
      <c r="A100" s="438"/>
      <c r="B100" s="439" t="s">
        <v>621</v>
      </c>
      <c r="C100" s="414"/>
      <c r="D100" s="439" t="s">
        <v>622</v>
      </c>
      <c r="E100" s="414"/>
      <c r="F100" s="439" t="s">
        <v>623</v>
      </c>
      <c r="G100" s="414"/>
      <c r="H100" s="439" t="s">
        <v>624</v>
      </c>
      <c r="I100" s="414"/>
      <c r="J100" s="439" t="s">
        <v>625</v>
      </c>
      <c r="K100" s="414"/>
      <c r="L100" s="439" t="s">
        <v>1357</v>
      </c>
      <c r="N100" s="439" t="s">
        <v>626</v>
      </c>
      <c r="O100" s="414"/>
      <c r="P100" s="439" t="s">
        <v>627</v>
      </c>
      <c r="Q100" s="414"/>
      <c r="R100" s="439" t="s">
        <v>628</v>
      </c>
      <c r="S100" s="414"/>
      <c r="T100" s="439" t="s">
        <v>629</v>
      </c>
      <c r="U100" s="414"/>
      <c r="V100" s="439" t="s">
        <v>630</v>
      </c>
      <c r="W100" s="414"/>
      <c r="X100" s="439" t="s">
        <v>631</v>
      </c>
      <c r="Y100" s="414"/>
      <c r="Z100" s="439" t="s">
        <v>632</v>
      </c>
      <c r="AA100" s="414"/>
      <c r="AB100" s="439" t="s">
        <v>633</v>
      </c>
      <c r="AC100" s="414"/>
      <c r="AD100" s="439" t="s">
        <v>634</v>
      </c>
      <c r="AE100" s="444"/>
      <c r="AF100" s="445"/>
      <c r="AG100" s="446"/>
      <c r="AH100" s="446"/>
      <c r="AI100" s="446"/>
      <c r="AJ100" s="446"/>
      <c r="AK100" s="447"/>
    </row>
    <row r="101" spans="1:37">
      <c r="A101" s="438"/>
      <c r="B101" s="443"/>
      <c r="C101" s="444"/>
      <c r="D101" s="443"/>
      <c r="E101" s="444"/>
      <c r="F101" s="443"/>
      <c r="G101" s="444"/>
      <c r="H101" s="443"/>
      <c r="I101" s="444"/>
      <c r="J101" s="443"/>
      <c r="K101" s="444"/>
      <c r="L101" s="443"/>
      <c r="N101" s="443"/>
      <c r="O101" s="444"/>
      <c r="P101" s="443"/>
      <c r="Q101" s="444"/>
      <c r="R101" s="443"/>
      <c r="S101" s="444"/>
      <c r="T101" s="443"/>
      <c r="U101" s="444"/>
      <c r="V101" s="443"/>
      <c r="W101" s="444"/>
      <c r="X101" s="443"/>
      <c r="Y101" s="444"/>
      <c r="Z101" s="443"/>
      <c r="AA101" s="444"/>
      <c r="AB101" s="443"/>
      <c r="AC101" s="444"/>
      <c r="AD101" s="443"/>
      <c r="AE101" s="444"/>
      <c r="AF101" s="441" t="s">
        <v>1154</v>
      </c>
      <c r="AG101" s="441" t="s">
        <v>318</v>
      </c>
      <c r="AH101" s="441" t="s">
        <v>1155</v>
      </c>
      <c r="AI101" s="441" t="s">
        <v>1156</v>
      </c>
      <c r="AJ101" s="441" t="s">
        <v>267</v>
      </c>
      <c r="AK101" s="442" t="s">
        <v>1157</v>
      </c>
    </row>
    <row r="102" spans="1:37" ht="12.6" thickBot="1">
      <c r="A102" s="438"/>
      <c r="B102" s="415"/>
      <c r="C102" s="444"/>
      <c r="D102" s="415"/>
      <c r="E102" s="444"/>
      <c r="F102" s="415"/>
      <c r="G102" s="444"/>
      <c r="H102" s="415"/>
      <c r="I102" s="444"/>
      <c r="J102" s="415"/>
      <c r="K102" s="444"/>
      <c r="L102" s="415"/>
      <c r="N102" s="415"/>
      <c r="O102" s="444"/>
      <c r="P102" s="415"/>
      <c r="Q102" s="444"/>
      <c r="R102" s="415"/>
      <c r="S102" s="444"/>
      <c r="T102" s="415"/>
      <c r="U102" s="444"/>
      <c r="V102" s="415"/>
      <c r="W102" s="444"/>
      <c r="X102" s="415"/>
      <c r="Y102" s="444"/>
      <c r="Z102" s="415"/>
      <c r="AA102" s="444"/>
      <c r="AB102" s="415"/>
      <c r="AC102" s="444"/>
      <c r="AD102" s="415"/>
      <c r="AE102" s="444"/>
      <c r="AF102" s="445"/>
      <c r="AG102" s="446"/>
      <c r="AH102" s="446"/>
      <c r="AI102" s="446"/>
      <c r="AJ102" s="446"/>
      <c r="AK102" s="447"/>
    </row>
    <row r="103" spans="1:37" ht="42.75" customHeight="1" thickBot="1">
      <c r="A103" s="438"/>
      <c r="B103" s="417"/>
      <c r="C103" s="448">
        <v>358.32100000000003</v>
      </c>
      <c r="D103" s="417"/>
      <c r="E103" s="448">
        <v>477.815</v>
      </c>
      <c r="F103" s="417"/>
      <c r="G103" s="448">
        <v>415.464</v>
      </c>
      <c r="H103" s="417"/>
      <c r="I103" s="448">
        <v>402.22899999999998</v>
      </c>
      <c r="J103" s="417"/>
      <c r="K103" s="448">
        <v>437.43400000000003</v>
      </c>
      <c r="L103" s="417"/>
      <c r="N103" s="417"/>
      <c r="O103" s="448">
        <v>455.92200000000003</v>
      </c>
      <c r="P103" s="417"/>
      <c r="Q103" s="448">
        <v>368.5</v>
      </c>
      <c r="R103" s="417"/>
      <c r="S103" s="448">
        <v>419.76499999999999</v>
      </c>
      <c r="T103" s="417"/>
      <c r="U103" s="448">
        <v>418.91699999999997</v>
      </c>
      <c r="V103" s="417"/>
      <c r="W103" s="448">
        <v>386.48599999999999</v>
      </c>
      <c r="X103" s="417"/>
      <c r="Y103" s="448">
        <v>376.53</v>
      </c>
      <c r="Z103" s="417"/>
      <c r="AA103" s="448">
        <v>404.73899999999998</v>
      </c>
      <c r="AB103" s="417"/>
      <c r="AC103" s="448">
        <v>366.72899999999998</v>
      </c>
      <c r="AD103" s="417"/>
      <c r="AE103" s="448">
        <v>274.58699999999999</v>
      </c>
      <c r="AF103" s="441">
        <v>14</v>
      </c>
      <c r="AG103" s="441"/>
      <c r="AH103" s="441"/>
      <c r="AI103" s="441"/>
      <c r="AJ103" s="441"/>
      <c r="AK103" s="442"/>
    </row>
    <row r="104" spans="1:37" ht="12.6" thickBot="1">
      <c r="A104" s="438"/>
      <c r="B104" s="450"/>
      <c r="C104" s="444"/>
      <c r="D104" s="450"/>
      <c r="E104" s="444"/>
      <c r="F104" s="450"/>
      <c r="G104" s="444"/>
      <c r="H104" s="450"/>
      <c r="I104" s="444"/>
      <c r="J104" s="450"/>
      <c r="K104" s="444"/>
      <c r="L104" s="450"/>
      <c r="N104" s="450"/>
      <c r="O104" s="444"/>
      <c r="P104" s="450"/>
      <c r="Q104" s="444"/>
      <c r="R104" s="450"/>
      <c r="S104" s="444"/>
      <c r="T104" s="450"/>
      <c r="U104" s="444"/>
      <c r="V104" s="450"/>
      <c r="W104" s="444"/>
      <c r="X104" s="450"/>
      <c r="Y104" s="444"/>
      <c r="Z104" s="450"/>
      <c r="AA104" s="444"/>
      <c r="AB104" s="450"/>
      <c r="AC104" s="444"/>
      <c r="AD104" s="450"/>
      <c r="AE104" s="444"/>
      <c r="AF104" s="445"/>
      <c r="AG104" s="446"/>
      <c r="AH104" s="446"/>
      <c r="AI104" s="446"/>
      <c r="AJ104" s="446"/>
      <c r="AK104" s="447"/>
    </row>
    <row r="105" spans="1:37">
      <c r="A105" s="438"/>
      <c r="B105" s="421" t="s">
        <v>88</v>
      </c>
      <c r="C105" s="421"/>
      <c r="D105" s="421" t="s">
        <v>212</v>
      </c>
      <c r="E105" s="421"/>
      <c r="F105" s="421" t="s">
        <v>88</v>
      </c>
      <c r="G105" s="421"/>
      <c r="H105" s="421" t="s">
        <v>212</v>
      </c>
      <c r="I105" s="421"/>
      <c r="J105" s="421" t="s">
        <v>212</v>
      </c>
      <c r="K105" s="421"/>
      <c r="L105" s="421" t="s">
        <v>90</v>
      </c>
      <c r="N105" s="421" t="s">
        <v>90</v>
      </c>
      <c r="O105" s="421"/>
      <c r="P105" s="421" t="s">
        <v>206</v>
      </c>
      <c r="Q105" s="421"/>
      <c r="R105" s="421" t="s">
        <v>84</v>
      </c>
      <c r="S105" s="421"/>
      <c r="T105" s="421" t="s">
        <v>206</v>
      </c>
      <c r="U105" s="421"/>
      <c r="V105" s="421" t="s">
        <v>212</v>
      </c>
      <c r="W105" s="421"/>
      <c r="X105" s="421" t="s">
        <v>150</v>
      </c>
      <c r="Y105" s="421"/>
      <c r="Z105" s="421" t="s">
        <v>153</v>
      </c>
      <c r="AA105" s="421"/>
      <c r="AB105" s="421" t="s">
        <v>206</v>
      </c>
      <c r="AC105" s="421"/>
      <c r="AD105" s="421" t="s">
        <v>147</v>
      </c>
      <c r="AE105" s="444"/>
      <c r="AF105" s="445"/>
      <c r="AG105" s="446"/>
      <c r="AH105" s="446"/>
      <c r="AI105" s="446"/>
      <c r="AJ105" s="446"/>
      <c r="AK105" s="447"/>
    </row>
    <row r="106" spans="1:37">
      <c r="A106" s="438"/>
      <c r="B106" s="421"/>
      <c r="C106" s="421"/>
      <c r="D106" s="421"/>
      <c r="E106" s="421"/>
      <c r="F106" s="421"/>
      <c r="G106" s="421"/>
      <c r="H106" s="421"/>
      <c r="I106" s="421"/>
      <c r="J106" s="421"/>
      <c r="K106" s="421"/>
      <c r="L106" s="421"/>
      <c r="M106" s="421"/>
      <c r="N106" s="421"/>
      <c r="O106" s="421"/>
      <c r="P106" s="421"/>
      <c r="Q106" s="421"/>
      <c r="R106" s="421"/>
      <c r="S106" s="421"/>
      <c r="T106" s="421"/>
      <c r="U106" s="421"/>
      <c r="V106" s="421"/>
      <c r="W106" s="421"/>
      <c r="X106" s="421"/>
      <c r="Y106" s="421"/>
      <c r="Z106" s="421"/>
      <c r="AA106" s="421"/>
      <c r="AB106" s="421"/>
      <c r="AC106" s="444"/>
      <c r="AF106" s="445"/>
      <c r="AG106" s="446"/>
      <c r="AH106" s="446"/>
      <c r="AI106" s="446"/>
      <c r="AJ106" s="446"/>
      <c r="AK106" s="447"/>
    </row>
    <row r="107" spans="1:37">
      <c r="A107" s="438"/>
      <c r="C107" s="444"/>
      <c r="E107" s="444"/>
      <c r="G107" s="444"/>
      <c r="I107" s="444"/>
      <c r="K107" s="444"/>
      <c r="M107" s="444"/>
      <c r="O107" s="444"/>
      <c r="Q107" s="444"/>
      <c r="S107" s="444"/>
      <c r="U107" s="444"/>
      <c r="W107" s="444"/>
      <c r="Y107" s="444"/>
      <c r="AA107" s="444"/>
      <c r="AC107" s="444"/>
      <c r="AF107" s="445"/>
      <c r="AG107" s="446"/>
      <c r="AH107" s="446"/>
      <c r="AI107" s="446"/>
      <c r="AJ107" s="446"/>
      <c r="AK107" s="447"/>
    </row>
    <row r="108" spans="1:37">
      <c r="A108" s="438"/>
      <c r="B108" s="439" t="s">
        <v>635</v>
      </c>
      <c r="C108" s="414"/>
      <c r="D108" s="439" t="s">
        <v>636</v>
      </c>
      <c r="E108" s="414"/>
      <c r="F108" s="439" t="s">
        <v>637</v>
      </c>
      <c r="G108" s="414"/>
      <c r="H108" s="439" t="s">
        <v>638</v>
      </c>
      <c r="I108" s="414"/>
      <c r="J108" s="439" t="s">
        <v>639</v>
      </c>
      <c r="K108" s="414"/>
      <c r="L108" s="439" t="s">
        <v>640</v>
      </c>
      <c r="M108" s="414"/>
      <c r="N108" s="439" t="s">
        <v>641</v>
      </c>
      <c r="O108" s="414"/>
      <c r="P108" s="439" t="s">
        <v>642</v>
      </c>
      <c r="Q108" s="414"/>
      <c r="R108" s="439" t="s">
        <v>643</v>
      </c>
      <c r="S108" s="414"/>
      <c r="T108" s="439" t="s">
        <v>644</v>
      </c>
      <c r="U108" s="414"/>
      <c r="V108" s="439" t="s">
        <v>645</v>
      </c>
      <c r="W108" s="414"/>
      <c r="X108" s="439" t="s">
        <v>646</v>
      </c>
      <c r="Y108" s="414"/>
      <c r="Z108" s="439" t="s">
        <v>647</v>
      </c>
      <c r="AA108" s="414"/>
      <c r="AB108" s="439" t="s">
        <v>648</v>
      </c>
      <c r="AC108" s="444"/>
      <c r="AF108" s="445"/>
      <c r="AG108" s="446"/>
      <c r="AH108" s="446"/>
      <c r="AI108" s="446"/>
      <c r="AJ108" s="446"/>
      <c r="AK108" s="447"/>
    </row>
    <row r="109" spans="1:37">
      <c r="A109" s="438"/>
      <c r="B109" s="443"/>
      <c r="C109" s="421"/>
      <c r="D109" s="443"/>
      <c r="E109" s="444"/>
      <c r="F109" s="443"/>
      <c r="G109" s="444"/>
      <c r="H109" s="443"/>
      <c r="I109" s="444"/>
      <c r="J109" s="443"/>
      <c r="K109" s="444"/>
      <c r="L109" s="443"/>
      <c r="M109" s="444"/>
      <c r="N109" s="443"/>
      <c r="O109" s="444"/>
      <c r="P109" s="443"/>
      <c r="Q109" s="452"/>
      <c r="R109" s="443"/>
      <c r="S109" s="452"/>
      <c r="T109" s="443"/>
      <c r="U109" s="444"/>
      <c r="V109" s="443"/>
      <c r="W109" s="444"/>
      <c r="X109" s="443"/>
      <c r="Y109" s="444"/>
      <c r="Z109" s="443"/>
      <c r="AA109" s="444"/>
      <c r="AB109" s="443"/>
      <c r="AC109" s="444"/>
      <c r="AF109" s="441" t="s">
        <v>1154</v>
      </c>
      <c r="AG109" s="441" t="s">
        <v>318</v>
      </c>
      <c r="AH109" s="441" t="s">
        <v>1155</v>
      </c>
      <c r="AI109" s="441" t="s">
        <v>1156</v>
      </c>
      <c r="AJ109" s="441" t="s">
        <v>267</v>
      </c>
      <c r="AK109" s="442" t="s">
        <v>1157</v>
      </c>
    </row>
    <row r="110" spans="1:37" ht="12.6" thickBot="1">
      <c r="A110" s="438"/>
      <c r="B110" s="415"/>
      <c r="C110" s="444"/>
      <c r="D110" s="415"/>
      <c r="E110" s="444"/>
      <c r="F110" s="415"/>
      <c r="G110" s="444"/>
      <c r="H110" s="415"/>
      <c r="I110" s="444"/>
      <c r="J110" s="415"/>
      <c r="K110" s="444"/>
      <c r="L110" s="415"/>
      <c r="M110" s="444"/>
      <c r="N110" s="415"/>
      <c r="O110" s="444"/>
      <c r="P110" s="415"/>
      <c r="Q110" s="444"/>
      <c r="R110" s="415"/>
      <c r="S110" s="444"/>
      <c r="T110" s="415"/>
      <c r="U110" s="444"/>
      <c r="V110" s="415"/>
      <c r="W110" s="444"/>
      <c r="X110" s="415"/>
      <c r="Y110" s="444"/>
      <c r="Z110" s="415"/>
      <c r="AA110" s="444"/>
      <c r="AB110" s="415"/>
      <c r="AC110" s="444"/>
      <c r="AF110" s="445"/>
      <c r="AG110" s="446"/>
      <c r="AH110" s="446"/>
      <c r="AI110" s="446"/>
      <c r="AJ110" s="446"/>
      <c r="AK110" s="447"/>
    </row>
    <row r="111" spans="1:37" ht="42.75" customHeight="1" thickBot="1">
      <c r="A111" s="438"/>
      <c r="B111" s="417"/>
      <c r="C111" s="448">
        <v>341.66800000000001</v>
      </c>
      <c r="D111" s="417"/>
      <c r="E111" s="448">
        <v>425.863</v>
      </c>
      <c r="F111" s="417"/>
      <c r="G111" s="448">
        <v>394.30700000000002</v>
      </c>
      <c r="H111" s="417"/>
      <c r="I111" s="448">
        <v>370.45</v>
      </c>
      <c r="J111" s="417"/>
      <c r="K111" s="448">
        <v>436.75400000000002</v>
      </c>
      <c r="L111" s="417"/>
      <c r="M111" s="448">
        <v>397.60500000000002</v>
      </c>
      <c r="N111" s="417"/>
      <c r="O111" s="448">
        <v>413.40100000000001</v>
      </c>
      <c r="P111" s="417"/>
      <c r="Q111" s="453">
        <v>423.64499999999998</v>
      </c>
      <c r="R111" s="417"/>
      <c r="S111" s="448">
        <v>415.96800000000002</v>
      </c>
      <c r="T111" s="417"/>
      <c r="U111" s="448">
        <v>415.34899999999999</v>
      </c>
      <c r="V111" s="417"/>
      <c r="W111" s="448">
        <v>394.875</v>
      </c>
      <c r="X111" s="417"/>
      <c r="Y111" s="448">
        <v>429.62</v>
      </c>
      <c r="Z111" s="417"/>
      <c r="AA111" s="448">
        <v>381.90499999999997</v>
      </c>
      <c r="AB111" s="417"/>
      <c r="AC111" s="448">
        <v>405.26</v>
      </c>
      <c r="AF111" s="441">
        <v>14</v>
      </c>
      <c r="AG111" s="441"/>
      <c r="AH111" s="441"/>
      <c r="AI111" s="441"/>
      <c r="AJ111" s="441"/>
      <c r="AK111" s="442"/>
    </row>
    <row r="112" spans="1:37" ht="12.6" thickBot="1">
      <c r="A112" s="438"/>
      <c r="B112" s="450"/>
      <c r="C112" s="444"/>
      <c r="D112" s="450"/>
      <c r="E112" s="444"/>
      <c r="F112" s="450"/>
      <c r="G112" s="444"/>
      <c r="H112" s="450"/>
      <c r="I112" s="444"/>
      <c r="J112" s="450"/>
      <c r="K112" s="444"/>
      <c r="L112" s="450"/>
      <c r="M112" s="444"/>
      <c r="N112" s="450"/>
      <c r="O112" s="444"/>
      <c r="P112" s="450"/>
      <c r="Q112" s="444"/>
      <c r="R112" s="450"/>
      <c r="S112" s="444"/>
      <c r="T112" s="450"/>
      <c r="U112" s="444"/>
      <c r="V112" s="450"/>
      <c r="W112" s="444"/>
      <c r="X112" s="450"/>
      <c r="Y112" s="444"/>
      <c r="Z112" s="450"/>
      <c r="AA112" s="444"/>
      <c r="AB112" s="450"/>
      <c r="AC112" s="444"/>
      <c r="AF112" s="445"/>
      <c r="AG112" s="446"/>
      <c r="AH112" s="446"/>
      <c r="AI112" s="446"/>
      <c r="AJ112" s="446"/>
      <c r="AK112" s="447"/>
    </row>
    <row r="113" spans="1:37">
      <c r="A113" s="438"/>
      <c r="B113" s="421" t="s">
        <v>147</v>
      </c>
      <c r="C113" s="421"/>
      <c r="D113" s="421" t="s">
        <v>147</v>
      </c>
      <c r="E113" s="421"/>
      <c r="F113" s="421" t="s">
        <v>206</v>
      </c>
      <c r="G113" s="421"/>
      <c r="H113" s="421" t="s">
        <v>108</v>
      </c>
      <c r="I113" s="421"/>
      <c r="J113" s="421" t="s">
        <v>132</v>
      </c>
      <c r="K113" s="421"/>
      <c r="L113" s="421" t="s">
        <v>206</v>
      </c>
      <c r="M113" s="421"/>
      <c r="N113" s="421" t="s">
        <v>84</v>
      </c>
      <c r="O113" s="421"/>
      <c r="P113" s="421" t="s">
        <v>212</v>
      </c>
      <c r="Q113" s="421"/>
      <c r="R113" s="421" t="s">
        <v>147</v>
      </c>
      <c r="S113" s="421"/>
      <c r="T113" s="421" t="s">
        <v>212</v>
      </c>
      <c r="U113" s="421"/>
      <c r="V113" s="421" t="s">
        <v>102</v>
      </c>
      <c r="W113" s="421"/>
      <c r="X113" s="421" t="s">
        <v>212</v>
      </c>
      <c r="Y113" s="421"/>
      <c r="Z113" s="421" t="s">
        <v>1236</v>
      </c>
      <c r="AA113" s="421"/>
      <c r="AB113" s="421" t="s">
        <v>212</v>
      </c>
      <c r="AC113" s="444"/>
      <c r="AF113" s="445"/>
      <c r="AG113" s="446"/>
      <c r="AH113" s="446"/>
      <c r="AI113" s="446"/>
      <c r="AJ113" s="446"/>
      <c r="AK113" s="447"/>
    </row>
    <row r="114" spans="1:37">
      <c r="A114" s="438"/>
      <c r="B114" s="421"/>
      <c r="C114" s="421"/>
      <c r="D114" s="421"/>
      <c r="E114" s="421"/>
      <c r="F114" s="421"/>
      <c r="G114" s="421"/>
      <c r="H114" s="421"/>
      <c r="I114" s="421"/>
      <c r="J114" s="421"/>
      <c r="K114" s="421"/>
      <c r="L114" s="421"/>
      <c r="M114" s="421"/>
      <c r="N114" s="421"/>
      <c r="O114" s="421"/>
      <c r="P114" s="421"/>
      <c r="Q114" s="421"/>
      <c r="R114" s="421"/>
      <c r="S114" s="421"/>
      <c r="T114" s="421"/>
      <c r="U114" s="421"/>
      <c r="V114" s="421"/>
      <c r="W114" s="421"/>
      <c r="X114" s="421"/>
      <c r="Y114" s="421"/>
      <c r="Z114" s="421"/>
      <c r="AA114" s="421"/>
      <c r="AB114" s="421"/>
      <c r="AC114" s="444"/>
      <c r="AF114" s="445"/>
      <c r="AG114" s="446"/>
      <c r="AH114" s="446"/>
      <c r="AI114" s="446"/>
      <c r="AJ114" s="446"/>
      <c r="AK114" s="447"/>
    </row>
    <row r="115" spans="1:37">
      <c r="A115" s="438"/>
      <c r="C115" s="444"/>
      <c r="E115" s="444"/>
      <c r="G115" s="444"/>
      <c r="I115" s="444"/>
      <c r="K115" s="444"/>
      <c r="M115" s="444"/>
      <c r="O115" s="444"/>
      <c r="Q115" s="444"/>
      <c r="S115" s="444"/>
      <c r="U115" s="444"/>
      <c r="W115" s="444"/>
      <c r="Y115" s="444"/>
      <c r="AA115" s="444"/>
      <c r="AC115" s="444"/>
      <c r="AF115" s="445"/>
      <c r="AG115" s="446"/>
      <c r="AH115" s="446"/>
      <c r="AI115" s="446"/>
      <c r="AJ115" s="446"/>
      <c r="AK115" s="447"/>
    </row>
    <row r="116" spans="1:37">
      <c r="A116" s="438"/>
      <c r="B116" s="439" t="s">
        <v>649</v>
      </c>
      <c r="C116" s="414"/>
      <c r="D116" s="439" t="s">
        <v>650</v>
      </c>
      <c r="E116" s="414"/>
      <c r="F116" s="439" t="s">
        <v>651</v>
      </c>
      <c r="G116" s="414"/>
      <c r="H116" s="439" t="s">
        <v>652</v>
      </c>
      <c r="I116" s="414"/>
      <c r="J116" s="439" t="s">
        <v>653</v>
      </c>
      <c r="K116" s="414"/>
      <c r="L116" s="439" t="s">
        <v>654</v>
      </c>
      <c r="M116" s="414"/>
      <c r="N116" s="439" t="s">
        <v>655</v>
      </c>
      <c r="O116" s="414"/>
      <c r="P116" s="439" t="s">
        <v>656</v>
      </c>
      <c r="Q116" s="414"/>
      <c r="R116" s="439" t="s">
        <v>657</v>
      </c>
      <c r="S116" s="414"/>
      <c r="T116" s="439" t="s">
        <v>658</v>
      </c>
      <c r="U116" s="414"/>
      <c r="V116" s="439" t="s">
        <v>659</v>
      </c>
      <c r="W116" s="414"/>
      <c r="X116" s="439" t="s">
        <v>660</v>
      </c>
      <c r="Y116" s="414"/>
      <c r="Z116" s="439" t="s">
        <v>661</v>
      </c>
      <c r="AA116" s="414"/>
      <c r="AB116" s="439" t="s">
        <v>662</v>
      </c>
      <c r="AC116" s="444"/>
      <c r="AF116" s="445"/>
      <c r="AG116" s="446"/>
      <c r="AH116" s="446"/>
      <c r="AI116" s="446"/>
      <c r="AJ116" s="446"/>
      <c r="AK116" s="447"/>
    </row>
    <row r="117" spans="1:37">
      <c r="A117" s="438"/>
      <c r="B117" s="443"/>
      <c r="C117" s="444"/>
      <c r="D117" s="443"/>
      <c r="E117" s="444"/>
      <c r="F117" s="443"/>
      <c r="G117" s="444"/>
      <c r="H117" s="443"/>
      <c r="I117" s="444"/>
      <c r="J117" s="443"/>
      <c r="K117" s="444"/>
      <c r="L117" s="443"/>
      <c r="M117" s="444"/>
      <c r="N117" s="443"/>
      <c r="O117" s="444"/>
      <c r="P117" s="443"/>
      <c r="Q117" s="444"/>
      <c r="R117" s="443"/>
      <c r="S117" s="444"/>
      <c r="T117" s="443"/>
      <c r="U117" s="444"/>
      <c r="V117" s="443"/>
      <c r="W117" s="444"/>
      <c r="X117" s="443"/>
      <c r="Y117" s="444"/>
      <c r="Z117" s="443"/>
      <c r="AA117" s="444"/>
      <c r="AB117" s="443"/>
      <c r="AC117" s="444"/>
      <c r="AF117" s="441" t="s">
        <v>1154</v>
      </c>
      <c r="AG117" s="441" t="s">
        <v>318</v>
      </c>
      <c r="AH117" s="441" t="s">
        <v>1155</v>
      </c>
      <c r="AI117" s="441" t="s">
        <v>1156</v>
      </c>
      <c r="AJ117" s="441" t="s">
        <v>267</v>
      </c>
      <c r="AK117" s="442" t="s">
        <v>1157</v>
      </c>
    </row>
    <row r="118" spans="1:37" ht="12.6" thickBot="1">
      <c r="A118" s="438"/>
      <c r="B118" s="415"/>
      <c r="C118" s="444"/>
      <c r="D118" s="415"/>
      <c r="E118" s="444"/>
      <c r="F118" s="415"/>
      <c r="G118" s="444"/>
      <c r="H118" s="415"/>
      <c r="I118" s="444"/>
      <c r="J118" s="415"/>
      <c r="K118" s="444"/>
      <c r="L118" s="415"/>
      <c r="M118" s="444"/>
      <c r="N118" s="415"/>
      <c r="O118" s="444"/>
      <c r="P118" s="415"/>
      <c r="Q118" s="444"/>
      <c r="R118" s="415"/>
      <c r="S118" s="444"/>
      <c r="T118" s="415"/>
      <c r="U118" s="444"/>
      <c r="V118" s="415"/>
      <c r="W118" s="444"/>
      <c r="X118" s="415"/>
      <c r="Y118" s="444"/>
      <c r="Z118" s="415"/>
      <c r="AA118" s="444"/>
      <c r="AB118" s="415"/>
      <c r="AC118" s="444"/>
      <c r="AF118" s="445"/>
      <c r="AG118" s="446"/>
      <c r="AH118" s="446" t="s">
        <v>1237</v>
      </c>
      <c r="AI118" s="446"/>
      <c r="AJ118" s="446"/>
      <c r="AK118" s="447"/>
    </row>
    <row r="119" spans="1:37" ht="42.75" customHeight="1" thickBot="1">
      <c r="A119" s="438"/>
      <c r="B119" s="417"/>
      <c r="C119" s="448">
        <v>338.15600000000001</v>
      </c>
      <c r="D119" s="417"/>
      <c r="E119" s="448">
        <v>288.303</v>
      </c>
      <c r="F119" s="417"/>
      <c r="G119" s="448">
        <v>297.14800000000002</v>
      </c>
      <c r="H119" s="417"/>
      <c r="I119" s="448">
        <v>195.90299999999999</v>
      </c>
      <c r="J119" s="417"/>
      <c r="K119" s="448">
        <v>249.66</v>
      </c>
      <c r="L119" s="417"/>
      <c r="M119" s="448">
        <v>374.47500000000002</v>
      </c>
      <c r="N119" s="417"/>
      <c r="O119" s="448">
        <v>443.95</v>
      </c>
      <c r="P119" s="417"/>
      <c r="Q119" s="448">
        <v>404.38600000000002</v>
      </c>
      <c r="R119" s="417"/>
      <c r="S119" s="448">
        <v>341.423</v>
      </c>
      <c r="T119" s="417"/>
      <c r="U119" s="448">
        <v>305.40100000000001</v>
      </c>
      <c r="V119" s="417"/>
      <c r="W119" s="448">
        <v>319.98099999999999</v>
      </c>
      <c r="X119" s="417"/>
      <c r="Y119" s="448">
        <v>345.62099999999998</v>
      </c>
      <c r="Z119" s="417"/>
      <c r="AA119" s="448">
        <v>223.15100000000001</v>
      </c>
      <c r="AB119" s="417"/>
      <c r="AC119" s="448">
        <v>393.81700000000001</v>
      </c>
      <c r="AF119" s="441">
        <v>14</v>
      </c>
      <c r="AG119" s="441"/>
      <c r="AH119" s="441"/>
      <c r="AI119" s="441"/>
      <c r="AJ119" s="441"/>
      <c r="AK119" s="442"/>
    </row>
    <row r="120" spans="1:37" ht="12.6" thickBot="1">
      <c r="A120" s="438"/>
      <c r="B120" s="450"/>
      <c r="C120" s="444"/>
      <c r="D120" s="450"/>
      <c r="E120" s="444"/>
      <c r="F120" s="450"/>
      <c r="G120" s="444"/>
      <c r="H120" s="450"/>
      <c r="I120" s="444"/>
      <c r="J120" s="450"/>
      <c r="K120" s="444"/>
      <c r="L120" s="450"/>
      <c r="M120" s="444"/>
      <c r="N120" s="450"/>
      <c r="O120" s="444"/>
      <c r="P120" s="450"/>
      <c r="Q120" s="444"/>
      <c r="R120" s="450"/>
      <c r="S120" s="444"/>
      <c r="T120" s="450"/>
      <c r="U120" s="444"/>
      <c r="V120" s="450"/>
      <c r="W120" s="444"/>
      <c r="X120" s="450"/>
      <c r="Y120" s="444"/>
      <c r="Z120" s="450"/>
      <c r="AA120" s="444"/>
      <c r="AB120" s="450"/>
      <c r="AC120" s="444"/>
      <c r="AF120" s="445"/>
      <c r="AG120" s="446"/>
      <c r="AH120" s="446"/>
      <c r="AI120" s="446"/>
      <c r="AJ120" s="446"/>
      <c r="AK120" s="447"/>
    </row>
    <row r="121" spans="1:37">
      <c r="A121" s="438"/>
      <c r="B121" s="421" t="s">
        <v>212</v>
      </c>
      <c r="C121" s="421"/>
      <c r="D121" s="421" t="s">
        <v>147</v>
      </c>
      <c r="E121" s="421"/>
      <c r="F121" s="421" t="s">
        <v>150</v>
      </c>
      <c r="G121" s="421"/>
      <c r="H121" s="421" t="s">
        <v>147</v>
      </c>
      <c r="I121" s="421"/>
      <c r="J121" s="421" t="s">
        <v>93</v>
      </c>
      <c r="K121" s="421"/>
      <c r="L121" s="421" t="s">
        <v>97</v>
      </c>
      <c r="M121" s="421"/>
      <c r="N121" s="421" t="s">
        <v>212</v>
      </c>
      <c r="O121" s="421"/>
      <c r="P121" s="421" t="s">
        <v>112</v>
      </c>
      <c r="Q121" s="421"/>
      <c r="R121" s="421" t="s">
        <v>147</v>
      </c>
      <c r="S121" s="421"/>
      <c r="T121" s="421" t="s">
        <v>150</v>
      </c>
      <c r="U121" s="421"/>
      <c r="V121" s="421" t="s">
        <v>147</v>
      </c>
      <c r="W121" s="421"/>
      <c r="X121" s="421" t="s">
        <v>206</v>
      </c>
      <c r="Y121" s="421"/>
      <c r="Z121" s="421" t="s">
        <v>108</v>
      </c>
      <c r="AA121" s="421"/>
      <c r="AB121" s="421" t="s">
        <v>112</v>
      </c>
      <c r="AC121" s="444"/>
      <c r="AF121" s="445"/>
      <c r="AG121" s="446"/>
      <c r="AH121" s="446"/>
      <c r="AI121" s="446"/>
      <c r="AJ121" s="446"/>
      <c r="AK121" s="447"/>
    </row>
    <row r="122" spans="1:37">
      <c r="A122" s="438"/>
      <c r="B122" s="421"/>
      <c r="C122" s="421"/>
      <c r="D122" s="421"/>
      <c r="E122" s="421"/>
      <c r="F122" s="421"/>
      <c r="G122" s="421"/>
      <c r="H122" s="421"/>
      <c r="I122" s="421"/>
      <c r="J122" s="421"/>
      <c r="K122" s="421"/>
      <c r="L122" s="421"/>
      <c r="M122" s="421"/>
      <c r="N122" s="421"/>
      <c r="O122" s="421"/>
      <c r="P122" s="421"/>
      <c r="Q122" s="421"/>
      <c r="R122" s="421"/>
      <c r="S122" s="421"/>
      <c r="T122" s="421"/>
      <c r="U122" s="421"/>
      <c r="V122" s="421"/>
      <c r="W122" s="421"/>
      <c r="X122" s="421"/>
      <c r="Y122" s="421"/>
      <c r="Z122" s="421"/>
      <c r="AA122" s="421"/>
      <c r="AB122" s="421"/>
      <c r="AC122" s="444"/>
      <c r="AF122" s="445"/>
      <c r="AG122" s="446"/>
      <c r="AH122" s="446"/>
      <c r="AI122" s="446"/>
      <c r="AJ122" s="446"/>
      <c r="AK122" s="447"/>
    </row>
    <row r="123" spans="1:37">
      <c r="A123" s="438"/>
      <c r="C123" s="444"/>
      <c r="E123" s="444"/>
      <c r="G123" s="444"/>
      <c r="I123" s="444"/>
      <c r="K123" s="444"/>
      <c r="M123" s="444"/>
      <c r="O123" s="444"/>
      <c r="Q123" s="444"/>
      <c r="S123" s="444"/>
      <c r="U123" s="444"/>
      <c r="W123" s="444"/>
      <c r="Y123" s="444"/>
      <c r="AA123" s="444"/>
      <c r="AC123" s="444"/>
      <c r="AF123" s="445"/>
      <c r="AG123" s="446"/>
      <c r="AH123" s="446"/>
      <c r="AI123" s="446"/>
      <c r="AJ123" s="446"/>
      <c r="AK123" s="447"/>
    </row>
    <row r="124" spans="1:37">
      <c r="A124" s="438"/>
      <c r="B124" s="439" t="s">
        <v>663</v>
      </c>
      <c r="C124" s="414"/>
      <c r="D124" s="439" t="s">
        <v>664</v>
      </c>
      <c r="E124" s="414"/>
      <c r="F124" s="439" t="s">
        <v>665</v>
      </c>
      <c r="G124" s="414"/>
      <c r="H124" s="439" t="s">
        <v>666</v>
      </c>
      <c r="I124" s="414"/>
      <c r="J124" s="439" t="s">
        <v>1238</v>
      </c>
      <c r="K124" s="414"/>
      <c r="L124" s="439" t="s">
        <v>274</v>
      </c>
      <c r="M124" s="414"/>
      <c r="N124" s="439" t="s">
        <v>236</v>
      </c>
      <c r="O124" s="414"/>
      <c r="P124" s="439" t="s">
        <v>237</v>
      </c>
      <c r="Q124" s="414"/>
      <c r="R124" s="439" t="s">
        <v>275</v>
      </c>
      <c r="S124" s="414"/>
      <c r="T124" s="439" t="s">
        <v>276</v>
      </c>
      <c r="U124" s="414"/>
      <c r="V124" s="439" t="s">
        <v>277</v>
      </c>
      <c r="W124" s="414"/>
      <c r="X124" s="439" t="s">
        <v>278</v>
      </c>
      <c r="Y124" s="414"/>
      <c r="Z124" s="439" t="s">
        <v>279</v>
      </c>
      <c r="AA124" s="414"/>
      <c r="AB124" s="439" t="s">
        <v>280</v>
      </c>
      <c r="AC124" s="444"/>
      <c r="AF124" s="445"/>
      <c r="AG124" s="446"/>
      <c r="AH124" s="446"/>
      <c r="AI124" s="446"/>
      <c r="AJ124" s="446"/>
      <c r="AK124" s="447"/>
    </row>
    <row r="125" spans="1:37">
      <c r="A125" s="438"/>
      <c r="B125" s="443"/>
      <c r="C125" s="444"/>
      <c r="D125" s="443"/>
      <c r="E125" s="444"/>
      <c r="F125" s="443"/>
      <c r="G125" s="444"/>
      <c r="H125" s="443"/>
      <c r="I125" s="444"/>
      <c r="J125" s="443"/>
      <c r="K125" s="444"/>
      <c r="L125" s="443"/>
      <c r="M125" s="444"/>
      <c r="N125" s="443"/>
      <c r="O125" s="444"/>
      <c r="P125" s="443"/>
      <c r="Q125" s="444"/>
      <c r="R125" s="443"/>
      <c r="S125" s="444"/>
      <c r="T125" s="443"/>
      <c r="U125" s="444"/>
      <c r="V125" s="443"/>
      <c r="W125" s="444"/>
      <c r="X125" s="443"/>
      <c r="Y125" s="452"/>
      <c r="Z125" s="443"/>
      <c r="AA125" s="452"/>
      <c r="AB125" s="443"/>
      <c r="AC125" s="444"/>
      <c r="AF125" s="441" t="s">
        <v>1154</v>
      </c>
      <c r="AG125" s="441" t="s">
        <v>318</v>
      </c>
      <c r="AH125" s="441" t="s">
        <v>1155</v>
      </c>
      <c r="AI125" s="441" t="s">
        <v>1156</v>
      </c>
      <c r="AJ125" s="441" t="s">
        <v>267</v>
      </c>
      <c r="AK125" s="442" t="s">
        <v>1157</v>
      </c>
    </row>
    <row r="126" spans="1:37" ht="12.6" thickBot="1">
      <c r="A126" s="438"/>
      <c r="B126" s="415"/>
      <c r="C126" s="444"/>
      <c r="D126" s="415"/>
      <c r="E126" s="444"/>
      <c r="F126" s="415"/>
      <c r="G126" s="444"/>
      <c r="H126" s="415"/>
      <c r="I126" s="444"/>
      <c r="J126" s="415"/>
      <c r="K126" s="444"/>
      <c r="L126" s="415"/>
      <c r="M126" s="444"/>
      <c r="N126" s="415"/>
      <c r="O126" s="444"/>
      <c r="P126" s="415"/>
      <c r="Q126" s="444"/>
      <c r="R126" s="415"/>
      <c r="S126" s="444"/>
      <c r="T126" s="415"/>
      <c r="U126" s="444"/>
      <c r="V126" s="415"/>
      <c r="W126" s="444"/>
      <c r="X126" s="415"/>
      <c r="Y126" s="444"/>
      <c r="Z126" s="415"/>
      <c r="AA126" s="444"/>
      <c r="AB126" s="415"/>
      <c r="AC126" s="444"/>
      <c r="AF126" s="445"/>
      <c r="AG126" s="446"/>
      <c r="AH126" s="446"/>
      <c r="AI126" s="446"/>
      <c r="AJ126" s="446"/>
      <c r="AK126" s="447"/>
    </row>
    <row r="127" spans="1:37" ht="42.75" customHeight="1" thickBot="1">
      <c r="A127" s="438"/>
      <c r="B127" s="417"/>
      <c r="C127" s="448">
        <v>435.13600000000002</v>
      </c>
      <c r="D127" s="417"/>
      <c r="E127" s="448">
        <v>403.209</v>
      </c>
      <c r="F127" s="417"/>
      <c r="G127" s="448">
        <v>422.55399999999997</v>
      </c>
      <c r="H127" s="417"/>
      <c r="I127" s="448">
        <v>353.48399999999998</v>
      </c>
      <c r="J127" s="417"/>
      <c r="K127" s="448">
        <v>274.899</v>
      </c>
      <c r="L127" s="417"/>
      <c r="M127" s="448">
        <v>465.03300000000002</v>
      </c>
      <c r="N127" s="417"/>
      <c r="O127" s="448">
        <v>373.97699999999998</v>
      </c>
      <c r="P127" s="418"/>
      <c r="Q127" s="448">
        <v>416.86399999999998</v>
      </c>
      <c r="R127" s="418"/>
      <c r="S127" s="448">
        <v>381.01900000000001</v>
      </c>
      <c r="T127" s="417"/>
      <c r="U127" s="448">
        <v>391.51900000000001</v>
      </c>
      <c r="V127" s="417"/>
      <c r="W127" s="448">
        <v>374.93400000000003</v>
      </c>
      <c r="X127" s="417"/>
      <c r="Y127" s="453">
        <v>248.56700000000001</v>
      </c>
      <c r="Z127" s="417"/>
      <c r="AA127" s="448">
        <v>384.17</v>
      </c>
      <c r="AB127" s="417"/>
      <c r="AC127" s="453">
        <v>330.76400000000001</v>
      </c>
      <c r="AF127" s="441">
        <v>14</v>
      </c>
      <c r="AG127" s="441">
        <v>1</v>
      </c>
      <c r="AH127" s="441"/>
      <c r="AI127" s="441"/>
      <c r="AJ127" s="441"/>
      <c r="AK127" s="442"/>
    </row>
    <row r="128" spans="1:37" ht="12.6" thickBot="1">
      <c r="A128" s="438"/>
      <c r="B128" s="450"/>
      <c r="C128" s="444"/>
      <c r="D128" s="450"/>
      <c r="E128" s="444"/>
      <c r="F128" s="450"/>
      <c r="G128" s="444"/>
      <c r="H128" s="450"/>
      <c r="I128" s="444"/>
      <c r="J128" s="450"/>
      <c r="K128" s="444"/>
      <c r="L128" s="450"/>
      <c r="M128" s="444"/>
      <c r="N128" s="450"/>
      <c r="O128" s="444"/>
      <c r="P128" s="450"/>
      <c r="Q128" s="444"/>
      <c r="R128" s="450"/>
      <c r="S128" s="444"/>
      <c r="T128" s="450"/>
      <c r="U128" s="444"/>
      <c r="V128" s="450"/>
      <c r="W128" s="444"/>
      <c r="X128" s="450"/>
      <c r="Y128" s="444"/>
      <c r="Z128" s="450"/>
      <c r="AA128" s="444"/>
      <c r="AB128" s="450"/>
      <c r="AC128" s="444"/>
      <c r="AF128" s="445"/>
      <c r="AG128" s="446"/>
      <c r="AH128" s="446"/>
      <c r="AI128" s="446"/>
      <c r="AJ128" s="446"/>
      <c r="AK128" s="447"/>
    </row>
    <row r="129" spans="1:37">
      <c r="A129" s="438"/>
      <c r="B129" s="454" t="s">
        <v>212</v>
      </c>
      <c r="C129" s="421"/>
      <c r="D129" s="454" t="s">
        <v>212</v>
      </c>
      <c r="E129" s="421"/>
      <c r="F129" s="454" t="s">
        <v>108</v>
      </c>
      <c r="G129" s="421"/>
      <c r="H129" s="454" t="s">
        <v>108</v>
      </c>
      <c r="I129" s="421"/>
      <c r="J129" s="454" t="s">
        <v>112</v>
      </c>
      <c r="K129" s="421"/>
      <c r="L129" s="454" t="s">
        <v>82</v>
      </c>
      <c r="M129" s="421"/>
      <c r="N129" s="454" t="s">
        <v>150</v>
      </c>
      <c r="O129" s="421"/>
      <c r="P129" s="454" t="s">
        <v>147</v>
      </c>
      <c r="Q129" s="421"/>
      <c r="R129" s="454" t="s">
        <v>150</v>
      </c>
      <c r="S129" s="421"/>
      <c r="T129" s="454" t="s">
        <v>84</v>
      </c>
      <c r="U129" s="421"/>
      <c r="V129" s="454" t="s">
        <v>206</v>
      </c>
      <c r="W129" s="421"/>
      <c r="X129" s="454" t="s">
        <v>90</v>
      </c>
      <c r="Y129" s="421"/>
      <c r="Z129" s="454" t="s">
        <v>80</v>
      </c>
      <c r="AA129" s="421"/>
      <c r="AB129" s="454" t="s">
        <v>150</v>
      </c>
      <c r="AC129" s="444"/>
      <c r="AF129" s="445"/>
      <c r="AG129" s="446"/>
      <c r="AH129" s="446"/>
      <c r="AI129" s="446"/>
      <c r="AJ129" s="446"/>
      <c r="AK129" s="447"/>
    </row>
    <row r="130" spans="1:37">
      <c r="A130" s="438"/>
      <c r="B130" s="454"/>
      <c r="C130" s="421"/>
      <c r="D130" s="454"/>
      <c r="E130" s="421"/>
      <c r="F130" s="454"/>
      <c r="G130" s="421"/>
      <c r="H130" s="454"/>
      <c r="I130" s="421"/>
      <c r="J130" s="454"/>
      <c r="K130" s="421"/>
      <c r="L130" s="454"/>
      <c r="M130" s="421"/>
      <c r="N130" s="454"/>
      <c r="O130" s="421"/>
      <c r="P130" s="454"/>
      <c r="Q130" s="421"/>
      <c r="R130" s="454"/>
      <c r="S130" s="421"/>
      <c r="T130" s="454" t="s">
        <v>1239</v>
      </c>
      <c r="U130" s="421"/>
      <c r="V130" s="454" t="s">
        <v>1240</v>
      </c>
      <c r="W130" s="421"/>
      <c r="X130" s="454"/>
      <c r="Y130" s="421"/>
      <c r="Z130" s="454"/>
      <c r="AA130" s="421"/>
      <c r="AB130" s="454"/>
      <c r="AC130" s="444"/>
      <c r="AF130" s="445"/>
      <c r="AG130" s="446"/>
      <c r="AH130" s="446"/>
      <c r="AI130" s="446"/>
      <c r="AJ130" s="446"/>
      <c r="AK130" s="447"/>
    </row>
    <row r="131" spans="1:37" ht="12.6" thickBot="1">
      <c r="A131" s="456"/>
      <c r="B131" s="457"/>
      <c r="C131" s="458"/>
      <c r="D131" s="457"/>
      <c r="E131" s="458"/>
      <c r="F131" s="457"/>
      <c r="G131" s="458"/>
      <c r="H131" s="457"/>
      <c r="I131" s="458"/>
      <c r="J131" s="457"/>
      <c r="K131" s="458"/>
      <c r="L131" s="457"/>
      <c r="M131" s="458"/>
      <c r="N131" s="457"/>
      <c r="O131" s="458"/>
      <c r="P131" s="457"/>
      <c r="Q131" s="458"/>
      <c r="R131" s="457"/>
      <c r="S131" s="458"/>
      <c r="T131" s="457"/>
      <c r="U131" s="458"/>
      <c r="V131" s="457"/>
      <c r="W131" s="458"/>
      <c r="X131" s="457"/>
      <c r="Y131" s="458"/>
      <c r="Z131" s="457"/>
      <c r="AA131" s="458"/>
      <c r="AB131" s="457"/>
      <c r="AC131" s="458"/>
      <c r="AD131" s="459"/>
      <c r="AE131" s="459"/>
      <c r="AF131" s="460"/>
      <c r="AG131" s="461"/>
      <c r="AH131" s="461"/>
      <c r="AI131" s="461"/>
      <c r="AJ131" s="461"/>
      <c r="AK131" s="462"/>
    </row>
    <row r="132" spans="1:37">
      <c r="A132" s="463"/>
      <c r="B132" s="464" t="s">
        <v>284</v>
      </c>
      <c r="C132" s="419"/>
      <c r="D132" s="464" t="s">
        <v>285</v>
      </c>
      <c r="E132" s="419"/>
      <c r="F132" s="464" t="s">
        <v>286</v>
      </c>
      <c r="G132" s="419"/>
      <c r="H132" s="464" t="s">
        <v>287</v>
      </c>
      <c r="I132" s="464"/>
      <c r="J132" s="464" t="s">
        <v>288</v>
      </c>
      <c r="K132" s="419"/>
      <c r="L132" s="464" t="s">
        <v>289</v>
      </c>
      <c r="M132" s="419"/>
      <c r="N132" s="464" t="s">
        <v>290</v>
      </c>
      <c r="O132" s="419"/>
      <c r="P132" s="464" t="s">
        <v>291</v>
      </c>
      <c r="Q132" s="419"/>
      <c r="R132" s="464" t="s">
        <v>292</v>
      </c>
      <c r="S132" s="419"/>
      <c r="T132" s="464" t="s">
        <v>293</v>
      </c>
      <c r="U132" s="419"/>
      <c r="V132" s="464" t="s">
        <v>297</v>
      </c>
      <c r="W132" s="419"/>
      <c r="X132" s="464" t="s">
        <v>298</v>
      </c>
      <c r="Y132" s="419"/>
      <c r="Z132" s="464" t="s">
        <v>299</v>
      </c>
      <c r="AA132" s="419"/>
      <c r="AB132" s="464" t="s">
        <v>300</v>
      </c>
      <c r="AC132" s="465"/>
      <c r="AD132" s="424"/>
      <c r="AE132" s="424"/>
      <c r="AF132" s="466"/>
      <c r="AG132" s="467"/>
      <c r="AH132" s="467"/>
      <c r="AI132" s="467"/>
      <c r="AJ132" s="467"/>
      <c r="AK132" s="468"/>
    </row>
    <row r="133" spans="1:37">
      <c r="A133" s="438"/>
      <c r="B133" s="443"/>
      <c r="C133" s="452"/>
      <c r="D133" s="443"/>
      <c r="E133" s="452"/>
      <c r="F133" s="443"/>
      <c r="G133" s="452"/>
      <c r="H133" s="443"/>
      <c r="I133" s="469"/>
      <c r="J133" s="443"/>
      <c r="K133" s="470"/>
      <c r="L133" s="443"/>
      <c r="M133" s="421"/>
      <c r="N133" s="443"/>
      <c r="O133" s="444"/>
      <c r="P133" s="443"/>
      <c r="Q133" s="421"/>
      <c r="R133" s="443"/>
      <c r="S133" s="444"/>
      <c r="T133" s="443"/>
      <c r="U133" s="444"/>
      <c r="V133" s="443"/>
      <c r="W133" s="444"/>
      <c r="X133" s="443"/>
      <c r="Y133" s="421"/>
      <c r="Z133" s="443"/>
      <c r="AA133" s="421"/>
      <c r="AB133" s="443"/>
      <c r="AC133" s="444"/>
      <c r="AF133" s="441" t="s">
        <v>1154</v>
      </c>
      <c r="AG133" s="441" t="s">
        <v>318</v>
      </c>
      <c r="AH133" s="441" t="s">
        <v>1155</v>
      </c>
      <c r="AI133" s="441" t="s">
        <v>1156</v>
      </c>
      <c r="AJ133" s="441" t="s">
        <v>267</v>
      </c>
      <c r="AK133" s="442" t="s">
        <v>1157</v>
      </c>
    </row>
    <row r="134" spans="1:37" ht="12.6" thickBot="1">
      <c r="A134" s="438"/>
      <c r="B134" s="415"/>
      <c r="C134" s="444"/>
      <c r="D134" s="415"/>
      <c r="E134" s="444"/>
      <c r="F134" s="415"/>
      <c r="G134" s="444"/>
      <c r="H134" s="415"/>
      <c r="I134" s="444"/>
      <c r="J134" s="415"/>
      <c r="K134" s="444"/>
      <c r="L134" s="415"/>
      <c r="M134" s="444"/>
      <c r="N134" s="415"/>
      <c r="O134" s="444"/>
      <c r="P134" s="415"/>
      <c r="Q134" s="444"/>
      <c r="R134" s="415"/>
      <c r="S134" s="444"/>
      <c r="T134" s="415"/>
      <c r="U134" s="444"/>
      <c r="V134" s="415"/>
      <c r="W134" s="444"/>
      <c r="X134" s="415"/>
      <c r="Y134" s="444"/>
      <c r="Z134" s="415"/>
      <c r="AA134" s="444"/>
      <c r="AB134" s="415"/>
      <c r="AC134" s="444"/>
      <c r="AF134" s="445"/>
      <c r="AG134" s="446"/>
      <c r="AH134" s="446"/>
      <c r="AI134" s="446"/>
      <c r="AJ134" s="446"/>
      <c r="AK134" s="447"/>
    </row>
    <row r="135" spans="1:37" ht="42.75" customHeight="1" thickBot="1">
      <c r="A135" s="438"/>
      <c r="B135" s="417"/>
      <c r="C135" s="448">
        <v>285.31900000000002</v>
      </c>
      <c r="D135" s="417"/>
      <c r="E135" s="448">
        <v>354.7</v>
      </c>
      <c r="F135" s="417"/>
      <c r="G135" s="448">
        <v>420.541</v>
      </c>
      <c r="H135" s="417"/>
      <c r="I135" s="448">
        <v>340.55900000000003</v>
      </c>
      <c r="J135" s="417"/>
      <c r="K135" s="448">
        <v>336.51900000000001</v>
      </c>
      <c r="L135" s="417"/>
      <c r="M135" s="448">
        <v>375.99200000000002</v>
      </c>
      <c r="N135" s="417"/>
      <c r="O135" s="453">
        <v>308.40699999999998</v>
      </c>
      <c r="P135" s="417"/>
      <c r="Q135" s="471">
        <v>444.83800000000002</v>
      </c>
      <c r="R135" s="417"/>
      <c r="S135" s="448">
        <v>392.01600000000002</v>
      </c>
      <c r="T135" s="417"/>
      <c r="U135" s="448">
        <v>407.803</v>
      </c>
      <c r="V135" s="417"/>
      <c r="W135" s="448">
        <v>206.06200000000001</v>
      </c>
      <c r="X135" s="417"/>
      <c r="Y135" s="453">
        <v>417.38400000000001</v>
      </c>
      <c r="Z135" s="417"/>
      <c r="AA135" s="448">
        <v>304.56400000000002</v>
      </c>
      <c r="AB135" s="417"/>
      <c r="AC135" s="453">
        <v>395.50900000000001</v>
      </c>
      <c r="AF135" s="441">
        <v>14</v>
      </c>
      <c r="AG135" s="441"/>
      <c r="AH135" s="441"/>
      <c r="AI135" s="441"/>
      <c r="AJ135" s="441"/>
      <c r="AK135" s="442"/>
    </row>
    <row r="136" spans="1:37" ht="12.6" thickBot="1">
      <c r="A136" s="438"/>
      <c r="B136" s="450"/>
      <c r="C136" s="444"/>
      <c r="D136" s="450"/>
      <c r="E136" s="444"/>
      <c r="F136" s="450"/>
      <c r="G136" s="444"/>
      <c r="H136" s="450"/>
      <c r="I136" s="444"/>
      <c r="J136" s="450"/>
      <c r="K136" s="444"/>
      <c r="L136" s="450"/>
      <c r="M136" s="444"/>
      <c r="N136" s="450"/>
      <c r="O136" s="444"/>
      <c r="P136" s="450"/>
      <c r="Q136" s="444"/>
      <c r="R136" s="450"/>
      <c r="S136" s="444"/>
      <c r="T136" s="450"/>
      <c r="U136" s="444"/>
      <c r="V136" s="450"/>
      <c r="W136" s="444"/>
      <c r="X136" s="450"/>
      <c r="Y136" s="444"/>
      <c r="Z136" s="450"/>
      <c r="AA136" s="444"/>
      <c r="AB136" s="450"/>
      <c r="AC136" s="444"/>
      <c r="AF136" s="445"/>
      <c r="AG136" s="446"/>
      <c r="AH136" s="446"/>
      <c r="AI136" s="446"/>
      <c r="AJ136" s="446"/>
      <c r="AK136" s="447"/>
    </row>
    <row r="137" spans="1:37">
      <c r="A137" s="438"/>
      <c r="B137" s="421" t="s">
        <v>206</v>
      </c>
      <c r="C137" s="421"/>
      <c r="D137" s="421" t="s">
        <v>150</v>
      </c>
      <c r="E137" s="421"/>
      <c r="F137" s="421" t="s">
        <v>82</v>
      </c>
      <c r="G137" s="421"/>
      <c r="H137" s="421" t="s">
        <v>97</v>
      </c>
      <c r="I137" s="421"/>
      <c r="J137" s="421" t="s">
        <v>97</v>
      </c>
      <c r="K137" s="421"/>
      <c r="L137" s="421" t="s">
        <v>147</v>
      </c>
      <c r="M137" s="421"/>
      <c r="N137" s="421" t="s">
        <v>97</v>
      </c>
      <c r="O137" s="421"/>
      <c r="P137" s="421" t="s">
        <v>206</v>
      </c>
      <c r="Q137" s="421"/>
      <c r="R137" s="421" t="s">
        <v>206</v>
      </c>
      <c r="S137" s="421"/>
      <c r="T137" s="421" t="s">
        <v>97</v>
      </c>
      <c r="U137" s="421"/>
      <c r="V137" s="421" t="s">
        <v>97</v>
      </c>
      <c r="W137" s="421"/>
      <c r="X137" s="421" t="s">
        <v>88</v>
      </c>
      <c r="Y137" s="421"/>
      <c r="Z137" s="415" t="s">
        <v>147</v>
      </c>
      <c r="AA137" s="421"/>
      <c r="AB137" s="421" t="s">
        <v>90</v>
      </c>
      <c r="AC137" s="444"/>
      <c r="AF137" s="445"/>
      <c r="AG137" s="446"/>
      <c r="AH137" s="446"/>
      <c r="AI137" s="446"/>
      <c r="AJ137" s="446"/>
      <c r="AK137" s="447"/>
    </row>
    <row r="138" spans="1:37">
      <c r="A138" s="438"/>
      <c r="B138" s="421" t="s">
        <v>1240</v>
      </c>
      <c r="C138" s="421"/>
      <c r="D138" s="421" t="s">
        <v>1240</v>
      </c>
      <c r="E138" s="421"/>
      <c r="F138" s="421" t="s">
        <v>1239</v>
      </c>
      <c r="G138" s="421"/>
      <c r="H138" s="421" t="s">
        <v>1239</v>
      </c>
      <c r="I138" s="421"/>
      <c r="J138" s="421"/>
      <c r="K138" s="421"/>
      <c r="L138" s="421"/>
      <c r="M138" s="421"/>
      <c r="N138" s="421"/>
      <c r="O138" s="421"/>
      <c r="P138" s="421"/>
      <c r="Q138" s="421"/>
      <c r="R138" s="421"/>
      <c r="S138" s="421"/>
      <c r="T138" s="421" t="s">
        <v>1241</v>
      </c>
      <c r="U138" s="421"/>
      <c r="V138" s="421"/>
      <c r="W138" s="421"/>
      <c r="X138" s="421"/>
      <c r="Y138" s="421"/>
      <c r="Z138" s="421"/>
      <c r="AA138" s="421"/>
      <c r="AB138" s="421"/>
      <c r="AC138" s="444"/>
      <c r="AF138" s="445"/>
      <c r="AG138" s="446"/>
      <c r="AH138" s="446"/>
      <c r="AI138" s="446"/>
      <c r="AJ138" s="446"/>
      <c r="AK138" s="447"/>
    </row>
    <row r="139" spans="1:37">
      <c r="A139" s="438"/>
      <c r="C139" s="444"/>
      <c r="E139" s="444"/>
      <c r="G139" s="444"/>
      <c r="I139" s="444"/>
      <c r="K139" s="444"/>
      <c r="M139" s="444"/>
      <c r="O139" s="444"/>
      <c r="Q139" s="444"/>
      <c r="S139" s="444"/>
      <c r="U139" s="444"/>
      <c r="W139" s="444"/>
      <c r="Y139" s="444"/>
      <c r="AA139" s="444"/>
      <c r="AC139" s="444"/>
      <c r="AF139" s="445"/>
      <c r="AG139" s="446"/>
      <c r="AH139" s="446"/>
      <c r="AI139" s="446"/>
      <c r="AJ139" s="446"/>
      <c r="AK139" s="447"/>
    </row>
    <row r="140" spans="1:37">
      <c r="A140" s="438"/>
      <c r="B140" s="439" t="s">
        <v>301</v>
      </c>
      <c r="C140" s="414"/>
      <c r="D140" s="439" t="s">
        <v>302</v>
      </c>
      <c r="E140" s="414"/>
      <c r="F140" s="439" t="s">
        <v>303</v>
      </c>
      <c r="G140" s="420"/>
      <c r="H140" s="439" t="s">
        <v>304</v>
      </c>
      <c r="I140" s="414"/>
      <c r="J140" s="439" t="s">
        <v>245</v>
      </c>
      <c r="K140" s="414"/>
      <c r="L140" s="439" t="s">
        <v>305</v>
      </c>
      <c r="M140" s="414"/>
      <c r="N140" s="439" t="s">
        <v>310</v>
      </c>
      <c r="O140" s="414"/>
      <c r="P140" s="439" t="s">
        <v>311</v>
      </c>
      <c r="Q140" s="414"/>
      <c r="R140" s="439" t="s">
        <v>312</v>
      </c>
      <c r="S140" s="414"/>
      <c r="T140" s="439" t="s">
        <v>246</v>
      </c>
      <c r="U140" s="414"/>
      <c r="V140" s="439" t="s">
        <v>247</v>
      </c>
      <c r="W140" s="414"/>
      <c r="X140" s="439" t="s">
        <v>313</v>
      </c>
      <c r="Y140" s="414"/>
      <c r="Z140" s="439" t="s">
        <v>314</v>
      </c>
      <c r="AA140" s="414"/>
      <c r="AB140" s="439" t="s">
        <v>315</v>
      </c>
      <c r="AC140" s="444"/>
      <c r="AF140" s="445"/>
      <c r="AG140" s="446"/>
      <c r="AH140" s="446"/>
      <c r="AI140" s="446"/>
      <c r="AJ140" s="446"/>
      <c r="AK140" s="447"/>
    </row>
    <row r="141" spans="1:37">
      <c r="A141" s="438"/>
      <c r="B141" s="443"/>
      <c r="C141" s="444"/>
      <c r="D141" s="443"/>
      <c r="E141" s="421"/>
      <c r="F141" s="443"/>
      <c r="G141" s="472"/>
      <c r="H141" s="443"/>
      <c r="I141" s="444"/>
      <c r="J141" s="443"/>
      <c r="K141" s="444"/>
      <c r="L141" s="443"/>
      <c r="M141" s="444"/>
      <c r="N141" s="443"/>
      <c r="O141" s="444"/>
      <c r="P141" s="443"/>
      <c r="Q141" s="473"/>
      <c r="R141" s="443"/>
      <c r="S141" s="444"/>
      <c r="T141" s="443"/>
      <c r="U141" s="444"/>
      <c r="V141" s="443"/>
      <c r="W141" s="444"/>
      <c r="X141" s="443"/>
      <c r="Y141" s="444"/>
      <c r="Z141" s="443"/>
      <c r="AA141" s="444"/>
      <c r="AB141" s="443"/>
      <c r="AC141" s="444"/>
      <c r="AF141" s="441" t="s">
        <v>1154</v>
      </c>
      <c r="AG141" s="441" t="s">
        <v>318</v>
      </c>
      <c r="AH141" s="441" t="s">
        <v>1155</v>
      </c>
      <c r="AI141" s="441" t="s">
        <v>1156</v>
      </c>
      <c r="AJ141" s="441" t="s">
        <v>267</v>
      </c>
      <c r="AK141" s="442" t="s">
        <v>1157</v>
      </c>
    </row>
    <row r="142" spans="1:37" ht="12.6" thickBot="1">
      <c r="A142" s="438"/>
      <c r="B142" s="415"/>
      <c r="C142" s="444"/>
      <c r="D142" s="415"/>
      <c r="E142" s="444"/>
      <c r="F142" s="415"/>
      <c r="G142" s="444"/>
      <c r="H142" s="415"/>
      <c r="I142" s="444"/>
      <c r="J142" s="415"/>
      <c r="K142" s="444"/>
      <c r="L142" s="415"/>
      <c r="M142" s="444"/>
      <c r="N142" s="415"/>
      <c r="O142" s="444"/>
      <c r="P142" s="415"/>
      <c r="Q142" s="444"/>
      <c r="R142" s="415"/>
      <c r="S142" s="444"/>
      <c r="T142" s="415"/>
      <c r="U142" s="444"/>
      <c r="V142" s="415"/>
      <c r="W142" s="444"/>
      <c r="X142" s="415"/>
      <c r="Y142" s="444"/>
      <c r="Z142" s="415"/>
      <c r="AA142" s="444"/>
      <c r="AB142" s="415"/>
      <c r="AC142" s="444"/>
      <c r="AF142" s="445"/>
      <c r="AG142" s="446"/>
      <c r="AH142" s="446"/>
      <c r="AI142" s="446"/>
      <c r="AJ142" s="446"/>
      <c r="AK142" s="447"/>
    </row>
    <row r="143" spans="1:37" ht="42.75" customHeight="1" thickBot="1">
      <c r="A143" s="438"/>
      <c r="B143" s="417"/>
      <c r="C143" s="448">
        <v>431.017</v>
      </c>
      <c r="D143" s="417"/>
      <c r="E143" s="448">
        <v>403.42599999999999</v>
      </c>
      <c r="F143" s="417"/>
      <c r="G143" s="448">
        <v>420.35700000000003</v>
      </c>
      <c r="H143" s="417"/>
      <c r="I143" s="448">
        <v>446.37</v>
      </c>
      <c r="J143" s="417"/>
      <c r="K143" s="448">
        <v>297.577</v>
      </c>
      <c r="L143" s="417"/>
      <c r="M143" s="448">
        <v>240.47300000000001</v>
      </c>
      <c r="N143" s="417"/>
      <c r="O143" s="448">
        <v>312.68700000000001</v>
      </c>
      <c r="P143" s="417"/>
      <c r="Q143" s="448">
        <v>347.88400000000001</v>
      </c>
      <c r="R143" s="417"/>
      <c r="S143" s="448">
        <v>379.24900000000002</v>
      </c>
      <c r="T143" s="418"/>
      <c r="U143" s="448">
        <v>398.697</v>
      </c>
      <c r="V143" s="418"/>
      <c r="W143" s="448">
        <v>439.06200000000001</v>
      </c>
      <c r="X143" s="417"/>
      <c r="Y143" s="453">
        <v>360.21</v>
      </c>
      <c r="Z143" s="417"/>
      <c r="AA143" s="448">
        <v>399.57900000000001</v>
      </c>
      <c r="AB143" s="417"/>
      <c r="AC143" s="448">
        <v>364</v>
      </c>
      <c r="AF143" s="441">
        <v>14</v>
      </c>
      <c r="AG143" s="441"/>
      <c r="AH143" s="441"/>
      <c r="AI143" s="441"/>
      <c r="AJ143" s="441"/>
      <c r="AK143" s="442"/>
    </row>
    <row r="144" spans="1:37" ht="14.25" customHeight="1" thickBot="1">
      <c r="A144" s="438"/>
      <c r="B144" s="450"/>
      <c r="C144" s="444"/>
      <c r="D144" s="450"/>
      <c r="E144" s="444"/>
      <c r="F144" s="450"/>
      <c r="G144" s="444"/>
      <c r="H144" s="450"/>
      <c r="I144" s="444"/>
      <c r="J144" s="450"/>
      <c r="K144" s="444"/>
      <c r="L144" s="450"/>
      <c r="M144" s="444"/>
      <c r="N144" s="450"/>
      <c r="O144" s="444"/>
      <c r="P144" s="450"/>
      <c r="Q144" s="444"/>
      <c r="R144" s="450"/>
      <c r="S144" s="444"/>
      <c r="T144" s="450"/>
      <c r="U144" s="444"/>
      <c r="V144" s="450"/>
      <c r="W144" s="444"/>
      <c r="X144" s="450"/>
      <c r="Y144" s="444"/>
      <c r="Z144" s="450"/>
      <c r="AA144" s="444"/>
      <c r="AB144" s="450"/>
      <c r="AC144" s="444"/>
      <c r="AF144" s="445"/>
      <c r="AG144" s="446"/>
      <c r="AH144" s="446"/>
      <c r="AI144" s="446"/>
      <c r="AJ144" s="446"/>
      <c r="AK144" s="447"/>
    </row>
    <row r="145" spans="1:37">
      <c r="A145" s="438"/>
      <c r="B145" s="474" t="s">
        <v>212</v>
      </c>
      <c r="C145" s="421"/>
      <c r="D145" s="426" t="s">
        <v>150</v>
      </c>
      <c r="E145" s="421"/>
      <c r="F145" s="474" t="s">
        <v>212</v>
      </c>
      <c r="G145" s="421"/>
      <c r="H145" s="474" t="s">
        <v>80</v>
      </c>
      <c r="I145" s="421"/>
      <c r="J145" s="474" t="s">
        <v>212</v>
      </c>
      <c r="K145" s="421"/>
      <c r="L145" s="474" t="s">
        <v>84</v>
      </c>
      <c r="M145" s="421"/>
      <c r="N145" s="474" t="s">
        <v>147</v>
      </c>
      <c r="O145" s="421"/>
      <c r="P145" s="474" t="s">
        <v>147</v>
      </c>
      <c r="Q145" s="421"/>
      <c r="R145" s="474" t="s">
        <v>212</v>
      </c>
      <c r="S145" s="421"/>
      <c r="T145" s="474" t="s">
        <v>206</v>
      </c>
      <c r="U145" s="421"/>
      <c r="V145" s="474" t="s">
        <v>206</v>
      </c>
      <c r="W145" s="421"/>
      <c r="X145" s="474" t="s">
        <v>80</v>
      </c>
      <c r="Y145" s="421"/>
      <c r="Z145" s="474" t="s">
        <v>147</v>
      </c>
      <c r="AA145" s="421"/>
      <c r="AB145" s="474" t="s">
        <v>88</v>
      </c>
      <c r="AC145" s="444"/>
      <c r="AF145" s="445"/>
      <c r="AG145" s="446"/>
      <c r="AH145" s="446"/>
      <c r="AI145" s="446"/>
      <c r="AJ145" s="446"/>
      <c r="AK145" s="447"/>
    </row>
    <row r="146" spans="1:37">
      <c r="A146" s="438"/>
      <c r="B146" s="474"/>
      <c r="C146" s="421"/>
      <c r="E146" s="421"/>
      <c r="F146" s="474" t="s">
        <v>1239</v>
      </c>
      <c r="G146" s="421"/>
      <c r="H146" s="474"/>
      <c r="I146" s="421"/>
      <c r="J146" s="474"/>
      <c r="K146" s="421"/>
      <c r="L146" s="474"/>
      <c r="M146" s="421"/>
      <c r="N146" s="474" t="s">
        <v>1240</v>
      </c>
      <c r="O146" s="421"/>
      <c r="P146" s="474"/>
      <c r="Q146" s="421"/>
      <c r="R146" s="474" t="s">
        <v>1239</v>
      </c>
      <c r="S146" s="421"/>
      <c r="T146" s="474"/>
      <c r="U146" s="421"/>
      <c r="V146" s="474"/>
      <c r="W146" s="421"/>
      <c r="X146" s="474"/>
      <c r="Y146" s="421"/>
      <c r="Z146" s="474"/>
      <c r="AA146" s="421"/>
      <c r="AB146" s="474" t="s">
        <v>1240</v>
      </c>
      <c r="AC146" s="444"/>
      <c r="AF146" s="445"/>
      <c r="AG146" s="446"/>
      <c r="AH146" s="446"/>
      <c r="AI146" s="446"/>
      <c r="AJ146" s="446"/>
      <c r="AK146" s="447"/>
    </row>
    <row r="147" spans="1:37">
      <c r="A147" s="438"/>
      <c r="B147" s="474"/>
      <c r="C147" s="444"/>
      <c r="D147" s="474"/>
      <c r="E147" s="444"/>
      <c r="F147" s="474"/>
      <c r="G147" s="444"/>
      <c r="H147" s="474"/>
      <c r="I147" s="444"/>
      <c r="J147" s="474"/>
      <c r="K147" s="444"/>
      <c r="L147" s="474"/>
      <c r="M147" s="444"/>
      <c r="N147" s="474"/>
      <c r="O147" s="444"/>
      <c r="P147" s="474"/>
      <c r="Q147" s="444"/>
      <c r="R147" s="474"/>
      <c r="S147" s="444"/>
      <c r="T147" s="474"/>
      <c r="U147" s="444"/>
      <c r="V147" s="474"/>
      <c r="W147" s="444"/>
      <c r="X147" s="474"/>
      <c r="Y147" s="444"/>
      <c r="Z147" s="474"/>
      <c r="AA147" s="444"/>
      <c r="AB147" s="474"/>
      <c r="AC147" s="444"/>
      <c r="AF147" s="445"/>
      <c r="AG147" s="446"/>
      <c r="AH147" s="446"/>
      <c r="AI147" s="446"/>
      <c r="AJ147" s="446"/>
      <c r="AK147" s="447"/>
    </row>
    <row r="148" spans="1:37">
      <c r="A148" s="438"/>
      <c r="B148" s="439" t="s">
        <v>316</v>
      </c>
      <c r="C148" s="414"/>
      <c r="D148" s="439" t="s">
        <v>317</v>
      </c>
      <c r="E148" s="414"/>
      <c r="F148" s="439" t="s">
        <v>238</v>
      </c>
      <c r="G148" s="414"/>
      <c r="H148" s="439" t="s">
        <v>239</v>
      </c>
      <c r="I148" s="414"/>
      <c r="J148" s="439" t="s">
        <v>319</v>
      </c>
      <c r="K148" s="414"/>
      <c r="L148" s="439" t="s">
        <v>248</v>
      </c>
      <c r="M148" s="414"/>
      <c r="N148" s="439" t="s">
        <v>249</v>
      </c>
      <c r="O148" s="414"/>
      <c r="P148" s="439" t="s">
        <v>669</v>
      </c>
      <c r="Q148" s="414"/>
      <c r="R148" s="439" t="s">
        <v>321</v>
      </c>
      <c r="S148" s="414"/>
      <c r="T148" s="439" t="s">
        <v>670</v>
      </c>
      <c r="U148" s="414"/>
      <c r="V148" s="439" t="s">
        <v>211</v>
      </c>
      <c r="W148" s="414"/>
      <c r="X148" s="439" t="s">
        <v>224</v>
      </c>
      <c r="Y148" s="414"/>
      <c r="Z148" s="439" t="s">
        <v>225</v>
      </c>
      <c r="AA148" s="414"/>
      <c r="AB148" s="439" t="s">
        <v>250</v>
      </c>
      <c r="AC148" s="444"/>
      <c r="AF148" s="445"/>
      <c r="AG148" s="446"/>
      <c r="AH148" s="446"/>
      <c r="AI148" s="446"/>
      <c r="AJ148" s="446"/>
      <c r="AK148" s="447"/>
    </row>
    <row r="149" spans="1:37">
      <c r="A149" s="438"/>
      <c r="B149" s="443"/>
      <c r="C149" s="444"/>
      <c r="D149" s="443"/>
      <c r="E149" s="444"/>
      <c r="F149" s="443"/>
      <c r="G149" s="444"/>
      <c r="H149" s="443"/>
      <c r="I149" s="452"/>
      <c r="J149" s="443"/>
      <c r="K149" s="421"/>
      <c r="L149" s="443"/>
      <c r="M149" s="444"/>
      <c r="N149" s="443"/>
      <c r="O149" s="444"/>
      <c r="P149" s="443"/>
      <c r="Q149" s="421"/>
      <c r="R149" s="443"/>
      <c r="S149" s="452"/>
      <c r="T149" s="443"/>
      <c r="U149" s="444"/>
      <c r="V149" s="443"/>
      <c r="W149" s="444"/>
      <c r="X149" s="443"/>
      <c r="Y149" s="448"/>
      <c r="Z149" s="443"/>
      <c r="AA149" s="421"/>
      <c r="AB149" s="443"/>
      <c r="AC149" s="444"/>
      <c r="AF149" s="441" t="s">
        <v>1154</v>
      </c>
      <c r="AG149" s="441" t="s">
        <v>318</v>
      </c>
      <c r="AH149" s="441" t="s">
        <v>1155</v>
      </c>
      <c r="AI149" s="441" t="s">
        <v>1156</v>
      </c>
      <c r="AJ149" s="441" t="s">
        <v>267</v>
      </c>
      <c r="AK149" s="442" t="s">
        <v>1157</v>
      </c>
    </row>
    <row r="150" spans="1:37" ht="12.6" thickBot="1">
      <c r="A150" s="438"/>
      <c r="B150" s="415"/>
      <c r="C150" s="444"/>
      <c r="D150" s="415"/>
      <c r="E150" s="444"/>
      <c r="F150" s="415"/>
      <c r="G150" s="444"/>
      <c r="H150" s="415"/>
      <c r="I150" s="444"/>
      <c r="J150" s="415"/>
      <c r="K150" s="444"/>
      <c r="L150" s="415"/>
      <c r="M150" s="444"/>
      <c r="N150" s="415"/>
      <c r="O150" s="444"/>
      <c r="P150" s="415"/>
      <c r="Q150" s="444"/>
      <c r="R150" s="415"/>
      <c r="S150" s="444"/>
      <c r="T150" s="415"/>
      <c r="U150" s="444"/>
      <c r="V150" s="415"/>
      <c r="W150" s="444"/>
      <c r="X150" s="415"/>
      <c r="Y150" s="444"/>
      <c r="Z150" s="415"/>
      <c r="AA150" s="444"/>
      <c r="AB150" s="415"/>
      <c r="AC150" s="444"/>
      <c r="AF150" s="445"/>
      <c r="AG150" s="446"/>
      <c r="AH150" s="446"/>
      <c r="AI150" s="446"/>
      <c r="AJ150" s="446"/>
      <c r="AK150" s="447"/>
    </row>
    <row r="151" spans="1:37" ht="42" customHeight="1" thickBot="1">
      <c r="A151" s="438"/>
      <c r="B151" s="417"/>
      <c r="C151" s="448">
        <v>442</v>
      </c>
      <c r="D151" s="417"/>
      <c r="E151" s="448">
        <v>397</v>
      </c>
      <c r="F151" s="418"/>
      <c r="G151" s="448">
        <v>395</v>
      </c>
      <c r="H151" s="418"/>
      <c r="I151" s="448">
        <v>432</v>
      </c>
      <c r="J151" s="418"/>
      <c r="K151" s="448">
        <v>408</v>
      </c>
      <c r="L151" s="418"/>
      <c r="M151" s="448">
        <v>426</v>
      </c>
      <c r="N151" s="418"/>
      <c r="O151" s="448">
        <v>392.95400000000001</v>
      </c>
      <c r="P151" s="417"/>
      <c r="Q151" s="448">
        <v>431.95699999999999</v>
      </c>
      <c r="R151" s="417"/>
      <c r="S151" s="448">
        <v>426.02</v>
      </c>
      <c r="T151" s="417"/>
      <c r="U151" s="448">
        <v>401</v>
      </c>
      <c r="V151" s="418"/>
      <c r="W151" s="448">
        <v>437</v>
      </c>
      <c r="X151" s="418"/>
      <c r="Y151" s="453">
        <v>402</v>
      </c>
      <c r="Z151" s="418"/>
      <c r="AA151" s="448">
        <v>436</v>
      </c>
      <c r="AB151" s="417"/>
      <c r="AC151" s="453">
        <v>392.28300000000002</v>
      </c>
      <c r="AF151" s="441">
        <v>14</v>
      </c>
      <c r="AG151" s="441">
        <v>8</v>
      </c>
      <c r="AH151" s="441">
        <v>2</v>
      </c>
      <c r="AI151" s="441"/>
      <c r="AJ151" s="441"/>
      <c r="AK151" s="442"/>
    </row>
    <row r="152" spans="1:37" ht="12.6" thickBot="1">
      <c r="A152" s="438"/>
      <c r="B152" s="450"/>
      <c r="C152" s="444"/>
      <c r="D152" s="450"/>
      <c r="E152" s="444"/>
      <c r="F152" s="450"/>
      <c r="G152" s="444"/>
      <c r="H152" s="450"/>
      <c r="I152" s="444"/>
      <c r="J152" s="450"/>
      <c r="K152" s="444"/>
      <c r="L152" s="450"/>
      <c r="M152" s="444"/>
      <c r="N152" s="450"/>
      <c r="O152" s="444"/>
      <c r="P152" s="450"/>
      <c r="Q152" s="444"/>
      <c r="R152" s="450"/>
      <c r="S152" s="444"/>
      <c r="T152" s="450"/>
      <c r="U152" s="444"/>
      <c r="V152" s="450"/>
      <c r="W152" s="444"/>
      <c r="X152" s="450"/>
      <c r="Y152" s="444"/>
      <c r="Z152" s="450"/>
      <c r="AA152" s="444"/>
      <c r="AB152" s="450"/>
      <c r="AC152" s="444"/>
      <c r="AF152" s="445"/>
      <c r="AG152" s="446"/>
      <c r="AH152" s="446"/>
      <c r="AI152" s="446"/>
      <c r="AJ152" s="446"/>
      <c r="AK152" s="447"/>
    </row>
    <row r="153" spans="1:37">
      <c r="A153" s="438"/>
      <c r="B153" s="421" t="s">
        <v>212</v>
      </c>
      <c r="C153" s="421"/>
      <c r="D153" s="421" t="s">
        <v>212</v>
      </c>
      <c r="E153" s="421"/>
      <c r="F153" s="421" t="s">
        <v>212</v>
      </c>
      <c r="G153" s="421"/>
      <c r="H153" s="421" t="s">
        <v>212</v>
      </c>
      <c r="I153" s="421"/>
      <c r="J153" s="421" t="s">
        <v>212</v>
      </c>
      <c r="K153" s="421"/>
      <c r="L153" s="421" t="s">
        <v>150</v>
      </c>
      <c r="M153" s="421"/>
      <c r="N153" s="421" t="s">
        <v>150</v>
      </c>
      <c r="O153" s="421"/>
      <c r="P153" s="421" t="s">
        <v>90</v>
      </c>
      <c r="Q153" s="421"/>
      <c r="R153" s="421" t="s">
        <v>97</v>
      </c>
      <c r="S153" s="421"/>
      <c r="T153" s="421" t="s">
        <v>90</v>
      </c>
      <c r="U153" s="421"/>
      <c r="V153" s="421" t="s">
        <v>212</v>
      </c>
      <c r="W153" s="421"/>
      <c r="X153" s="421" t="s">
        <v>147</v>
      </c>
      <c r="Y153" s="421"/>
      <c r="Z153" s="421" t="s">
        <v>150</v>
      </c>
      <c r="AA153" s="421"/>
      <c r="AB153" s="421" t="s">
        <v>212</v>
      </c>
      <c r="AC153" s="444"/>
      <c r="AF153" s="445"/>
      <c r="AG153" s="446"/>
      <c r="AH153" s="446"/>
      <c r="AI153" s="446"/>
      <c r="AJ153" s="446"/>
      <c r="AK153" s="447"/>
    </row>
    <row r="154" spans="1:37">
      <c r="A154" s="438"/>
      <c r="B154" s="421" t="s">
        <v>1239</v>
      </c>
      <c r="C154" s="421"/>
      <c r="D154" s="421" t="s">
        <v>1240</v>
      </c>
      <c r="E154" s="421"/>
      <c r="F154" s="421"/>
      <c r="G154" s="421"/>
      <c r="H154" s="421"/>
      <c r="I154" s="421"/>
      <c r="J154" s="421"/>
      <c r="K154" s="421"/>
      <c r="L154" s="421"/>
      <c r="M154" s="421"/>
      <c r="N154" s="421"/>
      <c r="O154" s="421"/>
      <c r="P154" s="421"/>
      <c r="Q154" s="421"/>
      <c r="R154" s="421"/>
      <c r="S154" s="421"/>
      <c r="T154" s="421" t="s">
        <v>1240</v>
      </c>
      <c r="U154" s="421"/>
      <c r="V154" s="421"/>
      <c r="W154" s="421"/>
      <c r="X154" s="421"/>
      <c r="Y154" s="421"/>
      <c r="Z154" s="421"/>
      <c r="AA154" s="421"/>
      <c r="AB154" s="421"/>
      <c r="AC154" s="444"/>
      <c r="AF154" s="445"/>
      <c r="AG154" s="446"/>
      <c r="AH154" s="446"/>
      <c r="AI154" s="446"/>
      <c r="AJ154" s="446"/>
      <c r="AK154" s="447"/>
    </row>
    <row r="155" spans="1:37">
      <c r="A155" s="438"/>
      <c r="C155" s="444"/>
      <c r="E155" s="444"/>
      <c r="G155" s="444"/>
      <c r="I155" s="444"/>
      <c r="K155" s="444"/>
      <c r="M155" s="444"/>
      <c r="N155" s="439"/>
      <c r="O155" s="444"/>
      <c r="Q155" s="444"/>
      <c r="S155" s="444"/>
      <c r="U155" s="444"/>
      <c r="W155" s="444"/>
      <c r="Y155" s="444"/>
      <c r="AA155" s="444"/>
      <c r="AC155" s="444"/>
      <c r="AF155" s="445"/>
      <c r="AG155" s="446"/>
      <c r="AH155" s="446"/>
      <c r="AI155" s="446"/>
      <c r="AJ155" s="446"/>
      <c r="AK155" s="447"/>
    </row>
    <row r="156" spans="1:37">
      <c r="A156" s="438"/>
      <c r="B156" s="439" t="s">
        <v>671</v>
      </c>
      <c r="C156" s="414"/>
      <c r="D156" s="439" t="s">
        <v>323</v>
      </c>
      <c r="E156" s="414"/>
      <c r="F156" s="439" t="s">
        <v>324</v>
      </c>
      <c r="G156" s="414"/>
      <c r="H156" s="439" t="s">
        <v>325</v>
      </c>
      <c r="I156" s="414"/>
      <c r="J156" s="439" t="s">
        <v>326</v>
      </c>
      <c r="K156" s="414"/>
      <c r="L156" s="439" t="s">
        <v>327</v>
      </c>
      <c r="M156" s="414"/>
      <c r="N156" s="439" t="s">
        <v>328</v>
      </c>
      <c r="O156" s="414"/>
      <c r="P156" s="439" t="s">
        <v>329</v>
      </c>
      <c r="Q156" s="414"/>
      <c r="R156" s="439" t="s">
        <v>675</v>
      </c>
      <c r="S156" s="414"/>
      <c r="T156" s="439" t="s">
        <v>331</v>
      </c>
      <c r="U156" s="414"/>
      <c r="V156" s="439" t="s">
        <v>251</v>
      </c>
      <c r="W156" s="414"/>
      <c r="X156" s="439" t="s">
        <v>332</v>
      </c>
      <c r="Y156" s="414"/>
      <c r="Z156" s="439" t="s">
        <v>333</v>
      </c>
      <c r="AA156" s="439"/>
      <c r="AB156" s="475" t="s">
        <v>334</v>
      </c>
      <c r="AC156" s="444"/>
      <c r="AF156" s="445"/>
      <c r="AG156" s="446"/>
      <c r="AH156" s="446"/>
      <c r="AI156" s="446"/>
      <c r="AJ156" s="446"/>
      <c r="AK156" s="447"/>
    </row>
    <row r="157" spans="1:37">
      <c r="A157" s="438"/>
      <c r="B157" s="443"/>
      <c r="C157" s="444"/>
      <c r="D157" s="443"/>
      <c r="E157" s="444"/>
      <c r="F157" s="443"/>
      <c r="G157" s="444"/>
      <c r="H157" s="443"/>
      <c r="I157" s="444"/>
      <c r="J157" s="443"/>
      <c r="K157" s="444"/>
      <c r="L157" s="443"/>
      <c r="M157" s="444"/>
      <c r="N157" s="443"/>
      <c r="O157" s="444"/>
      <c r="P157" s="443"/>
      <c r="Q157" s="444"/>
      <c r="R157" s="443"/>
      <c r="S157" s="444"/>
      <c r="T157" s="443"/>
      <c r="U157" s="444"/>
      <c r="V157" s="443"/>
      <c r="W157" s="444"/>
      <c r="X157" s="443"/>
      <c r="Y157" s="444"/>
      <c r="Z157" s="443"/>
      <c r="AA157" s="444"/>
      <c r="AB157" s="443"/>
      <c r="AC157" s="444"/>
      <c r="AF157" s="441" t="s">
        <v>1154</v>
      </c>
      <c r="AG157" s="441" t="s">
        <v>318</v>
      </c>
      <c r="AH157" s="441" t="s">
        <v>1155</v>
      </c>
      <c r="AI157" s="441" t="s">
        <v>1156</v>
      </c>
      <c r="AJ157" s="441" t="s">
        <v>267</v>
      </c>
      <c r="AK157" s="442" t="s">
        <v>1157</v>
      </c>
    </row>
    <row r="158" spans="1:37" ht="12.6" thickBot="1">
      <c r="A158" s="438"/>
      <c r="B158" s="415"/>
      <c r="C158" s="444"/>
      <c r="D158" s="415"/>
      <c r="E158" s="444"/>
      <c r="F158" s="415"/>
      <c r="G158" s="444"/>
      <c r="H158" s="415"/>
      <c r="I158" s="444"/>
      <c r="J158" s="415"/>
      <c r="K158" s="444"/>
      <c r="L158" s="415"/>
      <c r="M158" s="444"/>
      <c r="N158" s="415"/>
      <c r="O158" s="444"/>
      <c r="P158" s="415"/>
      <c r="Q158" s="444"/>
      <c r="R158" s="415"/>
      <c r="S158" s="444"/>
      <c r="T158" s="415"/>
      <c r="U158" s="444"/>
      <c r="V158" s="415"/>
      <c r="W158" s="444"/>
      <c r="X158" s="415"/>
      <c r="Y158" s="444"/>
      <c r="Z158" s="415"/>
      <c r="AA158" s="444"/>
      <c r="AB158" s="415"/>
      <c r="AC158" s="444"/>
      <c r="AF158" s="445"/>
      <c r="AG158" s="446"/>
      <c r="AH158" s="446"/>
      <c r="AI158" s="446"/>
      <c r="AJ158" s="446"/>
      <c r="AK158" s="447"/>
    </row>
    <row r="159" spans="1:37" ht="42.75" customHeight="1" thickBot="1">
      <c r="A159" s="438"/>
      <c r="B159" s="417"/>
      <c r="C159" s="448">
        <v>402.5</v>
      </c>
      <c r="D159" s="417"/>
      <c r="E159" s="448">
        <v>411.55700000000002</v>
      </c>
      <c r="F159" s="417"/>
      <c r="G159" s="448">
        <v>438.46100000000001</v>
      </c>
      <c r="H159" s="417"/>
      <c r="I159" s="448">
        <v>410.35599999999999</v>
      </c>
      <c r="J159" s="417"/>
      <c r="K159" s="448">
        <v>379.755</v>
      </c>
      <c r="L159" s="417"/>
      <c r="M159" s="448">
        <v>396.947</v>
      </c>
      <c r="N159" s="417"/>
      <c r="O159" s="448">
        <v>414.59399999999999</v>
      </c>
      <c r="P159" s="417"/>
      <c r="Q159" s="448">
        <v>352.99400000000003</v>
      </c>
      <c r="R159" s="417"/>
      <c r="S159" s="448">
        <v>389.303</v>
      </c>
      <c r="T159" s="417"/>
      <c r="U159" s="448">
        <v>237.59</v>
      </c>
      <c r="V159" s="418"/>
      <c r="W159" s="448">
        <v>290.87700000000001</v>
      </c>
      <c r="X159" s="417"/>
      <c r="Y159" s="453">
        <v>345.60500000000002</v>
      </c>
      <c r="Z159" s="417"/>
      <c r="AA159" s="448">
        <v>318.63</v>
      </c>
      <c r="AB159" s="417"/>
      <c r="AC159" s="448">
        <v>307.017</v>
      </c>
      <c r="AF159" s="441">
        <v>14</v>
      </c>
      <c r="AG159" s="441"/>
      <c r="AH159" s="441"/>
      <c r="AI159" s="441"/>
      <c r="AJ159" s="441"/>
      <c r="AK159" s="442"/>
    </row>
    <row r="160" spans="1:37" ht="12.6" thickBot="1">
      <c r="A160" s="438"/>
      <c r="B160" s="450"/>
      <c r="C160" s="476"/>
      <c r="D160" s="450"/>
      <c r="E160" s="476"/>
      <c r="F160" s="450"/>
      <c r="G160" s="444"/>
      <c r="H160" s="450"/>
      <c r="I160" s="444"/>
      <c r="J160" s="450"/>
      <c r="K160" s="444"/>
      <c r="L160" s="450"/>
      <c r="M160" s="476"/>
      <c r="N160" s="450"/>
      <c r="O160" s="476"/>
      <c r="P160" s="450"/>
      <c r="Q160" s="476"/>
      <c r="R160" s="450"/>
      <c r="S160" s="476"/>
      <c r="T160" s="450"/>
      <c r="U160" s="476"/>
      <c r="V160" s="450"/>
      <c r="W160" s="476"/>
      <c r="X160" s="450"/>
      <c r="Y160" s="444"/>
      <c r="Z160" s="450"/>
      <c r="AA160" s="444"/>
      <c r="AB160" s="450"/>
      <c r="AC160" s="444"/>
      <c r="AF160" s="445"/>
      <c r="AG160" s="446"/>
      <c r="AH160" s="446"/>
      <c r="AI160" s="446"/>
      <c r="AJ160" s="446"/>
      <c r="AK160" s="447"/>
    </row>
    <row r="161" spans="1:37">
      <c r="A161" s="438"/>
      <c r="B161" s="421" t="s">
        <v>93</v>
      </c>
      <c r="C161" s="421"/>
      <c r="D161" s="421" t="s">
        <v>206</v>
      </c>
      <c r="E161" s="421"/>
      <c r="F161" s="421" t="s">
        <v>84</v>
      </c>
      <c r="G161" s="421"/>
      <c r="H161" s="421" t="s">
        <v>97</v>
      </c>
      <c r="I161" s="421"/>
      <c r="J161" s="421" t="s">
        <v>108</v>
      </c>
      <c r="K161" s="421"/>
      <c r="L161" s="421" t="s">
        <v>206</v>
      </c>
      <c r="M161" s="421"/>
      <c r="N161" s="421" t="s">
        <v>147</v>
      </c>
      <c r="O161" s="421"/>
      <c r="P161" s="421" t="s">
        <v>147</v>
      </c>
      <c r="Q161" s="421"/>
      <c r="R161" s="421" t="s">
        <v>90</v>
      </c>
      <c r="S161" s="421"/>
      <c r="T161" s="421" t="s">
        <v>84</v>
      </c>
      <c r="U161" s="421"/>
      <c r="V161" s="421" t="s">
        <v>212</v>
      </c>
      <c r="W161" s="421"/>
      <c r="X161" s="421" t="s">
        <v>147</v>
      </c>
      <c r="Y161" s="421"/>
      <c r="Z161" s="421" t="s">
        <v>147</v>
      </c>
      <c r="AA161" s="421"/>
      <c r="AB161" s="421" t="s">
        <v>90</v>
      </c>
      <c r="AC161" s="444"/>
      <c r="AF161" s="445"/>
      <c r="AG161" s="446"/>
      <c r="AH161" s="446"/>
      <c r="AI161" s="446"/>
      <c r="AJ161" s="446"/>
      <c r="AK161" s="447"/>
    </row>
    <row r="162" spans="1:37">
      <c r="A162" s="438"/>
      <c r="B162" s="421" t="s">
        <v>1240</v>
      </c>
      <c r="C162" s="421"/>
      <c r="D162" s="421"/>
      <c r="E162" s="421"/>
      <c r="F162" s="421"/>
      <c r="G162" s="421"/>
      <c r="H162" s="421"/>
      <c r="I162" s="421"/>
      <c r="J162" s="421"/>
      <c r="K162" s="421"/>
      <c r="L162" s="421"/>
      <c r="M162" s="421"/>
      <c r="N162" s="421"/>
      <c r="O162" s="421"/>
      <c r="P162" s="421" t="s">
        <v>1240</v>
      </c>
      <c r="Q162" s="421"/>
      <c r="R162" s="421"/>
      <c r="S162" s="421"/>
      <c r="T162" s="421"/>
      <c r="U162" s="421"/>
      <c r="V162" s="421"/>
      <c r="W162" s="421"/>
      <c r="X162" s="421"/>
      <c r="Y162" s="421"/>
      <c r="Z162" s="421" t="s">
        <v>1240</v>
      </c>
      <c r="AA162" s="421"/>
      <c r="AB162" s="421" t="s">
        <v>1241</v>
      </c>
      <c r="AC162" s="444"/>
      <c r="AF162" s="445"/>
      <c r="AG162" s="446"/>
      <c r="AH162" s="446"/>
      <c r="AI162" s="446"/>
      <c r="AJ162" s="446"/>
      <c r="AK162" s="447"/>
    </row>
    <row r="163" spans="1:37">
      <c r="A163" s="438"/>
      <c r="C163" s="444"/>
      <c r="E163" s="444"/>
      <c r="G163" s="444"/>
      <c r="I163" s="444"/>
      <c r="K163" s="444"/>
      <c r="M163" s="444"/>
      <c r="O163" s="444"/>
      <c r="Q163" s="444"/>
      <c r="S163" s="444"/>
      <c r="U163" s="444"/>
      <c r="W163" s="444"/>
      <c r="Y163" s="444"/>
      <c r="AA163" s="444"/>
      <c r="AC163" s="444"/>
      <c r="AF163" s="445"/>
      <c r="AG163" s="446"/>
      <c r="AH163" s="446"/>
      <c r="AI163" s="446"/>
      <c r="AJ163" s="446"/>
      <c r="AK163" s="447"/>
    </row>
    <row r="164" spans="1:37">
      <c r="A164" s="438"/>
      <c r="B164" s="439" t="s">
        <v>335</v>
      </c>
      <c r="C164" s="414"/>
      <c r="D164" s="439" t="s">
        <v>336</v>
      </c>
      <c r="E164" s="414"/>
      <c r="F164" s="439" t="s">
        <v>337</v>
      </c>
      <c r="G164" s="414"/>
      <c r="H164" s="439" t="s">
        <v>252</v>
      </c>
      <c r="I164" s="414"/>
      <c r="J164" s="439" t="s">
        <v>223</v>
      </c>
      <c r="K164" s="414"/>
      <c r="L164" s="439" t="s">
        <v>215</v>
      </c>
      <c r="M164" s="414"/>
      <c r="N164" s="439" t="s">
        <v>341</v>
      </c>
      <c r="O164" s="414"/>
      <c r="P164" s="439" t="s">
        <v>261</v>
      </c>
      <c r="Q164" s="414"/>
      <c r="R164" s="439" t="s">
        <v>342</v>
      </c>
      <c r="S164" s="414"/>
      <c r="T164" s="439" t="s">
        <v>200</v>
      </c>
      <c r="U164" s="414"/>
      <c r="V164" s="439" t="s">
        <v>201</v>
      </c>
      <c r="W164" s="414"/>
      <c r="X164" s="439" t="s">
        <v>178</v>
      </c>
      <c r="Y164" s="414"/>
      <c r="Z164" s="439" t="s">
        <v>177</v>
      </c>
      <c r="AA164" s="414"/>
      <c r="AB164" s="439" t="s">
        <v>176</v>
      </c>
      <c r="AC164" s="444"/>
      <c r="AF164" s="445"/>
      <c r="AG164" s="446"/>
      <c r="AH164" s="446"/>
      <c r="AI164" s="446"/>
      <c r="AJ164" s="446"/>
      <c r="AK164" s="447"/>
    </row>
    <row r="165" spans="1:37">
      <c r="A165" s="438"/>
      <c r="B165" s="443"/>
      <c r="C165" s="444"/>
      <c r="D165" s="443"/>
      <c r="E165" s="444"/>
      <c r="F165" s="443"/>
      <c r="G165" s="444"/>
      <c r="H165" s="443"/>
      <c r="I165" s="444"/>
      <c r="J165" s="443"/>
      <c r="K165" s="444"/>
      <c r="L165" s="443"/>
      <c r="M165" s="444"/>
      <c r="N165" s="443"/>
      <c r="O165" s="444"/>
      <c r="P165" s="443"/>
      <c r="Q165" s="444"/>
      <c r="R165" s="443"/>
      <c r="S165" s="444"/>
      <c r="T165" s="443"/>
      <c r="U165" s="444"/>
      <c r="V165" s="443"/>
      <c r="W165" s="444"/>
      <c r="X165" s="443"/>
      <c r="Y165" s="444"/>
      <c r="Z165" s="443"/>
      <c r="AA165" s="469"/>
      <c r="AB165" s="443"/>
      <c r="AC165" s="444"/>
      <c r="AF165" s="441" t="s">
        <v>1154</v>
      </c>
      <c r="AG165" s="441" t="s">
        <v>318</v>
      </c>
      <c r="AH165" s="441" t="s">
        <v>1155</v>
      </c>
      <c r="AI165" s="441" t="s">
        <v>1156</v>
      </c>
      <c r="AJ165" s="441" t="s">
        <v>267</v>
      </c>
      <c r="AK165" s="442" t="s">
        <v>1157</v>
      </c>
    </row>
    <row r="166" spans="1:37" ht="12.6" thickBot="1">
      <c r="A166" s="438"/>
      <c r="B166" s="415"/>
      <c r="C166" s="444"/>
      <c r="D166" s="415"/>
      <c r="E166" s="444"/>
      <c r="F166" s="415"/>
      <c r="G166" s="444"/>
      <c r="H166" s="415"/>
      <c r="I166" s="444"/>
      <c r="J166" s="415"/>
      <c r="K166" s="444"/>
      <c r="L166" s="415"/>
      <c r="M166" s="444"/>
      <c r="N166" s="415"/>
      <c r="O166" s="444"/>
      <c r="P166" s="415"/>
      <c r="Q166" s="444"/>
      <c r="R166" s="415"/>
      <c r="S166" s="444"/>
      <c r="T166" s="415"/>
      <c r="U166" s="444"/>
      <c r="V166" s="415"/>
      <c r="W166" s="444"/>
      <c r="X166" s="415"/>
      <c r="Y166" s="444"/>
      <c r="Z166" s="415"/>
      <c r="AA166" s="444"/>
      <c r="AB166" s="415"/>
      <c r="AC166" s="444"/>
      <c r="AF166" s="445"/>
      <c r="AG166" s="446"/>
      <c r="AH166" s="446"/>
      <c r="AI166" s="446"/>
      <c r="AJ166" s="446"/>
      <c r="AK166" s="447"/>
    </row>
    <row r="167" spans="1:37" ht="42.75" customHeight="1" thickBot="1">
      <c r="A167" s="438"/>
      <c r="B167" s="417"/>
      <c r="C167" s="448">
        <v>346.846</v>
      </c>
      <c r="D167" s="417" t="s">
        <v>1314</v>
      </c>
      <c r="E167" s="448">
        <v>300.19299999999998</v>
      </c>
      <c r="F167" s="417" t="s">
        <v>1314</v>
      </c>
      <c r="G167" s="448">
        <v>317</v>
      </c>
      <c r="H167" s="417"/>
      <c r="I167" s="448">
        <v>454</v>
      </c>
      <c r="J167" s="418"/>
      <c r="K167" s="448">
        <v>385</v>
      </c>
      <c r="L167" s="418"/>
      <c r="M167" s="448">
        <v>417.68799999999999</v>
      </c>
      <c r="N167" s="418"/>
      <c r="O167" s="448">
        <v>409.505</v>
      </c>
      <c r="P167" s="418"/>
      <c r="Q167" s="448">
        <v>385.16899999999998</v>
      </c>
      <c r="R167" s="418"/>
      <c r="S167" s="448">
        <v>345.19099999999997</v>
      </c>
      <c r="T167" s="418"/>
      <c r="U167" s="448">
        <v>332.38299999999998</v>
      </c>
      <c r="V167" s="418"/>
      <c r="W167" s="448">
        <v>393.62200000000001</v>
      </c>
      <c r="X167" s="418"/>
      <c r="Y167" s="448">
        <v>387.94799999999998</v>
      </c>
      <c r="Z167" s="418"/>
      <c r="AA167" s="448">
        <v>340.34800000000001</v>
      </c>
      <c r="AB167" s="418"/>
      <c r="AC167" s="448">
        <v>393.12099999999998</v>
      </c>
      <c r="AF167" s="441">
        <v>14</v>
      </c>
      <c r="AG167" s="441">
        <v>8</v>
      </c>
      <c r="AH167" s="441">
        <v>7</v>
      </c>
      <c r="AI167" s="441"/>
      <c r="AJ167" s="441"/>
      <c r="AK167" s="442"/>
    </row>
    <row r="168" spans="1:37" ht="12.6" thickBot="1">
      <c r="A168" s="438"/>
      <c r="B168" s="450"/>
      <c r="C168" s="444"/>
      <c r="D168" s="450"/>
      <c r="E168" s="444"/>
      <c r="F168" s="450"/>
      <c r="G168" s="444"/>
      <c r="H168" s="450"/>
      <c r="I168" s="444"/>
      <c r="J168" s="450"/>
      <c r="K168" s="444"/>
      <c r="L168" s="450"/>
      <c r="M168" s="444"/>
      <c r="N168" s="450"/>
      <c r="O168" s="444"/>
      <c r="P168" s="450"/>
      <c r="Q168" s="444"/>
      <c r="R168" s="450"/>
      <c r="S168" s="444"/>
      <c r="T168" s="450"/>
      <c r="U168" s="444"/>
      <c r="V168" s="450"/>
      <c r="W168" s="444"/>
      <c r="X168" s="450"/>
      <c r="Y168" s="444"/>
      <c r="Z168" s="450"/>
      <c r="AA168" s="444"/>
      <c r="AB168" s="450"/>
      <c r="AC168" s="444"/>
      <c r="AF168" s="445"/>
      <c r="AG168" s="446"/>
      <c r="AH168" s="446"/>
      <c r="AI168" s="446"/>
      <c r="AJ168" s="446"/>
      <c r="AK168" s="447"/>
    </row>
    <row r="169" spans="1:37">
      <c r="A169" s="438"/>
      <c r="B169" s="421" t="s">
        <v>150</v>
      </c>
      <c r="C169" s="421"/>
      <c r="D169" s="421" t="s">
        <v>150</v>
      </c>
      <c r="E169" s="421"/>
      <c r="F169" s="421" t="s">
        <v>84</v>
      </c>
      <c r="G169" s="421"/>
      <c r="H169" s="421" t="s">
        <v>147</v>
      </c>
      <c r="I169" s="421"/>
      <c r="J169" s="421" t="s">
        <v>212</v>
      </c>
      <c r="K169" s="421"/>
      <c r="L169" s="421" t="s">
        <v>212</v>
      </c>
      <c r="M169" s="421"/>
      <c r="N169" s="421" t="s">
        <v>97</v>
      </c>
      <c r="O169" s="421"/>
      <c r="P169" s="421" t="s">
        <v>147</v>
      </c>
      <c r="Q169" s="421"/>
      <c r="R169" s="421" t="s">
        <v>80</v>
      </c>
      <c r="S169" s="421"/>
      <c r="T169" s="421" t="s">
        <v>147</v>
      </c>
      <c r="U169" s="421"/>
      <c r="V169" s="421" t="s">
        <v>147</v>
      </c>
      <c r="W169" s="421"/>
      <c r="X169" s="421" t="s">
        <v>150</v>
      </c>
      <c r="Y169" s="421"/>
      <c r="Z169" s="421" t="s">
        <v>147</v>
      </c>
      <c r="AA169" s="421"/>
      <c r="AB169" s="421" t="s">
        <v>147</v>
      </c>
      <c r="AC169" s="444"/>
      <c r="AF169" s="445"/>
      <c r="AG169" s="446"/>
      <c r="AH169" s="446"/>
      <c r="AI169" s="446"/>
      <c r="AJ169" s="446"/>
      <c r="AK169" s="447"/>
    </row>
    <row r="170" spans="1:37">
      <c r="A170" s="438"/>
      <c r="B170" s="421" t="s">
        <v>1241</v>
      </c>
      <c r="C170" s="421"/>
      <c r="D170" s="421"/>
      <c r="E170" s="421"/>
      <c r="F170" s="421"/>
      <c r="G170" s="421"/>
      <c r="H170" s="421" t="s">
        <v>1239</v>
      </c>
      <c r="I170" s="421"/>
      <c r="J170" s="421"/>
      <c r="K170" s="421"/>
      <c r="L170" s="421"/>
      <c r="M170" s="421"/>
      <c r="N170" s="421"/>
      <c r="O170" s="421"/>
      <c r="P170" s="421"/>
      <c r="Q170" s="421"/>
      <c r="R170" s="421"/>
      <c r="S170" s="421"/>
      <c r="T170" s="421"/>
      <c r="U170" s="421"/>
      <c r="V170" s="421"/>
      <c r="W170" s="421"/>
      <c r="X170" s="421"/>
      <c r="Y170" s="421"/>
      <c r="Z170" s="421"/>
      <c r="AA170" s="421"/>
      <c r="AB170" s="421"/>
      <c r="AC170" s="444"/>
      <c r="AF170" s="445"/>
      <c r="AG170" s="446"/>
      <c r="AH170" s="446"/>
      <c r="AI170" s="446"/>
      <c r="AJ170" s="446"/>
      <c r="AK170" s="447"/>
    </row>
    <row r="171" spans="1:37">
      <c r="A171" s="438"/>
      <c r="C171" s="444"/>
      <c r="E171" s="444"/>
      <c r="G171" s="444"/>
      <c r="I171" s="444"/>
      <c r="K171" s="444"/>
      <c r="M171" s="444"/>
      <c r="O171" s="444"/>
      <c r="Q171" s="444"/>
      <c r="S171" s="444"/>
      <c r="U171" s="444"/>
      <c r="W171" s="444"/>
      <c r="Y171" s="444"/>
      <c r="AA171" s="444"/>
      <c r="AC171" s="444"/>
      <c r="AF171" s="445"/>
      <c r="AG171" s="446"/>
      <c r="AH171" s="446"/>
      <c r="AI171" s="446"/>
      <c r="AJ171" s="446"/>
      <c r="AK171" s="447"/>
    </row>
    <row r="172" spans="1:37">
      <c r="A172" s="438"/>
      <c r="B172" s="439" t="s">
        <v>173</v>
      </c>
      <c r="C172" s="414"/>
      <c r="D172" s="439" t="s">
        <v>195</v>
      </c>
      <c r="E172" s="414"/>
      <c r="F172" s="439" t="s">
        <v>343</v>
      </c>
      <c r="G172" s="414"/>
      <c r="H172" s="439" t="s">
        <v>227</v>
      </c>
      <c r="I172" s="414"/>
      <c r="J172" s="439" t="s">
        <v>1242</v>
      </c>
      <c r="K172" s="414"/>
      <c r="L172" s="439" t="s">
        <v>179</v>
      </c>
      <c r="M172" s="414"/>
      <c r="N172" s="439" t="s">
        <v>180</v>
      </c>
      <c r="O172" s="414"/>
      <c r="P172" s="439" t="s">
        <v>203</v>
      </c>
      <c r="Q172" s="414"/>
      <c r="R172" s="439" t="s">
        <v>204</v>
      </c>
      <c r="S172" s="414"/>
      <c r="T172" s="439" t="s">
        <v>205</v>
      </c>
      <c r="U172" s="414"/>
      <c r="V172" s="439" t="s">
        <v>345</v>
      </c>
      <c r="W172" s="439"/>
      <c r="X172" s="439" t="s">
        <v>347</v>
      </c>
      <c r="Y172" s="414"/>
      <c r="Z172" s="439" t="s">
        <v>348</v>
      </c>
      <c r="AA172" s="414"/>
      <c r="AB172" s="439" t="s">
        <v>217</v>
      </c>
      <c r="AC172" s="444"/>
      <c r="AF172" s="445"/>
      <c r="AG172" s="446"/>
      <c r="AH172" s="446"/>
      <c r="AI172" s="446"/>
      <c r="AJ172" s="446"/>
      <c r="AK172" s="447"/>
    </row>
    <row r="173" spans="1:37">
      <c r="A173" s="438"/>
      <c r="B173" s="443"/>
      <c r="C173" s="421"/>
      <c r="D173" s="443"/>
      <c r="E173" s="444"/>
      <c r="F173" s="443"/>
      <c r="G173" s="448"/>
      <c r="H173" s="443"/>
      <c r="I173" s="448"/>
      <c r="J173" s="443"/>
      <c r="K173" s="448"/>
      <c r="L173" s="443"/>
      <c r="M173" s="444"/>
      <c r="N173" s="443"/>
      <c r="O173" s="444"/>
      <c r="P173" s="443"/>
      <c r="Q173" s="444"/>
      <c r="R173" s="443"/>
      <c r="S173" s="444"/>
      <c r="T173" s="443"/>
      <c r="U173" s="444"/>
      <c r="V173" s="443"/>
      <c r="W173" s="452"/>
      <c r="X173" s="443"/>
      <c r="Y173" s="452"/>
      <c r="Z173" s="443"/>
      <c r="AA173" s="444"/>
      <c r="AB173" s="443"/>
      <c r="AC173" s="444"/>
      <c r="AF173" s="441" t="s">
        <v>1154</v>
      </c>
      <c r="AG173" s="441" t="s">
        <v>318</v>
      </c>
      <c r="AH173" s="441" t="s">
        <v>1155</v>
      </c>
      <c r="AI173" s="441" t="s">
        <v>1156</v>
      </c>
      <c r="AJ173" s="441" t="s">
        <v>267</v>
      </c>
      <c r="AK173" s="442" t="s">
        <v>1157</v>
      </c>
    </row>
    <row r="174" spans="1:37" ht="12.6" thickBot="1">
      <c r="A174" s="438"/>
      <c r="B174" s="415"/>
      <c r="C174" s="444"/>
      <c r="D174" s="415"/>
      <c r="E174" s="444"/>
      <c r="F174" s="415"/>
      <c r="G174" s="444"/>
      <c r="H174" s="415"/>
      <c r="I174" s="444"/>
      <c r="J174" s="415"/>
      <c r="K174" s="444"/>
      <c r="L174" s="415"/>
      <c r="M174" s="444"/>
      <c r="N174" s="415"/>
      <c r="O174" s="444"/>
      <c r="P174" s="415"/>
      <c r="Q174" s="444"/>
      <c r="R174" s="415"/>
      <c r="S174" s="444"/>
      <c r="T174" s="415"/>
      <c r="U174" s="444"/>
      <c r="V174" s="415"/>
      <c r="W174" s="444"/>
      <c r="X174" s="415"/>
      <c r="Y174" s="444"/>
      <c r="Z174" s="415"/>
      <c r="AA174" s="444"/>
      <c r="AB174" s="415"/>
      <c r="AC174" s="444"/>
      <c r="AF174" s="445"/>
      <c r="AG174" s="446"/>
      <c r="AH174" s="446"/>
      <c r="AI174" s="446"/>
      <c r="AJ174" s="446"/>
      <c r="AK174" s="447"/>
    </row>
    <row r="175" spans="1:37" ht="42.75" customHeight="1" thickBot="1">
      <c r="A175" s="438"/>
      <c r="B175" s="418"/>
      <c r="C175" s="448">
        <v>328.536</v>
      </c>
      <c r="D175" s="418"/>
      <c r="E175" s="448">
        <v>398.51499999999999</v>
      </c>
      <c r="F175" s="417"/>
      <c r="G175" s="448">
        <v>425.84800000000001</v>
      </c>
      <c r="H175" s="418"/>
      <c r="I175" s="448">
        <v>409.36900000000003</v>
      </c>
      <c r="J175" s="417"/>
      <c r="K175" s="448">
        <v>388.45499999999998</v>
      </c>
      <c r="L175" s="418"/>
      <c r="M175" s="448">
        <v>380.96100000000001</v>
      </c>
      <c r="N175" s="418"/>
      <c r="O175" s="448">
        <v>381.38900000000001</v>
      </c>
      <c r="P175" s="418"/>
      <c r="Q175" s="448">
        <v>344.59500000000003</v>
      </c>
      <c r="R175" s="418"/>
      <c r="S175" s="448">
        <v>395.64100000000002</v>
      </c>
      <c r="T175" s="418"/>
      <c r="U175" s="448">
        <v>414.76299999999998</v>
      </c>
      <c r="V175" s="418"/>
      <c r="W175" s="448">
        <v>401.92899999999997</v>
      </c>
      <c r="X175" s="417"/>
      <c r="Y175" s="448">
        <v>354.94900000000001</v>
      </c>
      <c r="Z175" s="422"/>
      <c r="AA175" s="448">
        <v>425</v>
      </c>
      <c r="AB175" s="422"/>
      <c r="AC175" s="453">
        <v>414</v>
      </c>
      <c r="AF175" s="441">
        <v>14</v>
      </c>
      <c r="AG175" s="441">
        <v>9</v>
      </c>
      <c r="AH175" s="441">
        <v>9</v>
      </c>
      <c r="AI175" s="441"/>
      <c r="AJ175" s="441"/>
      <c r="AK175" s="442"/>
    </row>
    <row r="176" spans="1:37" ht="12.6" thickBot="1">
      <c r="A176" s="438"/>
      <c r="B176" s="450"/>
      <c r="C176" s="444"/>
      <c r="D176" s="450"/>
      <c r="E176" s="444"/>
      <c r="F176" s="450"/>
      <c r="G176" s="444"/>
      <c r="H176" s="450"/>
      <c r="I176" s="444"/>
      <c r="J176" s="450"/>
      <c r="K176" s="444"/>
      <c r="L176" s="450"/>
      <c r="M176" s="444"/>
      <c r="N176" s="450"/>
      <c r="O176" s="444"/>
      <c r="P176" s="450"/>
      <c r="Q176" s="444"/>
      <c r="R176" s="450"/>
      <c r="S176" s="444"/>
      <c r="T176" s="450"/>
      <c r="U176" s="444"/>
      <c r="V176" s="450"/>
      <c r="W176" s="444"/>
      <c r="X176" s="450"/>
      <c r="Y176" s="444"/>
      <c r="Z176" s="450"/>
      <c r="AA176" s="444"/>
      <c r="AB176" s="450"/>
      <c r="AC176" s="444"/>
      <c r="AF176" s="445"/>
      <c r="AG176" s="446"/>
      <c r="AH176" s="446"/>
      <c r="AI176" s="446"/>
      <c r="AJ176" s="446"/>
      <c r="AK176" s="447"/>
    </row>
    <row r="177" spans="1:37">
      <c r="A177" s="438"/>
      <c r="B177" s="421" t="s">
        <v>147</v>
      </c>
      <c r="C177" s="421"/>
      <c r="D177" s="421" t="s">
        <v>147</v>
      </c>
      <c r="E177" s="421"/>
      <c r="F177" s="421" t="s">
        <v>80</v>
      </c>
      <c r="G177" s="421"/>
      <c r="H177" s="421" t="s">
        <v>206</v>
      </c>
      <c r="I177" s="421"/>
      <c r="J177" s="421" t="s">
        <v>84</v>
      </c>
      <c r="K177" s="421"/>
      <c r="L177" s="421" t="s">
        <v>147</v>
      </c>
      <c r="M177" s="421"/>
      <c r="N177" s="421" t="s">
        <v>150</v>
      </c>
      <c r="O177" s="421"/>
      <c r="P177" s="421" t="s">
        <v>147</v>
      </c>
      <c r="Q177" s="421"/>
      <c r="R177" s="421" t="s">
        <v>150</v>
      </c>
      <c r="S177" s="421"/>
      <c r="T177" s="421" t="s">
        <v>206</v>
      </c>
      <c r="U177" s="421"/>
      <c r="V177" s="421" t="s">
        <v>80</v>
      </c>
      <c r="W177" s="421"/>
      <c r="X177" s="421" t="s">
        <v>150</v>
      </c>
      <c r="Y177" s="421"/>
      <c r="Z177" s="421" t="s">
        <v>90</v>
      </c>
      <c r="AA177" s="421"/>
      <c r="AB177" s="421" t="s">
        <v>212</v>
      </c>
      <c r="AC177" s="444"/>
      <c r="AF177" s="445"/>
      <c r="AG177" s="446"/>
      <c r="AH177" s="446"/>
      <c r="AI177" s="446"/>
      <c r="AJ177" s="446"/>
      <c r="AK177" s="447"/>
    </row>
    <row r="178" spans="1:37">
      <c r="A178" s="438"/>
      <c r="B178" s="421"/>
      <c r="C178" s="421"/>
      <c r="D178" s="421"/>
      <c r="E178" s="421"/>
      <c r="F178" s="421"/>
      <c r="G178" s="421"/>
      <c r="H178" s="421"/>
      <c r="I178" s="421"/>
      <c r="J178" s="421"/>
      <c r="K178" s="421"/>
      <c r="L178" s="421"/>
      <c r="M178" s="421"/>
      <c r="N178" s="421"/>
      <c r="O178" s="421"/>
      <c r="P178" s="421"/>
      <c r="Q178" s="421"/>
      <c r="R178" s="421"/>
      <c r="S178" s="421"/>
      <c r="T178" s="421"/>
      <c r="U178" s="421"/>
      <c r="V178" s="421"/>
      <c r="W178" s="421"/>
      <c r="X178" s="421" t="s">
        <v>1240</v>
      </c>
      <c r="Y178" s="421"/>
      <c r="Z178" s="421"/>
      <c r="AA178" s="421"/>
      <c r="AB178" s="421"/>
      <c r="AC178" s="444"/>
      <c r="AF178" s="445"/>
      <c r="AG178" s="446"/>
      <c r="AH178" s="446"/>
      <c r="AI178" s="446"/>
      <c r="AJ178" s="446"/>
      <c r="AK178" s="447"/>
    </row>
    <row r="179" spans="1:37">
      <c r="A179" s="438"/>
      <c r="C179" s="444"/>
      <c r="E179" s="444"/>
      <c r="G179" s="444"/>
      <c r="I179" s="444"/>
      <c r="K179" s="444"/>
      <c r="M179" s="444"/>
      <c r="O179" s="444"/>
      <c r="Q179" s="444"/>
      <c r="S179" s="444"/>
      <c r="U179" s="444"/>
      <c r="W179" s="444"/>
      <c r="Y179" s="444"/>
      <c r="AA179" s="444"/>
      <c r="AC179" s="444"/>
      <c r="AF179" s="445"/>
      <c r="AG179" s="446"/>
      <c r="AH179" s="446"/>
      <c r="AI179" s="446"/>
      <c r="AJ179" s="446"/>
      <c r="AK179" s="447"/>
    </row>
    <row r="180" spans="1:37" ht="21.75" customHeight="1">
      <c r="A180" s="438"/>
      <c r="B180" s="439" t="s">
        <v>349</v>
      </c>
      <c r="C180" s="414"/>
      <c r="D180" s="439" t="s">
        <v>350</v>
      </c>
      <c r="E180" s="414"/>
      <c r="F180" s="439" t="s">
        <v>221</v>
      </c>
      <c r="G180" s="414"/>
      <c r="H180" s="439" t="s">
        <v>351</v>
      </c>
      <c r="I180" s="414"/>
      <c r="J180" s="439" t="s">
        <v>231</v>
      </c>
      <c r="K180" s="414"/>
      <c r="L180" s="439" t="s">
        <v>232</v>
      </c>
      <c r="M180" s="414"/>
      <c r="N180" s="439" t="s">
        <v>233</v>
      </c>
      <c r="O180" s="414"/>
      <c r="P180" s="439" t="s">
        <v>191</v>
      </c>
      <c r="Q180" s="414"/>
      <c r="R180" s="439" t="s">
        <v>235</v>
      </c>
      <c r="S180" s="414"/>
      <c r="T180" s="439" t="s">
        <v>355</v>
      </c>
      <c r="U180" s="414"/>
      <c r="V180" s="439" t="s">
        <v>356</v>
      </c>
      <c r="W180" s="414"/>
      <c r="X180" s="439" t="s">
        <v>357</v>
      </c>
      <c r="Y180" s="414"/>
      <c r="Z180" s="439" t="s">
        <v>358</v>
      </c>
      <c r="AA180" s="414"/>
      <c r="AB180" s="439" t="s">
        <v>189</v>
      </c>
      <c r="AC180" s="444"/>
      <c r="AF180" s="445"/>
      <c r="AG180" s="446"/>
      <c r="AH180" s="446"/>
      <c r="AI180" s="446"/>
      <c r="AJ180" s="446"/>
      <c r="AK180" s="447"/>
    </row>
    <row r="181" spans="1:37">
      <c r="A181" s="438"/>
      <c r="B181" s="443"/>
      <c r="C181" s="421"/>
      <c r="D181" s="443"/>
      <c r="E181" s="444"/>
      <c r="F181" s="443"/>
      <c r="G181" s="444"/>
      <c r="H181" s="443"/>
      <c r="I181" s="444"/>
      <c r="J181" s="443"/>
      <c r="K181" s="444"/>
      <c r="L181" s="443"/>
      <c r="M181" s="444"/>
      <c r="N181" s="443"/>
      <c r="O181" s="444"/>
      <c r="P181" s="443"/>
      <c r="Q181" s="444"/>
      <c r="R181" s="443"/>
      <c r="S181" s="444"/>
      <c r="T181" s="443"/>
      <c r="U181" s="444"/>
      <c r="V181" s="443"/>
      <c r="W181" s="444"/>
      <c r="X181" s="443"/>
      <c r="Y181" s="444"/>
      <c r="Z181" s="443"/>
      <c r="AA181" s="444"/>
      <c r="AB181" s="443"/>
      <c r="AC181" s="444"/>
      <c r="AF181" s="441" t="s">
        <v>1154</v>
      </c>
      <c r="AG181" s="441" t="s">
        <v>318</v>
      </c>
      <c r="AH181" s="441" t="s">
        <v>1155</v>
      </c>
      <c r="AI181" s="441" t="s">
        <v>1156</v>
      </c>
      <c r="AJ181" s="441" t="s">
        <v>267</v>
      </c>
      <c r="AK181" s="442" t="s">
        <v>1157</v>
      </c>
    </row>
    <row r="182" spans="1:37" ht="12.6" thickBot="1">
      <c r="A182" s="438"/>
      <c r="B182" s="415"/>
      <c r="C182" s="444"/>
      <c r="D182" s="415"/>
      <c r="E182" s="444"/>
      <c r="F182" s="415"/>
      <c r="G182" s="444"/>
      <c r="H182" s="415"/>
      <c r="I182" s="444"/>
      <c r="J182" s="415"/>
      <c r="K182" s="444"/>
      <c r="L182" s="415"/>
      <c r="M182" s="444"/>
      <c r="N182" s="415"/>
      <c r="O182" s="444"/>
      <c r="P182" s="415"/>
      <c r="Q182" s="444"/>
      <c r="R182" s="415"/>
      <c r="S182" s="444"/>
      <c r="T182" s="415"/>
      <c r="U182" s="444"/>
      <c r="V182" s="415"/>
      <c r="W182" s="444"/>
      <c r="X182" s="415"/>
      <c r="Y182" s="444"/>
      <c r="Z182" s="415"/>
      <c r="AA182" s="444"/>
      <c r="AB182" s="415"/>
      <c r="AC182" s="444"/>
      <c r="AF182" s="445"/>
      <c r="AG182" s="446"/>
      <c r="AH182" s="446"/>
      <c r="AI182" s="446"/>
      <c r="AJ182" s="446"/>
      <c r="AK182" s="447"/>
    </row>
    <row r="183" spans="1:37" ht="42.75" customHeight="1" thickBot="1">
      <c r="A183" s="438"/>
      <c r="B183" s="417"/>
      <c r="C183" s="448">
        <v>353.05200000000002</v>
      </c>
      <c r="D183" s="417"/>
      <c r="E183" s="448">
        <v>441.05500000000001</v>
      </c>
      <c r="F183" s="418"/>
      <c r="G183" s="448">
        <v>387.495</v>
      </c>
      <c r="H183" s="417"/>
      <c r="I183" s="448">
        <v>372.62700000000001</v>
      </c>
      <c r="J183" s="417"/>
      <c r="K183" s="448">
        <v>415.30399999999997</v>
      </c>
      <c r="L183" s="418"/>
      <c r="M183" s="448">
        <v>424.584</v>
      </c>
      <c r="N183" s="418"/>
      <c r="O183" s="448">
        <v>391.70400000000001</v>
      </c>
      <c r="P183" s="418"/>
      <c r="Q183" s="448">
        <v>410.46600000000001</v>
      </c>
      <c r="R183" s="418"/>
      <c r="S183" s="448">
        <v>385.541</v>
      </c>
      <c r="T183" s="417"/>
      <c r="U183" s="448">
        <v>418.31299999999999</v>
      </c>
      <c r="V183" s="418"/>
      <c r="W183" s="448">
        <v>421.47300000000001</v>
      </c>
      <c r="X183" s="418"/>
      <c r="Y183" s="448">
        <v>401.97899999999998</v>
      </c>
      <c r="Z183" s="527" t="s">
        <v>192</v>
      </c>
      <c r="AA183" s="448">
        <v>429.37900000000002</v>
      </c>
      <c r="AB183" s="418"/>
      <c r="AC183" s="448">
        <v>403.83199999999999</v>
      </c>
      <c r="AF183" s="441">
        <v>14</v>
      </c>
      <c r="AG183" s="441">
        <v>2</v>
      </c>
      <c r="AH183" s="441">
        <v>2</v>
      </c>
      <c r="AI183" s="441"/>
      <c r="AJ183" s="441"/>
      <c r="AK183" s="442"/>
    </row>
    <row r="184" spans="1:37" ht="12.6" thickBot="1">
      <c r="A184" s="438"/>
      <c r="B184" s="450"/>
      <c r="C184" s="444"/>
      <c r="D184" s="450"/>
      <c r="E184" s="444"/>
      <c r="F184" s="450"/>
      <c r="G184" s="444"/>
      <c r="H184" s="450"/>
      <c r="I184" s="444"/>
      <c r="J184" s="450"/>
      <c r="K184" s="444"/>
      <c r="L184" s="450"/>
      <c r="M184" s="444"/>
      <c r="N184" s="450"/>
      <c r="O184" s="444"/>
      <c r="P184" s="450"/>
      <c r="Q184" s="444"/>
      <c r="R184" s="450"/>
      <c r="S184" s="444"/>
      <c r="T184" s="450"/>
      <c r="U184" s="444"/>
      <c r="V184" s="450"/>
      <c r="W184" s="444"/>
      <c r="X184" s="450"/>
      <c r="Y184" s="444"/>
      <c r="Z184" s="450"/>
      <c r="AA184" s="444"/>
      <c r="AB184" s="450"/>
      <c r="AC184" s="444"/>
      <c r="AF184" s="445"/>
      <c r="AG184" s="446"/>
      <c r="AH184" s="446"/>
      <c r="AI184" s="446"/>
      <c r="AJ184" s="446"/>
      <c r="AK184" s="447"/>
    </row>
    <row r="185" spans="1:37">
      <c r="A185" s="438"/>
      <c r="B185" s="421" t="s">
        <v>147</v>
      </c>
      <c r="C185" s="421"/>
      <c r="D185" s="421" t="s">
        <v>153</v>
      </c>
      <c r="E185" s="421"/>
      <c r="F185" s="421" t="s">
        <v>212</v>
      </c>
      <c r="G185" s="421"/>
      <c r="H185" s="421" t="s">
        <v>97</v>
      </c>
      <c r="I185" s="421"/>
      <c r="J185" s="421" t="s">
        <v>147</v>
      </c>
      <c r="K185" s="421"/>
      <c r="L185" s="421" t="s">
        <v>150</v>
      </c>
      <c r="M185" s="421"/>
      <c r="N185" s="421" t="s">
        <v>147</v>
      </c>
      <c r="O185" s="421"/>
      <c r="P185" s="421" t="s">
        <v>147</v>
      </c>
      <c r="Q185" s="421"/>
      <c r="R185" s="522" t="s">
        <v>206</v>
      </c>
      <c r="S185" s="421"/>
      <c r="T185" s="522" t="s">
        <v>153</v>
      </c>
      <c r="U185" s="421"/>
      <c r="V185" s="421" t="s">
        <v>206</v>
      </c>
      <c r="W185" s="421"/>
      <c r="X185" s="421" t="s">
        <v>147</v>
      </c>
      <c r="Y185" s="421"/>
      <c r="Z185" s="421" t="s">
        <v>80</v>
      </c>
      <c r="AA185" s="421"/>
      <c r="AB185" s="421" t="s">
        <v>150</v>
      </c>
      <c r="AC185" s="444"/>
      <c r="AF185" s="445"/>
      <c r="AG185" s="446"/>
      <c r="AH185" s="446"/>
      <c r="AI185" s="446"/>
      <c r="AJ185" s="446"/>
      <c r="AK185" s="447"/>
    </row>
    <row r="186" spans="1:37">
      <c r="A186" s="438"/>
      <c r="B186" s="421" t="s">
        <v>1240</v>
      </c>
      <c r="C186" s="421"/>
      <c r="D186" s="421" t="s">
        <v>1240</v>
      </c>
      <c r="E186" s="421"/>
      <c r="F186" s="421"/>
      <c r="G186" s="421"/>
      <c r="H186" s="421"/>
      <c r="I186" s="421"/>
      <c r="J186" s="421" t="s">
        <v>1239</v>
      </c>
      <c r="K186" s="421"/>
      <c r="L186" s="421"/>
      <c r="M186" s="421"/>
      <c r="N186" s="421"/>
      <c r="O186" s="421"/>
      <c r="P186" s="421"/>
      <c r="Q186" s="421"/>
      <c r="R186" s="421"/>
      <c r="S186" s="421"/>
      <c r="T186" s="421"/>
      <c r="U186" s="421"/>
      <c r="V186" s="421"/>
      <c r="W186" s="421"/>
      <c r="X186" s="421"/>
      <c r="Y186" s="421"/>
      <c r="Z186" s="421"/>
      <c r="AA186" s="421"/>
      <c r="AB186" s="421"/>
      <c r="AC186" s="444"/>
      <c r="AF186" s="445"/>
      <c r="AG186" s="446"/>
      <c r="AH186" s="446"/>
      <c r="AI186" s="446"/>
      <c r="AJ186" s="446"/>
      <c r="AK186" s="447"/>
    </row>
    <row r="187" spans="1:37">
      <c r="A187" s="438"/>
      <c r="C187" s="444"/>
      <c r="E187" s="444"/>
      <c r="G187" s="444"/>
      <c r="I187" s="444"/>
      <c r="K187" s="444"/>
      <c r="M187" s="444"/>
      <c r="O187" s="444"/>
      <c r="Q187" s="444"/>
      <c r="S187" s="444"/>
      <c r="U187" s="444"/>
      <c r="W187" s="444"/>
      <c r="Y187" s="444"/>
      <c r="AA187" s="444"/>
      <c r="AC187" s="444"/>
      <c r="AF187" s="445"/>
      <c r="AG187" s="446"/>
      <c r="AH187" s="446"/>
      <c r="AI187" s="446"/>
      <c r="AJ187" s="446"/>
      <c r="AK187" s="447"/>
    </row>
    <row r="188" spans="1:37">
      <c r="A188" s="438"/>
      <c r="B188" s="439" t="s">
        <v>359</v>
      </c>
      <c r="C188" s="414"/>
      <c r="D188" s="439" t="s">
        <v>360</v>
      </c>
      <c r="E188" s="414"/>
      <c r="F188" s="439" t="s">
        <v>222</v>
      </c>
      <c r="G188" s="414"/>
      <c r="H188" s="439" t="s">
        <v>362</v>
      </c>
      <c r="I188" s="414"/>
      <c r="J188" s="439" t="s">
        <v>226</v>
      </c>
      <c r="K188" s="414"/>
      <c r="L188" s="439" t="s">
        <v>208</v>
      </c>
      <c r="M188" s="414"/>
      <c r="N188" s="439" t="s">
        <v>363</v>
      </c>
      <c r="O188" s="414"/>
      <c r="P188" s="439" t="s">
        <v>241</v>
      </c>
      <c r="Q188" s="414"/>
      <c r="R188" s="439" t="s">
        <v>244</v>
      </c>
      <c r="S188" s="414"/>
      <c r="T188" s="439" t="s">
        <v>364</v>
      </c>
      <c r="U188" s="414"/>
      <c r="V188" s="439" t="s">
        <v>365</v>
      </c>
      <c r="W188" s="414"/>
      <c r="X188" s="439" t="s">
        <v>366</v>
      </c>
      <c r="Y188" s="414"/>
      <c r="Z188" s="439" t="s">
        <v>367</v>
      </c>
      <c r="AA188" s="414"/>
      <c r="AB188" s="439" t="s">
        <v>368</v>
      </c>
      <c r="AC188" s="444"/>
      <c r="AF188" s="445"/>
      <c r="AG188" s="446"/>
      <c r="AH188" s="446"/>
      <c r="AI188" s="446"/>
      <c r="AJ188" s="446"/>
      <c r="AK188" s="447"/>
    </row>
    <row r="189" spans="1:37">
      <c r="A189" s="438"/>
      <c r="B189" s="443"/>
      <c r="C189" s="444"/>
      <c r="D189" s="443"/>
      <c r="E189" s="444"/>
      <c r="F189" s="443"/>
      <c r="G189" s="444"/>
      <c r="H189" s="443"/>
      <c r="I189" s="444"/>
      <c r="J189" s="443"/>
      <c r="K189" s="421"/>
      <c r="L189" s="443"/>
      <c r="M189" s="444"/>
      <c r="N189" s="443"/>
      <c r="O189" s="444"/>
      <c r="P189" s="443"/>
      <c r="Q189" s="421"/>
      <c r="R189" s="443"/>
      <c r="S189" s="421"/>
      <c r="T189" s="443"/>
      <c r="U189" s="444"/>
      <c r="V189" s="443"/>
      <c r="W189" s="444"/>
      <c r="X189" s="443"/>
      <c r="Y189" s="444"/>
      <c r="Z189" s="443"/>
      <c r="AA189" s="444"/>
      <c r="AB189" s="443"/>
      <c r="AC189" s="444"/>
      <c r="AF189" s="441" t="s">
        <v>1154</v>
      </c>
      <c r="AG189" s="441" t="s">
        <v>318</v>
      </c>
      <c r="AH189" s="441" t="s">
        <v>1155</v>
      </c>
      <c r="AI189" s="441" t="s">
        <v>1156</v>
      </c>
      <c r="AJ189" s="441" t="s">
        <v>267</v>
      </c>
      <c r="AK189" s="442" t="s">
        <v>1157</v>
      </c>
    </row>
    <row r="190" spans="1:37" ht="12.6" thickBot="1">
      <c r="A190" s="438"/>
      <c r="B190" s="415"/>
      <c r="C190" s="444"/>
      <c r="D190" s="415"/>
      <c r="E190" s="444"/>
      <c r="F190" s="415"/>
      <c r="G190" s="444"/>
      <c r="H190" s="415"/>
      <c r="I190" s="444"/>
      <c r="J190" s="415"/>
      <c r="K190" s="444"/>
      <c r="L190" s="415"/>
      <c r="M190" s="444"/>
      <c r="N190" s="415"/>
      <c r="O190" s="444"/>
      <c r="P190" s="415"/>
      <c r="Q190" s="444"/>
      <c r="R190" s="415"/>
      <c r="S190" s="444"/>
      <c r="T190" s="415"/>
      <c r="U190" s="444"/>
      <c r="V190" s="415"/>
      <c r="W190" s="444"/>
      <c r="X190" s="415"/>
      <c r="Y190" s="444"/>
      <c r="Z190" s="415"/>
      <c r="AA190" s="444"/>
      <c r="AB190" s="415"/>
      <c r="AC190" s="444"/>
      <c r="AF190" s="445"/>
      <c r="AG190" s="446"/>
      <c r="AH190" s="446"/>
      <c r="AI190" s="446"/>
      <c r="AJ190" s="446"/>
      <c r="AK190" s="447"/>
    </row>
    <row r="191" spans="1:37" ht="42.75" customHeight="1" thickBot="1">
      <c r="A191" s="438"/>
      <c r="B191" s="527"/>
      <c r="C191" s="448">
        <v>384.63</v>
      </c>
      <c r="D191" s="417"/>
      <c r="E191" s="448">
        <v>380.68200000000002</v>
      </c>
      <c r="F191" s="418"/>
      <c r="G191" s="448">
        <v>354.52600000000001</v>
      </c>
      <c r="H191" s="417" t="s">
        <v>1314</v>
      </c>
      <c r="I191" s="448">
        <v>405.57400000000001</v>
      </c>
      <c r="J191" s="418"/>
      <c r="K191" s="448">
        <v>416.87400000000002</v>
      </c>
      <c r="L191" s="418"/>
      <c r="M191" s="448">
        <v>380.76600000000002</v>
      </c>
      <c r="N191" s="417"/>
      <c r="O191" s="448">
        <v>411.81400000000002</v>
      </c>
      <c r="P191" s="418"/>
      <c r="Q191" s="453">
        <v>392.08</v>
      </c>
      <c r="R191" s="418"/>
      <c r="S191" s="448">
        <v>296.87299999999999</v>
      </c>
      <c r="T191" s="417"/>
      <c r="U191" s="448">
        <v>412.399</v>
      </c>
      <c r="V191" s="417"/>
      <c r="W191" s="448">
        <v>382.173</v>
      </c>
      <c r="X191" s="417"/>
      <c r="Y191" s="448">
        <v>452.73700000000002</v>
      </c>
      <c r="Z191" s="417"/>
      <c r="AA191" s="448">
        <v>420.20699999999999</v>
      </c>
      <c r="AB191" s="417"/>
      <c r="AC191" s="448">
        <v>395.01100000000002</v>
      </c>
      <c r="AF191" s="441">
        <v>14</v>
      </c>
      <c r="AG191" s="441">
        <v>5</v>
      </c>
      <c r="AH191" s="441"/>
      <c r="AI191" s="441"/>
      <c r="AJ191" s="441"/>
      <c r="AK191" s="442"/>
    </row>
    <row r="192" spans="1:37" ht="12.6" thickBot="1">
      <c r="A192" s="438"/>
      <c r="B192" s="529" t="s">
        <v>192</v>
      </c>
      <c r="C192" s="444"/>
      <c r="D192" s="529" t="s">
        <v>192</v>
      </c>
      <c r="E192" s="444"/>
      <c r="F192" s="450"/>
      <c r="G192" s="444"/>
      <c r="H192" s="450"/>
      <c r="I192" s="444"/>
      <c r="J192" s="450"/>
      <c r="K192" s="444"/>
      <c r="L192" s="450"/>
      <c r="M192" s="444"/>
      <c r="N192" s="450"/>
      <c r="O192" s="444"/>
      <c r="P192" s="450"/>
      <c r="Q192" s="444"/>
      <c r="R192" s="450"/>
      <c r="S192" s="444"/>
      <c r="T192" s="450"/>
      <c r="U192" s="444"/>
      <c r="V192" s="450"/>
      <c r="W192" s="444"/>
      <c r="X192" s="450"/>
      <c r="Y192" s="444"/>
      <c r="Z192" s="450"/>
      <c r="AA192" s="444"/>
      <c r="AB192" s="450"/>
      <c r="AF192" s="445"/>
      <c r="AG192" s="446"/>
      <c r="AH192" s="446"/>
      <c r="AI192" s="446"/>
      <c r="AJ192" s="446"/>
      <c r="AK192" s="447"/>
    </row>
    <row r="193" spans="1:37">
      <c r="A193" s="438"/>
      <c r="B193" s="421" t="s">
        <v>93</v>
      </c>
      <c r="C193" s="421"/>
      <c r="D193" s="421" t="s">
        <v>80</v>
      </c>
      <c r="E193" s="421"/>
      <c r="F193" s="421" t="s">
        <v>147</v>
      </c>
      <c r="G193" s="421"/>
      <c r="H193" s="421" t="s">
        <v>90</v>
      </c>
      <c r="I193" s="421"/>
      <c r="J193" s="421" t="s">
        <v>206</v>
      </c>
      <c r="K193" s="421"/>
      <c r="L193" s="421" t="s">
        <v>147</v>
      </c>
      <c r="M193" s="421"/>
      <c r="N193" s="421" t="s">
        <v>80</v>
      </c>
      <c r="O193" s="421"/>
      <c r="P193" s="421" t="s">
        <v>150</v>
      </c>
      <c r="Q193" s="421"/>
      <c r="R193" s="421" t="s">
        <v>212</v>
      </c>
      <c r="S193" s="421"/>
      <c r="T193" s="421" t="s">
        <v>80</v>
      </c>
      <c r="U193" s="421"/>
      <c r="V193" s="421" t="s">
        <v>80</v>
      </c>
      <c r="W193" s="421"/>
      <c r="X193" s="421" t="s">
        <v>212</v>
      </c>
      <c r="Y193" s="421"/>
      <c r="Z193" s="421" t="s">
        <v>80</v>
      </c>
      <c r="AA193" s="421"/>
      <c r="AB193" s="421" t="s">
        <v>212</v>
      </c>
      <c r="AF193" s="445"/>
      <c r="AG193" s="446"/>
      <c r="AH193" s="446"/>
      <c r="AI193" s="446"/>
      <c r="AJ193" s="446"/>
      <c r="AK193" s="447"/>
    </row>
    <row r="194" spans="1:37">
      <c r="A194" s="438"/>
      <c r="B194" s="421"/>
      <c r="C194" s="421"/>
      <c r="D194" s="421"/>
      <c r="E194" s="421"/>
      <c r="F194" s="421"/>
      <c r="G194" s="421"/>
      <c r="H194" s="421"/>
      <c r="I194" s="421"/>
      <c r="J194" s="421"/>
      <c r="K194" s="421"/>
      <c r="L194" s="421"/>
      <c r="M194" s="421"/>
      <c r="N194" s="421"/>
      <c r="O194" s="421"/>
      <c r="P194" s="421"/>
      <c r="Q194" s="421"/>
      <c r="R194" s="421"/>
      <c r="S194" s="421"/>
      <c r="T194" s="421"/>
      <c r="U194" s="421"/>
      <c r="V194" s="421"/>
      <c r="W194" s="421"/>
      <c r="X194" s="421"/>
      <c r="Y194" s="421"/>
      <c r="Z194" s="421"/>
      <c r="AA194" s="421"/>
      <c r="AB194" s="421"/>
      <c r="AF194" s="445"/>
      <c r="AG194" s="446"/>
      <c r="AH194" s="446"/>
      <c r="AI194" s="446"/>
      <c r="AJ194" s="446"/>
      <c r="AK194" s="447"/>
    </row>
    <row r="195" spans="1:37">
      <c r="A195" s="438"/>
      <c r="C195" s="444"/>
      <c r="E195" s="444"/>
      <c r="G195" s="444"/>
      <c r="I195" s="444"/>
      <c r="K195" s="444"/>
      <c r="M195" s="444"/>
      <c r="O195" s="444"/>
      <c r="Q195" s="444"/>
      <c r="S195" s="444"/>
      <c r="U195" s="444"/>
      <c r="W195" s="444"/>
      <c r="Y195" s="444"/>
      <c r="AA195" s="444"/>
      <c r="AF195" s="445"/>
      <c r="AG195" s="446"/>
      <c r="AH195" s="446"/>
      <c r="AI195" s="446"/>
      <c r="AJ195" s="446"/>
      <c r="AK195" s="447"/>
    </row>
    <row r="196" spans="1:37" ht="25.5" customHeight="1">
      <c r="A196" s="438"/>
      <c r="B196" s="439" t="s">
        <v>369</v>
      </c>
      <c r="C196" s="414"/>
      <c r="D196" s="439" t="s">
        <v>370</v>
      </c>
      <c r="E196" s="414"/>
      <c r="F196" s="439" t="s">
        <v>254</v>
      </c>
      <c r="G196" s="414"/>
      <c r="H196" s="439" t="s">
        <v>371</v>
      </c>
      <c r="I196" s="414"/>
      <c r="J196" s="439" t="s">
        <v>372</v>
      </c>
      <c r="K196" s="414"/>
      <c r="L196" s="439" t="s">
        <v>373</v>
      </c>
      <c r="M196" s="414"/>
      <c r="N196" s="439" t="s">
        <v>374</v>
      </c>
      <c r="O196" s="414"/>
      <c r="P196" s="439" t="s">
        <v>375</v>
      </c>
      <c r="Q196" s="414"/>
      <c r="R196" s="439" t="s">
        <v>376</v>
      </c>
      <c r="S196" s="414"/>
      <c r="T196" s="439" t="s">
        <v>378</v>
      </c>
      <c r="U196" s="414"/>
      <c r="V196" s="439" t="s">
        <v>1243</v>
      </c>
      <c r="W196" s="414"/>
      <c r="X196" s="439" t="s">
        <v>181</v>
      </c>
      <c r="Y196" s="414"/>
      <c r="Z196" s="439" t="s">
        <v>380</v>
      </c>
      <c r="AA196" s="414"/>
      <c r="AB196" s="439" t="s">
        <v>258</v>
      </c>
      <c r="AF196" s="445"/>
      <c r="AG196" s="446"/>
      <c r="AH196" s="446"/>
      <c r="AI196" s="446"/>
      <c r="AJ196" s="446"/>
      <c r="AK196" s="447"/>
    </row>
    <row r="197" spans="1:37">
      <c r="A197" s="438"/>
      <c r="B197" s="443"/>
      <c r="C197" s="444"/>
      <c r="D197" s="443"/>
      <c r="E197" s="444"/>
      <c r="F197" s="443"/>
      <c r="G197" s="444"/>
      <c r="H197" s="443"/>
      <c r="I197" s="444"/>
      <c r="J197" s="443"/>
      <c r="K197" s="444"/>
      <c r="L197" s="443"/>
      <c r="M197" s="444"/>
      <c r="N197" s="443"/>
      <c r="O197" s="444"/>
      <c r="P197" s="443"/>
      <c r="Q197" s="444"/>
      <c r="R197" s="443"/>
      <c r="S197" s="444"/>
      <c r="T197" s="443"/>
      <c r="U197" s="444"/>
      <c r="V197" s="443"/>
      <c r="W197" s="444"/>
      <c r="X197" s="443"/>
      <c r="Y197" s="444"/>
      <c r="Z197" s="443"/>
      <c r="AA197" s="444"/>
      <c r="AB197" s="443"/>
      <c r="AF197" s="441" t="s">
        <v>1154</v>
      </c>
      <c r="AG197" s="441" t="s">
        <v>318</v>
      </c>
      <c r="AH197" s="441" t="s">
        <v>1155</v>
      </c>
      <c r="AI197" s="441" t="s">
        <v>1156</v>
      </c>
      <c r="AJ197" s="441" t="s">
        <v>267</v>
      </c>
      <c r="AK197" s="442" t="s">
        <v>1157</v>
      </c>
    </row>
    <row r="198" spans="1:37" ht="12.6" thickBot="1">
      <c r="A198" s="438"/>
      <c r="B198" s="415"/>
      <c r="C198" s="444"/>
      <c r="D198" s="415"/>
      <c r="E198" s="444"/>
      <c r="F198" s="415"/>
      <c r="G198" s="444"/>
      <c r="H198" s="415"/>
      <c r="I198" s="444"/>
      <c r="J198" s="415"/>
      <c r="K198" s="444"/>
      <c r="L198" s="415"/>
      <c r="M198" s="444"/>
      <c r="N198" s="415"/>
      <c r="O198" s="444"/>
      <c r="P198" s="415"/>
      <c r="Q198" s="444"/>
      <c r="R198" s="415"/>
      <c r="S198" s="444"/>
      <c r="T198" s="415"/>
      <c r="U198" s="444"/>
      <c r="V198" s="415"/>
      <c r="W198" s="444"/>
      <c r="X198" s="415"/>
      <c r="Y198" s="444"/>
      <c r="Z198" s="415"/>
      <c r="AA198" s="444"/>
      <c r="AB198" s="415"/>
      <c r="AF198" s="445"/>
      <c r="AG198" s="446"/>
      <c r="AH198" s="446"/>
      <c r="AI198" s="446"/>
      <c r="AJ198" s="446"/>
      <c r="AK198" s="447"/>
    </row>
    <row r="199" spans="1:37" ht="43.5" customHeight="1" thickBot="1">
      <c r="A199" s="438"/>
      <c r="B199" s="417"/>
      <c r="C199" s="448">
        <v>386.73500000000001</v>
      </c>
      <c r="D199" s="418"/>
      <c r="E199" s="448">
        <v>378.62400000000002</v>
      </c>
      <c r="F199" s="418"/>
      <c r="G199" s="448">
        <v>350.21499999999997</v>
      </c>
      <c r="H199" s="417"/>
      <c r="I199" s="448">
        <v>357.90600000000001</v>
      </c>
      <c r="J199" s="417"/>
      <c r="K199" s="448">
        <v>237.476</v>
      </c>
      <c r="L199" s="417"/>
      <c r="M199" s="448">
        <v>440.03</v>
      </c>
      <c r="N199" s="417"/>
      <c r="O199" s="448">
        <v>503.74</v>
      </c>
      <c r="P199" s="417" t="s">
        <v>1314</v>
      </c>
      <c r="Q199" s="448">
        <v>437</v>
      </c>
      <c r="R199" s="417" t="s">
        <v>354</v>
      </c>
      <c r="S199" s="448">
        <v>430</v>
      </c>
      <c r="T199" s="418"/>
      <c r="U199" s="448">
        <v>409.27300000000002</v>
      </c>
      <c r="V199" s="418"/>
      <c r="W199" s="448">
        <v>312.44600000000003</v>
      </c>
      <c r="X199" s="418"/>
      <c r="Y199" s="448">
        <v>314.24700000000001</v>
      </c>
      <c r="Z199" s="418"/>
      <c r="AA199" s="448">
        <v>361.96</v>
      </c>
      <c r="AB199" s="418"/>
      <c r="AC199" s="454">
        <v>329.48599999999999</v>
      </c>
      <c r="AF199" s="441">
        <v>14</v>
      </c>
      <c r="AG199" s="441">
        <v>2</v>
      </c>
      <c r="AH199" s="441">
        <v>2</v>
      </c>
      <c r="AI199" s="441"/>
      <c r="AJ199" s="441"/>
      <c r="AK199" s="442"/>
    </row>
    <row r="200" spans="1:37" ht="12.6" thickBot="1">
      <c r="A200" s="438"/>
      <c r="B200" s="450"/>
      <c r="C200" s="444"/>
      <c r="D200" s="450"/>
      <c r="E200" s="444"/>
      <c r="F200" s="450"/>
      <c r="G200" s="444"/>
      <c r="H200" s="450"/>
      <c r="I200" s="444"/>
      <c r="J200" s="450"/>
      <c r="K200" s="444"/>
      <c r="L200" s="450"/>
      <c r="M200" s="444"/>
      <c r="N200" s="450"/>
      <c r="O200" s="444"/>
      <c r="P200" s="450"/>
      <c r="Q200" s="444"/>
      <c r="R200" s="450"/>
      <c r="S200" s="444"/>
      <c r="T200" s="450"/>
      <c r="U200" s="444"/>
      <c r="V200" s="450"/>
      <c r="W200" s="444"/>
      <c r="X200" s="450"/>
      <c r="Y200" s="444"/>
      <c r="Z200" s="450"/>
      <c r="AA200" s="444"/>
      <c r="AB200" s="450"/>
      <c r="AF200" s="445"/>
      <c r="AG200" s="446"/>
      <c r="AH200" s="446"/>
      <c r="AI200" s="446"/>
      <c r="AJ200" s="446"/>
      <c r="AK200" s="447"/>
    </row>
    <row r="201" spans="1:37">
      <c r="A201" s="438"/>
      <c r="B201" s="421" t="s">
        <v>90</v>
      </c>
      <c r="C201" s="421"/>
      <c r="D201" s="421" t="s">
        <v>147</v>
      </c>
      <c r="E201" s="421"/>
      <c r="F201" s="421" t="s">
        <v>147</v>
      </c>
      <c r="G201" s="421"/>
      <c r="H201" s="421" t="s">
        <v>147</v>
      </c>
      <c r="I201" s="421"/>
      <c r="J201" s="421" t="s">
        <v>80</v>
      </c>
      <c r="K201" s="421"/>
      <c r="L201" s="421" t="s">
        <v>80</v>
      </c>
      <c r="M201" s="421"/>
      <c r="N201" s="421" t="s">
        <v>132</v>
      </c>
      <c r="O201" s="421"/>
      <c r="P201" s="421" t="s">
        <v>132</v>
      </c>
      <c r="Q201" s="421"/>
      <c r="R201" s="421" t="s">
        <v>84</v>
      </c>
      <c r="S201" s="421"/>
      <c r="T201" s="421" t="s">
        <v>212</v>
      </c>
      <c r="U201" s="421"/>
      <c r="V201" s="421" t="s">
        <v>84</v>
      </c>
      <c r="W201" s="421"/>
      <c r="X201" s="421" t="s">
        <v>147</v>
      </c>
      <c r="Y201" s="421"/>
      <c r="Z201" s="421" t="s">
        <v>80</v>
      </c>
      <c r="AA201" s="421"/>
      <c r="AB201" s="421" t="s">
        <v>147</v>
      </c>
      <c r="AF201" s="445"/>
      <c r="AG201" s="446"/>
      <c r="AH201" s="446"/>
      <c r="AI201" s="446"/>
      <c r="AJ201" s="446"/>
      <c r="AK201" s="447"/>
    </row>
    <row r="202" spans="1:37">
      <c r="A202" s="438"/>
      <c r="B202" s="421"/>
      <c r="C202" s="421"/>
      <c r="D202" s="421"/>
      <c r="E202" s="421"/>
      <c r="F202" s="421"/>
      <c r="G202" s="421"/>
      <c r="H202" s="421"/>
      <c r="I202" s="421"/>
      <c r="J202" s="421"/>
      <c r="K202" s="421"/>
      <c r="L202" s="421"/>
      <c r="M202" s="421"/>
      <c r="N202" s="421"/>
      <c r="O202" s="421"/>
      <c r="P202" s="421"/>
      <c r="Q202" s="421"/>
      <c r="R202" s="421"/>
      <c r="S202" s="421"/>
      <c r="T202" s="421"/>
      <c r="U202" s="421"/>
      <c r="V202" s="421"/>
      <c r="W202" s="421"/>
      <c r="X202" s="421"/>
      <c r="Y202" s="421"/>
      <c r="Z202" s="421"/>
      <c r="AA202" s="421"/>
      <c r="AB202" s="421"/>
      <c r="AF202" s="445"/>
      <c r="AG202" s="446"/>
      <c r="AH202" s="446"/>
      <c r="AI202" s="446"/>
      <c r="AJ202" s="446"/>
      <c r="AK202" s="447"/>
    </row>
    <row r="203" spans="1:37">
      <c r="A203" s="438"/>
      <c r="C203" s="421"/>
      <c r="E203" s="421"/>
      <c r="G203" s="444"/>
      <c r="I203" s="444"/>
      <c r="K203" s="444"/>
      <c r="M203" s="444"/>
      <c r="O203" s="444"/>
      <c r="Q203" s="444"/>
      <c r="S203" s="444"/>
      <c r="U203" s="444"/>
      <c r="W203" s="444"/>
      <c r="Y203" s="444"/>
      <c r="AA203" s="444"/>
      <c r="AF203" s="445"/>
      <c r="AG203" s="446"/>
      <c r="AH203" s="446"/>
      <c r="AI203" s="446"/>
      <c r="AJ203" s="446"/>
      <c r="AK203" s="447"/>
    </row>
    <row r="204" spans="1:37">
      <c r="A204" s="438"/>
      <c r="B204" s="439" t="s">
        <v>240</v>
      </c>
      <c r="C204" s="414"/>
      <c r="D204" s="439" t="s">
        <v>381</v>
      </c>
      <c r="E204" s="414"/>
      <c r="F204" s="439" t="s">
        <v>382</v>
      </c>
      <c r="G204" s="414"/>
      <c r="H204" s="439" t="s">
        <v>383</v>
      </c>
      <c r="I204" s="414"/>
      <c r="J204" s="439" t="s">
        <v>134</v>
      </c>
      <c r="K204" s="414"/>
      <c r="L204" s="439" t="s">
        <v>1244</v>
      </c>
      <c r="M204" s="414"/>
      <c r="N204" s="439" t="s">
        <v>253</v>
      </c>
      <c r="O204" s="414"/>
      <c r="P204" s="439" t="s">
        <v>1245</v>
      </c>
      <c r="Q204" s="414"/>
      <c r="R204" s="439" t="s">
        <v>387</v>
      </c>
      <c r="S204" s="414"/>
      <c r="T204" s="439" t="s">
        <v>388</v>
      </c>
      <c r="U204" s="414"/>
      <c r="V204" s="439" t="s">
        <v>682</v>
      </c>
      <c r="W204" s="439"/>
      <c r="X204" s="439" t="s">
        <v>243</v>
      </c>
      <c r="Y204" s="439"/>
      <c r="Z204" s="439" t="s">
        <v>390</v>
      </c>
      <c r="AA204" s="439"/>
      <c r="AB204" s="439" t="s">
        <v>391</v>
      </c>
      <c r="AF204" s="445"/>
      <c r="AG204" s="446"/>
      <c r="AH204" s="446"/>
      <c r="AI204" s="446"/>
      <c r="AJ204" s="446"/>
      <c r="AK204" s="447"/>
    </row>
    <row r="205" spans="1:37">
      <c r="A205" s="438"/>
      <c r="B205" s="443"/>
      <c r="C205" s="444"/>
      <c r="D205" s="443"/>
      <c r="E205" s="444"/>
      <c r="F205" s="443"/>
      <c r="G205" s="444"/>
      <c r="H205" s="443"/>
      <c r="I205" s="444"/>
      <c r="J205" s="443"/>
      <c r="K205" s="444"/>
      <c r="L205" s="443"/>
      <c r="M205" s="444"/>
      <c r="N205" s="443"/>
      <c r="O205" s="444"/>
      <c r="P205" s="443"/>
      <c r="Q205" s="444"/>
      <c r="R205" s="443"/>
      <c r="S205" s="444"/>
      <c r="T205" s="443"/>
      <c r="U205" s="444"/>
      <c r="V205" s="443"/>
      <c r="W205" s="444"/>
      <c r="X205" s="443"/>
      <c r="Y205" s="444"/>
      <c r="Z205" s="443"/>
      <c r="AA205" s="444"/>
      <c r="AB205" s="443"/>
      <c r="AF205" s="441" t="s">
        <v>1154</v>
      </c>
      <c r="AG205" s="441" t="s">
        <v>318</v>
      </c>
      <c r="AH205" s="441" t="s">
        <v>1155</v>
      </c>
      <c r="AI205" s="441" t="s">
        <v>1156</v>
      </c>
      <c r="AJ205" s="441" t="s">
        <v>267</v>
      </c>
      <c r="AK205" s="442" t="s">
        <v>1157</v>
      </c>
    </row>
    <row r="206" spans="1:37" ht="12.6" thickBot="1">
      <c r="A206" s="438"/>
      <c r="B206" s="415"/>
      <c r="C206" s="444"/>
      <c r="D206" s="415"/>
      <c r="E206" s="444"/>
      <c r="F206" s="415"/>
      <c r="G206" s="444"/>
      <c r="H206" s="415"/>
      <c r="I206" s="444"/>
      <c r="J206" s="415"/>
      <c r="K206" s="444"/>
      <c r="L206" s="415"/>
      <c r="M206" s="444"/>
      <c r="N206" s="415"/>
      <c r="O206" s="444"/>
      <c r="P206" s="415"/>
      <c r="Q206" s="444"/>
      <c r="R206" s="415"/>
      <c r="S206" s="444"/>
      <c r="T206" s="415"/>
      <c r="U206" s="444"/>
      <c r="V206" s="415"/>
      <c r="W206" s="444"/>
      <c r="X206" s="415"/>
      <c r="Y206" s="444"/>
      <c r="Z206" s="415"/>
      <c r="AA206" s="444"/>
      <c r="AB206" s="415"/>
      <c r="AF206" s="445"/>
      <c r="AG206" s="446"/>
      <c r="AH206" s="446"/>
      <c r="AI206" s="446"/>
      <c r="AJ206" s="446"/>
      <c r="AK206" s="447"/>
    </row>
    <row r="207" spans="1:37" ht="42.75" customHeight="1" thickBot="1">
      <c r="A207" s="438"/>
      <c r="B207" s="418"/>
      <c r="C207" s="448">
        <v>371.327</v>
      </c>
      <c r="D207" s="418"/>
      <c r="E207" s="448">
        <v>417.91699999999997</v>
      </c>
      <c r="F207" s="417"/>
      <c r="G207" s="448">
        <v>376.988</v>
      </c>
      <c r="H207" s="417" t="s">
        <v>354</v>
      </c>
      <c r="I207" s="448">
        <v>343.79700000000003</v>
      </c>
      <c r="J207" s="418"/>
      <c r="K207" s="448">
        <v>318.69600000000003</v>
      </c>
      <c r="L207" s="418"/>
      <c r="M207" s="448">
        <v>308</v>
      </c>
      <c r="N207" s="418"/>
      <c r="O207" s="448">
        <v>324.87400000000002</v>
      </c>
      <c r="P207" s="417" t="s">
        <v>354</v>
      </c>
      <c r="Q207" s="448">
        <v>365.39100000000002</v>
      </c>
      <c r="R207" s="417"/>
      <c r="S207" s="448">
        <v>269.52499999999998</v>
      </c>
      <c r="T207" s="417"/>
      <c r="U207" s="448">
        <v>350.32600000000002</v>
      </c>
      <c r="V207" s="417"/>
      <c r="W207" s="448">
        <v>414</v>
      </c>
      <c r="X207" s="418"/>
      <c r="Y207" s="448">
        <v>424</v>
      </c>
      <c r="Z207" s="418"/>
      <c r="AA207" s="448">
        <v>405</v>
      </c>
      <c r="AB207" s="417"/>
      <c r="AC207" s="426">
        <v>426</v>
      </c>
      <c r="AF207" s="441">
        <v>14</v>
      </c>
      <c r="AG207" s="441">
        <v>4</v>
      </c>
      <c r="AH207" s="441">
        <v>2</v>
      </c>
      <c r="AI207" s="441"/>
      <c r="AJ207" s="441"/>
      <c r="AK207" s="442"/>
    </row>
    <row r="208" spans="1:37" ht="16.5" customHeight="1" thickBot="1">
      <c r="A208" s="438"/>
      <c r="B208" s="450"/>
      <c r="C208" s="444"/>
      <c r="D208" s="450"/>
      <c r="E208" s="444"/>
      <c r="F208" s="450"/>
      <c r="G208" s="444"/>
      <c r="H208" s="529" t="s">
        <v>192</v>
      </c>
      <c r="I208" s="444"/>
      <c r="J208" s="450"/>
      <c r="K208" s="444"/>
      <c r="L208" s="450"/>
      <c r="M208" s="444"/>
      <c r="N208" s="450"/>
      <c r="O208" s="444"/>
      <c r="P208" s="529" t="s">
        <v>192</v>
      </c>
      <c r="R208" s="450"/>
      <c r="T208" s="450"/>
      <c r="V208" s="450"/>
      <c r="X208" s="450"/>
      <c r="Z208" s="450"/>
      <c r="AB208" s="450"/>
      <c r="AF208" s="445"/>
      <c r="AG208" s="446"/>
      <c r="AH208" s="446"/>
      <c r="AI208" s="446"/>
      <c r="AJ208" s="446"/>
      <c r="AK208" s="447"/>
    </row>
    <row r="209" spans="1:37" ht="18" customHeight="1">
      <c r="A209" s="438"/>
      <c r="B209" s="421" t="s">
        <v>147</v>
      </c>
      <c r="C209" s="421"/>
      <c r="D209" s="421" t="s">
        <v>80</v>
      </c>
      <c r="E209" s="421"/>
      <c r="F209" s="421" t="s">
        <v>150</v>
      </c>
      <c r="G209" s="421"/>
      <c r="H209" s="421" t="s">
        <v>80</v>
      </c>
      <c r="I209" s="421"/>
      <c r="J209" s="421" t="s">
        <v>147</v>
      </c>
      <c r="K209" s="421"/>
      <c r="L209" s="421" t="s">
        <v>80</v>
      </c>
      <c r="M209" s="421"/>
      <c r="N209" s="421" t="s">
        <v>147</v>
      </c>
      <c r="O209" s="421"/>
      <c r="P209" s="421" t="s">
        <v>90</v>
      </c>
      <c r="Q209" s="421"/>
      <c r="R209" s="421" t="s">
        <v>147</v>
      </c>
      <c r="S209" s="421"/>
      <c r="T209" s="421" t="s">
        <v>135</v>
      </c>
      <c r="U209" s="421"/>
      <c r="V209" s="421" t="s">
        <v>80</v>
      </c>
      <c r="W209" s="421"/>
      <c r="X209" s="421" t="s">
        <v>206</v>
      </c>
      <c r="Y209" s="421"/>
      <c r="Z209" s="421" t="s">
        <v>147</v>
      </c>
      <c r="AA209" s="421"/>
      <c r="AB209" s="421" t="s">
        <v>150</v>
      </c>
      <c r="AF209" s="445"/>
      <c r="AG209" s="446"/>
      <c r="AH209" s="446"/>
      <c r="AI209" s="446"/>
      <c r="AJ209" s="446"/>
      <c r="AK209" s="447"/>
    </row>
    <row r="210" spans="1:37" ht="17.399999999999999" customHeight="1">
      <c r="A210" s="438"/>
      <c r="B210" s="421"/>
      <c r="C210" s="421"/>
      <c r="D210" s="421"/>
      <c r="E210" s="421"/>
      <c r="F210" s="421" t="s">
        <v>1240</v>
      </c>
      <c r="G210" s="444"/>
      <c r="H210" s="444"/>
      <c r="I210" s="444"/>
      <c r="J210" s="444"/>
      <c r="K210" s="444"/>
      <c r="L210" s="444"/>
      <c r="M210" s="444"/>
      <c r="N210" s="444"/>
      <c r="O210" s="444"/>
      <c r="P210" s="444"/>
      <c r="Q210" s="444"/>
      <c r="R210" s="421" t="s">
        <v>1240</v>
      </c>
      <c r="S210" s="444"/>
      <c r="T210" s="444"/>
      <c r="U210" s="444"/>
      <c r="V210" s="444"/>
      <c r="W210" s="444"/>
      <c r="X210" s="444"/>
      <c r="Y210" s="444"/>
      <c r="Z210" s="444"/>
      <c r="AA210" s="444"/>
      <c r="AB210" s="421" t="s">
        <v>1239</v>
      </c>
      <c r="AF210" s="445"/>
      <c r="AG210" s="446"/>
      <c r="AH210" s="446"/>
      <c r="AI210" s="446"/>
      <c r="AJ210" s="446"/>
      <c r="AK210" s="447"/>
    </row>
    <row r="211" spans="1:37">
      <c r="A211" s="438"/>
      <c r="C211" s="421"/>
      <c r="E211" s="421"/>
      <c r="G211" s="444"/>
      <c r="I211" s="444"/>
      <c r="K211" s="444"/>
      <c r="M211" s="444"/>
      <c r="O211" s="444"/>
      <c r="AF211" s="445"/>
      <c r="AG211" s="446"/>
      <c r="AH211" s="446"/>
      <c r="AI211" s="446"/>
      <c r="AJ211" s="446"/>
      <c r="AK211" s="447"/>
    </row>
    <row r="212" spans="1:37">
      <c r="A212" s="438"/>
      <c r="B212" s="439" t="s">
        <v>392</v>
      </c>
      <c r="C212" s="439"/>
      <c r="D212" s="439" t="s">
        <v>136</v>
      </c>
      <c r="E212" s="439"/>
      <c r="F212" s="439" t="s">
        <v>1279</v>
      </c>
      <c r="G212" s="439"/>
      <c r="H212" s="439" t="s">
        <v>1280</v>
      </c>
      <c r="I212" s="439"/>
      <c r="J212" s="439" t="s">
        <v>1281</v>
      </c>
      <c r="K212" s="439"/>
      <c r="L212" s="439" t="s">
        <v>1282</v>
      </c>
      <c r="M212" s="439"/>
      <c r="N212" s="439" t="s">
        <v>398</v>
      </c>
      <c r="O212" s="414"/>
      <c r="P212" s="439" t="s">
        <v>399</v>
      </c>
      <c r="R212" s="439" t="s">
        <v>400</v>
      </c>
      <c r="T212" s="439" t="s">
        <v>401</v>
      </c>
      <c r="V212" s="439" t="s">
        <v>402</v>
      </c>
      <c r="X212" s="439" t="s">
        <v>403</v>
      </c>
      <c r="Z212" s="439" t="s">
        <v>404</v>
      </c>
      <c r="AB212" s="439" t="s">
        <v>405</v>
      </c>
      <c r="AF212" s="445"/>
      <c r="AG212" s="446"/>
      <c r="AH212" s="446"/>
      <c r="AI212" s="446"/>
      <c r="AJ212" s="446"/>
      <c r="AK212" s="447"/>
    </row>
    <row r="213" spans="1:37">
      <c r="A213" s="438"/>
      <c r="B213" s="443"/>
      <c r="C213" s="444"/>
      <c r="D213" s="443"/>
      <c r="E213" s="444"/>
      <c r="F213" s="443"/>
      <c r="G213" s="444"/>
      <c r="H213" s="443"/>
      <c r="I213" s="444"/>
      <c r="J213" s="443"/>
      <c r="K213" s="444"/>
      <c r="L213" s="443"/>
      <c r="M213" s="444"/>
      <c r="N213" s="443"/>
      <c r="O213" s="444"/>
      <c r="P213" s="443"/>
      <c r="R213" s="443"/>
      <c r="S213" s="444"/>
      <c r="T213" s="443"/>
      <c r="U213" s="444"/>
      <c r="V213" s="443"/>
      <c r="W213" s="444"/>
      <c r="X213" s="443"/>
      <c r="Y213" s="444"/>
      <c r="Z213" s="443"/>
      <c r="AA213" s="444"/>
      <c r="AB213" s="443"/>
      <c r="AF213" s="441" t="s">
        <v>1154</v>
      </c>
      <c r="AG213" s="441" t="s">
        <v>318</v>
      </c>
      <c r="AH213" s="441" t="s">
        <v>1155</v>
      </c>
      <c r="AI213" s="441" t="s">
        <v>1156</v>
      </c>
      <c r="AJ213" s="441" t="s">
        <v>267</v>
      </c>
      <c r="AK213" s="442" t="s">
        <v>1157</v>
      </c>
    </row>
    <row r="214" spans="1:37" ht="16.5" customHeight="1" thickBot="1">
      <c r="A214" s="438"/>
      <c r="B214" s="415"/>
      <c r="C214" s="444"/>
      <c r="D214" s="415"/>
      <c r="E214" s="444"/>
      <c r="F214" s="415"/>
      <c r="G214" s="444"/>
      <c r="H214" s="415"/>
      <c r="I214" s="444"/>
      <c r="J214" s="415"/>
      <c r="K214" s="444"/>
      <c r="L214" s="415"/>
      <c r="M214" s="444"/>
      <c r="N214" s="415"/>
      <c r="O214" s="444"/>
      <c r="P214" s="415"/>
      <c r="R214" s="415"/>
      <c r="S214" s="444"/>
      <c r="T214" s="415"/>
      <c r="U214" s="444"/>
      <c r="V214" s="415"/>
      <c r="W214" s="444"/>
      <c r="X214" s="415"/>
      <c r="Y214" s="444"/>
      <c r="Z214" s="415"/>
      <c r="AA214" s="444"/>
      <c r="AB214" s="415"/>
      <c r="AF214" s="445"/>
      <c r="AG214" s="446"/>
      <c r="AH214" s="446"/>
      <c r="AI214" s="446"/>
      <c r="AJ214" s="446"/>
      <c r="AK214" s="447"/>
    </row>
    <row r="215" spans="1:37" ht="42.75" customHeight="1" thickBot="1">
      <c r="A215" s="438"/>
      <c r="B215" s="417"/>
      <c r="C215" s="448">
        <v>410</v>
      </c>
      <c r="D215" s="417"/>
      <c r="E215" s="448">
        <v>421</v>
      </c>
      <c r="F215" s="417"/>
      <c r="G215" s="448">
        <v>407.60700000000003</v>
      </c>
      <c r="H215" s="417"/>
      <c r="I215" s="448">
        <v>364.36399999999998</v>
      </c>
      <c r="J215" s="417"/>
      <c r="K215" s="448">
        <v>332.44799999999998</v>
      </c>
      <c r="L215" s="418"/>
      <c r="M215" s="448">
        <v>348.85300000000001</v>
      </c>
      <c r="N215" s="417"/>
      <c r="O215" s="448">
        <v>387.34800000000001</v>
      </c>
      <c r="P215" s="418"/>
      <c r="Q215" s="448">
        <v>452.637</v>
      </c>
      <c r="R215" s="417"/>
      <c r="S215" s="448">
        <v>386.95699999999999</v>
      </c>
      <c r="T215" s="417"/>
      <c r="U215" s="448">
        <v>382.14299999999997</v>
      </c>
      <c r="V215" s="417"/>
      <c r="W215" s="448">
        <v>336.46899999999999</v>
      </c>
      <c r="X215" s="417"/>
      <c r="Y215" s="448">
        <v>389.14</v>
      </c>
      <c r="Z215" s="417"/>
      <c r="AA215" s="448">
        <v>334.55399999999997</v>
      </c>
      <c r="AB215" s="417"/>
      <c r="AC215" s="448">
        <v>396.19799999999998</v>
      </c>
      <c r="AF215" s="441">
        <v>14</v>
      </c>
      <c r="AG215" s="441"/>
      <c r="AH215" s="441"/>
      <c r="AI215" s="441"/>
      <c r="AJ215" s="441"/>
      <c r="AK215" s="442"/>
    </row>
    <row r="216" spans="1:37" ht="16.5" customHeight="1" thickBot="1">
      <c r="A216" s="438"/>
      <c r="B216" s="450"/>
      <c r="D216" s="450"/>
      <c r="F216" s="450"/>
      <c r="H216" s="450"/>
      <c r="J216" s="450"/>
      <c r="L216" s="450"/>
      <c r="N216" s="450"/>
      <c r="P216" s="450"/>
      <c r="R216" s="450"/>
      <c r="T216" s="450"/>
      <c r="V216" s="450"/>
      <c r="X216" s="450"/>
      <c r="Z216" s="450"/>
      <c r="AB216" s="450"/>
      <c r="AF216" s="445"/>
      <c r="AG216" s="446"/>
      <c r="AH216" s="446"/>
      <c r="AI216" s="446"/>
      <c r="AJ216" s="446"/>
      <c r="AK216" s="447"/>
    </row>
    <row r="217" spans="1:37">
      <c r="A217" s="438"/>
      <c r="B217" s="421" t="s">
        <v>150</v>
      </c>
      <c r="C217" s="421"/>
      <c r="D217" s="421" t="s">
        <v>132</v>
      </c>
      <c r="E217" s="421"/>
      <c r="F217" s="421" t="s">
        <v>90</v>
      </c>
      <c r="G217" s="421"/>
      <c r="H217" s="421" t="s">
        <v>90</v>
      </c>
      <c r="I217" s="421"/>
      <c r="J217" s="421" t="s">
        <v>206</v>
      </c>
      <c r="K217" s="421"/>
      <c r="L217" s="421" t="s">
        <v>150</v>
      </c>
      <c r="M217" s="421"/>
      <c r="N217" s="421" t="s">
        <v>80</v>
      </c>
      <c r="O217" s="444"/>
      <c r="P217" s="421" t="s">
        <v>206</v>
      </c>
      <c r="R217" s="421" t="s">
        <v>90</v>
      </c>
      <c r="T217" s="421" t="s">
        <v>108</v>
      </c>
      <c r="V217" s="421" t="s">
        <v>147</v>
      </c>
      <c r="X217" s="421" t="s">
        <v>147</v>
      </c>
      <c r="Z217" s="421" t="s">
        <v>80</v>
      </c>
      <c r="AB217" s="421" t="s">
        <v>206</v>
      </c>
      <c r="AF217" s="445"/>
      <c r="AG217" s="446"/>
      <c r="AH217" s="446"/>
      <c r="AI217" s="446"/>
      <c r="AJ217" s="446"/>
      <c r="AK217" s="447"/>
    </row>
    <row r="218" spans="1:37" ht="14.4" customHeight="1">
      <c r="A218" s="438"/>
      <c r="AF218" s="445"/>
      <c r="AG218" s="446"/>
      <c r="AH218" s="446"/>
      <c r="AI218" s="446"/>
      <c r="AJ218" s="446"/>
      <c r="AK218" s="447"/>
    </row>
    <row r="219" spans="1:37" ht="25.95" customHeight="1">
      <c r="A219" s="438"/>
      <c r="AF219" s="445"/>
      <c r="AG219" s="446"/>
      <c r="AH219" s="446"/>
      <c r="AI219" s="446"/>
      <c r="AJ219" s="446"/>
      <c r="AK219" s="447"/>
    </row>
    <row r="220" spans="1:37">
      <c r="A220" s="438"/>
      <c r="B220" s="439" t="s">
        <v>407</v>
      </c>
      <c r="C220" s="414"/>
      <c r="D220" s="439" t="s">
        <v>408</v>
      </c>
      <c r="E220" s="414"/>
      <c r="F220" s="439" t="s">
        <v>409</v>
      </c>
      <c r="G220" s="414"/>
      <c r="H220" s="439" t="s">
        <v>410</v>
      </c>
      <c r="I220" s="414"/>
      <c r="J220" s="439" t="s">
        <v>411</v>
      </c>
      <c r="K220" s="414"/>
      <c r="L220" s="439" t="s">
        <v>412</v>
      </c>
      <c r="M220" s="439"/>
      <c r="N220" s="439" t="s">
        <v>413</v>
      </c>
      <c r="O220" s="414"/>
      <c r="P220" s="439" t="s">
        <v>414</v>
      </c>
      <c r="R220" s="439" t="s">
        <v>415</v>
      </c>
      <c r="T220" s="439" t="s">
        <v>416</v>
      </c>
      <c r="V220" s="439" t="s">
        <v>692</v>
      </c>
      <c r="X220" s="439" t="s">
        <v>419</v>
      </c>
      <c r="Z220" s="439" t="s">
        <v>420</v>
      </c>
      <c r="AB220" s="439" t="s">
        <v>421</v>
      </c>
      <c r="AF220" s="445"/>
      <c r="AG220" s="446"/>
      <c r="AH220" s="446"/>
      <c r="AI220" s="446"/>
      <c r="AJ220" s="446"/>
      <c r="AK220" s="447"/>
    </row>
    <row r="221" spans="1:37">
      <c r="A221" s="438"/>
      <c r="B221" s="443"/>
      <c r="C221" s="444"/>
      <c r="D221" s="443"/>
      <c r="E221" s="444"/>
      <c r="F221" s="443"/>
      <c r="G221" s="444"/>
      <c r="H221" s="443"/>
      <c r="I221" s="444"/>
      <c r="J221" s="443"/>
      <c r="K221" s="444"/>
      <c r="L221" s="443"/>
      <c r="M221" s="444"/>
      <c r="N221" s="443"/>
      <c r="O221" s="444"/>
      <c r="P221" s="443"/>
      <c r="R221" s="443"/>
      <c r="S221" s="444"/>
      <c r="T221" s="443"/>
      <c r="U221" s="444"/>
      <c r="V221" s="443"/>
      <c r="W221" s="444"/>
      <c r="X221" s="443"/>
      <c r="Y221" s="444"/>
      <c r="Z221" s="443"/>
      <c r="AA221" s="444"/>
      <c r="AB221" s="443"/>
      <c r="AF221" s="441" t="s">
        <v>1154</v>
      </c>
      <c r="AG221" s="441" t="s">
        <v>318</v>
      </c>
      <c r="AH221" s="441" t="s">
        <v>1155</v>
      </c>
      <c r="AI221" s="441" t="s">
        <v>1156</v>
      </c>
      <c r="AJ221" s="441" t="s">
        <v>267</v>
      </c>
      <c r="AK221" s="442" t="s">
        <v>1157</v>
      </c>
    </row>
    <row r="222" spans="1:37" ht="16.5" customHeight="1" thickBot="1">
      <c r="A222" s="438"/>
      <c r="B222" s="415"/>
      <c r="C222" s="444"/>
      <c r="D222" s="415"/>
      <c r="E222" s="444"/>
      <c r="F222" s="415"/>
      <c r="G222" s="444"/>
      <c r="H222" s="415"/>
      <c r="I222" s="444"/>
      <c r="J222" s="415"/>
      <c r="K222" s="444"/>
      <c r="L222" s="415"/>
      <c r="M222" s="444"/>
      <c r="N222" s="415"/>
      <c r="O222" s="444"/>
      <c r="P222" s="415"/>
      <c r="R222" s="415"/>
      <c r="S222" s="444"/>
      <c r="T222" s="415"/>
      <c r="U222" s="444"/>
      <c r="V222" s="415"/>
      <c r="W222" s="444"/>
      <c r="X222" s="415"/>
      <c r="Y222" s="444"/>
      <c r="Z222" s="415"/>
      <c r="AA222" s="444"/>
      <c r="AB222" s="415"/>
      <c r="AF222" s="445"/>
      <c r="AG222" s="446"/>
      <c r="AH222" s="446"/>
      <c r="AI222" s="446"/>
      <c r="AJ222" s="446"/>
      <c r="AK222" s="447"/>
    </row>
    <row r="223" spans="1:37" ht="42.75" customHeight="1" thickBot="1">
      <c r="A223" s="438"/>
      <c r="B223" s="417"/>
      <c r="C223" s="448">
        <v>233.292</v>
      </c>
      <c r="D223" s="417"/>
      <c r="E223" s="448">
        <v>467.18900000000002</v>
      </c>
      <c r="F223" s="417"/>
      <c r="G223" s="448">
        <v>423.01799999999997</v>
      </c>
      <c r="H223" s="418"/>
      <c r="I223" s="448">
        <v>248.691</v>
      </c>
      <c r="J223" s="418"/>
      <c r="K223" s="448">
        <v>282.02499999999998</v>
      </c>
      <c r="L223" s="418"/>
      <c r="M223" s="448">
        <v>398</v>
      </c>
      <c r="N223" s="418"/>
      <c r="O223" s="448">
        <v>370.48</v>
      </c>
      <c r="P223" s="417" t="s">
        <v>1314</v>
      </c>
      <c r="Q223" s="448">
        <v>437.33300000000003</v>
      </c>
      <c r="R223" s="417"/>
      <c r="S223" s="448">
        <v>435</v>
      </c>
      <c r="T223" s="417"/>
      <c r="U223" s="448">
        <v>406.61500000000001</v>
      </c>
      <c r="V223" s="417"/>
      <c r="W223" s="448">
        <v>388.49400000000003</v>
      </c>
      <c r="X223" s="417"/>
      <c r="Y223" s="448">
        <v>440.62599999999998</v>
      </c>
      <c r="Z223" s="417"/>
      <c r="AA223" s="448">
        <v>410.34199999999998</v>
      </c>
      <c r="AB223" s="417"/>
      <c r="AC223" s="448">
        <v>444.33100000000002</v>
      </c>
      <c r="AF223" s="441">
        <v>14</v>
      </c>
      <c r="AG223" s="441"/>
      <c r="AH223" s="441"/>
      <c r="AI223" s="441"/>
      <c r="AJ223" s="441"/>
      <c r="AK223" s="442"/>
    </row>
    <row r="224" spans="1:37" ht="16.5" customHeight="1" thickBot="1">
      <c r="A224" s="438"/>
      <c r="B224" s="450"/>
      <c r="D224" s="450"/>
      <c r="F224" s="450"/>
      <c r="H224" s="450"/>
      <c r="J224" s="450"/>
      <c r="L224" s="450"/>
      <c r="N224" s="450"/>
      <c r="P224" s="450"/>
      <c r="R224" s="450"/>
      <c r="T224" s="450"/>
      <c r="V224" s="450"/>
      <c r="X224" s="450"/>
      <c r="Z224" s="450"/>
      <c r="AB224" s="450"/>
      <c r="AF224" s="477"/>
      <c r="AG224" s="446"/>
      <c r="AH224" s="446"/>
      <c r="AI224" s="446"/>
      <c r="AJ224" s="446"/>
      <c r="AK224" s="447"/>
    </row>
    <row r="225" spans="1:37">
      <c r="A225" s="438"/>
      <c r="B225" s="421" t="s">
        <v>90</v>
      </c>
      <c r="C225" s="421"/>
      <c r="D225" s="421" t="s">
        <v>88</v>
      </c>
      <c r="E225" s="421"/>
      <c r="F225" s="421" t="s">
        <v>97</v>
      </c>
      <c r="G225" s="421"/>
      <c r="H225" s="421" t="s">
        <v>147</v>
      </c>
      <c r="I225" s="421"/>
      <c r="J225" s="421" t="s">
        <v>147</v>
      </c>
      <c r="K225" s="421"/>
      <c r="L225" s="421" t="s">
        <v>90</v>
      </c>
      <c r="M225" s="421"/>
      <c r="N225" s="421" t="s">
        <v>150</v>
      </c>
      <c r="O225" s="444"/>
      <c r="P225" s="421" t="s">
        <v>93</v>
      </c>
      <c r="R225" s="421" t="s">
        <v>108</v>
      </c>
      <c r="T225" s="421" t="s">
        <v>212</v>
      </c>
      <c r="V225" s="421" t="s">
        <v>80</v>
      </c>
      <c r="X225" s="421" t="s">
        <v>102</v>
      </c>
      <c r="Z225" s="421" t="s">
        <v>132</v>
      </c>
      <c r="AB225" s="421" t="s">
        <v>80</v>
      </c>
      <c r="AF225" s="445"/>
      <c r="AG225" s="446"/>
      <c r="AH225" s="446"/>
      <c r="AI225" s="446"/>
      <c r="AJ225" s="446"/>
      <c r="AK225" s="447"/>
    </row>
    <row r="226" spans="1:37">
      <c r="B226" s="421"/>
      <c r="C226" s="421"/>
      <c r="D226" s="421" t="s">
        <v>1239</v>
      </c>
      <c r="E226" s="421"/>
      <c r="F226" s="421" t="s">
        <v>1239</v>
      </c>
      <c r="G226" s="421"/>
      <c r="H226" s="421"/>
      <c r="I226" s="421"/>
      <c r="J226" s="421"/>
      <c r="K226" s="421"/>
      <c r="L226" s="421"/>
      <c r="M226" s="421"/>
      <c r="N226" s="421"/>
      <c r="O226" s="444"/>
      <c r="P226" s="421"/>
      <c r="R226" s="421"/>
      <c r="T226" s="421"/>
      <c r="V226" s="421" t="s">
        <v>1240</v>
      </c>
      <c r="X226" s="421"/>
      <c r="Z226" s="421"/>
      <c r="AB226" s="421"/>
      <c r="AF226" s="445"/>
      <c r="AG226" s="446"/>
      <c r="AH226" s="446"/>
      <c r="AI226" s="446"/>
      <c r="AJ226" s="446"/>
      <c r="AK226" s="446"/>
    </row>
    <row r="227" spans="1:37">
      <c r="AF227" s="478"/>
    </row>
    <row r="228" spans="1:37">
      <c r="B228" s="439" t="s">
        <v>422</v>
      </c>
      <c r="D228" s="439" t="s">
        <v>423</v>
      </c>
      <c r="F228" s="439" t="s">
        <v>424</v>
      </c>
      <c r="H228" s="439" t="s">
        <v>425</v>
      </c>
      <c r="J228" s="439" t="s">
        <v>426</v>
      </c>
      <c r="L228" s="439" t="s">
        <v>427</v>
      </c>
      <c r="N228" s="439" t="s">
        <v>428</v>
      </c>
      <c r="P228" s="439" t="s">
        <v>429</v>
      </c>
      <c r="R228" s="439" t="s">
        <v>431</v>
      </c>
      <c r="T228" s="439" t="s">
        <v>432</v>
      </c>
      <c r="V228" s="439" t="s">
        <v>433</v>
      </c>
      <c r="X228" s="439" t="s">
        <v>434</v>
      </c>
      <c r="Z228" s="439" t="s">
        <v>435</v>
      </c>
      <c r="AB228" s="439" t="s">
        <v>436</v>
      </c>
      <c r="AF228" s="478"/>
    </row>
    <row r="229" spans="1:37">
      <c r="A229" s="438"/>
      <c r="B229" s="443"/>
      <c r="C229" s="444"/>
      <c r="D229" s="443"/>
      <c r="E229" s="444"/>
      <c r="F229" s="443"/>
      <c r="G229" s="444"/>
      <c r="H229" s="443"/>
      <c r="I229" s="444"/>
      <c r="J229" s="443"/>
      <c r="K229" s="444"/>
      <c r="L229" s="443"/>
      <c r="M229" s="444"/>
      <c r="N229" s="443"/>
      <c r="O229" s="444"/>
      <c r="P229" s="443"/>
      <c r="R229" s="443"/>
      <c r="S229" s="444"/>
      <c r="T229" s="443"/>
      <c r="U229" s="444"/>
      <c r="V229" s="443"/>
      <c r="W229" s="444"/>
      <c r="X229" s="443"/>
      <c r="Y229" s="444"/>
      <c r="Z229" s="443"/>
      <c r="AA229" s="444"/>
      <c r="AB229" s="443"/>
      <c r="AF229" s="441" t="s">
        <v>1154</v>
      </c>
      <c r="AG229" s="441" t="s">
        <v>318</v>
      </c>
      <c r="AH229" s="441" t="s">
        <v>1155</v>
      </c>
      <c r="AI229" s="441" t="s">
        <v>1156</v>
      </c>
      <c r="AJ229" s="441" t="s">
        <v>267</v>
      </c>
      <c r="AK229" s="442" t="s">
        <v>1157</v>
      </c>
    </row>
    <row r="230" spans="1:37" ht="16.5" customHeight="1" thickBot="1">
      <c r="A230" s="438"/>
      <c r="B230" s="415"/>
      <c r="C230" s="444"/>
      <c r="D230" s="415"/>
      <c r="E230" s="444"/>
      <c r="F230" s="415"/>
      <c r="G230" s="444"/>
      <c r="H230" s="415"/>
      <c r="I230" s="444"/>
      <c r="J230" s="415"/>
      <c r="K230" s="444"/>
      <c r="L230" s="415"/>
      <c r="M230" s="444"/>
      <c r="N230" s="415"/>
      <c r="O230" s="444"/>
      <c r="P230" s="415"/>
      <c r="R230" s="415"/>
      <c r="S230" s="444"/>
      <c r="T230" s="415"/>
      <c r="U230" s="444"/>
      <c r="V230" s="415"/>
      <c r="W230" s="444"/>
      <c r="X230" s="415"/>
      <c r="Y230" s="444"/>
      <c r="Z230" s="415"/>
      <c r="AA230" s="444"/>
      <c r="AB230" s="415"/>
      <c r="AF230" s="445"/>
      <c r="AG230" s="446"/>
      <c r="AH230" s="446"/>
      <c r="AI230" s="446"/>
      <c r="AJ230" s="446"/>
      <c r="AK230" s="447"/>
    </row>
    <row r="231" spans="1:37" ht="42.75" customHeight="1" thickBot="1">
      <c r="A231" s="438"/>
      <c r="B231" s="417"/>
      <c r="C231" s="448">
        <v>189.80500000000001</v>
      </c>
      <c r="D231" s="417"/>
      <c r="E231" s="448">
        <v>157.88300000000001</v>
      </c>
      <c r="F231" s="417"/>
      <c r="G231" s="448">
        <v>200.685</v>
      </c>
      <c r="H231" s="417"/>
      <c r="I231" s="448">
        <v>165.49</v>
      </c>
      <c r="J231" s="417" t="s">
        <v>354</v>
      </c>
      <c r="K231" s="448">
        <v>403.85899999999998</v>
      </c>
      <c r="L231" s="417"/>
      <c r="M231" s="448">
        <v>434.78800000000001</v>
      </c>
      <c r="N231" s="417"/>
      <c r="O231" s="448">
        <v>425.38400000000001</v>
      </c>
      <c r="P231" s="417"/>
      <c r="Q231" s="448">
        <v>441.34500000000003</v>
      </c>
      <c r="R231" s="417"/>
      <c r="S231" s="448">
        <v>357.54300000000001</v>
      </c>
      <c r="T231" s="417"/>
      <c r="U231" s="448">
        <v>438.29300000000001</v>
      </c>
      <c r="V231" s="417"/>
      <c r="W231" s="448">
        <v>430</v>
      </c>
      <c r="X231" s="417"/>
      <c r="Y231" s="448">
        <v>410</v>
      </c>
      <c r="Z231" s="417"/>
      <c r="AA231" s="448">
        <v>439.976</v>
      </c>
      <c r="AB231" s="417"/>
      <c r="AC231" s="448">
        <v>424.44</v>
      </c>
      <c r="AF231" s="441">
        <v>14</v>
      </c>
      <c r="AG231" s="441"/>
      <c r="AH231" s="441"/>
      <c r="AI231" s="441"/>
      <c r="AJ231" s="441"/>
      <c r="AK231" s="442"/>
    </row>
    <row r="232" spans="1:37" ht="16.5" customHeight="1" thickBot="1">
      <c r="A232" s="438"/>
      <c r="B232" s="450"/>
      <c r="D232" s="450"/>
      <c r="F232" s="450"/>
      <c r="H232" s="450"/>
      <c r="J232" s="450"/>
      <c r="L232" s="450"/>
      <c r="N232" s="450"/>
      <c r="P232" s="450"/>
      <c r="R232" s="450"/>
      <c r="T232" s="450"/>
      <c r="V232" s="450"/>
      <c r="X232" s="450"/>
      <c r="Z232" s="450"/>
      <c r="AB232" s="450"/>
      <c r="AF232" s="445"/>
      <c r="AG232" s="446"/>
      <c r="AH232" s="446"/>
      <c r="AI232" s="446"/>
      <c r="AJ232" s="446"/>
      <c r="AK232" s="447"/>
    </row>
    <row r="233" spans="1:37">
      <c r="A233" s="438"/>
      <c r="B233" s="421" t="s">
        <v>97</v>
      </c>
      <c r="C233" s="421"/>
      <c r="D233" s="421" t="s">
        <v>88</v>
      </c>
      <c r="E233" s="421"/>
      <c r="F233" s="421" t="s">
        <v>90</v>
      </c>
      <c r="G233" s="421"/>
      <c r="H233" s="421" t="s">
        <v>80</v>
      </c>
      <c r="I233" s="421"/>
      <c r="J233" s="421" t="s">
        <v>80</v>
      </c>
      <c r="K233" s="421"/>
      <c r="L233" s="421" t="s">
        <v>212</v>
      </c>
      <c r="M233" s="421"/>
      <c r="N233" s="421" t="s">
        <v>80</v>
      </c>
      <c r="O233" s="444"/>
      <c r="P233" s="421" t="s">
        <v>97</v>
      </c>
      <c r="R233" s="421" t="s">
        <v>90</v>
      </c>
      <c r="T233" s="421" t="s">
        <v>147</v>
      </c>
      <c r="V233" s="421" t="s">
        <v>90</v>
      </c>
      <c r="X233" s="421" t="s">
        <v>150</v>
      </c>
      <c r="Z233" s="421" t="s">
        <v>97</v>
      </c>
      <c r="AB233" s="421" t="s">
        <v>102</v>
      </c>
      <c r="AF233" s="445"/>
      <c r="AG233" s="446"/>
      <c r="AH233" s="446"/>
      <c r="AI233" s="446"/>
      <c r="AJ233" s="446"/>
      <c r="AK233" s="447"/>
    </row>
    <row r="234" spans="1:37">
      <c r="B234" s="421" t="s">
        <v>1239</v>
      </c>
      <c r="C234" s="421"/>
      <c r="D234" s="421" t="s">
        <v>1239</v>
      </c>
      <c r="E234" s="421"/>
      <c r="F234" s="421"/>
      <c r="G234" s="421"/>
      <c r="H234" s="421"/>
      <c r="I234" s="421"/>
      <c r="J234" s="421"/>
      <c r="K234" s="421"/>
      <c r="L234" s="421"/>
      <c r="M234" s="421"/>
      <c r="N234" s="421" t="s">
        <v>1240</v>
      </c>
      <c r="O234" s="444"/>
      <c r="P234" s="421"/>
      <c r="R234" s="421"/>
      <c r="T234" s="421"/>
      <c r="V234" s="421"/>
      <c r="X234" s="421"/>
      <c r="Z234" s="421"/>
      <c r="AB234" s="421"/>
      <c r="AF234" s="445"/>
      <c r="AG234" s="446"/>
      <c r="AH234" s="446"/>
      <c r="AI234" s="446"/>
      <c r="AJ234" s="446"/>
      <c r="AK234" s="446"/>
    </row>
    <row r="235" spans="1:37">
      <c r="AF235" s="478"/>
    </row>
    <row r="236" spans="1:37">
      <c r="B236" s="439" t="s">
        <v>437</v>
      </c>
      <c r="D236" s="439" t="s">
        <v>438</v>
      </c>
      <c r="F236" s="439" t="s">
        <v>439</v>
      </c>
      <c r="H236" s="439" t="s">
        <v>440</v>
      </c>
      <c r="J236" s="439" t="s">
        <v>441</v>
      </c>
      <c r="L236" s="439" t="s">
        <v>442</v>
      </c>
      <c r="N236" s="439" t="s">
        <v>697</v>
      </c>
      <c r="P236" s="439" t="s">
        <v>698</v>
      </c>
      <c r="R236" s="439" t="s">
        <v>699</v>
      </c>
      <c r="T236" s="439" t="s">
        <v>700</v>
      </c>
      <c r="V236" s="439" t="s">
        <v>701</v>
      </c>
      <c r="X236" s="439" t="s">
        <v>702</v>
      </c>
      <c r="Z236" s="439" t="s">
        <v>703</v>
      </c>
      <c r="AB236" s="439" t="s">
        <v>704</v>
      </c>
      <c r="AF236" s="478"/>
    </row>
    <row r="237" spans="1:37">
      <c r="A237" s="438"/>
      <c r="B237" s="443"/>
      <c r="C237" s="444"/>
      <c r="D237" s="443"/>
      <c r="E237" s="444"/>
      <c r="F237" s="443"/>
      <c r="G237" s="444"/>
      <c r="H237" s="443"/>
      <c r="I237" s="444"/>
      <c r="J237" s="443"/>
      <c r="K237" s="444"/>
      <c r="L237" s="443"/>
      <c r="M237" s="444"/>
      <c r="N237" s="443"/>
      <c r="O237" s="444"/>
      <c r="P237" s="443"/>
      <c r="R237" s="443"/>
      <c r="S237" s="444"/>
      <c r="T237" s="443"/>
      <c r="U237" s="444"/>
      <c r="V237" s="443"/>
      <c r="W237" s="444"/>
      <c r="X237" s="443"/>
      <c r="Y237" s="444"/>
      <c r="Z237" s="443"/>
      <c r="AA237" s="444"/>
      <c r="AB237" s="443"/>
      <c r="AF237" s="441" t="s">
        <v>1154</v>
      </c>
      <c r="AG237" s="441"/>
      <c r="AH237" s="441"/>
      <c r="AI237" s="441"/>
      <c r="AJ237" s="441"/>
      <c r="AK237" s="442"/>
    </row>
    <row r="238" spans="1:37" ht="16.5" customHeight="1" thickBot="1">
      <c r="A238" s="438"/>
      <c r="B238" s="415"/>
      <c r="C238" s="444"/>
      <c r="D238" s="415"/>
      <c r="E238" s="444"/>
      <c r="F238" s="415"/>
      <c r="G238" s="444"/>
      <c r="H238" s="415"/>
      <c r="I238" s="444"/>
      <c r="J238" s="415"/>
      <c r="K238" s="444"/>
      <c r="L238" s="415"/>
      <c r="M238" s="444"/>
      <c r="N238" s="415"/>
      <c r="O238" s="444"/>
      <c r="P238" s="415"/>
      <c r="R238" s="415"/>
      <c r="S238" s="444"/>
      <c r="T238" s="415"/>
      <c r="U238" s="444"/>
      <c r="V238" s="415"/>
      <c r="W238" s="444"/>
      <c r="X238" s="415"/>
      <c r="Y238" s="444"/>
      <c r="Z238" s="415"/>
      <c r="AA238" s="444"/>
      <c r="AB238" s="415"/>
      <c r="AF238" s="445"/>
      <c r="AG238" s="446"/>
      <c r="AH238" s="446"/>
      <c r="AI238" s="446"/>
      <c r="AJ238" s="446"/>
      <c r="AK238" s="447"/>
    </row>
    <row r="239" spans="1:37" ht="42.75" customHeight="1" thickBot="1">
      <c r="A239" s="438"/>
      <c r="B239" s="418"/>
      <c r="C239" s="448">
        <v>439</v>
      </c>
      <c r="D239" s="418"/>
      <c r="E239" s="448">
        <v>395</v>
      </c>
      <c r="F239" s="418"/>
      <c r="G239" s="448">
        <v>401.113</v>
      </c>
      <c r="H239" s="417"/>
      <c r="I239" s="448">
        <v>413</v>
      </c>
      <c r="J239" s="418"/>
      <c r="K239" s="448">
        <v>402.25299999999999</v>
      </c>
      <c r="L239" s="417"/>
      <c r="M239" s="448">
        <v>250.69399999999999</v>
      </c>
      <c r="N239" s="417"/>
      <c r="O239" s="448">
        <v>425.61200000000002</v>
      </c>
      <c r="P239" s="417"/>
      <c r="Q239" s="448">
        <v>381.67500000000001</v>
      </c>
      <c r="R239" s="417"/>
      <c r="S239" s="448">
        <v>351.86900000000003</v>
      </c>
      <c r="T239" s="417"/>
      <c r="U239" s="448">
        <v>419.36099999999999</v>
      </c>
      <c r="V239" s="417"/>
      <c r="W239" s="448">
        <v>421.73899999999998</v>
      </c>
      <c r="X239" s="417"/>
      <c r="Y239" s="448">
        <v>403</v>
      </c>
      <c r="Z239" s="417"/>
      <c r="AA239" s="448">
        <v>355</v>
      </c>
      <c r="AB239" s="417"/>
      <c r="AC239" s="448">
        <v>355</v>
      </c>
      <c r="AF239" s="441">
        <v>14</v>
      </c>
      <c r="AG239" s="441"/>
      <c r="AH239" s="441"/>
      <c r="AI239" s="441"/>
      <c r="AJ239" s="441"/>
      <c r="AK239" s="442"/>
    </row>
    <row r="240" spans="1:37" ht="16.5" customHeight="1" thickBot="1">
      <c r="A240" s="438"/>
      <c r="B240" s="529"/>
      <c r="D240" s="450"/>
      <c r="F240" s="450"/>
      <c r="H240" s="450"/>
      <c r="J240" s="450"/>
      <c r="L240" s="450"/>
      <c r="N240" s="450"/>
      <c r="P240" s="450"/>
      <c r="R240" s="450"/>
      <c r="T240" s="450"/>
      <c r="V240" s="450"/>
      <c r="X240" s="450"/>
      <c r="Z240" s="450"/>
      <c r="AB240" s="450"/>
      <c r="AF240" s="445"/>
      <c r="AG240" s="446"/>
      <c r="AH240" s="446"/>
      <c r="AI240" s="446"/>
      <c r="AJ240" s="446"/>
      <c r="AK240" s="447"/>
    </row>
    <row r="241" spans="1:37">
      <c r="A241" s="438"/>
      <c r="B241" s="421" t="s">
        <v>108</v>
      </c>
      <c r="C241" s="421"/>
      <c r="D241" s="421" t="s">
        <v>150</v>
      </c>
      <c r="E241" s="421"/>
      <c r="F241" s="421" t="s">
        <v>150</v>
      </c>
      <c r="G241" s="421"/>
      <c r="H241" s="421" t="s">
        <v>80</v>
      </c>
      <c r="I241" s="421"/>
      <c r="J241" s="421" t="s">
        <v>206</v>
      </c>
      <c r="K241" s="421"/>
      <c r="L241" s="421" t="s">
        <v>90</v>
      </c>
      <c r="M241" s="421"/>
      <c r="N241" s="421" t="s">
        <v>93</v>
      </c>
      <c r="O241" s="444"/>
      <c r="P241" s="421" t="s">
        <v>150</v>
      </c>
      <c r="R241" s="421" t="s">
        <v>150</v>
      </c>
      <c r="T241" s="421" t="s">
        <v>80</v>
      </c>
      <c r="V241" s="421" t="s">
        <v>102</v>
      </c>
      <c r="X241" s="421" t="s">
        <v>102</v>
      </c>
      <c r="Z241" s="421" t="s">
        <v>147</v>
      </c>
      <c r="AB241" s="421" t="s">
        <v>147</v>
      </c>
      <c r="AF241" s="445"/>
      <c r="AG241" s="446"/>
      <c r="AH241" s="446"/>
      <c r="AI241" s="446"/>
      <c r="AJ241" s="446"/>
      <c r="AK241" s="447"/>
    </row>
    <row r="242" spans="1:37">
      <c r="B242" s="421"/>
      <c r="C242" s="421"/>
      <c r="D242" s="421"/>
      <c r="E242" s="421"/>
      <c r="F242" s="421"/>
      <c r="G242" s="421"/>
      <c r="H242" s="421"/>
      <c r="I242" s="421"/>
      <c r="J242" s="421"/>
      <c r="K242" s="421"/>
      <c r="L242" s="421"/>
      <c r="M242" s="421"/>
      <c r="N242" s="421"/>
      <c r="O242" s="444"/>
      <c r="P242" s="421"/>
      <c r="R242" s="421"/>
      <c r="T242" s="421"/>
      <c r="V242" s="421"/>
      <c r="X242" s="421"/>
      <c r="Z242" s="421"/>
      <c r="AB242" s="421"/>
      <c r="AF242" s="445"/>
      <c r="AG242" s="446"/>
      <c r="AH242" s="446"/>
      <c r="AI242" s="446"/>
      <c r="AJ242" s="446"/>
      <c r="AK242" s="446"/>
    </row>
    <row r="243" spans="1:37">
      <c r="AF243" s="478"/>
    </row>
    <row r="244" spans="1:37">
      <c r="B244" s="439" t="s">
        <v>705</v>
      </c>
      <c r="C244" s="439"/>
      <c r="D244" s="439" t="s">
        <v>706</v>
      </c>
      <c r="E244" s="439"/>
      <c r="F244" s="439" t="s">
        <v>707</v>
      </c>
      <c r="G244" s="439"/>
      <c r="H244" s="439" t="s">
        <v>708</v>
      </c>
      <c r="I244" s="439"/>
      <c r="J244" s="439" t="s">
        <v>709</v>
      </c>
      <c r="K244" s="439"/>
      <c r="L244" s="439" t="s">
        <v>710</v>
      </c>
      <c r="M244" s="439"/>
      <c r="N244" s="439" t="s">
        <v>711</v>
      </c>
      <c r="O244" s="439"/>
      <c r="P244" s="439" t="s">
        <v>712</v>
      </c>
      <c r="Q244" s="439"/>
      <c r="R244" s="439" t="s">
        <v>713</v>
      </c>
      <c r="T244" s="439" t="s">
        <v>714</v>
      </c>
      <c r="V244" s="439" t="s">
        <v>715</v>
      </c>
      <c r="X244" s="454" t="s">
        <v>716</v>
      </c>
      <c r="Z244" s="454" t="s">
        <v>717</v>
      </c>
      <c r="AB244" s="454" t="s">
        <v>718</v>
      </c>
      <c r="AF244" s="478"/>
    </row>
    <row r="245" spans="1:37">
      <c r="A245" s="438"/>
      <c r="B245" s="443"/>
      <c r="C245" s="444"/>
      <c r="D245" s="443"/>
      <c r="E245" s="444"/>
      <c r="F245" s="443"/>
      <c r="G245" s="444"/>
      <c r="H245" s="443"/>
      <c r="I245" s="444"/>
      <c r="J245" s="443"/>
      <c r="K245" s="444"/>
      <c r="L245" s="443"/>
      <c r="M245" s="444"/>
      <c r="N245" s="443"/>
      <c r="O245" s="444"/>
      <c r="P245" s="443"/>
      <c r="R245" s="443"/>
      <c r="S245" s="444"/>
      <c r="T245" s="443"/>
      <c r="U245" s="444"/>
      <c r="V245" s="443"/>
      <c r="W245" s="444"/>
      <c r="X245" s="443"/>
      <c r="Y245" s="444"/>
      <c r="Z245" s="443"/>
      <c r="AA245" s="444"/>
      <c r="AB245" s="443"/>
      <c r="AF245" s="441" t="s">
        <v>1154</v>
      </c>
      <c r="AG245" s="441" t="s">
        <v>318</v>
      </c>
      <c r="AH245" s="441" t="s">
        <v>1155</v>
      </c>
      <c r="AI245" s="441" t="s">
        <v>1156</v>
      </c>
      <c r="AJ245" s="441" t="s">
        <v>267</v>
      </c>
      <c r="AK245" s="442" t="s">
        <v>1157</v>
      </c>
    </row>
    <row r="246" spans="1:37" ht="16.5" customHeight="1" thickBot="1">
      <c r="A246" s="438"/>
      <c r="B246" s="415"/>
      <c r="C246" s="444"/>
      <c r="D246" s="415"/>
      <c r="E246" s="444"/>
      <c r="F246" s="415"/>
      <c r="G246" s="444"/>
      <c r="H246" s="415"/>
      <c r="I246" s="444"/>
      <c r="J246" s="415"/>
      <c r="K246" s="444"/>
      <c r="L246" s="415"/>
      <c r="M246" s="444"/>
      <c r="N246" s="415"/>
      <c r="O246" s="444"/>
      <c r="P246" s="415"/>
      <c r="R246" s="415"/>
      <c r="S246" s="444"/>
      <c r="T246" s="415"/>
      <c r="U246" s="444"/>
      <c r="V246" s="415"/>
      <c r="W246" s="444"/>
      <c r="X246" s="415"/>
      <c r="Y246" s="444"/>
      <c r="Z246" s="415"/>
      <c r="AA246" s="444"/>
      <c r="AB246" s="415"/>
      <c r="AF246" s="445"/>
      <c r="AG246" s="446"/>
      <c r="AH246" s="446"/>
      <c r="AI246" s="446"/>
      <c r="AJ246" s="446"/>
      <c r="AK246" s="447"/>
    </row>
    <row r="247" spans="1:37" ht="42.75" customHeight="1" thickBot="1">
      <c r="A247" s="438"/>
      <c r="B247" s="417"/>
      <c r="C247" s="448">
        <v>373.77100000000002</v>
      </c>
      <c r="D247" s="417"/>
      <c r="E247" s="448">
        <v>364</v>
      </c>
      <c r="F247" s="417"/>
      <c r="G247" s="448">
        <v>421</v>
      </c>
      <c r="H247" s="417"/>
      <c r="I247" s="448">
        <v>334</v>
      </c>
      <c r="J247" s="417"/>
      <c r="K247" s="448">
        <v>388.22</v>
      </c>
      <c r="L247" s="417"/>
      <c r="M247" s="448">
        <v>398</v>
      </c>
      <c r="N247" s="417"/>
      <c r="O247" s="448">
        <v>442.51499999999999</v>
      </c>
      <c r="P247" s="417"/>
      <c r="Q247" s="448">
        <v>415</v>
      </c>
      <c r="R247" s="417"/>
      <c r="S247" s="448">
        <v>417.96800000000002</v>
      </c>
      <c r="T247" s="417"/>
      <c r="U247" s="448">
        <v>424</v>
      </c>
      <c r="V247" s="417"/>
      <c r="W247" s="448">
        <v>415</v>
      </c>
      <c r="X247" s="417"/>
      <c r="Y247" s="448">
        <v>412.20499999999998</v>
      </c>
      <c r="Z247" s="417"/>
      <c r="AA247" s="448">
        <v>278</v>
      </c>
      <c r="AB247" s="417"/>
      <c r="AC247" s="474">
        <v>249.27199999999999</v>
      </c>
      <c r="AF247" s="441">
        <v>14</v>
      </c>
      <c r="AG247" s="441"/>
      <c r="AH247" s="441"/>
      <c r="AI247" s="441"/>
      <c r="AJ247" s="441"/>
      <c r="AK247" s="442"/>
    </row>
    <row r="248" spans="1:37" ht="16.5" customHeight="1" thickBot="1">
      <c r="A248" s="438"/>
      <c r="B248" s="450"/>
      <c r="D248" s="450"/>
      <c r="F248" s="450"/>
      <c r="H248" s="450"/>
      <c r="J248" s="450"/>
      <c r="L248" s="450"/>
      <c r="N248" s="450"/>
      <c r="P248" s="450"/>
      <c r="R248" s="450"/>
      <c r="T248" s="450"/>
      <c r="V248" s="450"/>
      <c r="X248" s="450"/>
      <c r="Z248" s="450"/>
      <c r="AB248" s="450"/>
      <c r="AF248" s="445"/>
      <c r="AG248" s="446"/>
      <c r="AH248" s="446"/>
      <c r="AI248" s="446"/>
      <c r="AJ248" s="446"/>
      <c r="AK248" s="447"/>
    </row>
    <row r="249" spans="1:37">
      <c r="A249" s="438"/>
      <c r="B249" s="421" t="s">
        <v>147</v>
      </c>
      <c r="C249" s="421"/>
      <c r="D249" s="421" t="s">
        <v>80</v>
      </c>
      <c r="E249" s="421"/>
      <c r="F249" s="421" t="s">
        <v>206</v>
      </c>
      <c r="G249" s="421"/>
      <c r="H249" s="421" t="s">
        <v>150</v>
      </c>
      <c r="I249" s="421"/>
      <c r="J249" s="421" t="s">
        <v>206</v>
      </c>
      <c r="K249" s="421"/>
      <c r="L249" s="421" t="s">
        <v>157</v>
      </c>
      <c r="M249" s="421"/>
      <c r="N249" s="421" t="s">
        <v>212</v>
      </c>
      <c r="O249" s="444"/>
      <c r="P249" s="421" t="s">
        <v>102</v>
      </c>
      <c r="Q249" s="421"/>
      <c r="R249" s="421" t="s">
        <v>206</v>
      </c>
      <c r="T249" s="421" t="s">
        <v>80</v>
      </c>
      <c r="V249" s="421" t="s">
        <v>150</v>
      </c>
      <c r="X249" s="454" t="s">
        <v>212</v>
      </c>
      <c r="Z249" s="454" t="s">
        <v>93</v>
      </c>
      <c r="AB249" s="454" t="s">
        <v>147</v>
      </c>
      <c r="AF249" s="445"/>
      <c r="AG249" s="446"/>
      <c r="AH249" s="446"/>
      <c r="AI249" s="446"/>
      <c r="AJ249" s="446"/>
      <c r="AK249" s="447"/>
    </row>
    <row r="250" spans="1:37">
      <c r="B250" s="421"/>
      <c r="C250" s="421"/>
      <c r="D250" s="421"/>
      <c r="E250" s="421"/>
      <c r="F250" s="421"/>
      <c r="G250" s="421"/>
      <c r="H250" s="421"/>
      <c r="I250" s="421"/>
      <c r="J250" s="421"/>
      <c r="K250" s="421"/>
      <c r="L250" s="421"/>
      <c r="M250" s="421"/>
      <c r="N250" s="421"/>
      <c r="O250" s="444"/>
      <c r="P250" s="421"/>
      <c r="Q250" s="421"/>
      <c r="R250" s="421"/>
      <c r="T250" s="421"/>
      <c r="V250" s="421"/>
      <c r="X250" s="454"/>
      <c r="Z250" s="454"/>
      <c r="AB250" s="454"/>
      <c r="AF250" s="445"/>
      <c r="AG250" s="446"/>
      <c r="AH250" s="446"/>
      <c r="AI250" s="446"/>
      <c r="AJ250" s="446"/>
      <c r="AK250" s="446"/>
    </row>
    <row r="251" spans="1:37">
      <c r="AF251" s="478"/>
    </row>
    <row r="252" spans="1:37">
      <c r="B252" s="454" t="s">
        <v>1246</v>
      </c>
      <c r="C252" s="454"/>
      <c r="D252" s="454" t="s">
        <v>719</v>
      </c>
      <c r="F252" s="454" t="s">
        <v>720</v>
      </c>
      <c r="H252" s="454" t="s">
        <v>1247</v>
      </c>
      <c r="J252" s="454" t="s">
        <v>722</v>
      </c>
      <c r="L252" s="454" t="s">
        <v>723</v>
      </c>
      <c r="N252" s="454" t="s">
        <v>724</v>
      </c>
      <c r="P252" s="454" t="s">
        <v>725</v>
      </c>
      <c r="R252" s="454" t="s">
        <v>726</v>
      </c>
      <c r="T252" s="454" t="s">
        <v>145</v>
      </c>
      <c r="V252" s="454" t="s">
        <v>146</v>
      </c>
      <c r="X252" s="454" t="s">
        <v>148</v>
      </c>
      <c r="Z252" s="454" t="s">
        <v>727</v>
      </c>
      <c r="AB252" s="454" t="s">
        <v>728</v>
      </c>
      <c r="AF252" s="478"/>
    </row>
    <row r="253" spans="1:37">
      <c r="A253" s="438"/>
      <c r="B253" s="443"/>
      <c r="C253" s="444"/>
      <c r="D253" s="443"/>
      <c r="E253" s="444"/>
      <c r="F253" s="443"/>
      <c r="G253" s="444"/>
      <c r="H253" s="443"/>
      <c r="I253" s="444"/>
      <c r="J253" s="443"/>
      <c r="K253" s="444"/>
      <c r="L253" s="443"/>
      <c r="M253" s="444"/>
      <c r="N253" s="443"/>
      <c r="O253" s="444"/>
      <c r="P253" s="443"/>
      <c r="R253" s="443"/>
      <c r="S253" s="444"/>
      <c r="T253" s="443"/>
      <c r="U253" s="444"/>
      <c r="V253" s="443"/>
      <c r="W253" s="444"/>
      <c r="X253" s="443"/>
      <c r="Y253" s="444"/>
      <c r="Z253" s="443"/>
      <c r="AA253" s="444"/>
      <c r="AB253" s="443"/>
      <c r="AF253" s="441" t="s">
        <v>1154</v>
      </c>
      <c r="AG253" s="441"/>
      <c r="AH253" s="441"/>
      <c r="AI253" s="441"/>
      <c r="AJ253" s="441"/>
      <c r="AK253" s="442"/>
    </row>
    <row r="254" spans="1:37" ht="16.5" customHeight="1" thickBot="1">
      <c r="A254" s="438"/>
      <c r="B254" s="415"/>
      <c r="C254" s="444"/>
      <c r="D254" s="415"/>
      <c r="E254" s="444"/>
      <c r="F254" s="415"/>
      <c r="G254" s="444"/>
      <c r="H254" s="415"/>
      <c r="I254" s="444"/>
      <c r="J254" s="415"/>
      <c r="K254" s="444"/>
      <c r="L254" s="415"/>
      <c r="M254" s="444"/>
      <c r="N254" s="415"/>
      <c r="O254" s="444"/>
      <c r="P254" s="415"/>
      <c r="R254" s="415"/>
      <c r="S254" s="444"/>
      <c r="T254" s="415"/>
      <c r="U254" s="444"/>
      <c r="V254" s="415"/>
      <c r="W254" s="444"/>
      <c r="X254" s="415"/>
      <c r="Y254" s="444"/>
      <c r="Z254" s="415"/>
      <c r="AA254" s="444"/>
      <c r="AB254" s="415"/>
      <c r="AF254" s="445"/>
      <c r="AG254" s="446"/>
      <c r="AH254" s="446"/>
      <c r="AI254" s="446"/>
      <c r="AJ254" s="446"/>
      <c r="AK254" s="447"/>
    </row>
    <row r="255" spans="1:37" ht="42.75" customHeight="1" thickBot="1">
      <c r="A255" s="438"/>
      <c r="B255" s="417"/>
      <c r="C255" s="448">
        <v>395</v>
      </c>
      <c r="D255" s="417"/>
      <c r="E255" s="448">
        <v>408</v>
      </c>
      <c r="F255" s="417"/>
      <c r="G255" s="448">
        <v>352.00200000000001</v>
      </c>
      <c r="H255" s="417"/>
      <c r="I255" s="448">
        <v>373.572</v>
      </c>
      <c r="J255" s="417"/>
      <c r="K255" s="448">
        <v>367</v>
      </c>
      <c r="L255" s="417"/>
      <c r="M255" s="448">
        <v>384</v>
      </c>
      <c r="N255" s="417"/>
      <c r="O255" s="448">
        <v>385</v>
      </c>
      <c r="P255" s="417"/>
      <c r="Q255" s="474">
        <v>419.36799999999999</v>
      </c>
      <c r="R255" s="417"/>
      <c r="S255" s="448">
        <v>288</v>
      </c>
      <c r="T255" s="417"/>
      <c r="U255" s="448">
        <v>404</v>
      </c>
      <c r="V255" s="417"/>
      <c r="W255" s="448">
        <v>413</v>
      </c>
      <c r="X255" s="417"/>
      <c r="Y255" s="448">
        <v>414</v>
      </c>
      <c r="Z255" s="417"/>
      <c r="AA255" s="448">
        <v>414</v>
      </c>
      <c r="AB255" s="417"/>
      <c r="AC255" s="474">
        <v>425</v>
      </c>
      <c r="AF255" s="441">
        <v>14</v>
      </c>
      <c r="AG255" s="441"/>
      <c r="AH255" s="441"/>
      <c r="AI255" s="441"/>
      <c r="AJ255" s="441"/>
      <c r="AK255" s="442"/>
    </row>
    <row r="256" spans="1:37" ht="16.5" customHeight="1" thickBot="1">
      <c r="A256" s="438"/>
      <c r="B256" s="450"/>
      <c r="D256" s="450"/>
      <c r="F256" s="450"/>
      <c r="H256" s="450"/>
      <c r="J256" s="450"/>
      <c r="L256" s="450"/>
      <c r="N256" s="450"/>
      <c r="P256" s="450"/>
      <c r="R256" s="450"/>
      <c r="T256" s="450"/>
      <c r="V256" s="450"/>
      <c r="X256" s="450"/>
      <c r="Z256" s="450"/>
      <c r="AB256" s="450"/>
      <c r="AF256" s="445"/>
      <c r="AG256" s="446"/>
      <c r="AH256" s="446"/>
      <c r="AI256" s="446"/>
      <c r="AJ256" s="446"/>
      <c r="AK256" s="447"/>
    </row>
    <row r="257" spans="1:37">
      <c r="A257" s="438"/>
      <c r="B257" s="421" t="s">
        <v>90</v>
      </c>
      <c r="C257" s="421"/>
      <c r="D257" s="421" t="s">
        <v>150</v>
      </c>
      <c r="E257" s="421"/>
      <c r="F257" s="421" t="s">
        <v>150</v>
      </c>
      <c r="G257" s="421"/>
      <c r="H257" s="421" t="s">
        <v>90</v>
      </c>
      <c r="I257" s="421"/>
      <c r="J257" s="421" t="s">
        <v>147</v>
      </c>
      <c r="K257" s="421"/>
      <c r="L257" s="421" t="s">
        <v>147</v>
      </c>
      <c r="M257" s="421"/>
      <c r="N257" s="421" t="s">
        <v>147</v>
      </c>
      <c r="O257" s="444"/>
      <c r="P257" s="421" t="s">
        <v>147</v>
      </c>
      <c r="R257" s="524" t="s">
        <v>80</v>
      </c>
      <c r="T257" s="524" t="s">
        <v>147</v>
      </c>
      <c r="V257" s="524" t="s">
        <v>147</v>
      </c>
      <c r="X257" s="524" t="s">
        <v>147</v>
      </c>
      <c r="Z257" s="524" t="s">
        <v>147</v>
      </c>
      <c r="AB257" s="524" t="s">
        <v>147</v>
      </c>
      <c r="AF257" s="445"/>
      <c r="AG257" s="446"/>
      <c r="AH257" s="446"/>
      <c r="AI257" s="446"/>
      <c r="AJ257" s="446"/>
      <c r="AK257" s="447"/>
    </row>
    <row r="258" spans="1:37">
      <c r="B258" s="421"/>
      <c r="C258" s="421"/>
      <c r="D258" s="421"/>
      <c r="E258" s="421"/>
      <c r="F258" s="421"/>
      <c r="G258" s="421"/>
      <c r="H258" s="421"/>
      <c r="I258" s="421"/>
      <c r="J258" s="421"/>
      <c r="K258" s="421"/>
      <c r="L258" s="421"/>
      <c r="M258" s="421"/>
      <c r="N258" s="421"/>
      <c r="O258" s="444"/>
      <c r="P258" s="421"/>
      <c r="R258" s="454"/>
      <c r="T258" s="454"/>
      <c r="V258" s="525" t="s">
        <v>418</v>
      </c>
      <c r="X258" s="454"/>
      <c r="Z258" s="454"/>
      <c r="AB258" s="454"/>
      <c r="AF258" s="445"/>
      <c r="AG258" s="446"/>
      <c r="AH258" s="446"/>
      <c r="AI258" s="446"/>
      <c r="AJ258" s="446"/>
      <c r="AK258" s="446"/>
    </row>
    <row r="259" spans="1:37">
      <c r="AF259" s="478"/>
    </row>
    <row r="260" spans="1:37">
      <c r="B260" s="454" t="s">
        <v>729</v>
      </c>
      <c r="C260" s="454"/>
      <c r="D260" s="454" t="s">
        <v>730</v>
      </c>
      <c r="E260" s="454"/>
      <c r="F260" s="454" t="s">
        <v>731</v>
      </c>
      <c r="G260" s="454"/>
      <c r="H260" s="454" t="s">
        <v>733</v>
      </c>
      <c r="I260" s="454"/>
      <c r="J260" s="454" t="s">
        <v>1303</v>
      </c>
      <c r="K260" s="454"/>
      <c r="L260" s="454" t="s">
        <v>1299</v>
      </c>
      <c r="M260" s="454"/>
      <c r="N260" s="454" t="s">
        <v>1300</v>
      </c>
      <c r="O260" s="454"/>
      <c r="P260" s="454" t="s">
        <v>1301</v>
      </c>
      <c r="Q260" s="454"/>
      <c r="R260" s="454" t="s">
        <v>1304</v>
      </c>
      <c r="S260" s="454"/>
      <c r="T260" s="454" t="s">
        <v>737</v>
      </c>
      <c r="U260" s="454"/>
      <c r="V260" s="454" t="s">
        <v>738</v>
      </c>
      <c r="W260" s="454"/>
      <c r="X260" s="454" t="s">
        <v>739</v>
      </c>
      <c r="Y260" s="454"/>
      <c r="Z260" s="454" t="s">
        <v>740</v>
      </c>
      <c r="AA260" s="454"/>
      <c r="AB260" s="454" t="s">
        <v>741</v>
      </c>
      <c r="AC260" s="454"/>
      <c r="AD260" s="454" t="s">
        <v>742</v>
      </c>
      <c r="AE260" s="454"/>
      <c r="AF260" s="478"/>
    </row>
    <row r="261" spans="1:37">
      <c r="A261" s="438"/>
      <c r="B261" s="443"/>
      <c r="C261" s="444"/>
      <c r="D261" s="443"/>
      <c r="E261" s="444"/>
      <c r="F261" s="443"/>
      <c r="G261" s="444"/>
      <c r="H261" s="443"/>
      <c r="I261" s="444"/>
      <c r="J261" s="443"/>
      <c r="K261" s="444"/>
      <c r="L261" s="443"/>
      <c r="M261" s="444"/>
      <c r="N261" s="443"/>
      <c r="O261" s="444"/>
      <c r="P261" s="443"/>
      <c r="R261" s="443"/>
      <c r="S261" s="444"/>
      <c r="T261" s="443"/>
      <c r="U261" s="444"/>
      <c r="V261" s="443"/>
      <c r="W261" s="444"/>
      <c r="X261" s="443"/>
      <c r="Y261" s="444"/>
      <c r="Z261" s="443"/>
      <c r="AA261" s="444"/>
      <c r="AB261" s="443"/>
      <c r="AD261" s="443"/>
      <c r="AF261" s="441" t="s">
        <v>1154</v>
      </c>
      <c r="AG261" s="441" t="s">
        <v>318</v>
      </c>
      <c r="AH261" s="441" t="s">
        <v>1155</v>
      </c>
      <c r="AI261" s="441" t="s">
        <v>1156</v>
      </c>
      <c r="AJ261" s="441" t="s">
        <v>267</v>
      </c>
      <c r="AK261" s="442" t="s">
        <v>1157</v>
      </c>
    </row>
    <row r="262" spans="1:37" ht="16.5" customHeight="1" thickBot="1">
      <c r="A262" s="438"/>
      <c r="B262" s="415"/>
      <c r="C262" s="444"/>
      <c r="D262" s="415"/>
      <c r="E262" s="444"/>
      <c r="F262" s="415"/>
      <c r="G262" s="444"/>
      <c r="H262" s="415"/>
      <c r="I262" s="444"/>
      <c r="J262" s="415"/>
      <c r="K262" s="444"/>
      <c r="L262" s="415"/>
      <c r="M262" s="444"/>
      <c r="N262" s="415"/>
      <c r="O262" s="444"/>
      <c r="P262" s="415"/>
      <c r="R262" s="415"/>
      <c r="S262" s="444"/>
      <c r="T262" s="415"/>
      <c r="U262" s="444"/>
      <c r="V262" s="415"/>
      <c r="W262" s="444"/>
      <c r="X262" s="415"/>
      <c r="Y262" s="444"/>
      <c r="Z262" s="415"/>
      <c r="AA262" s="444"/>
      <c r="AB262" s="415"/>
      <c r="AD262" s="415"/>
      <c r="AF262" s="445"/>
      <c r="AG262" s="446"/>
      <c r="AH262" s="446"/>
      <c r="AI262" s="446"/>
      <c r="AJ262" s="446"/>
      <c r="AK262" s="447"/>
    </row>
    <row r="263" spans="1:37" ht="31.95" customHeight="1" thickBot="1">
      <c r="A263" s="438"/>
      <c r="B263" s="417"/>
      <c r="C263" s="448">
        <v>410.108</v>
      </c>
      <c r="D263" s="526"/>
      <c r="E263" s="448">
        <v>414.82499999999999</v>
      </c>
      <c r="F263" s="526"/>
      <c r="G263" s="448">
        <v>360.43099999999998</v>
      </c>
      <c r="H263" s="526"/>
      <c r="I263" s="448">
        <v>226</v>
      </c>
      <c r="J263" s="526"/>
      <c r="K263" s="448">
        <v>438.03699999999998</v>
      </c>
      <c r="L263" s="526"/>
      <c r="M263" s="448">
        <v>402.73700000000002</v>
      </c>
      <c r="N263" s="526"/>
      <c r="O263" s="448">
        <v>433.49</v>
      </c>
      <c r="P263" s="526"/>
      <c r="Q263" s="448">
        <v>409.20600000000002</v>
      </c>
      <c r="R263" s="526"/>
      <c r="S263" s="448">
        <v>436.60500000000002</v>
      </c>
      <c r="T263" s="526"/>
      <c r="U263" s="448">
        <v>394.613</v>
      </c>
      <c r="V263" s="526"/>
      <c r="W263" s="448">
        <v>383.90100000000001</v>
      </c>
      <c r="X263" s="526"/>
      <c r="Y263" s="448">
        <v>356.322</v>
      </c>
      <c r="Z263" s="526"/>
      <c r="AA263" s="448">
        <v>378.30099999999999</v>
      </c>
      <c r="AB263" s="526"/>
      <c r="AC263" s="448">
        <v>356.02800000000002</v>
      </c>
      <c r="AD263" s="417"/>
      <c r="AF263" s="441">
        <v>14</v>
      </c>
      <c r="AG263" s="441"/>
      <c r="AH263" s="441"/>
      <c r="AI263" s="441"/>
      <c r="AJ263" s="441"/>
      <c r="AK263" s="442"/>
    </row>
    <row r="264" spans="1:37" ht="16.5" customHeight="1" thickBot="1">
      <c r="A264" s="438"/>
      <c r="B264" s="450"/>
      <c r="D264" s="450"/>
      <c r="F264" s="450"/>
      <c r="H264" s="450"/>
      <c r="J264" s="450"/>
      <c r="L264" s="450"/>
      <c r="N264" s="450"/>
      <c r="P264" s="450"/>
      <c r="R264" s="450"/>
      <c r="T264" s="450"/>
      <c r="V264" s="450"/>
      <c r="X264" s="450"/>
      <c r="Z264" s="450"/>
      <c r="AB264" s="450"/>
      <c r="AD264" s="450"/>
      <c r="AF264" s="445"/>
      <c r="AG264" s="446"/>
      <c r="AH264" s="446"/>
      <c r="AI264" s="446"/>
      <c r="AJ264" s="446"/>
      <c r="AK264" s="447"/>
    </row>
    <row r="265" spans="1:37">
      <c r="A265" s="438"/>
      <c r="B265" s="454" t="s">
        <v>150</v>
      </c>
      <c r="C265" s="454"/>
      <c r="D265" s="454" t="s">
        <v>147</v>
      </c>
      <c r="E265" s="454"/>
      <c r="F265" s="454" t="s">
        <v>206</v>
      </c>
      <c r="G265" s="454"/>
      <c r="H265" s="454" t="s">
        <v>90</v>
      </c>
      <c r="I265" s="454"/>
      <c r="J265" s="454" t="s">
        <v>90</v>
      </c>
      <c r="K265" s="454"/>
      <c r="L265" s="454" t="s">
        <v>212</v>
      </c>
      <c r="M265" s="454"/>
      <c r="N265" s="454" t="s">
        <v>150</v>
      </c>
      <c r="O265" s="454"/>
      <c r="P265" s="454" t="s">
        <v>206</v>
      </c>
      <c r="Q265" s="454"/>
      <c r="R265" s="454" t="s">
        <v>212</v>
      </c>
      <c r="S265" s="454"/>
      <c r="T265" s="454" t="s">
        <v>80</v>
      </c>
      <c r="U265" s="454"/>
      <c r="V265" s="454" t="s">
        <v>147</v>
      </c>
      <c r="W265" s="454"/>
      <c r="X265" s="454" t="s">
        <v>150</v>
      </c>
      <c r="Y265" s="454"/>
      <c r="Z265" s="454" t="s">
        <v>206</v>
      </c>
      <c r="AA265" s="454"/>
      <c r="AB265" s="454" t="s">
        <v>90</v>
      </c>
      <c r="AC265" s="454"/>
      <c r="AD265" s="454" t="s">
        <v>153</v>
      </c>
      <c r="AF265" s="445"/>
      <c r="AG265" s="446"/>
      <c r="AH265" s="446"/>
      <c r="AI265" s="446"/>
      <c r="AJ265" s="446"/>
      <c r="AK265" s="447"/>
    </row>
    <row r="266" spans="1:37">
      <c r="B266" s="421"/>
      <c r="C266" s="421"/>
      <c r="D266" s="421"/>
      <c r="E266" s="421"/>
      <c r="F266" s="421"/>
      <c r="G266" s="421"/>
      <c r="H266" s="421"/>
      <c r="I266" s="421"/>
      <c r="J266" s="421"/>
      <c r="K266" s="421"/>
      <c r="L266" s="421"/>
      <c r="M266" s="421"/>
      <c r="N266" s="421"/>
      <c r="O266" s="444"/>
      <c r="P266" s="421"/>
      <c r="R266" s="454"/>
      <c r="T266" s="454"/>
      <c r="V266" s="454"/>
      <c r="X266" s="454"/>
      <c r="Z266" s="454"/>
      <c r="AB266" s="454"/>
      <c r="AF266" s="445"/>
      <c r="AG266" s="446"/>
      <c r="AH266" s="446"/>
      <c r="AI266" s="446"/>
      <c r="AJ266" s="446"/>
      <c r="AK266" s="446"/>
    </row>
    <row r="267" spans="1:37">
      <c r="AF267" s="478"/>
    </row>
    <row r="268" spans="1:37">
      <c r="B268" s="454" t="s">
        <v>743</v>
      </c>
      <c r="D268" s="474" t="s">
        <v>744</v>
      </c>
      <c r="F268" s="474" t="s">
        <v>745</v>
      </c>
      <c r="H268" s="474" t="s">
        <v>746</v>
      </c>
      <c r="J268" s="454" t="s">
        <v>747</v>
      </c>
      <c r="L268" s="454" t="s">
        <v>748</v>
      </c>
      <c r="N268" s="454" t="s">
        <v>749</v>
      </c>
      <c r="P268" s="454" t="s">
        <v>750</v>
      </c>
      <c r="R268" s="454" t="s">
        <v>751</v>
      </c>
      <c r="T268" s="454" t="s">
        <v>752</v>
      </c>
      <c r="V268" s="454" t="s">
        <v>753</v>
      </c>
      <c r="X268" s="454" t="s">
        <v>754</v>
      </c>
      <c r="Z268" s="474" t="s">
        <v>755</v>
      </c>
      <c r="AB268" s="454" t="s">
        <v>756</v>
      </c>
      <c r="AF268" s="478"/>
    </row>
    <row r="269" spans="1:37">
      <c r="A269" s="438"/>
      <c r="B269" s="443"/>
      <c r="C269" s="444"/>
      <c r="D269" s="443"/>
      <c r="E269" s="444"/>
      <c r="F269" s="443"/>
      <c r="G269" s="444"/>
      <c r="H269" s="443"/>
      <c r="I269" s="444"/>
      <c r="J269" s="443"/>
      <c r="K269" s="444"/>
      <c r="L269" s="443"/>
      <c r="M269" s="444"/>
      <c r="N269" s="443"/>
      <c r="O269" s="444"/>
      <c r="P269" s="443"/>
      <c r="R269" s="443"/>
      <c r="S269" s="444"/>
      <c r="T269" s="443"/>
      <c r="U269" s="444"/>
      <c r="V269" s="443"/>
      <c r="W269" s="444"/>
      <c r="X269" s="443"/>
      <c r="Y269" s="444"/>
      <c r="Z269" s="443"/>
      <c r="AA269" s="444"/>
      <c r="AB269" s="443"/>
      <c r="AF269" s="441" t="s">
        <v>1154</v>
      </c>
      <c r="AG269" s="441"/>
      <c r="AH269" s="441"/>
      <c r="AI269" s="441"/>
      <c r="AJ269" s="441"/>
      <c r="AK269" s="442"/>
    </row>
    <row r="270" spans="1:37" ht="16.5" customHeight="1" thickBot="1">
      <c r="A270" s="438"/>
      <c r="B270" s="415"/>
      <c r="C270" s="444"/>
      <c r="D270" s="415"/>
      <c r="E270" s="444"/>
      <c r="F270" s="415"/>
      <c r="G270" s="444"/>
      <c r="H270" s="415"/>
      <c r="I270" s="444"/>
      <c r="J270" s="415"/>
      <c r="K270" s="444"/>
      <c r="L270" s="415"/>
      <c r="M270" s="444"/>
      <c r="N270" s="415"/>
      <c r="O270" s="444"/>
      <c r="P270" s="415"/>
      <c r="R270" s="415"/>
      <c r="S270" s="444"/>
      <c r="T270" s="415"/>
      <c r="U270" s="444"/>
      <c r="V270" s="415"/>
      <c r="W270" s="444"/>
      <c r="X270" s="415"/>
      <c r="Y270" s="444"/>
      <c r="Z270" s="415"/>
      <c r="AA270" s="444"/>
      <c r="AB270" s="415"/>
      <c r="AF270" s="445"/>
      <c r="AG270" s="446"/>
      <c r="AH270" s="446"/>
      <c r="AI270" s="446"/>
      <c r="AJ270" s="446"/>
      <c r="AK270" s="447"/>
    </row>
    <row r="271" spans="1:37" ht="32.549999999999997" customHeight="1" thickBot="1">
      <c r="A271" s="438"/>
      <c r="B271" s="417"/>
      <c r="C271" s="448">
        <v>381</v>
      </c>
      <c r="D271" s="417"/>
      <c r="E271" s="448">
        <v>334</v>
      </c>
      <c r="F271" s="417"/>
      <c r="G271" s="448">
        <v>347</v>
      </c>
      <c r="H271" s="417"/>
      <c r="I271" s="448">
        <v>375.54599999999999</v>
      </c>
      <c r="J271" s="417"/>
      <c r="K271" s="448">
        <v>392</v>
      </c>
      <c r="L271" s="417"/>
      <c r="M271" s="448">
        <v>407.97399999999999</v>
      </c>
      <c r="N271" s="417"/>
      <c r="O271" s="448">
        <v>392</v>
      </c>
      <c r="P271" s="417"/>
      <c r="Q271" s="474">
        <v>405</v>
      </c>
      <c r="R271" s="417"/>
      <c r="S271" s="448">
        <v>435</v>
      </c>
      <c r="T271" s="417"/>
      <c r="U271" s="448">
        <v>378.32799999999997</v>
      </c>
      <c r="V271" s="417"/>
      <c r="W271" s="448">
        <v>386</v>
      </c>
      <c r="X271" s="417"/>
      <c r="Y271" s="448">
        <v>391</v>
      </c>
      <c r="Z271" s="417"/>
      <c r="AA271" s="448">
        <v>399.827</v>
      </c>
      <c r="AB271" s="417"/>
      <c r="AC271" s="479">
        <v>437.00799999999998</v>
      </c>
      <c r="AF271" s="441">
        <v>14</v>
      </c>
      <c r="AG271" s="441"/>
      <c r="AH271" s="441"/>
      <c r="AI271" s="441"/>
      <c r="AJ271" s="441"/>
      <c r="AK271" s="442"/>
    </row>
    <row r="272" spans="1:37" ht="16.5" customHeight="1" thickBot="1">
      <c r="A272" s="438"/>
      <c r="B272" s="450"/>
      <c r="D272" s="450"/>
      <c r="F272" s="450"/>
      <c r="H272" s="450"/>
      <c r="J272" s="450"/>
      <c r="L272" s="450"/>
      <c r="N272" s="450"/>
      <c r="P272" s="450"/>
      <c r="R272" s="450"/>
      <c r="T272" s="450"/>
      <c r="V272" s="450"/>
      <c r="X272" s="450"/>
      <c r="Z272" s="450"/>
      <c r="AB272" s="450"/>
      <c r="AF272" s="445"/>
      <c r="AG272" s="446"/>
      <c r="AH272" s="446"/>
      <c r="AI272" s="446"/>
      <c r="AJ272" s="446"/>
      <c r="AK272" s="447"/>
    </row>
    <row r="273" spans="1:37">
      <c r="A273" s="438"/>
      <c r="B273" s="421" t="s">
        <v>153</v>
      </c>
      <c r="C273" s="421"/>
      <c r="D273" s="421" t="s">
        <v>147</v>
      </c>
      <c r="E273" s="421"/>
      <c r="F273" s="421" t="s">
        <v>147</v>
      </c>
      <c r="G273" s="421"/>
      <c r="H273" s="421" t="s">
        <v>147</v>
      </c>
      <c r="I273" s="421"/>
      <c r="J273" s="421" t="s">
        <v>102</v>
      </c>
      <c r="K273" s="421"/>
      <c r="L273" s="421" t="s">
        <v>212</v>
      </c>
      <c r="M273" s="421"/>
      <c r="N273" s="421" t="s">
        <v>84</v>
      </c>
      <c r="O273" s="444"/>
      <c r="P273" s="421" t="s">
        <v>150</v>
      </c>
      <c r="R273" s="454" t="s">
        <v>150</v>
      </c>
      <c r="T273" s="454" t="s">
        <v>150</v>
      </c>
      <c r="V273" s="454" t="s">
        <v>80</v>
      </c>
      <c r="X273" s="454" t="s">
        <v>147</v>
      </c>
      <c r="Z273" s="479" t="s">
        <v>206</v>
      </c>
      <c r="AB273" s="454" t="s">
        <v>102</v>
      </c>
      <c r="AF273" s="445"/>
      <c r="AG273" s="446"/>
      <c r="AH273" s="446"/>
      <c r="AI273" s="446"/>
      <c r="AJ273" s="446"/>
      <c r="AK273" s="447"/>
    </row>
    <row r="274" spans="1:37">
      <c r="B274" s="421"/>
      <c r="C274" s="421"/>
      <c r="D274" s="421"/>
      <c r="E274" s="421"/>
      <c r="F274" s="421"/>
      <c r="G274" s="421"/>
      <c r="H274" s="421"/>
      <c r="I274" s="421"/>
      <c r="J274" s="421"/>
      <c r="K274" s="421"/>
      <c r="L274" s="421"/>
      <c r="M274" s="421"/>
      <c r="N274" s="421"/>
      <c r="O274" s="444"/>
      <c r="P274" s="421"/>
      <c r="R274" s="454"/>
      <c r="T274" s="454"/>
      <c r="V274" s="454"/>
      <c r="X274" s="454"/>
      <c r="Z274" s="479"/>
      <c r="AB274" s="454"/>
      <c r="AF274" s="445"/>
      <c r="AG274" s="446"/>
      <c r="AH274" s="446"/>
      <c r="AI274" s="446"/>
      <c r="AJ274" s="446"/>
      <c r="AK274" s="446"/>
    </row>
    <row r="275" spans="1:37">
      <c r="AF275" s="478"/>
    </row>
    <row r="276" spans="1:37">
      <c r="B276" s="454" t="s">
        <v>757</v>
      </c>
      <c r="D276" s="474" t="s">
        <v>758</v>
      </c>
      <c r="F276" s="474" t="s">
        <v>759</v>
      </c>
      <c r="G276" s="474"/>
      <c r="H276" s="474" t="s">
        <v>760</v>
      </c>
      <c r="I276" s="474"/>
      <c r="J276" s="474" t="s">
        <v>761</v>
      </c>
      <c r="K276" s="474"/>
      <c r="L276" s="474" t="s">
        <v>762</v>
      </c>
      <c r="M276" s="474"/>
      <c r="N276" s="474" t="s">
        <v>763</v>
      </c>
      <c r="O276" s="474"/>
      <c r="P276" s="474" t="s">
        <v>764</v>
      </c>
      <c r="Q276" s="474"/>
      <c r="R276" s="474" t="s">
        <v>765</v>
      </c>
      <c r="S276" s="474"/>
      <c r="T276" s="474" t="s">
        <v>766</v>
      </c>
      <c r="U276" s="474"/>
      <c r="V276" s="474" t="s">
        <v>767</v>
      </c>
      <c r="W276" s="474"/>
      <c r="X276" s="474" t="s">
        <v>768</v>
      </c>
      <c r="Y276" s="474"/>
      <c r="Z276" s="474" t="s">
        <v>769</v>
      </c>
      <c r="AA276" s="474"/>
      <c r="AB276" s="474" t="s">
        <v>770</v>
      </c>
      <c r="AF276" s="478"/>
    </row>
    <row r="277" spans="1:37">
      <c r="A277" s="438"/>
      <c r="B277" s="443"/>
      <c r="C277" s="444"/>
      <c r="D277" s="443"/>
      <c r="E277" s="444"/>
      <c r="F277" s="443"/>
      <c r="G277" s="444"/>
      <c r="H277" s="443"/>
      <c r="I277" s="444"/>
      <c r="J277" s="443"/>
      <c r="K277" s="444"/>
      <c r="L277" s="443"/>
      <c r="M277" s="444"/>
      <c r="N277" s="443"/>
      <c r="O277" s="444"/>
      <c r="P277" s="443"/>
      <c r="R277" s="443"/>
      <c r="S277" s="444"/>
      <c r="T277" s="443"/>
      <c r="U277" s="444"/>
      <c r="V277" s="443"/>
      <c r="W277" s="444"/>
      <c r="X277" s="443"/>
      <c r="Y277" s="444"/>
      <c r="Z277" s="443"/>
      <c r="AA277" s="444"/>
      <c r="AB277" s="443"/>
      <c r="AF277" s="441" t="s">
        <v>1154</v>
      </c>
      <c r="AG277" s="441"/>
      <c r="AH277" s="441"/>
      <c r="AI277" s="441"/>
      <c r="AJ277" s="441"/>
      <c r="AK277" s="442"/>
    </row>
    <row r="278" spans="1:37" ht="16.5" customHeight="1" thickBot="1">
      <c r="A278" s="438"/>
      <c r="B278" s="415"/>
      <c r="C278" s="444"/>
      <c r="D278" s="415"/>
      <c r="E278" s="444"/>
      <c r="F278" s="415"/>
      <c r="G278" s="444"/>
      <c r="H278" s="415"/>
      <c r="I278" s="444"/>
      <c r="J278" s="415"/>
      <c r="K278" s="444"/>
      <c r="L278" s="415"/>
      <c r="M278" s="444"/>
      <c r="N278" s="415"/>
      <c r="O278" s="444"/>
      <c r="P278" s="415"/>
      <c r="R278" s="415"/>
      <c r="S278" s="444"/>
      <c r="T278" s="415"/>
      <c r="U278" s="444"/>
      <c r="V278" s="415"/>
      <c r="W278" s="444"/>
      <c r="X278" s="415"/>
      <c r="Y278" s="444"/>
      <c r="Z278" s="415"/>
      <c r="AA278" s="444"/>
      <c r="AB278" s="415"/>
      <c r="AF278" s="445"/>
      <c r="AG278" s="446"/>
      <c r="AH278" s="446"/>
      <c r="AI278" s="446"/>
      <c r="AJ278" s="446"/>
      <c r="AK278" s="447"/>
    </row>
    <row r="279" spans="1:37" ht="33" customHeight="1" thickBot="1">
      <c r="A279" s="438"/>
      <c r="B279" s="417"/>
      <c r="C279" s="448">
        <v>401.75700000000001</v>
      </c>
      <c r="D279" s="417"/>
      <c r="E279" s="448">
        <v>416.24299999999999</v>
      </c>
      <c r="F279" s="417"/>
      <c r="G279" s="448">
        <v>417</v>
      </c>
      <c r="H279" s="417"/>
      <c r="I279" s="448">
        <v>399</v>
      </c>
      <c r="J279" s="417"/>
      <c r="K279" s="448">
        <v>420</v>
      </c>
      <c r="L279" s="417"/>
      <c r="M279" s="448">
        <v>409</v>
      </c>
      <c r="N279" s="417"/>
      <c r="O279" s="448">
        <v>412</v>
      </c>
      <c r="P279" s="417"/>
      <c r="Q279" s="474">
        <v>400.40600000000001</v>
      </c>
      <c r="R279" s="417"/>
      <c r="S279" s="448">
        <v>232.12299999999999</v>
      </c>
      <c r="T279" s="417"/>
      <c r="U279" s="448">
        <v>442</v>
      </c>
      <c r="V279" s="417"/>
      <c r="W279" s="448">
        <v>385</v>
      </c>
      <c r="X279" s="417"/>
      <c r="Y279" s="448">
        <v>362</v>
      </c>
      <c r="Z279" s="417"/>
      <c r="AA279" s="448">
        <v>399</v>
      </c>
      <c r="AB279" s="417"/>
      <c r="AC279" s="474">
        <v>382.072</v>
      </c>
      <c r="AF279" s="441">
        <v>14</v>
      </c>
      <c r="AG279" s="441"/>
      <c r="AH279" s="441"/>
      <c r="AI279" s="441"/>
      <c r="AJ279" s="441"/>
      <c r="AK279" s="442"/>
    </row>
    <row r="280" spans="1:37" ht="16.5" customHeight="1" thickBot="1">
      <c r="A280" s="438"/>
      <c r="B280" s="450"/>
      <c r="D280" s="450"/>
      <c r="F280" s="450"/>
      <c r="H280" s="450"/>
      <c r="J280" s="450"/>
      <c r="L280" s="450"/>
      <c r="N280" s="450"/>
      <c r="P280" s="450"/>
      <c r="R280" s="450"/>
      <c r="T280" s="450"/>
      <c r="V280" s="450"/>
      <c r="X280" s="450"/>
      <c r="Z280" s="450"/>
      <c r="AB280" s="450"/>
      <c r="AF280" s="445"/>
      <c r="AG280" s="446"/>
      <c r="AH280" s="446"/>
      <c r="AI280" s="446"/>
      <c r="AJ280" s="446"/>
      <c r="AK280" s="447"/>
    </row>
    <row r="281" spans="1:37">
      <c r="A281" s="438"/>
      <c r="B281" s="421" t="s">
        <v>102</v>
      </c>
      <c r="C281" s="421"/>
      <c r="D281" s="421" t="s">
        <v>206</v>
      </c>
      <c r="E281" s="421"/>
      <c r="F281" s="421" t="s">
        <v>147</v>
      </c>
      <c r="G281" s="421"/>
      <c r="H281" s="421" t="s">
        <v>150</v>
      </c>
      <c r="I281" s="421"/>
      <c r="J281" s="421" t="s">
        <v>150</v>
      </c>
      <c r="K281" s="421"/>
      <c r="L281" s="421" t="s">
        <v>150</v>
      </c>
      <c r="M281" s="421"/>
      <c r="N281" s="421" t="s">
        <v>147</v>
      </c>
      <c r="O281" s="444"/>
      <c r="P281" s="421" t="s">
        <v>150</v>
      </c>
      <c r="R281" s="454" t="s">
        <v>157</v>
      </c>
      <c r="T281" s="454" t="s">
        <v>157</v>
      </c>
      <c r="U281" s="454"/>
      <c r="V281" s="454" t="s">
        <v>150</v>
      </c>
      <c r="X281" s="454" t="s">
        <v>147</v>
      </c>
      <c r="Z281" s="454" t="s">
        <v>147</v>
      </c>
      <c r="AB281" s="454" t="s">
        <v>150</v>
      </c>
      <c r="AF281" s="445"/>
      <c r="AG281" s="446"/>
      <c r="AH281" s="446"/>
      <c r="AI281" s="446"/>
      <c r="AJ281" s="446"/>
      <c r="AK281" s="447"/>
    </row>
    <row r="282" spans="1:37">
      <c r="B282" s="421"/>
      <c r="C282" s="421"/>
      <c r="D282" s="421"/>
      <c r="E282" s="421"/>
      <c r="F282" s="421"/>
      <c r="G282" s="421"/>
      <c r="H282" s="421"/>
      <c r="I282" s="421"/>
      <c r="J282" s="421"/>
      <c r="K282" s="421"/>
      <c r="L282" s="421"/>
      <c r="M282" s="421"/>
      <c r="N282" s="421"/>
      <c r="O282" s="444"/>
      <c r="P282" s="421"/>
      <c r="R282" s="454"/>
      <c r="T282" s="454"/>
      <c r="U282" s="454"/>
      <c r="V282" s="454"/>
      <c r="X282" s="454"/>
      <c r="Z282" s="454"/>
      <c r="AB282" s="454"/>
      <c r="AF282" s="445"/>
      <c r="AG282" s="446"/>
      <c r="AH282" s="446"/>
      <c r="AI282" s="446"/>
      <c r="AJ282" s="446"/>
      <c r="AK282" s="446"/>
    </row>
    <row r="283" spans="1:37">
      <c r="AF283" s="478"/>
    </row>
    <row r="284" spans="1:37">
      <c r="B284" s="454" t="s">
        <v>771</v>
      </c>
      <c r="D284" s="454" t="s">
        <v>772</v>
      </c>
      <c r="F284" s="474" t="s">
        <v>773</v>
      </c>
      <c r="H284" s="474" t="s">
        <v>1248</v>
      </c>
      <c r="J284" s="474" t="s">
        <v>774</v>
      </c>
      <c r="L284" s="474" t="s">
        <v>775</v>
      </c>
      <c r="N284" s="474" t="s">
        <v>776</v>
      </c>
      <c r="P284" s="474" t="s">
        <v>777</v>
      </c>
      <c r="R284" s="474" t="s">
        <v>778</v>
      </c>
      <c r="T284" s="474" t="s">
        <v>779</v>
      </c>
      <c r="U284" s="474"/>
      <c r="V284" s="474" t="s">
        <v>780</v>
      </c>
      <c r="W284" s="474"/>
      <c r="X284" s="474" t="s">
        <v>781</v>
      </c>
      <c r="Y284" s="474"/>
      <c r="Z284" s="474" t="s">
        <v>1249</v>
      </c>
      <c r="AA284" s="474"/>
      <c r="AB284" s="474" t="s">
        <v>1250</v>
      </c>
      <c r="AF284" s="478"/>
    </row>
    <row r="285" spans="1:37">
      <c r="A285" s="438"/>
      <c r="B285" s="443"/>
      <c r="C285" s="444"/>
      <c r="D285" s="443"/>
      <c r="E285" s="444"/>
      <c r="F285" s="443"/>
      <c r="G285" s="444"/>
      <c r="H285" s="443"/>
      <c r="I285" s="444"/>
      <c r="J285" s="443"/>
      <c r="K285" s="444"/>
      <c r="L285" s="443"/>
      <c r="M285" s="444"/>
      <c r="N285" s="443"/>
      <c r="O285" s="444"/>
      <c r="P285" s="443"/>
      <c r="R285" s="443"/>
      <c r="S285" s="444"/>
      <c r="T285" s="443"/>
      <c r="U285" s="444"/>
      <c r="V285" s="443"/>
      <c r="W285" s="444"/>
      <c r="X285" s="443"/>
      <c r="Y285" s="444"/>
      <c r="Z285" s="443"/>
      <c r="AA285" s="444"/>
      <c r="AB285" s="443"/>
      <c r="AF285" s="441" t="s">
        <v>1154</v>
      </c>
      <c r="AG285" s="441"/>
      <c r="AH285" s="441"/>
      <c r="AI285" s="441"/>
      <c r="AJ285" s="441"/>
      <c r="AK285" s="442"/>
    </row>
    <row r="286" spans="1:37" ht="16.5" customHeight="1" thickBot="1">
      <c r="A286" s="438"/>
      <c r="B286" s="415"/>
      <c r="C286" s="444"/>
      <c r="D286" s="415"/>
      <c r="E286" s="444"/>
      <c r="F286" s="415"/>
      <c r="G286" s="444"/>
      <c r="H286" s="415"/>
      <c r="I286" s="444"/>
      <c r="J286" s="415"/>
      <c r="K286" s="444"/>
      <c r="L286" s="415"/>
      <c r="M286" s="444"/>
      <c r="N286" s="415"/>
      <c r="O286" s="444"/>
      <c r="P286" s="415"/>
      <c r="R286" s="415"/>
      <c r="S286" s="444"/>
      <c r="T286" s="415"/>
      <c r="U286" s="444"/>
      <c r="V286" s="415"/>
      <c r="W286" s="444"/>
      <c r="X286" s="415"/>
      <c r="Y286" s="444"/>
      <c r="Z286" s="415"/>
      <c r="AA286" s="444"/>
      <c r="AB286" s="415"/>
      <c r="AF286" s="445"/>
      <c r="AG286" s="446"/>
      <c r="AH286" s="446"/>
      <c r="AI286" s="446"/>
      <c r="AJ286" s="446"/>
      <c r="AK286" s="447"/>
    </row>
    <row r="287" spans="1:37" ht="29.55" customHeight="1" thickBot="1">
      <c r="A287" s="438"/>
      <c r="B287" s="417"/>
      <c r="C287" s="448">
        <v>392</v>
      </c>
      <c r="D287" s="417" t="s">
        <v>1314</v>
      </c>
      <c r="E287" s="448">
        <v>422</v>
      </c>
      <c r="F287" s="422"/>
      <c r="G287" s="448">
        <v>409.45699999999999</v>
      </c>
      <c r="H287" s="422"/>
      <c r="I287" s="448">
        <v>373.69400000000002</v>
      </c>
      <c r="J287" s="422"/>
      <c r="K287" s="448">
        <v>381.61700000000002</v>
      </c>
      <c r="L287" s="422"/>
      <c r="M287" s="448">
        <v>381.822</v>
      </c>
      <c r="N287" s="422"/>
      <c r="O287" s="448">
        <v>391.43599999999998</v>
      </c>
      <c r="P287" s="422"/>
      <c r="Q287" s="474">
        <v>385.78399999999999</v>
      </c>
      <c r="R287" s="422"/>
      <c r="S287" s="448">
        <v>367.452</v>
      </c>
      <c r="T287" s="417"/>
      <c r="U287" s="448">
        <v>379.63</v>
      </c>
      <c r="V287" s="422"/>
      <c r="W287" s="448">
        <v>380.459</v>
      </c>
      <c r="X287" s="417" t="s">
        <v>354</v>
      </c>
      <c r="Y287" s="448">
        <v>382.97899999999998</v>
      </c>
      <c r="Z287" s="417"/>
      <c r="AA287" s="448">
        <v>241.49600000000001</v>
      </c>
      <c r="AB287" s="417"/>
      <c r="AC287" s="479">
        <v>403</v>
      </c>
      <c r="AF287" s="441">
        <v>14</v>
      </c>
      <c r="AG287" s="441"/>
      <c r="AH287" s="441"/>
      <c r="AI287" s="441"/>
      <c r="AJ287" s="441"/>
      <c r="AK287" s="442"/>
    </row>
    <row r="288" spans="1:37" ht="16.5" customHeight="1" thickBot="1">
      <c r="A288" s="438"/>
      <c r="B288" s="450"/>
      <c r="D288" s="450"/>
      <c r="F288" s="450"/>
      <c r="H288" s="450"/>
      <c r="J288" s="450"/>
      <c r="L288" s="450"/>
      <c r="N288" s="450"/>
      <c r="P288" s="450"/>
      <c r="R288" s="450"/>
      <c r="T288" s="450"/>
      <c r="V288" s="450"/>
      <c r="X288" s="450"/>
      <c r="Z288" s="450"/>
      <c r="AB288" s="450"/>
      <c r="AF288" s="445"/>
      <c r="AG288" s="446"/>
      <c r="AH288" s="446"/>
      <c r="AI288" s="446"/>
      <c r="AJ288" s="446"/>
      <c r="AK288" s="447"/>
    </row>
    <row r="289" spans="1:37">
      <c r="A289" s="438"/>
      <c r="B289" s="421" t="s">
        <v>80</v>
      </c>
      <c r="C289" s="421"/>
      <c r="D289" s="421" t="s">
        <v>150</v>
      </c>
      <c r="E289" s="421"/>
      <c r="F289" s="421" t="s">
        <v>147</v>
      </c>
      <c r="G289" s="421"/>
      <c r="H289" s="421" t="s">
        <v>80</v>
      </c>
      <c r="I289" s="421"/>
      <c r="J289" s="421" t="s">
        <v>147</v>
      </c>
      <c r="K289" s="421"/>
      <c r="L289" s="421" t="s">
        <v>147</v>
      </c>
      <c r="M289" s="421"/>
      <c r="N289" s="421" t="s">
        <v>147</v>
      </c>
      <c r="O289" s="444"/>
      <c r="P289" s="421" t="s">
        <v>147</v>
      </c>
      <c r="R289" s="454" t="s">
        <v>147</v>
      </c>
      <c r="T289" s="454" t="s">
        <v>147</v>
      </c>
      <c r="U289" s="454"/>
      <c r="V289" s="454" t="s">
        <v>147</v>
      </c>
      <c r="W289" s="454"/>
      <c r="X289" s="454" t="s">
        <v>147</v>
      </c>
      <c r="Y289" s="454"/>
      <c r="Z289" s="454" t="s">
        <v>147</v>
      </c>
      <c r="AA289" s="454"/>
      <c r="AB289" s="454" t="s">
        <v>84</v>
      </c>
      <c r="AF289" s="445"/>
      <c r="AG289" s="446"/>
      <c r="AH289" s="446"/>
      <c r="AI289" s="446"/>
      <c r="AJ289" s="446"/>
      <c r="AK289" s="447"/>
    </row>
    <row r="290" spans="1:37">
      <c r="B290" s="421"/>
      <c r="C290" s="421"/>
      <c r="D290" s="421"/>
      <c r="E290" s="421"/>
      <c r="F290" s="421"/>
      <c r="G290" s="421"/>
      <c r="H290" s="421"/>
      <c r="I290" s="421"/>
      <c r="J290" s="421"/>
      <c r="K290" s="421"/>
      <c r="L290" s="421"/>
      <c r="M290" s="421"/>
      <c r="N290" s="421"/>
      <c r="O290" s="444"/>
      <c r="P290" s="421"/>
      <c r="R290" s="454"/>
      <c r="T290" s="454"/>
      <c r="U290" s="454"/>
      <c r="V290" s="454"/>
      <c r="W290" s="454"/>
      <c r="X290" s="454"/>
      <c r="Y290" s="454"/>
      <c r="Z290" s="454"/>
      <c r="AA290" s="454"/>
      <c r="AB290" s="454"/>
      <c r="AF290" s="445"/>
      <c r="AG290" s="446"/>
      <c r="AH290" s="446"/>
      <c r="AI290" s="446"/>
      <c r="AJ290" s="446"/>
      <c r="AK290" s="446"/>
    </row>
    <row r="291" spans="1:37">
      <c r="AF291" s="478"/>
    </row>
    <row r="292" spans="1:37">
      <c r="A292" s="474"/>
      <c r="B292" s="454" t="s">
        <v>782</v>
      </c>
      <c r="C292" s="454"/>
      <c r="D292" s="454" t="s">
        <v>783</v>
      </c>
      <c r="E292" s="454"/>
      <c r="F292" s="454" t="s">
        <v>784</v>
      </c>
      <c r="G292" s="454"/>
      <c r="H292" s="454" t="s">
        <v>785</v>
      </c>
      <c r="I292" s="454"/>
      <c r="J292" s="454" t="s">
        <v>786</v>
      </c>
      <c r="K292" s="454"/>
      <c r="L292" s="454" t="s">
        <v>787</v>
      </c>
      <c r="M292" s="454"/>
      <c r="N292" s="454" t="s">
        <v>788</v>
      </c>
      <c r="O292" s="454"/>
      <c r="P292" s="454" t="s">
        <v>791</v>
      </c>
      <c r="Q292" s="454"/>
      <c r="R292" s="454" t="s">
        <v>1305</v>
      </c>
      <c r="S292" s="454"/>
      <c r="T292" s="454" t="s">
        <v>1306</v>
      </c>
      <c r="U292" s="454"/>
      <c r="V292" s="454" t="s">
        <v>1307</v>
      </c>
      <c r="W292" s="454"/>
      <c r="X292" s="454" t="s">
        <v>1308</v>
      </c>
      <c r="Y292" s="454"/>
      <c r="Z292" s="454" t="s">
        <v>1309</v>
      </c>
      <c r="AA292" s="454"/>
      <c r="AB292" s="454" t="s">
        <v>794</v>
      </c>
      <c r="AC292" s="454"/>
      <c r="AD292" s="454" t="s">
        <v>795</v>
      </c>
      <c r="AF292" s="478"/>
    </row>
    <row r="293" spans="1:37">
      <c r="A293" s="438"/>
      <c r="B293" s="443"/>
      <c r="C293" s="444"/>
      <c r="D293" s="443"/>
      <c r="E293" s="444"/>
      <c r="F293" s="443"/>
      <c r="G293" s="444"/>
      <c r="H293" s="443"/>
      <c r="I293" s="444"/>
      <c r="J293" s="443"/>
      <c r="K293" s="444"/>
      <c r="L293" s="443"/>
      <c r="M293" s="444"/>
      <c r="N293" s="443"/>
      <c r="O293" s="444"/>
      <c r="P293" s="443"/>
      <c r="R293" s="443"/>
      <c r="S293" s="444"/>
      <c r="T293" s="443"/>
      <c r="U293" s="444"/>
      <c r="V293" s="443"/>
      <c r="W293" s="444"/>
      <c r="X293" s="443"/>
      <c r="Y293" s="444"/>
      <c r="Z293" s="443"/>
      <c r="AA293" s="444"/>
      <c r="AB293" s="443"/>
      <c r="AF293" s="441" t="s">
        <v>1154</v>
      </c>
      <c r="AG293" s="441"/>
      <c r="AH293" s="441"/>
      <c r="AI293" s="441"/>
      <c r="AJ293" s="441"/>
      <c r="AK293" s="442"/>
    </row>
    <row r="294" spans="1:37" ht="16.5" customHeight="1" thickBot="1">
      <c r="A294" s="438"/>
      <c r="B294" s="415"/>
      <c r="C294" s="444"/>
      <c r="D294" s="415"/>
      <c r="E294" s="444"/>
      <c r="F294" s="415"/>
      <c r="G294" s="444"/>
      <c r="H294" s="415"/>
      <c r="I294" s="444"/>
      <c r="J294" s="415"/>
      <c r="K294" s="444"/>
      <c r="L294" s="415"/>
      <c r="M294" s="444"/>
      <c r="N294" s="415"/>
      <c r="O294" s="444"/>
      <c r="P294" s="415"/>
      <c r="R294" s="415"/>
      <c r="S294" s="444"/>
      <c r="T294" s="415"/>
      <c r="U294" s="444"/>
      <c r="V294" s="415"/>
      <c r="W294" s="444"/>
      <c r="X294" s="415"/>
      <c r="Y294" s="444"/>
      <c r="Z294" s="415"/>
      <c r="AA294" s="444"/>
      <c r="AB294" s="415"/>
      <c r="AD294" s="415"/>
      <c r="AF294" s="445"/>
      <c r="AG294" s="446"/>
      <c r="AH294" s="446"/>
      <c r="AI294" s="446"/>
      <c r="AJ294" s="446"/>
      <c r="AK294" s="447"/>
    </row>
    <row r="295" spans="1:37" ht="30" customHeight="1" thickBot="1">
      <c r="A295" s="438"/>
      <c r="B295" s="417"/>
      <c r="C295" s="479">
        <v>359.142</v>
      </c>
      <c r="D295" s="526"/>
      <c r="E295" s="479">
        <v>384.87799999999999</v>
      </c>
      <c r="F295" s="526"/>
      <c r="G295" s="479">
        <v>381.90499999999997</v>
      </c>
      <c r="H295" s="526"/>
      <c r="I295" s="479">
        <v>397.15199999999999</v>
      </c>
      <c r="J295" s="526"/>
      <c r="K295" s="479">
        <v>387.13099999999997</v>
      </c>
      <c r="L295" s="526"/>
      <c r="M295" s="479">
        <v>392.12400000000002</v>
      </c>
      <c r="N295" s="526"/>
      <c r="O295" s="479">
        <v>364.62299999999999</v>
      </c>
      <c r="P295" s="526"/>
      <c r="Q295" s="479">
        <v>188.369</v>
      </c>
      <c r="R295" s="526"/>
      <c r="S295" s="479">
        <v>396</v>
      </c>
      <c r="T295" s="526"/>
      <c r="U295" s="479">
        <v>425</v>
      </c>
      <c r="V295" s="526"/>
      <c r="W295" s="479">
        <v>407</v>
      </c>
      <c r="X295" s="526"/>
      <c r="Y295" s="479">
        <v>433</v>
      </c>
      <c r="Z295" s="526"/>
      <c r="AA295" s="479">
        <v>489.23</v>
      </c>
      <c r="AB295" s="417"/>
      <c r="AC295" s="479">
        <v>419.40300000000002</v>
      </c>
      <c r="AD295" s="417"/>
      <c r="AF295" s="441">
        <v>14</v>
      </c>
      <c r="AG295" s="441"/>
      <c r="AH295" s="441"/>
      <c r="AI295" s="441"/>
      <c r="AJ295" s="441"/>
      <c r="AK295" s="442"/>
    </row>
    <row r="296" spans="1:37" ht="16.5" customHeight="1" thickBot="1">
      <c r="A296" s="438"/>
      <c r="B296" s="450"/>
      <c r="D296" s="450"/>
      <c r="F296" s="450"/>
      <c r="H296" s="450"/>
      <c r="J296" s="450"/>
      <c r="L296" s="450"/>
      <c r="N296" s="450"/>
      <c r="P296" s="450"/>
      <c r="R296" s="450"/>
      <c r="T296" s="450"/>
      <c r="V296" s="450"/>
      <c r="X296" s="450"/>
      <c r="Z296" s="450"/>
      <c r="AB296" s="450"/>
      <c r="AD296" s="450"/>
      <c r="AF296" s="445"/>
      <c r="AG296" s="446"/>
      <c r="AH296" s="446"/>
      <c r="AI296" s="446"/>
      <c r="AJ296" s="446"/>
      <c r="AK296" s="447"/>
    </row>
    <row r="297" spans="1:37">
      <c r="A297" s="438"/>
      <c r="B297" s="421" t="s">
        <v>147</v>
      </c>
      <c r="C297" s="421"/>
      <c r="D297" s="421" t="s">
        <v>147</v>
      </c>
      <c r="E297" s="421"/>
      <c r="F297" s="421" t="s">
        <v>147</v>
      </c>
      <c r="G297" s="421"/>
      <c r="H297" s="421" t="s">
        <v>147</v>
      </c>
      <c r="I297" s="421"/>
      <c r="J297" s="421" t="s">
        <v>147</v>
      </c>
      <c r="K297" s="421"/>
      <c r="L297" s="421" t="s">
        <v>147</v>
      </c>
      <c r="M297" s="421"/>
      <c r="N297" s="421" t="s">
        <v>147</v>
      </c>
      <c r="O297" s="421"/>
      <c r="P297" s="421" t="s">
        <v>90</v>
      </c>
      <c r="Q297" s="421"/>
      <c r="R297" s="421" t="s">
        <v>90</v>
      </c>
      <c r="S297" s="421"/>
      <c r="T297" s="421" t="s">
        <v>153</v>
      </c>
      <c r="U297" s="421"/>
      <c r="V297" s="421" t="s">
        <v>150</v>
      </c>
      <c r="W297" s="421"/>
      <c r="X297" s="421" t="s">
        <v>147</v>
      </c>
      <c r="Y297" s="421"/>
      <c r="Z297" s="421" t="s">
        <v>97</v>
      </c>
      <c r="AA297" s="421"/>
      <c r="AB297" s="421" t="s">
        <v>112</v>
      </c>
      <c r="AC297" s="421"/>
      <c r="AD297" s="421" t="s">
        <v>112</v>
      </c>
      <c r="AF297" s="445"/>
      <c r="AG297" s="446"/>
      <c r="AH297" s="446"/>
      <c r="AI297" s="446"/>
      <c r="AJ297" s="446"/>
      <c r="AK297" s="447"/>
    </row>
    <row r="298" spans="1:37">
      <c r="AF298" s="478"/>
    </row>
    <row r="299" spans="1:37">
      <c r="AF299" s="478"/>
    </row>
    <row r="300" spans="1:37">
      <c r="A300" s="474"/>
      <c r="B300" s="474" t="s">
        <v>796</v>
      </c>
      <c r="C300" s="474"/>
      <c r="D300" s="474" t="s">
        <v>797</v>
      </c>
      <c r="E300" s="474"/>
      <c r="F300" s="474" t="s">
        <v>1251</v>
      </c>
      <c r="G300" s="474"/>
      <c r="H300" s="474" t="s">
        <v>799</v>
      </c>
      <c r="I300" s="474"/>
      <c r="J300" s="474" t="s">
        <v>800</v>
      </c>
      <c r="K300" s="474"/>
      <c r="L300" s="474" t="s">
        <v>801</v>
      </c>
      <c r="M300" s="474"/>
      <c r="N300" s="474" t="s">
        <v>802</v>
      </c>
      <c r="O300" s="474"/>
      <c r="P300" s="474" t="s">
        <v>1147</v>
      </c>
      <c r="AF300" s="478"/>
    </row>
    <row r="301" spans="1:37">
      <c r="A301" s="438"/>
      <c r="B301" s="443"/>
      <c r="C301" s="444"/>
      <c r="D301" s="443"/>
      <c r="E301" s="444"/>
      <c r="F301" s="443"/>
      <c r="G301" s="444"/>
      <c r="H301" s="443"/>
      <c r="I301" s="444"/>
      <c r="J301" s="443"/>
      <c r="K301" s="444"/>
      <c r="L301" s="443"/>
      <c r="M301" s="444"/>
      <c r="N301" s="443"/>
      <c r="O301" s="444"/>
      <c r="R301" s="443"/>
      <c r="S301" s="444"/>
      <c r="T301" s="443"/>
      <c r="U301" s="444"/>
      <c r="V301" s="443"/>
      <c r="W301" s="444"/>
      <c r="X301" s="443"/>
      <c r="Y301" s="444"/>
      <c r="Z301" s="443"/>
      <c r="AA301" s="444"/>
      <c r="AB301" s="443"/>
      <c r="AF301" s="441" t="s">
        <v>1154</v>
      </c>
      <c r="AG301" s="441"/>
      <c r="AH301" s="441"/>
      <c r="AI301" s="441"/>
      <c r="AJ301" s="441"/>
      <c r="AK301" s="442"/>
    </row>
    <row r="302" spans="1:37" ht="16.5" customHeight="1" thickBot="1">
      <c r="A302" s="438"/>
      <c r="B302" s="415"/>
      <c r="C302" s="444"/>
      <c r="D302" s="415"/>
      <c r="E302" s="444"/>
      <c r="F302" s="415"/>
      <c r="G302" s="444"/>
      <c r="H302" s="415"/>
      <c r="I302" s="444"/>
      <c r="J302" s="415"/>
      <c r="K302" s="444"/>
      <c r="L302" s="415"/>
      <c r="M302" s="444"/>
      <c r="N302" s="415"/>
      <c r="O302" s="444"/>
      <c r="P302" s="415"/>
      <c r="R302" s="415"/>
      <c r="S302" s="444"/>
      <c r="T302" s="415"/>
      <c r="U302" s="444"/>
      <c r="V302" s="415"/>
      <c r="W302" s="444"/>
      <c r="X302" s="415"/>
      <c r="Y302" s="444"/>
      <c r="Z302" s="415"/>
      <c r="AA302" s="444"/>
      <c r="AB302" s="415"/>
      <c r="AF302" s="445"/>
      <c r="AG302" s="446"/>
      <c r="AH302" s="446"/>
      <c r="AI302" s="446"/>
      <c r="AJ302" s="446"/>
      <c r="AK302" s="447"/>
    </row>
    <row r="303" spans="1:37" ht="32.549999999999997" customHeight="1" thickBot="1">
      <c r="A303" s="438"/>
      <c r="B303" s="417"/>
      <c r="C303" s="448">
        <v>242.63</v>
      </c>
      <c r="D303" s="526"/>
      <c r="E303" s="448">
        <v>342.72699999999998</v>
      </c>
      <c r="F303" s="526"/>
      <c r="G303" s="448">
        <v>389.221</v>
      </c>
      <c r="H303" s="526"/>
      <c r="I303" s="448">
        <v>220.25299999999999</v>
      </c>
      <c r="J303" s="526"/>
      <c r="K303" s="448">
        <v>241.31200000000001</v>
      </c>
      <c r="L303" s="526"/>
      <c r="M303" s="448">
        <v>214.90199999999999</v>
      </c>
      <c r="N303" s="526"/>
      <c r="O303" s="448">
        <v>113.742</v>
      </c>
      <c r="P303" s="417"/>
      <c r="R303" s="423"/>
      <c r="S303" s="448"/>
      <c r="T303" s="423"/>
      <c r="U303" s="448"/>
      <c r="V303" s="423"/>
      <c r="W303" s="448"/>
      <c r="X303" s="423"/>
      <c r="Y303" s="448"/>
      <c r="Z303" s="423"/>
      <c r="AA303" s="448"/>
      <c r="AB303" s="423"/>
      <c r="AF303" s="441">
        <v>7</v>
      </c>
      <c r="AG303" s="441"/>
      <c r="AH303" s="441"/>
      <c r="AI303" s="441"/>
      <c r="AJ303" s="441"/>
      <c r="AK303" s="442"/>
    </row>
    <row r="304" spans="1:37" ht="16.5" customHeight="1" thickBot="1">
      <c r="A304" s="438"/>
      <c r="B304" s="450"/>
      <c r="D304" s="450"/>
      <c r="F304" s="450"/>
      <c r="H304" s="450"/>
      <c r="J304" s="450"/>
      <c r="L304" s="450"/>
      <c r="N304" s="450"/>
      <c r="P304" s="450"/>
      <c r="R304" s="443"/>
      <c r="T304" s="443"/>
      <c r="V304" s="443"/>
      <c r="X304" s="443"/>
      <c r="Z304" s="443"/>
      <c r="AB304" s="443"/>
      <c r="AF304" s="445"/>
      <c r="AG304" s="446"/>
      <c r="AH304" s="446"/>
      <c r="AI304" s="446"/>
      <c r="AJ304" s="446"/>
      <c r="AK304" s="447"/>
    </row>
    <row r="305" spans="1:37">
      <c r="A305" s="438"/>
      <c r="B305" s="421" t="s">
        <v>82</v>
      </c>
      <c r="C305" s="421"/>
      <c r="D305" s="421" t="s">
        <v>82</v>
      </c>
      <c r="E305" s="421"/>
      <c r="F305" s="421" t="s">
        <v>132</v>
      </c>
      <c r="G305" s="421"/>
      <c r="H305" s="421" t="s">
        <v>166</v>
      </c>
      <c r="I305" s="421"/>
      <c r="J305" s="421" t="s">
        <v>166</v>
      </c>
      <c r="K305" s="421"/>
      <c r="L305" s="421" t="s">
        <v>112</v>
      </c>
      <c r="M305" s="421"/>
      <c r="N305" s="421" t="s">
        <v>90</v>
      </c>
      <c r="O305" s="444"/>
      <c r="P305" s="444"/>
      <c r="AF305" s="445"/>
      <c r="AG305" s="446"/>
      <c r="AH305" s="446"/>
      <c r="AI305" s="446"/>
      <c r="AJ305" s="446"/>
      <c r="AK305" s="447"/>
    </row>
    <row r="306" spans="1:37">
      <c r="AF306" s="478"/>
    </row>
    <row r="307" spans="1:37">
      <c r="AF307" s="478"/>
    </row>
    <row r="308" spans="1:37">
      <c r="A308" s="438"/>
      <c r="B308" s="443"/>
      <c r="C308" s="444"/>
      <c r="D308" s="443"/>
      <c r="E308" s="444"/>
      <c r="F308" s="443"/>
      <c r="G308" s="444"/>
      <c r="H308" s="443"/>
      <c r="I308" s="444"/>
      <c r="J308" s="443"/>
      <c r="K308" s="444"/>
      <c r="L308" s="443"/>
      <c r="M308" s="444"/>
      <c r="N308" s="443"/>
      <c r="O308" s="444"/>
      <c r="P308" s="443"/>
      <c r="R308" s="443"/>
      <c r="S308" s="444"/>
      <c r="T308" s="443"/>
      <c r="U308" s="444"/>
      <c r="V308" s="443"/>
      <c r="W308" s="444"/>
      <c r="X308" s="443"/>
      <c r="Y308" s="444"/>
      <c r="Z308" s="443"/>
      <c r="AA308" s="444"/>
      <c r="AB308" s="443"/>
      <c r="AF308" s="441" t="s">
        <v>1154</v>
      </c>
      <c r="AG308" s="441"/>
      <c r="AH308" s="441"/>
      <c r="AI308" s="441"/>
      <c r="AJ308" s="441"/>
      <c r="AK308" s="442"/>
    </row>
    <row r="309" spans="1:37" ht="16.5" customHeight="1">
      <c r="A309" s="438"/>
      <c r="B309" s="415"/>
      <c r="C309" s="444"/>
      <c r="D309" s="415"/>
      <c r="E309" s="444"/>
      <c r="F309" s="415"/>
      <c r="G309" s="444"/>
      <c r="H309" s="415"/>
      <c r="I309" s="444"/>
      <c r="J309" s="415"/>
      <c r="K309" s="444"/>
      <c r="L309" s="415"/>
      <c r="M309" s="444"/>
      <c r="N309" s="415"/>
      <c r="O309" s="444"/>
      <c r="P309" s="415"/>
      <c r="R309" s="415"/>
      <c r="S309" s="444"/>
      <c r="T309" s="415"/>
      <c r="U309" s="444"/>
      <c r="V309" s="415"/>
      <c r="W309" s="444"/>
      <c r="X309" s="415"/>
      <c r="Y309" s="444"/>
      <c r="Z309" s="415"/>
      <c r="AA309" s="444"/>
      <c r="AB309" s="415"/>
      <c r="AF309" s="445"/>
      <c r="AG309" s="446"/>
      <c r="AH309" s="446"/>
      <c r="AI309" s="446"/>
      <c r="AJ309" s="446"/>
      <c r="AK309" s="447"/>
    </row>
    <row r="310" spans="1:37" ht="42.75" customHeight="1">
      <c r="A310" s="438"/>
      <c r="B310" s="423"/>
      <c r="C310" s="448"/>
      <c r="D310" s="423"/>
      <c r="E310" s="448"/>
      <c r="F310" s="423"/>
      <c r="G310" s="448"/>
      <c r="H310" s="423"/>
      <c r="I310" s="448"/>
      <c r="J310" s="423"/>
      <c r="K310" s="448"/>
      <c r="L310" s="423"/>
      <c r="M310" s="448"/>
      <c r="N310" s="423"/>
      <c r="O310" s="444"/>
      <c r="P310" s="423"/>
      <c r="R310" s="423"/>
      <c r="S310" s="448"/>
      <c r="T310" s="423"/>
      <c r="U310" s="448"/>
      <c r="V310" s="423"/>
      <c r="W310" s="448"/>
      <c r="X310" s="423"/>
      <c r="Y310" s="448"/>
      <c r="Z310" s="423"/>
      <c r="AA310" s="448"/>
      <c r="AB310" s="423"/>
      <c r="AF310" s="441"/>
      <c r="AG310" s="441"/>
      <c r="AH310" s="441"/>
      <c r="AI310" s="441"/>
      <c r="AJ310" s="441"/>
      <c r="AK310" s="442"/>
    </row>
    <row r="311" spans="1:37" ht="16.5" customHeight="1">
      <c r="A311" s="438"/>
      <c r="B311" s="443"/>
      <c r="D311" s="443"/>
      <c r="F311" s="443"/>
      <c r="H311" s="443"/>
      <c r="J311" s="443"/>
      <c r="L311" s="443"/>
      <c r="N311" s="443"/>
      <c r="P311" s="443"/>
      <c r="R311" s="443"/>
      <c r="T311" s="443"/>
      <c r="V311" s="443"/>
      <c r="X311" s="443"/>
      <c r="Z311" s="443"/>
      <c r="AB311" s="443"/>
      <c r="AF311" s="445"/>
      <c r="AG311" s="446"/>
      <c r="AH311" s="446"/>
      <c r="AI311" s="446"/>
      <c r="AJ311" s="446"/>
      <c r="AK311" s="447"/>
    </row>
    <row r="312" spans="1:37">
      <c r="A312" s="438"/>
      <c r="B312" s="421"/>
      <c r="C312" s="421"/>
      <c r="D312" s="421"/>
      <c r="E312" s="421"/>
      <c r="F312" s="421"/>
      <c r="G312" s="421"/>
      <c r="H312" s="421"/>
      <c r="I312" s="421"/>
      <c r="J312" s="421"/>
      <c r="K312" s="421"/>
      <c r="L312" s="421"/>
      <c r="M312" s="421"/>
      <c r="N312" s="421"/>
      <c r="O312" s="444"/>
      <c r="P312" s="444"/>
      <c r="AF312" s="445"/>
      <c r="AG312" s="446"/>
      <c r="AH312" s="446"/>
      <c r="AI312" s="446"/>
      <c r="AJ312" s="446"/>
      <c r="AK312" s="447"/>
    </row>
    <row r="313" spans="1:37">
      <c r="AF313" s="478"/>
    </row>
    <row r="314" spans="1:37">
      <c r="AF314" s="441">
        <f>SUM(AF23:AF313)</f>
        <v>496</v>
      </c>
      <c r="AG314" s="441">
        <f>SUM(AG23:AG313)</f>
        <v>39</v>
      </c>
      <c r="AH314" s="441">
        <f>SUM(AH23:AH313)</f>
        <v>24</v>
      </c>
      <c r="AI314" s="441"/>
      <c r="AJ314" s="441"/>
      <c r="AK314" s="441"/>
    </row>
  </sheetData>
  <mergeCells count="73">
    <mergeCell ref="N6:P7"/>
    <mergeCell ref="A1:AE1"/>
    <mergeCell ref="A2:AD2"/>
    <mergeCell ref="A3:AE3"/>
    <mergeCell ref="A4:P5"/>
    <mergeCell ref="S4:U4"/>
    <mergeCell ref="W4:Z4"/>
    <mergeCell ref="S5:U5"/>
    <mergeCell ref="W5:Z5"/>
    <mergeCell ref="A6:B7"/>
    <mergeCell ref="C6:E7"/>
    <mergeCell ref="F6:G7"/>
    <mergeCell ref="H6:J7"/>
    <mergeCell ref="K6:M7"/>
    <mergeCell ref="N9:P9"/>
    <mergeCell ref="A8:B8"/>
    <mergeCell ref="C8:E8"/>
    <mergeCell ref="F8:G8"/>
    <mergeCell ref="H8:J8"/>
    <mergeCell ref="K8:M8"/>
    <mergeCell ref="N8:P8"/>
    <mergeCell ref="A9:B9"/>
    <mergeCell ref="C9:E9"/>
    <mergeCell ref="F9:G9"/>
    <mergeCell ref="H9:J9"/>
    <mergeCell ref="K9:M9"/>
    <mergeCell ref="N11:P11"/>
    <mergeCell ref="A10:B10"/>
    <mergeCell ref="C10:E10"/>
    <mergeCell ref="F10:G10"/>
    <mergeCell ref="H10:J10"/>
    <mergeCell ref="K10:M10"/>
    <mergeCell ref="N10:P10"/>
    <mergeCell ref="A11:B11"/>
    <mergeCell ref="C11:E11"/>
    <mergeCell ref="F11:G11"/>
    <mergeCell ref="H11:J11"/>
    <mergeCell ref="K11:M11"/>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5:P15"/>
    <mergeCell ref="A14:B14"/>
    <mergeCell ref="C14:E14"/>
    <mergeCell ref="F14:G14"/>
    <mergeCell ref="H14:J14"/>
    <mergeCell ref="K14:M14"/>
    <mergeCell ref="N14:P14"/>
    <mergeCell ref="A15:B15"/>
    <mergeCell ref="C15:E15"/>
    <mergeCell ref="F15:G15"/>
    <mergeCell ref="H15:J15"/>
    <mergeCell ref="K15:M15"/>
    <mergeCell ref="Z16:AA16"/>
    <mergeCell ref="AB16:AE16"/>
    <mergeCell ref="A16:B16"/>
    <mergeCell ref="C16:E16"/>
    <mergeCell ref="F16:G16"/>
    <mergeCell ref="H16:J16"/>
    <mergeCell ref="K16:M16"/>
    <mergeCell ref="N16:P16"/>
  </mergeCells>
  <conditionalFormatting sqref="B34 D34 F34 H34 J34 L34 N34 P34 R34 T34 V34 X34 Z34 AB34">
    <cfRule type="cellIs" dxfId="41" priority="1798" operator="equal">
      <formula>0</formula>
    </cfRule>
  </conditionalFormatting>
  <conditionalFormatting sqref="B50 D50 F50 H50 J50 L50 N50 P50 R50 T50 V50 X50 Z50 AB50">
    <cfRule type="cellIs" dxfId="40" priority="1797" operator="equal">
      <formula>0</formula>
    </cfRule>
  </conditionalFormatting>
  <conditionalFormatting sqref="B58 D58 F58 H58 J58 L58 N58 P58 R58 T58 V58 X58 Z58 AB58">
    <cfRule type="cellIs" dxfId="39" priority="1796" operator="equal">
      <formula>0</formula>
    </cfRule>
  </conditionalFormatting>
  <conditionalFormatting sqref="B66 D66 F66 H66 J66 L66 N66 P66 R66 T66 V66 X66 Z66 AB66">
    <cfRule type="cellIs" dxfId="38" priority="1795" operator="equal">
      <formula>0</formula>
    </cfRule>
  </conditionalFormatting>
  <conditionalFormatting sqref="B74 D74 F74 H74 J74 L74 N74 P74 R74 T74 V74 X74 Z74 AB74">
    <cfRule type="cellIs" dxfId="37" priority="1794" operator="equal">
      <formula>0</formula>
    </cfRule>
  </conditionalFormatting>
  <conditionalFormatting sqref="B82 D82 F82 H82 J82 L82 N82 P82 R82 T82 V82 X82 Z82 AB82">
    <cfRule type="cellIs" dxfId="36" priority="1781" operator="equal">
      <formula>0</formula>
    </cfRule>
  </conditionalFormatting>
  <conditionalFormatting sqref="B90 D90 F90 H90 J90 L90 N90 P90 R90 T90 V90 X90 Z90 AB90">
    <cfRule type="cellIs" dxfId="35" priority="1780" operator="equal">
      <formula>0</formula>
    </cfRule>
  </conditionalFormatting>
  <conditionalFormatting sqref="B98 D98 F98 H98 J98 L98 N98 P98 R98 T98 V98 X98 Z98 AB98">
    <cfRule type="cellIs" dxfId="34" priority="1779" operator="equal">
      <formula>0</formula>
    </cfRule>
  </conditionalFormatting>
  <conditionalFormatting sqref="B106 D106 F106 H106 J106 L106 N106 P106 R106 T106 V106 X106 Z106 AB106">
    <cfRule type="cellIs" dxfId="33" priority="1778" operator="equal">
      <formula>0</formula>
    </cfRule>
  </conditionalFormatting>
  <conditionalFormatting sqref="B114 D114 F114 H114 J114 L114 N114 P114 R114 T114 V114 X114 Z114 AB114">
    <cfRule type="cellIs" dxfId="32" priority="1777" operator="equal">
      <formula>0</formula>
    </cfRule>
  </conditionalFormatting>
  <conditionalFormatting sqref="B122 D122 F122 H122 J122 L122 N122 P122 R122 T122 V122 X122 Z122 AB122">
    <cfRule type="cellIs" dxfId="31" priority="1734" operator="equal">
      <formula>0</formula>
    </cfRule>
  </conditionalFormatting>
  <conditionalFormatting sqref="B138 D138 F138 H138 J138 L138 N138 P138 R138 T138 V138 X138 Z138 AB138">
    <cfRule type="cellIs" dxfId="30" priority="1733" operator="equal">
      <formula>0</formula>
    </cfRule>
  </conditionalFormatting>
  <conditionalFormatting sqref="B154 D154 F154 H154 J154 L154 N154 P154 R154 T154 V154 X154 Z154 AB154">
    <cfRule type="cellIs" dxfId="29" priority="1732" operator="equal">
      <formula>0</formula>
    </cfRule>
  </conditionalFormatting>
  <conditionalFormatting sqref="B162 D162 F162 H162 J162 L162 N162 P162 R162 T162 V162 X162 Z162 AB162">
    <cfRule type="cellIs" dxfId="28" priority="1731" operator="equal">
      <formula>0</formula>
    </cfRule>
  </conditionalFormatting>
  <conditionalFormatting sqref="B170">
    <cfRule type="cellIs" dxfId="27" priority="231" operator="equal">
      <formula>0</formula>
    </cfRule>
  </conditionalFormatting>
  <conditionalFormatting sqref="B178 D178 F178 H178 J178 L178 N178 P178 R178 T178 V178 X178 Z178 AB178">
    <cfRule type="cellIs" dxfId="26" priority="1729" operator="equal">
      <formula>0</formula>
    </cfRule>
  </conditionalFormatting>
  <conditionalFormatting sqref="B186 D186 F186 H186 J186 L186 N186 P186 R186 T186 V186 X186 Z186 AB186">
    <cfRule type="cellIs" dxfId="25" priority="1668" operator="equal">
      <formula>0</formula>
    </cfRule>
  </conditionalFormatting>
  <conditionalFormatting sqref="B194">
    <cfRule type="cellIs" dxfId="24" priority="166" operator="equal">
      <formula>0</formula>
    </cfRule>
  </conditionalFormatting>
  <conditionalFormatting sqref="B202 D202 F202 H202 J202 L202 N202 P202 R202 T202 V202 X202 Z202 AB202">
    <cfRule type="cellIs" dxfId="23" priority="1666" operator="equal">
      <formula>0</formula>
    </cfRule>
  </conditionalFormatting>
  <conditionalFormatting sqref="D26 F26 H26 J26 L26 N26 P26 R26 T26 V26 X26 Z26 AB26">
    <cfRule type="cellIs" dxfId="22" priority="1799" operator="equal">
      <formula>0</formula>
    </cfRule>
  </conditionalFormatting>
  <conditionalFormatting sqref="D170 F170 J170 L170 N170 P170 R170 T170 V170 X170 Z170 AB170">
    <cfRule type="cellIs" dxfId="21" priority="1730" operator="equal">
      <formula>0</formula>
    </cfRule>
  </conditionalFormatting>
  <conditionalFormatting sqref="D194 F194 H194 J194 L194 N194 P194 R194 T194 V194 X194 Z194 AB194">
    <cfRule type="cellIs" dxfId="20" priority="1667" operator="equal">
      <formula>0</formula>
    </cfRule>
  </conditionalFormatting>
  <conditionalFormatting sqref="H170">
    <cfRule type="cellIs" dxfId="19"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4"/>
  <cols>
    <col min="5" max="5" width="10.5546875" bestFit="1" customWidth="1"/>
  </cols>
  <sheetData>
    <row r="3" spans="2:7">
      <c r="B3" s="402" t="s">
        <v>52</v>
      </c>
      <c r="C3" s="402" t="s">
        <v>1082</v>
      </c>
      <c r="D3" s="402" t="s">
        <v>1056</v>
      </c>
      <c r="E3" s="402" t="s">
        <v>1083</v>
      </c>
      <c r="F3" s="406" t="s">
        <v>1084</v>
      </c>
      <c r="G3" s="406" t="s">
        <v>1085</v>
      </c>
    </row>
    <row r="4" spans="2:7">
      <c r="B4" s="318">
        <v>1</v>
      </c>
      <c r="C4" s="319" t="s">
        <v>189</v>
      </c>
      <c r="D4" s="319" t="s">
        <v>150</v>
      </c>
      <c r="E4" s="403" t="s">
        <v>174</v>
      </c>
      <c r="F4" s="310">
        <v>1.86</v>
      </c>
      <c r="G4" s="407">
        <v>12.47</v>
      </c>
    </row>
    <row r="5" spans="2:7">
      <c r="B5" s="318">
        <f>B4+1</f>
        <v>2</v>
      </c>
      <c r="C5" s="319" t="s">
        <v>195</v>
      </c>
      <c r="D5" s="319" t="s">
        <v>147</v>
      </c>
      <c r="E5" s="403" t="s">
        <v>174</v>
      </c>
      <c r="F5" s="310">
        <v>1.57</v>
      </c>
      <c r="G5" s="310">
        <v>11.05</v>
      </c>
    </row>
    <row r="6" spans="2:7">
      <c r="B6" s="318">
        <f t="shared" ref="B6:B41" si="0">B5+1</f>
        <v>3</v>
      </c>
      <c r="C6" s="319" t="s">
        <v>173</v>
      </c>
      <c r="D6" s="319" t="s">
        <v>147</v>
      </c>
      <c r="E6" s="403" t="s">
        <v>174</v>
      </c>
      <c r="F6" s="310">
        <v>1.57</v>
      </c>
      <c r="G6" s="310">
        <v>11.05</v>
      </c>
    </row>
    <row r="7" spans="2:7">
      <c r="B7" s="318">
        <f t="shared" si="0"/>
        <v>4</v>
      </c>
      <c r="C7" s="313" t="s">
        <v>176</v>
      </c>
      <c r="D7" s="313" t="s">
        <v>147</v>
      </c>
      <c r="E7" s="404" t="s">
        <v>174</v>
      </c>
      <c r="F7" s="310">
        <v>1.57</v>
      </c>
      <c r="G7" s="310">
        <v>11.05</v>
      </c>
    </row>
    <row r="8" spans="2:7">
      <c r="B8" s="318">
        <f t="shared" si="0"/>
        <v>5</v>
      </c>
      <c r="C8" s="313" t="s">
        <v>177</v>
      </c>
      <c r="D8" s="313" t="s">
        <v>147</v>
      </c>
      <c r="E8" s="404" t="s">
        <v>174</v>
      </c>
      <c r="F8" s="310">
        <v>1.57</v>
      </c>
      <c r="G8" s="310">
        <v>11.05</v>
      </c>
    </row>
    <row r="9" spans="2:7">
      <c r="B9" s="318">
        <f t="shared" si="0"/>
        <v>6</v>
      </c>
      <c r="C9" s="313" t="s">
        <v>178</v>
      </c>
      <c r="D9" s="313" t="s">
        <v>150</v>
      </c>
      <c r="E9" s="404" t="s">
        <v>174</v>
      </c>
      <c r="F9" s="310">
        <v>1.86</v>
      </c>
      <c r="G9" s="407">
        <v>12.47</v>
      </c>
    </row>
    <row r="10" spans="2:7">
      <c r="B10" s="318">
        <f t="shared" si="0"/>
        <v>7</v>
      </c>
      <c r="C10" s="313" t="s">
        <v>200</v>
      </c>
      <c r="D10" s="313" t="s">
        <v>147</v>
      </c>
      <c r="E10" s="404" t="s">
        <v>174</v>
      </c>
      <c r="F10" s="310">
        <v>1.57</v>
      </c>
      <c r="G10" s="310">
        <v>11.05</v>
      </c>
    </row>
    <row r="11" spans="2:7">
      <c r="B11" s="318">
        <f t="shared" si="0"/>
        <v>8</v>
      </c>
      <c r="C11" s="313" t="s">
        <v>201</v>
      </c>
      <c r="D11" s="313" t="s">
        <v>147</v>
      </c>
      <c r="E11" s="404" t="s">
        <v>174</v>
      </c>
      <c r="F11" s="310">
        <v>1.57</v>
      </c>
      <c r="G11" s="310">
        <v>11.05</v>
      </c>
    </row>
    <row r="12" spans="2:7">
      <c r="B12" s="318">
        <f t="shared" si="0"/>
        <v>9</v>
      </c>
      <c r="C12" s="313" t="s">
        <v>179</v>
      </c>
      <c r="D12" s="313" t="s">
        <v>147</v>
      </c>
      <c r="E12" s="404" t="s">
        <v>174</v>
      </c>
      <c r="F12" s="310">
        <v>1.57</v>
      </c>
      <c r="G12" s="310">
        <v>11.05</v>
      </c>
    </row>
    <row r="13" spans="2:7">
      <c r="B13" s="318">
        <f t="shared" si="0"/>
        <v>10</v>
      </c>
      <c r="C13" s="313" t="s">
        <v>180</v>
      </c>
      <c r="D13" s="313" t="s">
        <v>150</v>
      </c>
      <c r="E13" s="404" t="s">
        <v>174</v>
      </c>
      <c r="F13" s="310">
        <v>1.86</v>
      </c>
      <c r="G13" s="407">
        <v>12.47</v>
      </c>
    </row>
    <row r="14" spans="2:7">
      <c r="B14" s="318">
        <f t="shared" si="0"/>
        <v>11</v>
      </c>
      <c r="C14" s="313" t="s">
        <v>203</v>
      </c>
      <c r="D14" s="313" t="s">
        <v>147</v>
      </c>
      <c r="E14" s="404" t="s">
        <v>174</v>
      </c>
      <c r="F14" s="310">
        <v>1.57</v>
      </c>
      <c r="G14" s="310">
        <v>11.05</v>
      </c>
    </row>
    <row r="15" spans="2:7">
      <c r="B15" s="318">
        <f t="shared" si="0"/>
        <v>12</v>
      </c>
      <c r="C15" s="313" t="s">
        <v>204</v>
      </c>
      <c r="D15" s="313" t="s">
        <v>150</v>
      </c>
      <c r="E15" s="404" t="s">
        <v>174</v>
      </c>
      <c r="F15" s="310">
        <v>1.86</v>
      </c>
      <c r="G15" s="407">
        <v>12.47</v>
      </c>
    </row>
    <row r="16" spans="2:7">
      <c r="B16" s="318">
        <f t="shared" si="0"/>
        <v>13</v>
      </c>
      <c r="C16" s="313" t="s">
        <v>205</v>
      </c>
      <c r="D16" s="313" t="s">
        <v>206</v>
      </c>
      <c r="E16" s="404" t="s">
        <v>174</v>
      </c>
      <c r="F16" s="310">
        <v>1.86</v>
      </c>
      <c r="G16" s="407">
        <v>12.47</v>
      </c>
    </row>
    <row r="17" spans="2:7">
      <c r="B17" s="318">
        <f t="shared" si="0"/>
        <v>14</v>
      </c>
      <c r="C17" s="319" t="s">
        <v>215</v>
      </c>
      <c r="D17" s="319" t="s">
        <v>212</v>
      </c>
      <c r="E17" s="403" t="s">
        <v>174</v>
      </c>
      <c r="F17" s="310">
        <v>1.86</v>
      </c>
      <c r="G17" s="407">
        <v>12.47</v>
      </c>
    </row>
    <row r="18" spans="2:7">
      <c r="B18" s="318">
        <f t="shared" si="0"/>
        <v>15</v>
      </c>
      <c r="C18" s="313" t="s">
        <v>208</v>
      </c>
      <c r="D18" s="313" t="s">
        <v>147</v>
      </c>
      <c r="E18" s="404" t="s">
        <v>174</v>
      </c>
      <c r="F18" s="310">
        <v>1.57</v>
      </c>
      <c r="G18" s="310">
        <v>11.05</v>
      </c>
    </row>
    <row r="19" spans="2:7">
      <c r="B19" s="318">
        <f t="shared" si="0"/>
        <v>16</v>
      </c>
      <c r="C19" s="321" t="s">
        <v>217</v>
      </c>
      <c r="D19" s="313" t="s">
        <v>212</v>
      </c>
      <c r="E19" s="404" t="s">
        <v>174</v>
      </c>
      <c r="F19" s="310">
        <v>1.86</v>
      </c>
      <c r="G19" s="407">
        <v>12.47</v>
      </c>
    </row>
    <row r="20" spans="2:7">
      <c r="B20" s="318">
        <f t="shared" si="0"/>
        <v>17</v>
      </c>
      <c r="C20" s="323" t="s">
        <v>181</v>
      </c>
      <c r="D20" s="319" t="s">
        <v>147</v>
      </c>
      <c r="E20" s="403" t="s">
        <v>256</v>
      </c>
      <c r="F20" s="310">
        <v>1.08</v>
      </c>
      <c r="G20" s="310">
        <v>8.68</v>
      </c>
    </row>
    <row r="21" spans="2:7">
      <c r="B21" s="318">
        <f t="shared" si="0"/>
        <v>18</v>
      </c>
      <c r="C21" s="323" t="s">
        <v>223</v>
      </c>
      <c r="D21" s="319" t="s">
        <v>212</v>
      </c>
      <c r="E21" s="403" t="s">
        <v>174</v>
      </c>
      <c r="F21" s="310">
        <v>1.86</v>
      </c>
      <c r="G21" s="407">
        <v>12.47</v>
      </c>
    </row>
    <row r="22" spans="2:7">
      <c r="B22" s="318">
        <f t="shared" si="0"/>
        <v>19</v>
      </c>
      <c r="C22" s="324" t="s">
        <v>211</v>
      </c>
      <c r="D22" s="319" t="s">
        <v>212</v>
      </c>
      <c r="E22" s="403" t="s">
        <v>174</v>
      </c>
      <c r="F22" s="310">
        <v>1.86</v>
      </c>
      <c r="G22" s="407">
        <v>12.47</v>
      </c>
    </row>
    <row r="23" spans="2:7">
      <c r="B23" s="318">
        <f t="shared" si="0"/>
        <v>20</v>
      </c>
      <c r="C23" s="325" t="s">
        <v>221</v>
      </c>
      <c r="D23" s="313" t="s">
        <v>212</v>
      </c>
      <c r="E23" s="404" t="s">
        <v>174</v>
      </c>
      <c r="F23" s="310">
        <v>1.86</v>
      </c>
      <c r="G23" s="407">
        <v>12.47</v>
      </c>
    </row>
    <row r="24" spans="2:7">
      <c r="B24" s="318">
        <f t="shared" si="0"/>
        <v>21</v>
      </c>
      <c r="C24" s="326" t="s">
        <v>226</v>
      </c>
      <c r="D24" s="313" t="s">
        <v>206</v>
      </c>
      <c r="E24" s="404" t="s">
        <v>174</v>
      </c>
      <c r="F24" s="310">
        <v>1.86</v>
      </c>
      <c r="G24" s="407">
        <v>12.47</v>
      </c>
    </row>
    <row r="25" spans="2:7">
      <c r="B25" s="318">
        <f t="shared" si="0"/>
        <v>22</v>
      </c>
      <c r="C25" s="327" t="s">
        <v>227</v>
      </c>
      <c r="D25" s="313" t="s">
        <v>206</v>
      </c>
      <c r="E25" s="404" t="s">
        <v>174</v>
      </c>
      <c r="F25" s="310">
        <v>1.86</v>
      </c>
      <c r="G25" s="407">
        <v>12.47</v>
      </c>
    </row>
    <row r="26" spans="2:7">
      <c r="B26" s="318">
        <f t="shared" si="0"/>
        <v>23</v>
      </c>
      <c r="C26" s="324" t="s">
        <v>257</v>
      </c>
      <c r="D26" s="319" t="s">
        <v>147</v>
      </c>
      <c r="E26" s="403" t="s">
        <v>174</v>
      </c>
      <c r="F26" s="310">
        <v>1.57</v>
      </c>
      <c r="G26" s="310">
        <v>11.05</v>
      </c>
    </row>
    <row r="27" spans="2:7">
      <c r="B27" s="318">
        <f t="shared" si="0"/>
        <v>24</v>
      </c>
      <c r="C27" s="315" t="s">
        <v>258</v>
      </c>
      <c r="D27" s="315" t="s">
        <v>147</v>
      </c>
      <c r="E27" s="404" t="s">
        <v>174</v>
      </c>
      <c r="F27" s="310">
        <v>1.57</v>
      </c>
      <c r="G27" s="310">
        <v>11.05</v>
      </c>
    </row>
    <row r="28" spans="2:7">
      <c r="B28" s="318">
        <f t="shared" si="0"/>
        <v>25</v>
      </c>
      <c r="C28" s="315" t="s">
        <v>243</v>
      </c>
      <c r="D28" s="315" t="s">
        <v>206</v>
      </c>
      <c r="E28" s="404" t="s">
        <v>174</v>
      </c>
      <c r="F28" s="310">
        <v>1.86</v>
      </c>
      <c r="G28" s="407">
        <v>12.47</v>
      </c>
    </row>
    <row r="29" spans="2:7">
      <c r="B29" s="318">
        <f t="shared" si="0"/>
        <v>26</v>
      </c>
      <c r="C29" s="315" t="s">
        <v>224</v>
      </c>
      <c r="D29" s="315" t="s">
        <v>147</v>
      </c>
      <c r="E29" s="404" t="s">
        <v>174</v>
      </c>
      <c r="F29" s="310">
        <v>1.57</v>
      </c>
      <c r="G29" s="310">
        <v>11.05</v>
      </c>
    </row>
    <row r="30" spans="2:7">
      <c r="B30" s="318">
        <f t="shared" si="0"/>
        <v>27</v>
      </c>
      <c r="C30" s="315" t="s">
        <v>240</v>
      </c>
      <c r="D30" s="315" t="s">
        <v>147</v>
      </c>
      <c r="E30" s="404" t="s">
        <v>174</v>
      </c>
      <c r="F30" s="310">
        <v>1.57</v>
      </c>
      <c r="G30" s="310">
        <v>11.05</v>
      </c>
    </row>
    <row r="31" spans="2:7">
      <c r="B31" s="318">
        <f t="shared" si="0"/>
        <v>28</v>
      </c>
      <c r="C31" s="315" t="s">
        <v>232</v>
      </c>
      <c r="D31" s="315" t="s">
        <v>150</v>
      </c>
      <c r="E31" s="404" t="s">
        <v>174</v>
      </c>
      <c r="F31" s="310">
        <v>1.86</v>
      </c>
      <c r="G31" s="407">
        <v>12.47</v>
      </c>
    </row>
    <row r="32" spans="2:7">
      <c r="B32" s="318">
        <f t="shared" si="0"/>
        <v>29</v>
      </c>
      <c r="C32" s="315" t="s">
        <v>238</v>
      </c>
      <c r="D32" s="315" t="s">
        <v>212</v>
      </c>
      <c r="E32" s="404" t="s">
        <v>174</v>
      </c>
      <c r="F32" s="310">
        <v>1.86</v>
      </c>
      <c r="G32" s="407">
        <v>12.47</v>
      </c>
    </row>
    <row r="33" spans="2:9">
      <c r="B33" s="318">
        <f t="shared" si="0"/>
        <v>30</v>
      </c>
      <c r="C33" s="315" t="s">
        <v>225</v>
      </c>
      <c r="D33" s="315" t="s">
        <v>212</v>
      </c>
      <c r="E33" s="404" t="s">
        <v>174</v>
      </c>
      <c r="F33" s="310">
        <v>1.86</v>
      </c>
      <c r="G33" s="407">
        <v>12.47</v>
      </c>
    </row>
    <row r="34" spans="2:9">
      <c r="B34" s="318">
        <f t="shared" si="0"/>
        <v>31</v>
      </c>
      <c r="C34" s="315" t="s">
        <v>239</v>
      </c>
      <c r="D34" s="315" t="s">
        <v>212</v>
      </c>
      <c r="E34" s="404" t="s">
        <v>174</v>
      </c>
      <c r="F34" s="310">
        <v>1.86</v>
      </c>
      <c r="G34" s="407">
        <v>12.47</v>
      </c>
    </row>
    <row r="35" spans="2:9">
      <c r="B35" s="318">
        <f t="shared" si="0"/>
        <v>32</v>
      </c>
      <c r="C35" s="315" t="s">
        <v>222</v>
      </c>
      <c r="D35" s="315" t="s">
        <v>147</v>
      </c>
      <c r="E35" s="404" t="s">
        <v>174</v>
      </c>
      <c r="F35" s="310">
        <v>1.57</v>
      </c>
      <c r="G35" s="310">
        <v>11.05</v>
      </c>
    </row>
    <row r="36" spans="2:9">
      <c r="B36" s="318">
        <f t="shared" si="0"/>
        <v>33</v>
      </c>
      <c r="C36" s="315" t="s">
        <v>241</v>
      </c>
      <c r="D36" s="315" t="s">
        <v>150</v>
      </c>
      <c r="E36" s="405" t="s">
        <v>174</v>
      </c>
      <c r="F36" s="310">
        <v>1.86</v>
      </c>
      <c r="G36" s="407">
        <v>12.47</v>
      </c>
    </row>
    <row r="37" spans="2:9">
      <c r="B37" s="318">
        <f t="shared" si="0"/>
        <v>34</v>
      </c>
      <c r="C37" s="315" t="s">
        <v>249</v>
      </c>
      <c r="D37" s="315" t="s">
        <v>150</v>
      </c>
      <c r="E37" s="405" t="s">
        <v>174</v>
      </c>
      <c r="F37" s="310">
        <v>1.86</v>
      </c>
      <c r="G37" s="407">
        <v>12.47</v>
      </c>
    </row>
    <row r="38" spans="2:9">
      <c r="B38" s="318">
        <f t="shared" si="0"/>
        <v>35</v>
      </c>
      <c r="C38" s="315" t="s">
        <v>253</v>
      </c>
      <c r="D38" s="315" t="s">
        <v>147</v>
      </c>
      <c r="E38" s="404" t="s">
        <v>256</v>
      </c>
      <c r="F38" s="310">
        <v>1.08</v>
      </c>
      <c r="G38" s="310">
        <v>8.68</v>
      </c>
      <c r="I38" s="402" t="s">
        <v>1086</v>
      </c>
    </row>
    <row r="39" spans="2:9">
      <c r="B39" s="318">
        <f t="shared" si="0"/>
        <v>36</v>
      </c>
      <c r="C39" s="315" t="s">
        <v>244</v>
      </c>
      <c r="D39" s="315" t="s">
        <v>212</v>
      </c>
      <c r="E39" s="405" t="s">
        <v>174</v>
      </c>
      <c r="F39" s="310">
        <v>1.86</v>
      </c>
      <c r="G39" s="407">
        <v>12.47</v>
      </c>
    </row>
    <row r="40" spans="2:9">
      <c r="B40" s="318">
        <f t="shared" si="0"/>
        <v>37</v>
      </c>
      <c r="C40" s="315" t="s">
        <v>248</v>
      </c>
      <c r="D40" s="315" t="s">
        <v>150</v>
      </c>
      <c r="E40" s="405" t="s">
        <v>174</v>
      </c>
      <c r="F40" s="310">
        <v>1.86</v>
      </c>
      <c r="G40" s="407">
        <v>12.47</v>
      </c>
    </row>
    <row r="41" spans="2:9">
      <c r="B41" s="318">
        <f t="shared" si="0"/>
        <v>38</v>
      </c>
      <c r="C41" s="315" t="s">
        <v>319</v>
      </c>
      <c r="D41" s="315" t="s">
        <v>212</v>
      </c>
      <c r="E41" s="405" t="s">
        <v>174</v>
      </c>
      <c r="F41" s="310">
        <v>1.86</v>
      </c>
      <c r="G41" s="407">
        <v>12.47</v>
      </c>
    </row>
    <row r="42" spans="2:9">
      <c r="F42">
        <f>SUM(F4:F41)</f>
        <v>65.059999999999988</v>
      </c>
      <c r="G42">
        <f>SUM(G4:G41)</f>
        <v>446.40000000000038</v>
      </c>
      <c r="H42">
        <f>SUM(F42:G42)</f>
        <v>511.46000000000038</v>
      </c>
    </row>
  </sheetData>
  <conditionalFormatting sqref="C4:C41">
    <cfRule type="duplicateValues" dxfId="18" priority="266"/>
  </conditionalFormatting>
  <conditionalFormatting sqref="C6:C26">
    <cfRule type="duplicateValues" dxfId="17" priority="21"/>
  </conditionalFormatting>
  <conditionalFormatting sqref="C6:C41">
    <cfRule type="duplicateValues" dxfId="16" priority="17"/>
    <cfRule type="duplicateValues" dxfId="15" priority="22" stopIfTrue="1"/>
  </conditionalFormatting>
  <conditionalFormatting sqref="D10">
    <cfRule type="duplicateValues" dxfId="14" priority="8"/>
    <cfRule type="duplicateValues" dxfId="13" priority="9"/>
    <cfRule type="duplicateValues" dxfId="12" priority="10" stopIfTrue="1"/>
  </conditionalFormatting>
  <conditionalFormatting sqref="D11">
    <cfRule type="duplicateValues" dxfId="11" priority="5"/>
    <cfRule type="duplicateValues" dxfId="10" priority="6"/>
    <cfRule type="duplicateValues" dxfId="9" priority="7" stopIfTrue="1"/>
  </conditionalFormatting>
  <conditionalFormatting sqref="D16">
    <cfRule type="duplicateValues" dxfId="8" priority="18"/>
    <cfRule type="duplicateValues" dxfId="7" priority="19"/>
    <cfRule type="duplicateValues" dxfId="6" priority="20" stopIfTrue="1"/>
  </conditionalFormatting>
  <conditionalFormatting sqref="D5:E5">
    <cfRule type="duplicateValues" dxfId="5" priority="260"/>
    <cfRule type="duplicateValues" dxfId="4" priority="261"/>
    <cfRule type="duplicateValues" dxfId="3" priority="262" stopIfTrue="1"/>
  </conditionalFormatting>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4"/>
  <cols>
    <col min="4" max="4" width="12" customWidth="1"/>
    <col min="24" max="43" width="9" hidden="1" customWidth="1"/>
  </cols>
  <sheetData>
    <row r="1" spans="1:43">
      <c r="A1" s="1493" t="s">
        <v>262</v>
      </c>
      <c r="B1" s="1493"/>
      <c r="C1" s="1493"/>
      <c r="D1" s="1493"/>
      <c r="E1" s="1493"/>
      <c r="F1" s="1493"/>
      <c r="G1" s="1493"/>
      <c r="H1" s="1493"/>
      <c r="I1" s="1493"/>
      <c r="J1" s="1493"/>
      <c r="K1" s="1493"/>
      <c r="L1" s="1493"/>
      <c r="M1" s="1493"/>
      <c r="N1" s="1493"/>
      <c r="O1" s="1493"/>
      <c r="P1" s="1493"/>
      <c r="Q1" s="1493"/>
      <c r="R1" s="1493"/>
      <c r="S1" s="1493"/>
      <c r="T1" s="1493"/>
      <c r="U1" s="1493"/>
      <c r="V1" s="1494"/>
    </row>
    <row r="2" spans="1:43" ht="15" thickBot="1">
      <c r="A2" s="1495" t="s">
        <v>263</v>
      </c>
      <c r="B2" s="1312"/>
      <c r="C2" s="1312"/>
      <c r="D2" s="1312"/>
      <c r="E2" s="1312"/>
      <c r="F2" s="1312"/>
      <c r="G2" s="1312"/>
      <c r="H2" s="1312"/>
      <c r="I2" s="1312"/>
      <c r="J2" s="1312"/>
      <c r="K2" s="1312"/>
      <c r="L2" s="1312"/>
      <c r="M2" s="1312"/>
      <c r="N2" s="1312"/>
      <c r="O2" s="1312"/>
      <c r="P2" s="1312"/>
      <c r="Q2" s="1312"/>
      <c r="R2" s="1312"/>
      <c r="S2" s="1312"/>
      <c r="T2" s="1312"/>
      <c r="U2" s="1312"/>
      <c r="V2" s="1496"/>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5" customHeight="1">
      <c r="A4" s="1488" t="s">
        <v>264</v>
      </c>
      <c r="B4" s="1303"/>
      <c r="C4" s="127"/>
      <c r="D4" s="1489" t="s">
        <v>1050</v>
      </c>
      <c r="E4" s="1490"/>
      <c r="F4" s="1484" t="s">
        <v>266</v>
      </c>
      <c r="G4" s="1486" t="s">
        <v>267</v>
      </c>
      <c r="H4" s="1314" t="s">
        <v>268</v>
      </c>
      <c r="I4" s="1315"/>
      <c r="J4" s="1316"/>
      <c r="K4" s="128" t="s">
        <v>269</v>
      </c>
      <c r="L4" s="1314" t="s">
        <v>270</v>
      </c>
      <c r="M4" s="1315"/>
      <c r="N4" s="1316"/>
      <c r="O4" s="1314" t="s">
        <v>271</v>
      </c>
      <c r="P4" s="1315"/>
      <c r="Q4" s="1316"/>
      <c r="R4" s="1497"/>
      <c r="S4" s="1317"/>
      <c r="T4" s="1317"/>
      <c r="U4" s="166"/>
      <c r="V4" s="167"/>
    </row>
    <row r="5" spans="1:43" ht="14.55" customHeight="1">
      <c r="A5" s="1488"/>
      <c r="B5" s="1303"/>
      <c r="C5" s="127"/>
      <c r="D5" s="1491"/>
      <c r="E5" s="1492"/>
      <c r="F5" s="1485"/>
      <c r="G5" s="1487"/>
      <c r="H5" s="128" t="s">
        <v>272</v>
      </c>
      <c r="I5" s="128" t="s">
        <v>242</v>
      </c>
      <c r="J5" s="128" t="s">
        <v>273</v>
      </c>
      <c r="K5" s="128" t="s">
        <v>272</v>
      </c>
      <c r="L5" s="128" t="s">
        <v>272</v>
      </c>
      <c r="M5" s="128" t="s">
        <v>242</v>
      </c>
      <c r="N5" s="128" t="s">
        <v>273</v>
      </c>
      <c r="O5" s="128" t="s">
        <v>272</v>
      </c>
      <c r="P5" s="128" t="s">
        <v>242</v>
      </c>
      <c r="Q5" s="128" t="s">
        <v>273</v>
      </c>
      <c r="R5" s="165"/>
      <c r="S5" s="165"/>
      <c r="T5" s="165"/>
      <c r="U5" s="166"/>
      <c r="V5" s="167"/>
    </row>
    <row r="6" spans="1:43" ht="14.55" customHeight="1">
      <c r="A6" s="129"/>
      <c r="B6" s="127"/>
      <c r="C6" s="127"/>
      <c r="D6" s="1295" t="s">
        <v>1049</v>
      </c>
      <c r="E6" s="1296"/>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76" t="s">
        <v>1051</v>
      </c>
      <c r="AE9" s="376" t="s">
        <v>1052</v>
      </c>
      <c r="AJ9" s="376" t="s">
        <v>1053</v>
      </c>
      <c r="AO9" s="376" t="s">
        <v>1054</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393" t="s">
        <v>1058</v>
      </c>
      <c r="Y10" s="393" t="s">
        <v>1059</v>
      </c>
      <c r="Z10" s="393" t="s">
        <v>1060</v>
      </c>
      <c r="AA10" s="393" t="s">
        <v>1061</v>
      </c>
      <c r="AB10" s="376"/>
      <c r="AC10" s="376"/>
      <c r="AD10" s="393" t="s">
        <v>1058</v>
      </c>
      <c r="AE10" s="393" t="s">
        <v>1059</v>
      </c>
      <c r="AF10" s="393" t="s">
        <v>1060</v>
      </c>
      <c r="AG10" s="393" t="s">
        <v>1061</v>
      </c>
      <c r="AI10" s="393" t="s">
        <v>1058</v>
      </c>
      <c r="AJ10" s="393" t="s">
        <v>1059</v>
      </c>
      <c r="AK10" s="393" t="s">
        <v>1060</v>
      </c>
      <c r="AL10" s="393" t="s">
        <v>1061</v>
      </c>
      <c r="AN10" s="393" t="s">
        <v>1058</v>
      </c>
      <c r="AO10" s="393" t="s">
        <v>1059</v>
      </c>
      <c r="AP10" s="393" t="s">
        <v>1060</v>
      </c>
      <c r="AQ10" s="393" t="s">
        <v>1061</v>
      </c>
    </row>
    <row r="11" spans="1:43" ht="15.6"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6" thickTop="1" thickBot="1">
      <c r="A12" s="132"/>
      <c r="B12" s="133"/>
      <c r="C12" s="141"/>
      <c r="D12" s="139"/>
      <c r="E12" s="141"/>
      <c r="F12" s="133"/>
      <c r="G12" s="141" t="s">
        <v>354</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274</v>
      </c>
      <c r="D13" s="145"/>
      <c r="E13" s="358" t="s">
        <v>236</v>
      </c>
      <c r="F13" s="145"/>
      <c r="G13" s="358" t="s">
        <v>237</v>
      </c>
      <c r="H13" s="145"/>
      <c r="I13" s="358" t="s">
        <v>275</v>
      </c>
      <c r="J13" s="133"/>
      <c r="K13" s="144" t="s">
        <v>276</v>
      </c>
      <c r="L13" s="133"/>
      <c r="M13" s="358" t="s">
        <v>277</v>
      </c>
      <c r="N13" s="133"/>
      <c r="O13" s="144" t="s">
        <v>278</v>
      </c>
      <c r="P13" s="133"/>
      <c r="Q13" s="144" t="s">
        <v>279</v>
      </c>
      <c r="R13" s="133"/>
      <c r="S13" s="358" t="s">
        <v>280</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82</v>
      </c>
      <c r="D14" s="148"/>
      <c r="E14" s="148" t="s">
        <v>150</v>
      </c>
      <c r="F14" s="148"/>
      <c r="G14" s="149" t="s">
        <v>147</v>
      </c>
      <c r="H14" s="148"/>
      <c r="I14" s="149" t="s">
        <v>150</v>
      </c>
      <c r="J14" s="149"/>
      <c r="K14" s="147" t="s">
        <v>84</v>
      </c>
      <c r="L14" s="149"/>
      <c r="M14" s="149" t="s">
        <v>206</v>
      </c>
      <c r="N14" s="149"/>
      <c r="O14" s="147" t="s">
        <v>90</v>
      </c>
      <c r="P14" s="149"/>
      <c r="Q14" s="147" t="s">
        <v>283</v>
      </c>
      <c r="R14" s="149"/>
      <c r="S14" s="149" t="s">
        <v>150</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184</v>
      </c>
      <c r="L15" s="151"/>
      <c r="M15" s="159" t="s">
        <v>184</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6"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6"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58" t="s">
        <v>284</v>
      </c>
      <c r="C22" s="133"/>
      <c r="D22" s="358" t="s">
        <v>285</v>
      </c>
      <c r="E22" s="133"/>
      <c r="F22" s="144" t="s">
        <v>286</v>
      </c>
      <c r="G22" s="133"/>
      <c r="H22" s="144" t="s">
        <v>287</v>
      </c>
      <c r="I22" s="133"/>
      <c r="J22" s="144" t="s">
        <v>288</v>
      </c>
      <c r="K22" s="133"/>
      <c r="L22" s="358" t="s">
        <v>289</v>
      </c>
      <c r="M22" s="133"/>
      <c r="N22" s="144" t="s">
        <v>290</v>
      </c>
      <c r="O22" s="133"/>
      <c r="P22" s="358" t="s">
        <v>291</v>
      </c>
      <c r="Q22" s="133"/>
      <c r="R22" s="358" t="s">
        <v>292</v>
      </c>
      <c r="S22" s="133"/>
      <c r="T22" s="144" t="s">
        <v>293</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206</v>
      </c>
      <c r="C23" s="133"/>
      <c r="D23" s="133" t="s">
        <v>150</v>
      </c>
      <c r="E23" s="133"/>
      <c r="F23" s="144" t="s">
        <v>82</v>
      </c>
      <c r="G23" s="133"/>
      <c r="H23" s="144" t="s">
        <v>294</v>
      </c>
      <c r="I23" s="133"/>
      <c r="J23" s="144" t="s">
        <v>97</v>
      </c>
      <c r="K23" s="133"/>
      <c r="L23" s="145" t="s">
        <v>147</v>
      </c>
      <c r="M23" s="133"/>
      <c r="N23" s="144" t="s">
        <v>97</v>
      </c>
      <c r="O23" s="133"/>
      <c r="P23" s="145" t="s">
        <v>206</v>
      </c>
      <c r="Q23" s="133"/>
      <c r="R23" s="145" t="s">
        <v>206</v>
      </c>
      <c r="S23" s="133"/>
      <c r="T23" s="144" t="s">
        <v>294</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295</v>
      </c>
      <c r="C24" s="133"/>
      <c r="D24" s="144" t="s">
        <v>184</v>
      </c>
      <c r="E24" s="133"/>
      <c r="F24" s="144" t="s">
        <v>184</v>
      </c>
      <c r="G24" s="133"/>
      <c r="H24" s="144" t="s">
        <v>295</v>
      </c>
      <c r="I24" s="133"/>
      <c r="J24" s="133"/>
      <c r="K24" s="133"/>
      <c r="L24" s="144"/>
      <c r="M24" s="133"/>
      <c r="N24" s="133"/>
      <c r="O24" s="133"/>
      <c r="P24" s="160"/>
      <c r="Q24" s="133"/>
      <c r="R24" s="144"/>
      <c r="S24" s="133"/>
      <c r="T24" s="144" t="s">
        <v>295</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6"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6"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297</v>
      </c>
      <c r="C31" s="133"/>
      <c r="D31" s="144" t="s">
        <v>298</v>
      </c>
      <c r="E31" s="133"/>
      <c r="F31" s="358" t="s">
        <v>299</v>
      </c>
      <c r="G31" s="133"/>
      <c r="H31" s="144" t="s">
        <v>300</v>
      </c>
      <c r="I31" s="133"/>
      <c r="J31" s="358" t="s">
        <v>301</v>
      </c>
      <c r="K31" s="133"/>
      <c r="L31" s="358" t="s">
        <v>302</v>
      </c>
      <c r="M31" s="133"/>
      <c r="N31" s="358" t="s">
        <v>303</v>
      </c>
      <c r="O31" s="133"/>
      <c r="P31" s="144" t="s">
        <v>304</v>
      </c>
      <c r="Q31" s="133"/>
      <c r="R31" s="358" t="s">
        <v>245</v>
      </c>
      <c r="S31" s="133"/>
      <c r="T31" s="144" t="s">
        <v>305</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294</v>
      </c>
      <c r="C32" s="133"/>
      <c r="D32" s="144" t="s">
        <v>306</v>
      </c>
      <c r="E32" s="133"/>
      <c r="F32" s="145" t="s">
        <v>147</v>
      </c>
      <c r="G32" s="133"/>
      <c r="H32" s="144" t="s">
        <v>307</v>
      </c>
      <c r="I32" s="133"/>
      <c r="J32" s="145" t="s">
        <v>212</v>
      </c>
      <c r="K32" s="133"/>
      <c r="L32" s="145" t="s">
        <v>147</v>
      </c>
      <c r="M32" s="133"/>
      <c r="N32" s="145" t="s">
        <v>212</v>
      </c>
      <c r="O32" s="133"/>
      <c r="P32" s="144" t="s">
        <v>283</v>
      </c>
      <c r="Q32" s="133"/>
      <c r="R32" s="145" t="s">
        <v>212</v>
      </c>
      <c r="S32" s="133"/>
      <c r="T32" s="144" t="s">
        <v>308</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309</v>
      </c>
      <c r="G33" s="133"/>
      <c r="H33" s="144"/>
      <c r="I33" s="133"/>
      <c r="J33" s="155"/>
      <c r="K33" s="155"/>
      <c r="L33" s="155"/>
      <c r="M33" s="155"/>
      <c r="N33" s="144" t="s">
        <v>184</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6"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6"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58" t="s">
        <v>310</v>
      </c>
      <c r="C40" s="133"/>
      <c r="D40" s="358" t="s">
        <v>311</v>
      </c>
      <c r="E40" s="133"/>
      <c r="F40" s="358" t="s">
        <v>312</v>
      </c>
      <c r="G40" s="133"/>
      <c r="H40" s="358" t="s">
        <v>246</v>
      </c>
      <c r="I40" s="133"/>
      <c r="J40" s="358" t="s">
        <v>247</v>
      </c>
      <c r="K40" s="133"/>
      <c r="L40" s="144" t="s">
        <v>313</v>
      </c>
      <c r="M40" s="133"/>
      <c r="N40" s="358" t="s">
        <v>314</v>
      </c>
      <c r="O40" s="133"/>
      <c r="P40" s="144" t="s">
        <v>315</v>
      </c>
      <c r="Q40" s="133"/>
      <c r="R40" s="358" t="s">
        <v>316</v>
      </c>
      <c r="S40" s="133"/>
      <c r="T40" s="358" t="s">
        <v>317</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147</v>
      </c>
      <c r="C41" s="149"/>
      <c r="D41" s="148" t="s">
        <v>147</v>
      </c>
      <c r="E41" s="149"/>
      <c r="F41" s="148" t="s">
        <v>212</v>
      </c>
      <c r="G41" s="149"/>
      <c r="H41" s="148" t="s">
        <v>206</v>
      </c>
      <c r="I41" s="149"/>
      <c r="J41" s="148" t="s">
        <v>206</v>
      </c>
      <c r="K41" s="149"/>
      <c r="L41" s="147" t="s">
        <v>283</v>
      </c>
      <c r="M41" s="149"/>
      <c r="N41" s="148" t="s">
        <v>147</v>
      </c>
      <c r="O41" s="149"/>
      <c r="P41" s="147" t="s">
        <v>306</v>
      </c>
      <c r="Q41" s="149"/>
      <c r="R41" s="148" t="s">
        <v>212</v>
      </c>
      <c r="S41" s="133"/>
      <c r="T41" s="148" t="s">
        <v>212</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184</v>
      </c>
      <c r="C42" s="155"/>
      <c r="D42" s="155"/>
      <c r="E42" s="155"/>
      <c r="F42" s="154" t="s">
        <v>184</v>
      </c>
      <c r="G42" s="155"/>
      <c r="H42" s="155"/>
      <c r="I42" s="155"/>
      <c r="J42" s="155"/>
      <c r="K42" s="155"/>
      <c r="L42" s="155"/>
      <c r="M42" s="155"/>
      <c r="N42" s="155"/>
      <c r="O42" s="155"/>
      <c r="P42" s="144" t="s">
        <v>295</v>
      </c>
      <c r="Q42" s="155"/>
      <c r="R42" s="154" t="s">
        <v>184</v>
      </c>
      <c r="S42" s="133"/>
      <c r="T42" s="154" t="s">
        <v>184</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6" thickTop="1" thickBot="1">
      <c r="A46" s="132"/>
      <c r="B46" s="157" t="s">
        <v>318</v>
      </c>
      <c r="C46" s="139"/>
      <c r="D46" s="158" t="s">
        <v>318</v>
      </c>
      <c r="E46" s="133"/>
      <c r="F46" s="158" t="s">
        <v>318</v>
      </c>
      <c r="G46" s="139"/>
      <c r="H46" s="158" t="s">
        <v>318</v>
      </c>
      <c r="I46" s="139"/>
      <c r="J46" s="158" t="s">
        <v>318</v>
      </c>
      <c r="K46" s="139"/>
      <c r="L46" s="140"/>
      <c r="M46" s="139"/>
      <c r="N46" s="140"/>
      <c r="O46" s="139"/>
      <c r="P46" s="140"/>
      <c r="Q46" s="137"/>
      <c r="R46" s="157" t="s">
        <v>318</v>
      </c>
      <c r="S46" s="139"/>
      <c r="T46" s="157" t="s">
        <v>318</v>
      </c>
      <c r="U46" s="133"/>
      <c r="V46" s="167"/>
      <c r="X46" s="310"/>
      <c r="Y46" s="310"/>
      <c r="Z46" s="310"/>
      <c r="AA46" s="310"/>
      <c r="AD46" s="310"/>
      <c r="AE46" s="310"/>
      <c r="AF46" s="310"/>
      <c r="AG46" s="310"/>
      <c r="AI46" s="310"/>
      <c r="AJ46" s="310"/>
      <c r="AK46" s="310"/>
      <c r="AL46" s="310"/>
      <c r="AN46" s="310"/>
      <c r="AO46" s="310"/>
      <c r="AP46" s="310"/>
      <c r="AQ46" s="310"/>
    </row>
    <row r="47" spans="1:43" ht="15.6" thickTop="1" thickBot="1">
      <c r="A47" s="132"/>
      <c r="B47" s="141" t="s">
        <v>340</v>
      </c>
      <c r="C47" s="139"/>
      <c r="D47" s="141"/>
      <c r="E47" s="133"/>
      <c r="F47" s="141" t="s">
        <v>340</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58" t="s">
        <v>238</v>
      </c>
      <c r="C48" s="133"/>
      <c r="D48" s="358" t="s">
        <v>239</v>
      </c>
      <c r="E48" s="133"/>
      <c r="F48" s="358" t="s">
        <v>319</v>
      </c>
      <c r="G48" s="133"/>
      <c r="H48" s="358" t="s">
        <v>248</v>
      </c>
      <c r="I48" s="133"/>
      <c r="J48" s="358" t="s">
        <v>249</v>
      </c>
      <c r="K48" s="133"/>
      <c r="L48" s="144" t="s">
        <v>320</v>
      </c>
      <c r="M48" s="133"/>
      <c r="N48" s="144" t="s">
        <v>321</v>
      </c>
      <c r="O48" s="133"/>
      <c r="P48" s="144" t="s">
        <v>119</v>
      </c>
      <c r="Q48" s="133"/>
      <c r="R48" s="358" t="s">
        <v>211</v>
      </c>
      <c r="S48" s="133"/>
      <c r="T48" s="358" t="s">
        <v>224</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212</v>
      </c>
      <c r="C49" s="133"/>
      <c r="D49" s="145" t="s">
        <v>212</v>
      </c>
      <c r="E49" s="133"/>
      <c r="F49" s="145" t="s">
        <v>212</v>
      </c>
      <c r="G49" s="133"/>
      <c r="H49" s="145" t="s">
        <v>150</v>
      </c>
      <c r="I49" s="133"/>
      <c r="J49" s="145" t="s">
        <v>150</v>
      </c>
      <c r="K49" s="133"/>
      <c r="L49" s="144" t="s">
        <v>90</v>
      </c>
      <c r="M49" s="133"/>
      <c r="N49" s="144" t="s">
        <v>294</v>
      </c>
      <c r="O49" s="133"/>
      <c r="P49" s="144" t="s">
        <v>90</v>
      </c>
      <c r="Q49" s="133"/>
      <c r="R49" s="148" t="s">
        <v>212</v>
      </c>
      <c r="S49" s="133"/>
      <c r="T49" s="145" t="s">
        <v>147</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184</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6" thickTop="1" thickBot="1">
      <c r="A54" s="132"/>
      <c r="B54" s="158" t="s">
        <v>318</v>
      </c>
      <c r="C54" s="139"/>
      <c r="D54" s="190" t="s">
        <v>192</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6"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58" t="s">
        <v>225</v>
      </c>
      <c r="C56" s="133"/>
      <c r="D56" s="358" t="s">
        <v>250</v>
      </c>
      <c r="E56" s="133"/>
      <c r="F56" s="144" t="s">
        <v>322</v>
      </c>
      <c r="G56" s="133"/>
      <c r="H56" s="358" t="s">
        <v>323</v>
      </c>
      <c r="I56" s="133"/>
      <c r="J56" s="358" t="s">
        <v>324</v>
      </c>
      <c r="K56" s="133"/>
      <c r="L56" s="144" t="s">
        <v>325</v>
      </c>
      <c r="M56" s="133"/>
      <c r="N56" s="144" t="s">
        <v>326</v>
      </c>
      <c r="O56" s="133"/>
      <c r="P56" s="358" t="s">
        <v>327</v>
      </c>
      <c r="Q56" s="133"/>
      <c r="R56" s="358" t="s">
        <v>328</v>
      </c>
      <c r="S56" s="133"/>
      <c r="T56" s="358" t="s">
        <v>329</v>
      </c>
      <c r="V56" s="374" t="s">
        <v>1048</v>
      </c>
      <c r="X56" s="310"/>
      <c r="Y56" s="310"/>
      <c r="Z56" s="310"/>
      <c r="AA56" s="310"/>
      <c r="AD56" s="310"/>
      <c r="AE56" s="310"/>
      <c r="AF56" s="310"/>
      <c r="AG56" s="310"/>
      <c r="AI56" s="310"/>
      <c r="AJ56" s="310"/>
      <c r="AK56" s="310"/>
      <c r="AL56" s="310"/>
      <c r="AN56" s="310"/>
      <c r="AO56" s="310"/>
      <c r="AP56" s="310"/>
      <c r="AQ56" s="310"/>
    </row>
    <row r="57" spans="1:43">
      <c r="A57" s="132"/>
      <c r="B57" s="148" t="s">
        <v>150</v>
      </c>
      <c r="C57" s="133"/>
      <c r="D57" s="145" t="s">
        <v>212</v>
      </c>
      <c r="E57" s="133"/>
      <c r="F57" s="147" t="s">
        <v>93</v>
      </c>
      <c r="G57" s="133"/>
      <c r="H57" s="145" t="s">
        <v>206</v>
      </c>
      <c r="I57" s="133"/>
      <c r="J57" s="145" t="s">
        <v>84</v>
      </c>
      <c r="K57" s="133"/>
      <c r="L57" s="144" t="s">
        <v>294</v>
      </c>
      <c r="M57" s="133"/>
      <c r="N57" s="144" t="s">
        <v>108</v>
      </c>
      <c r="O57" s="133"/>
      <c r="P57" s="145" t="s">
        <v>206</v>
      </c>
      <c r="Q57" s="133"/>
      <c r="R57" s="145" t="s">
        <v>147</v>
      </c>
      <c r="S57" s="133"/>
      <c r="T57" s="145" t="s">
        <v>147</v>
      </c>
      <c r="V57" s="375" t="s">
        <v>307</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184</v>
      </c>
      <c r="G58" s="155"/>
      <c r="H58" s="155"/>
      <c r="I58" s="155"/>
      <c r="J58" s="155"/>
      <c r="K58" s="155"/>
      <c r="L58" s="155"/>
      <c r="M58" s="155"/>
      <c r="N58" s="155"/>
      <c r="O58" s="155"/>
      <c r="P58" s="155"/>
      <c r="Q58" s="155"/>
      <c r="R58" s="154" t="s">
        <v>330</v>
      </c>
      <c r="S58" s="133"/>
      <c r="T58" s="154" t="s">
        <v>184</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6" thickTop="1" thickBot="1">
      <c r="A62" s="132"/>
      <c r="B62" s="140"/>
      <c r="C62" s="139"/>
      <c r="D62" s="140"/>
      <c r="E62" s="139"/>
      <c r="F62" s="140"/>
      <c r="G62" s="139"/>
      <c r="H62" s="140"/>
      <c r="I62" s="139"/>
      <c r="J62" s="140"/>
      <c r="K62" s="139"/>
      <c r="L62" s="140"/>
      <c r="M62" s="139"/>
      <c r="N62" s="140"/>
      <c r="O62" s="162"/>
      <c r="P62" s="140"/>
      <c r="Q62" s="139"/>
      <c r="R62" s="140"/>
      <c r="S62" s="139"/>
      <c r="T62" s="157" t="s">
        <v>318</v>
      </c>
      <c r="V62" s="177"/>
      <c r="X62" s="310"/>
      <c r="Y62" s="310"/>
      <c r="Z62" s="310"/>
      <c r="AA62" s="310"/>
      <c r="AD62" s="310"/>
      <c r="AE62" s="310"/>
      <c r="AF62" s="310"/>
      <c r="AG62" s="310"/>
      <c r="AI62" s="310"/>
      <c r="AJ62" s="310"/>
      <c r="AK62" s="310"/>
      <c r="AL62" s="310"/>
      <c r="AN62" s="310"/>
      <c r="AO62" s="310"/>
      <c r="AP62" s="310"/>
      <c r="AQ62" s="310"/>
    </row>
    <row r="63" spans="1:43" ht="15.6"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331</v>
      </c>
      <c r="C64" s="149"/>
      <c r="D64" s="369" t="s">
        <v>251</v>
      </c>
      <c r="E64" s="133"/>
      <c r="F64" s="369" t="s">
        <v>332</v>
      </c>
      <c r="G64" s="149"/>
      <c r="H64" s="369" t="s">
        <v>333</v>
      </c>
      <c r="I64" s="133"/>
      <c r="J64" s="147" t="s">
        <v>334</v>
      </c>
      <c r="K64" s="149"/>
      <c r="L64" s="369" t="s">
        <v>335</v>
      </c>
      <c r="M64" s="149"/>
      <c r="N64" s="369" t="s">
        <v>336</v>
      </c>
      <c r="O64" s="149"/>
      <c r="P64" s="147" t="s">
        <v>337</v>
      </c>
      <c r="Q64" s="149"/>
      <c r="R64" s="369" t="s">
        <v>252</v>
      </c>
      <c r="S64" s="149"/>
      <c r="T64" s="369" t="s">
        <v>223</v>
      </c>
      <c r="V64" s="177"/>
      <c r="X64" s="310"/>
      <c r="Y64" s="310"/>
      <c r="Z64" s="310"/>
      <c r="AA64" s="310"/>
      <c r="AD64" s="310"/>
      <c r="AE64" s="310"/>
      <c r="AF64" s="310"/>
      <c r="AG64" s="310"/>
      <c r="AI64" s="310"/>
      <c r="AJ64" s="310"/>
      <c r="AK64" s="310"/>
      <c r="AL64" s="310"/>
      <c r="AN64" s="310"/>
      <c r="AO64" s="310"/>
      <c r="AP64" s="310"/>
      <c r="AQ64" s="310"/>
    </row>
    <row r="65" spans="1:43">
      <c r="A65" s="132"/>
      <c r="B65" s="147" t="s">
        <v>308</v>
      </c>
      <c r="C65" s="149"/>
      <c r="D65" s="148" t="s">
        <v>212</v>
      </c>
      <c r="E65" s="133"/>
      <c r="F65" s="148" t="s">
        <v>147</v>
      </c>
      <c r="G65" s="149"/>
      <c r="H65" s="148" t="s">
        <v>147</v>
      </c>
      <c r="I65" s="133"/>
      <c r="J65" s="147" t="s">
        <v>307</v>
      </c>
      <c r="K65" s="149"/>
      <c r="L65" s="148" t="s">
        <v>150</v>
      </c>
      <c r="M65" s="149"/>
      <c r="N65" s="148" t="s">
        <v>150</v>
      </c>
      <c r="O65" s="149"/>
      <c r="P65" s="147" t="s">
        <v>308</v>
      </c>
      <c r="Q65" s="149"/>
      <c r="R65" s="148" t="s">
        <v>147</v>
      </c>
      <c r="S65" s="149"/>
      <c r="T65" s="148" t="s">
        <v>212</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184</v>
      </c>
      <c r="I66" s="133"/>
      <c r="J66" s="144" t="s">
        <v>295</v>
      </c>
      <c r="K66" s="155"/>
      <c r="L66" s="154" t="s">
        <v>184</v>
      </c>
      <c r="M66" s="155"/>
      <c r="N66" s="155"/>
      <c r="O66" s="155"/>
      <c r="P66" s="155"/>
      <c r="Q66" s="155"/>
      <c r="R66" s="154" t="s">
        <v>338</v>
      </c>
      <c r="S66" s="155"/>
      <c r="T66" s="184" t="s">
        <v>339</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6" thickTop="1" thickBot="1">
      <c r="A70" s="132"/>
      <c r="B70" s="158" t="s">
        <v>318</v>
      </c>
      <c r="C70" s="139"/>
      <c r="D70" s="140"/>
      <c r="E70" s="139"/>
      <c r="F70" s="157" t="s">
        <v>318</v>
      </c>
      <c r="G70" s="133"/>
      <c r="H70" s="141"/>
      <c r="I70" s="139"/>
      <c r="J70" s="158" t="s">
        <v>318</v>
      </c>
      <c r="K70" s="139"/>
      <c r="L70" s="158" t="s">
        <v>318</v>
      </c>
      <c r="M70" s="139"/>
      <c r="N70" s="158" t="s">
        <v>318</v>
      </c>
      <c r="O70" s="139"/>
      <c r="P70" s="158" t="s">
        <v>318</v>
      </c>
      <c r="Q70" s="139"/>
      <c r="R70" s="158" t="s">
        <v>318</v>
      </c>
      <c r="S70" s="139"/>
      <c r="T70" s="158" t="s">
        <v>318</v>
      </c>
      <c r="V70" s="177"/>
      <c r="X70" s="310"/>
      <c r="Y70" s="310"/>
      <c r="Z70" s="310"/>
      <c r="AA70" s="310"/>
      <c r="AD70" s="310"/>
      <c r="AE70" s="310"/>
      <c r="AF70" s="310"/>
      <c r="AG70" s="310"/>
      <c r="AI70" s="310"/>
      <c r="AJ70" s="310"/>
      <c r="AK70" s="310"/>
      <c r="AL70" s="310"/>
      <c r="AN70" s="310"/>
      <c r="AO70" s="310"/>
      <c r="AP70" s="310"/>
      <c r="AQ70" s="310"/>
    </row>
    <row r="71" spans="1:43" ht="15.6" thickTop="1" thickBot="1">
      <c r="A71" s="132"/>
      <c r="B71" s="141" t="s">
        <v>340</v>
      </c>
      <c r="C71" s="139"/>
      <c r="D71" s="141"/>
      <c r="E71" s="139"/>
      <c r="F71" s="141" t="s">
        <v>340</v>
      </c>
      <c r="G71" s="133"/>
      <c r="H71" s="141"/>
      <c r="I71" s="139"/>
      <c r="J71" s="141" t="s">
        <v>340</v>
      </c>
      <c r="K71" s="139"/>
      <c r="L71" s="141" t="s">
        <v>340</v>
      </c>
      <c r="M71" s="139"/>
      <c r="N71" s="141" t="s">
        <v>340</v>
      </c>
      <c r="O71" s="139"/>
      <c r="P71" s="141" t="s">
        <v>340</v>
      </c>
      <c r="Q71" s="139"/>
      <c r="R71" s="141"/>
      <c r="S71" s="139"/>
      <c r="T71" s="141" t="s">
        <v>340</v>
      </c>
      <c r="V71" s="177"/>
      <c r="X71" s="310"/>
      <c r="Y71" s="310"/>
      <c r="Z71" s="310"/>
      <c r="AA71" s="310"/>
      <c r="AD71" s="310"/>
      <c r="AE71" s="310"/>
      <c r="AF71" s="310"/>
      <c r="AG71" s="310"/>
      <c r="AI71" s="310"/>
      <c r="AJ71" s="310"/>
      <c r="AK71" s="310"/>
      <c r="AL71" s="310"/>
      <c r="AN71" s="310"/>
      <c r="AO71" s="310"/>
      <c r="AP71" s="310"/>
      <c r="AQ71" s="310"/>
    </row>
    <row r="72" spans="1:43" ht="15" thickTop="1">
      <c r="A72" s="132"/>
      <c r="B72" s="369" t="s">
        <v>215</v>
      </c>
      <c r="C72" s="133"/>
      <c r="D72" s="147" t="s">
        <v>341</v>
      </c>
      <c r="E72" s="133"/>
      <c r="F72" s="369" t="s">
        <v>261</v>
      </c>
      <c r="G72" s="133"/>
      <c r="H72" s="147" t="s">
        <v>342</v>
      </c>
      <c r="I72" s="133"/>
      <c r="J72" s="369" t="s">
        <v>200</v>
      </c>
      <c r="K72" s="133"/>
      <c r="L72" s="369" t="s">
        <v>201</v>
      </c>
      <c r="M72" s="133"/>
      <c r="N72" s="369" t="s">
        <v>178</v>
      </c>
      <c r="O72" s="133"/>
      <c r="P72" s="369" t="s">
        <v>177</v>
      </c>
      <c r="Q72" s="133"/>
      <c r="R72" s="369" t="s">
        <v>176</v>
      </c>
      <c r="S72" s="133"/>
      <c r="T72" s="369" t="s">
        <v>173</v>
      </c>
      <c r="V72" s="177"/>
      <c r="X72" s="310"/>
      <c r="Y72" s="310"/>
      <c r="Z72" s="310"/>
      <c r="AA72" s="310"/>
      <c r="AD72" s="310"/>
      <c r="AE72" s="310"/>
      <c r="AF72" s="310"/>
      <c r="AG72" s="310"/>
      <c r="AI72" s="310"/>
      <c r="AJ72" s="310"/>
      <c r="AK72" s="310"/>
      <c r="AL72" s="310"/>
      <c r="AN72" s="310"/>
      <c r="AO72" s="310"/>
      <c r="AP72" s="310"/>
      <c r="AQ72" s="310"/>
    </row>
    <row r="73" spans="1:43">
      <c r="A73" s="132"/>
      <c r="B73" s="148" t="s">
        <v>212</v>
      </c>
      <c r="C73" s="133"/>
      <c r="D73" s="147" t="s">
        <v>294</v>
      </c>
      <c r="E73" s="133"/>
      <c r="F73" s="145" t="s">
        <v>147</v>
      </c>
      <c r="G73" s="133"/>
      <c r="H73" s="147" t="s">
        <v>80</v>
      </c>
      <c r="I73" s="133"/>
      <c r="J73" s="145" t="s">
        <v>147</v>
      </c>
      <c r="K73" s="133"/>
      <c r="L73" s="145" t="s">
        <v>147</v>
      </c>
      <c r="M73" s="133"/>
      <c r="N73" s="145" t="s">
        <v>150</v>
      </c>
      <c r="O73" s="133"/>
      <c r="P73" s="145" t="s">
        <v>147</v>
      </c>
      <c r="Q73" s="133"/>
      <c r="R73" s="145" t="s">
        <v>147</v>
      </c>
      <c r="S73" s="133"/>
      <c r="T73" s="145" t="s">
        <v>147</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339</v>
      </c>
      <c r="C74" s="133"/>
      <c r="D74" s="155"/>
      <c r="E74" s="155"/>
      <c r="F74" s="155"/>
      <c r="G74" s="155"/>
      <c r="H74" s="144" t="s">
        <v>330</v>
      </c>
      <c r="I74" s="192"/>
      <c r="J74" s="144" t="s">
        <v>330</v>
      </c>
      <c r="K74" s="192"/>
      <c r="L74" s="144" t="s">
        <v>295</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6" thickTop="1" thickBot="1">
      <c r="A78" s="132"/>
      <c r="B78" s="185" t="s">
        <v>318</v>
      </c>
      <c r="D78" s="140"/>
      <c r="F78" s="157" t="s">
        <v>318</v>
      </c>
      <c r="G78" s="139"/>
      <c r="H78" s="140"/>
      <c r="I78" s="133"/>
      <c r="J78" s="158" t="s">
        <v>318</v>
      </c>
      <c r="K78" s="139"/>
      <c r="L78" s="158" t="s">
        <v>318</v>
      </c>
      <c r="M78" s="139"/>
      <c r="N78" s="158" t="s">
        <v>318</v>
      </c>
      <c r="O78" s="139"/>
      <c r="P78" s="158" t="s">
        <v>318</v>
      </c>
      <c r="Q78" s="139"/>
      <c r="R78" s="158" t="s">
        <v>318</v>
      </c>
      <c r="S78" s="139"/>
      <c r="T78" s="140"/>
      <c r="V78" s="167"/>
      <c r="X78" s="310"/>
      <c r="Y78" s="310"/>
      <c r="Z78" s="310"/>
      <c r="AA78" s="310"/>
      <c r="AD78" s="310"/>
      <c r="AE78" s="310"/>
      <c r="AF78" s="310"/>
      <c r="AG78" s="310"/>
      <c r="AI78" s="310"/>
      <c r="AJ78" s="310"/>
      <c r="AK78" s="310"/>
      <c r="AL78" s="310"/>
      <c r="AN78" s="310"/>
      <c r="AO78" s="310"/>
      <c r="AP78" s="310"/>
      <c r="AQ78" s="310"/>
    </row>
    <row r="79" spans="1:43" ht="15.6" thickTop="1" thickBot="1">
      <c r="A79" s="132"/>
      <c r="B79" s="186" t="s">
        <v>340</v>
      </c>
      <c r="D79" s="141"/>
      <c r="F79" s="141" t="s">
        <v>340</v>
      </c>
      <c r="G79" s="139"/>
      <c r="H79" s="141"/>
      <c r="I79" s="133"/>
      <c r="J79" s="141" t="s">
        <v>340</v>
      </c>
      <c r="K79" s="139"/>
      <c r="L79" s="141" t="s">
        <v>340</v>
      </c>
      <c r="M79" s="139"/>
      <c r="N79" s="141" t="s">
        <v>340</v>
      </c>
      <c r="O79" s="139"/>
      <c r="P79" s="141" t="s">
        <v>340</v>
      </c>
      <c r="Q79" s="139"/>
      <c r="R79" s="141" t="s">
        <v>340</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69" t="s">
        <v>195</v>
      </c>
      <c r="D80" s="144" t="s">
        <v>343</v>
      </c>
      <c r="F80" s="369" t="s">
        <v>227</v>
      </c>
      <c r="G80" s="149"/>
      <c r="H80" s="147" t="s">
        <v>344</v>
      </c>
      <c r="I80" s="149"/>
      <c r="J80" s="369" t="s">
        <v>179</v>
      </c>
      <c r="K80" s="149"/>
      <c r="L80" s="369" t="s">
        <v>180</v>
      </c>
      <c r="M80" s="149"/>
      <c r="N80" s="369" t="s">
        <v>203</v>
      </c>
      <c r="O80" s="149"/>
      <c r="P80" s="369" t="s">
        <v>204</v>
      </c>
      <c r="Q80" s="149"/>
      <c r="R80" s="369" t="s">
        <v>205</v>
      </c>
      <c r="S80" s="149"/>
      <c r="T80" s="147" t="s">
        <v>345</v>
      </c>
      <c r="V80" s="167"/>
      <c r="X80" s="310"/>
      <c r="Y80" s="310"/>
      <c r="Z80" s="310"/>
      <c r="AA80" s="310"/>
      <c r="AD80" s="310"/>
      <c r="AE80" s="310"/>
      <c r="AF80" s="310"/>
      <c r="AG80" s="310"/>
      <c r="AI80" s="310"/>
      <c r="AJ80" s="310"/>
      <c r="AK80" s="310"/>
      <c r="AL80" s="310"/>
      <c r="AN80" s="310"/>
      <c r="AO80" s="310"/>
      <c r="AP80" s="310"/>
      <c r="AQ80" s="310"/>
    </row>
    <row r="81" spans="1:43">
      <c r="A81" s="132"/>
      <c r="B81" s="145" t="s">
        <v>147</v>
      </c>
      <c r="C81" s="149"/>
      <c r="D81" s="144" t="s">
        <v>283</v>
      </c>
      <c r="F81" s="145" t="s">
        <v>206</v>
      </c>
      <c r="G81" s="149"/>
      <c r="H81" s="147" t="s">
        <v>308</v>
      </c>
      <c r="I81" s="149"/>
      <c r="J81" s="148" t="s">
        <v>147</v>
      </c>
      <c r="K81" s="149"/>
      <c r="L81" s="148" t="s">
        <v>150</v>
      </c>
      <c r="M81" s="149"/>
      <c r="N81" s="148" t="s">
        <v>147</v>
      </c>
      <c r="O81" s="149"/>
      <c r="P81" s="148" t="s">
        <v>150</v>
      </c>
      <c r="Q81" s="149"/>
      <c r="R81" s="148" t="s">
        <v>206</v>
      </c>
      <c r="S81" s="149"/>
      <c r="T81" s="147" t="s">
        <v>283</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346</v>
      </c>
      <c r="G82" s="149"/>
      <c r="H82" s="148"/>
      <c r="I82" s="149"/>
      <c r="J82" s="147"/>
      <c r="K82" s="149"/>
      <c r="L82" s="144" t="s">
        <v>330</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6" thickTop="1" thickBot="1">
      <c r="A86" s="187"/>
      <c r="B86" s="140"/>
      <c r="C86" s="133"/>
      <c r="D86" s="140"/>
      <c r="F86" s="158" t="s">
        <v>318</v>
      </c>
      <c r="G86" s="139"/>
      <c r="H86" s="140"/>
      <c r="I86" s="133"/>
      <c r="J86" s="140"/>
      <c r="K86" s="139"/>
      <c r="L86" s="158" t="s">
        <v>318</v>
      </c>
      <c r="M86" s="139"/>
      <c r="N86" s="140"/>
      <c r="O86" s="139"/>
      <c r="P86" s="140"/>
      <c r="Q86" s="139"/>
      <c r="R86" s="158" t="s">
        <v>318</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6" thickTop="1" thickBot="1">
      <c r="A87" s="187"/>
      <c r="B87" s="141"/>
      <c r="C87" s="133"/>
      <c r="D87" s="141"/>
      <c r="F87" s="141" t="s">
        <v>340</v>
      </c>
      <c r="G87" s="139"/>
      <c r="H87" s="141"/>
      <c r="I87" s="133"/>
      <c r="J87" s="141"/>
      <c r="K87" s="139"/>
      <c r="L87" s="141" t="s">
        <v>340</v>
      </c>
      <c r="M87" s="139"/>
      <c r="N87" s="141"/>
      <c r="O87" s="139"/>
      <c r="P87" s="141"/>
      <c r="Q87" s="139"/>
      <c r="R87" s="141" t="s">
        <v>340</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69" t="s">
        <v>347</v>
      </c>
      <c r="C88" s="133"/>
      <c r="D88" s="147" t="s">
        <v>348</v>
      </c>
      <c r="F88" s="369" t="s">
        <v>217</v>
      </c>
      <c r="G88" s="133"/>
      <c r="H88" s="369" t="s">
        <v>349</v>
      </c>
      <c r="I88" s="133"/>
      <c r="J88" s="147" t="s">
        <v>350</v>
      </c>
      <c r="K88" s="133"/>
      <c r="L88" s="147" t="s">
        <v>221</v>
      </c>
      <c r="M88" s="133"/>
      <c r="N88" s="147" t="s">
        <v>351</v>
      </c>
      <c r="O88" s="133"/>
      <c r="P88" s="369" t="s">
        <v>231</v>
      </c>
      <c r="Q88" s="133"/>
      <c r="R88" s="369" t="s">
        <v>232</v>
      </c>
      <c r="S88" s="133"/>
      <c r="T88" s="369" t="s">
        <v>233</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150</v>
      </c>
      <c r="C89" s="133"/>
      <c r="D89" s="147" t="s">
        <v>307</v>
      </c>
      <c r="F89" s="148" t="s">
        <v>212</v>
      </c>
      <c r="G89" s="133"/>
      <c r="H89" s="148" t="s">
        <v>147</v>
      </c>
      <c r="I89" s="133"/>
      <c r="J89" s="147" t="s">
        <v>352</v>
      </c>
      <c r="K89" s="133"/>
      <c r="L89" s="147" t="s">
        <v>212</v>
      </c>
      <c r="M89" s="133"/>
      <c r="N89" s="147" t="s">
        <v>294</v>
      </c>
      <c r="O89" s="133"/>
      <c r="P89" s="148" t="s">
        <v>147</v>
      </c>
      <c r="Q89" s="133"/>
      <c r="R89" s="148" t="s">
        <v>150</v>
      </c>
      <c r="S89" s="133"/>
      <c r="T89" s="148" t="s">
        <v>147</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184</v>
      </c>
      <c r="G90" s="133"/>
      <c r="H90" s="144" t="s">
        <v>353</v>
      </c>
      <c r="I90" s="133"/>
      <c r="J90" s="147"/>
      <c r="K90" s="133"/>
      <c r="L90" s="144" t="s">
        <v>330</v>
      </c>
      <c r="M90" s="133"/>
      <c r="N90" s="147"/>
      <c r="O90" s="133"/>
      <c r="P90" s="144" t="s">
        <v>295</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6" thickTop="1" thickBot="1">
      <c r="A94" s="189"/>
      <c r="B94" s="190" t="s">
        <v>192</v>
      </c>
      <c r="C94" s="162"/>
      <c r="D94" s="140"/>
      <c r="F94" s="140"/>
      <c r="G94" s="139"/>
      <c r="H94" s="140"/>
      <c r="I94" s="133"/>
      <c r="J94" s="140"/>
      <c r="K94" s="139"/>
      <c r="L94" s="141"/>
      <c r="M94" s="139"/>
      <c r="N94" s="158" t="s">
        <v>318</v>
      </c>
      <c r="O94" s="139"/>
      <c r="P94" s="140"/>
      <c r="Q94" s="139"/>
      <c r="R94" s="140"/>
      <c r="S94" s="139"/>
      <c r="T94" s="158" t="s">
        <v>318</v>
      </c>
      <c r="V94" s="177"/>
      <c r="X94" s="310"/>
      <c r="Y94" s="310"/>
      <c r="Z94" s="310"/>
      <c r="AA94" s="310"/>
      <c r="AD94" s="310"/>
      <c r="AE94" s="310"/>
      <c r="AF94" s="310"/>
      <c r="AG94" s="310"/>
      <c r="AI94" s="310"/>
      <c r="AJ94" s="310"/>
      <c r="AK94" s="310"/>
      <c r="AL94" s="310"/>
      <c r="AN94" s="310"/>
      <c r="AO94" s="310"/>
      <c r="AP94" s="310"/>
      <c r="AQ94" s="310"/>
    </row>
    <row r="95" spans="1:43" ht="15.6" thickTop="1" thickBot="1">
      <c r="A95" s="189"/>
      <c r="B95" s="141" t="s">
        <v>354</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69" t="s">
        <v>191</v>
      </c>
      <c r="C96" s="149"/>
      <c r="D96" s="369" t="s">
        <v>235</v>
      </c>
      <c r="F96" s="147" t="s">
        <v>355</v>
      </c>
      <c r="G96" s="149"/>
      <c r="H96" s="369" t="s">
        <v>356</v>
      </c>
      <c r="I96" s="149"/>
      <c r="J96" s="369" t="s">
        <v>357</v>
      </c>
      <c r="K96" s="149"/>
      <c r="L96" s="147" t="s">
        <v>358</v>
      </c>
      <c r="M96" s="149"/>
      <c r="N96" s="369" t="s">
        <v>189</v>
      </c>
      <c r="O96" s="149"/>
      <c r="P96" s="147" t="s">
        <v>359</v>
      </c>
      <c r="Q96" s="149"/>
      <c r="R96" s="147" t="s">
        <v>360</v>
      </c>
      <c r="S96" s="149"/>
      <c r="T96" s="369" t="s">
        <v>222</v>
      </c>
      <c r="V96" s="177"/>
      <c r="X96" s="310"/>
      <c r="Y96" s="310"/>
      <c r="Z96" s="310"/>
      <c r="AA96" s="310"/>
      <c r="AD96" s="310"/>
      <c r="AE96" s="310"/>
      <c r="AF96" s="310"/>
      <c r="AG96" s="310"/>
      <c r="AI96" s="310"/>
      <c r="AJ96" s="310"/>
      <c r="AK96" s="310"/>
      <c r="AL96" s="310"/>
      <c r="AN96" s="310"/>
      <c r="AO96" s="310"/>
      <c r="AP96" s="310"/>
      <c r="AQ96" s="310"/>
    </row>
    <row r="97" spans="1:43">
      <c r="A97" s="132"/>
      <c r="B97" s="148" t="s">
        <v>147</v>
      </c>
      <c r="C97" s="149"/>
      <c r="D97" s="148" t="s">
        <v>206</v>
      </c>
      <c r="F97" s="147" t="s">
        <v>352</v>
      </c>
      <c r="G97" s="149"/>
      <c r="H97" s="148" t="s">
        <v>147</v>
      </c>
      <c r="I97" s="149"/>
      <c r="J97" s="148" t="s">
        <v>150</v>
      </c>
      <c r="K97" s="149"/>
      <c r="L97" s="147" t="s">
        <v>283</v>
      </c>
      <c r="M97" s="149"/>
      <c r="N97" s="148" t="s">
        <v>150</v>
      </c>
      <c r="O97" s="149"/>
      <c r="P97" s="147" t="s">
        <v>361</v>
      </c>
      <c r="Q97" s="149"/>
      <c r="R97" s="147" t="s">
        <v>283</v>
      </c>
      <c r="S97" s="149"/>
      <c r="T97" s="148" t="s">
        <v>147</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184</v>
      </c>
      <c r="I98" s="149"/>
      <c r="J98" s="147"/>
      <c r="K98" s="149"/>
      <c r="L98" s="148"/>
      <c r="M98" s="149"/>
      <c r="N98" s="148"/>
      <c r="O98" s="149"/>
      <c r="P98" s="147"/>
      <c r="Q98" s="149"/>
      <c r="R98" s="148"/>
      <c r="S98" s="149"/>
      <c r="T98" s="184" t="s">
        <v>339</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6" thickTop="1" thickBot="1">
      <c r="A102" s="132"/>
      <c r="B102" s="140"/>
      <c r="C102" s="139"/>
      <c r="D102" s="158" t="s">
        <v>318</v>
      </c>
      <c r="F102" s="158" t="s">
        <v>318</v>
      </c>
      <c r="G102" s="139"/>
      <c r="H102" s="140"/>
      <c r="I102" s="139"/>
      <c r="J102" s="158" t="s">
        <v>318</v>
      </c>
      <c r="K102" s="133"/>
      <c r="L102" s="158" t="s">
        <v>318</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6"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362</v>
      </c>
      <c r="C104" s="133"/>
      <c r="D104" s="369" t="s">
        <v>226</v>
      </c>
      <c r="F104" s="369" t="s">
        <v>208</v>
      </c>
      <c r="G104" s="133"/>
      <c r="H104" s="147" t="s">
        <v>363</v>
      </c>
      <c r="I104" s="133"/>
      <c r="J104" s="369" t="s">
        <v>241</v>
      </c>
      <c r="K104" s="133"/>
      <c r="L104" s="369" t="s">
        <v>244</v>
      </c>
      <c r="M104" s="133"/>
      <c r="N104" s="147" t="s">
        <v>364</v>
      </c>
      <c r="O104" s="133"/>
      <c r="P104" s="147" t="s">
        <v>365</v>
      </c>
      <c r="Q104" s="133"/>
      <c r="R104" s="369" t="s">
        <v>366</v>
      </c>
      <c r="S104" s="133"/>
      <c r="T104" s="147" t="s">
        <v>367</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307</v>
      </c>
      <c r="C105" s="133"/>
      <c r="D105" s="148" t="s">
        <v>206</v>
      </c>
      <c r="F105" s="148" t="s">
        <v>147</v>
      </c>
      <c r="G105" s="133"/>
      <c r="H105" s="147" t="s">
        <v>283</v>
      </c>
      <c r="I105" s="133"/>
      <c r="J105" s="148" t="s">
        <v>150</v>
      </c>
      <c r="K105" s="133"/>
      <c r="L105" s="148" t="s">
        <v>212</v>
      </c>
      <c r="M105" s="133"/>
      <c r="N105" s="147" t="s">
        <v>283</v>
      </c>
      <c r="O105" s="133"/>
      <c r="P105" s="147" t="s">
        <v>283</v>
      </c>
      <c r="Q105" s="133"/>
      <c r="R105" s="148" t="s">
        <v>212</v>
      </c>
      <c r="S105" s="133"/>
      <c r="T105" s="147" t="s">
        <v>283</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339</v>
      </c>
      <c r="C106" s="133"/>
      <c r="D106" s="184" t="s">
        <v>339</v>
      </c>
      <c r="F106" s="184" t="s">
        <v>339</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6"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6" thickTop="1" thickBot="1">
      <c r="A112" s="132"/>
      <c r="B112" s="141"/>
      <c r="C112" s="139"/>
      <c r="D112" s="141"/>
      <c r="F112" s="141"/>
      <c r="G112" s="139"/>
      <c r="H112" s="141" t="s">
        <v>354</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69" t="s">
        <v>368</v>
      </c>
      <c r="C113" s="149"/>
      <c r="D113" s="147" t="s">
        <v>369</v>
      </c>
      <c r="F113" s="369" t="s">
        <v>370</v>
      </c>
      <c r="G113" s="149"/>
      <c r="H113" s="369" t="s">
        <v>254</v>
      </c>
      <c r="I113" s="149"/>
      <c r="J113" s="369" t="s">
        <v>371</v>
      </c>
      <c r="K113" s="149"/>
      <c r="L113" s="147" t="s">
        <v>372</v>
      </c>
      <c r="M113" s="149"/>
      <c r="N113" s="147" t="s">
        <v>373</v>
      </c>
      <c r="O113" s="149"/>
      <c r="P113" s="147" t="s">
        <v>374</v>
      </c>
      <c r="Q113" s="149"/>
      <c r="R113" s="147" t="s">
        <v>375</v>
      </c>
      <c r="S113" s="149"/>
      <c r="T113" s="147" t="s">
        <v>376</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212</v>
      </c>
      <c r="C114" s="149"/>
      <c r="D114" s="147" t="s">
        <v>307</v>
      </c>
      <c r="F114" s="148" t="s">
        <v>147</v>
      </c>
      <c r="G114" s="149"/>
      <c r="H114" s="148" t="s">
        <v>147</v>
      </c>
      <c r="I114" s="149"/>
      <c r="J114" s="148" t="s">
        <v>147</v>
      </c>
      <c r="K114" s="149"/>
      <c r="L114" s="147" t="s">
        <v>283</v>
      </c>
      <c r="M114" s="149"/>
      <c r="N114" s="147" t="s">
        <v>283</v>
      </c>
      <c r="O114" s="149"/>
      <c r="P114" s="147" t="s">
        <v>377</v>
      </c>
      <c r="Q114" s="149"/>
      <c r="R114" s="147" t="s">
        <v>377</v>
      </c>
      <c r="S114" s="149"/>
      <c r="T114" s="147" t="s">
        <v>308</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6" thickTop="1" thickBot="1">
      <c r="A118" s="132"/>
      <c r="B118" s="140"/>
      <c r="C118" s="139"/>
      <c r="D118" s="140"/>
      <c r="F118" s="158" t="s">
        <v>318</v>
      </c>
      <c r="G118" s="139"/>
      <c r="H118" s="140"/>
      <c r="I118" s="139"/>
      <c r="J118" s="158" t="s">
        <v>318</v>
      </c>
      <c r="K118" s="133"/>
      <c r="L118" s="158" t="s">
        <v>318</v>
      </c>
      <c r="N118" s="140"/>
      <c r="O118" s="139"/>
      <c r="P118" s="140"/>
      <c r="Q118" s="139"/>
      <c r="R118" s="140"/>
      <c r="S118" s="139"/>
      <c r="T118" s="158" t="s">
        <v>318</v>
      </c>
      <c r="U118" s="139"/>
      <c r="V118" s="197"/>
      <c r="X118" s="310"/>
      <c r="Y118" s="310"/>
      <c r="Z118" s="310"/>
      <c r="AA118" s="310"/>
      <c r="AD118" s="310"/>
      <c r="AE118" s="310"/>
      <c r="AF118" s="310"/>
      <c r="AG118" s="310"/>
      <c r="AI118" s="310"/>
      <c r="AJ118" s="310"/>
      <c r="AK118" s="310"/>
      <c r="AL118" s="310"/>
      <c r="AN118" s="310"/>
      <c r="AO118" s="310"/>
      <c r="AP118" s="310"/>
      <c r="AQ118" s="310"/>
    </row>
    <row r="119" spans="1:43" ht="15.6" thickTop="1" thickBot="1">
      <c r="A119" s="132"/>
      <c r="B119" s="141"/>
      <c r="C119" s="139"/>
      <c r="D119" s="141"/>
      <c r="F119" s="141"/>
      <c r="G119" s="139"/>
      <c r="H119" s="141"/>
      <c r="I119" s="139"/>
      <c r="J119" s="141" t="s">
        <v>340</v>
      </c>
      <c r="K119" s="133"/>
      <c r="L119" s="141" t="s">
        <v>340</v>
      </c>
      <c r="N119" s="141"/>
      <c r="O119" s="139"/>
      <c r="P119" s="141"/>
      <c r="Q119" s="139"/>
      <c r="R119" s="141"/>
      <c r="S119" s="139"/>
      <c r="T119" s="141" t="s">
        <v>340</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69" t="s">
        <v>378</v>
      </c>
      <c r="C120" s="133"/>
      <c r="D120" s="147" t="s">
        <v>379</v>
      </c>
      <c r="F120" s="369" t="s">
        <v>181</v>
      </c>
      <c r="G120" s="133"/>
      <c r="H120" s="147" t="s">
        <v>380</v>
      </c>
      <c r="I120" s="133"/>
      <c r="J120" s="369" t="s">
        <v>258</v>
      </c>
      <c r="K120" s="133"/>
      <c r="L120" s="369" t="s">
        <v>240</v>
      </c>
      <c r="N120" s="147" t="s">
        <v>381</v>
      </c>
      <c r="O120" s="133"/>
      <c r="P120" s="369" t="s">
        <v>382</v>
      </c>
      <c r="Q120" s="133"/>
      <c r="R120" s="147" t="s">
        <v>383</v>
      </c>
      <c r="S120" s="133"/>
      <c r="T120" s="148" t="s">
        <v>384</v>
      </c>
      <c r="U120" s="133"/>
      <c r="V120" s="370" t="s">
        <v>385</v>
      </c>
      <c r="X120" s="310"/>
      <c r="Y120" s="310"/>
      <c r="Z120" s="310"/>
      <c r="AA120" s="310"/>
      <c r="AD120" s="310"/>
      <c r="AE120" s="310"/>
      <c r="AF120" s="310"/>
      <c r="AG120" s="310"/>
      <c r="AI120" s="310"/>
      <c r="AJ120" s="310"/>
      <c r="AK120" s="310"/>
      <c r="AL120" s="310"/>
      <c r="AN120" s="310"/>
      <c r="AO120" s="310"/>
      <c r="AP120" s="310"/>
      <c r="AQ120" s="310"/>
    </row>
    <row r="121" spans="1:43">
      <c r="A121" s="132"/>
      <c r="B121" s="148" t="s">
        <v>212</v>
      </c>
      <c r="C121" s="133"/>
      <c r="D121" s="147" t="s">
        <v>84</v>
      </c>
      <c r="F121" s="148" t="s">
        <v>147</v>
      </c>
      <c r="G121" s="133"/>
      <c r="H121" s="147" t="s">
        <v>283</v>
      </c>
      <c r="I121" s="133"/>
      <c r="J121" s="145" t="s">
        <v>147</v>
      </c>
      <c r="K121" s="133"/>
      <c r="L121" s="145" t="s">
        <v>147</v>
      </c>
      <c r="N121" s="147" t="s">
        <v>283</v>
      </c>
      <c r="O121" s="133"/>
      <c r="P121" s="148" t="s">
        <v>150</v>
      </c>
      <c r="Q121" s="133"/>
      <c r="R121" s="147" t="s">
        <v>283</v>
      </c>
      <c r="S121" s="133"/>
      <c r="T121" s="148" t="s">
        <v>147</v>
      </c>
      <c r="U121" s="133"/>
      <c r="V121" s="199" t="s">
        <v>283</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184</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6" thickTop="1" thickBot="1">
      <c r="A126" s="132"/>
      <c r="B126" s="158" t="s">
        <v>318</v>
      </c>
      <c r="C126" s="133"/>
      <c r="D126" s="140"/>
      <c r="F126" s="140"/>
      <c r="H126" s="140"/>
      <c r="J126" s="140"/>
      <c r="L126" s="158" t="s">
        <v>318</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6" thickTop="1" thickBot="1">
      <c r="A127" s="132"/>
      <c r="B127" s="141" t="s">
        <v>340</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69" t="s">
        <v>253</v>
      </c>
      <c r="C128" s="191"/>
      <c r="D128" s="369" t="s">
        <v>386</v>
      </c>
      <c r="F128" s="369" t="s">
        <v>387</v>
      </c>
      <c r="H128" s="369" t="s">
        <v>388</v>
      </c>
      <c r="J128" s="369" t="s">
        <v>389</v>
      </c>
      <c r="L128" s="369" t="s">
        <v>243</v>
      </c>
      <c r="N128" s="369" t="s">
        <v>390</v>
      </c>
      <c r="P128" s="369" t="s">
        <v>391</v>
      </c>
      <c r="Q128" s="133"/>
      <c r="R128" s="369" t="s">
        <v>392</v>
      </c>
      <c r="T128" s="369" t="s">
        <v>255</v>
      </c>
      <c r="U128" s="133"/>
      <c r="V128" s="370" t="s">
        <v>393</v>
      </c>
      <c r="X128" s="310"/>
      <c r="Y128" s="310"/>
      <c r="Z128" s="310"/>
      <c r="AA128" s="310"/>
      <c r="AD128" s="310"/>
      <c r="AE128" s="310"/>
      <c r="AF128" s="310"/>
      <c r="AG128" s="310"/>
      <c r="AI128" s="310"/>
      <c r="AJ128" s="310"/>
      <c r="AK128" s="310"/>
      <c r="AL128" s="310"/>
      <c r="AN128" s="310"/>
      <c r="AO128" s="310"/>
      <c r="AP128" s="310"/>
      <c r="AQ128" s="310"/>
    </row>
    <row r="129" spans="1:43">
      <c r="A129" s="132"/>
      <c r="B129" s="148" t="s">
        <v>147</v>
      </c>
      <c r="C129" s="133"/>
      <c r="D129" s="148" t="s">
        <v>307</v>
      </c>
      <c r="F129" s="148" t="s">
        <v>147</v>
      </c>
      <c r="H129" s="148" t="s">
        <v>394</v>
      </c>
      <c r="J129" s="148" t="s">
        <v>80</v>
      </c>
      <c r="L129" s="148" t="s">
        <v>206</v>
      </c>
      <c r="N129" s="148" t="s">
        <v>147</v>
      </c>
      <c r="P129" s="148" t="s">
        <v>147</v>
      </c>
      <c r="Q129" s="133"/>
      <c r="R129" s="148" t="s">
        <v>206</v>
      </c>
      <c r="T129" s="148" t="s">
        <v>150</v>
      </c>
      <c r="U129" s="133"/>
      <c r="V129" s="199" t="s">
        <v>150</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184</v>
      </c>
      <c r="H130" s="148"/>
      <c r="J130" s="148"/>
      <c r="L130" s="148"/>
      <c r="N130" s="148"/>
      <c r="P130" s="201" t="s">
        <v>184</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6"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6"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69" t="s">
        <v>395</v>
      </c>
      <c r="C137" s="191"/>
      <c r="D137" s="369" t="s">
        <v>396</v>
      </c>
      <c r="F137" s="369" t="s">
        <v>397</v>
      </c>
      <c r="H137" s="369" t="s">
        <v>398</v>
      </c>
      <c r="J137" s="371" t="s">
        <v>399</v>
      </c>
      <c r="L137" s="369" t="s">
        <v>400</v>
      </c>
      <c r="N137" s="369" t="s">
        <v>401</v>
      </c>
      <c r="P137" s="369" t="s">
        <v>402</v>
      </c>
      <c r="Q137" s="133"/>
      <c r="R137" s="369" t="s">
        <v>403</v>
      </c>
      <c r="T137" s="369" t="s">
        <v>404</v>
      </c>
      <c r="U137" s="133"/>
      <c r="V137" s="370" t="s">
        <v>405</v>
      </c>
      <c r="X137" s="310"/>
      <c r="Y137" s="310"/>
      <c r="Z137" s="310"/>
      <c r="AA137" s="310"/>
      <c r="AD137" s="310"/>
      <c r="AE137" s="310"/>
      <c r="AF137" s="310"/>
      <c r="AG137" s="310"/>
      <c r="AI137" s="310"/>
      <c r="AJ137" s="310"/>
      <c r="AK137" s="310"/>
      <c r="AL137" s="310"/>
      <c r="AN137" s="310"/>
      <c r="AO137" s="310"/>
      <c r="AP137" s="310"/>
      <c r="AQ137" s="310"/>
    </row>
    <row r="138" spans="1:43">
      <c r="A138" s="132"/>
      <c r="B138" s="148" t="s">
        <v>308</v>
      </c>
      <c r="C138" s="133"/>
      <c r="D138" s="148" t="s">
        <v>147</v>
      </c>
      <c r="F138" s="148" t="s">
        <v>147</v>
      </c>
      <c r="H138" s="148" t="s">
        <v>283</v>
      </c>
      <c r="J138" s="148" t="s">
        <v>206</v>
      </c>
      <c r="L138" s="148" t="s">
        <v>406</v>
      </c>
      <c r="N138" s="148" t="s">
        <v>108</v>
      </c>
      <c r="P138" s="148" t="s">
        <v>147</v>
      </c>
      <c r="Q138" s="133"/>
      <c r="R138" s="148" t="s">
        <v>147</v>
      </c>
      <c r="T138" s="148" t="s">
        <v>80</v>
      </c>
      <c r="U138" s="133"/>
      <c r="V138" s="199" t="s">
        <v>206</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6"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6"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69" t="s">
        <v>407</v>
      </c>
      <c r="C146" s="191"/>
      <c r="D146" s="369" t="s">
        <v>408</v>
      </c>
      <c r="F146" s="369" t="s">
        <v>409</v>
      </c>
      <c r="H146" s="369" t="s">
        <v>410</v>
      </c>
      <c r="J146" s="369" t="s">
        <v>411</v>
      </c>
      <c r="L146" s="369" t="s">
        <v>412</v>
      </c>
      <c r="N146" s="371" t="s">
        <v>413</v>
      </c>
      <c r="P146" s="369" t="s">
        <v>414</v>
      </c>
      <c r="Q146" s="133"/>
      <c r="R146" s="369" t="s">
        <v>415</v>
      </c>
      <c r="T146" s="371" t="s">
        <v>416</v>
      </c>
      <c r="U146" s="133"/>
      <c r="V146" s="370" t="s">
        <v>417</v>
      </c>
      <c r="X146" s="310"/>
      <c r="Y146" s="310"/>
      <c r="Z146" s="310"/>
      <c r="AA146" s="310"/>
      <c r="AD146" s="310"/>
      <c r="AE146" s="310"/>
      <c r="AF146" s="310"/>
      <c r="AG146" s="310"/>
      <c r="AI146" s="310"/>
      <c r="AJ146" s="310"/>
      <c r="AK146" s="310"/>
      <c r="AL146" s="310"/>
      <c r="AN146" s="310"/>
      <c r="AO146" s="310"/>
      <c r="AP146" s="310"/>
      <c r="AQ146" s="310"/>
    </row>
    <row r="147" spans="1:43">
      <c r="A147" s="132"/>
      <c r="B147" s="148" t="s">
        <v>97</v>
      </c>
      <c r="C147" s="133"/>
      <c r="D147" s="148" t="s">
        <v>88</v>
      </c>
      <c r="F147" s="148" t="s">
        <v>97</v>
      </c>
      <c r="H147" s="148" t="s">
        <v>147</v>
      </c>
      <c r="J147" s="148" t="s">
        <v>147</v>
      </c>
      <c r="L147" s="148" t="s">
        <v>90</v>
      </c>
      <c r="N147" s="148" t="s">
        <v>150</v>
      </c>
      <c r="P147" s="148" t="s">
        <v>93</v>
      </c>
      <c r="Q147" s="133"/>
      <c r="R147" s="148" t="s">
        <v>108</v>
      </c>
      <c r="T147" s="148" t="s">
        <v>212</v>
      </c>
      <c r="U147" s="133"/>
      <c r="V147" s="199" t="s">
        <v>80</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184</v>
      </c>
      <c r="F148" s="201" t="s">
        <v>184</v>
      </c>
      <c r="H148" s="148"/>
      <c r="J148" s="148"/>
      <c r="L148" s="148"/>
      <c r="N148" s="148"/>
      <c r="P148" s="148"/>
      <c r="Q148" s="133"/>
      <c r="R148" s="148"/>
      <c r="T148" s="148"/>
      <c r="U148" s="133"/>
      <c r="V148" s="204" t="s">
        <v>418</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6"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6"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69" t="s">
        <v>419</v>
      </c>
      <c r="C155" s="191"/>
      <c r="D155" s="369" t="s">
        <v>420</v>
      </c>
      <c r="F155" s="369" t="s">
        <v>421</v>
      </c>
      <c r="H155" s="369" t="s">
        <v>422</v>
      </c>
      <c r="J155" s="369" t="s">
        <v>423</v>
      </c>
      <c r="L155" s="369" t="s">
        <v>424</v>
      </c>
      <c r="N155" s="369" t="s">
        <v>425</v>
      </c>
      <c r="P155" s="369" t="s">
        <v>426</v>
      </c>
      <c r="Q155" s="133"/>
      <c r="R155" s="371" t="s">
        <v>427</v>
      </c>
      <c r="T155" s="369" t="s">
        <v>428</v>
      </c>
      <c r="U155" s="133"/>
      <c r="V155" s="372" t="s">
        <v>429</v>
      </c>
      <c r="X155" s="310"/>
      <c r="Y155" s="310"/>
      <c r="Z155" s="310"/>
      <c r="AA155" s="310"/>
      <c r="AD155" s="310"/>
      <c r="AE155" s="310"/>
      <c r="AF155" s="310"/>
      <c r="AG155" s="310"/>
      <c r="AI155" s="310"/>
      <c r="AJ155" s="310"/>
      <c r="AK155" s="310"/>
      <c r="AL155" s="310"/>
      <c r="AN155" s="310"/>
      <c r="AO155" s="310"/>
      <c r="AP155" s="310"/>
      <c r="AQ155" s="310"/>
    </row>
    <row r="156" spans="1:43">
      <c r="A156" s="132"/>
      <c r="B156" s="148" t="s">
        <v>102</v>
      </c>
      <c r="C156" s="133"/>
      <c r="D156" s="148" t="s">
        <v>132</v>
      </c>
      <c r="F156" s="148" t="s">
        <v>80</v>
      </c>
      <c r="H156" s="148" t="s">
        <v>97</v>
      </c>
      <c r="J156" s="148" t="s">
        <v>88</v>
      </c>
      <c r="L156" s="148" t="s">
        <v>90</v>
      </c>
      <c r="N156" s="148" t="s">
        <v>80</v>
      </c>
      <c r="P156" s="148" t="s">
        <v>80</v>
      </c>
      <c r="Q156" s="133"/>
      <c r="R156" s="148" t="s">
        <v>212</v>
      </c>
      <c r="T156" s="148" t="s">
        <v>80</v>
      </c>
      <c r="U156" s="133"/>
      <c r="V156" s="199" t="s">
        <v>97</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430</v>
      </c>
      <c r="J157" s="201" t="s">
        <v>430</v>
      </c>
      <c r="L157" s="148"/>
      <c r="N157" s="148"/>
      <c r="P157" s="148"/>
      <c r="Q157" s="133"/>
      <c r="R157" s="148"/>
      <c r="T157" s="201" t="s">
        <v>418</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6"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6"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69" t="s">
        <v>431</v>
      </c>
      <c r="C163" s="191"/>
      <c r="D163" s="371" t="s">
        <v>432</v>
      </c>
      <c r="F163" s="369" t="s">
        <v>433</v>
      </c>
      <c r="H163" s="371" t="s">
        <v>434</v>
      </c>
      <c r="J163" s="371" t="s">
        <v>435</v>
      </c>
      <c r="L163" s="369" t="s">
        <v>436</v>
      </c>
      <c r="N163" s="369" t="s">
        <v>437</v>
      </c>
      <c r="P163" s="369" t="s">
        <v>438</v>
      </c>
      <c r="Q163" s="133"/>
      <c r="R163" s="369" t="s">
        <v>439</v>
      </c>
      <c r="T163" s="369" t="s">
        <v>440</v>
      </c>
      <c r="U163" s="133"/>
      <c r="V163" s="372" t="s">
        <v>441</v>
      </c>
      <c r="X163" s="310"/>
      <c r="Y163" s="310"/>
      <c r="Z163" s="310"/>
      <c r="AA163" s="310"/>
      <c r="AD163" s="310"/>
      <c r="AE163" s="310"/>
      <c r="AF163" s="310"/>
      <c r="AG163" s="310"/>
      <c r="AI163" s="310"/>
      <c r="AJ163" s="310"/>
      <c r="AK163" s="310"/>
      <c r="AL163" s="310"/>
      <c r="AN163" s="310"/>
      <c r="AO163" s="310"/>
      <c r="AP163" s="310"/>
      <c r="AQ163" s="310"/>
    </row>
    <row r="164" spans="1:43">
      <c r="A164" s="132"/>
      <c r="B164" s="148" t="s">
        <v>90</v>
      </c>
      <c r="C164" s="133"/>
      <c r="D164" s="148" t="s">
        <v>147</v>
      </c>
      <c r="F164" s="148" t="s">
        <v>90</v>
      </c>
      <c r="H164" s="148" t="s">
        <v>150</v>
      </c>
      <c r="J164" s="148" t="s">
        <v>97</v>
      </c>
      <c r="L164" s="148" t="s">
        <v>102</v>
      </c>
      <c r="N164" s="148" t="s">
        <v>108</v>
      </c>
      <c r="P164" s="148" t="s">
        <v>150</v>
      </c>
      <c r="Q164" s="133"/>
      <c r="R164" s="148" t="s">
        <v>150</v>
      </c>
      <c r="T164" s="148" t="s">
        <v>80</v>
      </c>
      <c r="U164" s="133"/>
      <c r="V164" s="199" t="s">
        <v>206</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330</v>
      </c>
      <c r="F165" s="201" t="s">
        <v>184</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6"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6"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69" t="s">
        <v>442</v>
      </c>
      <c r="C171" s="191"/>
      <c r="D171" s="369" t="s">
        <v>827</v>
      </c>
      <c r="F171" s="371" t="s">
        <v>698</v>
      </c>
      <c r="H171" s="371" t="s">
        <v>699</v>
      </c>
      <c r="J171" s="371" t="s">
        <v>828</v>
      </c>
      <c r="L171" s="371" t="s">
        <v>829</v>
      </c>
      <c r="N171" s="371" t="s">
        <v>830</v>
      </c>
      <c r="P171" s="371" t="s">
        <v>703</v>
      </c>
      <c r="Q171" s="133"/>
      <c r="R171" s="371" t="s">
        <v>704</v>
      </c>
      <c r="T171" s="371" t="s">
        <v>705</v>
      </c>
      <c r="U171" s="133"/>
      <c r="V171" s="372" t="s">
        <v>142</v>
      </c>
      <c r="X171" s="310"/>
      <c r="Y171" s="310"/>
      <c r="Z171" s="310"/>
      <c r="AA171" s="310"/>
      <c r="AD171" s="310"/>
      <c r="AE171" s="310"/>
      <c r="AF171" s="310"/>
      <c r="AG171" s="310"/>
      <c r="AI171" s="310"/>
      <c r="AJ171" s="310"/>
      <c r="AK171" s="310"/>
      <c r="AL171" s="310"/>
      <c r="AN171" s="310"/>
      <c r="AO171" s="310"/>
      <c r="AP171" s="310"/>
      <c r="AQ171" s="310"/>
    </row>
    <row r="172" spans="1:43">
      <c r="A172" s="132"/>
      <c r="B172" s="148" t="s">
        <v>90</v>
      </c>
      <c r="C172" s="133"/>
      <c r="D172" s="148" t="s">
        <v>93</v>
      </c>
      <c r="F172" s="148" t="s">
        <v>150</v>
      </c>
      <c r="H172" s="148" t="s">
        <v>150</v>
      </c>
      <c r="J172" s="148" t="s">
        <v>80</v>
      </c>
      <c r="L172" s="148" t="s">
        <v>102</v>
      </c>
      <c r="N172" s="148" t="s">
        <v>102</v>
      </c>
      <c r="P172" s="148" t="s">
        <v>147</v>
      </c>
      <c r="Q172" s="133"/>
      <c r="R172" s="148" t="s">
        <v>147</v>
      </c>
      <c r="T172" s="148" t="s">
        <v>147</v>
      </c>
      <c r="U172" s="133"/>
      <c r="V172" s="199" t="s">
        <v>80</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6"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6"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71" t="s">
        <v>707</v>
      </c>
      <c r="C178" s="133"/>
      <c r="D178" s="371" t="s">
        <v>708</v>
      </c>
      <c r="F178" s="371" t="s">
        <v>709</v>
      </c>
      <c r="H178" s="371" t="s">
        <v>831</v>
      </c>
      <c r="J178" s="371" t="s">
        <v>711</v>
      </c>
      <c r="L178" s="371" t="s">
        <v>832</v>
      </c>
      <c r="N178" s="371" t="s">
        <v>713</v>
      </c>
      <c r="P178" s="371" t="s">
        <v>833</v>
      </c>
      <c r="Q178" s="133"/>
      <c r="R178" s="371" t="s">
        <v>715</v>
      </c>
      <c r="T178" s="371" t="s">
        <v>716</v>
      </c>
      <c r="U178" s="133"/>
      <c r="V178" s="371" t="s">
        <v>834</v>
      </c>
      <c r="X178" s="310"/>
      <c r="Y178" s="310"/>
      <c r="Z178" s="310"/>
      <c r="AA178" s="310"/>
      <c r="AD178" s="310"/>
      <c r="AE178" s="310"/>
      <c r="AF178" s="310"/>
      <c r="AG178" s="310"/>
      <c r="AI178" s="310"/>
      <c r="AJ178" s="310"/>
      <c r="AK178" s="310"/>
      <c r="AL178" s="310"/>
      <c r="AN178" s="310"/>
      <c r="AO178" s="310"/>
      <c r="AP178" s="310"/>
      <c r="AQ178" s="310"/>
    </row>
    <row r="179" spans="1:44">
      <c r="A179" s="132"/>
      <c r="B179" s="148" t="s">
        <v>206</v>
      </c>
      <c r="C179" s="133"/>
      <c r="D179" s="148" t="s">
        <v>150</v>
      </c>
      <c r="F179" s="148" t="s">
        <v>206</v>
      </c>
      <c r="H179" s="148" t="s">
        <v>157</v>
      </c>
      <c r="J179" s="148" t="s">
        <v>212</v>
      </c>
      <c r="L179" s="148" t="s">
        <v>102</v>
      </c>
      <c r="N179" s="148" t="s">
        <v>206</v>
      </c>
      <c r="P179" s="148" t="s">
        <v>80</v>
      </c>
      <c r="Q179" s="133"/>
      <c r="R179" s="148" t="s">
        <v>150</v>
      </c>
      <c r="T179" s="148" t="s">
        <v>212</v>
      </c>
      <c r="U179" s="133"/>
      <c r="V179" s="148" t="s">
        <v>93</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6"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6"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71" t="s">
        <v>718</v>
      </c>
      <c r="D185" s="371" t="s">
        <v>143</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147</v>
      </c>
      <c r="D186" s="148" t="s">
        <v>90</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00">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6" thickTop="1" thickBot="1">
      <c r="A190" s="132"/>
      <c r="B190" s="140"/>
      <c r="C190" s="133"/>
      <c r="D190" s="140"/>
      <c r="F190" s="140"/>
      <c r="H190" s="140"/>
      <c r="J190" s="140"/>
      <c r="L190" s="140"/>
      <c r="N190" s="140"/>
      <c r="P190" s="140"/>
      <c r="Q190" s="133"/>
      <c r="R190" s="140"/>
      <c r="T190" s="140"/>
      <c r="U190" s="133"/>
      <c r="V190" s="140"/>
    </row>
    <row r="191" spans="1:44" ht="15.6"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6" thickTop="1" thickBot="1">
      <c r="A196" s="132"/>
      <c r="B196" s="140"/>
      <c r="C196" s="133"/>
      <c r="D196" s="140"/>
      <c r="F196" s="140"/>
      <c r="H196" s="140"/>
      <c r="J196" s="140"/>
      <c r="L196" s="140"/>
      <c r="N196" s="140"/>
      <c r="P196" s="140"/>
      <c r="Q196" s="133"/>
      <c r="R196" s="140"/>
      <c r="T196" s="140"/>
      <c r="U196" s="133"/>
      <c r="V196" s="140"/>
    </row>
    <row r="197" spans="1:31" ht="15.6"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443</v>
      </c>
      <c r="F200" s="206"/>
      <c r="G200" s="206"/>
      <c r="H200" s="206"/>
      <c r="I200" s="206"/>
      <c r="J200" s="206"/>
      <c r="K200" s="206"/>
      <c r="L200" s="228"/>
      <c r="M200" s="206"/>
      <c r="N200" s="1299"/>
      <c r="O200" s="133"/>
      <c r="P200" s="133"/>
      <c r="Q200" s="133"/>
      <c r="R200" s="133"/>
      <c r="S200" s="133"/>
      <c r="T200" s="133"/>
      <c r="U200" s="133"/>
      <c r="V200" s="178"/>
    </row>
    <row r="201" spans="1:31">
      <c r="A201" s="132"/>
      <c r="B201" s="133"/>
      <c r="C201" s="133"/>
      <c r="D201" s="133"/>
      <c r="E201" s="205" t="s">
        <v>444</v>
      </c>
      <c r="F201" s="206"/>
      <c r="G201" s="206"/>
      <c r="H201" s="206"/>
      <c r="I201" s="206"/>
      <c r="J201" s="206"/>
      <c r="K201" s="206"/>
      <c r="L201" s="206"/>
      <c r="M201" s="206"/>
      <c r="N201" s="1300"/>
      <c r="O201" s="133"/>
      <c r="P201" s="229"/>
      <c r="Q201" s="133"/>
      <c r="R201" s="133"/>
      <c r="S201" s="133"/>
      <c r="T201" s="133"/>
      <c r="U201" s="133"/>
      <c r="V201" s="178"/>
    </row>
    <row r="202" spans="1:31">
      <c r="A202" s="132"/>
      <c r="B202" s="133"/>
      <c r="C202" s="133"/>
      <c r="D202" s="133"/>
      <c r="E202" s="205" t="s">
        <v>445</v>
      </c>
      <c r="F202" s="206"/>
      <c r="G202" s="206"/>
      <c r="H202" s="206"/>
      <c r="I202" s="206"/>
      <c r="J202" s="206"/>
      <c r="K202" s="206"/>
      <c r="L202" s="206"/>
      <c r="M202" s="206"/>
      <c r="N202" s="1301"/>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446</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447</v>
      </c>
      <c r="M208" s="133"/>
      <c r="N208" s="133"/>
      <c r="O208" s="133"/>
      <c r="P208" s="133"/>
      <c r="Q208" s="133"/>
      <c r="R208" s="237" t="s">
        <v>448</v>
      </c>
      <c r="S208" s="215"/>
      <c r="T208" s="133"/>
      <c r="U208" s="133"/>
      <c r="V208" s="236"/>
    </row>
    <row r="209" spans="1:22" ht="15" thickBot="1">
      <c r="A209" s="209"/>
      <c r="B209" s="133"/>
      <c r="C209" s="211" t="s">
        <v>449</v>
      </c>
      <c r="D209" s="210"/>
      <c r="E209" s="210"/>
      <c r="F209" s="133"/>
      <c r="G209" s="133"/>
      <c r="H209" s="133"/>
      <c r="I209" s="210"/>
      <c r="J209" s="133"/>
      <c r="K209" s="210"/>
      <c r="L209" s="133"/>
      <c r="M209" s="133"/>
      <c r="N209" s="133"/>
      <c r="O209" s="133"/>
      <c r="P209" s="133"/>
      <c r="Q209" s="133"/>
      <c r="R209" s="133"/>
      <c r="S209" s="215"/>
      <c r="T209" s="133"/>
      <c r="U209" s="133"/>
      <c r="V209" s="236"/>
    </row>
    <row r="210" spans="1:22" ht="15.6" thickTop="1" thickBot="1">
      <c r="A210" s="209"/>
      <c r="B210" s="133"/>
      <c r="C210" s="211" t="s">
        <v>450</v>
      </c>
      <c r="D210" s="210"/>
      <c r="E210" s="210"/>
      <c r="F210" s="158"/>
      <c r="G210" s="139"/>
      <c r="H210" s="212"/>
      <c r="I210" s="210"/>
      <c r="J210" s="158"/>
      <c r="K210" s="210"/>
      <c r="L210" s="133" t="s">
        <v>451</v>
      </c>
      <c r="M210" s="133"/>
      <c r="N210" s="133"/>
      <c r="O210" s="133"/>
      <c r="P210" s="133"/>
      <c r="Q210" s="133"/>
      <c r="R210" s="133"/>
      <c r="S210" s="215"/>
      <c r="T210" s="133"/>
      <c r="U210" s="133"/>
      <c r="V210" s="236"/>
    </row>
    <row r="211" spans="1:22" ht="15.6" thickTop="1" thickBot="1">
      <c r="A211" s="209"/>
      <c r="B211" s="133"/>
      <c r="C211" s="211" t="s">
        <v>452</v>
      </c>
      <c r="D211" s="210"/>
      <c r="E211" s="210"/>
      <c r="F211" s="213"/>
      <c r="G211" s="139"/>
      <c r="H211" s="214" t="s">
        <v>354</v>
      </c>
      <c r="I211" s="210"/>
      <c r="J211" s="213"/>
      <c r="K211" s="210"/>
      <c r="L211" s="133"/>
      <c r="M211" s="133"/>
      <c r="N211" s="133"/>
      <c r="O211" s="133"/>
      <c r="P211" s="133"/>
      <c r="Q211" s="133"/>
      <c r="R211" s="237" t="s">
        <v>453</v>
      </c>
      <c r="S211" s="215"/>
      <c r="T211" s="133"/>
      <c r="U211" s="133"/>
      <c r="V211" s="236"/>
    </row>
    <row r="212" spans="1:22" ht="15" thickTop="1">
      <c r="A212" s="209"/>
      <c r="B212" s="133"/>
      <c r="C212" s="133"/>
      <c r="D212" s="210"/>
      <c r="E212" s="210"/>
      <c r="F212" s="210"/>
      <c r="G212" s="210"/>
      <c r="H212" s="210"/>
      <c r="I212" s="210"/>
      <c r="J212" s="210"/>
      <c r="K212" s="210"/>
      <c r="L212" s="133"/>
      <c r="M212" s="133" t="s">
        <v>47</v>
      </c>
      <c r="N212" s="133"/>
      <c r="O212" s="133"/>
      <c r="P212" s="133"/>
      <c r="Q212" s="133"/>
      <c r="R212" s="133"/>
      <c r="S212" s="238"/>
      <c r="T212" s="133"/>
      <c r="U212" s="133"/>
      <c r="V212" s="236"/>
    </row>
    <row r="213" spans="1:22">
      <c r="A213" s="209"/>
      <c r="B213" s="133"/>
      <c r="C213" s="215"/>
      <c r="D213" s="143"/>
      <c r="E213" s="215"/>
      <c r="F213" s="216"/>
      <c r="G213" s="217"/>
      <c r="H213" s="215">
        <v>325</v>
      </c>
      <c r="I213" s="215" t="s">
        <v>183</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454</v>
      </c>
      <c r="N214" s="143"/>
      <c r="O214" s="215"/>
      <c r="P214" s="143"/>
      <c r="Q214" s="215"/>
      <c r="R214" s="239" t="s">
        <v>455</v>
      </c>
      <c r="S214" s="215"/>
      <c r="T214" s="143"/>
      <c r="U214" s="215"/>
      <c r="V214" s="236"/>
    </row>
    <row r="215" spans="1:22" ht="15.6" thickTop="1" thickBot="1">
      <c r="A215" s="209"/>
      <c r="B215" s="211" t="s">
        <v>456</v>
      </c>
      <c r="C215" s="215"/>
      <c r="D215" s="143"/>
      <c r="E215" s="218" t="s">
        <v>192</v>
      </c>
      <c r="F215" s="133" t="s">
        <v>192</v>
      </c>
      <c r="G215" s="217"/>
      <c r="H215" s="143"/>
      <c r="I215" s="133" t="s">
        <v>457</v>
      </c>
      <c r="J215" s="215"/>
      <c r="K215" s="215"/>
      <c r="L215" s="143"/>
      <c r="M215" s="215"/>
      <c r="N215" s="143"/>
      <c r="O215" s="215"/>
      <c r="P215" s="143"/>
      <c r="Q215" s="143"/>
      <c r="R215" s="143"/>
      <c r="S215" s="215"/>
      <c r="T215" s="143"/>
      <c r="U215" s="215"/>
      <c r="V215" s="236"/>
    </row>
    <row r="216" spans="1:22" ht="15.6"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458</v>
      </c>
      <c r="C217" s="215"/>
      <c r="D217" s="143"/>
      <c r="E217" s="143" t="s">
        <v>459</v>
      </c>
      <c r="F217" s="216" t="s">
        <v>76</v>
      </c>
      <c r="G217" s="217"/>
      <c r="H217" s="219"/>
      <c r="I217" s="216" t="s">
        <v>460</v>
      </c>
      <c r="J217" s="143"/>
      <c r="K217" s="215"/>
      <c r="L217" s="133"/>
      <c r="M217" s="216" t="s">
        <v>461</v>
      </c>
      <c r="N217" s="143"/>
      <c r="O217" s="215"/>
      <c r="P217" s="143"/>
      <c r="Q217" s="215"/>
      <c r="R217" s="240" t="s">
        <v>462</v>
      </c>
      <c r="S217" s="133"/>
      <c r="T217" s="143"/>
      <c r="U217" s="215"/>
      <c r="V217" s="236"/>
    </row>
    <row r="218" spans="1:22">
      <c r="A218" s="209"/>
      <c r="B218" s="133"/>
      <c r="C218" s="215"/>
      <c r="D218" s="143"/>
      <c r="E218" s="143"/>
      <c r="F218" s="143"/>
      <c r="G218" s="217"/>
      <c r="H218" s="143"/>
      <c r="I218" s="216" t="s">
        <v>463</v>
      </c>
      <c r="J218" s="143"/>
      <c r="K218" s="215"/>
      <c r="L218" s="143"/>
      <c r="M218" s="215"/>
      <c r="N218" s="143"/>
      <c r="O218" s="215"/>
      <c r="P218" s="143"/>
      <c r="Q218" s="215"/>
      <c r="R218" s="240" t="s">
        <v>464</v>
      </c>
      <c r="T218" s="143"/>
      <c r="U218" s="215"/>
      <c r="V218" s="236"/>
    </row>
    <row r="219" spans="1:22">
      <c r="A219" s="209"/>
      <c r="B219" s="211" t="s">
        <v>465</v>
      </c>
      <c r="C219" s="143"/>
      <c r="D219" s="143"/>
      <c r="E219" s="220" t="s">
        <v>466</v>
      </c>
      <c r="F219" s="216" t="s">
        <v>467</v>
      </c>
      <c r="G219" s="217"/>
      <c r="H219" s="143"/>
      <c r="I219" s="216" t="s">
        <v>468</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469</v>
      </c>
      <c r="C221" s="143"/>
      <c r="D221" s="143"/>
      <c r="E221" s="222"/>
      <c r="F221" s="143" t="s">
        <v>470</v>
      </c>
      <c r="G221" s="217"/>
      <c r="H221" s="143"/>
      <c r="I221" s="215"/>
      <c r="J221" s="143"/>
      <c r="K221" s="215"/>
      <c r="L221" s="231"/>
      <c r="M221" s="232" t="s">
        <v>471</v>
      </c>
      <c r="N221" s="143"/>
      <c r="O221" s="215"/>
      <c r="P221" s="143"/>
      <c r="Q221" s="215"/>
      <c r="R221" s="216" t="s">
        <v>472</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473</v>
      </c>
      <c r="C223" s="143"/>
      <c r="D223" s="210"/>
      <c r="E223" s="143" t="s">
        <v>184</v>
      </c>
      <c r="F223" s="143" t="s">
        <v>474</v>
      </c>
      <c r="G223" s="217"/>
      <c r="H223" s="143"/>
      <c r="I223" s="233" t="s">
        <v>475</v>
      </c>
      <c r="J223" s="143"/>
      <c r="K223" s="215"/>
      <c r="L223" s="133"/>
      <c r="M223" s="216" t="s">
        <v>476</v>
      </c>
      <c r="N223" s="143"/>
      <c r="O223" s="215"/>
      <c r="P223" s="143"/>
      <c r="Q223" s="242"/>
      <c r="R223" s="243" t="s">
        <v>477</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A1:V1"/>
    <mergeCell ref="A2:V2"/>
    <mergeCell ref="H4:J4"/>
    <mergeCell ref="L4:N4"/>
    <mergeCell ref="O4:Q4"/>
    <mergeCell ref="R4:T4"/>
    <mergeCell ref="D6:E6"/>
    <mergeCell ref="F4:F5"/>
    <mergeCell ref="G4:G5"/>
    <mergeCell ref="N200:N202"/>
    <mergeCell ref="A4:B5"/>
    <mergeCell ref="D4:E5"/>
  </mergeCells>
  <conditionalFormatting sqref="L86">
    <cfRule type="expression" dxfId="2"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4"/>
  <sheetData>
    <row r="3" spans="2:10">
      <c r="B3" s="1498" t="s">
        <v>1062</v>
      </c>
      <c r="C3" s="1498" t="s">
        <v>1063</v>
      </c>
      <c r="D3" s="1263" t="s">
        <v>76</v>
      </c>
      <c r="E3" s="394"/>
      <c r="F3" s="1498" t="s">
        <v>1064</v>
      </c>
      <c r="G3" s="1498"/>
      <c r="H3" s="1498"/>
      <c r="I3" s="1498"/>
      <c r="J3" s="1263" t="s">
        <v>20</v>
      </c>
    </row>
    <row r="4" spans="2:10">
      <c r="B4" s="1498"/>
      <c r="C4" s="1498"/>
      <c r="D4" s="1263"/>
      <c r="E4" s="395"/>
      <c r="F4" s="346" t="s">
        <v>42</v>
      </c>
      <c r="G4" s="346" t="s">
        <v>44</v>
      </c>
      <c r="H4" s="346" t="s">
        <v>46</v>
      </c>
      <c r="I4" s="346" t="s">
        <v>1065</v>
      </c>
      <c r="J4" s="1263"/>
    </row>
    <row r="5" spans="2:10">
      <c r="B5" s="57">
        <v>1</v>
      </c>
      <c r="C5" s="57" t="s">
        <v>276</v>
      </c>
      <c r="D5" s="57" t="s">
        <v>84</v>
      </c>
      <c r="E5" s="395">
        <v>2</v>
      </c>
      <c r="F5" s="57">
        <v>3</v>
      </c>
      <c r="G5" s="57">
        <v>3</v>
      </c>
      <c r="H5" s="57">
        <v>3</v>
      </c>
      <c r="I5" s="57">
        <v>3</v>
      </c>
      <c r="J5" s="57"/>
    </row>
    <row r="6" spans="2:10">
      <c r="B6" s="57">
        <f t="shared" ref="B6:B38" si="0">B5+1</f>
        <v>2</v>
      </c>
      <c r="C6" s="57" t="s">
        <v>277</v>
      </c>
      <c r="D6" s="57" t="s">
        <v>206</v>
      </c>
      <c r="E6" s="395">
        <v>1</v>
      </c>
      <c r="F6" s="57">
        <v>1</v>
      </c>
      <c r="G6" s="57">
        <v>1</v>
      </c>
      <c r="H6" s="57">
        <v>1</v>
      </c>
      <c r="I6" s="57">
        <v>1</v>
      </c>
      <c r="J6" s="57"/>
    </row>
    <row r="7" spans="2:10">
      <c r="B7" s="396">
        <f t="shared" si="0"/>
        <v>3</v>
      </c>
      <c r="C7" s="396" t="s">
        <v>284</v>
      </c>
      <c r="D7" s="396" t="s">
        <v>206</v>
      </c>
      <c r="E7" s="397" t="s">
        <v>909</v>
      </c>
      <c r="F7" s="398" t="s">
        <v>1066</v>
      </c>
      <c r="G7" s="398" t="s">
        <v>1066</v>
      </c>
      <c r="H7" s="396">
        <v>1</v>
      </c>
      <c r="I7" s="398" t="s">
        <v>1066</v>
      </c>
      <c r="J7" s="396"/>
    </row>
    <row r="8" spans="2:10">
      <c r="B8" s="57">
        <f t="shared" si="0"/>
        <v>4</v>
      </c>
      <c r="C8" s="57" t="s">
        <v>285</v>
      </c>
      <c r="D8" s="57" t="s">
        <v>150</v>
      </c>
      <c r="E8" s="395">
        <v>1</v>
      </c>
      <c r="F8" s="57">
        <v>1</v>
      </c>
      <c r="G8" s="57">
        <v>1</v>
      </c>
      <c r="H8" s="57">
        <v>1</v>
      </c>
      <c r="I8" s="57">
        <v>1</v>
      </c>
      <c r="J8" s="57"/>
    </row>
    <row r="9" spans="2:10">
      <c r="B9" s="57">
        <f t="shared" si="0"/>
        <v>5</v>
      </c>
      <c r="C9" s="57" t="s">
        <v>286</v>
      </c>
      <c r="D9" s="57" t="s">
        <v>82</v>
      </c>
      <c r="E9" s="395">
        <v>3</v>
      </c>
      <c r="F9" s="57">
        <v>3</v>
      </c>
      <c r="G9" s="57">
        <v>3</v>
      </c>
      <c r="H9" s="57">
        <v>3</v>
      </c>
      <c r="I9" s="57">
        <v>3</v>
      </c>
      <c r="J9" s="57"/>
    </row>
    <row r="10" spans="2:10">
      <c r="B10" s="396">
        <f t="shared" si="0"/>
        <v>6</v>
      </c>
      <c r="C10" s="396" t="s">
        <v>287</v>
      </c>
      <c r="D10" s="396" t="s">
        <v>97</v>
      </c>
      <c r="E10" s="397" t="s">
        <v>909</v>
      </c>
      <c r="F10" s="396">
        <v>3</v>
      </c>
      <c r="G10" s="396">
        <v>3</v>
      </c>
      <c r="H10" s="396">
        <v>3</v>
      </c>
      <c r="I10" s="396">
        <v>3</v>
      </c>
      <c r="J10" s="396"/>
    </row>
    <row r="11" spans="2:10">
      <c r="B11" s="396">
        <f t="shared" si="0"/>
        <v>7</v>
      </c>
      <c r="C11" s="396" t="s">
        <v>1067</v>
      </c>
      <c r="D11" s="396" t="s">
        <v>97</v>
      </c>
      <c r="E11" s="397" t="s">
        <v>909</v>
      </c>
      <c r="F11" s="398" t="s">
        <v>1066</v>
      </c>
      <c r="G11" s="396">
        <v>1</v>
      </c>
      <c r="H11" s="396">
        <v>3</v>
      </c>
      <c r="I11" s="398" t="s">
        <v>1066</v>
      </c>
      <c r="J11" s="396"/>
    </row>
    <row r="12" spans="2:10">
      <c r="B12" s="396">
        <f t="shared" si="0"/>
        <v>8</v>
      </c>
      <c r="C12" s="57" t="s">
        <v>303</v>
      </c>
      <c r="D12" s="57" t="s">
        <v>212</v>
      </c>
      <c r="E12" s="395">
        <v>2</v>
      </c>
      <c r="F12" s="57">
        <v>3</v>
      </c>
      <c r="G12" s="57">
        <v>3</v>
      </c>
      <c r="H12" s="57">
        <v>3</v>
      </c>
      <c r="I12" s="57">
        <v>3</v>
      </c>
      <c r="J12" s="57"/>
    </row>
    <row r="13" spans="2:10">
      <c r="B13" s="396">
        <f t="shared" si="0"/>
        <v>9</v>
      </c>
      <c r="C13" s="396" t="s">
        <v>310</v>
      </c>
      <c r="D13" s="396" t="s">
        <v>147</v>
      </c>
      <c r="E13" s="397" t="s">
        <v>1068</v>
      </c>
      <c r="F13" s="398" t="s">
        <v>1066</v>
      </c>
      <c r="G13" s="398" t="s">
        <v>1066</v>
      </c>
      <c r="H13" s="396">
        <v>1</v>
      </c>
      <c r="I13" s="398" t="s">
        <v>1066</v>
      </c>
      <c r="J13" s="396"/>
    </row>
    <row r="14" spans="2:10">
      <c r="B14" s="396">
        <f t="shared" si="0"/>
        <v>10</v>
      </c>
      <c r="C14" s="57" t="s">
        <v>312</v>
      </c>
      <c r="D14" s="57" t="s">
        <v>212</v>
      </c>
      <c r="E14" s="395">
        <v>3</v>
      </c>
      <c r="F14" s="57">
        <v>3</v>
      </c>
      <c r="G14" s="57">
        <v>3</v>
      </c>
      <c r="H14" s="57">
        <v>3</v>
      </c>
      <c r="I14" s="57">
        <v>3</v>
      </c>
      <c r="J14" s="57"/>
    </row>
    <row r="15" spans="2:10">
      <c r="B15" s="396">
        <f t="shared" si="0"/>
        <v>11</v>
      </c>
      <c r="C15" s="396" t="s">
        <v>118</v>
      </c>
      <c r="D15" s="396" t="s">
        <v>88</v>
      </c>
      <c r="E15" s="397" t="s">
        <v>1068</v>
      </c>
      <c r="F15" s="398" t="s">
        <v>1066</v>
      </c>
      <c r="G15" s="398" t="s">
        <v>1066</v>
      </c>
      <c r="H15" s="396">
        <v>1</v>
      </c>
      <c r="I15" s="398" t="s">
        <v>1066</v>
      </c>
      <c r="J15" s="396"/>
    </row>
    <row r="16" spans="2:10">
      <c r="B16" s="396">
        <f t="shared" si="0"/>
        <v>12</v>
      </c>
      <c r="C16" s="57" t="s">
        <v>316</v>
      </c>
      <c r="D16" s="57" t="s">
        <v>212</v>
      </c>
      <c r="E16" s="395">
        <v>3</v>
      </c>
      <c r="F16" s="57">
        <v>3</v>
      </c>
      <c r="G16" s="57">
        <v>3</v>
      </c>
      <c r="H16" s="57">
        <v>3</v>
      </c>
      <c r="I16" s="57">
        <v>3</v>
      </c>
      <c r="J16" s="57"/>
    </row>
    <row r="17" spans="2:10">
      <c r="B17" s="396">
        <f t="shared" si="0"/>
        <v>13</v>
      </c>
      <c r="C17" s="57" t="s">
        <v>317</v>
      </c>
      <c r="D17" s="57" t="s">
        <v>212</v>
      </c>
      <c r="E17" s="395">
        <v>1</v>
      </c>
      <c r="F17" s="57">
        <v>1</v>
      </c>
      <c r="G17" s="57">
        <v>1</v>
      </c>
      <c r="H17" s="57">
        <v>1</v>
      </c>
      <c r="I17" s="57">
        <v>1</v>
      </c>
      <c r="J17" s="57"/>
    </row>
    <row r="18" spans="2:10">
      <c r="B18" s="396">
        <f t="shared" si="0"/>
        <v>14</v>
      </c>
      <c r="C18" s="57" t="s">
        <v>670</v>
      </c>
      <c r="D18" s="57" t="s">
        <v>90</v>
      </c>
      <c r="E18" s="395">
        <v>1</v>
      </c>
      <c r="F18" s="57">
        <v>1</v>
      </c>
      <c r="G18" s="57">
        <v>1</v>
      </c>
      <c r="H18" s="57">
        <v>1</v>
      </c>
      <c r="I18" s="57">
        <v>1</v>
      </c>
      <c r="J18" s="57"/>
    </row>
    <row r="19" spans="2:10">
      <c r="B19" s="396">
        <f t="shared" si="0"/>
        <v>15</v>
      </c>
      <c r="C19" s="57" t="s">
        <v>671</v>
      </c>
      <c r="D19" s="57" t="s">
        <v>93</v>
      </c>
      <c r="E19" s="395">
        <v>1</v>
      </c>
      <c r="F19" s="57">
        <v>1</v>
      </c>
      <c r="G19" s="57">
        <v>1</v>
      </c>
      <c r="H19" s="57">
        <v>1</v>
      </c>
      <c r="I19" s="57">
        <v>1</v>
      </c>
      <c r="J19" s="57"/>
    </row>
    <row r="20" spans="2:10">
      <c r="B20" s="396">
        <f t="shared" si="0"/>
        <v>16</v>
      </c>
      <c r="C20" s="57" t="s">
        <v>329</v>
      </c>
      <c r="D20" s="57" t="s">
        <v>147</v>
      </c>
      <c r="E20" s="395">
        <v>1</v>
      </c>
      <c r="F20" s="57">
        <v>1</v>
      </c>
      <c r="G20" s="57">
        <v>1</v>
      </c>
      <c r="H20" s="57">
        <v>1</v>
      </c>
      <c r="I20" s="57">
        <v>1</v>
      </c>
      <c r="J20" s="57"/>
    </row>
    <row r="21" spans="2:10">
      <c r="B21" s="396">
        <f t="shared" si="0"/>
        <v>17</v>
      </c>
      <c r="C21" s="57" t="s">
        <v>333</v>
      </c>
      <c r="D21" s="57" t="s">
        <v>147</v>
      </c>
      <c r="E21" s="395">
        <v>1</v>
      </c>
      <c r="F21" s="57">
        <v>1</v>
      </c>
      <c r="G21" s="57">
        <v>1</v>
      </c>
      <c r="H21" s="57">
        <v>1</v>
      </c>
      <c r="I21" s="57">
        <v>1</v>
      </c>
      <c r="J21" s="57"/>
    </row>
    <row r="22" spans="2:10">
      <c r="B22" s="396">
        <f t="shared" si="0"/>
        <v>18</v>
      </c>
      <c r="C22" s="396" t="s">
        <v>1069</v>
      </c>
      <c r="D22" s="396" t="s">
        <v>90</v>
      </c>
      <c r="E22" s="397" t="s">
        <v>1070</v>
      </c>
      <c r="F22" s="398" t="s">
        <v>1066</v>
      </c>
      <c r="G22" s="398" t="s">
        <v>1066</v>
      </c>
      <c r="H22" s="396">
        <v>1</v>
      </c>
      <c r="I22" s="396">
        <v>3</v>
      </c>
      <c r="J22" s="396"/>
    </row>
    <row r="23" spans="2:10">
      <c r="B23" s="396">
        <f t="shared" si="0"/>
        <v>19</v>
      </c>
      <c r="C23" s="396" t="s">
        <v>335</v>
      </c>
      <c r="D23" s="396" t="s">
        <v>150</v>
      </c>
      <c r="E23" s="397" t="s">
        <v>1071</v>
      </c>
      <c r="F23" s="398" t="s">
        <v>1066</v>
      </c>
      <c r="G23" s="398" t="s">
        <v>1066</v>
      </c>
      <c r="H23" s="396">
        <v>1</v>
      </c>
      <c r="I23" s="396">
        <v>3</v>
      </c>
      <c r="J23" s="396"/>
    </row>
    <row r="24" spans="2:10">
      <c r="B24" s="396">
        <f t="shared" si="0"/>
        <v>20</v>
      </c>
      <c r="C24" s="396" t="s">
        <v>252</v>
      </c>
      <c r="D24" s="396" t="s">
        <v>147</v>
      </c>
      <c r="E24" s="397" t="s">
        <v>1072</v>
      </c>
      <c r="F24" s="398" t="s">
        <v>1066</v>
      </c>
      <c r="G24" s="398" t="s">
        <v>1066</v>
      </c>
      <c r="H24" s="396">
        <v>3</v>
      </c>
      <c r="I24" s="396">
        <v>3</v>
      </c>
      <c r="J24" s="396"/>
    </row>
    <row r="25" spans="2:10">
      <c r="B25" s="396">
        <f t="shared" si="0"/>
        <v>21</v>
      </c>
      <c r="C25" s="57" t="s">
        <v>347</v>
      </c>
      <c r="D25" s="57" t="s">
        <v>150</v>
      </c>
      <c r="E25" s="395">
        <v>1</v>
      </c>
      <c r="F25" s="57">
        <v>1</v>
      </c>
      <c r="G25" s="57">
        <v>1</v>
      </c>
      <c r="H25" s="57">
        <v>1</v>
      </c>
      <c r="I25" s="57">
        <v>1</v>
      </c>
      <c r="J25" s="57"/>
    </row>
    <row r="26" spans="2:10">
      <c r="B26" s="396">
        <f t="shared" si="0"/>
        <v>22</v>
      </c>
      <c r="C26" s="57" t="s">
        <v>349</v>
      </c>
      <c r="D26" s="57" t="s">
        <v>147</v>
      </c>
      <c r="E26" s="395">
        <v>1</v>
      </c>
      <c r="F26" s="57">
        <v>1</v>
      </c>
      <c r="G26" s="57">
        <v>1</v>
      </c>
      <c r="H26" s="57">
        <v>1</v>
      </c>
      <c r="I26" s="57">
        <v>1</v>
      </c>
      <c r="J26" s="57"/>
    </row>
    <row r="27" spans="2:10">
      <c r="B27" s="396">
        <f t="shared" si="0"/>
        <v>23</v>
      </c>
      <c r="C27" s="57" t="s">
        <v>350</v>
      </c>
      <c r="D27" s="57" t="s">
        <v>153</v>
      </c>
      <c r="E27" s="395">
        <v>1</v>
      </c>
      <c r="F27" s="57">
        <v>1</v>
      </c>
      <c r="G27" s="57">
        <v>1</v>
      </c>
      <c r="H27" s="57">
        <v>1</v>
      </c>
      <c r="I27" s="57">
        <v>1</v>
      </c>
      <c r="J27" s="57"/>
    </row>
    <row r="28" spans="2:10">
      <c r="B28" s="396">
        <f t="shared" si="0"/>
        <v>24</v>
      </c>
      <c r="C28" s="396" t="s">
        <v>231</v>
      </c>
      <c r="D28" s="396" t="s">
        <v>147</v>
      </c>
      <c r="E28" s="397" t="s">
        <v>909</v>
      </c>
      <c r="F28" s="398" t="s">
        <v>1066</v>
      </c>
      <c r="G28" s="396">
        <v>3</v>
      </c>
      <c r="H28" s="396">
        <v>3</v>
      </c>
      <c r="I28" s="398" t="s">
        <v>1066</v>
      </c>
      <c r="J28" s="396"/>
    </row>
    <row r="29" spans="2:10">
      <c r="B29" s="396">
        <f t="shared" si="0"/>
        <v>25</v>
      </c>
      <c r="C29" s="57" t="s">
        <v>356</v>
      </c>
      <c r="D29" s="57" t="s">
        <v>147</v>
      </c>
      <c r="E29" s="395">
        <v>1</v>
      </c>
      <c r="F29" s="57">
        <v>1</v>
      </c>
      <c r="G29" s="57">
        <v>1</v>
      </c>
      <c r="H29" s="57">
        <v>1</v>
      </c>
      <c r="I29" s="57">
        <v>1</v>
      </c>
      <c r="J29" s="57"/>
    </row>
    <row r="30" spans="2:10">
      <c r="B30" s="396">
        <f t="shared" si="0"/>
        <v>26</v>
      </c>
      <c r="C30" s="57" t="s">
        <v>382</v>
      </c>
      <c r="D30" s="57" t="s">
        <v>150</v>
      </c>
      <c r="E30" s="395">
        <v>1</v>
      </c>
      <c r="F30" s="57">
        <v>1</v>
      </c>
      <c r="G30" s="57">
        <v>1</v>
      </c>
      <c r="H30" s="57">
        <v>1</v>
      </c>
      <c r="I30" s="57">
        <v>1</v>
      </c>
      <c r="J30" s="57"/>
    </row>
    <row r="31" spans="2:10">
      <c r="B31" s="396">
        <f t="shared" si="0"/>
        <v>27</v>
      </c>
      <c r="C31" s="57" t="s">
        <v>387</v>
      </c>
      <c r="D31" s="57" t="s">
        <v>147</v>
      </c>
      <c r="E31" s="395">
        <v>1</v>
      </c>
      <c r="F31" s="57">
        <v>1</v>
      </c>
      <c r="G31" s="57">
        <v>1</v>
      </c>
      <c r="H31" s="57">
        <v>1</v>
      </c>
      <c r="I31" s="57">
        <v>1</v>
      </c>
      <c r="J31" s="57"/>
    </row>
    <row r="32" spans="2:10">
      <c r="B32" s="396">
        <f t="shared" si="0"/>
        <v>28</v>
      </c>
      <c r="C32" s="57" t="s">
        <v>391</v>
      </c>
      <c r="D32" s="57" t="s">
        <v>147</v>
      </c>
      <c r="E32" s="395">
        <v>1</v>
      </c>
      <c r="F32" s="57">
        <v>1</v>
      </c>
      <c r="G32" s="57">
        <v>1</v>
      </c>
      <c r="H32" s="57">
        <v>1</v>
      </c>
      <c r="I32" s="57">
        <v>1</v>
      </c>
      <c r="J32" s="57"/>
    </row>
    <row r="33" spans="2:10">
      <c r="B33" s="396">
        <f t="shared" si="0"/>
        <v>29</v>
      </c>
      <c r="C33" s="57" t="s">
        <v>408</v>
      </c>
      <c r="D33" s="57" t="s">
        <v>88</v>
      </c>
      <c r="E33" s="395">
        <v>3</v>
      </c>
      <c r="F33" s="57">
        <v>3</v>
      </c>
      <c r="G33" s="57">
        <v>3</v>
      </c>
      <c r="H33" s="57">
        <v>3</v>
      </c>
      <c r="I33" s="57">
        <v>3</v>
      </c>
      <c r="J33" s="57"/>
    </row>
    <row r="34" spans="2:10">
      <c r="B34" s="396">
        <f t="shared" si="0"/>
        <v>30</v>
      </c>
      <c r="C34" s="57" t="s">
        <v>409</v>
      </c>
      <c r="D34" s="57" t="s">
        <v>97</v>
      </c>
      <c r="E34" s="395">
        <v>3</v>
      </c>
      <c r="F34" s="57">
        <v>3</v>
      </c>
      <c r="G34" s="57">
        <v>3</v>
      </c>
      <c r="H34" s="57">
        <v>3</v>
      </c>
      <c r="I34" s="57">
        <v>3</v>
      </c>
      <c r="J34" s="57"/>
    </row>
    <row r="35" spans="2:10">
      <c r="B35" s="396">
        <f t="shared" si="0"/>
        <v>31</v>
      </c>
      <c r="C35" s="57" t="s">
        <v>692</v>
      </c>
      <c r="D35" s="57" t="s">
        <v>80</v>
      </c>
      <c r="E35" s="395">
        <v>1</v>
      </c>
      <c r="F35" s="57">
        <v>1</v>
      </c>
      <c r="G35" s="57">
        <v>1</v>
      </c>
      <c r="H35" s="57">
        <v>1</v>
      </c>
      <c r="I35" s="57">
        <v>1</v>
      </c>
      <c r="J35" s="57"/>
    </row>
    <row r="36" spans="2:10">
      <c r="B36" s="396">
        <f t="shared" si="0"/>
        <v>32</v>
      </c>
      <c r="C36" s="57" t="s">
        <v>422</v>
      </c>
      <c r="D36" s="57" t="s">
        <v>97</v>
      </c>
      <c r="E36" s="395">
        <v>3</v>
      </c>
      <c r="F36" s="57">
        <v>3</v>
      </c>
      <c r="G36" s="57">
        <v>3</v>
      </c>
      <c r="H36" s="57">
        <v>3</v>
      </c>
      <c r="I36" s="57">
        <v>3</v>
      </c>
      <c r="J36" s="57"/>
    </row>
    <row r="37" spans="2:10">
      <c r="B37" s="396">
        <f t="shared" si="0"/>
        <v>33</v>
      </c>
      <c r="C37" s="57" t="s">
        <v>423</v>
      </c>
      <c r="D37" s="57" t="s">
        <v>88</v>
      </c>
      <c r="E37" s="395">
        <v>2</v>
      </c>
      <c r="F37" s="57">
        <v>3</v>
      </c>
      <c r="G37" s="57">
        <v>3</v>
      </c>
      <c r="H37" s="57">
        <v>3</v>
      </c>
      <c r="I37" s="57">
        <v>3</v>
      </c>
      <c r="J37" s="57"/>
    </row>
    <row r="38" spans="2:10">
      <c r="B38" s="396">
        <f t="shared" si="0"/>
        <v>34</v>
      </c>
      <c r="C38" s="57" t="s">
        <v>428</v>
      </c>
      <c r="D38" s="57" t="s">
        <v>80</v>
      </c>
      <c r="E38" s="395">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4"/>
  <sheetData>
    <row r="1" spans="1:22">
      <c r="A1" s="1493" t="s">
        <v>262</v>
      </c>
      <c r="B1" s="1493"/>
      <c r="C1" s="1493"/>
      <c r="D1" s="1493"/>
      <c r="E1" s="1493"/>
      <c r="F1" s="1493"/>
      <c r="G1" s="1493"/>
      <c r="H1" s="1493"/>
      <c r="I1" s="1493"/>
      <c r="J1" s="1493"/>
      <c r="K1" s="1493"/>
      <c r="L1" s="1493"/>
      <c r="M1" s="1493"/>
      <c r="N1" s="1493"/>
      <c r="O1" s="1493"/>
      <c r="P1" s="1493"/>
      <c r="Q1" s="1493"/>
      <c r="R1" s="1493"/>
      <c r="S1" s="1493"/>
      <c r="T1" s="1493"/>
      <c r="U1" s="1493"/>
      <c r="V1" s="1494"/>
    </row>
    <row r="2" spans="1:22" ht="15" thickBot="1">
      <c r="A2" s="1495" t="s">
        <v>263</v>
      </c>
      <c r="B2" s="1312"/>
      <c r="C2" s="1312"/>
      <c r="D2" s="1312"/>
      <c r="E2" s="1312"/>
      <c r="F2" s="1312"/>
      <c r="G2" s="1312"/>
      <c r="H2" s="1312"/>
      <c r="I2" s="1312"/>
      <c r="J2" s="1312"/>
      <c r="K2" s="1312"/>
      <c r="L2" s="1312"/>
      <c r="M2" s="1312"/>
      <c r="N2" s="1312"/>
      <c r="O2" s="1312"/>
      <c r="P2" s="1312"/>
      <c r="Q2" s="1312"/>
      <c r="R2" s="1312"/>
      <c r="S2" s="1312"/>
      <c r="T2" s="1312"/>
      <c r="U2" s="1312"/>
      <c r="V2" s="1496"/>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1488" t="s">
        <v>264</v>
      </c>
      <c r="B4" s="1303"/>
      <c r="C4" s="127"/>
      <c r="D4" s="1489" t="s">
        <v>1050</v>
      </c>
      <c r="E4" s="1490"/>
      <c r="F4" s="1484" t="s">
        <v>266</v>
      </c>
      <c r="G4" s="1486" t="s">
        <v>267</v>
      </c>
      <c r="H4" s="1314" t="s">
        <v>268</v>
      </c>
      <c r="I4" s="1315"/>
      <c r="J4" s="1316"/>
      <c r="K4" s="128" t="s">
        <v>269</v>
      </c>
      <c r="L4" s="1314" t="s">
        <v>270</v>
      </c>
      <c r="M4" s="1315"/>
      <c r="N4" s="1316"/>
      <c r="O4" s="1314" t="s">
        <v>271</v>
      </c>
      <c r="P4" s="1315"/>
      <c r="Q4" s="1316"/>
      <c r="R4" s="1497"/>
      <c r="S4" s="1317"/>
      <c r="T4" s="1317"/>
      <c r="U4" s="166"/>
      <c r="V4" s="167"/>
    </row>
    <row r="5" spans="1:22">
      <c r="A5" s="1488"/>
      <c r="B5" s="1303"/>
      <c r="C5" s="127"/>
      <c r="D5" s="1491"/>
      <c r="E5" s="1492"/>
      <c r="F5" s="1485"/>
      <c r="G5" s="1487"/>
      <c r="H5" s="128" t="s">
        <v>272</v>
      </c>
      <c r="I5" s="128" t="s">
        <v>242</v>
      </c>
      <c r="J5" s="128" t="s">
        <v>273</v>
      </c>
      <c r="K5" s="128" t="s">
        <v>272</v>
      </c>
      <c r="L5" s="128" t="s">
        <v>272</v>
      </c>
      <c r="M5" s="128" t="s">
        <v>242</v>
      </c>
      <c r="N5" s="128" t="s">
        <v>273</v>
      </c>
      <c r="O5" s="128" t="s">
        <v>272</v>
      </c>
      <c r="P5" s="128" t="s">
        <v>242</v>
      </c>
      <c r="Q5" s="128" t="s">
        <v>273</v>
      </c>
      <c r="R5" s="165"/>
      <c r="S5" s="165"/>
      <c r="T5" s="165"/>
      <c r="U5" s="166"/>
      <c r="V5" s="167"/>
    </row>
    <row r="6" spans="1:22">
      <c r="A6" s="129"/>
      <c r="B6" s="127"/>
      <c r="C6" s="127"/>
      <c r="D6" s="1500" t="s">
        <v>1049</v>
      </c>
      <c r="E6" s="1296"/>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77"/>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77"/>
      <c r="V8" s="167"/>
    </row>
    <row r="9" spans="1:22">
      <c r="A9" s="132"/>
      <c r="B9" s="133"/>
      <c r="C9" s="133"/>
      <c r="D9" s="133"/>
      <c r="E9" s="133"/>
      <c r="F9" s="133"/>
      <c r="G9" s="133"/>
      <c r="H9" s="133"/>
      <c r="I9" s="133"/>
      <c r="J9" s="133"/>
      <c r="K9" s="133"/>
      <c r="L9" s="133"/>
      <c r="M9" s="133"/>
      <c r="N9" s="133"/>
      <c r="O9" s="133"/>
      <c r="P9" s="133"/>
      <c r="Q9" s="133"/>
      <c r="R9" s="133"/>
      <c r="S9" s="133"/>
      <c r="T9" s="133"/>
      <c r="U9" s="377"/>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78">
        <f>B10+F10+H10+J10+L10+D10+N10+P10+R10+T10</f>
        <v>3579.8500000000004</v>
      </c>
      <c r="V10" s="167"/>
    </row>
    <row r="11" spans="1:22" ht="15.6" thickTop="1" thickBot="1">
      <c r="A11" s="136"/>
      <c r="B11" s="137"/>
      <c r="C11" s="138"/>
      <c r="D11" s="139"/>
      <c r="E11" s="138"/>
      <c r="F11" s="133"/>
      <c r="G11" s="140"/>
      <c r="H11" s="139"/>
      <c r="I11" s="140"/>
      <c r="J11" s="139"/>
      <c r="K11" s="140"/>
      <c r="L11" s="139"/>
      <c r="M11" s="140"/>
      <c r="N11" s="139"/>
      <c r="O11" s="140"/>
      <c r="P11" s="139"/>
      <c r="Q11" s="140"/>
      <c r="R11" s="139"/>
      <c r="S11" s="140"/>
      <c r="T11" s="162"/>
      <c r="U11" s="378"/>
      <c r="V11" s="167"/>
    </row>
    <row r="12" spans="1:22" ht="15.6" thickTop="1" thickBot="1">
      <c r="A12" s="132"/>
      <c r="B12" s="133"/>
      <c r="C12" s="141"/>
      <c r="D12" s="139"/>
      <c r="E12" s="141"/>
      <c r="F12" s="133"/>
      <c r="G12" s="141"/>
      <c r="H12" s="139"/>
      <c r="I12" s="141"/>
      <c r="J12" s="139"/>
      <c r="K12" s="141"/>
      <c r="L12" s="139"/>
      <c r="M12" s="141"/>
      <c r="N12" s="139"/>
      <c r="O12" s="141"/>
      <c r="P12" s="139"/>
      <c r="Q12" s="141"/>
      <c r="R12" s="139"/>
      <c r="S12" s="141"/>
      <c r="T12" s="162"/>
      <c r="U12" s="377"/>
      <c r="V12" s="167"/>
    </row>
    <row r="13" spans="1:22" ht="15" thickTop="1">
      <c r="A13" s="142"/>
      <c r="B13" s="143"/>
      <c r="C13" s="144" t="s">
        <v>274</v>
      </c>
      <c r="D13" s="145"/>
      <c r="E13" s="358" t="s">
        <v>236</v>
      </c>
      <c r="F13" s="145"/>
      <c r="G13" s="358" t="s">
        <v>237</v>
      </c>
      <c r="H13" s="145"/>
      <c r="I13" s="358" t="s">
        <v>275</v>
      </c>
      <c r="J13" s="133"/>
      <c r="K13" s="144" t="s">
        <v>276</v>
      </c>
      <c r="L13" s="133"/>
      <c r="M13" s="358" t="s">
        <v>277</v>
      </c>
      <c r="N13" s="133"/>
      <c r="O13" s="144" t="s">
        <v>278</v>
      </c>
      <c r="P13" s="133"/>
      <c r="Q13" s="144" t="s">
        <v>279</v>
      </c>
      <c r="R13" s="133"/>
      <c r="S13" s="358" t="s">
        <v>280</v>
      </c>
      <c r="T13" s="133"/>
      <c r="U13" s="377"/>
      <c r="V13" s="167"/>
    </row>
    <row r="14" spans="1:22">
      <c r="A14" s="142"/>
      <c r="B14" s="143"/>
      <c r="C14" s="144" t="s">
        <v>82</v>
      </c>
      <c r="D14" s="145"/>
      <c r="E14" s="145" t="s">
        <v>150</v>
      </c>
      <c r="F14" s="145"/>
      <c r="G14" s="133" t="s">
        <v>147</v>
      </c>
      <c r="H14" s="145"/>
      <c r="I14" s="133" t="s">
        <v>150</v>
      </c>
      <c r="J14" s="133"/>
      <c r="K14" s="144" t="s">
        <v>84</v>
      </c>
      <c r="L14" s="133"/>
      <c r="M14" s="133" t="s">
        <v>206</v>
      </c>
      <c r="N14" s="133"/>
      <c r="O14" s="144" t="s">
        <v>90</v>
      </c>
      <c r="P14" s="133"/>
      <c r="Q14" s="144" t="s">
        <v>283</v>
      </c>
      <c r="R14" s="133"/>
      <c r="S14" s="133" t="s">
        <v>150</v>
      </c>
      <c r="T14" s="133"/>
      <c r="U14" s="377"/>
      <c r="V14" s="167"/>
    </row>
    <row r="15" spans="1:22">
      <c r="A15" s="272"/>
      <c r="B15" s="172"/>
      <c r="C15" s="172"/>
      <c r="D15" s="172"/>
      <c r="E15" s="172"/>
      <c r="F15" s="172"/>
      <c r="G15" s="172"/>
      <c r="H15" s="172"/>
      <c r="I15" s="172"/>
      <c r="J15" s="172"/>
      <c r="K15" s="159" t="s">
        <v>184</v>
      </c>
      <c r="L15" s="172"/>
      <c r="M15" s="159" t="s">
        <v>184</v>
      </c>
      <c r="N15" s="172"/>
      <c r="O15" s="172"/>
      <c r="P15" s="172"/>
      <c r="Q15" s="172"/>
      <c r="R15" s="172"/>
      <c r="S15" s="172"/>
      <c r="T15" s="172"/>
      <c r="U15" s="379"/>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8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6"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6"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58" t="s">
        <v>284</v>
      </c>
      <c r="C22" s="133"/>
      <c r="D22" s="358" t="s">
        <v>285</v>
      </c>
      <c r="E22" s="133"/>
      <c r="F22" s="144" t="s">
        <v>286</v>
      </c>
      <c r="G22" s="133"/>
      <c r="H22" s="144" t="s">
        <v>287</v>
      </c>
      <c r="I22" s="133"/>
      <c r="J22" s="144" t="s">
        <v>288</v>
      </c>
      <c r="K22" s="133"/>
      <c r="L22" s="358" t="s">
        <v>289</v>
      </c>
      <c r="M22" s="133"/>
      <c r="N22" s="144" t="s">
        <v>290</v>
      </c>
      <c r="O22" s="133"/>
      <c r="P22" s="358" t="s">
        <v>291</v>
      </c>
      <c r="Q22" s="133"/>
      <c r="R22" s="358" t="s">
        <v>292</v>
      </c>
      <c r="S22" s="133"/>
      <c r="T22" s="144" t="s">
        <v>293</v>
      </c>
      <c r="U22" s="133"/>
      <c r="V22" s="179"/>
    </row>
    <row r="23" spans="1:22">
      <c r="A23" s="132"/>
      <c r="B23" s="133" t="s">
        <v>206</v>
      </c>
      <c r="C23" s="133"/>
      <c r="D23" s="133" t="s">
        <v>150</v>
      </c>
      <c r="E23" s="133"/>
      <c r="F23" s="144" t="s">
        <v>82</v>
      </c>
      <c r="G23" s="133"/>
      <c r="H23" s="144" t="s">
        <v>294</v>
      </c>
      <c r="I23" s="133"/>
      <c r="J23" s="144" t="s">
        <v>97</v>
      </c>
      <c r="K23" s="133"/>
      <c r="L23" s="145" t="s">
        <v>147</v>
      </c>
      <c r="M23" s="133"/>
      <c r="N23" s="144" t="s">
        <v>97</v>
      </c>
      <c r="O23" s="133"/>
      <c r="P23" s="145" t="s">
        <v>206</v>
      </c>
      <c r="Q23" s="133"/>
      <c r="R23" s="145" t="s">
        <v>206</v>
      </c>
      <c r="S23" s="133"/>
      <c r="T23" s="144" t="s">
        <v>294</v>
      </c>
      <c r="U23" s="133"/>
      <c r="V23" s="179"/>
    </row>
    <row r="24" spans="1:22">
      <c r="A24" s="132"/>
      <c r="B24" s="144" t="s">
        <v>295</v>
      </c>
      <c r="C24" s="133"/>
      <c r="D24" s="144" t="s">
        <v>184</v>
      </c>
      <c r="E24" s="133"/>
      <c r="F24" s="144" t="s">
        <v>184</v>
      </c>
      <c r="G24" s="133"/>
      <c r="H24" s="144" t="s">
        <v>295</v>
      </c>
      <c r="I24" s="133"/>
      <c r="J24" s="133"/>
      <c r="K24" s="133"/>
      <c r="L24" s="144" t="s">
        <v>296</v>
      </c>
      <c r="M24" s="133"/>
      <c r="N24" s="133"/>
      <c r="O24" s="133"/>
      <c r="P24" s="160"/>
      <c r="Q24" s="133"/>
      <c r="R24" s="144" t="s">
        <v>295</v>
      </c>
      <c r="S24" s="133"/>
      <c r="T24" s="144" t="s">
        <v>295</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6"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6"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297</v>
      </c>
      <c r="C31" s="133"/>
      <c r="D31" s="144" t="s">
        <v>298</v>
      </c>
      <c r="E31" s="133"/>
      <c r="F31" s="358" t="s">
        <v>299</v>
      </c>
      <c r="G31" s="133"/>
      <c r="H31" s="144" t="s">
        <v>300</v>
      </c>
      <c r="I31" s="133"/>
      <c r="J31" s="358" t="s">
        <v>301</v>
      </c>
      <c r="K31" s="133"/>
      <c r="L31" s="358" t="s">
        <v>302</v>
      </c>
      <c r="M31" s="133"/>
      <c r="N31" s="358" t="s">
        <v>303</v>
      </c>
      <c r="O31" s="133"/>
      <c r="P31" s="144" t="s">
        <v>304</v>
      </c>
      <c r="Q31" s="133"/>
      <c r="R31" s="358" t="s">
        <v>245</v>
      </c>
      <c r="S31" s="133"/>
      <c r="T31" s="144" t="s">
        <v>305</v>
      </c>
      <c r="U31" s="133"/>
      <c r="V31" s="180"/>
    </row>
    <row r="32" spans="1:22">
      <c r="A32" s="132"/>
      <c r="B32" s="144" t="s">
        <v>294</v>
      </c>
      <c r="C32" s="133"/>
      <c r="D32" s="144" t="s">
        <v>306</v>
      </c>
      <c r="E32" s="133"/>
      <c r="F32" s="145" t="s">
        <v>147</v>
      </c>
      <c r="G32" s="133"/>
      <c r="H32" s="144" t="s">
        <v>307</v>
      </c>
      <c r="I32" s="133"/>
      <c r="J32" s="145" t="s">
        <v>212</v>
      </c>
      <c r="K32" s="133"/>
      <c r="L32" s="145" t="s">
        <v>147</v>
      </c>
      <c r="M32" s="133"/>
      <c r="N32" s="145" t="s">
        <v>212</v>
      </c>
      <c r="O32" s="133"/>
      <c r="P32" s="144" t="s">
        <v>283</v>
      </c>
      <c r="Q32" s="133"/>
      <c r="R32" s="145" t="s">
        <v>212</v>
      </c>
      <c r="S32" s="133"/>
      <c r="T32" s="144" t="s">
        <v>308</v>
      </c>
      <c r="U32" s="133"/>
      <c r="V32" s="180"/>
    </row>
    <row r="33" spans="1:22">
      <c r="A33" s="132"/>
      <c r="B33" s="133"/>
      <c r="C33" s="133"/>
      <c r="D33" s="133"/>
      <c r="E33" s="133"/>
      <c r="F33" s="144" t="s">
        <v>309</v>
      </c>
      <c r="G33" s="133"/>
      <c r="H33" s="144"/>
      <c r="I33" s="133"/>
      <c r="J33" s="155"/>
      <c r="K33" s="155"/>
      <c r="L33" s="155"/>
      <c r="M33" s="155"/>
      <c r="N33" s="144" t="s">
        <v>184</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6"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6"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58" t="s">
        <v>310</v>
      </c>
      <c r="C40" s="133"/>
      <c r="D40" s="358" t="s">
        <v>311</v>
      </c>
      <c r="E40" s="133"/>
      <c r="F40" s="358" t="s">
        <v>312</v>
      </c>
      <c r="G40" s="133"/>
      <c r="H40" s="358" t="s">
        <v>246</v>
      </c>
      <c r="I40" s="133"/>
      <c r="J40" s="358" t="s">
        <v>247</v>
      </c>
      <c r="K40" s="133"/>
      <c r="L40" s="144" t="s">
        <v>313</v>
      </c>
      <c r="M40" s="133"/>
      <c r="N40" s="358" t="s">
        <v>314</v>
      </c>
      <c r="O40" s="133"/>
      <c r="P40" s="144" t="s">
        <v>315</v>
      </c>
      <c r="Q40" s="133"/>
      <c r="R40" s="358" t="s">
        <v>316</v>
      </c>
      <c r="S40" s="133"/>
      <c r="T40" s="358" t="s">
        <v>317</v>
      </c>
      <c r="U40" s="133"/>
      <c r="V40" s="280"/>
    </row>
    <row r="41" spans="1:22">
      <c r="A41" s="132"/>
      <c r="B41" s="145" t="s">
        <v>147</v>
      </c>
      <c r="C41" s="133"/>
      <c r="D41" s="145" t="s">
        <v>147</v>
      </c>
      <c r="E41" s="133"/>
      <c r="F41" s="145" t="s">
        <v>212</v>
      </c>
      <c r="G41" s="133"/>
      <c r="H41" s="145" t="s">
        <v>206</v>
      </c>
      <c r="I41" s="133"/>
      <c r="J41" s="145" t="s">
        <v>206</v>
      </c>
      <c r="K41" s="133"/>
      <c r="L41" s="144" t="s">
        <v>283</v>
      </c>
      <c r="M41" s="133"/>
      <c r="N41" s="145" t="s">
        <v>147</v>
      </c>
      <c r="O41" s="133"/>
      <c r="P41" s="144" t="s">
        <v>306</v>
      </c>
      <c r="Q41" s="133"/>
      <c r="R41" s="145" t="s">
        <v>212</v>
      </c>
      <c r="S41" s="133"/>
      <c r="T41" s="145" t="s">
        <v>212</v>
      </c>
      <c r="U41" s="133"/>
      <c r="V41" s="280"/>
    </row>
    <row r="42" spans="1:22">
      <c r="A42" s="132"/>
      <c r="B42" s="154" t="s">
        <v>184</v>
      </c>
      <c r="C42" s="155"/>
      <c r="D42" s="155"/>
      <c r="E42" s="155"/>
      <c r="F42" s="154" t="s">
        <v>184</v>
      </c>
      <c r="G42" s="155"/>
      <c r="H42" s="155"/>
      <c r="I42" s="155"/>
      <c r="J42" s="155"/>
      <c r="K42" s="155"/>
      <c r="L42" s="155"/>
      <c r="M42" s="155"/>
      <c r="N42" s="155"/>
      <c r="O42" s="155"/>
      <c r="P42" s="144" t="s">
        <v>295</v>
      </c>
      <c r="Q42" s="155"/>
      <c r="R42" s="155"/>
      <c r="S42" s="133"/>
      <c r="T42" s="154" t="s">
        <v>184</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6" thickTop="1" thickBot="1">
      <c r="A46" s="132"/>
      <c r="B46" s="305" t="s">
        <v>318</v>
      </c>
      <c r="C46" s="139"/>
      <c r="D46" s="141" t="s">
        <v>318</v>
      </c>
      <c r="E46" s="133"/>
      <c r="F46" s="140"/>
      <c r="G46" s="139"/>
      <c r="H46" s="140"/>
      <c r="I46" s="139"/>
      <c r="J46" s="140"/>
      <c r="K46" s="139"/>
      <c r="L46" s="140"/>
      <c r="M46" s="139"/>
      <c r="N46" s="140"/>
      <c r="O46" s="139"/>
      <c r="P46" s="140"/>
      <c r="Q46" s="137"/>
      <c r="R46" s="305" t="s">
        <v>318</v>
      </c>
      <c r="S46" s="139"/>
      <c r="T46" s="305" t="s">
        <v>318</v>
      </c>
      <c r="U46" s="133"/>
      <c r="V46" s="167"/>
    </row>
    <row r="47" spans="1:22" ht="15.6" thickTop="1" thickBot="1">
      <c r="A47" s="132"/>
      <c r="B47" s="141"/>
      <c r="C47" s="139"/>
      <c r="D47" s="141"/>
      <c r="E47" s="133"/>
      <c r="F47" s="141"/>
      <c r="G47" s="139"/>
      <c r="H47" s="141"/>
      <c r="I47" s="139"/>
      <c r="J47" s="141" t="s">
        <v>354</v>
      </c>
      <c r="K47" s="139"/>
      <c r="L47" s="141"/>
      <c r="M47" s="139"/>
      <c r="N47" s="141"/>
      <c r="O47" s="139"/>
      <c r="P47" s="141"/>
      <c r="Q47" s="137"/>
      <c r="R47" s="141"/>
      <c r="S47" s="139"/>
      <c r="T47" s="141"/>
      <c r="U47" s="133"/>
      <c r="V47" s="280"/>
    </row>
    <row r="48" spans="1:22" ht="15" thickTop="1">
      <c r="A48" s="132"/>
      <c r="B48" s="358" t="s">
        <v>238</v>
      </c>
      <c r="C48" s="133"/>
      <c r="D48" s="358" t="s">
        <v>239</v>
      </c>
      <c r="E48" s="133"/>
      <c r="F48" s="358" t="s">
        <v>319</v>
      </c>
      <c r="G48" s="133"/>
      <c r="H48" s="358" t="s">
        <v>248</v>
      </c>
      <c r="I48" s="133"/>
      <c r="J48" s="358" t="s">
        <v>249</v>
      </c>
      <c r="K48" s="133"/>
      <c r="L48" s="144" t="s">
        <v>320</v>
      </c>
      <c r="M48" s="133"/>
      <c r="N48" s="144" t="s">
        <v>321</v>
      </c>
      <c r="O48" s="133"/>
      <c r="P48" s="144" t="s">
        <v>119</v>
      </c>
      <c r="Q48" s="133"/>
      <c r="R48" s="358" t="s">
        <v>211</v>
      </c>
      <c r="S48" s="133"/>
      <c r="T48" s="358" t="s">
        <v>224</v>
      </c>
      <c r="U48" s="133"/>
      <c r="V48" s="280"/>
    </row>
    <row r="49" spans="1:22">
      <c r="A49" s="132"/>
      <c r="B49" s="145" t="s">
        <v>212</v>
      </c>
      <c r="C49" s="133"/>
      <c r="D49" s="145" t="s">
        <v>212</v>
      </c>
      <c r="E49" s="133"/>
      <c r="F49" s="145" t="s">
        <v>212</v>
      </c>
      <c r="G49" s="133"/>
      <c r="H49" s="145" t="s">
        <v>150</v>
      </c>
      <c r="I49" s="133"/>
      <c r="J49" s="145" t="s">
        <v>150</v>
      </c>
      <c r="K49" s="133"/>
      <c r="L49" s="144" t="s">
        <v>90</v>
      </c>
      <c r="M49" s="133"/>
      <c r="N49" s="144" t="s">
        <v>294</v>
      </c>
      <c r="O49" s="133"/>
      <c r="P49" s="144" t="s">
        <v>90</v>
      </c>
      <c r="Q49" s="133"/>
      <c r="R49" s="145" t="s">
        <v>212</v>
      </c>
      <c r="S49" s="133"/>
      <c r="T49" s="145" t="s">
        <v>147</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184</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6" thickTop="1" thickBot="1">
      <c r="A54" s="132"/>
      <c r="B54" s="141" t="s">
        <v>318</v>
      </c>
      <c r="C54" s="139"/>
      <c r="D54" s="140"/>
      <c r="E54" s="139"/>
      <c r="F54" s="140"/>
      <c r="G54" s="139"/>
      <c r="H54" s="140"/>
      <c r="I54" s="139"/>
      <c r="J54" s="140"/>
      <c r="K54" s="139"/>
      <c r="L54" s="140"/>
      <c r="M54" s="139"/>
      <c r="N54" s="140"/>
      <c r="O54" s="162"/>
      <c r="P54" s="140"/>
      <c r="Q54" s="139"/>
      <c r="R54" s="140"/>
      <c r="S54" s="139"/>
      <c r="T54" s="140"/>
      <c r="V54" s="140"/>
    </row>
    <row r="55" spans="1:22" ht="15.6"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58" t="s">
        <v>225</v>
      </c>
      <c r="C56" s="133"/>
      <c r="D56" s="358" t="s">
        <v>250</v>
      </c>
      <c r="E56" s="133"/>
      <c r="F56" s="144" t="s">
        <v>322</v>
      </c>
      <c r="G56" s="133"/>
      <c r="H56" s="358" t="s">
        <v>323</v>
      </c>
      <c r="I56" s="133"/>
      <c r="J56" s="358" t="s">
        <v>324</v>
      </c>
      <c r="K56" s="133"/>
      <c r="L56" s="144" t="s">
        <v>325</v>
      </c>
      <c r="M56" s="133"/>
      <c r="N56" s="144" t="s">
        <v>326</v>
      </c>
      <c r="O56" s="133"/>
      <c r="P56" s="358" t="s">
        <v>327</v>
      </c>
      <c r="Q56" s="133"/>
      <c r="R56" s="358" t="s">
        <v>328</v>
      </c>
      <c r="S56" s="133"/>
      <c r="T56" s="358" t="s">
        <v>329</v>
      </c>
      <c r="V56" s="374" t="s">
        <v>1048</v>
      </c>
    </row>
    <row r="57" spans="1:22">
      <c r="A57" s="132"/>
      <c r="B57" s="145" t="s">
        <v>150</v>
      </c>
      <c r="C57" s="133"/>
      <c r="D57" s="145" t="s">
        <v>212</v>
      </c>
      <c r="E57" s="133"/>
      <c r="F57" s="144" t="s">
        <v>93</v>
      </c>
      <c r="G57" s="133"/>
      <c r="H57" s="145" t="s">
        <v>206</v>
      </c>
      <c r="I57" s="133"/>
      <c r="J57" s="145" t="s">
        <v>84</v>
      </c>
      <c r="K57" s="133"/>
      <c r="L57" s="144" t="s">
        <v>294</v>
      </c>
      <c r="M57" s="133"/>
      <c r="N57" s="144" t="s">
        <v>108</v>
      </c>
      <c r="O57" s="133"/>
      <c r="P57" s="145" t="s">
        <v>206</v>
      </c>
      <c r="Q57" s="133"/>
      <c r="R57" s="145" t="s">
        <v>147</v>
      </c>
      <c r="S57" s="133"/>
      <c r="T57" s="145" t="s">
        <v>147</v>
      </c>
      <c r="V57" s="375" t="s">
        <v>307</v>
      </c>
    </row>
    <row r="58" spans="1:22">
      <c r="A58" s="132"/>
      <c r="B58" s="154"/>
      <c r="C58" s="155"/>
      <c r="D58" s="155"/>
      <c r="E58" s="155"/>
      <c r="F58" s="154" t="s">
        <v>184</v>
      </c>
      <c r="G58" s="155"/>
      <c r="H58" s="155"/>
      <c r="I58" s="155"/>
      <c r="J58" s="155"/>
      <c r="K58" s="155"/>
      <c r="L58" s="155"/>
      <c r="M58" s="155"/>
      <c r="N58" s="155"/>
      <c r="O58" s="155"/>
      <c r="P58" s="155"/>
      <c r="Q58" s="155"/>
      <c r="R58" s="154" t="s">
        <v>330</v>
      </c>
      <c r="S58" s="133"/>
      <c r="T58" s="154" t="s">
        <v>184</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6" thickTop="1" thickBot="1">
      <c r="A62" s="132"/>
      <c r="B62" s="140"/>
      <c r="C62" s="139"/>
      <c r="D62" s="140"/>
      <c r="E62" s="139"/>
      <c r="F62" s="140"/>
      <c r="G62" s="139"/>
      <c r="H62" s="140"/>
      <c r="I62" s="139"/>
      <c r="J62" s="140"/>
      <c r="K62" s="139"/>
      <c r="L62" s="140"/>
      <c r="M62" s="139"/>
      <c r="N62" s="140"/>
      <c r="O62" s="162"/>
      <c r="P62" s="140"/>
      <c r="Q62" s="139"/>
      <c r="R62" s="140"/>
      <c r="S62" s="139"/>
      <c r="T62" s="305" t="s">
        <v>318</v>
      </c>
      <c r="V62" s="280"/>
    </row>
    <row r="63" spans="1:22" ht="15.6"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331</v>
      </c>
      <c r="C64" s="133"/>
      <c r="D64" s="358" t="s">
        <v>251</v>
      </c>
      <c r="E64" s="133"/>
      <c r="F64" s="358" t="s">
        <v>332</v>
      </c>
      <c r="G64" s="133"/>
      <c r="H64" s="358" t="s">
        <v>333</v>
      </c>
      <c r="I64" s="133"/>
      <c r="J64" s="144" t="s">
        <v>334</v>
      </c>
      <c r="K64" s="133"/>
      <c r="L64" s="358" t="s">
        <v>335</v>
      </c>
      <c r="M64" s="133"/>
      <c r="N64" s="358" t="s">
        <v>336</v>
      </c>
      <c r="O64" s="133"/>
      <c r="P64" s="144" t="s">
        <v>337</v>
      </c>
      <c r="Q64" s="133"/>
      <c r="R64" s="358" t="s">
        <v>252</v>
      </c>
      <c r="S64" s="133"/>
      <c r="T64" s="358" t="s">
        <v>223</v>
      </c>
      <c r="V64" s="280"/>
    </row>
    <row r="65" spans="1:22">
      <c r="A65" s="132"/>
      <c r="B65" s="144" t="s">
        <v>308</v>
      </c>
      <c r="C65" s="133"/>
      <c r="D65" s="145" t="s">
        <v>212</v>
      </c>
      <c r="E65" s="133"/>
      <c r="F65" s="145" t="s">
        <v>147</v>
      </c>
      <c r="G65" s="133"/>
      <c r="H65" s="145" t="s">
        <v>147</v>
      </c>
      <c r="I65" s="133"/>
      <c r="J65" s="144" t="s">
        <v>307</v>
      </c>
      <c r="K65" s="133"/>
      <c r="L65" s="145" t="s">
        <v>150</v>
      </c>
      <c r="M65" s="133"/>
      <c r="N65" s="145" t="s">
        <v>150</v>
      </c>
      <c r="O65" s="133"/>
      <c r="P65" s="144" t="s">
        <v>308</v>
      </c>
      <c r="Q65" s="133"/>
      <c r="R65" s="145" t="s">
        <v>147</v>
      </c>
      <c r="S65" s="133"/>
      <c r="T65" s="145" t="s">
        <v>212</v>
      </c>
      <c r="V65" s="280"/>
    </row>
    <row r="66" spans="1:22">
      <c r="A66" s="132"/>
      <c r="B66" s="154"/>
      <c r="C66" s="155"/>
      <c r="D66" s="155"/>
      <c r="E66" s="155"/>
      <c r="F66" s="155"/>
      <c r="G66" s="155"/>
      <c r="H66" s="154" t="s">
        <v>184</v>
      </c>
      <c r="I66" s="133"/>
      <c r="J66" s="144" t="s">
        <v>295</v>
      </c>
      <c r="K66" s="155"/>
      <c r="L66" s="154" t="s">
        <v>184</v>
      </c>
      <c r="M66" s="155"/>
      <c r="N66" s="155"/>
      <c r="O66" s="155"/>
      <c r="P66" s="155"/>
      <c r="Q66" s="155"/>
      <c r="R66" s="154" t="s">
        <v>338</v>
      </c>
      <c r="S66" s="155"/>
      <c r="T66" s="282" t="s">
        <v>339</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6" thickTop="1" thickBot="1">
      <c r="A70" s="132"/>
      <c r="B70" s="141" t="s">
        <v>318</v>
      </c>
      <c r="C70" s="139"/>
      <c r="D70" s="140"/>
      <c r="E70" s="139"/>
      <c r="F70" s="305" t="s">
        <v>318</v>
      </c>
      <c r="G70" s="133"/>
      <c r="H70" s="141"/>
      <c r="I70" s="139"/>
      <c r="J70" s="141" t="s">
        <v>318</v>
      </c>
      <c r="K70" s="139"/>
      <c r="L70" s="141" t="s">
        <v>318</v>
      </c>
      <c r="M70" s="139"/>
      <c r="N70" s="141" t="s">
        <v>318</v>
      </c>
      <c r="O70" s="139"/>
      <c r="P70" s="141" t="s">
        <v>318</v>
      </c>
      <c r="Q70" s="139"/>
      <c r="R70" s="141" t="s">
        <v>318</v>
      </c>
      <c r="S70" s="139"/>
      <c r="T70" s="141" t="s">
        <v>318</v>
      </c>
      <c r="V70" s="280"/>
    </row>
    <row r="71" spans="1:22" ht="15.6" thickTop="1" thickBot="1">
      <c r="A71" s="132"/>
      <c r="B71" s="141" t="s">
        <v>340</v>
      </c>
      <c r="C71" s="139"/>
      <c r="D71" s="141"/>
      <c r="E71" s="139"/>
      <c r="F71" s="141"/>
      <c r="G71" s="133"/>
      <c r="H71" s="141"/>
      <c r="I71" s="139"/>
      <c r="J71" s="141" t="s">
        <v>340</v>
      </c>
      <c r="K71" s="139"/>
      <c r="L71" s="141" t="s">
        <v>340</v>
      </c>
      <c r="M71" s="139"/>
      <c r="N71" s="141" t="s">
        <v>340</v>
      </c>
      <c r="O71" s="139"/>
      <c r="P71" s="141"/>
      <c r="Q71" s="139"/>
      <c r="R71" s="141"/>
      <c r="S71" s="139"/>
      <c r="T71" s="141" t="s">
        <v>340</v>
      </c>
      <c r="V71" s="280"/>
    </row>
    <row r="72" spans="1:22" ht="15" thickTop="1">
      <c r="A72" s="132"/>
      <c r="B72" s="358" t="s">
        <v>215</v>
      </c>
      <c r="C72" s="133"/>
      <c r="D72" s="144" t="s">
        <v>341</v>
      </c>
      <c r="E72" s="133"/>
      <c r="F72" s="358" t="s">
        <v>261</v>
      </c>
      <c r="G72" s="133"/>
      <c r="H72" s="144" t="s">
        <v>342</v>
      </c>
      <c r="I72" s="133"/>
      <c r="J72" s="358" t="s">
        <v>200</v>
      </c>
      <c r="K72" s="133"/>
      <c r="L72" s="358" t="s">
        <v>201</v>
      </c>
      <c r="M72" s="133"/>
      <c r="N72" s="358" t="s">
        <v>178</v>
      </c>
      <c r="O72" s="133"/>
      <c r="P72" s="358" t="s">
        <v>177</v>
      </c>
      <c r="Q72" s="133"/>
      <c r="R72" s="358" t="s">
        <v>176</v>
      </c>
      <c r="S72" s="133"/>
      <c r="T72" s="358" t="s">
        <v>173</v>
      </c>
      <c r="V72" s="280"/>
    </row>
    <row r="73" spans="1:22">
      <c r="A73" s="132"/>
      <c r="B73" s="145" t="s">
        <v>212</v>
      </c>
      <c r="C73" s="133"/>
      <c r="D73" s="144" t="s">
        <v>294</v>
      </c>
      <c r="E73" s="133"/>
      <c r="F73" s="145" t="s">
        <v>147</v>
      </c>
      <c r="G73" s="133"/>
      <c r="H73" s="144" t="s">
        <v>80</v>
      </c>
      <c r="I73" s="133"/>
      <c r="J73" s="145" t="s">
        <v>147</v>
      </c>
      <c r="K73" s="133"/>
      <c r="L73" s="145" t="s">
        <v>147</v>
      </c>
      <c r="M73" s="133"/>
      <c r="N73" s="145" t="s">
        <v>150</v>
      </c>
      <c r="O73" s="133"/>
      <c r="P73" s="145" t="s">
        <v>147</v>
      </c>
      <c r="Q73" s="133"/>
      <c r="R73" s="145" t="s">
        <v>147</v>
      </c>
      <c r="S73" s="133"/>
      <c r="T73" s="145" t="s">
        <v>147</v>
      </c>
      <c r="V73" s="167"/>
    </row>
    <row r="74" spans="1:22">
      <c r="A74" s="132"/>
      <c r="B74" s="282" t="s">
        <v>339</v>
      </c>
      <c r="C74" s="133"/>
      <c r="D74" s="155"/>
      <c r="E74" s="155"/>
      <c r="F74" s="155"/>
      <c r="G74" s="155"/>
      <c r="H74" s="144" t="s">
        <v>330</v>
      </c>
      <c r="I74" s="155"/>
      <c r="J74" s="144" t="s">
        <v>330</v>
      </c>
      <c r="K74" s="155"/>
      <c r="L74" s="144" t="s">
        <v>295</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6" thickTop="1" thickBot="1">
      <c r="A78" s="132"/>
      <c r="B78" s="186" t="s">
        <v>318</v>
      </c>
      <c r="D78" s="140"/>
      <c r="F78" s="305" t="s">
        <v>318</v>
      </c>
      <c r="G78" s="139"/>
      <c r="H78" s="140"/>
      <c r="I78" s="133"/>
      <c r="J78" s="141" t="s">
        <v>318</v>
      </c>
      <c r="K78" s="139"/>
      <c r="L78" s="141" t="s">
        <v>318</v>
      </c>
      <c r="M78" s="139"/>
      <c r="N78" s="141" t="s">
        <v>318</v>
      </c>
      <c r="O78" s="139"/>
      <c r="P78" s="141" t="s">
        <v>318</v>
      </c>
      <c r="Q78" s="139"/>
      <c r="R78" s="141" t="s">
        <v>318</v>
      </c>
      <c r="S78" s="139"/>
      <c r="T78" s="140"/>
      <c r="V78" s="167"/>
    </row>
    <row r="79" spans="1:22" ht="15.6" thickTop="1" thickBot="1">
      <c r="A79" s="132"/>
      <c r="B79" s="186" t="s">
        <v>340</v>
      </c>
      <c r="D79" s="141"/>
      <c r="F79" s="141"/>
      <c r="G79" s="139"/>
      <c r="H79" s="141"/>
      <c r="I79" s="133"/>
      <c r="J79" s="141" t="s">
        <v>340</v>
      </c>
      <c r="K79" s="139"/>
      <c r="L79" s="141"/>
      <c r="M79" s="139"/>
      <c r="N79" s="141"/>
      <c r="O79" s="139"/>
      <c r="P79" s="141" t="s">
        <v>340</v>
      </c>
      <c r="Q79" s="139"/>
      <c r="R79" s="141" t="s">
        <v>340</v>
      </c>
      <c r="S79" s="139"/>
      <c r="T79" s="141"/>
      <c r="V79" s="167"/>
    </row>
    <row r="80" spans="1:22" ht="15" thickTop="1">
      <c r="A80" s="132"/>
      <c r="B80" s="358" t="s">
        <v>195</v>
      </c>
      <c r="D80" s="144" t="s">
        <v>343</v>
      </c>
      <c r="F80" s="358" t="s">
        <v>227</v>
      </c>
      <c r="G80" s="133"/>
      <c r="H80" s="144" t="s">
        <v>344</v>
      </c>
      <c r="I80" s="133"/>
      <c r="J80" s="358" t="s">
        <v>179</v>
      </c>
      <c r="K80" s="133"/>
      <c r="L80" s="358" t="s">
        <v>180</v>
      </c>
      <c r="M80" s="133"/>
      <c r="N80" s="358" t="s">
        <v>203</v>
      </c>
      <c r="O80" s="133"/>
      <c r="P80" s="358" t="s">
        <v>204</v>
      </c>
      <c r="Q80" s="133"/>
      <c r="R80" s="358" t="s">
        <v>205</v>
      </c>
      <c r="S80" s="133"/>
      <c r="T80" s="144" t="s">
        <v>345</v>
      </c>
      <c r="V80" s="167"/>
    </row>
    <row r="81" spans="1:22">
      <c r="A81" s="132"/>
      <c r="B81" s="145" t="s">
        <v>147</v>
      </c>
      <c r="C81" s="133"/>
      <c r="D81" s="144" t="s">
        <v>283</v>
      </c>
      <c r="F81" s="145" t="s">
        <v>206</v>
      </c>
      <c r="G81" s="133"/>
      <c r="H81" s="144" t="s">
        <v>308</v>
      </c>
      <c r="I81" s="133"/>
      <c r="J81" s="145" t="s">
        <v>147</v>
      </c>
      <c r="K81" s="133"/>
      <c r="L81" s="145" t="s">
        <v>150</v>
      </c>
      <c r="M81" s="133"/>
      <c r="N81" s="145" t="s">
        <v>147</v>
      </c>
      <c r="O81" s="133"/>
      <c r="P81" s="145" t="s">
        <v>150</v>
      </c>
      <c r="Q81" s="133"/>
      <c r="R81" s="145" t="s">
        <v>206</v>
      </c>
      <c r="S81" s="133"/>
      <c r="T81" s="144" t="s">
        <v>283</v>
      </c>
      <c r="U81" s="133"/>
      <c r="V81" s="280"/>
    </row>
    <row r="82" spans="1:22">
      <c r="A82" s="187"/>
      <c r="F82" s="282" t="s">
        <v>346</v>
      </c>
      <c r="G82" s="133"/>
      <c r="H82" s="145"/>
      <c r="I82" s="133"/>
      <c r="J82" s="144"/>
      <c r="K82" s="133"/>
      <c r="L82" s="144" t="s">
        <v>330</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6" thickTop="1" thickBot="1">
      <c r="A86" s="187"/>
      <c r="B86" s="140"/>
      <c r="C86" s="133"/>
      <c r="D86" s="140"/>
      <c r="F86" s="141" t="s">
        <v>318</v>
      </c>
      <c r="G86" s="139"/>
      <c r="H86" s="140"/>
      <c r="I86" s="133"/>
      <c r="J86" s="140"/>
      <c r="K86" s="139"/>
      <c r="L86" s="141" t="s">
        <v>318</v>
      </c>
      <c r="M86" s="139"/>
      <c r="N86" s="140"/>
      <c r="O86" s="139"/>
      <c r="P86" s="140"/>
      <c r="Q86" s="139"/>
      <c r="R86" s="141" t="s">
        <v>318</v>
      </c>
      <c r="S86" s="139"/>
      <c r="T86" s="138"/>
      <c r="U86" s="162"/>
      <c r="V86" s="167"/>
    </row>
    <row r="87" spans="1:22" ht="15.6" thickTop="1" thickBot="1">
      <c r="A87" s="187"/>
      <c r="B87" s="141"/>
      <c r="C87" s="133"/>
      <c r="D87" s="141"/>
      <c r="F87" s="141" t="s">
        <v>340</v>
      </c>
      <c r="G87" s="139"/>
      <c r="H87" s="141"/>
      <c r="I87" s="133"/>
      <c r="J87" s="141"/>
      <c r="K87" s="139"/>
      <c r="L87" s="141"/>
      <c r="M87" s="139"/>
      <c r="N87" s="141"/>
      <c r="O87" s="139"/>
      <c r="P87" s="141"/>
      <c r="Q87" s="139"/>
      <c r="R87" s="141"/>
      <c r="S87" s="139"/>
      <c r="T87" s="141"/>
      <c r="U87" s="162"/>
      <c r="V87" s="167"/>
    </row>
    <row r="88" spans="1:22" ht="15" thickTop="1">
      <c r="A88" s="187"/>
      <c r="B88" s="358" t="s">
        <v>347</v>
      </c>
      <c r="C88" s="133"/>
      <c r="D88" s="144" t="s">
        <v>348</v>
      </c>
      <c r="F88" s="358" t="s">
        <v>217</v>
      </c>
      <c r="G88" s="133"/>
      <c r="H88" s="358" t="s">
        <v>349</v>
      </c>
      <c r="I88" s="133"/>
      <c r="J88" s="144" t="s">
        <v>350</v>
      </c>
      <c r="K88" s="133"/>
      <c r="L88" s="144" t="s">
        <v>221</v>
      </c>
      <c r="M88" s="133"/>
      <c r="N88" s="144" t="s">
        <v>351</v>
      </c>
      <c r="O88" s="133"/>
      <c r="P88" s="358" t="s">
        <v>231</v>
      </c>
      <c r="Q88" s="133"/>
      <c r="R88" s="358" t="s">
        <v>232</v>
      </c>
      <c r="S88" s="133"/>
      <c r="T88" s="358" t="s">
        <v>233</v>
      </c>
      <c r="U88" s="133"/>
      <c r="V88" s="167"/>
    </row>
    <row r="89" spans="1:22">
      <c r="A89" s="187"/>
      <c r="B89" s="145" t="s">
        <v>150</v>
      </c>
      <c r="C89" s="133"/>
      <c r="D89" s="144" t="s">
        <v>307</v>
      </c>
      <c r="F89" s="145" t="s">
        <v>212</v>
      </c>
      <c r="G89" s="133"/>
      <c r="H89" s="145" t="s">
        <v>147</v>
      </c>
      <c r="I89" s="133"/>
      <c r="J89" s="144" t="s">
        <v>352</v>
      </c>
      <c r="K89" s="133"/>
      <c r="L89" s="144" t="s">
        <v>212</v>
      </c>
      <c r="M89" s="133"/>
      <c r="N89" s="144" t="s">
        <v>294</v>
      </c>
      <c r="O89" s="133"/>
      <c r="P89" s="145" t="s">
        <v>147</v>
      </c>
      <c r="Q89" s="133"/>
      <c r="R89" s="145" t="s">
        <v>150</v>
      </c>
      <c r="S89" s="133"/>
      <c r="T89" s="145" t="s">
        <v>147</v>
      </c>
      <c r="U89" s="133"/>
      <c r="V89" s="167"/>
    </row>
    <row r="90" spans="1:22">
      <c r="A90" s="187"/>
      <c r="F90" s="282" t="s">
        <v>346</v>
      </c>
      <c r="G90" s="133"/>
      <c r="H90" s="144" t="s">
        <v>353</v>
      </c>
      <c r="I90" s="133"/>
      <c r="J90" s="144"/>
      <c r="K90" s="133"/>
      <c r="L90" s="144" t="s">
        <v>330</v>
      </c>
      <c r="M90" s="133"/>
      <c r="N90" s="144"/>
      <c r="O90" s="133"/>
      <c r="P90" s="144" t="s">
        <v>295</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6" thickTop="1" thickBot="1">
      <c r="A94" s="189"/>
      <c r="B94" s="138" t="s">
        <v>192</v>
      </c>
      <c r="C94" s="162"/>
      <c r="D94" s="140"/>
      <c r="F94" s="140"/>
      <c r="G94" s="139"/>
      <c r="H94" s="140"/>
      <c r="I94" s="133"/>
      <c r="J94" s="140"/>
      <c r="K94" s="139"/>
      <c r="L94" s="141"/>
      <c r="M94" s="139"/>
      <c r="N94" s="141" t="s">
        <v>318</v>
      </c>
      <c r="O94" s="139"/>
      <c r="P94" s="140"/>
      <c r="Q94" s="139"/>
      <c r="R94" s="140"/>
      <c r="S94" s="139"/>
      <c r="T94" s="141" t="s">
        <v>318</v>
      </c>
      <c r="V94" s="280"/>
    </row>
    <row r="95" spans="1:22" ht="15.6" thickTop="1" thickBot="1">
      <c r="A95" s="189"/>
      <c r="B95" s="141" t="s">
        <v>354</v>
      </c>
      <c r="C95" s="162"/>
      <c r="D95" s="141"/>
      <c r="F95" s="141"/>
      <c r="G95" s="139"/>
      <c r="H95" s="141"/>
      <c r="I95" s="133"/>
      <c r="J95" s="141"/>
      <c r="K95" s="139"/>
      <c r="L95" s="141"/>
      <c r="M95" s="139"/>
      <c r="N95" s="141"/>
      <c r="O95" s="139"/>
      <c r="P95" s="141"/>
      <c r="Q95" s="139"/>
      <c r="R95" s="141"/>
      <c r="S95" s="139"/>
      <c r="T95" s="141"/>
      <c r="V95" s="280"/>
    </row>
    <row r="96" spans="1:22" ht="15" thickTop="1">
      <c r="A96" s="132"/>
      <c r="B96" s="358" t="s">
        <v>191</v>
      </c>
      <c r="C96" s="133"/>
      <c r="D96" s="358" t="s">
        <v>235</v>
      </c>
      <c r="F96" s="144" t="s">
        <v>355</v>
      </c>
      <c r="G96" s="133"/>
      <c r="H96" s="358" t="s">
        <v>356</v>
      </c>
      <c r="I96" s="133"/>
      <c r="J96" s="358" t="s">
        <v>357</v>
      </c>
      <c r="K96" s="133"/>
      <c r="L96" s="144" t="s">
        <v>358</v>
      </c>
      <c r="M96" s="133"/>
      <c r="N96" s="358" t="s">
        <v>189</v>
      </c>
      <c r="O96" s="133"/>
      <c r="P96" s="144" t="s">
        <v>359</v>
      </c>
      <c r="Q96" s="133"/>
      <c r="R96" s="144" t="s">
        <v>360</v>
      </c>
      <c r="S96" s="133"/>
      <c r="T96" s="358" t="s">
        <v>222</v>
      </c>
      <c r="V96" s="280"/>
    </row>
    <row r="97" spans="1:22">
      <c r="A97" s="132"/>
      <c r="B97" s="145" t="s">
        <v>147</v>
      </c>
      <c r="C97" s="133"/>
      <c r="D97" s="145" t="s">
        <v>206</v>
      </c>
      <c r="F97" s="144" t="s">
        <v>352</v>
      </c>
      <c r="G97" s="133"/>
      <c r="H97" s="145" t="s">
        <v>147</v>
      </c>
      <c r="I97" s="133"/>
      <c r="J97" s="145" t="s">
        <v>150</v>
      </c>
      <c r="K97" s="133"/>
      <c r="L97" s="144" t="s">
        <v>283</v>
      </c>
      <c r="M97" s="133"/>
      <c r="N97" s="145" t="s">
        <v>150</v>
      </c>
      <c r="O97" s="133"/>
      <c r="P97" s="144" t="s">
        <v>361</v>
      </c>
      <c r="Q97" s="133"/>
      <c r="R97" s="144" t="s">
        <v>283</v>
      </c>
      <c r="S97" s="133"/>
      <c r="T97" s="145" t="s">
        <v>147</v>
      </c>
      <c r="V97" s="280"/>
    </row>
    <row r="98" spans="1:22">
      <c r="A98" s="132"/>
      <c r="F98" s="145"/>
      <c r="G98" s="133"/>
      <c r="H98" s="144" t="s">
        <v>184</v>
      </c>
      <c r="I98" s="133"/>
      <c r="J98" s="144"/>
      <c r="K98" s="133"/>
      <c r="L98" s="145"/>
      <c r="M98" s="133"/>
      <c r="N98" s="145"/>
      <c r="O98" s="133"/>
      <c r="P98" s="144"/>
      <c r="Q98" s="133"/>
      <c r="R98" s="145"/>
      <c r="S98" s="133"/>
      <c r="T98" s="282" t="s">
        <v>339</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77"/>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78"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6" thickTop="1" thickBot="1">
      <c r="A102" s="132"/>
      <c r="B102" s="140"/>
      <c r="C102" s="139"/>
      <c r="D102" s="141" t="s">
        <v>318</v>
      </c>
      <c r="F102" s="141" t="s">
        <v>318</v>
      </c>
      <c r="G102" s="139"/>
      <c r="H102" s="140"/>
      <c r="I102" s="139"/>
      <c r="J102" s="141" t="s">
        <v>318</v>
      </c>
      <c r="K102" s="133"/>
      <c r="L102" s="138"/>
      <c r="M102" s="139"/>
      <c r="N102" s="140"/>
      <c r="O102" s="139"/>
      <c r="P102" s="140"/>
      <c r="Q102" s="139"/>
      <c r="R102" s="140"/>
      <c r="S102" s="139"/>
      <c r="T102" s="140"/>
      <c r="U102" s="133"/>
      <c r="V102" s="280"/>
    </row>
    <row r="103" spans="1:22" ht="15.6" thickTop="1" thickBot="1">
      <c r="A103" s="132"/>
      <c r="B103" s="141"/>
      <c r="C103" s="139"/>
      <c r="D103" s="141"/>
      <c r="F103" s="141"/>
      <c r="G103" s="139"/>
      <c r="H103" s="141"/>
      <c r="I103" s="139"/>
      <c r="J103" s="141"/>
      <c r="K103" s="133"/>
      <c r="L103" s="141" t="s">
        <v>354</v>
      </c>
      <c r="M103" s="139"/>
      <c r="N103" s="141"/>
      <c r="O103" s="139"/>
      <c r="P103" s="141"/>
      <c r="Q103" s="139"/>
      <c r="R103" s="141"/>
      <c r="S103" s="139"/>
      <c r="T103" s="141"/>
      <c r="U103" s="133"/>
      <c r="V103" s="280"/>
    </row>
    <row r="104" spans="1:22" ht="15" thickTop="1">
      <c r="A104" s="132"/>
      <c r="B104" s="144" t="s">
        <v>362</v>
      </c>
      <c r="C104" s="133"/>
      <c r="D104" s="358" t="s">
        <v>226</v>
      </c>
      <c r="F104" s="358" t="s">
        <v>208</v>
      </c>
      <c r="G104" s="133"/>
      <c r="H104" s="144" t="s">
        <v>363</v>
      </c>
      <c r="I104" s="133"/>
      <c r="J104" s="358" t="s">
        <v>241</v>
      </c>
      <c r="K104" s="133"/>
      <c r="L104" s="358" t="s">
        <v>244</v>
      </c>
      <c r="M104" s="133"/>
      <c r="N104" s="144" t="s">
        <v>364</v>
      </c>
      <c r="O104" s="133"/>
      <c r="P104" s="144" t="s">
        <v>365</v>
      </c>
      <c r="Q104" s="133"/>
      <c r="R104" s="358" t="s">
        <v>366</v>
      </c>
      <c r="S104" s="133"/>
      <c r="T104" s="144" t="s">
        <v>367</v>
      </c>
      <c r="U104" s="133"/>
      <c r="V104" s="280"/>
    </row>
    <row r="105" spans="1:22">
      <c r="A105" s="132"/>
      <c r="B105" s="144" t="s">
        <v>307</v>
      </c>
      <c r="C105" s="133"/>
      <c r="D105" s="145" t="s">
        <v>206</v>
      </c>
      <c r="F105" s="145" t="s">
        <v>147</v>
      </c>
      <c r="G105" s="133"/>
      <c r="H105" s="144" t="s">
        <v>283</v>
      </c>
      <c r="I105" s="133"/>
      <c r="J105" s="145" t="s">
        <v>150</v>
      </c>
      <c r="K105" s="133"/>
      <c r="L105" s="145" t="s">
        <v>212</v>
      </c>
      <c r="M105" s="133"/>
      <c r="N105" s="144" t="s">
        <v>283</v>
      </c>
      <c r="O105" s="133"/>
      <c r="P105" s="144" t="s">
        <v>283</v>
      </c>
      <c r="Q105" s="133"/>
      <c r="R105" s="145" t="s">
        <v>212</v>
      </c>
      <c r="S105" s="133"/>
      <c r="T105" s="144" t="s">
        <v>283</v>
      </c>
      <c r="U105" s="133"/>
      <c r="V105" s="280"/>
    </row>
    <row r="106" spans="1:22">
      <c r="A106" s="132"/>
      <c r="B106" s="282" t="s">
        <v>339</v>
      </c>
      <c r="C106" s="133"/>
      <c r="D106" s="282" t="s">
        <v>339</v>
      </c>
      <c r="F106" s="282" t="s">
        <v>339</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6"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6"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58" t="s">
        <v>368</v>
      </c>
      <c r="C113" s="133"/>
      <c r="D113" s="144" t="s">
        <v>369</v>
      </c>
      <c r="F113" s="358" t="s">
        <v>370</v>
      </c>
      <c r="G113" s="133"/>
      <c r="H113" s="358" t="s">
        <v>254</v>
      </c>
      <c r="I113" s="133"/>
      <c r="J113" s="358" t="s">
        <v>371</v>
      </c>
      <c r="K113" s="133"/>
      <c r="L113" s="144" t="s">
        <v>372</v>
      </c>
      <c r="M113" s="133"/>
      <c r="N113" s="144" t="s">
        <v>373</v>
      </c>
      <c r="O113" s="133"/>
      <c r="P113" s="144" t="s">
        <v>374</v>
      </c>
      <c r="Q113" s="133"/>
      <c r="R113" s="144" t="s">
        <v>375</v>
      </c>
      <c r="S113" s="133"/>
      <c r="T113" s="144" t="s">
        <v>376</v>
      </c>
      <c r="U113" s="133"/>
      <c r="V113" s="280"/>
    </row>
    <row r="114" spans="1:22">
      <c r="A114" s="132"/>
      <c r="B114" s="145" t="s">
        <v>212</v>
      </c>
      <c r="C114" s="133"/>
      <c r="D114" s="144" t="s">
        <v>307</v>
      </c>
      <c r="F114" s="145" t="s">
        <v>147</v>
      </c>
      <c r="G114" s="133"/>
      <c r="H114" s="145" t="s">
        <v>147</v>
      </c>
      <c r="I114" s="133"/>
      <c r="J114" s="145" t="s">
        <v>147</v>
      </c>
      <c r="K114" s="133"/>
      <c r="L114" s="144" t="s">
        <v>283</v>
      </c>
      <c r="M114" s="133"/>
      <c r="N114" s="144" t="s">
        <v>283</v>
      </c>
      <c r="O114" s="133"/>
      <c r="P114" s="144" t="s">
        <v>377</v>
      </c>
      <c r="Q114" s="133"/>
      <c r="R114" s="144" t="s">
        <v>377</v>
      </c>
      <c r="S114" s="133"/>
      <c r="T114" s="144" t="s">
        <v>308</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81">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6" thickTop="1" thickBot="1">
      <c r="A118" s="132"/>
      <c r="B118" s="140"/>
      <c r="C118" s="139"/>
      <c r="D118" s="140"/>
      <c r="F118" s="141" t="s">
        <v>318</v>
      </c>
      <c r="G118" s="139"/>
      <c r="H118" s="140"/>
      <c r="I118" s="139"/>
      <c r="J118" s="141" t="s">
        <v>318</v>
      </c>
      <c r="K118" s="133"/>
      <c r="L118" s="141" t="s">
        <v>318</v>
      </c>
      <c r="N118" s="140"/>
      <c r="O118" s="139"/>
      <c r="P118" s="140"/>
      <c r="Q118" s="139"/>
      <c r="R118" s="140"/>
      <c r="S118" s="139"/>
      <c r="T118" s="140"/>
      <c r="U118" s="139"/>
      <c r="V118" s="197"/>
    </row>
    <row r="119" spans="1:22" ht="15.6"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58" t="s">
        <v>378</v>
      </c>
      <c r="C120" s="133"/>
      <c r="D120" s="144" t="s">
        <v>379</v>
      </c>
      <c r="F120" s="358" t="s">
        <v>181</v>
      </c>
      <c r="G120" s="133"/>
      <c r="H120" s="144" t="s">
        <v>380</v>
      </c>
      <c r="I120" s="133"/>
      <c r="J120" s="358" t="s">
        <v>258</v>
      </c>
      <c r="K120" s="133"/>
      <c r="L120" s="358" t="s">
        <v>240</v>
      </c>
      <c r="N120" s="144" t="s">
        <v>381</v>
      </c>
      <c r="O120" s="133"/>
      <c r="P120" s="358" t="s">
        <v>382</v>
      </c>
      <c r="Q120" s="133"/>
      <c r="R120" s="144" t="s">
        <v>383</v>
      </c>
      <c r="S120" s="133"/>
      <c r="T120" s="145" t="s">
        <v>384</v>
      </c>
      <c r="U120" s="133"/>
      <c r="V120" s="382" t="s">
        <v>385</v>
      </c>
    </row>
    <row r="121" spans="1:22">
      <c r="A121" s="132"/>
      <c r="B121" s="145" t="s">
        <v>212</v>
      </c>
      <c r="C121" s="133"/>
      <c r="D121" s="144" t="s">
        <v>84</v>
      </c>
      <c r="F121" s="145" t="s">
        <v>147</v>
      </c>
      <c r="G121" s="133"/>
      <c r="H121" s="144" t="s">
        <v>283</v>
      </c>
      <c r="I121" s="133"/>
      <c r="J121" s="145" t="s">
        <v>147</v>
      </c>
      <c r="K121" s="133"/>
      <c r="L121" s="145" t="s">
        <v>147</v>
      </c>
      <c r="N121" s="144" t="s">
        <v>283</v>
      </c>
      <c r="O121" s="133"/>
      <c r="P121" s="145" t="s">
        <v>150</v>
      </c>
      <c r="Q121" s="133"/>
      <c r="R121" s="144" t="s">
        <v>283</v>
      </c>
      <c r="S121" s="133"/>
      <c r="T121" s="145" t="s">
        <v>147</v>
      </c>
      <c r="U121" s="133"/>
      <c r="V121" s="180" t="s">
        <v>283</v>
      </c>
    </row>
    <row r="122" spans="1:22">
      <c r="A122" s="132"/>
      <c r="B122" s="144"/>
      <c r="C122" s="133"/>
      <c r="D122" s="145"/>
      <c r="E122" s="133"/>
      <c r="F122" s="145"/>
      <c r="G122" s="133"/>
      <c r="H122" s="144"/>
      <c r="I122" s="133"/>
      <c r="J122" s="193"/>
      <c r="K122" s="193"/>
      <c r="L122" s="193"/>
      <c r="M122" s="193"/>
      <c r="O122" s="193"/>
      <c r="P122" s="144" t="s">
        <v>184</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6" thickTop="1" thickBot="1">
      <c r="A126" s="132"/>
      <c r="B126" s="141"/>
      <c r="C126" s="133"/>
      <c r="D126" s="140"/>
      <c r="F126" s="140"/>
      <c r="H126" s="140"/>
      <c r="J126" s="140"/>
      <c r="L126" s="141" t="s">
        <v>318</v>
      </c>
      <c r="N126" s="140"/>
      <c r="P126" s="140"/>
      <c r="Q126" s="133"/>
      <c r="R126" s="140"/>
      <c r="T126" s="140"/>
      <c r="U126" s="133"/>
      <c r="V126" s="197"/>
    </row>
    <row r="127" spans="1:22" ht="15.6" thickTop="1" thickBot="1">
      <c r="A127" s="132"/>
      <c r="B127" s="141" t="s">
        <v>354</v>
      </c>
      <c r="C127" s="133"/>
      <c r="D127" s="141"/>
      <c r="F127" s="141"/>
      <c r="H127" s="141"/>
      <c r="J127" s="141"/>
      <c r="L127" s="141"/>
      <c r="N127" s="141"/>
      <c r="P127" s="141"/>
      <c r="Q127" s="133"/>
      <c r="R127" s="141"/>
      <c r="T127" s="141"/>
      <c r="U127" s="133"/>
      <c r="V127" s="198"/>
    </row>
    <row r="128" spans="1:22" ht="15" thickTop="1">
      <c r="A128" s="132"/>
      <c r="B128" s="358" t="s">
        <v>253</v>
      </c>
      <c r="C128" s="191"/>
      <c r="D128" s="358" t="s">
        <v>386</v>
      </c>
      <c r="F128" s="358" t="s">
        <v>387</v>
      </c>
      <c r="H128" s="358" t="s">
        <v>388</v>
      </c>
      <c r="J128" s="358" t="s">
        <v>389</v>
      </c>
      <c r="L128" s="358" t="s">
        <v>243</v>
      </c>
      <c r="N128" s="358" t="s">
        <v>390</v>
      </c>
      <c r="P128" s="358" t="s">
        <v>391</v>
      </c>
      <c r="Q128" s="133"/>
      <c r="R128" s="358" t="s">
        <v>392</v>
      </c>
      <c r="T128" s="358" t="s">
        <v>255</v>
      </c>
      <c r="U128" s="133"/>
      <c r="V128" s="382" t="s">
        <v>393</v>
      </c>
    </row>
    <row r="129" spans="1:22">
      <c r="A129" s="132"/>
      <c r="B129" s="145" t="s">
        <v>147</v>
      </c>
      <c r="C129" s="133"/>
      <c r="D129" s="145" t="s">
        <v>307</v>
      </c>
      <c r="F129" s="145" t="s">
        <v>147</v>
      </c>
      <c r="H129" s="145" t="s">
        <v>394</v>
      </c>
      <c r="J129" s="145" t="s">
        <v>80</v>
      </c>
      <c r="L129" s="145" t="s">
        <v>206</v>
      </c>
      <c r="N129" s="145" t="s">
        <v>147</v>
      </c>
      <c r="P129" s="145" t="s">
        <v>147</v>
      </c>
      <c r="Q129" s="133"/>
      <c r="R129" s="145" t="s">
        <v>206</v>
      </c>
      <c r="T129" s="145" t="s">
        <v>150</v>
      </c>
      <c r="U129" s="133"/>
      <c r="V129" s="180" t="s">
        <v>150</v>
      </c>
    </row>
    <row r="130" spans="1:22">
      <c r="A130" s="132"/>
      <c r="B130" s="145"/>
      <c r="C130" s="133"/>
      <c r="D130" s="145"/>
      <c r="F130" s="383" t="s">
        <v>184</v>
      </c>
      <c r="H130" s="145"/>
      <c r="J130" s="145"/>
      <c r="L130" s="145"/>
      <c r="N130" s="145"/>
      <c r="P130" s="383" t="s">
        <v>184</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6" thickTop="1" thickBot="1">
      <c r="A135" s="132"/>
      <c r="B135" s="140"/>
      <c r="C135" s="133"/>
      <c r="D135" s="140"/>
      <c r="F135" s="140"/>
      <c r="H135" s="140"/>
      <c r="J135" s="140"/>
      <c r="L135" s="140"/>
      <c r="N135" s="140"/>
      <c r="P135" s="140"/>
      <c r="Q135" s="133"/>
      <c r="R135" s="140"/>
      <c r="T135" s="140"/>
      <c r="U135" s="133"/>
      <c r="V135" s="197"/>
    </row>
    <row r="136" spans="1:22" ht="15.6" thickTop="1" thickBot="1">
      <c r="A136" s="132"/>
      <c r="B136" s="141"/>
      <c r="C136" s="133"/>
      <c r="D136" s="141"/>
      <c r="F136" s="141"/>
      <c r="H136" s="141"/>
      <c r="J136" s="141"/>
      <c r="L136" s="141"/>
      <c r="N136" s="141"/>
      <c r="P136" s="141"/>
      <c r="Q136" s="133"/>
      <c r="R136" s="141"/>
      <c r="T136" s="141"/>
      <c r="U136" s="133"/>
      <c r="V136" s="198"/>
    </row>
    <row r="137" spans="1:22" ht="15" thickTop="1">
      <c r="A137" s="132"/>
      <c r="B137" s="358" t="s">
        <v>395</v>
      </c>
      <c r="C137" s="191"/>
      <c r="D137" s="358" t="s">
        <v>396</v>
      </c>
      <c r="F137" s="358" t="s">
        <v>397</v>
      </c>
      <c r="H137" s="358" t="s">
        <v>398</v>
      </c>
      <c r="J137" s="384" t="s">
        <v>399</v>
      </c>
      <c r="L137" s="358" t="s">
        <v>400</v>
      </c>
      <c r="N137" s="358" t="s">
        <v>401</v>
      </c>
      <c r="P137" s="358" t="s">
        <v>402</v>
      </c>
      <c r="Q137" s="133"/>
      <c r="R137" s="358" t="s">
        <v>403</v>
      </c>
      <c r="T137" s="358" t="s">
        <v>404</v>
      </c>
      <c r="U137" s="133"/>
      <c r="V137" s="382" t="s">
        <v>405</v>
      </c>
    </row>
    <row r="138" spans="1:22">
      <c r="A138" s="132"/>
      <c r="B138" s="145" t="s">
        <v>308</v>
      </c>
      <c r="C138" s="133"/>
      <c r="D138" s="145" t="s">
        <v>147</v>
      </c>
      <c r="F138" s="145" t="s">
        <v>147</v>
      </c>
      <c r="H138" s="145" t="s">
        <v>283</v>
      </c>
      <c r="J138" s="145" t="s">
        <v>206</v>
      </c>
      <c r="L138" s="145" t="s">
        <v>406</v>
      </c>
      <c r="N138" s="145" t="s">
        <v>108</v>
      </c>
      <c r="P138" s="145" t="s">
        <v>147</v>
      </c>
      <c r="Q138" s="133"/>
      <c r="R138" s="145" t="s">
        <v>147</v>
      </c>
      <c r="T138" s="145" t="s">
        <v>80</v>
      </c>
      <c r="U138" s="133"/>
      <c r="V138" s="180" t="s">
        <v>206</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6" thickTop="1" thickBot="1">
      <c r="A144" s="132"/>
      <c r="B144" s="140"/>
      <c r="C144" s="133"/>
      <c r="D144" s="140"/>
      <c r="F144" s="140"/>
      <c r="H144" s="140"/>
      <c r="J144" s="140"/>
      <c r="L144" s="140"/>
      <c r="N144" s="140"/>
      <c r="P144" s="140"/>
      <c r="Q144" s="133"/>
      <c r="R144" s="140"/>
      <c r="T144" s="140"/>
      <c r="U144" s="133"/>
      <c r="V144" s="197"/>
    </row>
    <row r="145" spans="1:22" ht="15.6" thickTop="1" thickBot="1">
      <c r="A145" s="132"/>
      <c r="B145" s="141"/>
      <c r="C145" s="133"/>
      <c r="D145" s="141"/>
      <c r="F145" s="141"/>
      <c r="H145" s="141"/>
      <c r="J145" s="141"/>
      <c r="L145" s="141"/>
      <c r="N145" s="141"/>
      <c r="P145" s="141"/>
      <c r="Q145" s="133"/>
      <c r="R145" s="141"/>
      <c r="T145" s="141"/>
      <c r="U145" s="133"/>
      <c r="V145" s="198"/>
    </row>
    <row r="146" spans="1:22" ht="15" thickTop="1">
      <c r="A146" s="132"/>
      <c r="B146" s="358" t="s">
        <v>407</v>
      </c>
      <c r="C146" s="191"/>
      <c r="D146" s="358" t="s">
        <v>408</v>
      </c>
      <c r="F146" s="358" t="s">
        <v>409</v>
      </c>
      <c r="H146" s="358" t="s">
        <v>410</v>
      </c>
      <c r="J146" s="358" t="s">
        <v>411</v>
      </c>
      <c r="L146" s="358" t="s">
        <v>412</v>
      </c>
      <c r="N146" s="384" t="s">
        <v>413</v>
      </c>
      <c r="P146" s="358" t="s">
        <v>414</v>
      </c>
      <c r="Q146" s="133"/>
      <c r="R146" s="358" t="s">
        <v>415</v>
      </c>
      <c r="T146" s="384" t="s">
        <v>416</v>
      </c>
      <c r="U146" s="133"/>
      <c r="V146" s="382" t="s">
        <v>417</v>
      </c>
    </row>
    <row r="147" spans="1:22">
      <c r="A147" s="132"/>
      <c r="B147" s="145" t="s">
        <v>97</v>
      </c>
      <c r="C147" s="133"/>
      <c r="D147" s="145" t="s">
        <v>88</v>
      </c>
      <c r="F147" s="145" t="s">
        <v>97</v>
      </c>
      <c r="H147" s="145" t="s">
        <v>147</v>
      </c>
      <c r="J147" s="145" t="s">
        <v>147</v>
      </c>
      <c r="L147" s="145" t="s">
        <v>90</v>
      </c>
      <c r="N147" s="145" t="s">
        <v>150</v>
      </c>
      <c r="P147" s="145" t="s">
        <v>93</v>
      </c>
      <c r="Q147" s="133"/>
      <c r="R147" s="145" t="s">
        <v>108</v>
      </c>
      <c r="T147" s="145" t="s">
        <v>212</v>
      </c>
      <c r="U147" s="133"/>
      <c r="V147" s="180" t="s">
        <v>80</v>
      </c>
    </row>
    <row r="148" spans="1:22">
      <c r="A148" s="132"/>
      <c r="B148" s="145"/>
      <c r="C148" s="133"/>
      <c r="D148" s="383" t="s">
        <v>184</v>
      </c>
      <c r="F148" s="383" t="s">
        <v>184</v>
      </c>
      <c r="H148" s="145"/>
      <c r="J148" s="145"/>
      <c r="L148" s="145"/>
      <c r="N148" s="145"/>
      <c r="P148" s="145"/>
      <c r="Q148" s="133"/>
      <c r="R148" s="145"/>
      <c r="T148" s="145"/>
      <c r="U148" s="133"/>
      <c r="V148" s="385" t="s">
        <v>418</v>
      </c>
    </row>
    <row r="149" spans="1:22">
      <c r="A149" s="132"/>
      <c r="B149" s="145"/>
      <c r="C149" s="133"/>
      <c r="D149" s="383"/>
      <c r="F149" s="383"/>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6" thickTop="1" thickBot="1">
      <c r="A153" s="132"/>
      <c r="B153" s="140"/>
      <c r="C153" s="133"/>
      <c r="D153" s="140"/>
      <c r="F153" s="140"/>
      <c r="H153" s="140"/>
      <c r="J153" s="140"/>
      <c r="L153" s="140"/>
      <c r="N153" s="140"/>
      <c r="P153" s="140"/>
      <c r="Q153" s="133"/>
      <c r="R153" s="140"/>
      <c r="T153" s="140"/>
      <c r="U153" s="133"/>
      <c r="V153" s="197"/>
    </row>
    <row r="154" spans="1:22" ht="15.6" thickTop="1" thickBot="1">
      <c r="A154" s="132"/>
      <c r="B154" s="141"/>
      <c r="C154" s="133"/>
      <c r="D154" s="141"/>
      <c r="F154" s="141"/>
      <c r="H154" s="141"/>
      <c r="J154" s="141"/>
      <c r="L154" s="141"/>
      <c r="N154" s="141"/>
      <c r="P154" s="141"/>
      <c r="Q154" s="133"/>
      <c r="R154" s="141"/>
      <c r="T154" s="141"/>
      <c r="U154" s="133"/>
      <c r="V154" s="198"/>
    </row>
    <row r="155" spans="1:22" ht="15" thickTop="1">
      <c r="A155" s="132"/>
      <c r="B155" s="358" t="s">
        <v>419</v>
      </c>
      <c r="C155" s="191"/>
      <c r="D155" s="358" t="s">
        <v>420</v>
      </c>
      <c r="F155" s="358" t="s">
        <v>421</v>
      </c>
      <c r="H155" s="358" t="s">
        <v>422</v>
      </c>
      <c r="J155" s="358" t="s">
        <v>423</v>
      </c>
      <c r="L155" s="358" t="s">
        <v>424</v>
      </c>
      <c r="N155" s="358" t="s">
        <v>425</v>
      </c>
      <c r="P155" s="358" t="s">
        <v>426</v>
      </c>
      <c r="Q155" s="133"/>
      <c r="R155" s="384" t="s">
        <v>427</v>
      </c>
      <c r="T155" s="358" t="s">
        <v>428</v>
      </c>
      <c r="U155" s="133"/>
      <c r="V155" s="386" t="s">
        <v>429</v>
      </c>
    </row>
    <row r="156" spans="1:22">
      <c r="A156" s="132"/>
      <c r="B156" s="145" t="s">
        <v>102</v>
      </c>
      <c r="C156" s="133"/>
      <c r="D156" s="145" t="s">
        <v>132</v>
      </c>
      <c r="F156" s="145" t="s">
        <v>80</v>
      </c>
      <c r="H156" s="145" t="s">
        <v>97</v>
      </c>
      <c r="J156" s="145" t="s">
        <v>88</v>
      </c>
      <c r="L156" s="145" t="s">
        <v>90</v>
      </c>
      <c r="N156" s="145" t="s">
        <v>80</v>
      </c>
      <c r="P156" s="145" t="s">
        <v>80</v>
      </c>
      <c r="Q156" s="133"/>
      <c r="R156" s="145" t="s">
        <v>212</v>
      </c>
      <c r="T156" s="145" t="s">
        <v>80</v>
      </c>
      <c r="U156" s="133"/>
      <c r="V156" s="180" t="s">
        <v>97</v>
      </c>
    </row>
    <row r="157" spans="1:22">
      <c r="A157" s="132"/>
      <c r="B157" s="145"/>
      <c r="C157" s="133"/>
      <c r="D157" s="383"/>
      <c r="F157" s="383"/>
      <c r="H157" s="383" t="s">
        <v>430</v>
      </c>
      <c r="J157" s="383" t="s">
        <v>430</v>
      </c>
      <c r="L157" s="145"/>
      <c r="N157" s="145"/>
      <c r="P157" s="145"/>
      <c r="Q157" s="133"/>
      <c r="R157" s="145"/>
      <c r="T157" s="383" t="s">
        <v>418</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6" thickTop="1" thickBot="1">
      <c r="A161" s="132"/>
      <c r="B161" s="140"/>
      <c r="C161" s="133"/>
      <c r="D161" s="140"/>
      <c r="F161" s="140"/>
      <c r="H161" s="140"/>
      <c r="J161" s="140"/>
      <c r="L161" s="140"/>
      <c r="N161" s="140"/>
      <c r="P161" s="140"/>
      <c r="Q161" s="133"/>
      <c r="R161" s="140"/>
      <c r="T161" s="140"/>
      <c r="U161" s="133"/>
      <c r="V161" s="197"/>
    </row>
    <row r="162" spans="1:22" ht="15.6" thickTop="1" thickBot="1">
      <c r="A162" s="132"/>
      <c r="B162" s="141"/>
      <c r="C162" s="133"/>
      <c r="D162" s="141"/>
      <c r="F162" s="141"/>
      <c r="H162" s="141"/>
      <c r="J162" s="141"/>
      <c r="L162" s="141"/>
      <c r="N162" s="141"/>
      <c r="P162" s="141"/>
      <c r="Q162" s="133"/>
      <c r="R162" s="141"/>
      <c r="T162" s="141"/>
      <c r="U162" s="133"/>
      <c r="V162" s="198"/>
    </row>
    <row r="163" spans="1:22" ht="15" thickTop="1">
      <c r="A163" s="132"/>
      <c r="B163" s="358" t="s">
        <v>431</v>
      </c>
      <c r="C163" s="191"/>
      <c r="D163" s="384" t="s">
        <v>432</v>
      </c>
      <c r="F163" s="358" t="s">
        <v>433</v>
      </c>
      <c r="H163" s="384" t="s">
        <v>434</v>
      </c>
      <c r="J163" s="384" t="s">
        <v>435</v>
      </c>
      <c r="L163" s="358" t="s">
        <v>436</v>
      </c>
      <c r="N163" s="358" t="s">
        <v>437</v>
      </c>
      <c r="P163" s="358" t="s">
        <v>438</v>
      </c>
      <c r="Q163" s="133"/>
      <c r="R163" s="358" t="s">
        <v>439</v>
      </c>
      <c r="T163" s="358" t="s">
        <v>440</v>
      </c>
      <c r="U163" s="133"/>
      <c r="V163" s="386" t="s">
        <v>441</v>
      </c>
    </row>
    <row r="164" spans="1:22">
      <c r="A164" s="132"/>
      <c r="B164" s="145" t="s">
        <v>90</v>
      </c>
      <c r="C164" s="133"/>
      <c r="D164" s="145" t="s">
        <v>147</v>
      </c>
      <c r="F164" s="145" t="s">
        <v>90</v>
      </c>
      <c r="H164" s="145" t="s">
        <v>150</v>
      </c>
      <c r="J164" s="145" t="s">
        <v>97</v>
      </c>
      <c r="L164" s="145" t="s">
        <v>102</v>
      </c>
      <c r="N164" s="145" t="s">
        <v>108</v>
      </c>
      <c r="P164" s="145" t="s">
        <v>150</v>
      </c>
      <c r="Q164" s="133"/>
      <c r="R164" s="145" t="s">
        <v>150</v>
      </c>
      <c r="T164" s="145" t="s">
        <v>80</v>
      </c>
      <c r="U164" s="133"/>
      <c r="V164" s="180" t="s">
        <v>206</v>
      </c>
    </row>
    <row r="165" spans="1:22">
      <c r="A165" s="132"/>
      <c r="B165" s="145"/>
      <c r="C165" s="133"/>
      <c r="D165" s="383" t="s">
        <v>330</v>
      </c>
      <c r="F165" s="383" t="s">
        <v>184</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6" thickTop="1" thickBot="1">
      <c r="A169" s="132"/>
      <c r="B169" s="140"/>
      <c r="C169" s="133"/>
      <c r="D169" s="140"/>
      <c r="F169" s="140"/>
      <c r="H169" s="140"/>
      <c r="J169" s="140"/>
      <c r="L169" s="140"/>
      <c r="N169" s="140"/>
      <c r="P169" s="140"/>
      <c r="Q169" s="133"/>
      <c r="R169" s="140"/>
      <c r="T169" s="140"/>
      <c r="U169" s="133"/>
      <c r="V169" s="197"/>
    </row>
    <row r="170" spans="1:22" ht="15.6" thickTop="1" thickBot="1">
      <c r="A170" s="132"/>
      <c r="B170" s="141"/>
      <c r="C170" s="133"/>
      <c r="D170" s="141"/>
      <c r="F170" s="141"/>
      <c r="H170" s="141"/>
      <c r="J170" s="141"/>
      <c r="L170" s="141"/>
      <c r="N170" s="141"/>
      <c r="P170" s="141"/>
      <c r="Q170" s="133"/>
      <c r="R170" s="141"/>
      <c r="T170" s="141"/>
      <c r="U170" s="133"/>
      <c r="V170" s="198"/>
    </row>
    <row r="171" spans="1:22" ht="15" thickTop="1">
      <c r="A171" s="132"/>
      <c r="B171" s="358" t="s">
        <v>442</v>
      </c>
      <c r="C171" s="191"/>
      <c r="D171" s="358" t="s">
        <v>827</v>
      </c>
      <c r="F171" s="384" t="s">
        <v>698</v>
      </c>
      <c r="H171" s="384" t="s">
        <v>699</v>
      </c>
      <c r="J171" s="384" t="s">
        <v>828</v>
      </c>
      <c r="L171" s="384" t="s">
        <v>829</v>
      </c>
      <c r="N171" s="384" t="s">
        <v>830</v>
      </c>
      <c r="P171" s="384" t="s">
        <v>703</v>
      </c>
      <c r="Q171" s="133"/>
      <c r="R171" s="384" t="s">
        <v>704</v>
      </c>
      <c r="T171" s="384" t="s">
        <v>705</v>
      </c>
      <c r="U171" s="133"/>
      <c r="V171" s="386" t="s">
        <v>142</v>
      </c>
    </row>
    <row r="172" spans="1:22">
      <c r="A172" s="132"/>
      <c r="B172" s="145" t="s">
        <v>90</v>
      </c>
      <c r="C172" s="133"/>
      <c r="D172" s="145" t="s">
        <v>93</v>
      </c>
      <c r="F172" s="145" t="s">
        <v>150</v>
      </c>
      <c r="H172" s="145" t="s">
        <v>150</v>
      </c>
      <c r="J172" s="145" t="s">
        <v>80</v>
      </c>
      <c r="L172" s="145" t="s">
        <v>102</v>
      </c>
      <c r="N172" s="145" t="s">
        <v>102</v>
      </c>
      <c r="P172" s="145" t="s">
        <v>147</v>
      </c>
      <c r="Q172" s="133"/>
      <c r="R172" s="145" t="s">
        <v>147</v>
      </c>
      <c r="T172" s="145" t="s">
        <v>147</v>
      </c>
      <c r="U172" s="133"/>
      <c r="V172" s="180" t="s">
        <v>80</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6" thickTop="1" thickBot="1">
      <c r="A176" s="132"/>
      <c r="B176" s="202"/>
      <c r="C176" s="133"/>
      <c r="D176" s="202"/>
      <c r="F176" s="202"/>
      <c r="H176" s="202"/>
      <c r="J176" s="202"/>
      <c r="L176" s="202"/>
      <c r="N176" s="202"/>
      <c r="P176" s="202"/>
      <c r="Q176" s="133"/>
      <c r="R176" s="202"/>
      <c r="T176" s="140"/>
      <c r="U176" s="133"/>
      <c r="V176" s="140"/>
    </row>
    <row r="177" spans="1:22" ht="15.6" thickTop="1" thickBot="1">
      <c r="A177" s="132"/>
      <c r="B177" s="203"/>
      <c r="C177" s="133"/>
      <c r="D177" s="203"/>
      <c r="F177" s="203"/>
      <c r="H177" s="203"/>
      <c r="J177" s="203"/>
      <c r="L177" s="203"/>
      <c r="N177" s="203"/>
      <c r="P177" s="203"/>
      <c r="Q177" s="133"/>
      <c r="R177" s="203"/>
      <c r="T177" s="141"/>
      <c r="U177" s="133"/>
      <c r="V177" s="141"/>
    </row>
    <row r="178" spans="1:22">
      <c r="A178" s="132"/>
      <c r="B178" s="384" t="s">
        <v>707</v>
      </c>
      <c r="C178" s="133"/>
      <c r="D178" s="384" t="s">
        <v>708</v>
      </c>
      <c r="F178" s="384" t="s">
        <v>709</v>
      </c>
      <c r="H178" s="384" t="s">
        <v>831</v>
      </c>
      <c r="J178" s="384" t="s">
        <v>711</v>
      </c>
      <c r="L178" s="384" t="s">
        <v>832</v>
      </c>
      <c r="N178" s="384" t="s">
        <v>713</v>
      </c>
      <c r="P178" s="384" t="s">
        <v>833</v>
      </c>
      <c r="Q178" s="133"/>
      <c r="R178" s="384" t="s">
        <v>715</v>
      </c>
      <c r="T178" s="384" t="s">
        <v>716</v>
      </c>
      <c r="U178" s="133"/>
      <c r="V178" s="384" t="s">
        <v>834</v>
      </c>
    </row>
    <row r="179" spans="1:22">
      <c r="A179" s="132"/>
      <c r="B179" s="145" t="s">
        <v>206</v>
      </c>
      <c r="C179" s="133"/>
      <c r="D179" s="145" t="s">
        <v>150</v>
      </c>
      <c r="F179" s="145" t="s">
        <v>206</v>
      </c>
      <c r="H179" s="145" t="s">
        <v>157</v>
      </c>
      <c r="J179" s="145" t="s">
        <v>212</v>
      </c>
      <c r="L179" s="145" t="s">
        <v>102</v>
      </c>
      <c r="N179" s="145" t="s">
        <v>206</v>
      </c>
      <c r="P179" s="145" t="s">
        <v>80</v>
      </c>
      <c r="Q179" s="133"/>
      <c r="R179" s="145" t="s">
        <v>150</v>
      </c>
      <c r="T179" s="145" t="s">
        <v>212</v>
      </c>
      <c r="U179" s="133"/>
      <c r="V179" s="145" t="s">
        <v>93</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6" thickTop="1" thickBot="1">
      <c r="A183" s="132"/>
      <c r="B183" s="140"/>
      <c r="C183" s="133"/>
      <c r="D183" s="140"/>
      <c r="F183" s="140"/>
      <c r="H183" s="140"/>
      <c r="J183" s="140"/>
      <c r="L183" s="140"/>
      <c r="N183" s="140"/>
      <c r="P183" s="140"/>
      <c r="Q183" s="133"/>
      <c r="R183" s="140"/>
      <c r="T183" s="140"/>
      <c r="U183" s="133"/>
      <c r="V183" s="140"/>
    </row>
    <row r="184" spans="1:22" ht="15.6" thickTop="1" thickBot="1">
      <c r="A184" s="132"/>
      <c r="B184" s="141"/>
      <c r="C184" s="133"/>
      <c r="D184" s="141"/>
      <c r="F184" s="141"/>
      <c r="H184" s="141"/>
      <c r="J184" s="141"/>
      <c r="L184" s="141"/>
      <c r="N184" s="141"/>
      <c r="P184" s="141"/>
      <c r="Q184" s="133"/>
      <c r="R184" s="141"/>
      <c r="T184" s="141"/>
      <c r="U184" s="133"/>
      <c r="V184" s="141"/>
    </row>
    <row r="185" spans="1:22" ht="15" thickTop="1">
      <c r="A185" s="132"/>
      <c r="B185" s="384" t="s">
        <v>718</v>
      </c>
      <c r="D185" s="384" t="s">
        <v>143</v>
      </c>
      <c r="J185" s="145"/>
      <c r="L185" s="145"/>
      <c r="N185" s="145"/>
      <c r="P185" s="145"/>
      <c r="Q185" s="133"/>
      <c r="R185" s="145"/>
      <c r="T185" s="145"/>
      <c r="U185" s="133"/>
      <c r="V185" s="180"/>
    </row>
    <row r="186" spans="1:22">
      <c r="A186" s="132"/>
      <c r="B186" s="145" t="s">
        <v>147</v>
      </c>
      <c r="D186" s="145" t="s">
        <v>90</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6" thickTop="1" thickBot="1">
      <c r="A190" s="132"/>
      <c r="B190" s="140"/>
      <c r="C190" s="133"/>
      <c r="D190" s="140"/>
      <c r="F190" s="140"/>
      <c r="H190" s="140"/>
      <c r="J190" s="140"/>
      <c r="L190" s="140"/>
      <c r="N190" s="140"/>
      <c r="P190" s="140"/>
      <c r="Q190" s="133"/>
      <c r="R190" s="140"/>
      <c r="T190" s="140"/>
      <c r="U190" s="133"/>
      <c r="V190" s="140"/>
    </row>
    <row r="191" spans="1:22" ht="15.6"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6" thickTop="1" thickBot="1">
      <c r="A196" s="132"/>
      <c r="B196" s="140"/>
      <c r="C196" s="133"/>
      <c r="D196" s="140"/>
      <c r="F196" s="140"/>
      <c r="H196" s="140"/>
      <c r="J196" s="140"/>
      <c r="L196" s="140"/>
      <c r="N196" s="140"/>
      <c r="P196" s="140"/>
      <c r="Q196" s="133"/>
      <c r="R196" s="140"/>
      <c r="T196" s="140"/>
      <c r="U196" s="133"/>
      <c r="V196" s="140"/>
    </row>
    <row r="197" spans="1:22" ht="15.6"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76" t="s">
        <v>147</v>
      </c>
    </row>
    <row r="206" spans="1:22" hidden="1"/>
    <row r="207" spans="1:22" hidden="1">
      <c r="B207" s="390">
        <v>50</v>
      </c>
      <c r="C207" s="390">
        <v>28</v>
      </c>
      <c r="D207" s="390">
        <v>21</v>
      </c>
      <c r="E207" s="390">
        <v>20</v>
      </c>
      <c r="F207" s="390">
        <v>119</v>
      </c>
      <c r="G207" s="343">
        <v>3</v>
      </c>
      <c r="H207" s="343">
        <v>2</v>
      </c>
      <c r="I207" s="343">
        <v>1</v>
      </c>
      <c r="J207" s="344">
        <v>7</v>
      </c>
      <c r="K207">
        <v>13</v>
      </c>
      <c r="L207" s="391">
        <v>12</v>
      </c>
      <c r="M207" s="391">
        <v>6</v>
      </c>
      <c r="N207" s="391">
        <v>4</v>
      </c>
      <c r="O207" s="391">
        <v>2</v>
      </c>
      <c r="P207">
        <v>24</v>
      </c>
      <c r="Q207" s="392">
        <v>9</v>
      </c>
      <c r="R207" s="392">
        <v>5</v>
      </c>
      <c r="S207" s="392">
        <v>1</v>
      </c>
      <c r="T207" s="392">
        <v>0</v>
      </c>
      <c r="U207" s="392">
        <v>15</v>
      </c>
    </row>
    <row r="208" spans="1:22" hidden="1"/>
    <row r="209" spans="2:9" hidden="1"/>
    <row r="210" spans="2:9">
      <c r="B210" s="376" t="s">
        <v>1055</v>
      </c>
    </row>
    <row r="211" spans="2:9">
      <c r="B211" s="388" t="s">
        <v>1056</v>
      </c>
      <c r="C211" s="388" t="s">
        <v>1057</v>
      </c>
      <c r="D211" s="388" t="s">
        <v>1056</v>
      </c>
      <c r="E211" s="388" t="s">
        <v>1057</v>
      </c>
      <c r="F211" s="388" t="s">
        <v>1056</v>
      </c>
      <c r="G211" s="389" t="s">
        <v>1057</v>
      </c>
      <c r="H211" s="388" t="s">
        <v>1056</v>
      </c>
      <c r="I211" s="388" t="s">
        <v>1057</v>
      </c>
    </row>
    <row r="212" spans="2:9">
      <c r="B212" s="387" t="s">
        <v>147</v>
      </c>
      <c r="C212" s="310">
        <v>50</v>
      </c>
      <c r="D212" s="387" t="s">
        <v>84</v>
      </c>
      <c r="E212" s="310">
        <v>3</v>
      </c>
      <c r="F212" s="387" t="s">
        <v>80</v>
      </c>
      <c r="G212" s="310">
        <v>12</v>
      </c>
      <c r="H212" s="387" t="s">
        <v>90</v>
      </c>
      <c r="I212" s="310">
        <v>9</v>
      </c>
    </row>
    <row r="213" spans="2:9">
      <c r="B213" s="387" t="s">
        <v>150</v>
      </c>
      <c r="C213" s="310">
        <v>28</v>
      </c>
      <c r="D213" s="387" t="s">
        <v>153</v>
      </c>
      <c r="E213" s="310">
        <v>2</v>
      </c>
      <c r="F213" s="387" t="s">
        <v>102</v>
      </c>
      <c r="G213" s="310">
        <v>6</v>
      </c>
      <c r="H213" s="387" t="s">
        <v>108</v>
      </c>
      <c r="I213" s="310">
        <v>5</v>
      </c>
    </row>
    <row r="214" spans="2:9">
      <c r="B214" s="387" t="s">
        <v>206</v>
      </c>
      <c r="C214" s="310">
        <v>21</v>
      </c>
      <c r="D214" s="387" t="s">
        <v>132</v>
      </c>
      <c r="E214" s="310">
        <v>1</v>
      </c>
      <c r="F214" s="387" t="s">
        <v>93</v>
      </c>
      <c r="G214" s="310">
        <v>4</v>
      </c>
      <c r="H214" s="387" t="s">
        <v>157</v>
      </c>
      <c r="I214" s="310">
        <v>1</v>
      </c>
    </row>
    <row r="215" spans="2:9">
      <c r="B215" s="387" t="s">
        <v>212</v>
      </c>
      <c r="C215" s="310">
        <v>20</v>
      </c>
      <c r="D215" s="387" t="s">
        <v>97</v>
      </c>
      <c r="E215" s="310">
        <v>7</v>
      </c>
      <c r="F215" s="387" t="s">
        <v>88</v>
      </c>
      <c r="G215" s="310">
        <v>2</v>
      </c>
      <c r="H215" s="387" t="s">
        <v>112</v>
      </c>
      <c r="I215" s="310">
        <v>0</v>
      </c>
    </row>
    <row r="216" spans="2:9">
      <c r="B216" s="310"/>
      <c r="C216" s="310">
        <f>SUM(C212:C215)</f>
        <v>119</v>
      </c>
      <c r="D216" s="310"/>
      <c r="E216" s="310">
        <f>SUM(E212:E215)</f>
        <v>13</v>
      </c>
      <c r="F216" s="310"/>
      <c r="G216" s="310">
        <f>SUM(G212:G215)</f>
        <v>24</v>
      </c>
      <c r="H216" s="387" t="s">
        <v>82</v>
      </c>
      <c r="I216" s="310"/>
    </row>
    <row r="217" spans="2:9">
      <c r="B217" s="376"/>
      <c r="H217" s="387" t="s">
        <v>78</v>
      </c>
      <c r="I217" s="310"/>
    </row>
    <row r="218" spans="2:9">
      <c r="B218" s="376"/>
      <c r="H218" s="387" t="s">
        <v>166</v>
      </c>
      <c r="I218" s="310"/>
    </row>
    <row r="219" spans="2:9">
      <c r="B219" s="376"/>
      <c r="H219" s="376"/>
      <c r="I219">
        <f>SUM(I212:I218)</f>
        <v>15</v>
      </c>
    </row>
    <row r="220" spans="2:9">
      <c r="B220" s="399"/>
      <c r="C220" s="376"/>
      <c r="D220" s="376"/>
    </row>
    <row r="221" spans="2:9">
      <c r="B221" s="376"/>
      <c r="C221" s="376"/>
    </row>
    <row r="222" spans="2:9">
      <c r="B222" s="376"/>
      <c r="C222" s="1499"/>
    </row>
    <row r="223" spans="2:9">
      <c r="B223" s="376"/>
      <c r="C223" s="1499"/>
    </row>
    <row r="224" spans="2:9">
      <c r="B224" s="376"/>
      <c r="C224" s="1499"/>
    </row>
    <row r="226" spans="2:2">
      <c r="B226" s="376"/>
    </row>
    <row r="227" spans="2:2">
      <c r="B227" s="376"/>
    </row>
    <row r="228" spans="2:2">
      <c r="B228" s="376"/>
    </row>
    <row r="229" spans="2:2">
      <c r="B229" s="376"/>
    </row>
    <row r="231" spans="2:2">
      <c r="B231" s="376"/>
    </row>
    <row r="232" spans="2:2">
      <c r="B232" s="376"/>
    </row>
    <row r="233" spans="2:2">
      <c r="B233" s="376"/>
    </row>
    <row r="234" spans="2:2">
      <c r="B234" s="376"/>
    </row>
    <row r="236" spans="2:2">
      <c r="B236" s="376"/>
    </row>
    <row r="237" spans="2:2">
      <c r="B237" s="376"/>
    </row>
    <row r="238" spans="2:2">
      <c r="B238" s="376"/>
    </row>
    <row r="239" spans="2:2">
      <c r="B239" s="376"/>
    </row>
    <row r="240" spans="2:2">
      <c r="B240" s="376"/>
    </row>
    <row r="241" spans="2:2">
      <c r="B241" s="376"/>
    </row>
    <row r="242" spans="2:2">
      <c r="B242" s="376"/>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1"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7"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77734375" defaultRowHeight="14.4"/>
  <cols>
    <col min="1" max="1" width="4.77734375" style="46" customWidth="1"/>
    <col min="2" max="2" width="5.21875" style="46" customWidth="1"/>
    <col min="3" max="3" width="8.33203125" style="46" customWidth="1"/>
    <col min="4" max="4" width="5" style="46" customWidth="1"/>
    <col min="5" max="5" width="11.21875" style="46" customWidth="1"/>
    <col min="6" max="6" width="6.88671875" style="46" customWidth="1"/>
    <col min="7" max="7" width="7" style="46" customWidth="1"/>
    <col min="8" max="8" width="5.44140625" style="46" customWidth="1"/>
    <col min="9" max="9" width="6.33203125" style="46" customWidth="1"/>
    <col min="10" max="10" width="7.44140625" style="46" customWidth="1"/>
    <col min="11" max="11" width="6.5546875" style="46" customWidth="1"/>
    <col min="12" max="12" width="8.21875" style="46" customWidth="1"/>
    <col min="13" max="13" width="10.33203125" style="46" customWidth="1"/>
    <col min="14" max="14" width="6.5546875" style="46" customWidth="1"/>
    <col min="15" max="15" width="6.88671875" style="46" customWidth="1"/>
    <col min="16" max="25" width="5.21875" style="46" customWidth="1"/>
    <col min="26" max="26" width="10.77734375" style="46" customWidth="1"/>
    <col min="27" max="27" width="8.77734375" style="46"/>
    <col min="28" max="28" width="9.33203125" style="46" customWidth="1"/>
    <col min="29" max="16384" width="8.77734375" style="46"/>
  </cols>
  <sheetData>
    <row r="1" spans="1:29" ht="15.6">
      <c r="A1" s="1335" t="s">
        <v>48</v>
      </c>
      <c r="B1" s="1336"/>
      <c r="C1" s="1336"/>
      <c r="D1" s="1336"/>
      <c r="E1" s="1336"/>
      <c r="F1" s="1336"/>
      <c r="G1" s="1336"/>
      <c r="H1" s="1336"/>
      <c r="I1" s="1336"/>
      <c r="J1" s="1336"/>
      <c r="K1" s="1336"/>
      <c r="L1" s="1336"/>
      <c r="M1" s="1336"/>
      <c r="N1" s="1336"/>
      <c r="O1" s="1336"/>
      <c r="P1" s="1336"/>
      <c r="Q1" s="1336"/>
      <c r="R1" s="1336"/>
      <c r="S1" s="1336"/>
      <c r="T1" s="1336"/>
      <c r="U1" s="1336"/>
      <c r="V1" s="1336"/>
      <c r="W1" s="1336"/>
      <c r="X1" s="1336"/>
      <c r="Y1" s="1336"/>
      <c r="Z1" s="1336"/>
      <c r="AA1" s="1336"/>
      <c r="AB1" s="1336"/>
      <c r="AC1" s="1337"/>
    </row>
    <row r="2" spans="1:29" ht="15.6">
      <c r="A2" s="1338" t="s">
        <v>49</v>
      </c>
      <c r="B2" s="1339"/>
      <c r="C2" s="1339"/>
      <c r="D2" s="1339"/>
      <c r="E2" s="1339"/>
      <c r="F2" s="1339"/>
      <c r="G2" s="1339"/>
      <c r="H2" s="1339"/>
      <c r="I2" s="1339"/>
      <c r="J2" s="1339"/>
      <c r="K2" s="1339"/>
      <c r="L2" s="1339"/>
      <c r="M2" s="1339"/>
      <c r="N2" s="1339"/>
      <c r="O2" s="1339"/>
      <c r="P2" s="1339"/>
      <c r="Q2" s="1339"/>
      <c r="R2" s="1339"/>
      <c r="S2" s="1339"/>
      <c r="T2" s="1339"/>
      <c r="U2" s="1339"/>
      <c r="V2" s="1339"/>
      <c r="W2" s="1339"/>
      <c r="X2" s="1339"/>
      <c r="Y2" s="1339"/>
      <c r="Z2" s="1339"/>
      <c r="AA2" s="1339"/>
      <c r="AB2" s="1339"/>
      <c r="AC2" s="1340"/>
    </row>
    <row r="3" spans="1:29" ht="15.6">
      <c r="A3" s="1338" t="s">
        <v>50</v>
      </c>
      <c r="B3" s="1339"/>
      <c r="C3" s="1339"/>
      <c r="D3" s="1339"/>
      <c r="E3" s="1339"/>
      <c r="F3" s="1339"/>
      <c r="G3" s="1339"/>
      <c r="H3" s="1339"/>
      <c r="I3" s="1339"/>
      <c r="J3" s="1339"/>
      <c r="K3" s="1339"/>
      <c r="L3" s="1339"/>
      <c r="M3" s="1339"/>
      <c r="N3" s="1339"/>
      <c r="O3" s="1339"/>
      <c r="P3" s="1339"/>
      <c r="Q3" s="1339"/>
      <c r="R3" s="1339"/>
      <c r="S3" s="1339"/>
      <c r="T3" s="1339"/>
      <c r="U3" s="1339"/>
      <c r="V3" s="1339"/>
      <c r="W3" s="1339"/>
      <c r="X3" s="1339"/>
      <c r="Y3" s="1339"/>
      <c r="Z3" s="1339"/>
      <c r="AA3" s="1339"/>
      <c r="AB3" s="1339"/>
      <c r="AC3" s="1340"/>
    </row>
    <row r="4" spans="1:29" ht="18">
      <c r="A4" s="1536" t="s">
        <v>835</v>
      </c>
      <c r="B4" s="1537"/>
      <c r="C4" s="1537"/>
      <c r="D4" s="1537"/>
      <c r="E4" s="1537"/>
      <c r="F4" s="1537"/>
      <c r="G4" s="1537"/>
      <c r="H4" s="1537"/>
      <c r="I4" s="1537"/>
      <c r="J4" s="1537"/>
      <c r="K4" s="1537"/>
      <c r="L4" s="1537"/>
      <c r="M4" s="1537"/>
      <c r="N4" s="1537"/>
      <c r="O4" s="1537"/>
      <c r="P4" s="1537"/>
      <c r="Q4" s="1537"/>
      <c r="R4" s="1537"/>
      <c r="S4" s="1537"/>
      <c r="T4" s="1537"/>
      <c r="U4" s="1537"/>
      <c r="V4" s="1537"/>
      <c r="W4" s="1537"/>
      <c r="X4" s="1537"/>
      <c r="Y4" s="1537"/>
      <c r="Z4" s="1537"/>
      <c r="AA4" s="1537"/>
      <c r="AB4" s="1537"/>
      <c r="AC4" s="1538"/>
    </row>
    <row r="5" spans="1:29" ht="15.6">
      <c r="A5" s="1539" t="s">
        <v>836</v>
      </c>
      <c r="B5" s="1540"/>
      <c r="C5" s="1540"/>
      <c r="D5" s="1540"/>
      <c r="E5" s="1540"/>
      <c r="F5" s="1540"/>
      <c r="G5" s="1540"/>
      <c r="H5" s="1540"/>
      <c r="I5" s="1540"/>
      <c r="J5" s="1540"/>
      <c r="K5" s="1540"/>
      <c r="L5" s="1540"/>
      <c r="M5" s="1540"/>
      <c r="N5" s="1540"/>
      <c r="O5" s="1540"/>
      <c r="P5" s="1540"/>
      <c r="Q5" s="1540"/>
      <c r="R5" s="1540"/>
      <c r="S5" s="1540"/>
      <c r="T5" s="1540"/>
      <c r="U5" s="1540"/>
      <c r="V5" s="1540"/>
      <c r="W5" s="1540"/>
      <c r="X5" s="1540"/>
      <c r="Y5" s="1540"/>
      <c r="Z5" s="1540"/>
      <c r="AA5" s="1540"/>
      <c r="AB5" s="1540"/>
      <c r="AC5" s="1541"/>
    </row>
    <row r="6" spans="1:29" ht="21">
      <c r="A6" s="1519" t="s">
        <v>837</v>
      </c>
      <c r="B6" s="1520"/>
      <c r="C6" s="1520"/>
      <c r="D6" s="1520"/>
      <c r="E6" s="1520"/>
      <c r="F6" s="1520"/>
      <c r="G6" s="1520"/>
      <c r="H6" s="1521" t="s">
        <v>838</v>
      </c>
      <c r="I6" s="1521"/>
      <c r="J6" s="1521"/>
      <c r="K6" s="1521"/>
      <c r="L6" s="1522"/>
      <c r="M6" s="1521"/>
      <c r="N6" s="1521"/>
      <c r="O6" s="1521"/>
      <c r="P6" s="1521"/>
      <c r="Q6" s="1521"/>
      <c r="R6" s="1521"/>
      <c r="S6" s="1521"/>
      <c r="T6" s="1521"/>
      <c r="U6" s="1521"/>
      <c r="V6" s="1521"/>
      <c r="W6" s="1521"/>
      <c r="X6" s="1521"/>
      <c r="Y6" s="1521"/>
      <c r="Z6" s="1521"/>
      <c r="AA6" s="1521"/>
      <c r="AB6" s="91"/>
      <c r="AC6" s="92"/>
    </row>
    <row r="7" spans="1:29" ht="15" customHeight="1">
      <c r="A7" s="1509" t="s">
        <v>839</v>
      </c>
      <c r="B7" s="1511" t="s">
        <v>840</v>
      </c>
      <c r="C7" s="1513" t="s">
        <v>76</v>
      </c>
      <c r="D7" s="1515" t="s">
        <v>841</v>
      </c>
      <c r="E7" s="1511" t="s">
        <v>842</v>
      </c>
      <c r="F7" s="1517" t="s">
        <v>843</v>
      </c>
      <c r="G7" s="1513" t="s">
        <v>844</v>
      </c>
      <c r="H7" s="1523" t="s">
        <v>839</v>
      </c>
      <c r="I7" s="1528" t="s">
        <v>840</v>
      </c>
      <c r="J7" s="1523" t="s">
        <v>76</v>
      </c>
      <c r="K7" s="1530" t="s">
        <v>841</v>
      </c>
      <c r="L7" s="1532" t="s">
        <v>845</v>
      </c>
      <c r="M7" s="1528" t="s">
        <v>842</v>
      </c>
      <c r="N7" s="1534" t="s">
        <v>843</v>
      </c>
      <c r="O7" s="1523" t="s">
        <v>844</v>
      </c>
      <c r="P7" s="1523" t="s">
        <v>846</v>
      </c>
      <c r="Q7" s="1523"/>
      <c r="R7" s="1523"/>
      <c r="S7" s="1530" t="s">
        <v>847</v>
      </c>
      <c r="T7" s="1524" t="s">
        <v>848</v>
      </c>
      <c r="U7" s="1524"/>
      <c r="V7" s="1524"/>
      <c r="W7" s="1524" t="s">
        <v>849</v>
      </c>
      <c r="X7" s="1524"/>
      <c r="Y7" s="1524"/>
      <c r="Z7" s="1523" t="s">
        <v>850</v>
      </c>
      <c r="AA7" s="1525" t="s">
        <v>851</v>
      </c>
      <c r="AB7" s="1525"/>
      <c r="AC7" s="1526"/>
    </row>
    <row r="8" spans="1:29" ht="56.55" customHeight="1">
      <c r="A8" s="1510"/>
      <c r="B8" s="1512"/>
      <c r="C8" s="1514"/>
      <c r="D8" s="1516"/>
      <c r="E8" s="1512"/>
      <c r="F8" s="1518"/>
      <c r="G8" s="1514"/>
      <c r="H8" s="1527"/>
      <c r="I8" s="1529"/>
      <c r="J8" s="1527"/>
      <c r="K8" s="1531"/>
      <c r="L8" s="1533"/>
      <c r="M8" s="1529"/>
      <c r="N8" s="1535"/>
      <c r="O8" s="1527"/>
      <c r="P8" s="70" t="s">
        <v>852</v>
      </c>
      <c r="Q8" s="70" t="s">
        <v>853</v>
      </c>
      <c r="R8" s="70" t="s">
        <v>445</v>
      </c>
      <c r="S8" s="1531"/>
      <c r="T8" s="70" t="s">
        <v>852</v>
      </c>
      <c r="U8" s="70" t="s">
        <v>853</v>
      </c>
      <c r="V8" s="70" t="s">
        <v>445</v>
      </c>
      <c r="W8" s="70" t="s">
        <v>852</v>
      </c>
      <c r="X8" s="70" t="s">
        <v>853</v>
      </c>
      <c r="Y8" s="70" t="s">
        <v>445</v>
      </c>
      <c r="Z8" s="1527"/>
      <c r="AA8" s="93" t="s">
        <v>854</v>
      </c>
      <c r="AB8" s="93" t="s">
        <v>855</v>
      </c>
      <c r="AC8" s="94" t="s">
        <v>856</v>
      </c>
    </row>
    <row r="9" spans="1:29" ht="26.4">
      <c r="A9" s="47">
        <v>1</v>
      </c>
      <c r="B9" s="48" t="s">
        <v>857</v>
      </c>
      <c r="C9" s="48" t="s">
        <v>858</v>
      </c>
      <c r="D9" s="49"/>
      <c r="E9" s="48" t="s">
        <v>859</v>
      </c>
      <c r="F9" s="50"/>
      <c r="G9" s="51"/>
      <c r="H9" s="52">
        <v>1</v>
      </c>
      <c r="I9" s="48" t="s">
        <v>857</v>
      </c>
      <c r="J9" s="48" t="s">
        <v>858</v>
      </c>
      <c r="K9" s="71"/>
      <c r="L9" s="72" t="s">
        <v>296</v>
      </c>
      <c r="M9" s="73" t="s">
        <v>860</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ht="19.2">
      <c r="A10" s="53"/>
      <c r="B10" s="54"/>
      <c r="C10" s="54"/>
      <c r="D10" s="55"/>
      <c r="E10" s="54"/>
      <c r="F10" s="56">
        <v>345.19</v>
      </c>
      <c r="G10" s="1503">
        <v>2920</v>
      </c>
      <c r="H10" s="58"/>
      <c r="I10" s="58"/>
      <c r="J10" s="58"/>
      <c r="K10" s="75"/>
      <c r="L10" s="76"/>
      <c r="M10" s="54"/>
      <c r="N10" s="56">
        <v>345.19</v>
      </c>
      <c r="O10" s="1503">
        <v>2920</v>
      </c>
      <c r="P10" s="77"/>
      <c r="Q10" s="77"/>
      <c r="R10" s="77"/>
      <c r="S10" s="77"/>
      <c r="T10" s="77"/>
      <c r="U10" s="77"/>
      <c r="V10" s="77"/>
      <c r="W10" s="77"/>
      <c r="X10" s="77"/>
      <c r="Y10" s="77"/>
      <c r="Z10" s="98" t="s">
        <v>861</v>
      </c>
      <c r="AA10" s="99"/>
      <c r="AB10" s="99"/>
      <c r="AC10" s="100"/>
    </row>
    <row r="11" spans="1:29">
      <c r="A11" s="59">
        <v>2</v>
      </c>
      <c r="B11" s="60" t="s">
        <v>862</v>
      </c>
      <c r="C11" s="60" t="s">
        <v>863</v>
      </c>
      <c r="D11" s="55"/>
      <c r="E11" s="54"/>
      <c r="F11" s="54"/>
      <c r="G11" s="1503"/>
      <c r="H11" s="61">
        <v>2</v>
      </c>
      <c r="I11" s="60" t="s">
        <v>862</v>
      </c>
      <c r="J11" s="60" t="s">
        <v>863</v>
      </c>
      <c r="K11" s="75"/>
      <c r="L11" s="76"/>
      <c r="M11" s="54"/>
      <c r="N11" s="54"/>
      <c r="O11" s="1503"/>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1503"/>
      <c r="H12" s="58"/>
      <c r="I12" s="58"/>
      <c r="J12" s="58"/>
      <c r="K12" s="75"/>
      <c r="L12" s="76"/>
      <c r="M12" s="54"/>
      <c r="N12" s="56">
        <v>332.38</v>
      </c>
      <c r="O12" s="1503"/>
      <c r="P12" s="77"/>
      <c r="Q12" s="77"/>
      <c r="R12" s="77"/>
      <c r="S12" s="77"/>
      <c r="T12" s="77"/>
      <c r="U12" s="77"/>
      <c r="V12" s="77"/>
      <c r="W12" s="77"/>
      <c r="X12" s="77"/>
      <c r="Y12" s="77"/>
      <c r="Z12" s="98" t="s">
        <v>864</v>
      </c>
      <c r="AA12" s="99"/>
      <c r="AB12" s="99"/>
      <c r="AC12" s="100"/>
    </row>
    <row r="13" spans="1:29">
      <c r="A13" s="59">
        <v>3</v>
      </c>
      <c r="B13" s="60" t="s">
        <v>865</v>
      </c>
      <c r="C13" s="60" t="s">
        <v>863</v>
      </c>
      <c r="D13" s="55"/>
      <c r="E13" s="54"/>
      <c r="F13" s="54"/>
      <c r="G13" s="1503"/>
      <c r="H13" s="61">
        <v>3</v>
      </c>
      <c r="I13" s="60" t="s">
        <v>865</v>
      </c>
      <c r="J13" s="60" t="s">
        <v>863</v>
      </c>
      <c r="K13" s="75"/>
      <c r="L13" s="76"/>
      <c r="M13" s="54"/>
      <c r="N13" s="54"/>
      <c r="O13" s="1503"/>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1503"/>
      <c r="H14" s="58"/>
      <c r="I14" s="58"/>
      <c r="J14" s="58"/>
      <c r="K14" s="75"/>
      <c r="L14" s="76"/>
      <c r="M14" s="54"/>
      <c r="N14" s="56">
        <v>393.62</v>
      </c>
      <c r="O14" s="1503"/>
      <c r="P14" s="77"/>
      <c r="Q14" s="77"/>
      <c r="R14" s="77"/>
      <c r="S14" s="77"/>
      <c r="T14" s="77"/>
      <c r="U14" s="77"/>
      <c r="V14" s="77"/>
      <c r="W14" s="77"/>
      <c r="X14" s="77"/>
      <c r="Y14" s="77"/>
      <c r="Z14" s="77"/>
      <c r="AA14" s="99"/>
      <c r="AB14" s="99"/>
      <c r="AC14" s="100"/>
    </row>
    <row r="15" spans="1:29">
      <c r="A15" s="59">
        <v>4</v>
      </c>
      <c r="B15" s="60" t="s">
        <v>866</v>
      </c>
      <c r="C15" s="60" t="s">
        <v>867</v>
      </c>
      <c r="D15" s="55"/>
      <c r="E15" s="54"/>
      <c r="F15" s="54"/>
      <c r="G15" s="1503"/>
      <c r="H15" s="61">
        <v>4</v>
      </c>
      <c r="I15" s="60" t="s">
        <v>866</v>
      </c>
      <c r="J15" s="60" t="s">
        <v>867</v>
      </c>
      <c r="K15" s="75"/>
      <c r="L15" s="76"/>
      <c r="M15" s="54"/>
      <c r="N15" s="54"/>
      <c r="O15" s="1503"/>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1503"/>
      <c r="H16" s="58"/>
      <c r="I16" s="58"/>
      <c r="J16" s="58"/>
      <c r="K16" s="75"/>
      <c r="L16" s="76"/>
      <c r="M16" s="54"/>
      <c r="N16" s="56">
        <v>387.95</v>
      </c>
      <c r="O16" s="1503"/>
      <c r="P16" s="77"/>
      <c r="Q16" s="77"/>
      <c r="R16" s="77"/>
      <c r="S16" s="77"/>
      <c r="T16" s="77"/>
      <c r="U16" s="77"/>
      <c r="V16" s="77"/>
      <c r="W16" s="77"/>
      <c r="X16" s="77"/>
      <c r="Y16" s="77"/>
      <c r="Z16" s="98" t="s">
        <v>868</v>
      </c>
      <c r="AA16" s="99"/>
      <c r="AB16" s="99"/>
      <c r="AC16" s="100"/>
    </row>
    <row r="17" spans="1:29">
      <c r="A17" s="59">
        <v>5</v>
      </c>
      <c r="B17" s="60" t="s">
        <v>869</v>
      </c>
      <c r="C17" s="60" t="s">
        <v>863</v>
      </c>
      <c r="D17" s="55"/>
      <c r="E17" s="54"/>
      <c r="F17" s="54"/>
      <c r="G17" s="1503"/>
      <c r="H17" s="61">
        <v>5</v>
      </c>
      <c r="I17" s="60" t="s">
        <v>869</v>
      </c>
      <c r="J17" s="60" t="s">
        <v>863</v>
      </c>
      <c r="K17" s="75"/>
      <c r="L17" s="76"/>
      <c r="M17" s="54"/>
      <c r="N17" s="54"/>
      <c r="O17" s="1503"/>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1503"/>
      <c r="H18" s="58"/>
      <c r="I18" s="58"/>
      <c r="J18" s="58"/>
      <c r="K18" s="75"/>
      <c r="L18" s="76"/>
      <c r="M18" s="54"/>
      <c r="N18" s="56">
        <v>340.35</v>
      </c>
      <c r="O18" s="1503"/>
      <c r="P18" s="77"/>
      <c r="Q18" s="77"/>
      <c r="R18" s="77"/>
      <c r="S18" s="77"/>
      <c r="T18" s="77"/>
      <c r="U18" s="77"/>
      <c r="V18" s="77"/>
      <c r="W18" s="77"/>
      <c r="X18" s="77"/>
      <c r="Y18" s="77"/>
      <c r="Z18" s="98" t="s">
        <v>870</v>
      </c>
      <c r="AA18" s="99"/>
      <c r="AB18" s="99"/>
      <c r="AC18" s="100"/>
    </row>
    <row r="19" spans="1:29">
      <c r="A19" s="59">
        <v>6</v>
      </c>
      <c r="B19" s="60" t="s">
        <v>871</v>
      </c>
      <c r="C19" s="60" t="s">
        <v>863</v>
      </c>
      <c r="D19" s="55"/>
      <c r="E19" s="54"/>
      <c r="F19" s="54"/>
      <c r="G19" s="1503"/>
      <c r="H19" s="61">
        <v>6</v>
      </c>
      <c r="I19" s="60" t="s">
        <v>871</v>
      </c>
      <c r="J19" s="60" t="s">
        <v>863</v>
      </c>
      <c r="K19" s="75"/>
      <c r="L19" s="76"/>
      <c r="M19" s="54"/>
      <c r="N19" s="54"/>
      <c r="O19" s="1503"/>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1503"/>
      <c r="H20" s="58"/>
      <c r="I20" s="58"/>
      <c r="J20" s="58"/>
      <c r="K20" s="75"/>
      <c r="L20" s="76"/>
      <c r="M20" s="54"/>
      <c r="N20" s="56">
        <v>393.12</v>
      </c>
      <c r="O20" s="1503"/>
      <c r="P20" s="77"/>
      <c r="Q20" s="77"/>
      <c r="R20" s="77"/>
      <c r="S20" s="77"/>
      <c r="T20" s="77"/>
      <c r="U20" s="77"/>
      <c r="V20" s="77"/>
      <c r="W20" s="77"/>
      <c r="X20" s="77"/>
      <c r="Y20" s="77"/>
      <c r="Z20" s="77"/>
      <c r="AA20" s="99"/>
      <c r="AB20" s="99"/>
      <c r="AC20" s="100"/>
    </row>
    <row r="21" spans="1:29">
      <c r="A21" s="59">
        <v>7</v>
      </c>
      <c r="B21" s="60" t="s">
        <v>872</v>
      </c>
      <c r="C21" s="60" t="s">
        <v>863</v>
      </c>
      <c r="D21" s="55"/>
      <c r="E21" s="54"/>
      <c r="F21" s="54"/>
      <c r="G21" s="1503"/>
      <c r="H21" s="61">
        <v>7</v>
      </c>
      <c r="I21" s="60" t="s">
        <v>872</v>
      </c>
      <c r="J21" s="60" t="s">
        <v>863</v>
      </c>
      <c r="K21" s="75"/>
      <c r="L21" s="76"/>
      <c r="M21" s="54"/>
      <c r="N21" s="54"/>
      <c r="O21" s="1503"/>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1503"/>
      <c r="H22" s="58"/>
      <c r="I22" s="58"/>
      <c r="J22" s="58"/>
      <c r="K22" s="75"/>
      <c r="L22" s="76"/>
      <c r="M22" s="54"/>
      <c r="N22" s="56">
        <v>328.54</v>
      </c>
      <c r="O22" s="1503"/>
      <c r="P22" s="77"/>
      <c r="Q22" s="77"/>
      <c r="R22" s="77"/>
      <c r="S22" s="77"/>
      <c r="T22" s="77"/>
      <c r="U22" s="77"/>
      <c r="V22" s="77"/>
      <c r="W22" s="77"/>
      <c r="X22" s="77"/>
      <c r="Y22" s="77"/>
      <c r="Z22" s="77"/>
      <c r="AA22" s="99"/>
      <c r="AB22" s="99"/>
      <c r="AC22" s="100"/>
    </row>
    <row r="23" spans="1:29">
      <c r="A23" s="59">
        <v>8</v>
      </c>
      <c r="B23" s="60" t="s">
        <v>873</v>
      </c>
      <c r="C23" s="60" t="s">
        <v>863</v>
      </c>
      <c r="D23" s="55"/>
      <c r="E23" s="54"/>
      <c r="F23" s="54"/>
      <c r="G23" s="1503"/>
      <c r="H23" s="61">
        <v>8</v>
      </c>
      <c r="I23" s="60" t="s">
        <v>873</v>
      </c>
      <c r="J23" s="60" t="s">
        <v>863</v>
      </c>
      <c r="K23" s="75"/>
      <c r="L23" s="76"/>
      <c r="M23" s="54"/>
      <c r="N23" s="54"/>
      <c r="O23" s="1503"/>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1503"/>
      <c r="H24" s="58"/>
      <c r="I24" s="58"/>
      <c r="J24" s="58"/>
      <c r="K24" s="75"/>
      <c r="L24" s="76"/>
      <c r="M24" s="54"/>
      <c r="N24" s="56">
        <v>398.52</v>
      </c>
      <c r="O24" s="1503"/>
      <c r="P24" s="77"/>
      <c r="Q24" s="77"/>
      <c r="R24" s="77"/>
      <c r="S24" s="77"/>
      <c r="T24" s="77"/>
      <c r="U24" s="77"/>
      <c r="V24" s="77"/>
      <c r="W24" s="77"/>
      <c r="X24" s="77"/>
      <c r="Y24" s="77"/>
      <c r="Z24" s="98" t="s">
        <v>870</v>
      </c>
      <c r="AA24" s="99"/>
      <c r="AB24" s="99"/>
      <c r="AC24" s="100"/>
    </row>
    <row r="25" spans="1:29" ht="19.2">
      <c r="A25" s="62">
        <v>9</v>
      </c>
      <c r="B25" s="63" t="s">
        <v>874</v>
      </c>
      <c r="C25" s="63" t="s">
        <v>858</v>
      </c>
      <c r="D25" s="64"/>
      <c r="E25" s="63" t="s">
        <v>875</v>
      </c>
      <c r="F25" s="65"/>
      <c r="G25" s="66"/>
      <c r="H25" s="67">
        <v>9</v>
      </c>
      <c r="I25" s="63" t="s">
        <v>874</v>
      </c>
      <c r="J25" s="63" t="s">
        <v>858</v>
      </c>
      <c r="K25" s="79"/>
      <c r="L25" s="66"/>
      <c r="M25" s="63" t="s">
        <v>875</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1503">
        <v>835</v>
      </c>
      <c r="H26" s="58"/>
      <c r="I26" s="58"/>
      <c r="J26" s="58"/>
      <c r="K26" s="75"/>
      <c r="L26" s="76"/>
      <c r="M26" s="54"/>
      <c r="N26" s="56">
        <v>425.85</v>
      </c>
      <c r="O26" s="1503">
        <v>835</v>
      </c>
      <c r="P26" s="77"/>
      <c r="Q26" s="77"/>
      <c r="R26" s="77"/>
      <c r="S26" s="77"/>
      <c r="T26" s="77"/>
      <c r="U26" s="77"/>
      <c r="V26" s="77"/>
      <c r="W26" s="77"/>
      <c r="X26" s="77"/>
      <c r="Y26" s="77"/>
      <c r="Z26" s="98" t="s">
        <v>870</v>
      </c>
      <c r="AA26" s="99"/>
      <c r="AB26" s="99"/>
      <c r="AC26" s="100"/>
    </row>
    <row r="27" spans="1:29">
      <c r="A27" s="59">
        <v>10</v>
      </c>
      <c r="B27" s="60" t="s">
        <v>876</v>
      </c>
      <c r="C27" s="60" t="s">
        <v>877</v>
      </c>
      <c r="D27" s="55"/>
      <c r="E27" s="54"/>
      <c r="F27" s="54"/>
      <c r="G27" s="1503"/>
      <c r="H27" s="61">
        <v>10</v>
      </c>
      <c r="I27" s="60" t="s">
        <v>876</v>
      </c>
      <c r="J27" s="60" t="s">
        <v>877</v>
      </c>
      <c r="K27" s="75"/>
      <c r="L27" s="76"/>
      <c r="M27" s="54"/>
      <c r="N27" s="54"/>
      <c r="O27" s="1503"/>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1503"/>
      <c r="H28" s="58"/>
      <c r="I28" s="58"/>
      <c r="J28" s="58"/>
      <c r="K28" s="75"/>
      <c r="L28" s="76"/>
      <c r="M28" s="54"/>
      <c r="N28" s="56">
        <v>409.37</v>
      </c>
      <c r="O28" s="1503"/>
      <c r="P28" s="77"/>
      <c r="Q28" s="77"/>
      <c r="R28" s="77"/>
      <c r="S28" s="77"/>
      <c r="T28" s="77"/>
      <c r="U28" s="77"/>
      <c r="V28" s="77"/>
      <c r="W28" s="77"/>
      <c r="X28" s="77"/>
      <c r="Y28" s="77"/>
      <c r="Z28" s="77"/>
      <c r="AA28" s="99"/>
      <c r="AB28" s="99"/>
      <c r="AC28" s="100"/>
    </row>
    <row r="29" spans="1:29" ht="19.2">
      <c r="A29" s="62">
        <v>11</v>
      </c>
      <c r="B29" s="63" t="s">
        <v>878</v>
      </c>
      <c r="C29" s="63" t="s">
        <v>879</v>
      </c>
      <c r="D29" s="64"/>
      <c r="E29" s="63" t="s">
        <v>880</v>
      </c>
      <c r="F29" s="65"/>
      <c r="G29" s="66"/>
      <c r="H29" s="67">
        <v>11</v>
      </c>
      <c r="I29" s="63" t="s">
        <v>878</v>
      </c>
      <c r="J29" s="63" t="s">
        <v>879</v>
      </c>
      <c r="K29" s="79"/>
      <c r="L29" s="66"/>
      <c r="M29" s="63" t="s">
        <v>880</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1503">
        <v>2306</v>
      </c>
      <c r="H30" s="58"/>
      <c r="I30" s="58"/>
      <c r="J30" s="58"/>
      <c r="K30" s="75"/>
      <c r="L30" s="76"/>
      <c r="M30" s="54"/>
      <c r="N30" s="56">
        <v>388.46</v>
      </c>
      <c r="O30" s="1503">
        <v>2306</v>
      </c>
      <c r="P30" s="77"/>
      <c r="Q30" s="77"/>
      <c r="R30" s="77"/>
      <c r="S30" s="77"/>
      <c r="T30" s="77"/>
      <c r="U30" s="77"/>
      <c r="V30" s="77"/>
      <c r="W30" s="77"/>
      <c r="X30" s="77"/>
      <c r="Y30" s="77"/>
      <c r="Z30" s="77"/>
      <c r="AA30" s="99"/>
      <c r="AB30" s="99"/>
      <c r="AC30" s="100"/>
    </row>
    <row r="31" spans="1:29">
      <c r="A31" s="59">
        <v>12</v>
      </c>
      <c r="B31" s="60" t="s">
        <v>881</v>
      </c>
      <c r="C31" s="60" t="s">
        <v>863</v>
      </c>
      <c r="D31" s="55"/>
      <c r="E31" s="54"/>
      <c r="F31" s="54"/>
      <c r="G31" s="1503"/>
      <c r="H31" s="61">
        <v>12</v>
      </c>
      <c r="I31" s="60" t="s">
        <v>881</v>
      </c>
      <c r="J31" s="60" t="s">
        <v>863</v>
      </c>
      <c r="K31" s="75"/>
      <c r="L31" s="76"/>
      <c r="M31" s="54"/>
      <c r="N31" s="54"/>
      <c r="O31" s="1503"/>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2">
      <c r="A32" s="53"/>
      <c r="B32" s="54"/>
      <c r="C32" s="54"/>
      <c r="D32" s="55"/>
      <c r="E32" s="54"/>
      <c r="F32" s="56">
        <v>380.96</v>
      </c>
      <c r="G32" s="1503"/>
      <c r="H32" s="58"/>
      <c r="I32" s="58"/>
      <c r="J32" s="58"/>
      <c r="K32" s="75"/>
      <c r="L32" s="76"/>
      <c r="M32" s="54"/>
      <c r="N32" s="56">
        <v>380.96</v>
      </c>
      <c r="O32" s="1503"/>
      <c r="P32" s="77"/>
      <c r="Q32" s="77"/>
      <c r="R32" s="77"/>
      <c r="S32" s="77"/>
      <c r="T32" s="77"/>
      <c r="U32" s="77"/>
      <c r="V32" s="77"/>
      <c r="W32" s="77"/>
      <c r="X32" s="77"/>
      <c r="Y32" s="77"/>
      <c r="Z32" s="98" t="s">
        <v>882</v>
      </c>
      <c r="AA32" s="99"/>
      <c r="AB32" s="99"/>
      <c r="AC32" s="100"/>
    </row>
    <row r="33" spans="1:29" ht="26.4">
      <c r="A33" s="59">
        <v>13</v>
      </c>
      <c r="B33" s="60" t="s">
        <v>883</v>
      </c>
      <c r="C33" s="60" t="s">
        <v>867</v>
      </c>
      <c r="D33" s="55"/>
      <c r="E33" s="54"/>
      <c r="F33" s="54"/>
      <c r="G33" s="1503"/>
      <c r="H33" s="61">
        <v>13</v>
      </c>
      <c r="I33" s="60" t="s">
        <v>883</v>
      </c>
      <c r="J33" s="60" t="s">
        <v>867</v>
      </c>
      <c r="K33" s="75"/>
      <c r="L33" s="81" t="s">
        <v>296</v>
      </c>
      <c r="M33" s="54"/>
      <c r="N33" s="54"/>
      <c r="O33" s="1503"/>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1503"/>
      <c r="H34" s="58"/>
      <c r="I34" s="58"/>
      <c r="J34" s="58"/>
      <c r="K34" s="75"/>
      <c r="L34" s="76"/>
      <c r="M34" s="54"/>
      <c r="N34" s="56">
        <v>381.39</v>
      </c>
      <c r="O34" s="1503"/>
      <c r="P34" s="77"/>
      <c r="Q34" s="77"/>
      <c r="R34" s="77"/>
      <c r="S34" s="77"/>
      <c r="T34" s="77"/>
      <c r="U34" s="77"/>
      <c r="V34" s="77"/>
      <c r="W34" s="77"/>
      <c r="X34" s="77"/>
      <c r="Y34" s="77"/>
      <c r="Z34" s="98" t="s">
        <v>870</v>
      </c>
      <c r="AA34" s="99"/>
      <c r="AB34" s="99"/>
      <c r="AC34" s="100"/>
    </row>
    <row r="35" spans="1:29">
      <c r="A35" s="59">
        <v>14</v>
      </c>
      <c r="B35" s="60" t="s">
        <v>884</v>
      </c>
      <c r="C35" s="60" t="s">
        <v>863</v>
      </c>
      <c r="D35" s="55"/>
      <c r="E35" s="54"/>
      <c r="F35" s="54"/>
      <c r="G35" s="1503"/>
      <c r="H35" s="61">
        <v>14</v>
      </c>
      <c r="I35" s="60" t="s">
        <v>884</v>
      </c>
      <c r="J35" s="60" t="s">
        <v>863</v>
      </c>
      <c r="K35" s="75"/>
      <c r="L35" s="76"/>
      <c r="M35" s="54"/>
      <c r="N35" s="54"/>
      <c r="O35" s="1503"/>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ht="19.2">
      <c r="A36" s="53"/>
      <c r="B36" s="54"/>
      <c r="C36" s="54"/>
      <c r="D36" s="55"/>
      <c r="E36" s="54"/>
      <c r="F36" s="56">
        <v>344.6</v>
      </c>
      <c r="G36" s="1503"/>
      <c r="H36" s="58"/>
      <c r="I36" s="58"/>
      <c r="J36" s="58"/>
      <c r="K36" s="75"/>
      <c r="L36" s="76"/>
      <c r="M36" s="54"/>
      <c r="N36" s="56">
        <v>344.6</v>
      </c>
      <c r="O36" s="1503"/>
      <c r="P36" s="77"/>
      <c r="Q36" s="77"/>
      <c r="R36" s="77"/>
      <c r="S36" s="77"/>
      <c r="T36" s="77"/>
      <c r="U36" s="77"/>
      <c r="V36" s="77"/>
      <c r="W36" s="77"/>
      <c r="X36" s="77"/>
      <c r="Y36" s="77"/>
      <c r="Z36" s="98" t="s">
        <v>885</v>
      </c>
      <c r="AA36" s="99"/>
      <c r="AB36" s="99"/>
      <c r="AC36" s="100"/>
    </row>
    <row r="37" spans="1:29">
      <c r="A37" s="59">
        <v>15</v>
      </c>
      <c r="B37" s="60" t="s">
        <v>886</v>
      </c>
      <c r="C37" s="60" t="s">
        <v>867</v>
      </c>
      <c r="D37" s="55"/>
      <c r="E37" s="54"/>
      <c r="F37" s="54"/>
      <c r="G37" s="1503"/>
      <c r="H37" s="61">
        <v>15</v>
      </c>
      <c r="I37" s="60" t="s">
        <v>886</v>
      </c>
      <c r="J37" s="60" t="s">
        <v>867</v>
      </c>
      <c r="K37" s="75"/>
      <c r="L37" s="76"/>
      <c r="M37" s="54"/>
      <c r="N37" s="54"/>
      <c r="O37" s="1503"/>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1503"/>
      <c r="H38" s="58"/>
      <c r="I38" s="58"/>
      <c r="J38" s="58"/>
      <c r="K38" s="75"/>
      <c r="L38" s="76"/>
      <c r="M38" s="54"/>
      <c r="N38" s="56">
        <v>395.64</v>
      </c>
      <c r="O38" s="1503"/>
      <c r="P38" s="77"/>
      <c r="Q38" s="77"/>
      <c r="R38" s="77"/>
      <c r="S38" s="77"/>
      <c r="T38" s="77"/>
      <c r="U38" s="77"/>
      <c r="V38" s="77"/>
      <c r="W38" s="77"/>
      <c r="X38" s="77"/>
      <c r="Y38" s="77"/>
      <c r="Z38" s="77"/>
      <c r="AA38" s="99"/>
      <c r="AB38" s="99"/>
      <c r="AC38" s="100"/>
    </row>
    <row r="39" spans="1:29">
      <c r="A39" s="59">
        <v>16</v>
      </c>
      <c r="B39" s="60" t="s">
        <v>887</v>
      </c>
      <c r="C39" s="60" t="s">
        <v>877</v>
      </c>
      <c r="D39" s="55"/>
      <c r="E39" s="54"/>
      <c r="F39" s="54"/>
      <c r="G39" s="1503"/>
      <c r="H39" s="61">
        <v>16</v>
      </c>
      <c r="I39" s="60" t="s">
        <v>887</v>
      </c>
      <c r="J39" s="60" t="s">
        <v>877</v>
      </c>
      <c r="K39" s="75"/>
      <c r="L39" s="76"/>
      <c r="M39" s="54"/>
      <c r="N39" s="54"/>
      <c r="O39" s="1503"/>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1503"/>
      <c r="H40" s="58"/>
      <c r="I40" s="58"/>
      <c r="J40" s="58"/>
      <c r="K40" s="75"/>
      <c r="L40" s="76"/>
      <c r="M40" s="54"/>
      <c r="N40" s="56">
        <v>414.76</v>
      </c>
      <c r="O40" s="1503"/>
      <c r="P40" s="77"/>
      <c r="Q40" s="77"/>
      <c r="R40" s="77"/>
      <c r="S40" s="77"/>
      <c r="T40" s="77"/>
      <c r="U40" s="77"/>
      <c r="V40" s="77"/>
      <c r="W40" s="77"/>
      <c r="X40" s="77"/>
      <c r="Y40" s="77"/>
      <c r="Z40" s="98" t="s">
        <v>870</v>
      </c>
      <c r="AA40" s="99"/>
      <c r="AB40" s="99"/>
      <c r="AC40" s="100"/>
    </row>
    <row r="41" spans="1:29" ht="19.2">
      <c r="A41" s="62">
        <v>17</v>
      </c>
      <c r="B41" s="63" t="s">
        <v>888</v>
      </c>
      <c r="C41" s="63" t="s">
        <v>858</v>
      </c>
      <c r="D41" s="64"/>
      <c r="E41" s="63" t="s">
        <v>889</v>
      </c>
      <c r="F41" s="65"/>
      <c r="G41" s="66"/>
      <c r="H41" s="67">
        <v>17</v>
      </c>
      <c r="I41" s="63" t="s">
        <v>888</v>
      </c>
      <c r="J41" s="63" t="s">
        <v>858</v>
      </c>
      <c r="K41" s="79"/>
      <c r="L41" s="66"/>
      <c r="M41" s="63" t="s">
        <v>889</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1503">
        <v>757</v>
      </c>
      <c r="H42" s="58"/>
      <c r="I42" s="58"/>
      <c r="J42" s="58"/>
      <c r="K42" s="75"/>
      <c r="L42" s="76"/>
      <c r="M42" s="54"/>
      <c r="N42" s="56">
        <v>401.93</v>
      </c>
      <c r="O42" s="1503">
        <v>757</v>
      </c>
      <c r="P42" s="77"/>
      <c r="Q42" s="77"/>
      <c r="R42" s="77"/>
      <c r="S42" s="77"/>
      <c r="T42" s="77"/>
      <c r="U42" s="77"/>
      <c r="V42" s="77"/>
      <c r="W42" s="77"/>
      <c r="X42" s="77"/>
      <c r="Y42" s="77"/>
      <c r="Z42" s="98" t="s">
        <v>890</v>
      </c>
      <c r="AA42" s="99"/>
      <c r="AB42" s="99"/>
      <c r="AC42" s="100"/>
    </row>
    <row r="43" spans="1:29">
      <c r="A43" s="59">
        <v>18</v>
      </c>
      <c r="B43" s="60" t="s">
        <v>891</v>
      </c>
      <c r="C43" s="60" t="s">
        <v>867</v>
      </c>
      <c r="D43" s="68">
        <v>1</v>
      </c>
      <c r="E43" s="54"/>
      <c r="F43" s="54"/>
      <c r="G43" s="1503"/>
      <c r="H43" s="61">
        <v>18</v>
      </c>
      <c r="I43" s="60" t="s">
        <v>891</v>
      </c>
      <c r="J43" s="60" t="s">
        <v>867</v>
      </c>
      <c r="K43" s="68">
        <v>1</v>
      </c>
      <c r="L43" s="76"/>
      <c r="M43" s="54"/>
      <c r="N43" s="54"/>
      <c r="O43" s="1503"/>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1503"/>
      <c r="H44" s="58"/>
      <c r="I44" s="58"/>
      <c r="J44" s="58"/>
      <c r="K44" s="75"/>
      <c r="L44" s="76"/>
      <c r="M44" s="54"/>
      <c r="N44" s="56">
        <v>354.95</v>
      </c>
      <c r="O44" s="1503"/>
      <c r="P44" s="77"/>
      <c r="Q44" s="77"/>
      <c r="R44" s="77"/>
      <c r="S44" s="77"/>
      <c r="T44" s="77"/>
      <c r="U44" s="77"/>
      <c r="V44" s="77"/>
      <c r="W44" s="77"/>
      <c r="X44" s="77"/>
      <c r="Y44" s="77"/>
      <c r="Z44" s="77"/>
      <c r="AA44" s="99"/>
      <c r="AB44" s="99"/>
      <c r="AC44" s="100"/>
    </row>
    <row r="45" spans="1:29" ht="19.2">
      <c r="A45" s="62">
        <v>19</v>
      </c>
      <c r="B45" s="63" t="s">
        <v>892</v>
      </c>
      <c r="C45" s="63" t="s">
        <v>893</v>
      </c>
      <c r="D45" s="64"/>
      <c r="E45" s="63" t="s">
        <v>894</v>
      </c>
      <c r="F45" s="65"/>
      <c r="G45" s="66"/>
      <c r="H45" s="67">
        <v>19</v>
      </c>
      <c r="I45" s="63" t="s">
        <v>892</v>
      </c>
      <c r="J45" s="63" t="s">
        <v>893</v>
      </c>
      <c r="K45" s="79"/>
      <c r="L45" s="66"/>
      <c r="M45" s="63" t="s">
        <v>894</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8">
      <c r="A46" s="53"/>
      <c r="B46" s="54"/>
      <c r="C46" s="54"/>
      <c r="D46" s="55"/>
      <c r="E46" s="54"/>
      <c r="F46" s="56">
        <v>425</v>
      </c>
      <c r="G46" s="1503">
        <v>1192</v>
      </c>
      <c r="H46" s="58"/>
      <c r="I46" s="58"/>
      <c r="J46" s="58"/>
      <c r="K46" s="75"/>
      <c r="L46" s="76"/>
      <c r="M46" s="54"/>
      <c r="N46" s="56">
        <v>425</v>
      </c>
      <c r="O46" s="1503">
        <v>1192</v>
      </c>
      <c r="P46" s="77"/>
      <c r="Q46" s="77"/>
      <c r="R46" s="77"/>
      <c r="S46" s="77"/>
      <c r="T46" s="77"/>
      <c r="U46" s="77"/>
      <c r="V46" s="77"/>
      <c r="W46" s="77"/>
      <c r="X46" s="77"/>
      <c r="Y46" s="77"/>
      <c r="Z46" s="98" t="s">
        <v>895</v>
      </c>
      <c r="AA46" s="99"/>
      <c r="AB46" s="99"/>
      <c r="AC46" s="100"/>
    </row>
    <row r="47" spans="1:29">
      <c r="A47" s="59">
        <v>20</v>
      </c>
      <c r="B47" s="60" t="s">
        <v>896</v>
      </c>
      <c r="C47" s="60" t="s">
        <v>897</v>
      </c>
      <c r="D47" s="55"/>
      <c r="E47" s="54"/>
      <c r="F47" s="54"/>
      <c r="G47" s="1503"/>
      <c r="H47" s="61">
        <v>20</v>
      </c>
      <c r="I47" s="60" t="s">
        <v>896</v>
      </c>
      <c r="J47" s="60" t="s">
        <v>897</v>
      </c>
      <c r="K47" s="75"/>
      <c r="L47" s="76"/>
      <c r="M47" s="54"/>
      <c r="N47" s="54"/>
      <c r="O47" s="1503"/>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1503"/>
      <c r="H48" s="58"/>
      <c r="I48" s="58"/>
      <c r="J48" s="58"/>
      <c r="K48" s="75"/>
      <c r="L48" s="76"/>
      <c r="M48" s="54"/>
      <c r="N48" s="56">
        <v>414</v>
      </c>
      <c r="O48" s="1503"/>
      <c r="P48" s="77"/>
      <c r="Q48" s="77"/>
      <c r="R48" s="77"/>
      <c r="S48" s="77"/>
      <c r="T48" s="77"/>
      <c r="U48" s="77"/>
      <c r="V48" s="77"/>
      <c r="W48" s="77"/>
      <c r="X48" s="77"/>
      <c r="Y48" s="77"/>
      <c r="Z48" s="77"/>
      <c r="AA48" s="99"/>
      <c r="AB48" s="99"/>
      <c r="AC48" s="100"/>
    </row>
    <row r="49" spans="1:29" ht="26.4">
      <c r="A49" s="59">
        <v>21</v>
      </c>
      <c r="B49" s="60" t="s">
        <v>898</v>
      </c>
      <c r="C49" s="60" t="s">
        <v>863</v>
      </c>
      <c r="D49" s="68">
        <v>1</v>
      </c>
      <c r="E49" s="54"/>
      <c r="F49" s="54"/>
      <c r="G49" s="1503"/>
      <c r="H49" s="61">
        <v>21</v>
      </c>
      <c r="I49" s="60" t="s">
        <v>898</v>
      </c>
      <c r="J49" s="60" t="s">
        <v>863</v>
      </c>
      <c r="K49" s="68">
        <v>1</v>
      </c>
      <c r="L49" s="81" t="s">
        <v>296</v>
      </c>
      <c r="M49" s="54"/>
      <c r="N49" s="54"/>
      <c r="O49" s="1503"/>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1503"/>
      <c r="H50" s="58"/>
      <c r="I50" s="58"/>
      <c r="J50" s="58"/>
      <c r="K50" s="75"/>
      <c r="L50" s="76"/>
      <c r="M50" s="54"/>
      <c r="N50" s="56">
        <v>353.05</v>
      </c>
      <c r="O50" s="1503"/>
      <c r="P50" s="77"/>
      <c r="Q50" s="77"/>
      <c r="R50" s="77"/>
      <c r="S50" s="77"/>
      <c r="T50" s="77"/>
      <c r="U50" s="77"/>
      <c r="V50" s="77"/>
      <c r="W50" s="77"/>
      <c r="X50" s="77"/>
      <c r="Y50" s="77"/>
      <c r="Z50" s="98" t="s">
        <v>870</v>
      </c>
      <c r="AA50" s="99"/>
      <c r="AB50" s="99"/>
      <c r="AC50" s="100"/>
    </row>
    <row r="51" spans="1:29" ht="19.2">
      <c r="A51" s="62">
        <v>22</v>
      </c>
      <c r="B51" s="63" t="s">
        <v>899</v>
      </c>
      <c r="C51" s="63" t="s">
        <v>900</v>
      </c>
      <c r="D51" s="69">
        <v>1</v>
      </c>
      <c r="E51" s="63" t="s">
        <v>901</v>
      </c>
      <c r="F51" s="65"/>
      <c r="G51" s="66"/>
      <c r="H51" s="67">
        <v>22</v>
      </c>
      <c r="I51" s="63" t="s">
        <v>899</v>
      </c>
      <c r="J51" s="63" t="s">
        <v>900</v>
      </c>
      <c r="K51" s="69">
        <v>1</v>
      </c>
      <c r="L51" s="66"/>
      <c r="M51" s="63" t="s">
        <v>901</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1503">
        <v>829</v>
      </c>
      <c r="H52" s="58"/>
      <c r="I52" s="58"/>
      <c r="J52" s="58"/>
      <c r="K52" s="75"/>
      <c r="L52" s="76"/>
      <c r="M52" s="54"/>
      <c r="N52" s="56">
        <v>441.06</v>
      </c>
      <c r="O52" s="1503">
        <v>829</v>
      </c>
      <c r="P52" s="77"/>
      <c r="Q52" s="77"/>
      <c r="R52" s="77"/>
      <c r="S52" s="77"/>
      <c r="T52" s="77"/>
      <c r="U52" s="77"/>
      <c r="V52" s="77"/>
      <c r="W52" s="77"/>
      <c r="X52" s="77"/>
      <c r="Y52" s="77"/>
      <c r="Z52" s="98" t="s">
        <v>902</v>
      </c>
      <c r="AA52" s="99"/>
      <c r="AB52" s="99"/>
      <c r="AC52" s="100"/>
    </row>
    <row r="53" spans="1:29" ht="26.4">
      <c r="A53" s="59">
        <v>23</v>
      </c>
      <c r="B53" s="60" t="s">
        <v>903</v>
      </c>
      <c r="C53" s="60" t="s">
        <v>897</v>
      </c>
      <c r="D53" s="55"/>
      <c r="E53" s="54"/>
      <c r="F53" s="54"/>
      <c r="G53" s="1503"/>
      <c r="H53" s="61">
        <v>23</v>
      </c>
      <c r="I53" s="60" t="s">
        <v>903</v>
      </c>
      <c r="J53" s="60" t="s">
        <v>897</v>
      </c>
      <c r="K53" s="75"/>
      <c r="L53" s="81" t="s">
        <v>296</v>
      </c>
      <c r="M53" s="54"/>
      <c r="N53" s="54"/>
      <c r="O53" s="1503"/>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8">
      <c r="A54" s="53"/>
      <c r="B54" s="54"/>
      <c r="C54" s="54"/>
      <c r="D54" s="55"/>
      <c r="E54" s="54"/>
      <c r="F54" s="56">
        <v>387.5</v>
      </c>
      <c r="G54" s="1503"/>
      <c r="H54" s="58"/>
      <c r="I54" s="58"/>
      <c r="J54" s="58"/>
      <c r="K54" s="75"/>
      <c r="L54" s="76"/>
      <c r="M54" s="54"/>
      <c r="N54" s="56">
        <v>387.5</v>
      </c>
      <c r="O54" s="1503"/>
      <c r="P54" s="77"/>
      <c r="Q54" s="77"/>
      <c r="R54" s="77"/>
      <c r="S54" s="77"/>
      <c r="T54" s="77"/>
      <c r="U54" s="77"/>
      <c r="V54" s="77"/>
      <c r="W54" s="77"/>
      <c r="X54" s="77"/>
      <c r="Y54" s="77"/>
      <c r="Z54" s="98" t="s">
        <v>904</v>
      </c>
      <c r="AA54" s="99"/>
      <c r="AB54" s="99"/>
      <c r="AC54" s="100"/>
    </row>
    <row r="55" spans="1:29" ht="19.2">
      <c r="A55" s="62">
        <v>24</v>
      </c>
      <c r="B55" s="63" t="s">
        <v>905</v>
      </c>
      <c r="C55" s="63" t="s">
        <v>906</v>
      </c>
      <c r="D55" s="64"/>
      <c r="E55" s="63" t="s">
        <v>907</v>
      </c>
      <c r="F55" s="65"/>
      <c r="G55" s="66"/>
      <c r="H55" s="67">
        <v>24</v>
      </c>
      <c r="I55" s="63" t="s">
        <v>905</v>
      </c>
      <c r="J55" s="63" t="s">
        <v>906</v>
      </c>
      <c r="K55" s="79"/>
      <c r="L55" s="66"/>
      <c r="M55" s="63" t="s">
        <v>907</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1503">
        <v>2400</v>
      </c>
      <c r="H56" s="58"/>
      <c r="I56" s="58"/>
      <c r="J56" s="58"/>
      <c r="K56" s="75"/>
      <c r="L56" s="76"/>
      <c r="M56" s="54"/>
      <c r="N56" s="56">
        <v>372.63</v>
      </c>
      <c r="O56" s="1503">
        <v>2400</v>
      </c>
      <c r="P56" s="77"/>
      <c r="Q56" s="77"/>
      <c r="R56" s="77"/>
      <c r="S56" s="77"/>
      <c r="T56" s="77"/>
      <c r="U56" s="77"/>
      <c r="V56" s="77"/>
      <c r="W56" s="77"/>
      <c r="X56" s="77"/>
      <c r="Y56" s="77"/>
      <c r="Z56" s="98" t="s">
        <v>868</v>
      </c>
      <c r="AA56" s="99"/>
      <c r="AB56" s="99"/>
      <c r="AC56" s="100"/>
    </row>
    <row r="57" spans="1:29" ht="39.6">
      <c r="A57" s="59">
        <v>25</v>
      </c>
      <c r="B57" s="60" t="s">
        <v>908</v>
      </c>
      <c r="C57" s="60" t="s">
        <v>863</v>
      </c>
      <c r="D57" s="55"/>
      <c r="E57" s="54"/>
      <c r="F57" s="54"/>
      <c r="G57" s="1503"/>
      <c r="H57" s="61">
        <v>25</v>
      </c>
      <c r="I57" s="60" t="s">
        <v>908</v>
      </c>
      <c r="J57" s="60" t="s">
        <v>863</v>
      </c>
      <c r="K57" s="75"/>
      <c r="L57" s="81" t="s">
        <v>909</v>
      </c>
      <c r="M57" s="54"/>
      <c r="N57" s="54"/>
      <c r="O57" s="1503"/>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8">
      <c r="A58" s="53"/>
      <c r="B58" s="54"/>
      <c r="C58" s="54"/>
      <c r="D58" s="55"/>
      <c r="E58" s="54"/>
      <c r="F58" s="56">
        <v>415.3</v>
      </c>
      <c r="G58" s="1503"/>
      <c r="H58" s="58"/>
      <c r="I58" s="58"/>
      <c r="J58" s="58"/>
      <c r="K58" s="75"/>
      <c r="L58" s="76"/>
      <c r="M58" s="54"/>
      <c r="N58" s="56">
        <v>415.3</v>
      </c>
      <c r="O58" s="1503"/>
      <c r="P58" s="77"/>
      <c r="Q58" s="77"/>
      <c r="R58" s="77"/>
      <c r="S58" s="77"/>
      <c r="T58" s="77"/>
      <c r="U58" s="77"/>
      <c r="V58" s="77"/>
      <c r="W58" s="77"/>
      <c r="X58" s="77"/>
      <c r="Y58" s="77"/>
      <c r="Z58" s="98" t="s">
        <v>910</v>
      </c>
      <c r="AA58" s="99"/>
      <c r="AB58" s="99"/>
      <c r="AC58" s="100"/>
    </row>
    <row r="59" spans="1:29">
      <c r="A59" s="59">
        <v>26</v>
      </c>
      <c r="B59" s="60" t="s">
        <v>911</v>
      </c>
      <c r="C59" s="60" t="s">
        <v>867</v>
      </c>
      <c r="D59" s="55"/>
      <c r="E59" s="54"/>
      <c r="F59" s="54"/>
      <c r="G59" s="1503"/>
      <c r="H59" s="61">
        <v>26</v>
      </c>
      <c r="I59" s="60" t="s">
        <v>911</v>
      </c>
      <c r="J59" s="60" t="s">
        <v>867</v>
      </c>
      <c r="K59" s="75"/>
      <c r="L59" s="76"/>
      <c r="M59" s="54"/>
      <c r="N59" s="54"/>
      <c r="O59" s="1503"/>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1503"/>
      <c r="H60" s="58"/>
      <c r="I60" s="58"/>
      <c r="J60" s="58"/>
      <c r="K60" s="75"/>
      <c r="L60" s="76"/>
      <c r="M60" s="54"/>
      <c r="N60" s="56">
        <v>424.58</v>
      </c>
      <c r="O60" s="1503"/>
      <c r="P60" s="77"/>
      <c r="Q60" s="77"/>
      <c r="R60" s="77"/>
      <c r="S60" s="77"/>
      <c r="T60" s="77"/>
      <c r="U60" s="77"/>
      <c r="V60" s="77"/>
      <c r="W60" s="77"/>
      <c r="X60" s="77"/>
      <c r="Y60" s="77"/>
      <c r="Z60" s="77"/>
      <c r="AA60" s="99"/>
      <c r="AB60" s="99"/>
      <c r="AC60" s="100"/>
    </row>
    <row r="61" spans="1:29">
      <c r="A61" s="59">
        <v>27</v>
      </c>
      <c r="B61" s="60" t="s">
        <v>912</v>
      </c>
      <c r="C61" s="60" t="s">
        <v>863</v>
      </c>
      <c r="D61" s="55"/>
      <c r="E61" s="54"/>
      <c r="F61" s="54"/>
      <c r="G61" s="1503"/>
      <c r="H61" s="61">
        <v>27</v>
      </c>
      <c r="I61" s="60" t="s">
        <v>912</v>
      </c>
      <c r="J61" s="60" t="s">
        <v>863</v>
      </c>
      <c r="K61" s="75"/>
      <c r="L61" s="76"/>
      <c r="M61" s="54"/>
      <c r="N61" s="54"/>
      <c r="O61" s="1503"/>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1503"/>
      <c r="H62" s="58"/>
      <c r="I62" s="58"/>
      <c r="J62" s="58"/>
      <c r="K62" s="75"/>
      <c r="L62" s="76"/>
      <c r="M62" s="54"/>
      <c r="N62" s="56">
        <v>391.7</v>
      </c>
      <c r="O62" s="1503"/>
      <c r="P62" s="77"/>
      <c r="Q62" s="77"/>
      <c r="R62" s="77"/>
      <c r="S62" s="77"/>
      <c r="T62" s="77"/>
      <c r="U62" s="77"/>
      <c r="V62" s="77"/>
      <c r="W62" s="77"/>
      <c r="X62" s="77"/>
      <c r="Y62" s="77"/>
      <c r="Z62" s="77"/>
      <c r="AA62" s="99"/>
      <c r="AB62" s="99"/>
      <c r="AC62" s="100"/>
    </row>
    <row r="63" spans="1:29">
      <c r="A63" s="59">
        <v>28</v>
      </c>
      <c r="B63" s="60" t="s">
        <v>913</v>
      </c>
      <c r="C63" s="60" t="s">
        <v>863</v>
      </c>
      <c r="D63" s="55"/>
      <c r="E63" s="54"/>
      <c r="F63" s="54"/>
      <c r="G63" s="1503"/>
      <c r="H63" s="61">
        <v>28</v>
      </c>
      <c r="I63" s="60" t="s">
        <v>913</v>
      </c>
      <c r="J63" s="60" t="s">
        <v>863</v>
      </c>
      <c r="K63" s="75"/>
      <c r="L63" s="76"/>
      <c r="M63" s="54"/>
      <c r="N63" s="54"/>
      <c r="O63" s="1503"/>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38.4">
      <c r="A64" s="53"/>
      <c r="B64" s="54"/>
      <c r="C64" s="54"/>
      <c r="D64" s="55"/>
      <c r="E64" s="54"/>
      <c r="F64" s="56">
        <v>410.47</v>
      </c>
      <c r="G64" s="1503"/>
      <c r="H64" s="58"/>
      <c r="I64" s="58"/>
      <c r="J64" s="58"/>
      <c r="K64" s="75"/>
      <c r="L64" s="76"/>
      <c r="M64" s="54"/>
      <c r="N64" s="56">
        <v>410.47</v>
      </c>
      <c r="O64" s="1503"/>
      <c r="P64" s="77"/>
      <c r="Q64" s="77"/>
      <c r="R64" s="77"/>
      <c r="S64" s="77"/>
      <c r="T64" s="77"/>
      <c r="U64" s="77"/>
      <c r="V64" s="77"/>
      <c r="W64" s="77"/>
      <c r="X64" s="77"/>
      <c r="Y64" s="77"/>
      <c r="Z64" s="98" t="s">
        <v>914</v>
      </c>
      <c r="AA64" s="99"/>
      <c r="AB64" s="99"/>
      <c r="AC64" s="100"/>
    </row>
    <row r="65" spans="1:29">
      <c r="A65" s="59">
        <v>29</v>
      </c>
      <c r="B65" s="60" t="s">
        <v>915</v>
      </c>
      <c r="C65" s="60" t="s">
        <v>877</v>
      </c>
      <c r="D65" s="55"/>
      <c r="E65" s="54"/>
      <c r="F65" s="54"/>
      <c r="G65" s="1503"/>
      <c r="H65" s="61">
        <v>29</v>
      </c>
      <c r="I65" s="60" t="s">
        <v>915</v>
      </c>
      <c r="J65" s="60" t="s">
        <v>877</v>
      </c>
      <c r="K65" s="75"/>
      <c r="L65" s="76"/>
      <c r="M65" s="54"/>
      <c r="N65" s="54"/>
      <c r="O65" s="1503"/>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2">
      <c r="A66" s="53"/>
      <c r="B66" s="54"/>
      <c r="C66" s="54"/>
      <c r="D66" s="55"/>
      <c r="E66" s="54"/>
      <c r="F66" s="56">
        <v>385.54</v>
      </c>
      <c r="G66" s="1503"/>
      <c r="H66" s="58"/>
      <c r="I66" s="58"/>
      <c r="J66" s="58"/>
      <c r="K66" s="75"/>
      <c r="L66" s="76"/>
      <c r="M66" s="54"/>
      <c r="N66" s="56">
        <v>385.54</v>
      </c>
      <c r="O66" s="1503"/>
      <c r="P66" s="77"/>
      <c r="Q66" s="77"/>
      <c r="R66" s="77"/>
      <c r="S66" s="77"/>
      <c r="T66" s="77"/>
      <c r="U66" s="77"/>
      <c r="V66" s="77"/>
      <c r="W66" s="77"/>
      <c r="X66" s="77"/>
      <c r="Y66" s="77"/>
      <c r="Z66" s="98" t="s">
        <v>916</v>
      </c>
      <c r="AA66" s="99"/>
      <c r="AB66" s="99"/>
      <c r="AC66" s="100"/>
    </row>
    <row r="67" spans="1:29" ht="19.2">
      <c r="A67" s="62">
        <v>30</v>
      </c>
      <c r="B67" s="63" t="s">
        <v>917</v>
      </c>
      <c r="C67" s="63" t="s">
        <v>900</v>
      </c>
      <c r="D67" s="64"/>
      <c r="E67" s="63" t="s">
        <v>918</v>
      </c>
      <c r="F67" s="65"/>
      <c r="G67" s="66"/>
      <c r="H67" s="67">
        <v>30</v>
      </c>
      <c r="I67" s="63" t="s">
        <v>917</v>
      </c>
      <c r="J67" s="63" t="s">
        <v>900</v>
      </c>
      <c r="K67" s="79"/>
      <c r="L67" s="66"/>
      <c r="M67" s="63" t="s">
        <v>918</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1503">
        <v>1242</v>
      </c>
      <c r="H68" s="58"/>
      <c r="I68" s="58"/>
      <c r="J68" s="58"/>
      <c r="K68" s="75"/>
      <c r="L68" s="76"/>
      <c r="M68" s="54"/>
      <c r="N68" s="56">
        <v>418.31</v>
      </c>
      <c r="O68" s="1503">
        <v>1242</v>
      </c>
      <c r="P68" s="77"/>
      <c r="Q68" s="77"/>
      <c r="R68" s="77"/>
      <c r="S68" s="77"/>
      <c r="T68" s="77"/>
      <c r="U68" s="77"/>
      <c r="V68" s="77"/>
      <c r="W68" s="77"/>
      <c r="X68" s="77"/>
      <c r="Y68" s="77"/>
      <c r="Z68" s="98" t="s">
        <v>868</v>
      </c>
      <c r="AA68" s="99"/>
      <c r="AB68" s="99"/>
      <c r="AC68" s="100"/>
    </row>
    <row r="69" spans="1:29">
      <c r="A69" s="59">
        <v>31</v>
      </c>
      <c r="B69" s="60" t="s">
        <v>919</v>
      </c>
      <c r="C69" s="60" t="s">
        <v>863</v>
      </c>
      <c r="D69" s="68">
        <v>1</v>
      </c>
      <c r="E69" s="54"/>
      <c r="F69" s="54"/>
      <c r="G69" s="1503"/>
      <c r="H69" s="61">
        <v>31</v>
      </c>
      <c r="I69" s="60" t="s">
        <v>919</v>
      </c>
      <c r="J69" s="60" t="s">
        <v>863</v>
      </c>
      <c r="K69" s="68">
        <v>1</v>
      </c>
      <c r="L69" s="76"/>
      <c r="M69" s="54"/>
      <c r="N69" s="54"/>
      <c r="O69" s="1503"/>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1503"/>
      <c r="H70" s="58"/>
      <c r="I70" s="58"/>
      <c r="J70" s="58"/>
      <c r="K70" s="75"/>
      <c r="L70" s="76"/>
      <c r="M70" s="54"/>
      <c r="N70" s="56">
        <v>421.47</v>
      </c>
      <c r="O70" s="1503"/>
      <c r="P70" s="77"/>
      <c r="Q70" s="77"/>
      <c r="R70" s="77"/>
      <c r="S70" s="77"/>
      <c r="T70" s="77"/>
      <c r="U70" s="77"/>
      <c r="V70" s="77"/>
      <c r="W70" s="77"/>
      <c r="X70" s="77"/>
      <c r="Y70" s="77"/>
      <c r="Z70" s="98" t="s">
        <v>870</v>
      </c>
      <c r="AA70" s="99"/>
      <c r="AB70" s="99"/>
      <c r="AC70" s="100"/>
    </row>
    <row r="71" spans="1:29">
      <c r="A71" s="59">
        <v>32</v>
      </c>
      <c r="B71" s="60" t="s">
        <v>920</v>
      </c>
      <c r="C71" s="60" t="s">
        <v>867</v>
      </c>
      <c r="D71" s="55"/>
      <c r="E71" s="54"/>
      <c r="F71" s="54"/>
      <c r="G71" s="1503"/>
      <c r="H71" s="61">
        <v>32</v>
      </c>
      <c r="I71" s="60" t="s">
        <v>920</v>
      </c>
      <c r="J71" s="60" t="s">
        <v>867</v>
      </c>
      <c r="K71" s="75"/>
      <c r="L71" s="76"/>
      <c r="M71" s="54"/>
      <c r="N71" s="54"/>
      <c r="O71" s="1503"/>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1503"/>
      <c r="H72" s="58"/>
      <c r="I72" s="58"/>
      <c r="J72" s="58"/>
      <c r="K72" s="75"/>
      <c r="L72" s="76"/>
      <c r="M72" s="54"/>
      <c r="N72" s="56">
        <v>401.98</v>
      </c>
      <c r="O72" s="1503"/>
      <c r="P72" s="77"/>
      <c r="Q72" s="77"/>
      <c r="R72" s="77"/>
      <c r="S72" s="77"/>
      <c r="T72" s="77"/>
      <c r="U72" s="77"/>
      <c r="V72" s="77"/>
      <c r="W72" s="77"/>
      <c r="X72" s="77"/>
      <c r="Y72" s="77"/>
      <c r="Z72" s="98" t="s">
        <v>870</v>
      </c>
      <c r="AA72" s="99"/>
      <c r="AB72" s="99"/>
      <c r="AC72" s="100"/>
    </row>
    <row r="73" spans="1:29" ht="19.2">
      <c r="A73" s="62">
        <v>33</v>
      </c>
      <c r="B73" s="63" t="s">
        <v>921</v>
      </c>
      <c r="C73" s="63" t="s">
        <v>858</v>
      </c>
      <c r="D73" s="64"/>
      <c r="E73" s="63" t="s">
        <v>922</v>
      </c>
      <c r="F73" s="65"/>
      <c r="G73" s="66"/>
      <c r="H73" s="67">
        <v>33</v>
      </c>
      <c r="I73" s="63" t="s">
        <v>921</v>
      </c>
      <c r="J73" s="63" t="s">
        <v>858</v>
      </c>
      <c r="K73" s="79"/>
      <c r="L73" s="66"/>
      <c r="M73" s="63" t="s">
        <v>922</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2">
      <c r="A74" s="53"/>
      <c r="B74" s="54"/>
      <c r="C74" s="54"/>
      <c r="D74" s="55"/>
      <c r="E74" s="54"/>
      <c r="F74" s="56">
        <v>429.38</v>
      </c>
      <c r="G74" s="1503">
        <v>833</v>
      </c>
      <c r="H74" s="58"/>
      <c r="I74" s="58"/>
      <c r="J74" s="58"/>
      <c r="K74" s="75"/>
      <c r="L74" s="76"/>
      <c r="M74" s="54"/>
      <c r="N74" s="56">
        <v>429.38</v>
      </c>
      <c r="O74" s="1503">
        <v>833</v>
      </c>
      <c r="P74" s="77"/>
      <c r="Q74" s="77"/>
      <c r="R74" s="77"/>
      <c r="S74" s="77"/>
      <c r="T74" s="77"/>
      <c r="U74" s="77"/>
      <c r="V74" s="77"/>
      <c r="W74" s="77"/>
      <c r="X74" s="77"/>
      <c r="Y74" s="77"/>
      <c r="Z74" s="98" t="s">
        <v>923</v>
      </c>
      <c r="AA74" s="99"/>
      <c r="AB74" s="99"/>
      <c r="AC74" s="100"/>
    </row>
    <row r="75" spans="1:29">
      <c r="A75" s="59">
        <v>34</v>
      </c>
      <c r="B75" s="60" t="s">
        <v>924</v>
      </c>
      <c r="C75" s="60" t="s">
        <v>867</v>
      </c>
      <c r="D75" s="55"/>
      <c r="E75" s="54"/>
      <c r="F75" s="54"/>
      <c r="G75" s="1503"/>
      <c r="H75" s="61">
        <v>34</v>
      </c>
      <c r="I75" s="60" t="s">
        <v>924</v>
      </c>
      <c r="J75" s="60" t="s">
        <v>867</v>
      </c>
      <c r="K75" s="75"/>
      <c r="L75" s="76"/>
      <c r="M75" s="54"/>
      <c r="N75" s="54"/>
      <c r="O75" s="1503"/>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1503"/>
      <c r="H76" s="58"/>
      <c r="I76" s="58"/>
      <c r="J76" s="58"/>
      <c r="K76" s="75"/>
      <c r="L76" s="76"/>
      <c r="M76" s="54"/>
      <c r="N76" s="56">
        <v>403.83</v>
      </c>
      <c r="O76" s="1503"/>
      <c r="P76" s="77"/>
      <c r="Q76" s="77"/>
      <c r="R76" s="77"/>
      <c r="S76" s="77"/>
      <c r="T76" s="77"/>
      <c r="U76" s="77"/>
      <c r="V76" s="77"/>
      <c r="W76" s="77"/>
      <c r="X76" s="77"/>
      <c r="Y76" s="77"/>
      <c r="Z76" s="98" t="s">
        <v>902</v>
      </c>
      <c r="AA76" s="99"/>
      <c r="AB76" s="99"/>
      <c r="AC76" s="100"/>
    </row>
    <row r="77" spans="1:29" ht="19.2">
      <c r="A77" s="62">
        <v>35</v>
      </c>
      <c r="B77" s="63" t="s">
        <v>925</v>
      </c>
      <c r="C77" s="63" t="s">
        <v>926</v>
      </c>
      <c r="D77" s="64"/>
      <c r="E77" s="63" t="s">
        <v>927</v>
      </c>
      <c r="F77" s="65"/>
      <c r="G77" s="66"/>
      <c r="H77" s="67">
        <v>35</v>
      </c>
      <c r="I77" s="63" t="s">
        <v>925</v>
      </c>
      <c r="J77" s="63" t="s">
        <v>926</v>
      </c>
      <c r="K77" s="79"/>
      <c r="L77" s="66"/>
      <c r="M77" s="63" t="s">
        <v>927</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868</v>
      </c>
      <c r="AA78" s="99"/>
      <c r="AB78" s="99"/>
      <c r="AC78" s="100"/>
    </row>
    <row r="79" spans="1:29" ht="19.2">
      <c r="A79" s="62">
        <v>36</v>
      </c>
      <c r="B79" s="63" t="s">
        <v>928</v>
      </c>
      <c r="C79" s="63" t="s">
        <v>858</v>
      </c>
      <c r="D79" s="64"/>
      <c r="E79" s="63" t="s">
        <v>929</v>
      </c>
      <c r="F79" s="65"/>
      <c r="G79" s="107"/>
      <c r="H79" s="67">
        <v>36</v>
      </c>
      <c r="I79" s="63" t="s">
        <v>928</v>
      </c>
      <c r="J79" s="63" t="s">
        <v>858</v>
      </c>
      <c r="K79" s="79"/>
      <c r="L79" s="66"/>
      <c r="M79" s="63" t="s">
        <v>929</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1503">
        <v>735</v>
      </c>
      <c r="H80" s="58"/>
      <c r="I80" s="58"/>
      <c r="J80" s="58"/>
      <c r="K80" s="75"/>
      <c r="L80" s="76"/>
      <c r="M80" s="54"/>
      <c r="N80" s="56">
        <v>380.68</v>
      </c>
      <c r="O80" s="1503">
        <v>735</v>
      </c>
      <c r="P80" s="77"/>
      <c r="Q80" s="77"/>
      <c r="R80" s="77"/>
      <c r="S80" s="77"/>
      <c r="T80" s="77"/>
      <c r="U80" s="77"/>
      <c r="V80" s="77"/>
      <c r="W80" s="77"/>
      <c r="X80" s="77"/>
      <c r="Y80" s="77"/>
      <c r="Z80" s="98" t="s">
        <v>870</v>
      </c>
      <c r="AA80" s="99"/>
      <c r="AB80" s="99"/>
      <c r="AC80" s="100"/>
    </row>
    <row r="81" spans="1:29">
      <c r="A81" s="59">
        <v>37</v>
      </c>
      <c r="B81" s="60" t="s">
        <v>930</v>
      </c>
      <c r="C81" s="60" t="s">
        <v>863</v>
      </c>
      <c r="D81" s="55"/>
      <c r="E81" s="54"/>
      <c r="F81" s="54"/>
      <c r="G81" s="1503"/>
      <c r="H81" s="61">
        <v>37</v>
      </c>
      <c r="I81" s="60" t="s">
        <v>930</v>
      </c>
      <c r="J81" s="60" t="s">
        <v>863</v>
      </c>
      <c r="K81" s="75"/>
      <c r="L81" s="76"/>
      <c r="M81" s="54"/>
      <c r="N81" s="54"/>
      <c r="O81" s="1503"/>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1503"/>
      <c r="H82" s="58"/>
      <c r="I82" s="58"/>
      <c r="J82" s="58"/>
      <c r="K82" s="75"/>
      <c r="L82" s="76"/>
      <c r="M82" s="54"/>
      <c r="N82" s="56">
        <v>354.53</v>
      </c>
      <c r="O82" s="1503"/>
      <c r="P82" s="77"/>
      <c r="Q82" s="77"/>
      <c r="R82" s="77"/>
      <c r="S82" s="77"/>
      <c r="T82" s="77"/>
      <c r="U82" s="77"/>
      <c r="V82" s="77"/>
      <c r="W82" s="77"/>
      <c r="X82" s="77"/>
      <c r="Y82" s="77"/>
      <c r="Z82" s="98" t="s">
        <v>868</v>
      </c>
      <c r="AA82" s="99"/>
      <c r="AB82" s="99"/>
      <c r="AC82" s="100"/>
    </row>
    <row r="83" spans="1:29" ht="19.2">
      <c r="A83" s="62">
        <v>38</v>
      </c>
      <c r="B83" s="63" t="s">
        <v>931</v>
      </c>
      <c r="C83" s="63" t="s">
        <v>893</v>
      </c>
      <c r="D83" s="64"/>
      <c r="E83" s="63" t="s">
        <v>932</v>
      </c>
      <c r="F83" s="65"/>
      <c r="G83" s="66"/>
      <c r="H83" s="67">
        <v>38</v>
      </c>
      <c r="I83" s="63" t="s">
        <v>931</v>
      </c>
      <c r="J83" s="63" t="s">
        <v>893</v>
      </c>
      <c r="K83" s="79"/>
      <c r="L83" s="66"/>
      <c r="M83" s="63" t="s">
        <v>932</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1503">
        <v>1203</v>
      </c>
      <c r="H84" s="58"/>
      <c r="I84" s="58"/>
      <c r="J84" s="58"/>
      <c r="K84" s="75"/>
      <c r="L84" s="76"/>
      <c r="M84" s="54"/>
      <c r="N84" s="56">
        <v>405.57</v>
      </c>
      <c r="O84" s="1503">
        <v>1203</v>
      </c>
      <c r="P84" s="77"/>
      <c r="Q84" s="77"/>
      <c r="R84" s="77"/>
      <c r="S84" s="77"/>
      <c r="T84" s="77"/>
      <c r="U84" s="77"/>
      <c r="V84" s="77"/>
      <c r="W84" s="77"/>
      <c r="X84" s="77"/>
      <c r="Y84" s="77"/>
      <c r="Z84" s="77"/>
      <c r="AA84" s="99"/>
      <c r="AB84" s="99"/>
      <c r="AC84" s="100"/>
    </row>
    <row r="85" spans="1:29">
      <c r="A85" s="59">
        <v>39</v>
      </c>
      <c r="B85" s="60" t="s">
        <v>933</v>
      </c>
      <c r="C85" s="60" t="s">
        <v>877</v>
      </c>
      <c r="D85" s="55"/>
      <c r="E85" s="54"/>
      <c r="F85" s="54"/>
      <c r="G85" s="1503"/>
      <c r="H85" s="61">
        <v>39</v>
      </c>
      <c r="I85" s="60" t="s">
        <v>933</v>
      </c>
      <c r="J85" s="60" t="s">
        <v>877</v>
      </c>
      <c r="K85" s="75"/>
      <c r="L85" s="76"/>
      <c r="M85" s="54"/>
      <c r="N85" s="54"/>
      <c r="O85" s="1503"/>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8">
      <c r="A86" s="53"/>
      <c r="B86" s="54"/>
      <c r="C86" s="54"/>
      <c r="D86" s="55"/>
      <c r="E86" s="54"/>
      <c r="F86" s="56">
        <v>416.87</v>
      </c>
      <c r="G86" s="1503"/>
      <c r="H86" s="58"/>
      <c r="I86" s="58"/>
      <c r="J86" s="58"/>
      <c r="K86" s="75"/>
      <c r="L86" s="76"/>
      <c r="M86" s="54"/>
      <c r="N86" s="56">
        <v>416.87</v>
      </c>
      <c r="O86" s="1503"/>
      <c r="P86" s="77"/>
      <c r="Q86" s="77"/>
      <c r="R86" s="77"/>
      <c r="S86" s="77"/>
      <c r="T86" s="77"/>
      <c r="U86" s="77"/>
      <c r="V86" s="77"/>
      <c r="W86" s="77"/>
      <c r="X86" s="77"/>
      <c r="Y86" s="77"/>
      <c r="Z86" s="98" t="s">
        <v>934</v>
      </c>
      <c r="AA86" s="99"/>
      <c r="AB86" s="99"/>
      <c r="AC86" s="100"/>
    </row>
    <row r="87" spans="1:29">
      <c r="A87" s="59">
        <v>40</v>
      </c>
      <c r="B87" s="60" t="s">
        <v>935</v>
      </c>
      <c r="C87" s="60" t="s">
        <v>863</v>
      </c>
      <c r="D87" s="55"/>
      <c r="E87" s="54"/>
      <c r="F87" s="54"/>
      <c r="G87" s="1503"/>
      <c r="H87" s="61">
        <v>40</v>
      </c>
      <c r="I87" s="60" t="s">
        <v>935</v>
      </c>
      <c r="J87" s="60" t="s">
        <v>863</v>
      </c>
      <c r="K87" s="75"/>
      <c r="L87" s="76"/>
      <c r="M87" s="54"/>
      <c r="N87" s="54"/>
      <c r="O87" s="1503"/>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1503"/>
      <c r="H88" s="58"/>
      <c r="I88" s="58"/>
      <c r="J88" s="58"/>
      <c r="K88" s="75"/>
      <c r="L88" s="76"/>
      <c r="M88" s="54"/>
      <c r="N88" s="56">
        <v>380.77</v>
      </c>
      <c r="O88" s="1503"/>
      <c r="P88" s="77"/>
      <c r="Q88" s="77"/>
      <c r="R88" s="77"/>
      <c r="S88" s="77"/>
      <c r="T88" s="77"/>
      <c r="U88" s="77"/>
      <c r="V88" s="77"/>
      <c r="W88" s="77"/>
      <c r="X88" s="77"/>
      <c r="Y88" s="77"/>
      <c r="Z88" s="98" t="s">
        <v>868</v>
      </c>
      <c r="AA88" s="99"/>
      <c r="AB88" s="99"/>
      <c r="AC88" s="100"/>
    </row>
    <row r="89" spans="1:29" ht="19.2">
      <c r="A89" s="62">
        <v>41</v>
      </c>
      <c r="B89" s="63" t="s">
        <v>936</v>
      </c>
      <c r="C89" s="63" t="s">
        <v>858</v>
      </c>
      <c r="D89" s="64"/>
      <c r="E89" s="63" t="s">
        <v>937</v>
      </c>
      <c r="F89" s="65"/>
      <c r="G89" s="66"/>
      <c r="H89" s="67">
        <v>41</v>
      </c>
      <c r="I89" s="63" t="s">
        <v>936</v>
      </c>
      <c r="J89" s="63" t="s">
        <v>858</v>
      </c>
      <c r="K89" s="79"/>
      <c r="L89" s="66"/>
      <c r="M89" s="63" t="s">
        <v>937</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8">
      <c r="A90" s="53"/>
      <c r="B90" s="54"/>
      <c r="C90" s="54"/>
      <c r="D90" s="55"/>
      <c r="E90" s="54"/>
      <c r="F90" s="56">
        <v>411.81</v>
      </c>
      <c r="G90" s="1503">
        <v>1101</v>
      </c>
      <c r="H90" s="58"/>
      <c r="I90" s="58"/>
      <c r="J90" s="58"/>
      <c r="K90" s="75"/>
      <c r="L90" s="76"/>
      <c r="M90" s="54"/>
      <c r="N90" s="56">
        <v>411.81</v>
      </c>
      <c r="O90" s="1503">
        <v>1101</v>
      </c>
      <c r="P90" s="77"/>
      <c r="Q90" s="77"/>
      <c r="R90" s="77"/>
      <c r="S90" s="77"/>
      <c r="T90" s="77"/>
      <c r="U90" s="77"/>
      <c r="V90" s="77"/>
      <c r="W90" s="77"/>
      <c r="X90" s="77"/>
      <c r="Y90" s="77"/>
      <c r="Z90" s="98" t="s">
        <v>904</v>
      </c>
      <c r="AA90" s="99"/>
      <c r="AB90" s="99"/>
      <c r="AC90" s="100"/>
    </row>
    <row r="91" spans="1:29">
      <c r="A91" s="59">
        <v>42</v>
      </c>
      <c r="B91" s="60" t="s">
        <v>938</v>
      </c>
      <c r="C91" s="60" t="s">
        <v>867</v>
      </c>
      <c r="D91" s="55"/>
      <c r="E91" s="54"/>
      <c r="F91" s="54"/>
      <c r="G91" s="1503"/>
      <c r="H91" s="61">
        <v>42</v>
      </c>
      <c r="I91" s="60" t="s">
        <v>938</v>
      </c>
      <c r="J91" s="60" t="s">
        <v>867</v>
      </c>
      <c r="K91" s="75"/>
      <c r="L91" s="76"/>
      <c r="M91" s="54"/>
      <c r="N91" s="54"/>
      <c r="O91" s="1503"/>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1503"/>
      <c r="H92" s="58"/>
      <c r="I92" s="58"/>
      <c r="J92" s="58"/>
      <c r="K92" s="75"/>
      <c r="L92" s="76"/>
      <c r="M92" s="54"/>
      <c r="N92" s="56">
        <v>392.08</v>
      </c>
      <c r="O92" s="1503"/>
      <c r="P92" s="77"/>
      <c r="Q92" s="77"/>
      <c r="R92" s="77"/>
      <c r="S92" s="77"/>
      <c r="T92" s="77"/>
      <c r="U92" s="77"/>
      <c r="V92" s="77"/>
      <c r="W92" s="77"/>
      <c r="X92" s="77"/>
      <c r="Y92" s="77"/>
      <c r="Z92" s="98" t="s">
        <v>868</v>
      </c>
      <c r="AA92" s="99"/>
      <c r="AB92" s="99"/>
      <c r="AC92" s="100"/>
    </row>
    <row r="93" spans="1:29">
      <c r="A93" s="59">
        <v>43</v>
      </c>
      <c r="B93" s="60" t="s">
        <v>939</v>
      </c>
      <c r="C93" s="60" t="s">
        <v>897</v>
      </c>
      <c r="D93" s="55"/>
      <c r="E93" s="54"/>
      <c r="F93" s="54"/>
      <c r="G93" s="1503"/>
      <c r="H93" s="61">
        <v>43</v>
      </c>
      <c r="I93" s="60" t="s">
        <v>939</v>
      </c>
      <c r="J93" s="60" t="s">
        <v>897</v>
      </c>
      <c r="K93" s="75"/>
      <c r="L93" s="76"/>
      <c r="M93" s="54"/>
      <c r="N93" s="54"/>
      <c r="O93" s="1503"/>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50.4">
      <c r="A94" s="53"/>
      <c r="B94" s="54"/>
      <c r="C94" s="54"/>
      <c r="D94" s="55"/>
      <c r="E94" s="54"/>
      <c r="F94" s="56">
        <v>296.87</v>
      </c>
      <c r="G94" s="1503"/>
      <c r="H94" s="58"/>
      <c r="I94" s="58"/>
      <c r="J94" s="58"/>
      <c r="K94" s="75"/>
      <c r="L94" s="76"/>
      <c r="M94" s="54"/>
      <c r="N94" s="56">
        <v>296.87</v>
      </c>
      <c r="O94" s="1503"/>
      <c r="P94" s="77"/>
      <c r="Q94" s="77"/>
      <c r="R94" s="77"/>
      <c r="S94" s="77"/>
      <c r="T94" s="77"/>
      <c r="U94" s="77"/>
      <c r="V94" s="77"/>
      <c r="W94" s="77"/>
      <c r="X94" s="77"/>
      <c r="Y94" s="77"/>
      <c r="Z94" s="121" t="s">
        <v>940</v>
      </c>
      <c r="AA94" s="99"/>
      <c r="AB94" s="99"/>
      <c r="AC94" s="100"/>
    </row>
    <row r="95" spans="1:29" ht="19.2">
      <c r="A95" s="62">
        <v>44</v>
      </c>
      <c r="B95" s="63" t="s">
        <v>941</v>
      </c>
      <c r="C95" s="63" t="s">
        <v>858</v>
      </c>
      <c r="D95" s="64"/>
      <c r="E95" s="63" t="s">
        <v>942</v>
      </c>
      <c r="F95" s="65"/>
      <c r="G95" s="66"/>
      <c r="H95" s="67">
        <v>44</v>
      </c>
      <c r="I95" s="63" t="s">
        <v>941</v>
      </c>
      <c r="J95" s="63" t="s">
        <v>858</v>
      </c>
      <c r="K95" s="79"/>
      <c r="L95" s="66"/>
      <c r="M95" s="63" t="s">
        <v>942</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2">
      <c r="A97" s="62">
        <v>45</v>
      </c>
      <c r="B97" s="63" t="s">
        <v>943</v>
      </c>
      <c r="C97" s="63" t="s">
        <v>858</v>
      </c>
      <c r="D97" s="64"/>
      <c r="E97" s="63" t="s">
        <v>944</v>
      </c>
      <c r="F97" s="65"/>
      <c r="G97" s="66"/>
      <c r="H97" s="67">
        <v>45</v>
      </c>
      <c r="I97" s="63" t="s">
        <v>943</v>
      </c>
      <c r="J97" s="63" t="s">
        <v>858</v>
      </c>
      <c r="K97" s="79"/>
      <c r="L97" s="66"/>
      <c r="M97" s="63" t="s">
        <v>944</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2">
      <c r="A98" s="53"/>
      <c r="B98" s="54"/>
      <c r="C98" s="54"/>
      <c r="D98" s="55"/>
      <c r="E98" s="54"/>
      <c r="F98" s="56">
        <v>382.17</v>
      </c>
      <c r="G98" s="1503">
        <v>835</v>
      </c>
      <c r="H98" s="58"/>
      <c r="I98" s="58"/>
      <c r="J98" s="58"/>
      <c r="K98" s="75"/>
      <c r="L98" s="76"/>
      <c r="M98" s="54"/>
      <c r="N98" s="56">
        <v>382.17</v>
      </c>
      <c r="O98" s="1503">
        <v>835</v>
      </c>
      <c r="P98" s="77"/>
      <c r="Q98" s="77"/>
      <c r="R98" s="77"/>
      <c r="S98" s="77"/>
      <c r="T98" s="77"/>
      <c r="U98" s="77"/>
      <c r="V98" s="77"/>
      <c r="W98" s="77"/>
      <c r="X98" s="77"/>
      <c r="Y98" s="77"/>
      <c r="Z98" s="98" t="s">
        <v>945</v>
      </c>
      <c r="AA98" s="99"/>
      <c r="AB98" s="99"/>
      <c r="AC98" s="100"/>
    </row>
    <row r="99" spans="1:29">
      <c r="A99" s="59">
        <v>46</v>
      </c>
      <c r="B99" s="60" t="s">
        <v>946</v>
      </c>
      <c r="C99" s="60" t="s">
        <v>897</v>
      </c>
      <c r="D99" s="55"/>
      <c r="E99" s="54"/>
      <c r="F99" s="54"/>
      <c r="G99" s="1503"/>
      <c r="H99" s="61">
        <v>46</v>
      </c>
      <c r="I99" s="60" t="s">
        <v>946</v>
      </c>
      <c r="J99" s="60" t="s">
        <v>897</v>
      </c>
      <c r="K99" s="75"/>
      <c r="L99" s="76"/>
      <c r="M99" s="54"/>
      <c r="N99" s="54"/>
      <c r="O99" s="1503"/>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ht="19.2">
      <c r="A100" s="53"/>
      <c r="B100" s="54"/>
      <c r="C100" s="54"/>
      <c r="D100" s="55"/>
      <c r="E100" s="54"/>
      <c r="F100" s="56">
        <v>452.74</v>
      </c>
      <c r="G100" s="1503"/>
      <c r="H100" s="58"/>
      <c r="I100" s="58"/>
      <c r="J100" s="58"/>
      <c r="K100" s="75"/>
      <c r="L100" s="76"/>
      <c r="M100" s="54"/>
      <c r="N100" s="56">
        <v>452.74</v>
      </c>
      <c r="O100" s="1503"/>
      <c r="P100" s="77"/>
      <c r="Q100" s="77"/>
      <c r="R100" s="77"/>
      <c r="S100" s="77"/>
      <c r="T100" s="77"/>
      <c r="U100" s="77"/>
      <c r="V100" s="77"/>
      <c r="W100" s="77"/>
      <c r="X100" s="77"/>
      <c r="Y100" s="77"/>
      <c r="Z100" s="98" t="s">
        <v>947</v>
      </c>
      <c r="AA100" s="99"/>
      <c r="AB100" s="99"/>
      <c r="AC100" s="100"/>
    </row>
    <row r="101" spans="1:29" ht="19.2">
      <c r="A101" s="62">
        <v>47</v>
      </c>
      <c r="B101" s="63" t="s">
        <v>948</v>
      </c>
      <c r="C101" s="63" t="s">
        <v>858</v>
      </c>
      <c r="D101" s="64"/>
      <c r="E101" s="63" t="s">
        <v>949</v>
      </c>
      <c r="F101" s="65"/>
      <c r="G101" s="66"/>
      <c r="H101" s="67">
        <v>47</v>
      </c>
      <c r="I101" s="63" t="s">
        <v>948</v>
      </c>
      <c r="J101" s="63" t="s">
        <v>858</v>
      </c>
      <c r="K101" s="79"/>
      <c r="L101" s="66"/>
      <c r="M101" s="63" t="s">
        <v>949</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1503">
        <v>815</v>
      </c>
      <c r="H102" s="58"/>
      <c r="I102" s="58"/>
      <c r="J102" s="58"/>
      <c r="K102" s="75"/>
      <c r="L102" s="76"/>
      <c r="M102" s="54"/>
      <c r="N102" s="56">
        <v>420.21</v>
      </c>
      <c r="O102" s="1503">
        <v>815</v>
      </c>
      <c r="P102" s="77"/>
      <c r="Q102" s="77"/>
      <c r="R102" s="77"/>
      <c r="S102" s="77"/>
      <c r="T102" s="77"/>
      <c r="U102" s="77"/>
      <c r="V102" s="77"/>
      <c r="W102" s="77"/>
      <c r="X102" s="77"/>
      <c r="Y102" s="77"/>
      <c r="Z102" s="77"/>
      <c r="AA102" s="99"/>
      <c r="AB102" s="99"/>
      <c r="AC102" s="100"/>
    </row>
    <row r="103" spans="1:29">
      <c r="A103" s="59">
        <v>48</v>
      </c>
      <c r="B103" s="60" t="s">
        <v>950</v>
      </c>
      <c r="C103" s="60" t="s">
        <v>897</v>
      </c>
      <c r="D103" s="55"/>
      <c r="E103" s="54"/>
      <c r="F103" s="54"/>
      <c r="G103" s="1503"/>
      <c r="H103" s="61">
        <v>48</v>
      </c>
      <c r="I103" s="60" t="s">
        <v>950</v>
      </c>
      <c r="J103" s="60" t="s">
        <v>897</v>
      </c>
      <c r="K103" s="75"/>
      <c r="L103" s="76"/>
      <c r="M103" s="54"/>
      <c r="N103" s="54"/>
      <c r="O103" s="1503"/>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4">
      <c r="A104" s="53"/>
      <c r="B104" s="54"/>
      <c r="C104" s="54"/>
      <c r="D104" s="55"/>
      <c r="E104" s="54"/>
      <c r="F104" s="56">
        <v>395.01</v>
      </c>
      <c r="G104" s="1503"/>
      <c r="H104" s="58"/>
      <c r="I104" s="58"/>
      <c r="J104" s="58"/>
      <c r="K104" s="75"/>
      <c r="L104" s="76"/>
      <c r="M104" s="54"/>
      <c r="N104" s="56">
        <v>395.01</v>
      </c>
      <c r="O104" s="1503"/>
      <c r="P104" s="77"/>
      <c r="Q104" s="77"/>
      <c r="R104" s="77"/>
      <c r="S104" s="77"/>
      <c r="T104" s="77"/>
      <c r="U104" s="77"/>
      <c r="V104" s="77"/>
      <c r="W104" s="77"/>
      <c r="X104" s="77"/>
      <c r="Y104" s="77"/>
      <c r="Z104" s="98" t="s">
        <v>951</v>
      </c>
      <c r="AA104" s="99"/>
      <c r="AB104" s="99"/>
      <c r="AC104" s="100"/>
    </row>
    <row r="105" spans="1:29" ht="19.2">
      <c r="A105" s="62">
        <v>49</v>
      </c>
      <c r="B105" s="63" t="s">
        <v>952</v>
      </c>
      <c r="C105" s="63" t="s">
        <v>893</v>
      </c>
      <c r="D105" s="64"/>
      <c r="E105" s="63" t="s">
        <v>953</v>
      </c>
      <c r="F105" s="65"/>
      <c r="G105" s="66"/>
      <c r="H105" s="67">
        <v>49</v>
      </c>
      <c r="I105" s="63" t="s">
        <v>952</v>
      </c>
      <c r="J105" s="63" t="s">
        <v>893</v>
      </c>
      <c r="K105" s="79"/>
      <c r="L105" s="66"/>
      <c r="M105" s="63" t="s">
        <v>953</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1503">
        <v>1473</v>
      </c>
      <c r="H106" s="58"/>
      <c r="I106" s="58"/>
      <c r="J106" s="58"/>
      <c r="K106" s="75"/>
      <c r="L106" s="76"/>
      <c r="M106" s="54"/>
      <c r="N106" s="56">
        <v>386.74</v>
      </c>
      <c r="O106" s="1503">
        <v>1473</v>
      </c>
      <c r="P106" s="77"/>
      <c r="Q106" s="77"/>
      <c r="R106" s="77"/>
      <c r="S106" s="77"/>
      <c r="T106" s="77"/>
      <c r="U106" s="77"/>
      <c r="V106" s="77"/>
      <c r="W106" s="77"/>
      <c r="X106" s="77"/>
      <c r="Y106" s="77"/>
      <c r="Z106" s="77"/>
      <c r="AA106" s="99"/>
      <c r="AB106" s="99"/>
      <c r="AC106" s="100"/>
    </row>
    <row r="107" spans="1:29">
      <c r="A107" s="59">
        <v>50</v>
      </c>
      <c r="B107" s="60" t="s">
        <v>954</v>
      </c>
      <c r="C107" s="60" t="s">
        <v>863</v>
      </c>
      <c r="D107" s="55"/>
      <c r="E107" s="54"/>
      <c r="F107" s="54"/>
      <c r="G107" s="1503"/>
      <c r="H107" s="61">
        <v>50</v>
      </c>
      <c r="I107" s="60" t="s">
        <v>954</v>
      </c>
      <c r="J107" s="60" t="s">
        <v>863</v>
      </c>
      <c r="K107" s="75"/>
      <c r="L107" s="76"/>
      <c r="M107" s="54"/>
      <c r="N107" s="54"/>
      <c r="O107" s="1503"/>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1503"/>
      <c r="H108" s="58"/>
      <c r="I108" s="58"/>
      <c r="J108" s="58"/>
      <c r="K108" s="75"/>
      <c r="L108" s="76"/>
      <c r="M108" s="54"/>
      <c r="N108" s="56">
        <v>378.62</v>
      </c>
      <c r="O108" s="1503"/>
      <c r="P108" s="77"/>
      <c r="Q108" s="77"/>
      <c r="R108" s="77"/>
      <c r="S108" s="77"/>
      <c r="T108" s="77"/>
      <c r="U108" s="77"/>
      <c r="V108" s="77"/>
      <c r="W108" s="77"/>
      <c r="X108" s="77"/>
      <c r="Y108" s="77"/>
      <c r="Z108" s="77"/>
      <c r="AA108" s="99"/>
      <c r="AB108" s="99"/>
      <c r="AC108" s="100"/>
    </row>
    <row r="109" spans="1:29">
      <c r="A109" s="59">
        <v>51</v>
      </c>
      <c r="B109" s="60" t="s">
        <v>955</v>
      </c>
      <c r="C109" s="60" t="s">
        <v>863</v>
      </c>
      <c r="D109" s="55"/>
      <c r="E109" s="54"/>
      <c r="F109" s="54"/>
      <c r="G109" s="1503"/>
      <c r="H109" s="61">
        <v>51</v>
      </c>
      <c r="I109" s="60" t="s">
        <v>955</v>
      </c>
      <c r="J109" s="60" t="s">
        <v>863</v>
      </c>
      <c r="K109" s="75"/>
      <c r="L109" s="76"/>
      <c r="M109" s="54"/>
      <c r="N109" s="54"/>
      <c r="O109" s="1503"/>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8">
      <c r="A110" s="53"/>
      <c r="B110" s="54"/>
      <c r="C110" s="54"/>
      <c r="D110" s="55"/>
      <c r="E110" s="54"/>
      <c r="F110" s="56">
        <v>350.22</v>
      </c>
      <c r="G110" s="1503"/>
      <c r="H110" s="58"/>
      <c r="I110" s="58"/>
      <c r="J110" s="58"/>
      <c r="K110" s="75"/>
      <c r="L110" s="76"/>
      <c r="M110" s="54"/>
      <c r="N110" s="56">
        <v>350.22</v>
      </c>
      <c r="O110" s="1503"/>
      <c r="P110" s="77"/>
      <c r="Q110" s="77"/>
      <c r="R110" s="77"/>
      <c r="S110" s="77"/>
      <c r="T110" s="77"/>
      <c r="U110" s="77"/>
      <c r="V110" s="77"/>
      <c r="W110" s="77"/>
      <c r="X110" s="77"/>
      <c r="Y110" s="77"/>
      <c r="Z110" s="98" t="s">
        <v>956</v>
      </c>
      <c r="AA110" s="99"/>
      <c r="AB110" s="99"/>
      <c r="AC110" s="100"/>
    </row>
    <row r="111" spans="1:29">
      <c r="A111" s="59">
        <v>52</v>
      </c>
      <c r="B111" s="60" t="s">
        <v>957</v>
      </c>
      <c r="C111" s="60" t="s">
        <v>863</v>
      </c>
      <c r="D111" s="55"/>
      <c r="E111" s="54"/>
      <c r="F111" s="54"/>
      <c r="G111" s="1503"/>
      <c r="H111" s="61">
        <v>52</v>
      </c>
      <c r="I111" s="60" t="s">
        <v>957</v>
      </c>
      <c r="J111" s="60" t="s">
        <v>863</v>
      </c>
      <c r="K111" s="75"/>
      <c r="L111" s="76"/>
      <c r="M111" s="54"/>
      <c r="N111" s="54"/>
      <c r="O111" s="1503"/>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1503"/>
      <c r="H112" s="58"/>
      <c r="I112" s="58"/>
      <c r="J112" s="58"/>
      <c r="K112" s="75"/>
      <c r="L112" s="76"/>
      <c r="M112" s="54"/>
      <c r="N112" s="56">
        <v>357.91</v>
      </c>
      <c r="O112" s="1503"/>
      <c r="P112" s="77"/>
      <c r="Q112" s="77"/>
      <c r="R112" s="77"/>
      <c r="S112" s="77"/>
      <c r="T112" s="77"/>
      <c r="U112" s="77"/>
      <c r="V112" s="77"/>
      <c r="W112" s="77"/>
      <c r="X112" s="77"/>
      <c r="Y112" s="77"/>
      <c r="Z112" s="77"/>
      <c r="AA112" s="99"/>
      <c r="AB112" s="99"/>
      <c r="AC112" s="100"/>
    </row>
    <row r="113" spans="1:29" ht="19.2">
      <c r="A113" s="108">
        <v>53</v>
      </c>
      <c r="B113" s="109" t="s">
        <v>958</v>
      </c>
      <c r="C113" s="109" t="s">
        <v>858</v>
      </c>
      <c r="D113" s="110"/>
      <c r="E113" s="109" t="s">
        <v>959</v>
      </c>
      <c r="F113" s="111"/>
      <c r="G113" s="112"/>
      <c r="H113" s="113">
        <v>53</v>
      </c>
      <c r="I113" s="109" t="s">
        <v>958</v>
      </c>
      <c r="J113" s="109" t="s">
        <v>858</v>
      </c>
      <c r="K113" s="115"/>
      <c r="L113" s="112"/>
      <c r="M113" s="116" t="s">
        <v>960</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961</v>
      </c>
    </row>
    <row r="116" spans="1:29">
      <c r="E116" s="1504" t="s">
        <v>962</v>
      </c>
      <c r="F116" s="1504"/>
      <c r="G116" s="1504"/>
      <c r="H116" s="114"/>
      <c r="I116" s="114"/>
      <c r="J116" s="1504" t="s">
        <v>963</v>
      </c>
      <c r="K116" s="1504"/>
      <c r="L116" s="1504"/>
    </row>
    <row r="117" spans="1:29">
      <c r="E117" s="46" t="s">
        <v>964</v>
      </c>
      <c r="G117" s="46" t="s">
        <v>965</v>
      </c>
      <c r="J117" s="46" t="s">
        <v>964</v>
      </c>
      <c r="L117" s="46" t="s">
        <v>965</v>
      </c>
    </row>
    <row r="118" spans="1:29">
      <c r="E118" s="46" t="s">
        <v>147</v>
      </c>
      <c r="F118" s="46" t="s">
        <v>966</v>
      </c>
      <c r="G118" s="46">
        <f>COUNTIF($C$9:$C$113,"DA+0")</f>
        <v>18</v>
      </c>
      <c r="J118" s="46" t="s">
        <v>147</v>
      </c>
      <c r="K118" s="46" t="s">
        <v>966</v>
      </c>
      <c r="L118" s="46">
        <f>COUNTIF($J$9:$J$113,"DA+0")</f>
        <v>18</v>
      </c>
    </row>
    <row r="119" spans="1:29">
      <c r="E119" s="46" t="s">
        <v>150</v>
      </c>
      <c r="F119" s="46" t="s">
        <v>966</v>
      </c>
      <c r="G119" s="46">
        <f>COUNTIF($C$9:$C$113,"DA+3")</f>
        <v>8</v>
      </c>
      <c r="J119" s="46" t="s">
        <v>150</v>
      </c>
      <c r="K119" s="46" t="s">
        <v>966</v>
      </c>
      <c r="L119" s="46">
        <f>COUNTIF($J$9:$J$113,"DA+3")</f>
        <v>8</v>
      </c>
    </row>
    <row r="120" spans="1:29">
      <c r="E120" s="46" t="s">
        <v>206</v>
      </c>
      <c r="F120" s="46" t="s">
        <v>966</v>
      </c>
      <c r="G120" s="46">
        <f>COUNTIF($C$9:$C$113,"DA+6")</f>
        <v>4</v>
      </c>
      <c r="J120" s="46" t="s">
        <v>206</v>
      </c>
      <c r="K120" s="46" t="s">
        <v>966</v>
      </c>
      <c r="L120" s="46">
        <f>COUNTIF($J$9:$J$113,"DA+6")</f>
        <v>4</v>
      </c>
    </row>
    <row r="121" spans="1:29">
      <c r="E121" s="46" t="s">
        <v>212</v>
      </c>
      <c r="F121" s="46" t="s">
        <v>966</v>
      </c>
      <c r="G121" s="46">
        <f>COUNTIF($C$9:$C$113,"DA+9")</f>
        <v>5</v>
      </c>
      <c r="J121" s="46" t="s">
        <v>212</v>
      </c>
      <c r="K121" s="46" t="s">
        <v>966</v>
      </c>
      <c r="L121" s="46">
        <f>COUNTIF($J$9:$J$113,"DA+9")</f>
        <v>5</v>
      </c>
    </row>
    <row r="122" spans="1:29">
      <c r="E122" s="46" t="s">
        <v>84</v>
      </c>
      <c r="F122" s="46" t="s">
        <v>966</v>
      </c>
      <c r="G122" s="46">
        <f>COUNTIF($C$9:$C$113,"DB+0")</f>
        <v>1</v>
      </c>
      <c r="J122" s="46" t="s">
        <v>84</v>
      </c>
      <c r="K122" s="46" t="s">
        <v>966</v>
      </c>
      <c r="L122" s="46">
        <f>COUNTIF($J$9:$J$113,"DB+0")</f>
        <v>1</v>
      </c>
    </row>
    <row r="123" spans="1:29">
      <c r="E123" s="46" t="s">
        <v>153</v>
      </c>
      <c r="F123" s="46" t="s">
        <v>966</v>
      </c>
      <c r="G123" s="46">
        <f>COUNTIF($C$9:$C$113,"DB+3")</f>
        <v>2</v>
      </c>
      <c r="J123" s="46" t="s">
        <v>153</v>
      </c>
      <c r="K123" s="46" t="s">
        <v>966</v>
      </c>
      <c r="L123" s="46">
        <f>COUNTIF($J$9:$J$113,"DB+3")</f>
        <v>2</v>
      </c>
    </row>
    <row r="124" spans="1:29">
      <c r="E124" s="46" t="s">
        <v>132</v>
      </c>
      <c r="F124" s="46" t="s">
        <v>966</v>
      </c>
      <c r="G124" s="46">
        <f>COUNTIF($C$9:$C$113,"DB+6")</f>
        <v>0</v>
      </c>
      <c r="J124" s="46" t="s">
        <v>132</v>
      </c>
      <c r="K124" s="46" t="s">
        <v>966</v>
      </c>
      <c r="L124" s="46">
        <f>COUNTIF($J$9:$J$113,"DB+6")</f>
        <v>0</v>
      </c>
    </row>
    <row r="125" spans="1:29">
      <c r="E125" s="46" t="s">
        <v>97</v>
      </c>
      <c r="F125" s="46" t="s">
        <v>966</v>
      </c>
      <c r="G125" s="46">
        <f>COUNTIF($C$9:$C$113,"DB+9")</f>
        <v>1</v>
      </c>
      <c r="J125" s="46" t="s">
        <v>97</v>
      </c>
      <c r="K125" s="46" t="s">
        <v>966</v>
      </c>
      <c r="L125" s="46">
        <f>COUNTIF($J$9:$J$113,"DB+9")</f>
        <v>1</v>
      </c>
    </row>
    <row r="126" spans="1:29">
      <c r="E126" s="46" t="s">
        <v>80</v>
      </c>
      <c r="F126" s="46" t="s">
        <v>966</v>
      </c>
      <c r="G126" s="46">
        <f>COUNTIF($C$9:$C$113,"DC+0")</f>
        <v>10</v>
      </c>
      <c r="J126" s="46" t="s">
        <v>80</v>
      </c>
      <c r="K126" s="46" t="s">
        <v>966</v>
      </c>
      <c r="L126" s="46">
        <f>COUNTIF($J$9:$J$113,"DC+0")</f>
        <v>10</v>
      </c>
    </row>
    <row r="127" spans="1:29">
      <c r="E127" s="46" t="s">
        <v>102</v>
      </c>
      <c r="F127" s="46" t="s">
        <v>966</v>
      </c>
      <c r="G127" s="46">
        <f>COUNTIF($C$9:$C$113,"DC+3")</f>
        <v>0</v>
      </c>
      <c r="J127" s="46" t="s">
        <v>102</v>
      </c>
      <c r="K127" s="46" t="s">
        <v>966</v>
      </c>
      <c r="L127" s="46">
        <f>COUNTIF($J$9:$J$113,"DC+3")</f>
        <v>0</v>
      </c>
    </row>
    <row r="128" spans="1:29">
      <c r="E128" s="46" t="s">
        <v>93</v>
      </c>
      <c r="F128" s="46" t="s">
        <v>966</v>
      </c>
      <c r="G128" s="46">
        <f>COUNTIF($C$9:$C$113,"DC+6")</f>
        <v>1</v>
      </c>
      <c r="J128" s="46" t="s">
        <v>93</v>
      </c>
      <c r="K128" s="46" t="s">
        <v>966</v>
      </c>
      <c r="L128" s="46">
        <f>COUNTIF($J$9:$J$113,"DC+6")</f>
        <v>1</v>
      </c>
    </row>
    <row r="129" spans="1:29">
      <c r="E129" s="46" t="s">
        <v>88</v>
      </c>
      <c r="F129" s="46" t="s">
        <v>966</v>
      </c>
      <c r="G129" s="46">
        <f>COUNTIF($C$9:$C$113,"DC+9")</f>
        <v>0</v>
      </c>
      <c r="J129" s="46" t="s">
        <v>88</v>
      </c>
      <c r="K129" s="46" t="s">
        <v>966</v>
      </c>
      <c r="L129" s="46">
        <f>COUNTIF($J$9:$J$113,"DC+9")</f>
        <v>0</v>
      </c>
    </row>
    <row r="130" spans="1:29">
      <c r="E130" s="46" t="s">
        <v>90</v>
      </c>
      <c r="F130" s="46" t="s">
        <v>966</v>
      </c>
      <c r="G130" s="46">
        <f>COUNTIF($C$9:$C$113,"DD+0")</f>
        <v>3</v>
      </c>
      <c r="J130" s="46" t="s">
        <v>90</v>
      </c>
      <c r="K130" s="46" t="s">
        <v>966</v>
      </c>
      <c r="L130" s="46">
        <f>COUNTIF($J$9:$J$113,"DD+0")</f>
        <v>3</v>
      </c>
    </row>
    <row r="131" spans="1:29">
      <c r="E131" s="46" t="s">
        <v>108</v>
      </c>
      <c r="F131" s="46" t="s">
        <v>966</v>
      </c>
      <c r="G131" s="46">
        <f>COUNTIF($C$9:$C$113,"DD+3")</f>
        <v>0</v>
      </c>
      <c r="J131" s="46" t="s">
        <v>108</v>
      </c>
      <c r="K131" s="46" t="s">
        <v>966</v>
      </c>
      <c r="L131" s="46">
        <f>COUNTIF($J$9:$J$113,"DD+3")</f>
        <v>0</v>
      </c>
    </row>
    <row r="132" spans="1:29">
      <c r="E132" s="46" t="s">
        <v>157</v>
      </c>
      <c r="F132" s="46" t="s">
        <v>966</v>
      </c>
      <c r="G132" s="46">
        <f>COUNTIF($C$9:$C$113,"DD+6")</f>
        <v>0</v>
      </c>
      <c r="J132" s="46" t="s">
        <v>157</v>
      </c>
      <c r="K132" s="46" t="s">
        <v>966</v>
      </c>
      <c r="L132" s="46">
        <f>COUNTIF($J$9:$J$113,"DD+6")</f>
        <v>0</v>
      </c>
    </row>
    <row r="133" spans="1:29">
      <c r="E133" s="46" t="s">
        <v>112</v>
      </c>
      <c r="F133" s="46" t="s">
        <v>966</v>
      </c>
      <c r="G133" s="46">
        <f>COUNTIF($C$9:$C$113,"DD+9")</f>
        <v>0</v>
      </c>
      <c r="J133" s="46" t="s">
        <v>112</v>
      </c>
      <c r="K133" s="46" t="s">
        <v>966</v>
      </c>
      <c r="L133" s="46">
        <f>COUNTIF($J$9:$J$113,"DD+9")</f>
        <v>0</v>
      </c>
    </row>
    <row r="134" spans="1:29">
      <c r="E134" s="46" t="s">
        <v>82</v>
      </c>
      <c r="F134" s="46" t="s">
        <v>966</v>
      </c>
      <c r="G134" s="46">
        <f>COUNTIF($C$9:$C$113,"DD+18")</f>
        <v>0</v>
      </c>
      <c r="J134" s="46" t="s">
        <v>82</v>
      </c>
      <c r="K134" s="46" t="s">
        <v>966</v>
      </c>
      <c r="L134" s="46">
        <f>COUNTIF($J$9:$J$113,"DD+18")</f>
        <v>0</v>
      </c>
    </row>
    <row r="135" spans="1:29">
      <c r="E135" s="46" t="s">
        <v>78</v>
      </c>
      <c r="F135" s="46" t="s">
        <v>966</v>
      </c>
      <c r="G135" s="46">
        <f>COUNTIF($C$9:$C$113,"DD+25")</f>
        <v>0</v>
      </c>
      <c r="J135" s="46" t="s">
        <v>78</v>
      </c>
      <c r="K135" s="46" t="s">
        <v>966</v>
      </c>
      <c r="L135" s="46">
        <f>COUNTIF($J$9:$J$113,"DD+25")</f>
        <v>0</v>
      </c>
    </row>
    <row r="136" spans="1:29">
      <c r="E136" s="46" t="s">
        <v>166</v>
      </c>
      <c r="F136" s="46" t="s">
        <v>966</v>
      </c>
      <c r="G136" s="46">
        <f>COUNTIF($C$9:$C$113,"DD+30")</f>
        <v>0</v>
      </c>
      <c r="J136" s="46" t="s">
        <v>166</v>
      </c>
      <c r="K136" s="46" t="s">
        <v>966</v>
      </c>
      <c r="L136" s="46">
        <f>COUNTIF($J$9:$J$113,"DD+30")</f>
        <v>0</v>
      </c>
    </row>
    <row r="137" spans="1:29">
      <c r="E137" s="114" t="s">
        <v>445</v>
      </c>
      <c r="F137" s="114" t="s">
        <v>966</v>
      </c>
      <c r="G137" s="114">
        <f>SUM(G118:G136)</f>
        <v>53</v>
      </c>
      <c r="H137" s="114"/>
      <c r="I137" s="114"/>
      <c r="J137" s="114" t="s">
        <v>445</v>
      </c>
      <c r="K137" s="114" t="s">
        <v>966</v>
      </c>
      <c r="L137" s="114">
        <f>SUM(L118:L136)</f>
        <v>53</v>
      </c>
    </row>
    <row r="138" spans="1:29" ht="33.75" customHeight="1">
      <c r="A138" s="1505" t="s">
        <v>967</v>
      </c>
      <c r="B138" s="1506"/>
      <c r="C138" s="1506"/>
      <c r="D138" s="1506"/>
      <c r="E138" s="1506"/>
      <c r="F138" s="1506"/>
      <c r="G138" s="1506"/>
      <c r="H138" s="1506"/>
      <c r="I138" s="1506"/>
      <c r="J138" s="1506"/>
      <c r="K138" s="1506"/>
      <c r="L138" s="1506"/>
      <c r="M138" s="1506"/>
      <c r="N138" s="1506"/>
      <c r="O138" s="1507" t="s">
        <v>968</v>
      </c>
      <c r="P138" s="1507"/>
      <c r="Q138" s="1507"/>
      <c r="R138" s="1507"/>
      <c r="S138" s="1507"/>
      <c r="T138" s="1507"/>
      <c r="U138" s="1507"/>
      <c r="V138" s="1507"/>
      <c r="W138" s="1507"/>
      <c r="X138" s="1507"/>
      <c r="Y138" s="1507"/>
      <c r="Z138" s="1507"/>
      <c r="AA138" s="1507"/>
      <c r="AB138" s="1507"/>
      <c r="AC138" s="1508"/>
    </row>
    <row r="139" spans="1:29" ht="12.75" customHeight="1">
      <c r="A139" s="1502" t="s">
        <v>969</v>
      </c>
      <c r="B139" s="1502"/>
      <c r="C139" s="1502"/>
      <c r="D139" s="1502"/>
      <c r="E139" s="1502"/>
      <c r="F139" s="1501" t="s">
        <v>970</v>
      </c>
      <c r="G139" s="1501"/>
      <c r="H139" s="1501"/>
      <c r="I139" s="1501"/>
      <c r="J139" s="1502" t="s">
        <v>971</v>
      </c>
      <c r="K139" s="1502"/>
      <c r="L139" s="1502"/>
      <c r="M139" s="1502"/>
      <c r="N139" s="1502"/>
      <c r="O139" s="1501" t="s">
        <v>970</v>
      </c>
      <c r="P139" s="1501"/>
      <c r="Q139" s="1501"/>
      <c r="R139" s="1501"/>
      <c r="S139" s="1501"/>
      <c r="T139" s="1502" t="s">
        <v>972</v>
      </c>
      <c r="U139" s="1502"/>
      <c r="V139" s="1502"/>
      <c r="W139" s="1502"/>
      <c r="X139" s="1502"/>
      <c r="Y139" s="1502"/>
      <c r="Z139" s="1502" t="s">
        <v>973</v>
      </c>
      <c r="AA139" s="1502"/>
      <c r="AB139" s="1502"/>
      <c r="AC139" s="1502"/>
    </row>
    <row r="140" spans="1:29" ht="12.75" customHeight="1">
      <c r="A140" s="1502"/>
      <c r="B140" s="1502"/>
      <c r="C140" s="1502"/>
      <c r="D140" s="1502"/>
      <c r="E140" s="1502"/>
      <c r="F140" s="1501"/>
      <c r="G140" s="1501"/>
      <c r="H140" s="1501"/>
      <c r="I140" s="1501"/>
      <c r="J140" s="1502"/>
      <c r="K140" s="1502"/>
      <c r="L140" s="1502"/>
      <c r="M140" s="1502"/>
      <c r="N140" s="1502"/>
      <c r="O140" s="1501"/>
      <c r="P140" s="1501"/>
      <c r="Q140" s="1501"/>
      <c r="R140" s="1501"/>
      <c r="S140" s="1501"/>
      <c r="T140" s="1502"/>
      <c r="U140" s="1502"/>
      <c r="V140" s="1502"/>
      <c r="W140" s="1502"/>
      <c r="X140" s="1502"/>
      <c r="Y140" s="1502"/>
      <c r="Z140" s="1502"/>
      <c r="AA140" s="1502"/>
      <c r="AB140" s="1502"/>
      <c r="AC140" s="1502"/>
    </row>
    <row r="141" spans="1:29" ht="12.75" customHeight="1">
      <c r="A141" s="1502"/>
      <c r="B141" s="1502"/>
      <c r="C141" s="1502"/>
      <c r="D141" s="1502"/>
      <c r="E141" s="1502"/>
      <c r="F141" s="1501"/>
      <c r="G141" s="1501"/>
      <c r="H141" s="1501"/>
      <c r="I141" s="1501"/>
      <c r="J141" s="1502"/>
      <c r="K141" s="1502"/>
      <c r="L141" s="1502"/>
      <c r="M141" s="1502"/>
      <c r="N141" s="1502"/>
      <c r="O141" s="1501"/>
      <c r="P141" s="1501"/>
      <c r="Q141" s="1501"/>
      <c r="R141" s="1501"/>
      <c r="S141" s="1501"/>
      <c r="T141" s="1502"/>
      <c r="U141" s="1502"/>
      <c r="V141" s="1502"/>
      <c r="W141" s="1502"/>
      <c r="X141" s="1502"/>
      <c r="Y141" s="1502"/>
      <c r="Z141" s="1502"/>
      <c r="AA141" s="1502"/>
      <c r="AB141" s="1502"/>
      <c r="AC141" s="1502"/>
    </row>
    <row r="142" spans="1:29" ht="36.75" customHeight="1">
      <c r="A142" s="1502"/>
      <c r="B142" s="1502"/>
      <c r="C142" s="1502"/>
      <c r="D142" s="1502"/>
      <c r="E142" s="1502"/>
      <c r="F142" s="1501"/>
      <c r="G142" s="1501"/>
      <c r="H142" s="1501"/>
      <c r="I142" s="1501"/>
      <c r="J142" s="1502"/>
      <c r="K142" s="1502"/>
      <c r="L142" s="1502"/>
      <c r="M142" s="1502"/>
      <c r="N142" s="1502"/>
      <c r="O142" s="1501"/>
      <c r="P142" s="1501"/>
      <c r="Q142" s="1501"/>
      <c r="R142" s="1501"/>
      <c r="S142" s="1501"/>
      <c r="T142" s="1502"/>
      <c r="U142" s="1502"/>
      <c r="V142" s="1502"/>
      <c r="W142" s="1502"/>
      <c r="X142" s="1502"/>
      <c r="Y142" s="1502"/>
      <c r="Z142" s="1502"/>
      <c r="AA142" s="1502"/>
      <c r="AB142" s="1502"/>
      <c r="AC142" s="1502"/>
    </row>
  </sheetData>
  <mergeCells count="68">
    <mergeCell ref="A1:AC1"/>
    <mergeCell ref="A2:AC2"/>
    <mergeCell ref="A3:AC3"/>
    <mergeCell ref="A4:AC4"/>
    <mergeCell ref="A5:AC5"/>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G52:G54"/>
    <mergeCell ref="G56:G66"/>
    <mergeCell ref="G68:G72"/>
    <mergeCell ref="G74:G76"/>
    <mergeCell ref="G80:G82"/>
    <mergeCell ref="G84:G88"/>
    <mergeCell ref="G90:G94"/>
    <mergeCell ref="G98:G100"/>
    <mergeCell ref="G102:G104"/>
    <mergeCell ref="G106:G112"/>
    <mergeCell ref="O10:O24"/>
    <mergeCell ref="O26:O28"/>
    <mergeCell ref="O30:O40"/>
    <mergeCell ref="O42:O44"/>
    <mergeCell ref="O46:O50"/>
    <mergeCell ref="O52:O54"/>
    <mergeCell ref="O56:O66"/>
    <mergeCell ref="O68:O72"/>
    <mergeCell ref="O74:O76"/>
    <mergeCell ref="O80:O82"/>
    <mergeCell ref="O84:O88"/>
    <mergeCell ref="O90:O94"/>
    <mergeCell ref="O98:O100"/>
    <mergeCell ref="O102:O104"/>
    <mergeCell ref="O106:O112"/>
    <mergeCell ref="F139:I142"/>
    <mergeCell ref="Z139:AC142"/>
    <mergeCell ref="A139:E142"/>
    <mergeCell ref="J139:N142"/>
    <mergeCell ref="O139:S142"/>
    <mergeCell ref="T139:Y142"/>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D88CA-C32B-443E-AB62-11909321ADA0}">
  <sheetPr>
    <pageSetUpPr fitToPage="1"/>
  </sheetPr>
  <dimension ref="A1:AL71"/>
  <sheetViews>
    <sheetView view="pageBreakPreview" topLeftCell="A29" zoomScale="42" zoomScaleNormal="42" zoomScaleSheetLayoutView="42" zoomScalePageLayoutView="19" workbookViewId="0">
      <selection activeCell="AB16" sqref="AB16"/>
    </sheetView>
  </sheetViews>
  <sheetFormatPr defaultRowHeight="22.8"/>
  <cols>
    <col min="1" max="1" width="28.77734375" style="1087" customWidth="1"/>
    <col min="2" max="2" width="15.77734375" style="1087" customWidth="1"/>
    <col min="3" max="3" width="28.77734375" style="1087" customWidth="1"/>
    <col min="4" max="4" width="15.77734375" style="1087" customWidth="1"/>
    <col min="5" max="5" width="28.77734375" style="1087" customWidth="1"/>
    <col min="6" max="6" width="15.77734375" style="1087" customWidth="1"/>
    <col min="7" max="7" width="28.77734375" style="1087" customWidth="1"/>
    <col min="8" max="8" width="15.77734375" style="1087" customWidth="1"/>
    <col min="9" max="9" width="28.77734375" style="1087" customWidth="1"/>
    <col min="10" max="10" width="15.77734375" style="1087" customWidth="1"/>
    <col min="11" max="11" width="28.77734375" style="1087" customWidth="1"/>
    <col min="12" max="12" width="15.77734375" style="1087" customWidth="1"/>
    <col min="13" max="13" width="28.77734375" style="1087" customWidth="1"/>
    <col min="14" max="14" width="15.77734375" style="1087" customWidth="1"/>
    <col min="15" max="15" width="28.77734375" style="1087" customWidth="1"/>
    <col min="16" max="16" width="15.77734375" style="1087" customWidth="1"/>
    <col min="17" max="17" width="28.77734375" style="1087" customWidth="1"/>
    <col min="18" max="18" width="15.77734375" style="1087" customWidth="1"/>
    <col min="19" max="19" width="28.77734375" style="1087" customWidth="1"/>
    <col min="20" max="20" width="15.77734375" style="1087" customWidth="1"/>
    <col min="21" max="21" width="28.77734375" style="1087" customWidth="1"/>
    <col min="22" max="22" width="15.77734375" style="1087" customWidth="1"/>
    <col min="23" max="23" width="28.77734375" style="1087" customWidth="1"/>
    <col min="24" max="24" width="13.33203125" style="1087" customWidth="1"/>
    <col min="25" max="27" width="8.88671875" style="1087"/>
    <col min="28" max="39" width="20.77734375" style="1087" customWidth="1"/>
    <col min="40" max="256" width="8.88671875" style="1087"/>
    <col min="257" max="257" width="20.77734375" style="1087" customWidth="1"/>
    <col min="258" max="258" width="12.88671875" style="1087" customWidth="1"/>
    <col min="259" max="259" width="20.77734375" style="1087" customWidth="1"/>
    <col min="260" max="260" width="11.5546875" style="1087" customWidth="1"/>
    <col min="261" max="261" width="20.77734375" style="1087" customWidth="1"/>
    <col min="262" max="262" width="9.88671875" style="1087" bestFit="1" customWidth="1"/>
    <col min="263" max="263" width="20.77734375" style="1087" customWidth="1"/>
    <col min="264" max="264" width="9.88671875" style="1087" bestFit="1" customWidth="1"/>
    <col min="265" max="265" width="20.77734375" style="1087" customWidth="1"/>
    <col min="266" max="266" width="9.88671875" style="1087" bestFit="1" customWidth="1"/>
    <col min="267" max="267" width="20.77734375" style="1087" customWidth="1"/>
    <col min="268" max="268" width="9.88671875" style="1087" bestFit="1" customWidth="1"/>
    <col min="269" max="269" width="20.77734375" style="1087" customWidth="1"/>
    <col min="270" max="270" width="12.21875" style="1087" customWidth="1"/>
    <col min="271" max="271" width="20.77734375" style="1087" customWidth="1"/>
    <col min="272" max="272" width="11.88671875" style="1087" customWidth="1"/>
    <col min="273" max="273" width="20.77734375" style="1087" customWidth="1"/>
    <col min="274" max="274" width="12.5546875" style="1087" customWidth="1"/>
    <col min="275" max="275" width="20.77734375" style="1087" customWidth="1"/>
    <col min="276" max="276" width="11.21875" style="1087" customWidth="1"/>
    <col min="277" max="277" width="20.77734375" style="1087" customWidth="1"/>
    <col min="278" max="278" width="11.5546875" style="1087" customWidth="1"/>
    <col min="279" max="279" width="20.77734375" style="1087" customWidth="1"/>
    <col min="280" max="280" width="9.88671875" style="1087" bestFit="1" customWidth="1"/>
    <col min="281" max="283" width="8.88671875" style="1087"/>
    <col min="284" max="295" width="20.77734375" style="1087" customWidth="1"/>
    <col min="296" max="512" width="8.88671875" style="1087"/>
    <col min="513" max="513" width="20.77734375" style="1087" customWidth="1"/>
    <col min="514" max="514" width="12.88671875" style="1087" customWidth="1"/>
    <col min="515" max="515" width="20.77734375" style="1087" customWidth="1"/>
    <col min="516" max="516" width="11.5546875" style="1087" customWidth="1"/>
    <col min="517" max="517" width="20.77734375" style="1087" customWidth="1"/>
    <col min="518" max="518" width="9.88671875" style="1087" bestFit="1" customWidth="1"/>
    <col min="519" max="519" width="20.77734375" style="1087" customWidth="1"/>
    <col min="520" max="520" width="9.88671875" style="1087" bestFit="1" customWidth="1"/>
    <col min="521" max="521" width="20.77734375" style="1087" customWidth="1"/>
    <col min="522" max="522" width="9.88671875" style="1087" bestFit="1" customWidth="1"/>
    <col min="523" max="523" width="20.77734375" style="1087" customWidth="1"/>
    <col min="524" max="524" width="9.88671875" style="1087" bestFit="1" customWidth="1"/>
    <col min="525" max="525" width="20.77734375" style="1087" customWidth="1"/>
    <col min="526" max="526" width="12.21875" style="1087" customWidth="1"/>
    <col min="527" max="527" width="20.77734375" style="1087" customWidth="1"/>
    <col min="528" max="528" width="11.88671875" style="1087" customWidth="1"/>
    <col min="529" max="529" width="20.77734375" style="1087" customWidth="1"/>
    <col min="530" max="530" width="12.5546875" style="1087" customWidth="1"/>
    <col min="531" max="531" width="20.77734375" style="1087" customWidth="1"/>
    <col min="532" max="532" width="11.21875" style="1087" customWidth="1"/>
    <col min="533" max="533" width="20.77734375" style="1087" customWidth="1"/>
    <col min="534" max="534" width="11.5546875" style="1087" customWidth="1"/>
    <col min="535" max="535" width="20.77734375" style="1087" customWidth="1"/>
    <col min="536" max="536" width="9.88671875" style="1087" bestFit="1" customWidth="1"/>
    <col min="537" max="539" width="8.88671875" style="1087"/>
    <col min="540" max="551" width="20.77734375" style="1087" customWidth="1"/>
    <col min="552" max="768" width="8.88671875" style="1087"/>
    <col min="769" max="769" width="20.77734375" style="1087" customWidth="1"/>
    <col min="770" max="770" width="12.88671875" style="1087" customWidth="1"/>
    <col min="771" max="771" width="20.77734375" style="1087" customWidth="1"/>
    <col min="772" max="772" width="11.5546875" style="1087" customWidth="1"/>
    <col min="773" max="773" width="20.77734375" style="1087" customWidth="1"/>
    <col min="774" max="774" width="9.88671875" style="1087" bestFit="1" customWidth="1"/>
    <col min="775" max="775" width="20.77734375" style="1087" customWidth="1"/>
    <col min="776" max="776" width="9.88671875" style="1087" bestFit="1" customWidth="1"/>
    <col min="777" max="777" width="20.77734375" style="1087" customWidth="1"/>
    <col min="778" max="778" width="9.88671875" style="1087" bestFit="1" customWidth="1"/>
    <col min="779" max="779" width="20.77734375" style="1087" customWidth="1"/>
    <col min="780" max="780" width="9.88671875" style="1087" bestFit="1" customWidth="1"/>
    <col min="781" max="781" width="20.77734375" style="1087" customWidth="1"/>
    <col min="782" max="782" width="12.21875" style="1087" customWidth="1"/>
    <col min="783" max="783" width="20.77734375" style="1087" customWidth="1"/>
    <col min="784" max="784" width="11.88671875" style="1087" customWidth="1"/>
    <col min="785" max="785" width="20.77734375" style="1087" customWidth="1"/>
    <col min="786" max="786" width="12.5546875" style="1087" customWidth="1"/>
    <col min="787" max="787" width="20.77734375" style="1087" customWidth="1"/>
    <col min="788" max="788" width="11.21875" style="1087" customWidth="1"/>
    <col min="789" max="789" width="20.77734375" style="1087" customWidth="1"/>
    <col min="790" max="790" width="11.5546875" style="1087" customWidth="1"/>
    <col min="791" max="791" width="20.77734375" style="1087" customWidth="1"/>
    <col min="792" max="792" width="9.88671875" style="1087" bestFit="1" customWidth="1"/>
    <col min="793" max="795" width="8.88671875" style="1087"/>
    <col min="796" max="807" width="20.77734375" style="1087" customWidth="1"/>
    <col min="808" max="1024" width="8.88671875" style="1087"/>
    <col min="1025" max="1025" width="20.77734375" style="1087" customWidth="1"/>
    <col min="1026" max="1026" width="12.88671875" style="1087" customWidth="1"/>
    <col min="1027" max="1027" width="20.77734375" style="1087" customWidth="1"/>
    <col min="1028" max="1028" width="11.5546875" style="1087" customWidth="1"/>
    <col min="1029" max="1029" width="20.77734375" style="1087" customWidth="1"/>
    <col min="1030" max="1030" width="9.88671875" style="1087" bestFit="1" customWidth="1"/>
    <col min="1031" max="1031" width="20.77734375" style="1087" customWidth="1"/>
    <col min="1032" max="1032" width="9.88671875" style="1087" bestFit="1" customWidth="1"/>
    <col min="1033" max="1033" width="20.77734375" style="1087" customWidth="1"/>
    <col min="1034" max="1034" width="9.88671875" style="1087" bestFit="1" customWidth="1"/>
    <col min="1035" max="1035" width="20.77734375" style="1087" customWidth="1"/>
    <col min="1036" max="1036" width="9.88671875" style="1087" bestFit="1" customWidth="1"/>
    <col min="1037" max="1037" width="20.77734375" style="1087" customWidth="1"/>
    <col min="1038" max="1038" width="12.21875" style="1087" customWidth="1"/>
    <col min="1039" max="1039" width="20.77734375" style="1087" customWidth="1"/>
    <col min="1040" max="1040" width="11.88671875" style="1087" customWidth="1"/>
    <col min="1041" max="1041" width="20.77734375" style="1087" customWidth="1"/>
    <col min="1042" max="1042" width="12.5546875" style="1087" customWidth="1"/>
    <col min="1043" max="1043" width="20.77734375" style="1087" customWidth="1"/>
    <col min="1044" max="1044" width="11.21875" style="1087" customWidth="1"/>
    <col min="1045" max="1045" width="20.77734375" style="1087" customWidth="1"/>
    <col min="1046" max="1046" width="11.5546875" style="1087" customWidth="1"/>
    <col min="1047" max="1047" width="20.77734375" style="1087" customWidth="1"/>
    <col min="1048" max="1048" width="9.88671875" style="1087" bestFit="1" customWidth="1"/>
    <col min="1049" max="1051" width="8.88671875" style="1087"/>
    <col min="1052" max="1063" width="20.77734375" style="1087" customWidth="1"/>
    <col min="1064" max="1280" width="8.88671875" style="1087"/>
    <col min="1281" max="1281" width="20.77734375" style="1087" customWidth="1"/>
    <col min="1282" max="1282" width="12.88671875" style="1087" customWidth="1"/>
    <col min="1283" max="1283" width="20.77734375" style="1087" customWidth="1"/>
    <col min="1284" max="1284" width="11.5546875" style="1087" customWidth="1"/>
    <col min="1285" max="1285" width="20.77734375" style="1087" customWidth="1"/>
    <col min="1286" max="1286" width="9.88671875" style="1087" bestFit="1" customWidth="1"/>
    <col min="1287" max="1287" width="20.77734375" style="1087" customWidth="1"/>
    <col min="1288" max="1288" width="9.88671875" style="1087" bestFit="1" customWidth="1"/>
    <col min="1289" max="1289" width="20.77734375" style="1087" customWidth="1"/>
    <col min="1290" max="1290" width="9.88671875" style="1087" bestFit="1" customWidth="1"/>
    <col min="1291" max="1291" width="20.77734375" style="1087" customWidth="1"/>
    <col min="1292" max="1292" width="9.88671875" style="1087" bestFit="1" customWidth="1"/>
    <col min="1293" max="1293" width="20.77734375" style="1087" customWidth="1"/>
    <col min="1294" max="1294" width="12.21875" style="1087" customWidth="1"/>
    <col min="1295" max="1295" width="20.77734375" style="1087" customWidth="1"/>
    <col min="1296" max="1296" width="11.88671875" style="1087" customWidth="1"/>
    <col min="1297" max="1297" width="20.77734375" style="1087" customWidth="1"/>
    <col min="1298" max="1298" width="12.5546875" style="1087" customWidth="1"/>
    <col min="1299" max="1299" width="20.77734375" style="1087" customWidth="1"/>
    <col min="1300" max="1300" width="11.21875" style="1087" customWidth="1"/>
    <col min="1301" max="1301" width="20.77734375" style="1087" customWidth="1"/>
    <col min="1302" max="1302" width="11.5546875" style="1087" customWidth="1"/>
    <col min="1303" max="1303" width="20.77734375" style="1087" customWidth="1"/>
    <col min="1304" max="1304" width="9.88671875" style="1087" bestFit="1" customWidth="1"/>
    <col min="1305" max="1307" width="8.88671875" style="1087"/>
    <col min="1308" max="1319" width="20.77734375" style="1087" customWidth="1"/>
    <col min="1320" max="1536" width="8.88671875" style="1087"/>
    <col min="1537" max="1537" width="20.77734375" style="1087" customWidth="1"/>
    <col min="1538" max="1538" width="12.88671875" style="1087" customWidth="1"/>
    <col min="1539" max="1539" width="20.77734375" style="1087" customWidth="1"/>
    <col min="1540" max="1540" width="11.5546875" style="1087" customWidth="1"/>
    <col min="1541" max="1541" width="20.77734375" style="1087" customWidth="1"/>
    <col min="1542" max="1542" width="9.88671875" style="1087" bestFit="1" customWidth="1"/>
    <col min="1543" max="1543" width="20.77734375" style="1087" customWidth="1"/>
    <col min="1544" max="1544" width="9.88671875" style="1087" bestFit="1" customWidth="1"/>
    <col min="1545" max="1545" width="20.77734375" style="1087" customWidth="1"/>
    <col min="1546" max="1546" width="9.88671875" style="1087" bestFit="1" customWidth="1"/>
    <col min="1547" max="1547" width="20.77734375" style="1087" customWidth="1"/>
    <col min="1548" max="1548" width="9.88671875" style="1087" bestFit="1" customWidth="1"/>
    <col min="1549" max="1549" width="20.77734375" style="1087" customWidth="1"/>
    <col min="1550" max="1550" width="12.21875" style="1087" customWidth="1"/>
    <col min="1551" max="1551" width="20.77734375" style="1087" customWidth="1"/>
    <col min="1552" max="1552" width="11.88671875" style="1087" customWidth="1"/>
    <col min="1553" max="1553" width="20.77734375" style="1087" customWidth="1"/>
    <col min="1554" max="1554" width="12.5546875" style="1087" customWidth="1"/>
    <col min="1555" max="1555" width="20.77734375" style="1087" customWidth="1"/>
    <col min="1556" max="1556" width="11.21875" style="1087" customWidth="1"/>
    <col min="1557" max="1557" width="20.77734375" style="1087" customWidth="1"/>
    <col min="1558" max="1558" width="11.5546875" style="1087" customWidth="1"/>
    <col min="1559" max="1559" width="20.77734375" style="1087" customWidth="1"/>
    <col min="1560" max="1560" width="9.88671875" style="1087" bestFit="1" customWidth="1"/>
    <col min="1561" max="1563" width="8.88671875" style="1087"/>
    <col min="1564" max="1575" width="20.77734375" style="1087" customWidth="1"/>
    <col min="1576" max="1792" width="8.88671875" style="1087"/>
    <col min="1793" max="1793" width="20.77734375" style="1087" customWidth="1"/>
    <col min="1794" max="1794" width="12.88671875" style="1087" customWidth="1"/>
    <col min="1795" max="1795" width="20.77734375" style="1087" customWidth="1"/>
    <col min="1796" max="1796" width="11.5546875" style="1087" customWidth="1"/>
    <col min="1797" max="1797" width="20.77734375" style="1087" customWidth="1"/>
    <col min="1798" max="1798" width="9.88671875" style="1087" bestFit="1" customWidth="1"/>
    <col min="1799" max="1799" width="20.77734375" style="1087" customWidth="1"/>
    <col min="1800" max="1800" width="9.88671875" style="1087" bestFit="1" customWidth="1"/>
    <col min="1801" max="1801" width="20.77734375" style="1087" customWidth="1"/>
    <col min="1802" max="1802" width="9.88671875" style="1087" bestFit="1" customWidth="1"/>
    <col min="1803" max="1803" width="20.77734375" style="1087" customWidth="1"/>
    <col min="1804" max="1804" width="9.88671875" style="1087" bestFit="1" customWidth="1"/>
    <col min="1805" max="1805" width="20.77734375" style="1087" customWidth="1"/>
    <col min="1806" max="1806" width="12.21875" style="1087" customWidth="1"/>
    <col min="1807" max="1807" width="20.77734375" style="1087" customWidth="1"/>
    <col min="1808" max="1808" width="11.88671875" style="1087" customWidth="1"/>
    <col min="1809" max="1809" width="20.77734375" style="1087" customWidth="1"/>
    <col min="1810" max="1810" width="12.5546875" style="1087" customWidth="1"/>
    <col min="1811" max="1811" width="20.77734375" style="1087" customWidth="1"/>
    <col min="1812" max="1812" width="11.21875" style="1087" customWidth="1"/>
    <col min="1813" max="1813" width="20.77734375" style="1087" customWidth="1"/>
    <col min="1814" max="1814" width="11.5546875" style="1087" customWidth="1"/>
    <col min="1815" max="1815" width="20.77734375" style="1087" customWidth="1"/>
    <col min="1816" max="1816" width="9.88671875" style="1087" bestFit="1" customWidth="1"/>
    <col min="1817" max="1819" width="8.88671875" style="1087"/>
    <col min="1820" max="1831" width="20.77734375" style="1087" customWidth="1"/>
    <col min="1832" max="2048" width="8.88671875" style="1087"/>
    <col min="2049" max="2049" width="20.77734375" style="1087" customWidth="1"/>
    <col min="2050" max="2050" width="12.88671875" style="1087" customWidth="1"/>
    <col min="2051" max="2051" width="20.77734375" style="1087" customWidth="1"/>
    <col min="2052" max="2052" width="11.5546875" style="1087" customWidth="1"/>
    <col min="2053" max="2053" width="20.77734375" style="1087" customWidth="1"/>
    <col min="2054" max="2054" width="9.88671875" style="1087" bestFit="1" customWidth="1"/>
    <col min="2055" max="2055" width="20.77734375" style="1087" customWidth="1"/>
    <col min="2056" max="2056" width="9.88671875" style="1087" bestFit="1" customWidth="1"/>
    <col min="2057" max="2057" width="20.77734375" style="1087" customWidth="1"/>
    <col min="2058" max="2058" width="9.88671875" style="1087" bestFit="1" customWidth="1"/>
    <col min="2059" max="2059" width="20.77734375" style="1087" customWidth="1"/>
    <col min="2060" max="2060" width="9.88671875" style="1087" bestFit="1" customWidth="1"/>
    <col min="2061" max="2061" width="20.77734375" style="1087" customWidth="1"/>
    <col min="2062" max="2062" width="12.21875" style="1087" customWidth="1"/>
    <col min="2063" max="2063" width="20.77734375" style="1087" customWidth="1"/>
    <col min="2064" max="2064" width="11.88671875" style="1087" customWidth="1"/>
    <col min="2065" max="2065" width="20.77734375" style="1087" customWidth="1"/>
    <col min="2066" max="2066" width="12.5546875" style="1087" customWidth="1"/>
    <col min="2067" max="2067" width="20.77734375" style="1087" customWidth="1"/>
    <col min="2068" max="2068" width="11.21875" style="1087" customWidth="1"/>
    <col min="2069" max="2069" width="20.77734375" style="1087" customWidth="1"/>
    <col min="2070" max="2070" width="11.5546875" style="1087" customWidth="1"/>
    <col min="2071" max="2071" width="20.77734375" style="1087" customWidth="1"/>
    <col min="2072" max="2072" width="9.88671875" style="1087" bestFit="1" customWidth="1"/>
    <col min="2073" max="2075" width="8.88671875" style="1087"/>
    <col min="2076" max="2087" width="20.77734375" style="1087" customWidth="1"/>
    <col min="2088" max="2304" width="8.88671875" style="1087"/>
    <col min="2305" max="2305" width="20.77734375" style="1087" customWidth="1"/>
    <col min="2306" max="2306" width="12.88671875" style="1087" customWidth="1"/>
    <col min="2307" max="2307" width="20.77734375" style="1087" customWidth="1"/>
    <col min="2308" max="2308" width="11.5546875" style="1087" customWidth="1"/>
    <col min="2309" max="2309" width="20.77734375" style="1087" customWidth="1"/>
    <col min="2310" max="2310" width="9.88671875" style="1087" bestFit="1" customWidth="1"/>
    <col min="2311" max="2311" width="20.77734375" style="1087" customWidth="1"/>
    <col min="2312" max="2312" width="9.88671875" style="1087" bestFit="1" customWidth="1"/>
    <col min="2313" max="2313" width="20.77734375" style="1087" customWidth="1"/>
    <col min="2314" max="2314" width="9.88671875" style="1087" bestFit="1" customWidth="1"/>
    <col min="2315" max="2315" width="20.77734375" style="1087" customWidth="1"/>
    <col min="2316" max="2316" width="9.88671875" style="1087" bestFit="1" customWidth="1"/>
    <col min="2317" max="2317" width="20.77734375" style="1087" customWidth="1"/>
    <col min="2318" max="2318" width="12.21875" style="1087" customWidth="1"/>
    <col min="2319" max="2319" width="20.77734375" style="1087" customWidth="1"/>
    <col min="2320" max="2320" width="11.88671875" style="1087" customWidth="1"/>
    <col min="2321" max="2321" width="20.77734375" style="1087" customWidth="1"/>
    <col min="2322" max="2322" width="12.5546875" style="1087" customWidth="1"/>
    <col min="2323" max="2323" width="20.77734375" style="1087" customWidth="1"/>
    <col min="2324" max="2324" width="11.21875" style="1087" customWidth="1"/>
    <col min="2325" max="2325" width="20.77734375" style="1087" customWidth="1"/>
    <col min="2326" max="2326" width="11.5546875" style="1087" customWidth="1"/>
    <col min="2327" max="2327" width="20.77734375" style="1087" customWidth="1"/>
    <col min="2328" max="2328" width="9.88671875" style="1087" bestFit="1" customWidth="1"/>
    <col min="2329" max="2331" width="8.88671875" style="1087"/>
    <col min="2332" max="2343" width="20.77734375" style="1087" customWidth="1"/>
    <col min="2344" max="2560" width="8.88671875" style="1087"/>
    <col min="2561" max="2561" width="20.77734375" style="1087" customWidth="1"/>
    <col min="2562" max="2562" width="12.88671875" style="1087" customWidth="1"/>
    <col min="2563" max="2563" width="20.77734375" style="1087" customWidth="1"/>
    <col min="2564" max="2564" width="11.5546875" style="1087" customWidth="1"/>
    <col min="2565" max="2565" width="20.77734375" style="1087" customWidth="1"/>
    <col min="2566" max="2566" width="9.88671875" style="1087" bestFit="1" customWidth="1"/>
    <col min="2567" max="2567" width="20.77734375" style="1087" customWidth="1"/>
    <col min="2568" max="2568" width="9.88671875" style="1087" bestFit="1" customWidth="1"/>
    <col min="2569" max="2569" width="20.77734375" style="1087" customWidth="1"/>
    <col min="2570" max="2570" width="9.88671875" style="1087" bestFit="1" customWidth="1"/>
    <col min="2571" max="2571" width="20.77734375" style="1087" customWidth="1"/>
    <col min="2572" max="2572" width="9.88671875" style="1087" bestFit="1" customWidth="1"/>
    <col min="2573" max="2573" width="20.77734375" style="1087" customWidth="1"/>
    <col min="2574" max="2574" width="12.21875" style="1087" customWidth="1"/>
    <col min="2575" max="2575" width="20.77734375" style="1087" customWidth="1"/>
    <col min="2576" max="2576" width="11.88671875" style="1087" customWidth="1"/>
    <col min="2577" max="2577" width="20.77734375" style="1087" customWidth="1"/>
    <col min="2578" max="2578" width="12.5546875" style="1087" customWidth="1"/>
    <col min="2579" max="2579" width="20.77734375" style="1087" customWidth="1"/>
    <col min="2580" max="2580" width="11.21875" style="1087" customWidth="1"/>
    <col min="2581" max="2581" width="20.77734375" style="1087" customWidth="1"/>
    <col min="2582" max="2582" width="11.5546875" style="1087" customWidth="1"/>
    <col min="2583" max="2583" width="20.77734375" style="1087" customWidth="1"/>
    <col min="2584" max="2584" width="9.88671875" style="1087" bestFit="1" customWidth="1"/>
    <col min="2585" max="2587" width="8.88671875" style="1087"/>
    <col min="2588" max="2599" width="20.77734375" style="1087" customWidth="1"/>
    <col min="2600" max="2816" width="8.88671875" style="1087"/>
    <col min="2817" max="2817" width="20.77734375" style="1087" customWidth="1"/>
    <col min="2818" max="2818" width="12.88671875" style="1087" customWidth="1"/>
    <col min="2819" max="2819" width="20.77734375" style="1087" customWidth="1"/>
    <col min="2820" max="2820" width="11.5546875" style="1087" customWidth="1"/>
    <col min="2821" max="2821" width="20.77734375" style="1087" customWidth="1"/>
    <col min="2822" max="2822" width="9.88671875" style="1087" bestFit="1" customWidth="1"/>
    <col min="2823" max="2823" width="20.77734375" style="1087" customWidth="1"/>
    <col min="2824" max="2824" width="9.88671875" style="1087" bestFit="1" customWidth="1"/>
    <col min="2825" max="2825" width="20.77734375" style="1087" customWidth="1"/>
    <col min="2826" max="2826" width="9.88671875" style="1087" bestFit="1" customWidth="1"/>
    <col min="2827" max="2827" width="20.77734375" style="1087" customWidth="1"/>
    <col min="2828" max="2828" width="9.88671875" style="1087" bestFit="1" customWidth="1"/>
    <col min="2829" max="2829" width="20.77734375" style="1087" customWidth="1"/>
    <col min="2830" max="2830" width="12.21875" style="1087" customWidth="1"/>
    <col min="2831" max="2831" width="20.77734375" style="1087" customWidth="1"/>
    <col min="2832" max="2832" width="11.88671875" style="1087" customWidth="1"/>
    <col min="2833" max="2833" width="20.77734375" style="1087" customWidth="1"/>
    <col min="2834" max="2834" width="12.5546875" style="1087" customWidth="1"/>
    <col min="2835" max="2835" width="20.77734375" style="1087" customWidth="1"/>
    <col min="2836" max="2836" width="11.21875" style="1087" customWidth="1"/>
    <col min="2837" max="2837" width="20.77734375" style="1087" customWidth="1"/>
    <col min="2838" max="2838" width="11.5546875" style="1087" customWidth="1"/>
    <col min="2839" max="2839" width="20.77734375" style="1087" customWidth="1"/>
    <col min="2840" max="2840" width="9.88671875" style="1087" bestFit="1" customWidth="1"/>
    <col min="2841" max="2843" width="8.88671875" style="1087"/>
    <col min="2844" max="2855" width="20.77734375" style="1087" customWidth="1"/>
    <col min="2856" max="3072" width="8.88671875" style="1087"/>
    <col min="3073" max="3073" width="20.77734375" style="1087" customWidth="1"/>
    <col min="3074" max="3074" width="12.88671875" style="1087" customWidth="1"/>
    <col min="3075" max="3075" width="20.77734375" style="1087" customWidth="1"/>
    <col min="3076" max="3076" width="11.5546875" style="1087" customWidth="1"/>
    <col min="3077" max="3077" width="20.77734375" style="1087" customWidth="1"/>
    <col min="3078" max="3078" width="9.88671875" style="1087" bestFit="1" customWidth="1"/>
    <col min="3079" max="3079" width="20.77734375" style="1087" customWidth="1"/>
    <col min="3080" max="3080" width="9.88671875" style="1087" bestFit="1" customWidth="1"/>
    <col min="3081" max="3081" width="20.77734375" style="1087" customWidth="1"/>
    <col min="3082" max="3082" width="9.88671875" style="1087" bestFit="1" customWidth="1"/>
    <col min="3083" max="3083" width="20.77734375" style="1087" customWidth="1"/>
    <col min="3084" max="3084" width="9.88671875" style="1087" bestFit="1" customWidth="1"/>
    <col min="3085" max="3085" width="20.77734375" style="1087" customWidth="1"/>
    <col min="3086" max="3086" width="12.21875" style="1087" customWidth="1"/>
    <col min="3087" max="3087" width="20.77734375" style="1087" customWidth="1"/>
    <col min="3088" max="3088" width="11.88671875" style="1087" customWidth="1"/>
    <col min="3089" max="3089" width="20.77734375" style="1087" customWidth="1"/>
    <col min="3090" max="3090" width="12.5546875" style="1087" customWidth="1"/>
    <col min="3091" max="3091" width="20.77734375" style="1087" customWidth="1"/>
    <col min="3092" max="3092" width="11.21875" style="1087" customWidth="1"/>
    <col min="3093" max="3093" width="20.77734375" style="1087" customWidth="1"/>
    <col min="3094" max="3094" width="11.5546875" style="1087" customWidth="1"/>
    <col min="3095" max="3095" width="20.77734375" style="1087" customWidth="1"/>
    <col min="3096" max="3096" width="9.88671875" style="1087" bestFit="1" customWidth="1"/>
    <col min="3097" max="3099" width="8.88671875" style="1087"/>
    <col min="3100" max="3111" width="20.77734375" style="1087" customWidth="1"/>
    <col min="3112" max="3328" width="8.88671875" style="1087"/>
    <col min="3329" max="3329" width="20.77734375" style="1087" customWidth="1"/>
    <col min="3330" max="3330" width="12.88671875" style="1087" customWidth="1"/>
    <col min="3331" max="3331" width="20.77734375" style="1087" customWidth="1"/>
    <col min="3332" max="3332" width="11.5546875" style="1087" customWidth="1"/>
    <col min="3333" max="3333" width="20.77734375" style="1087" customWidth="1"/>
    <col min="3334" max="3334" width="9.88671875" style="1087" bestFit="1" customWidth="1"/>
    <col min="3335" max="3335" width="20.77734375" style="1087" customWidth="1"/>
    <col min="3336" max="3336" width="9.88671875" style="1087" bestFit="1" customWidth="1"/>
    <col min="3337" max="3337" width="20.77734375" style="1087" customWidth="1"/>
    <col min="3338" max="3338" width="9.88671875" style="1087" bestFit="1" customWidth="1"/>
    <col min="3339" max="3339" width="20.77734375" style="1087" customWidth="1"/>
    <col min="3340" max="3340" width="9.88671875" style="1087" bestFit="1" customWidth="1"/>
    <col min="3341" max="3341" width="20.77734375" style="1087" customWidth="1"/>
    <col min="3342" max="3342" width="12.21875" style="1087" customWidth="1"/>
    <col min="3343" max="3343" width="20.77734375" style="1087" customWidth="1"/>
    <col min="3344" max="3344" width="11.88671875" style="1087" customWidth="1"/>
    <col min="3345" max="3345" width="20.77734375" style="1087" customWidth="1"/>
    <col min="3346" max="3346" width="12.5546875" style="1087" customWidth="1"/>
    <col min="3347" max="3347" width="20.77734375" style="1087" customWidth="1"/>
    <col min="3348" max="3348" width="11.21875" style="1087" customWidth="1"/>
    <col min="3349" max="3349" width="20.77734375" style="1087" customWidth="1"/>
    <col min="3350" max="3350" width="11.5546875" style="1087" customWidth="1"/>
    <col min="3351" max="3351" width="20.77734375" style="1087" customWidth="1"/>
    <col min="3352" max="3352" width="9.88671875" style="1087" bestFit="1" customWidth="1"/>
    <col min="3353" max="3355" width="8.88671875" style="1087"/>
    <col min="3356" max="3367" width="20.77734375" style="1087" customWidth="1"/>
    <col min="3368" max="3584" width="8.88671875" style="1087"/>
    <col min="3585" max="3585" width="20.77734375" style="1087" customWidth="1"/>
    <col min="3586" max="3586" width="12.88671875" style="1087" customWidth="1"/>
    <col min="3587" max="3587" width="20.77734375" style="1087" customWidth="1"/>
    <col min="3588" max="3588" width="11.5546875" style="1087" customWidth="1"/>
    <col min="3589" max="3589" width="20.77734375" style="1087" customWidth="1"/>
    <col min="3590" max="3590" width="9.88671875" style="1087" bestFit="1" customWidth="1"/>
    <col min="3591" max="3591" width="20.77734375" style="1087" customWidth="1"/>
    <col min="3592" max="3592" width="9.88671875" style="1087" bestFit="1" customWidth="1"/>
    <col min="3593" max="3593" width="20.77734375" style="1087" customWidth="1"/>
    <col min="3594" max="3594" width="9.88671875" style="1087" bestFit="1" customWidth="1"/>
    <col min="3595" max="3595" width="20.77734375" style="1087" customWidth="1"/>
    <col min="3596" max="3596" width="9.88671875" style="1087" bestFit="1" customWidth="1"/>
    <col min="3597" max="3597" width="20.77734375" style="1087" customWidth="1"/>
    <col min="3598" max="3598" width="12.21875" style="1087" customWidth="1"/>
    <col min="3599" max="3599" width="20.77734375" style="1087" customWidth="1"/>
    <col min="3600" max="3600" width="11.88671875" style="1087" customWidth="1"/>
    <col min="3601" max="3601" width="20.77734375" style="1087" customWidth="1"/>
    <col min="3602" max="3602" width="12.5546875" style="1087" customWidth="1"/>
    <col min="3603" max="3603" width="20.77734375" style="1087" customWidth="1"/>
    <col min="3604" max="3604" width="11.21875" style="1087" customWidth="1"/>
    <col min="3605" max="3605" width="20.77734375" style="1087" customWidth="1"/>
    <col min="3606" max="3606" width="11.5546875" style="1087" customWidth="1"/>
    <col min="3607" max="3607" width="20.77734375" style="1087" customWidth="1"/>
    <col min="3608" max="3608" width="9.88671875" style="1087" bestFit="1" customWidth="1"/>
    <col min="3609" max="3611" width="8.88671875" style="1087"/>
    <col min="3612" max="3623" width="20.77734375" style="1087" customWidth="1"/>
    <col min="3624" max="3840" width="8.88671875" style="1087"/>
    <col min="3841" max="3841" width="20.77734375" style="1087" customWidth="1"/>
    <col min="3842" max="3842" width="12.88671875" style="1087" customWidth="1"/>
    <col min="3843" max="3843" width="20.77734375" style="1087" customWidth="1"/>
    <col min="3844" max="3844" width="11.5546875" style="1087" customWidth="1"/>
    <col min="3845" max="3845" width="20.77734375" style="1087" customWidth="1"/>
    <col min="3846" max="3846" width="9.88671875" style="1087" bestFit="1" customWidth="1"/>
    <col min="3847" max="3847" width="20.77734375" style="1087" customWidth="1"/>
    <col min="3848" max="3848" width="9.88671875" style="1087" bestFit="1" customWidth="1"/>
    <col min="3849" max="3849" width="20.77734375" style="1087" customWidth="1"/>
    <col min="3850" max="3850" width="9.88671875" style="1087" bestFit="1" customWidth="1"/>
    <col min="3851" max="3851" width="20.77734375" style="1087" customWidth="1"/>
    <col min="3852" max="3852" width="9.88671875" style="1087" bestFit="1" customWidth="1"/>
    <col min="3853" max="3853" width="20.77734375" style="1087" customWidth="1"/>
    <col min="3854" max="3854" width="12.21875" style="1087" customWidth="1"/>
    <col min="3855" max="3855" width="20.77734375" style="1087" customWidth="1"/>
    <col min="3856" max="3856" width="11.88671875" style="1087" customWidth="1"/>
    <col min="3857" max="3857" width="20.77734375" style="1087" customWidth="1"/>
    <col min="3858" max="3858" width="12.5546875" style="1087" customWidth="1"/>
    <col min="3859" max="3859" width="20.77734375" style="1087" customWidth="1"/>
    <col min="3860" max="3860" width="11.21875" style="1087" customWidth="1"/>
    <col min="3861" max="3861" width="20.77734375" style="1087" customWidth="1"/>
    <col min="3862" max="3862" width="11.5546875" style="1087" customWidth="1"/>
    <col min="3863" max="3863" width="20.77734375" style="1087" customWidth="1"/>
    <col min="3864" max="3864" width="9.88671875" style="1087" bestFit="1" customWidth="1"/>
    <col min="3865" max="3867" width="8.88671875" style="1087"/>
    <col min="3868" max="3879" width="20.77734375" style="1087" customWidth="1"/>
    <col min="3880" max="4096" width="8.88671875" style="1087"/>
    <col min="4097" max="4097" width="20.77734375" style="1087" customWidth="1"/>
    <col min="4098" max="4098" width="12.88671875" style="1087" customWidth="1"/>
    <col min="4099" max="4099" width="20.77734375" style="1087" customWidth="1"/>
    <col min="4100" max="4100" width="11.5546875" style="1087" customWidth="1"/>
    <col min="4101" max="4101" width="20.77734375" style="1087" customWidth="1"/>
    <col min="4102" max="4102" width="9.88671875" style="1087" bestFit="1" customWidth="1"/>
    <col min="4103" max="4103" width="20.77734375" style="1087" customWidth="1"/>
    <col min="4104" max="4104" width="9.88671875" style="1087" bestFit="1" customWidth="1"/>
    <col min="4105" max="4105" width="20.77734375" style="1087" customWidth="1"/>
    <col min="4106" max="4106" width="9.88671875" style="1087" bestFit="1" customWidth="1"/>
    <col min="4107" max="4107" width="20.77734375" style="1087" customWidth="1"/>
    <col min="4108" max="4108" width="9.88671875" style="1087" bestFit="1" customWidth="1"/>
    <col min="4109" max="4109" width="20.77734375" style="1087" customWidth="1"/>
    <col min="4110" max="4110" width="12.21875" style="1087" customWidth="1"/>
    <col min="4111" max="4111" width="20.77734375" style="1087" customWidth="1"/>
    <col min="4112" max="4112" width="11.88671875" style="1087" customWidth="1"/>
    <col min="4113" max="4113" width="20.77734375" style="1087" customWidth="1"/>
    <col min="4114" max="4114" width="12.5546875" style="1087" customWidth="1"/>
    <col min="4115" max="4115" width="20.77734375" style="1087" customWidth="1"/>
    <col min="4116" max="4116" width="11.21875" style="1087" customWidth="1"/>
    <col min="4117" max="4117" width="20.77734375" style="1087" customWidth="1"/>
    <col min="4118" max="4118" width="11.5546875" style="1087" customWidth="1"/>
    <col min="4119" max="4119" width="20.77734375" style="1087" customWidth="1"/>
    <col min="4120" max="4120" width="9.88671875" style="1087" bestFit="1" customWidth="1"/>
    <col min="4121" max="4123" width="8.88671875" style="1087"/>
    <col min="4124" max="4135" width="20.77734375" style="1087" customWidth="1"/>
    <col min="4136" max="4352" width="8.88671875" style="1087"/>
    <col min="4353" max="4353" width="20.77734375" style="1087" customWidth="1"/>
    <col min="4354" max="4354" width="12.88671875" style="1087" customWidth="1"/>
    <col min="4355" max="4355" width="20.77734375" style="1087" customWidth="1"/>
    <col min="4356" max="4356" width="11.5546875" style="1087" customWidth="1"/>
    <col min="4357" max="4357" width="20.77734375" style="1087" customWidth="1"/>
    <col min="4358" max="4358" width="9.88671875" style="1087" bestFit="1" customWidth="1"/>
    <col min="4359" max="4359" width="20.77734375" style="1087" customWidth="1"/>
    <col min="4360" max="4360" width="9.88671875" style="1087" bestFit="1" customWidth="1"/>
    <col min="4361" max="4361" width="20.77734375" style="1087" customWidth="1"/>
    <col min="4362" max="4362" width="9.88671875" style="1087" bestFit="1" customWidth="1"/>
    <col min="4363" max="4363" width="20.77734375" style="1087" customWidth="1"/>
    <col min="4364" max="4364" width="9.88671875" style="1087" bestFit="1" customWidth="1"/>
    <col min="4365" max="4365" width="20.77734375" style="1087" customWidth="1"/>
    <col min="4366" max="4366" width="12.21875" style="1087" customWidth="1"/>
    <col min="4367" max="4367" width="20.77734375" style="1087" customWidth="1"/>
    <col min="4368" max="4368" width="11.88671875" style="1087" customWidth="1"/>
    <col min="4369" max="4369" width="20.77734375" style="1087" customWidth="1"/>
    <col min="4370" max="4370" width="12.5546875" style="1087" customWidth="1"/>
    <col min="4371" max="4371" width="20.77734375" style="1087" customWidth="1"/>
    <col min="4372" max="4372" width="11.21875" style="1087" customWidth="1"/>
    <col min="4373" max="4373" width="20.77734375" style="1087" customWidth="1"/>
    <col min="4374" max="4374" width="11.5546875" style="1087" customWidth="1"/>
    <col min="4375" max="4375" width="20.77734375" style="1087" customWidth="1"/>
    <col min="4376" max="4376" width="9.88671875" style="1087" bestFit="1" customWidth="1"/>
    <col min="4377" max="4379" width="8.88671875" style="1087"/>
    <col min="4380" max="4391" width="20.77734375" style="1087" customWidth="1"/>
    <col min="4392" max="4608" width="8.88671875" style="1087"/>
    <col min="4609" max="4609" width="20.77734375" style="1087" customWidth="1"/>
    <col min="4610" max="4610" width="12.88671875" style="1087" customWidth="1"/>
    <col min="4611" max="4611" width="20.77734375" style="1087" customWidth="1"/>
    <col min="4612" max="4612" width="11.5546875" style="1087" customWidth="1"/>
    <col min="4613" max="4613" width="20.77734375" style="1087" customWidth="1"/>
    <col min="4614" max="4614" width="9.88671875" style="1087" bestFit="1" customWidth="1"/>
    <col min="4615" max="4615" width="20.77734375" style="1087" customWidth="1"/>
    <col min="4616" max="4616" width="9.88671875" style="1087" bestFit="1" customWidth="1"/>
    <col min="4617" max="4617" width="20.77734375" style="1087" customWidth="1"/>
    <col min="4618" max="4618" width="9.88671875" style="1087" bestFit="1" customWidth="1"/>
    <col min="4619" max="4619" width="20.77734375" style="1087" customWidth="1"/>
    <col min="4620" max="4620" width="9.88671875" style="1087" bestFit="1" customWidth="1"/>
    <col min="4621" max="4621" width="20.77734375" style="1087" customWidth="1"/>
    <col min="4622" max="4622" width="12.21875" style="1087" customWidth="1"/>
    <col min="4623" max="4623" width="20.77734375" style="1087" customWidth="1"/>
    <col min="4624" max="4624" width="11.88671875" style="1087" customWidth="1"/>
    <col min="4625" max="4625" width="20.77734375" style="1087" customWidth="1"/>
    <col min="4626" max="4626" width="12.5546875" style="1087" customWidth="1"/>
    <col min="4627" max="4627" width="20.77734375" style="1087" customWidth="1"/>
    <col min="4628" max="4628" width="11.21875" style="1087" customWidth="1"/>
    <col min="4629" max="4629" width="20.77734375" style="1087" customWidth="1"/>
    <col min="4630" max="4630" width="11.5546875" style="1087" customWidth="1"/>
    <col min="4631" max="4631" width="20.77734375" style="1087" customWidth="1"/>
    <col min="4632" max="4632" width="9.88671875" style="1087" bestFit="1" customWidth="1"/>
    <col min="4633" max="4635" width="8.88671875" style="1087"/>
    <col min="4636" max="4647" width="20.77734375" style="1087" customWidth="1"/>
    <col min="4648" max="4864" width="8.88671875" style="1087"/>
    <col min="4865" max="4865" width="20.77734375" style="1087" customWidth="1"/>
    <col min="4866" max="4866" width="12.88671875" style="1087" customWidth="1"/>
    <col min="4867" max="4867" width="20.77734375" style="1087" customWidth="1"/>
    <col min="4868" max="4868" width="11.5546875" style="1087" customWidth="1"/>
    <col min="4869" max="4869" width="20.77734375" style="1087" customWidth="1"/>
    <col min="4870" max="4870" width="9.88671875" style="1087" bestFit="1" customWidth="1"/>
    <col min="4871" max="4871" width="20.77734375" style="1087" customWidth="1"/>
    <col min="4872" max="4872" width="9.88671875" style="1087" bestFit="1" customWidth="1"/>
    <col min="4873" max="4873" width="20.77734375" style="1087" customWidth="1"/>
    <col min="4874" max="4874" width="9.88671875" style="1087" bestFit="1" customWidth="1"/>
    <col min="4875" max="4875" width="20.77734375" style="1087" customWidth="1"/>
    <col min="4876" max="4876" width="9.88671875" style="1087" bestFit="1" customWidth="1"/>
    <col min="4877" max="4877" width="20.77734375" style="1087" customWidth="1"/>
    <col min="4878" max="4878" width="12.21875" style="1087" customWidth="1"/>
    <col min="4879" max="4879" width="20.77734375" style="1087" customWidth="1"/>
    <col min="4880" max="4880" width="11.88671875" style="1087" customWidth="1"/>
    <col min="4881" max="4881" width="20.77734375" style="1087" customWidth="1"/>
    <col min="4882" max="4882" width="12.5546875" style="1087" customWidth="1"/>
    <col min="4883" max="4883" width="20.77734375" style="1087" customWidth="1"/>
    <col min="4884" max="4884" width="11.21875" style="1087" customWidth="1"/>
    <col min="4885" max="4885" width="20.77734375" style="1087" customWidth="1"/>
    <col min="4886" max="4886" width="11.5546875" style="1087" customWidth="1"/>
    <col min="4887" max="4887" width="20.77734375" style="1087" customWidth="1"/>
    <col min="4888" max="4888" width="9.88671875" style="1087" bestFit="1" customWidth="1"/>
    <col min="4889" max="4891" width="8.88671875" style="1087"/>
    <col min="4892" max="4903" width="20.77734375" style="1087" customWidth="1"/>
    <col min="4904" max="5120" width="8.88671875" style="1087"/>
    <col min="5121" max="5121" width="20.77734375" style="1087" customWidth="1"/>
    <col min="5122" max="5122" width="12.88671875" style="1087" customWidth="1"/>
    <col min="5123" max="5123" width="20.77734375" style="1087" customWidth="1"/>
    <col min="5124" max="5124" width="11.5546875" style="1087" customWidth="1"/>
    <col min="5125" max="5125" width="20.77734375" style="1087" customWidth="1"/>
    <col min="5126" max="5126" width="9.88671875" style="1087" bestFit="1" customWidth="1"/>
    <col min="5127" max="5127" width="20.77734375" style="1087" customWidth="1"/>
    <col min="5128" max="5128" width="9.88671875" style="1087" bestFit="1" customWidth="1"/>
    <col min="5129" max="5129" width="20.77734375" style="1087" customWidth="1"/>
    <col min="5130" max="5130" width="9.88671875" style="1087" bestFit="1" customWidth="1"/>
    <col min="5131" max="5131" width="20.77734375" style="1087" customWidth="1"/>
    <col min="5132" max="5132" width="9.88671875" style="1087" bestFit="1" customWidth="1"/>
    <col min="5133" max="5133" width="20.77734375" style="1087" customWidth="1"/>
    <col min="5134" max="5134" width="12.21875" style="1087" customWidth="1"/>
    <col min="5135" max="5135" width="20.77734375" style="1087" customWidth="1"/>
    <col min="5136" max="5136" width="11.88671875" style="1087" customWidth="1"/>
    <col min="5137" max="5137" width="20.77734375" style="1087" customWidth="1"/>
    <col min="5138" max="5138" width="12.5546875" style="1087" customWidth="1"/>
    <col min="5139" max="5139" width="20.77734375" style="1087" customWidth="1"/>
    <col min="5140" max="5140" width="11.21875" style="1087" customWidth="1"/>
    <col min="5141" max="5141" width="20.77734375" style="1087" customWidth="1"/>
    <col min="5142" max="5142" width="11.5546875" style="1087" customWidth="1"/>
    <col min="5143" max="5143" width="20.77734375" style="1087" customWidth="1"/>
    <col min="5144" max="5144" width="9.88671875" style="1087" bestFit="1" customWidth="1"/>
    <col min="5145" max="5147" width="8.88671875" style="1087"/>
    <col min="5148" max="5159" width="20.77734375" style="1087" customWidth="1"/>
    <col min="5160" max="5376" width="8.88671875" style="1087"/>
    <col min="5377" max="5377" width="20.77734375" style="1087" customWidth="1"/>
    <col min="5378" max="5378" width="12.88671875" style="1087" customWidth="1"/>
    <col min="5379" max="5379" width="20.77734375" style="1087" customWidth="1"/>
    <col min="5380" max="5380" width="11.5546875" style="1087" customWidth="1"/>
    <col min="5381" max="5381" width="20.77734375" style="1087" customWidth="1"/>
    <col min="5382" max="5382" width="9.88671875" style="1087" bestFit="1" customWidth="1"/>
    <col min="5383" max="5383" width="20.77734375" style="1087" customWidth="1"/>
    <col min="5384" max="5384" width="9.88671875" style="1087" bestFit="1" customWidth="1"/>
    <col min="5385" max="5385" width="20.77734375" style="1087" customWidth="1"/>
    <col min="5386" max="5386" width="9.88671875" style="1087" bestFit="1" customWidth="1"/>
    <col min="5387" max="5387" width="20.77734375" style="1087" customWidth="1"/>
    <col min="5388" max="5388" width="9.88671875" style="1087" bestFit="1" customWidth="1"/>
    <col min="5389" max="5389" width="20.77734375" style="1087" customWidth="1"/>
    <col min="5390" max="5390" width="12.21875" style="1087" customWidth="1"/>
    <col min="5391" max="5391" width="20.77734375" style="1087" customWidth="1"/>
    <col min="5392" max="5392" width="11.88671875" style="1087" customWidth="1"/>
    <col min="5393" max="5393" width="20.77734375" style="1087" customWidth="1"/>
    <col min="5394" max="5394" width="12.5546875" style="1087" customWidth="1"/>
    <col min="5395" max="5395" width="20.77734375" style="1087" customWidth="1"/>
    <col min="5396" max="5396" width="11.21875" style="1087" customWidth="1"/>
    <col min="5397" max="5397" width="20.77734375" style="1087" customWidth="1"/>
    <col min="5398" max="5398" width="11.5546875" style="1087" customWidth="1"/>
    <col min="5399" max="5399" width="20.77734375" style="1087" customWidth="1"/>
    <col min="5400" max="5400" width="9.88671875" style="1087" bestFit="1" customWidth="1"/>
    <col min="5401" max="5403" width="8.88671875" style="1087"/>
    <col min="5404" max="5415" width="20.77734375" style="1087" customWidth="1"/>
    <col min="5416" max="5632" width="8.88671875" style="1087"/>
    <col min="5633" max="5633" width="20.77734375" style="1087" customWidth="1"/>
    <col min="5634" max="5634" width="12.88671875" style="1087" customWidth="1"/>
    <col min="5635" max="5635" width="20.77734375" style="1087" customWidth="1"/>
    <col min="5636" max="5636" width="11.5546875" style="1087" customWidth="1"/>
    <col min="5637" max="5637" width="20.77734375" style="1087" customWidth="1"/>
    <col min="5638" max="5638" width="9.88671875" style="1087" bestFit="1" customWidth="1"/>
    <col min="5639" max="5639" width="20.77734375" style="1087" customWidth="1"/>
    <col min="5640" max="5640" width="9.88671875" style="1087" bestFit="1" customWidth="1"/>
    <col min="5641" max="5641" width="20.77734375" style="1087" customWidth="1"/>
    <col min="5642" max="5642" width="9.88671875" style="1087" bestFit="1" customWidth="1"/>
    <col min="5643" max="5643" width="20.77734375" style="1087" customWidth="1"/>
    <col min="5644" max="5644" width="9.88671875" style="1087" bestFit="1" customWidth="1"/>
    <col min="5645" max="5645" width="20.77734375" style="1087" customWidth="1"/>
    <col min="5646" max="5646" width="12.21875" style="1087" customWidth="1"/>
    <col min="5647" max="5647" width="20.77734375" style="1087" customWidth="1"/>
    <col min="5648" max="5648" width="11.88671875" style="1087" customWidth="1"/>
    <col min="5649" max="5649" width="20.77734375" style="1087" customWidth="1"/>
    <col min="5650" max="5650" width="12.5546875" style="1087" customWidth="1"/>
    <col min="5651" max="5651" width="20.77734375" style="1087" customWidth="1"/>
    <col min="5652" max="5652" width="11.21875" style="1087" customWidth="1"/>
    <col min="5653" max="5653" width="20.77734375" style="1087" customWidth="1"/>
    <col min="5654" max="5654" width="11.5546875" style="1087" customWidth="1"/>
    <col min="5655" max="5655" width="20.77734375" style="1087" customWidth="1"/>
    <col min="5656" max="5656" width="9.88671875" style="1087" bestFit="1" customWidth="1"/>
    <col min="5657" max="5659" width="8.88671875" style="1087"/>
    <col min="5660" max="5671" width="20.77734375" style="1087" customWidth="1"/>
    <col min="5672" max="5888" width="8.88671875" style="1087"/>
    <col min="5889" max="5889" width="20.77734375" style="1087" customWidth="1"/>
    <col min="5890" max="5890" width="12.88671875" style="1087" customWidth="1"/>
    <col min="5891" max="5891" width="20.77734375" style="1087" customWidth="1"/>
    <col min="5892" max="5892" width="11.5546875" style="1087" customWidth="1"/>
    <col min="5893" max="5893" width="20.77734375" style="1087" customWidth="1"/>
    <col min="5894" max="5894" width="9.88671875" style="1087" bestFit="1" customWidth="1"/>
    <col min="5895" max="5895" width="20.77734375" style="1087" customWidth="1"/>
    <col min="5896" max="5896" width="9.88671875" style="1087" bestFit="1" customWidth="1"/>
    <col min="5897" max="5897" width="20.77734375" style="1087" customWidth="1"/>
    <col min="5898" max="5898" width="9.88671875" style="1087" bestFit="1" customWidth="1"/>
    <col min="5899" max="5899" width="20.77734375" style="1087" customWidth="1"/>
    <col min="5900" max="5900" width="9.88671875" style="1087" bestFit="1" customWidth="1"/>
    <col min="5901" max="5901" width="20.77734375" style="1087" customWidth="1"/>
    <col min="5902" max="5902" width="12.21875" style="1087" customWidth="1"/>
    <col min="5903" max="5903" width="20.77734375" style="1087" customWidth="1"/>
    <col min="5904" max="5904" width="11.88671875" style="1087" customWidth="1"/>
    <col min="5905" max="5905" width="20.77734375" style="1087" customWidth="1"/>
    <col min="5906" max="5906" width="12.5546875" style="1087" customWidth="1"/>
    <col min="5907" max="5907" width="20.77734375" style="1087" customWidth="1"/>
    <col min="5908" max="5908" width="11.21875" style="1087" customWidth="1"/>
    <col min="5909" max="5909" width="20.77734375" style="1087" customWidth="1"/>
    <col min="5910" max="5910" width="11.5546875" style="1087" customWidth="1"/>
    <col min="5911" max="5911" width="20.77734375" style="1087" customWidth="1"/>
    <col min="5912" max="5912" width="9.88671875" style="1087" bestFit="1" customWidth="1"/>
    <col min="5913" max="5915" width="8.88671875" style="1087"/>
    <col min="5916" max="5927" width="20.77734375" style="1087" customWidth="1"/>
    <col min="5928" max="6144" width="8.88671875" style="1087"/>
    <col min="6145" max="6145" width="20.77734375" style="1087" customWidth="1"/>
    <col min="6146" max="6146" width="12.88671875" style="1087" customWidth="1"/>
    <col min="6147" max="6147" width="20.77734375" style="1087" customWidth="1"/>
    <col min="6148" max="6148" width="11.5546875" style="1087" customWidth="1"/>
    <col min="6149" max="6149" width="20.77734375" style="1087" customWidth="1"/>
    <col min="6150" max="6150" width="9.88671875" style="1087" bestFit="1" customWidth="1"/>
    <col min="6151" max="6151" width="20.77734375" style="1087" customWidth="1"/>
    <col min="6152" max="6152" width="9.88671875" style="1087" bestFit="1" customWidth="1"/>
    <col min="6153" max="6153" width="20.77734375" style="1087" customWidth="1"/>
    <col min="6154" max="6154" width="9.88671875" style="1087" bestFit="1" customWidth="1"/>
    <col min="6155" max="6155" width="20.77734375" style="1087" customWidth="1"/>
    <col min="6156" max="6156" width="9.88671875" style="1087" bestFit="1" customWidth="1"/>
    <col min="6157" max="6157" width="20.77734375" style="1087" customWidth="1"/>
    <col min="6158" max="6158" width="12.21875" style="1087" customWidth="1"/>
    <col min="6159" max="6159" width="20.77734375" style="1087" customWidth="1"/>
    <col min="6160" max="6160" width="11.88671875" style="1087" customWidth="1"/>
    <col min="6161" max="6161" width="20.77734375" style="1087" customWidth="1"/>
    <col min="6162" max="6162" width="12.5546875" style="1087" customWidth="1"/>
    <col min="6163" max="6163" width="20.77734375" style="1087" customWidth="1"/>
    <col min="6164" max="6164" width="11.21875" style="1087" customWidth="1"/>
    <col min="6165" max="6165" width="20.77734375" style="1087" customWidth="1"/>
    <col min="6166" max="6166" width="11.5546875" style="1087" customWidth="1"/>
    <col min="6167" max="6167" width="20.77734375" style="1087" customWidth="1"/>
    <col min="6168" max="6168" width="9.88671875" style="1087" bestFit="1" customWidth="1"/>
    <col min="6169" max="6171" width="8.88671875" style="1087"/>
    <col min="6172" max="6183" width="20.77734375" style="1087" customWidth="1"/>
    <col min="6184" max="6400" width="8.88671875" style="1087"/>
    <col min="6401" max="6401" width="20.77734375" style="1087" customWidth="1"/>
    <col min="6402" max="6402" width="12.88671875" style="1087" customWidth="1"/>
    <col min="6403" max="6403" width="20.77734375" style="1087" customWidth="1"/>
    <col min="6404" max="6404" width="11.5546875" style="1087" customWidth="1"/>
    <col min="6405" max="6405" width="20.77734375" style="1087" customWidth="1"/>
    <col min="6406" max="6406" width="9.88671875" style="1087" bestFit="1" customWidth="1"/>
    <col min="6407" max="6407" width="20.77734375" style="1087" customWidth="1"/>
    <col min="6408" max="6408" width="9.88671875" style="1087" bestFit="1" customWidth="1"/>
    <col min="6409" max="6409" width="20.77734375" style="1087" customWidth="1"/>
    <col min="6410" max="6410" width="9.88671875" style="1087" bestFit="1" customWidth="1"/>
    <col min="6411" max="6411" width="20.77734375" style="1087" customWidth="1"/>
    <col min="6412" max="6412" width="9.88671875" style="1087" bestFit="1" customWidth="1"/>
    <col min="6413" max="6413" width="20.77734375" style="1087" customWidth="1"/>
    <col min="6414" max="6414" width="12.21875" style="1087" customWidth="1"/>
    <col min="6415" max="6415" width="20.77734375" style="1087" customWidth="1"/>
    <col min="6416" max="6416" width="11.88671875" style="1087" customWidth="1"/>
    <col min="6417" max="6417" width="20.77734375" style="1087" customWidth="1"/>
    <col min="6418" max="6418" width="12.5546875" style="1087" customWidth="1"/>
    <col min="6419" max="6419" width="20.77734375" style="1087" customWidth="1"/>
    <col min="6420" max="6420" width="11.21875" style="1087" customWidth="1"/>
    <col min="6421" max="6421" width="20.77734375" style="1087" customWidth="1"/>
    <col min="6422" max="6422" width="11.5546875" style="1087" customWidth="1"/>
    <col min="6423" max="6423" width="20.77734375" style="1087" customWidth="1"/>
    <col min="6424" max="6424" width="9.88671875" style="1087" bestFit="1" customWidth="1"/>
    <col min="6425" max="6427" width="8.88671875" style="1087"/>
    <col min="6428" max="6439" width="20.77734375" style="1087" customWidth="1"/>
    <col min="6440" max="6656" width="8.88671875" style="1087"/>
    <col min="6657" max="6657" width="20.77734375" style="1087" customWidth="1"/>
    <col min="6658" max="6658" width="12.88671875" style="1087" customWidth="1"/>
    <col min="6659" max="6659" width="20.77734375" style="1087" customWidth="1"/>
    <col min="6660" max="6660" width="11.5546875" style="1087" customWidth="1"/>
    <col min="6661" max="6661" width="20.77734375" style="1087" customWidth="1"/>
    <col min="6662" max="6662" width="9.88671875" style="1087" bestFit="1" customWidth="1"/>
    <col min="6663" max="6663" width="20.77734375" style="1087" customWidth="1"/>
    <col min="6664" max="6664" width="9.88671875" style="1087" bestFit="1" customWidth="1"/>
    <col min="6665" max="6665" width="20.77734375" style="1087" customWidth="1"/>
    <col min="6666" max="6666" width="9.88671875" style="1087" bestFit="1" customWidth="1"/>
    <col min="6667" max="6667" width="20.77734375" style="1087" customWidth="1"/>
    <col min="6668" max="6668" width="9.88671875" style="1087" bestFit="1" customWidth="1"/>
    <col min="6669" max="6669" width="20.77734375" style="1087" customWidth="1"/>
    <col min="6670" max="6670" width="12.21875" style="1087" customWidth="1"/>
    <col min="6671" max="6671" width="20.77734375" style="1087" customWidth="1"/>
    <col min="6672" max="6672" width="11.88671875" style="1087" customWidth="1"/>
    <col min="6673" max="6673" width="20.77734375" style="1087" customWidth="1"/>
    <col min="6674" max="6674" width="12.5546875" style="1087" customWidth="1"/>
    <col min="6675" max="6675" width="20.77734375" style="1087" customWidth="1"/>
    <col min="6676" max="6676" width="11.21875" style="1087" customWidth="1"/>
    <col min="6677" max="6677" width="20.77734375" style="1087" customWidth="1"/>
    <col min="6678" max="6678" width="11.5546875" style="1087" customWidth="1"/>
    <col min="6679" max="6679" width="20.77734375" style="1087" customWidth="1"/>
    <col min="6680" max="6680" width="9.88671875" style="1087" bestFit="1" customWidth="1"/>
    <col min="6681" max="6683" width="8.88671875" style="1087"/>
    <col min="6684" max="6695" width="20.77734375" style="1087" customWidth="1"/>
    <col min="6696" max="6912" width="8.88671875" style="1087"/>
    <col min="6913" max="6913" width="20.77734375" style="1087" customWidth="1"/>
    <col min="6914" max="6914" width="12.88671875" style="1087" customWidth="1"/>
    <col min="6915" max="6915" width="20.77734375" style="1087" customWidth="1"/>
    <col min="6916" max="6916" width="11.5546875" style="1087" customWidth="1"/>
    <col min="6917" max="6917" width="20.77734375" style="1087" customWidth="1"/>
    <col min="6918" max="6918" width="9.88671875" style="1087" bestFit="1" customWidth="1"/>
    <col min="6919" max="6919" width="20.77734375" style="1087" customWidth="1"/>
    <col min="6920" max="6920" width="9.88671875" style="1087" bestFit="1" customWidth="1"/>
    <col min="6921" max="6921" width="20.77734375" style="1087" customWidth="1"/>
    <col min="6922" max="6922" width="9.88671875" style="1087" bestFit="1" customWidth="1"/>
    <col min="6923" max="6923" width="20.77734375" style="1087" customWidth="1"/>
    <col min="6924" max="6924" width="9.88671875" style="1087" bestFit="1" customWidth="1"/>
    <col min="6925" max="6925" width="20.77734375" style="1087" customWidth="1"/>
    <col min="6926" max="6926" width="12.21875" style="1087" customWidth="1"/>
    <col min="6927" max="6927" width="20.77734375" style="1087" customWidth="1"/>
    <col min="6928" max="6928" width="11.88671875" style="1087" customWidth="1"/>
    <col min="6929" max="6929" width="20.77734375" style="1087" customWidth="1"/>
    <col min="6930" max="6930" width="12.5546875" style="1087" customWidth="1"/>
    <col min="6931" max="6931" width="20.77734375" style="1087" customWidth="1"/>
    <col min="6932" max="6932" width="11.21875" style="1087" customWidth="1"/>
    <col min="6933" max="6933" width="20.77734375" style="1087" customWidth="1"/>
    <col min="6934" max="6934" width="11.5546875" style="1087" customWidth="1"/>
    <col min="6935" max="6935" width="20.77734375" style="1087" customWidth="1"/>
    <col min="6936" max="6936" width="9.88671875" style="1087" bestFit="1" customWidth="1"/>
    <col min="6937" max="6939" width="8.88671875" style="1087"/>
    <col min="6940" max="6951" width="20.77734375" style="1087" customWidth="1"/>
    <col min="6952" max="7168" width="8.88671875" style="1087"/>
    <col min="7169" max="7169" width="20.77734375" style="1087" customWidth="1"/>
    <col min="7170" max="7170" width="12.88671875" style="1087" customWidth="1"/>
    <col min="7171" max="7171" width="20.77734375" style="1087" customWidth="1"/>
    <col min="7172" max="7172" width="11.5546875" style="1087" customWidth="1"/>
    <col min="7173" max="7173" width="20.77734375" style="1087" customWidth="1"/>
    <col min="7174" max="7174" width="9.88671875" style="1087" bestFit="1" customWidth="1"/>
    <col min="7175" max="7175" width="20.77734375" style="1087" customWidth="1"/>
    <col min="7176" max="7176" width="9.88671875" style="1087" bestFit="1" customWidth="1"/>
    <col min="7177" max="7177" width="20.77734375" style="1087" customWidth="1"/>
    <col min="7178" max="7178" width="9.88671875" style="1087" bestFit="1" customWidth="1"/>
    <col min="7179" max="7179" width="20.77734375" style="1087" customWidth="1"/>
    <col min="7180" max="7180" width="9.88671875" style="1087" bestFit="1" customWidth="1"/>
    <col min="7181" max="7181" width="20.77734375" style="1087" customWidth="1"/>
    <col min="7182" max="7182" width="12.21875" style="1087" customWidth="1"/>
    <col min="7183" max="7183" width="20.77734375" style="1087" customWidth="1"/>
    <col min="7184" max="7184" width="11.88671875" style="1087" customWidth="1"/>
    <col min="7185" max="7185" width="20.77734375" style="1087" customWidth="1"/>
    <col min="7186" max="7186" width="12.5546875" style="1087" customWidth="1"/>
    <col min="7187" max="7187" width="20.77734375" style="1087" customWidth="1"/>
    <col min="7188" max="7188" width="11.21875" style="1087" customWidth="1"/>
    <col min="7189" max="7189" width="20.77734375" style="1087" customWidth="1"/>
    <col min="7190" max="7190" width="11.5546875" style="1087" customWidth="1"/>
    <col min="7191" max="7191" width="20.77734375" style="1087" customWidth="1"/>
    <col min="7192" max="7192" width="9.88671875" style="1087" bestFit="1" customWidth="1"/>
    <col min="7193" max="7195" width="8.88671875" style="1087"/>
    <col min="7196" max="7207" width="20.77734375" style="1087" customWidth="1"/>
    <col min="7208" max="7424" width="8.88671875" style="1087"/>
    <col min="7425" max="7425" width="20.77734375" style="1087" customWidth="1"/>
    <col min="7426" max="7426" width="12.88671875" style="1087" customWidth="1"/>
    <col min="7427" max="7427" width="20.77734375" style="1087" customWidth="1"/>
    <col min="7428" max="7428" width="11.5546875" style="1087" customWidth="1"/>
    <col min="7429" max="7429" width="20.77734375" style="1087" customWidth="1"/>
    <col min="7430" max="7430" width="9.88671875" style="1087" bestFit="1" customWidth="1"/>
    <col min="7431" max="7431" width="20.77734375" style="1087" customWidth="1"/>
    <col min="7432" max="7432" width="9.88671875" style="1087" bestFit="1" customWidth="1"/>
    <col min="7433" max="7433" width="20.77734375" style="1087" customWidth="1"/>
    <col min="7434" max="7434" width="9.88671875" style="1087" bestFit="1" customWidth="1"/>
    <col min="7435" max="7435" width="20.77734375" style="1087" customWidth="1"/>
    <col min="7436" max="7436" width="9.88671875" style="1087" bestFit="1" customWidth="1"/>
    <col min="7437" max="7437" width="20.77734375" style="1087" customWidth="1"/>
    <col min="7438" max="7438" width="12.21875" style="1087" customWidth="1"/>
    <col min="7439" max="7439" width="20.77734375" style="1087" customWidth="1"/>
    <col min="7440" max="7440" width="11.88671875" style="1087" customWidth="1"/>
    <col min="7441" max="7441" width="20.77734375" style="1087" customWidth="1"/>
    <col min="7442" max="7442" width="12.5546875" style="1087" customWidth="1"/>
    <col min="7443" max="7443" width="20.77734375" style="1087" customWidth="1"/>
    <col min="7444" max="7444" width="11.21875" style="1087" customWidth="1"/>
    <col min="7445" max="7445" width="20.77734375" style="1087" customWidth="1"/>
    <col min="7446" max="7446" width="11.5546875" style="1087" customWidth="1"/>
    <col min="7447" max="7447" width="20.77734375" style="1087" customWidth="1"/>
    <col min="7448" max="7448" width="9.88671875" style="1087" bestFit="1" customWidth="1"/>
    <col min="7449" max="7451" width="8.88671875" style="1087"/>
    <col min="7452" max="7463" width="20.77734375" style="1087" customWidth="1"/>
    <col min="7464" max="7680" width="8.88671875" style="1087"/>
    <col min="7681" max="7681" width="20.77734375" style="1087" customWidth="1"/>
    <col min="7682" max="7682" width="12.88671875" style="1087" customWidth="1"/>
    <col min="7683" max="7683" width="20.77734375" style="1087" customWidth="1"/>
    <col min="7684" max="7684" width="11.5546875" style="1087" customWidth="1"/>
    <col min="7685" max="7685" width="20.77734375" style="1087" customWidth="1"/>
    <col min="7686" max="7686" width="9.88671875" style="1087" bestFit="1" customWidth="1"/>
    <col min="7687" max="7687" width="20.77734375" style="1087" customWidth="1"/>
    <col min="7688" max="7688" width="9.88671875" style="1087" bestFit="1" customWidth="1"/>
    <col min="7689" max="7689" width="20.77734375" style="1087" customWidth="1"/>
    <col min="7690" max="7690" width="9.88671875" style="1087" bestFit="1" customWidth="1"/>
    <col min="7691" max="7691" width="20.77734375" style="1087" customWidth="1"/>
    <col min="7692" max="7692" width="9.88671875" style="1087" bestFit="1" customWidth="1"/>
    <col min="7693" max="7693" width="20.77734375" style="1087" customWidth="1"/>
    <col min="7694" max="7694" width="12.21875" style="1087" customWidth="1"/>
    <col min="7695" max="7695" width="20.77734375" style="1087" customWidth="1"/>
    <col min="7696" max="7696" width="11.88671875" style="1087" customWidth="1"/>
    <col min="7697" max="7697" width="20.77734375" style="1087" customWidth="1"/>
    <col min="7698" max="7698" width="12.5546875" style="1087" customWidth="1"/>
    <col min="7699" max="7699" width="20.77734375" style="1087" customWidth="1"/>
    <col min="7700" max="7700" width="11.21875" style="1087" customWidth="1"/>
    <col min="7701" max="7701" width="20.77734375" style="1087" customWidth="1"/>
    <col min="7702" max="7702" width="11.5546875" style="1087" customWidth="1"/>
    <col min="7703" max="7703" width="20.77734375" style="1087" customWidth="1"/>
    <col min="7704" max="7704" width="9.88671875" style="1087" bestFit="1" customWidth="1"/>
    <col min="7705" max="7707" width="8.88671875" style="1087"/>
    <col min="7708" max="7719" width="20.77734375" style="1087" customWidth="1"/>
    <col min="7720" max="7936" width="8.88671875" style="1087"/>
    <col min="7937" max="7937" width="20.77734375" style="1087" customWidth="1"/>
    <col min="7938" max="7938" width="12.88671875" style="1087" customWidth="1"/>
    <col min="7939" max="7939" width="20.77734375" style="1087" customWidth="1"/>
    <col min="7940" max="7940" width="11.5546875" style="1087" customWidth="1"/>
    <col min="7941" max="7941" width="20.77734375" style="1087" customWidth="1"/>
    <col min="7942" max="7942" width="9.88671875" style="1087" bestFit="1" customWidth="1"/>
    <col min="7943" max="7943" width="20.77734375" style="1087" customWidth="1"/>
    <col min="7944" max="7944" width="9.88671875" style="1087" bestFit="1" customWidth="1"/>
    <col min="7945" max="7945" width="20.77734375" style="1087" customWidth="1"/>
    <col min="7946" max="7946" width="9.88671875" style="1087" bestFit="1" customWidth="1"/>
    <col min="7947" max="7947" width="20.77734375" style="1087" customWidth="1"/>
    <col min="7948" max="7948" width="9.88671875" style="1087" bestFit="1" customWidth="1"/>
    <col min="7949" max="7949" width="20.77734375" style="1087" customWidth="1"/>
    <col min="7950" max="7950" width="12.21875" style="1087" customWidth="1"/>
    <col min="7951" max="7951" width="20.77734375" style="1087" customWidth="1"/>
    <col min="7952" max="7952" width="11.88671875" style="1087" customWidth="1"/>
    <col min="7953" max="7953" width="20.77734375" style="1087" customWidth="1"/>
    <col min="7954" max="7954" width="12.5546875" style="1087" customWidth="1"/>
    <col min="7955" max="7955" width="20.77734375" style="1087" customWidth="1"/>
    <col min="7956" max="7956" width="11.21875" style="1087" customWidth="1"/>
    <col min="7957" max="7957" width="20.77734375" style="1087" customWidth="1"/>
    <col min="7958" max="7958" width="11.5546875" style="1087" customWidth="1"/>
    <col min="7959" max="7959" width="20.77734375" style="1087" customWidth="1"/>
    <col min="7960" max="7960" width="9.88671875" style="1087" bestFit="1" customWidth="1"/>
    <col min="7961" max="7963" width="8.88671875" style="1087"/>
    <col min="7964" max="7975" width="20.77734375" style="1087" customWidth="1"/>
    <col min="7976" max="8192" width="8.88671875" style="1087"/>
    <col min="8193" max="8193" width="20.77734375" style="1087" customWidth="1"/>
    <col min="8194" max="8194" width="12.88671875" style="1087" customWidth="1"/>
    <col min="8195" max="8195" width="20.77734375" style="1087" customWidth="1"/>
    <col min="8196" max="8196" width="11.5546875" style="1087" customWidth="1"/>
    <col min="8197" max="8197" width="20.77734375" style="1087" customWidth="1"/>
    <col min="8198" max="8198" width="9.88671875" style="1087" bestFit="1" customWidth="1"/>
    <col min="8199" max="8199" width="20.77734375" style="1087" customWidth="1"/>
    <col min="8200" max="8200" width="9.88671875" style="1087" bestFit="1" customWidth="1"/>
    <col min="8201" max="8201" width="20.77734375" style="1087" customWidth="1"/>
    <col min="8202" max="8202" width="9.88671875" style="1087" bestFit="1" customWidth="1"/>
    <col min="8203" max="8203" width="20.77734375" style="1087" customWidth="1"/>
    <col min="8204" max="8204" width="9.88671875" style="1087" bestFit="1" customWidth="1"/>
    <col min="8205" max="8205" width="20.77734375" style="1087" customWidth="1"/>
    <col min="8206" max="8206" width="12.21875" style="1087" customWidth="1"/>
    <col min="8207" max="8207" width="20.77734375" style="1087" customWidth="1"/>
    <col min="8208" max="8208" width="11.88671875" style="1087" customWidth="1"/>
    <col min="8209" max="8209" width="20.77734375" style="1087" customWidth="1"/>
    <col min="8210" max="8210" width="12.5546875" style="1087" customWidth="1"/>
    <col min="8211" max="8211" width="20.77734375" style="1087" customWidth="1"/>
    <col min="8212" max="8212" width="11.21875" style="1087" customWidth="1"/>
    <col min="8213" max="8213" width="20.77734375" style="1087" customWidth="1"/>
    <col min="8214" max="8214" width="11.5546875" style="1087" customWidth="1"/>
    <col min="8215" max="8215" width="20.77734375" style="1087" customWidth="1"/>
    <col min="8216" max="8216" width="9.88671875" style="1087" bestFit="1" customWidth="1"/>
    <col min="8217" max="8219" width="8.88671875" style="1087"/>
    <col min="8220" max="8231" width="20.77734375" style="1087" customWidth="1"/>
    <col min="8232" max="8448" width="8.88671875" style="1087"/>
    <col min="8449" max="8449" width="20.77734375" style="1087" customWidth="1"/>
    <col min="8450" max="8450" width="12.88671875" style="1087" customWidth="1"/>
    <col min="8451" max="8451" width="20.77734375" style="1087" customWidth="1"/>
    <col min="8452" max="8452" width="11.5546875" style="1087" customWidth="1"/>
    <col min="8453" max="8453" width="20.77734375" style="1087" customWidth="1"/>
    <col min="8454" max="8454" width="9.88671875" style="1087" bestFit="1" customWidth="1"/>
    <col min="8455" max="8455" width="20.77734375" style="1087" customWidth="1"/>
    <col min="8456" max="8456" width="9.88671875" style="1087" bestFit="1" customWidth="1"/>
    <col min="8457" max="8457" width="20.77734375" style="1087" customWidth="1"/>
    <col min="8458" max="8458" width="9.88671875" style="1087" bestFit="1" customWidth="1"/>
    <col min="8459" max="8459" width="20.77734375" style="1087" customWidth="1"/>
    <col min="8460" max="8460" width="9.88671875" style="1087" bestFit="1" customWidth="1"/>
    <col min="8461" max="8461" width="20.77734375" style="1087" customWidth="1"/>
    <col min="8462" max="8462" width="12.21875" style="1087" customWidth="1"/>
    <col min="8463" max="8463" width="20.77734375" style="1087" customWidth="1"/>
    <col min="8464" max="8464" width="11.88671875" style="1087" customWidth="1"/>
    <col min="8465" max="8465" width="20.77734375" style="1087" customWidth="1"/>
    <col min="8466" max="8466" width="12.5546875" style="1087" customWidth="1"/>
    <col min="8467" max="8467" width="20.77734375" style="1087" customWidth="1"/>
    <col min="8468" max="8468" width="11.21875" style="1087" customWidth="1"/>
    <col min="8469" max="8469" width="20.77734375" style="1087" customWidth="1"/>
    <col min="8470" max="8470" width="11.5546875" style="1087" customWidth="1"/>
    <col min="8471" max="8471" width="20.77734375" style="1087" customWidth="1"/>
    <col min="8472" max="8472" width="9.88671875" style="1087" bestFit="1" customWidth="1"/>
    <col min="8473" max="8475" width="8.88671875" style="1087"/>
    <col min="8476" max="8487" width="20.77734375" style="1087" customWidth="1"/>
    <col min="8488" max="8704" width="8.88671875" style="1087"/>
    <col min="8705" max="8705" width="20.77734375" style="1087" customWidth="1"/>
    <col min="8706" max="8706" width="12.88671875" style="1087" customWidth="1"/>
    <col min="8707" max="8707" width="20.77734375" style="1087" customWidth="1"/>
    <col min="8708" max="8708" width="11.5546875" style="1087" customWidth="1"/>
    <col min="8709" max="8709" width="20.77734375" style="1087" customWidth="1"/>
    <col min="8710" max="8710" width="9.88671875" style="1087" bestFit="1" customWidth="1"/>
    <col min="8711" max="8711" width="20.77734375" style="1087" customWidth="1"/>
    <col min="8712" max="8712" width="9.88671875" style="1087" bestFit="1" customWidth="1"/>
    <col min="8713" max="8713" width="20.77734375" style="1087" customWidth="1"/>
    <col min="8714" max="8714" width="9.88671875" style="1087" bestFit="1" customWidth="1"/>
    <col min="8715" max="8715" width="20.77734375" style="1087" customWidth="1"/>
    <col min="8716" max="8716" width="9.88671875" style="1087" bestFit="1" customWidth="1"/>
    <col min="8717" max="8717" width="20.77734375" style="1087" customWidth="1"/>
    <col min="8718" max="8718" width="12.21875" style="1087" customWidth="1"/>
    <col min="8719" max="8719" width="20.77734375" style="1087" customWidth="1"/>
    <col min="8720" max="8720" width="11.88671875" style="1087" customWidth="1"/>
    <col min="8721" max="8721" width="20.77734375" style="1087" customWidth="1"/>
    <col min="8722" max="8722" width="12.5546875" style="1087" customWidth="1"/>
    <col min="8723" max="8723" width="20.77734375" style="1087" customWidth="1"/>
    <col min="8724" max="8724" width="11.21875" style="1087" customWidth="1"/>
    <col min="8725" max="8725" width="20.77734375" style="1087" customWidth="1"/>
    <col min="8726" max="8726" width="11.5546875" style="1087" customWidth="1"/>
    <col min="8727" max="8727" width="20.77734375" style="1087" customWidth="1"/>
    <col min="8728" max="8728" width="9.88671875" style="1087" bestFit="1" customWidth="1"/>
    <col min="8729" max="8731" width="8.88671875" style="1087"/>
    <col min="8732" max="8743" width="20.77734375" style="1087" customWidth="1"/>
    <col min="8744" max="8960" width="8.88671875" style="1087"/>
    <col min="8961" max="8961" width="20.77734375" style="1087" customWidth="1"/>
    <col min="8962" max="8962" width="12.88671875" style="1087" customWidth="1"/>
    <col min="8963" max="8963" width="20.77734375" style="1087" customWidth="1"/>
    <col min="8964" max="8964" width="11.5546875" style="1087" customWidth="1"/>
    <col min="8965" max="8965" width="20.77734375" style="1087" customWidth="1"/>
    <col min="8966" max="8966" width="9.88671875" style="1087" bestFit="1" customWidth="1"/>
    <col min="8967" max="8967" width="20.77734375" style="1087" customWidth="1"/>
    <col min="8968" max="8968" width="9.88671875" style="1087" bestFit="1" customWidth="1"/>
    <col min="8969" max="8969" width="20.77734375" style="1087" customWidth="1"/>
    <col min="8970" max="8970" width="9.88671875" style="1087" bestFit="1" customWidth="1"/>
    <col min="8971" max="8971" width="20.77734375" style="1087" customWidth="1"/>
    <col min="8972" max="8972" width="9.88671875" style="1087" bestFit="1" customWidth="1"/>
    <col min="8973" max="8973" width="20.77734375" style="1087" customWidth="1"/>
    <col min="8974" max="8974" width="12.21875" style="1087" customWidth="1"/>
    <col min="8975" max="8975" width="20.77734375" style="1087" customWidth="1"/>
    <col min="8976" max="8976" width="11.88671875" style="1087" customWidth="1"/>
    <col min="8977" max="8977" width="20.77734375" style="1087" customWidth="1"/>
    <col min="8978" max="8978" width="12.5546875" style="1087" customWidth="1"/>
    <col min="8979" max="8979" width="20.77734375" style="1087" customWidth="1"/>
    <col min="8980" max="8980" width="11.21875" style="1087" customWidth="1"/>
    <col min="8981" max="8981" width="20.77734375" style="1087" customWidth="1"/>
    <col min="8982" max="8982" width="11.5546875" style="1087" customWidth="1"/>
    <col min="8983" max="8983" width="20.77734375" style="1087" customWidth="1"/>
    <col min="8984" max="8984" width="9.88671875" style="1087" bestFit="1" customWidth="1"/>
    <col min="8985" max="8987" width="8.88671875" style="1087"/>
    <col min="8988" max="8999" width="20.77734375" style="1087" customWidth="1"/>
    <col min="9000" max="9216" width="8.88671875" style="1087"/>
    <col min="9217" max="9217" width="20.77734375" style="1087" customWidth="1"/>
    <col min="9218" max="9218" width="12.88671875" style="1087" customWidth="1"/>
    <col min="9219" max="9219" width="20.77734375" style="1087" customWidth="1"/>
    <col min="9220" max="9220" width="11.5546875" style="1087" customWidth="1"/>
    <col min="9221" max="9221" width="20.77734375" style="1087" customWidth="1"/>
    <col min="9222" max="9222" width="9.88671875" style="1087" bestFit="1" customWidth="1"/>
    <col min="9223" max="9223" width="20.77734375" style="1087" customWidth="1"/>
    <col min="9224" max="9224" width="9.88671875" style="1087" bestFit="1" customWidth="1"/>
    <col min="9225" max="9225" width="20.77734375" style="1087" customWidth="1"/>
    <col min="9226" max="9226" width="9.88671875" style="1087" bestFit="1" customWidth="1"/>
    <col min="9227" max="9227" width="20.77734375" style="1087" customWidth="1"/>
    <col min="9228" max="9228" width="9.88671875" style="1087" bestFit="1" customWidth="1"/>
    <col min="9229" max="9229" width="20.77734375" style="1087" customWidth="1"/>
    <col min="9230" max="9230" width="12.21875" style="1087" customWidth="1"/>
    <col min="9231" max="9231" width="20.77734375" style="1087" customWidth="1"/>
    <col min="9232" max="9232" width="11.88671875" style="1087" customWidth="1"/>
    <col min="9233" max="9233" width="20.77734375" style="1087" customWidth="1"/>
    <col min="9234" max="9234" width="12.5546875" style="1087" customWidth="1"/>
    <col min="9235" max="9235" width="20.77734375" style="1087" customWidth="1"/>
    <col min="9236" max="9236" width="11.21875" style="1087" customWidth="1"/>
    <col min="9237" max="9237" width="20.77734375" style="1087" customWidth="1"/>
    <col min="9238" max="9238" width="11.5546875" style="1087" customWidth="1"/>
    <col min="9239" max="9239" width="20.77734375" style="1087" customWidth="1"/>
    <col min="9240" max="9240" width="9.88671875" style="1087" bestFit="1" customWidth="1"/>
    <col min="9241" max="9243" width="8.88671875" style="1087"/>
    <col min="9244" max="9255" width="20.77734375" style="1087" customWidth="1"/>
    <col min="9256" max="9472" width="8.88671875" style="1087"/>
    <col min="9473" max="9473" width="20.77734375" style="1087" customWidth="1"/>
    <col min="9474" max="9474" width="12.88671875" style="1087" customWidth="1"/>
    <col min="9475" max="9475" width="20.77734375" style="1087" customWidth="1"/>
    <col min="9476" max="9476" width="11.5546875" style="1087" customWidth="1"/>
    <col min="9477" max="9477" width="20.77734375" style="1087" customWidth="1"/>
    <col min="9478" max="9478" width="9.88671875" style="1087" bestFit="1" customWidth="1"/>
    <col min="9479" max="9479" width="20.77734375" style="1087" customWidth="1"/>
    <col min="9480" max="9480" width="9.88671875" style="1087" bestFit="1" customWidth="1"/>
    <col min="9481" max="9481" width="20.77734375" style="1087" customWidth="1"/>
    <col min="9482" max="9482" width="9.88671875" style="1087" bestFit="1" customWidth="1"/>
    <col min="9483" max="9483" width="20.77734375" style="1087" customWidth="1"/>
    <col min="9484" max="9484" width="9.88671875" style="1087" bestFit="1" customWidth="1"/>
    <col min="9485" max="9485" width="20.77734375" style="1087" customWidth="1"/>
    <col min="9486" max="9486" width="12.21875" style="1087" customWidth="1"/>
    <col min="9487" max="9487" width="20.77734375" style="1087" customWidth="1"/>
    <col min="9488" max="9488" width="11.88671875" style="1087" customWidth="1"/>
    <col min="9489" max="9489" width="20.77734375" style="1087" customWidth="1"/>
    <col min="9490" max="9490" width="12.5546875" style="1087" customWidth="1"/>
    <col min="9491" max="9491" width="20.77734375" style="1087" customWidth="1"/>
    <col min="9492" max="9492" width="11.21875" style="1087" customWidth="1"/>
    <col min="9493" max="9493" width="20.77734375" style="1087" customWidth="1"/>
    <col min="9494" max="9494" width="11.5546875" style="1087" customWidth="1"/>
    <col min="9495" max="9495" width="20.77734375" style="1087" customWidth="1"/>
    <col min="9496" max="9496" width="9.88671875" style="1087" bestFit="1" customWidth="1"/>
    <col min="9497" max="9499" width="8.88671875" style="1087"/>
    <col min="9500" max="9511" width="20.77734375" style="1087" customWidth="1"/>
    <col min="9512" max="9728" width="8.88671875" style="1087"/>
    <col min="9729" max="9729" width="20.77734375" style="1087" customWidth="1"/>
    <col min="9730" max="9730" width="12.88671875" style="1087" customWidth="1"/>
    <col min="9731" max="9731" width="20.77734375" style="1087" customWidth="1"/>
    <col min="9732" max="9732" width="11.5546875" style="1087" customWidth="1"/>
    <col min="9733" max="9733" width="20.77734375" style="1087" customWidth="1"/>
    <col min="9734" max="9734" width="9.88671875" style="1087" bestFit="1" customWidth="1"/>
    <col min="9735" max="9735" width="20.77734375" style="1087" customWidth="1"/>
    <col min="9736" max="9736" width="9.88671875" style="1087" bestFit="1" customWidth="1"/>
    <col min="9737" max="9737" width="20.77734375" style="1087" customWidth="1"/>
    <col min="9738" max="9738" width="9.88671875" style="1087" bestFit="1" customWidth="1"/>
    <col min="9739" max="9739" width="20.77734375" style="1087" customWidth="1"/>
    <col min="9740" max="9740" width="9.88671875" style="1087" bestFit="1" customWidth="1"/>
    <col min="9741" max="9741" width="20.77734375" style="1087" customWidth="1"/>
    <col min="9742" max="9742" width="12.21875" style="1087" customWidth="1"/>
    <col min="9743" max="9743" width="20.77734375" style="1087" customWidth="1"/>
    <col min="9744" max="9744" width="11.88671875" style="1087" customWidth="1"/>
    <col min="9745" max="9745" width="20.77734375" style="1087" customWidth="1"/>
    <col min="9746" max="9746" width="12.5546875" style="1087" customWidth="1"/>
    <col min="9747" max="9747" width="20.77734375" style="1087" customWidth="1"/>
    <col min="9748" max="9748" width="11.21875" style="1087" customWidth="1"/>
    <col min="9749" max="9749" width="20.77734375" style="1087" customWidth="1"/>
    <col min="9750" max="9750" width="11.5546875" style="1087" customWidth="1"/>
    <col min="9751" max="9751" width="20.77734375" style="1087" customWidth="1"/>
    <col min="9752" max="9752" width="9.88671875" style="1087" bestFit="1" customWidth="1"/>
    <col min="9753" max="9755" width="8.88671875" style="1087"/>
    <col min="9756" max="9767" width="20.77734375" style="1087" customWidth="1"/>
    <col min="9768" max="9984" width="8.88671875" style="1087"/>
    <col min="9985" max="9985" width="20.77734375" style="1087" customWidth="1"/>
    <col min="9986" max="9986" width="12.88671875" style="1087" customWidth="1"/>
    <col min="9987" max="9987" width="20.77734375" style="1087" customWidth="1"/>
    <col min="9988" max="9988" width="11.5546875" style="1087" customWidth="1"/>
    <col min="9989" max="9989" width="20.77734375" style="1087" customWidth="1"/>
    <col min="9990" max="9990" width="9.88671875" style="1087" bestFit="1" customWidth="1"/>
    <col min="9991" max="9991" width="20.77734375" style="1087" customWidth="1"/>
    <col min="9992" max="9992" width="9.88671875" style="1087" bestFit="1" customWidth="1"/>
    <col min="9993" max="9993" width="20.77734375" style="1087" customWidth="1"/>
    <col min="9994" max="9994" width="9.88671875" style="1087" bestFit="1" customWidth="1"/>
    <col min="9995" max="9995" width="20.77734375" style="1087" customWidth="1"/>
    <col min="9996" max="9996" width="9.88671875" style="1087" bestFit="1" customWidth="1"/>
    <col min="9997" max="9997" width="20.77734375" style="1087" customWidth="1"/>
    <col min="9998" max="9998" width="12.21875" style="1087" customWidth="1"/>
    <col min="9999" max="9999" width="20.77734375" style="1087" customWidth="1"/>
    <col min="10000" max="10000" width="11.88671875" style="1087" customWidth="1"/>
    <col min="10001" max="10001" width="20.77734375" style="1087" customWidth="1"/>
    <col min="10002" max="10002" width="12.5546875" style="1087" customWidth="1"/>
    <col min="10003" max="10003" width="20.77734375" style="1087" customWidth="1"/>
    <col min="10004" max="10004" width="11.21875" style="1087" customWidth="1"/>
    <col min="10005" max="10005" width="20.77734375" style="1087" customWidth="1"/>
    <col min="10006" max="10006" width="11.5546875" style="1087" customWidth="1"/>
    <col min="10007" max="10007" width="20.77734375" style="1087" customWidth="1"/>
    <col min="10008" max="10008" width="9.88671875" style="1087" bestFit="1" customWidth="1"/>
    <col min="10009" max="10011" width="8.88671875" style="1087"/>
    <col min="10012" max="10023" width="20.77734375" style="1087" customWidth="1"/>
    <col min="10024" max="10240" width="8.88671875" style="1087"/>
    <col min="10241" max="10241" width="20.77734375" style="1087" customWidth="1"/>
    <col min="10242" max="10242" width="12.88671875" style="1087" customWidth="1"/>
    <col min="10243" max="10243" width="20.77734375" style="1087" customWidth="1"/>
    <col min="10244" max="10244" width="11.5546875" style="1087" customWidth="1"/>
    <col min="10245" max="10245" width="20.77734375" style="1087" customWidth="1"/>
    <col min="10246" max="10246" width="9.88671875" style="1087" bestFit="1" customWidth="1"/>
    <col min="10247" max="10247" width="20.77734375" style="1087" customWidth="1"/>
    <col min="10248" max="10248" width="9.88671875" style="1087" bestFit="1" customWidth="1"/>
    <col min="10249" max="10249" width="20.77734375" style="1087" customWidth="1"/>
    <col min="10250" max="10250" width="9.88671875" style="1087" bestFit="1" customWidth="1"/>
    <col min="10251" max="10251" width="20.77734375" style="1087" customWidth="1"/>
    <col min="10252" max="10252" width="9.88671875" style="1087" bestFit="1" customWidth="1"/>
    <col min="10253" max="10253" width="20.77734375" style="1087" customWidth="1"/>
    <col min="10254" max="10254" width="12.21875" style="1087" customWidth="1"/>
    <col min="10255" max="10255" width="20.77734375" style="1087" customWidth="1"/>
    <col min="10256" max="10256" width="11.88671875" style="1087" customWidth="1"/>
    <col min="10257" max="10257" width="20.77734375" style="1087" customWidth="1"/>
    <col min="10258" max="10258" width="12.5546875" style="1087" customWidth="1"/>
    <col min="10259" max="10259" width="20.77734375" style="1087" customWidth="1"/>
    <col min="10260" max="10260" width="11.21875" style="1087" customWidth="1"/>
    <col min="10261" max="10261" width="20.77734375" style="1087" customWidth="1"/>
    <col min="10262" max="10262" width="11.5546875" style="1087" customWidth="1"/>
    <col min="10263" max="10263" width="20.77734375" style="1087" customWidth="1"/>
    <col min="10264" max="10264" width="9.88671875" style="1087" bestFit="1" customWidth="1"/>
    <col min="10265" max="10267" width="8.88671875" style="1087"/>
    <col min="10268" max="10279" width="20.77734375" style="1087" customWidth="1"/>
    <col min="10280" max="10496" width="8.88671875" style="1087"/>
    <col min="10497" max="10497" width="20.77734375" style="1087" customWidth="1"/>
    <col min="10498" max="10498" width="12.88671875" style="1087" customWidth="1"/>
    <col min="10499" max="10499" width="20.77734375" style="1087" customWidth="1"/>
    <col min="10500" max="10500" width="11.5546875" style="1087" customWidth="1"/>
    <col min="10501" max="10501" width="20.77734375" style="1087" customWidth="1"/>
    <col min="10502" max="10502" width="9.88671875" style="1087" bestFit="1" customWidth="1"/>
    <col min="10503" max="10503" width="20.77734375" style="1087" customWidth="1"/>
    <col min="10504" max="10504" width="9.88671875" style="1087" bestFit="1" customWidth="1"/>
    <col min="10505" max="10505" width="20.77734375" style="1087" customWidth="1"/>
    <col min="10506" max="10506" width="9.88671875" style="1087" bestFit="1" customWidth="1"/>
    <col min="10507" max="10507" width="20.77734375" style="1087" customWidth="1"/>
    <col min="10508" max="10508" width="9.88671875" style="1087" bestFit="1" customWidth="1"/>
    <col min="10509" max="10509" width="20.77734375" style="1087" customWidth="1"/>
    <col min="10510" max="10510" width="12.21875" style="1087" customWidth="1"/>
    <col min="10511" max="10511" width="20.77734375" style="1087" customWidth="1"/>
    <col min="10512" max="10512" width="11.88671875" style="1087" customWidth="1"/>
    <col min="10513" max="10513" width="20.77734375" style="1087" customWidth="1"/>
    <col min="10514" max="10514" width="12.5546875" style="1087" customWidth="1"/>
    <col min="10515" max="10515" width="20.77734375" style="1087" customWidth="1"/>
    <col min="10516" max="10516" width="11.21875" style="1087" customWidth="1"/>
    <col min="10517" max="10517" width="20.77734375" style="1087" customWidth="1"/>
    <col min="10518" max="10518" width="11.5546875" style="1087" customWidth="1"/>
    <col min="10519" max="10519" width="20.77734375" style="1087" customWidth="1"/>
    <col min="10520" max="10520" width="9.88671875" style="1087" bestFit="1" customWidth="1"/>
    <col min="10521" max="10523" width="8.88671875" style="1087"/>
    <col min="10524" max="10535" width="20.77734375" style="1087" customWidth="1"/>
    <col min="10536" max="10752" width="8.88671875" style="1087"/>
    <col min="10753" max="10753" width="20.77734375" style="1087" customWidth="1"/>
    <col min="10754" max="10754" width="12.88671875" style="1087" customWidth="1"/>
    <col min="10755" max="10755" width="20.77734375" style="1087" customWidth="1"/>
    <col min="10756" max="10756" width="11.5546875" style="1087" customWidth="1"/>
    <col min="10757" max="10757" width="20.77734375" style="1087" customWidth="1"/>
    <col min="10758" max="10758" width="9.88671875" style="1087" bestFit="1" customWidth="1"/>
    <col min="10759" max="10759" width="20.77734375" style="1087" customWidth="1"/>
    <col min="10760" max="10760" width="9.88671875" style="1087" bestFit="1" customWidth="1"/>
    <col min="10761" max="10761" width="20.77734375" style="1087" customWidth="1"/>
    <col min="10762" max="10762" width="9.88671875" style="1087" bestFit="1" customWidth="1"/>
    <col min="10763" max="10763" width="20.77734375" style="1087" customWidth="1"/>
    <col min="10764" max="10764" width="9.88671875" style="1087" bestFit="1" customWidth="1"/>
    <col min="10765" max="10765" width="20.77734375" style="1087" customWidth="1"/>
    <col min="10766" max="10766" width="12.21875" style="1087" customWidth="1"/>
    <col min="10767" max="10767" width="20.77734375" style="1087" customWidth="1"/>
    <col min="10768" max="10768" width="11.88671875" style="1087" customWidth="1"/>
    <col min="10769" max="10769" width="20.77734375" style="1087" customWidth="1"/>
    <col min="10770" max="10770" width="12.5546875" style="1087" customWidth="1"/>
    <col min="10771" max="10771" width="20.77734375" style="1087" customWidth="1"/>
    <col min="10772" max="10772" width="11.21875" style="1087" customWidth="1"/>
    <col min="10773" max="10773" width="20.77734375" style="1087" customWidth="1"/>
    <col min="10774" max="10774" width="11.5546875" style="1087" customWidth="1"/>
    <col min="10775" max="10775" width="20.77734375" style="1087" customWidth="1"/>
    <col min="10776" max="10776" width="9.88671875" style="1087" bestFit="1" customWidth="1"/>
    <col min="10777" max="10779" width="8.88671875" style="1087"/>
    <col min="10780" max="10791" width="20.77734375" style="1087" customWidth="1"/>
    <col min="10792" max="11008" width="8.88671875" style="1087"/>
    <col min="11009" max="11009" width="20.77734375" style="1087" customWidth="1"/>
    <col min="11010" max="11010" width="12.88671875" style="1087" customWidth="1"/>
    <col min="11011" max="11011" width="20.77734375" style="1087" customWidth="1"/>
    <col min="11012" max="11012" width="11.5546875" style="1087" customWidth="1"/>
    <col min="11013" max="11013" width="20.77734375" style="1087" customWidth="1"/>
    <col min="11014" max="11014" width="9.88671875" style="1087" bestFit="1" customWidth="1"/>
    <col min="11015" max="11015" width="20.77734375" style="1087" customWidth="1"/>
    <col min="11016" max="11016" width="9.88671875" style="1087" bestFit="1" customWidth="1"/>
    <col min="11017" max="11017" width="20.77734375" style="1087" customWidth="1"/>
    <col min="11018" max="11018" width="9.88671875" style="1087" bestFit="1" customWidth="1"/>
    <col min="11019" max="11019" width="20.77734375" style="1087" customWidth="1"/>
    <col min="11020" max="11020" width="9.88671875" style="1087" bestFit="1" customWidth="1"/>
    <col min="11021" max="11021" width="20.77734375" style="1087" customWidth="1"/>
    <col min="11022" max="11022" width="12.21875" style="1087" customWidth="1"/>
    <col min="11023" max="11023" width="20.77734375" style="1087" customWidth="1"/>
    <col min="11024" max="11024" width="11.88671875" style="1087" customWidth="1"/>
    <col min="11025" max="11025" width="20.77734375" style="1087" customWidth="1"/>
    <col min="11026" max="11026" width="12.5546875" style="1087" customWidth="1"/>
    <col min="11027" max="11027" width="20.77734375" style="1087" customWidth="1"/>
    <col min="11028" max="11028" width="11.21875" style="1087" customWidth="1"/>
    <col min="11029" max="11029" width="20.77734375" style="1087" customWidth="1"/>
    <col min="11030" max="11030" width="11.5546875" style="1087" customWidth="1"/>
    <col min="11031" max="11031" width="20.77734375" style="1087" customWidth="1"/>
    <col min="11032" max="11032" width="9.88671875" style="1087" bestFit="1" customWidth="1"/>
    <col min="11033" max="11035" width="8.88671875" style="1087"/>
    <col min="11036" max="11047" width="20.77734375" style="1087" customWidth="1"/>
    <col min="11048" max="11264" width="8.88671875" style="1087"/>
    <col min="11265" max="11265" width="20.77734375" style="1087" customWidth="1"/>
    <col min="11266" max="11266" width="12.88671875" style="1087" customWidth="1"/>
    <col min="11267" max="11267" width="20.77734375" style="1087" customWidth="1"/>
    <col min="11268" max="11268" width="11.5546875" style="1087" customWidth="1"/>
    <col min="11269" max="11269" width="20.77734375" style="1087" customWidth="1"/>
    <col min="11270" max="11270" width="9.88671875" style="1087" bestFit="1" customWidth="1"/>
    <col min="11271" max="11271" width="20.77734375" style="1087" customWidth="1"/>
    <col min="11272" max="11272" width="9.88671875" style="1087" bestFit="1" customWidth="1"/>
    <col min="11273" max="11273" width="20.77734375" style="1087" customWidth="1"/>
    <col min="11274" max="11274" width="9.88671875" style="1087" bestFit="1" customWidth="1"/>
    <col min="11275" max="11275" width="20.77734375" style="1087" customWidth="1"/>
    <col min="11276" max="11276" width="9.88671875" style="1087" bestFit="1" customWidth="1"/>
    <col min="11277" max="11277" width="20.77734375" style="1087" customWidth="1"/>
    <col min="11278" max="11278" width="12.21875" style="1087" customWidth="1"/>
    <col min="11279" max="11279" width="20.77734375" style="1087" customWidth="1"/>
    <col min="11280" max="11280" width="11.88671875" style="1087" customWidth="1"/>
    <col min="11281" max="11281" width="20.77734375" style="1087" customWidth="1"/>
    <col min="11282" max="11282" width="12.5546875" style="1087" customWidth="1"/>
    <col min="11283" max="11283" width="20.77734375" style="1087" customWidth="1"/>
    <col min="11284" max="11284" width="11.21875" style="1087" customWidth="1"/>
    <col min="11285" max="11285" width="20.77734375" style="1087" customWidth="1"/>
    <col min="11286" max="11286" width="11.5546875" style="1087" customWidth="1"/>
    <col min="11287" max="11287" width="20.77734375" style="1087" customWidth="1"/>
    <col min="11288" max="11288" width="9.88671875" style="1087" bestFit="1" customWidth="1"/>
    <col min="11289" max="11291" width="8.88671875" style="1087"/>
    <col min="11292" max="11303" width="20.77734375" style="1087" customWidth="1"/>
    <col min="11304" max="11520" width="8.88671875" style="1087"/>
    <col min="11521" max="11521" width="20.77734375" style="1087" customWidth="1"/>
    <col min="11522" max="11522" width="12.88671875" style="1087" customWidth="1"/>
    <col min="11523" max="11523" width="20.77734375" style="1087" customWidth="1"/>
    <col min="11524" max="11524" width="11.5546875" style="1087" customWidth="1"/>
    <col min="11525" max="11525" width="20.77734375" style="1087" customWidth="1"/>
    <col min="11526" max="11526" width="9.88671875" style="1087" bestFit="1" customWidth="1"/>
    <col min="11527" max="11527" width="20.77734375" style="1087" customWidth="1"/>
    <col min="11528" max="11528" width="9.88671875" style="1087" bestFit="1" customWidth="1"/>
    <col min="11529" max="11529" width="20.77734375" style="1087" customWidth="1"/>
    <col min="11530" max="11530" width="9.88671875" style="1087" bestFit="1" customWidth="1"/>
    <col min="11531" max="11531" width="20.77734375" style="1087" customWidth="1"/>
    <col min="11532" max="11532" width="9.88671875" style="1087" bestFit="1" customWidth="1"/>
    <col min="11533" max="11533" width="20.77734375" style="1087" customWidth="1"/>
    <col min="11534" max="11534" width="12.21875" style="1087" customWidth="1"/>
    <col min="11535" max="11535" width="20.77734375" style="1087" customWidth="1"/>
    <col min="11536" max="11536" width="11.88671875" style="1087" customWidth="1"/>
    <col min="11537" max="11537" width="20.77734375" style="1087" customWidth="1"/>
    <col min="11538" max="11538" width="12.5546875" style="1087" customWidth="1"/>
    <col min="11539" max="11539" width="20.77734375" style="1087" customWidth="1"/>
    <col min="11540" max="11540" width="11.21875" style="1087" customWidth="1"/>
    <col min="11541" max="11541" width="20.77734375" style="1087" customWidth="1"/>
    <col min="11542" max="11542" width="11.5546875" style="1087" customWidth="1"/>
    <col min="11543" max="11543" width="20.77734375" style="1087" customWidth="1"/>
    <col min="11544" max="11544" width="9.88671875" style="1087" bestFit="1" customWidth="1"/>
    <col min="11545" max="11547" width="8.88671875" style="1087"/>
    <col min="11548" max="11559" width="20.77734375" style="1087" customWidth="1"/>
    <col min="11560" max="11776" width="8.88671875" style="1087"/>
    <col min="11777" max="11777" width="20.77734375" style="1087" customWidth="1"/>
    <col min="11778" max="11778" width="12.88671875" style="1087" customWidth="1"/>
    <col min="11779" max="11779" width="20.77734375" style="1087" customWidth="1"/>
    <col min="11780" max="11780" width="11.5546875" style="1087" customWidth="1"/>
    <col min="11781" max="11781" width="20.77734375" style="1087" customWidth="1"/>
    <col min="11782" max="11782" width="9.88671875" style="1087" bestFit="1" customWidth="1"/>
    <col min="11783" max="11783" width="20.77734375" style="1087" customWidth="1"/>
    <col min="11784" max="11784" width="9.88671875" style="1087" bestFit="1" customWidth="1"/>
    <col min="11785" max="11785" width="20.77734375" style="1087" customWidth="1"/>
    <col min="11786" max="11786" width="9.88671875" style="1087" bestFit="1" customWidth="1"/>
    <col min="11787" max="11787" width="20.77734375" style="1087" customWidth="1"/>
    <col min="11788" max="11788" width="9.88671875" style="1087" bestFit="1" customWidth="1"/>
    <col min="11789" max="11789" width="20.77734375" style="1087" customWidth="1"/>
    <col min="11790" max="11790" width="12.21875" style="1087" customWidth="1"/>
    <col min="11791" max="11791" width="20.77734375" style="1087" customWidth="1"/>
    <col min="11792" max="11792" width="11.88671875" style="1087" customWidth="1"/>
    <col min="11793" max="11793" width="20.77734375" style="1087" customWidth="1"/>
    <col min="11794" max="11794" width="12.5546875" style="1087" customWidth="1"/>
    <col min="11795" max="11795" width="20.77734375" style="1087" customWidth="1"/>
    <col min="11796" max="11796" width="11.21875" style="1087" customWidth="1"/>
    <col min="11797" max="11797" width="20.77734375" style="1087" customWidth="1"/>
    <col min="11798" max="11798" width="11.5546875" style="1087" customWidth="1"/>
    <col min="11799" max="11799" width="20.77734375" style="1087" customWidth="1"/>
    <col min="11800" max="11800" width="9.88671875" style="1087" bestFit="1" customWidth="1"/>
    <col min="11801" max="11803" width="8.88671875" style="1087"/>
    <col min="11804" max="11815" width="20.77734375" style="1087" customWidth="1"/>
    <col min="11816" max="12032" width="8.88671875" style="1087"/>
    <col min="12033" max="12033" width="20.77734375" style="1087" customWidth="1"/>
    <col min="12034" max="12034" width="12.88671875" style="1087" customWidth="1"/>
    <col min="12035" max="12035" width="20.77734375" style="1087" customWidth="1"/>
    <col min="12036" max="12036" width="11.5546875" style="1087" customWidth="1"/>
    <col min="12037" max="12037" width="20.77734375" style="1087" customWidth="1"/>
    <col min="12038" max="12038" width="9.88671875" style="1087" bestFit="1" customWidth="1"/>
    <col min="12039" max="12039" width="20.77734375" style="1087" customWidth="1"/>
    <col min="12040" max="12040" width="9.88671875" style="1087" bestFit="1" customWidth="1"/>
    <col min="12041" max="12041" width="20.77734375" style="1087" customWidth="1"/>
    <col min="12042" max="12042" width="9.88671875" style="1087" bestFit="1" customWidth="1"/>
    <col min="12043" max="12043" width="20.77734375" style="1087" customWidth="1"/>
    <col min="12044" max="12044" width="9.88671875" style="1087" bestFit="1" customWidth="1"/>
    <col min="12045" max="12045" width="20.77734375" style="1087" customWidth="1"/>
    <col min="12046" max="12046" width="12.21875" style="1087" customWidth="1"/>
    <col min="12047" max="12047" width="20.77734375" style="1087" customWidth="1"/>
    <col min="12048" max="12048" width="11.88671875" style="1087" customWidth="1"/>
    <col min="12049" max="12049" width="20.77734375" style="1087" customWidth="1"/>
    <col min="12050" max="12050" width="12.5546875" style="1087" customWidth="1"/>
    <col min="12051" max="12051" width="20.77734375" style="1087" customWidth="1"/>
    <col min="12052" max="12052" width="11.21875" style="1087" customWidth="1"/>
    <col min="12053" max="12053" width="20.77734375" style="1087" customWidth="1"/>
    <col min="12054" max="12054" width="11.5546875" style="1087" customWidth="1"/>
    <col min="12055" max="12055" width="20.77734375" style="1087" customWidth="1"/>
    <col min="12056" max="12056" width="9.88671875" style="1087" bestFit="1" customWidth="1"/>
    <col min="12057" max="12059" width="8.88671875" style="1087"/>
    <col min="12060" max="12071" width="20.77734375" style="1087" customWidth="1"/>
    <col min="12072" max="12288" width="8.88671875" style="1087"/>
    <col min="12289" max="12289" width="20.77734375" style="1087" customWidth="1"/>
    <col min="12290" max="12290" width="12.88671875" style="1087" customWidth="1"/>
    <col min="12291" max="12291" width="20.77734375" style="1087" customWidth="1"/>
    <col min="12292" max="12292" width="11.5546875" style="1087" customWidth="1"/>
    <col min="12293" max="12293" width="20.77734375" style="1087" customWidth="1"/>
    <col min="12294" max="12294" width="9.88671875" style="1087" bestFit="1" customWidth="1"/>
    <col min="12295" max="12295" width="20.77734375" style="1087" customWidth="1"/>
    <col min="12296" max="12296" width="9.88671875" style="1087" bestFit="1" customWidth="1"/>
    <col min="12297" max="12297" width="20.77734375" style="1087" customWidth="1"/>
    <col min="12298" max="12298" width="9.88671875" style="1087" bestFit="1" customWidth="1"/>
    <col min="12299" max="12299" width="20.77734375" style="1087" customWidth="1"/>
    <col min="12300" max="12300" width="9.88671875" style="1087" bestFit="1" customWidth="1"/>
    <col min="12301" max="12301" width="20.77734375" style="1087" customWidth="1"/>
    <col min="12302" max="12302" width="12.21875" style="1087" customWidth="1"/>
    <col min="12303" max="12303" width="20.77734375" style="1087" customWidth="1"/>
    <col min="12304" max="12304" width="11.88671875" style="1087" customWidth="1"/>
    <col min="12305" max="12305" width="20.77734375" style="1087" customWidth="1"/>
    <col min="12306" max="12306" width="12.5546875" style="1087" customWidth="1"/>
    <col min="12307" max="12307" width="20.77734375" style="1087" customWidth="1"/>
    <col min="12308" max="12308" width="11.21875" style="1087" customWidth="1"/>
    <col min="12309" max="12309" width="20.77734375" style="1087" customWidth="1"/>
    <col min="12310" max="12310" width="11.5546875" style="1087" customWidth="1"/>
    <col min="12311" max="12311" width="20.77734375" style="1087" customWidth="1"/>
    <col min="12312" max="12312" width="9.88671875" style="1087" bestFit="1" customWidth="1"/>
    <col min="12313" max="12315" width="8.88671875" style="1087"/>
    <col min="12316" max="12327" width="20.77734375" style="1087" customWidth="1"/>
    <col min="12328" max="12544" width="8.88671875" style="1087"/>
    <col min="12545" max="12545" width="20.77734375" style="1087" customWidth="1"/>
    <col min="12546" max="12546" width="12.88671875" style="1087" customWidth="1"/>
    <col min="12547" max="12547" width="20.77734375" style="1087" customWidth="1"/>
    <col min="12548" max="12548" width="11.5546875" style="1087" customWidth="1"/>
    <col min="12549" max="12549" width="20.77734375" style="1087" customWidth="1"/>
    <col min="12550" max="12550" width="9.88671875" style="1087" bestFit="1" customWidth="1"/>
    <col min="12551" max="12551" width="20.77734375" style="1087" customWidth="1"/>
    <col min="12552" max="12552" width="9.88671875" style="1087" bestFit="1" customWidth="1"/>
    <col min="12553" max="12553" width="20.77734375" style="1087" customWidth="1"/>
    <col min="12554" max="12554" width="9.88671875" style="1087" bestFit="1" customWidth="1"/>
    <col min="12555" max="12555" width="20.77734375" style="1087" customWidth="1"/>
    <col min="12556" max="12556" width="9.88671875" style="1087" bestFit="1" customWidth="1"/>
    <col min="12557" max="12557" width="20.77734375" style="1087" customWidth="1"/>
    <col min="12558" max="12558" width="12.21875" style="1087" customWidth="1"/>
    <col min="12559" max="12559" width="20.77734375" style="1087" customWidth="1"/>
    <col min="12560" max="12560" width="11.88671875" style="1087" customWidth="1"/>
    <col min="12561" max="12561" width="20.77734375" style="1087" customWidth="1"/>
    <col min="12562" max="12562" width="12.5546875" style="1087" customWidth="1"/>
    <col min="12563" max="12563" width="20.77734375" style="1087" customWidth="1"/>
    <col min="12564" max="12564" width="11.21875" style="1087" customWidth="1"/>
    <col min="12565" max="12565" width="20.77734375" style="1087" customWidth="1"/>
    <col min="12566" max="12566" width="11.5546875" style="1087" customWidth="1"/>
    <col min="12567" max="12567" width="20.77734375" style="1087" customWidth="1"/>
    <col min="12568" max="12568" width="9.88671875" style="1087" bestFit="1" customWidth="1"/>
    <col min="12569" max="12571" width="8.88671875" style="1087"/>
    <col min="12572" max="12583" width="20.77734375" style="1087" customWidth="1"/>
    <col min="12584" max="12800" width="8.88671875" style="1087"/>
    <col min="12801" max="12801" width="20.77734375" style="1087" customWidth="1"/>
    <col min="12802" max="12802" width="12.88671875" style="1087" customWidth="1"/>
    <col min="12803" max="12803" width="20.77734375" style="1087" customWidth="1"/>
    <col min="12804" max="12804" width="11.5546875" style="1087" customWidth="1"/>
    <col min="12805" max="12805" width="20.77734375" style="1087" customWidth="1"/>
    <col min="12806" max="12806" width="9.88671875" style="1087" bestFit="1" customWidth="1"/>
    <col min="12807" max="12807" width="20.77734375" style="1087" customWidth="1"/>
    <col min="12808" max="12808" width="9.88671875" style="1087" bestFit="1" customWidth="1"/>
    <col min="12809" max="12809" width="20.77734375" style="1087" customWidth="1"/>
    <col min="12810" max="12810" width="9.88671875" style="1087" bestFit="1" customWidth="1"/>
    <col min="12811" max="12811" width="20.77734375" style="1087" customWidth="1"/>
    <col min="12812" max="12812" width="9.88671875" style="1087" bestFit="1" customWidth="1"/>
    <col min="12813" max="12813" width="20.77734375" style="1087" customWidth="1"/>
    <col min="12814" max="12814" width="12.21875" style="1087" customWidth="1"/>
    <col min="12815" max="12815" width="20.77734375" style="1087" customWidth="1"/>
    <col min="12816" max="12816" width="11.88671875" style="1087" customWidth="1"/>
    <col min="12817" max="12817" width="20.77734375" style="1087" customWidth="1"/>
    <col min="12818" max="12818" width="12.5546875" style="1087" customWidth="1"/>
    <col min="12819" max="12819" width="20.77734375" style="1087" customWidth="1"/>
    <col min="12820" max="12820" width="11.21875" style="1087" customWidth="1"/>
    <col min="12821" max="12821" width="20.77734375" style="1087" customWidth="1"/>
    <col min="12822" max="12822" width="11.5546875" style="1087" customWidth="1"/>
    <col min="12823" max="12823" width="20.77734375" style="1087" customWidth="1"/>
    <col min="12824" max="12824" width="9.88671875" style="1087" bestFit="1" customWidth="1"/>
    <col min="12825" max="12827" width="8.88671875" style="1087"/>
    <col min="12828" max="12839" width="20.77734375" style="1087" customWidth="1"/>
    <col min="12840" max="13056" width="8.88671875" style="1087"/>
    <col min="13057" max="13057" width="20.77734375" style="1087" customWidth="1"/>
    <col min="13058" max="13058" width="12.88671875" style="1087" customWidth="1"/>
    <col min="13059" max="13059" width="20.77734375" style="1087" customWidth="1"/>
    <col min="13060" max="13060" width="11.5546875" style="1087" customWidth="1"/>
    <col min="13061" max="13061" width="20.77734375" style="1087" customWidth="1"/>
    <col min="13062" max="13062" width="9.88671875" style="1087" bestFit="1" customWidth="1"/>
    <col min="13063" max="13063" width="20.77734375" style="1087" customWidth="1"/>
    <col min="13064" max="13064" width="9.88671875" style="1087" bestFit="1" customWidth="1"/>
    <col min="13065" max="13065" width="20.77734375" style="1087" customWidth="1"/>
    <col min="13066" max="13066" width="9.88671875" style="1087" bestFit="1" customWidth="1"/>
    <col min="13067" max="13067" width="20.77734375" style="1087" customWidth="1"/>
    <col min="13068" max="13068" width="9.88671875" style="1087" bestFit="1" customWidth="1"/>
    <col min="13069" max="13069" width="20.77734375" style="1087" customWidth="1"/>
    <col min="13070" max="13070" width="12.21875" style="1087" customWidth="1"/>
    <col min="13071" max="13071" width="20.77734375" style="1087" customWidth="1"/>
    <col min="13072" max="13072" width="11.88671875" style="1087" customWidth="1"/>
    <col min="13073" max="13073" width="20.77734375" style="1087" customWidth="1"/>
    <col min="13074" max="13074" width="12.5546875" style="1087" customWidth="1"/>
    <col min="13075" max="13075" width="20.77734375" style="1087" customWidth="1"/>
    <col min="13076" max="13076" width="11.21875" style="1087" customWidth="1"/>
    <col min="13077" max="13077" width="20.77734375" style="1087" customWidth="1"/>
    <col min="13078" max="13078" width="11.5546875" style="1087" customWidth="1"/>
    <col min="13079" max="13079" width="20.77734375" style="1087" customWidth="1"/>
    <col min="13080" max="13080" width="9.88671875" style="1087" bestFit="1" customWidth="1"/>
    <col min="13081" max="13083" width="8.88671875" style="1087"/>
    <col min="13084" max="13095" width="20.77734375" style="1087" customWidth="1"/>
    <col min="13096" max="13312" width="8.88671875" style="1087"/>
    <col min="13313" max="13313" width="20.77734375" style="1087" customWidth="1"/>
    <col min="13314" max="13314" width="12.88671875" style="1087" customWidth="1"/>
    <col min="13315" max="13315" width="20.77734375" style="1087" customWidth="1"/>
    <col min="13316" max="13316" width="11.5546875" style="1087" customWidth="1"/>
    <col min="13317" max="13317" width="20.77734375" style="1087" customWidth="1"/>
    <col min="13318" max="13318" width="9.88671875" style="1087" bestFit="1" customWidth="1"/>
    <col min="13319" max="13319" width="20.77734375" style="1087" customWidth="1"/>
    <col min="13320" max="13320" width="9.88671875" style="1087" bestFit="1" customWidth="1"/>
    <col min="13321" max="13321" width="20.77734375" style="1087" customWidth="1"/>
    <col min="13322" max="13322" width="9.88671875" style="1087" bestFit="1" customWidth="1"/>
    <col min="13323" max="13323" width="20.77734375" style="1087" customWidth="1"/>
    <col min="13324" max="13324" width="9.88671875" style="1087" bestFit="1" customWidth="1"/>
    <col min="13325" max="13325" width="20.77734375" style="1087" customWidth="1"/>
    <col min="13326" max="13326" width="12.21875" style="1087" customWidth="1"/>
    <col min="13327" max="13327" width="20.77734375" style="1087" customWidth="1"/>
    <col min="13328" max="13328" width="11.88671875" style="1087" customWidth="1"/>
    <col min="13329" max="13329" width="20.77734375" style="1087" customWidth="1"/>
    <col min="13330" max="13330" width="12.5546875" style="1087" customWidth="1"/>
    <col min="13331" max="13331" width="20.77734375" style="1087" customWidth="1"/>
    <col min="13332" max="13332" width="11.21875" style="1087" customWidth="1"/>
    <col min="13333" max="13333" width="20.77734375" style="1087" customWidth="1"/>
    <col min="13334" max="13334" width="11.5546875" style="1087" customWidth="1"/>
    <col min="13335" max="13335" width="20.77734375" style="1087" customWidth="1"/>
    <col min="13336" max="13336" width="9.88671875" style="1087" bestFit="1" customWidth="1"/>
    <col min="13337" max="13339" width="8.88671875" style="1087"/>
    <col min="13340" max="13351" width="20.77734375" style="1087" customWidth="1"/>
    <col min="13352" max="13568" width="8.88671875" style="1087"/>
    <col min="13569" max="13569" width="20.77734375" style="1087" customWidth="1"/>
    <col min="13570" max="13570" width="12.88671875" style="1087" customWidth="1"/>
    <col min="13571" max="13571" width="20.77734375" style="1087" customWidth="1"/>
    <col min="13572" max="13572" width="11.5546875" style="1087" customWidth="1"/>
    <col min="13573" max="13573" width="20.77734375" style="1087" customWidth="1"/>
    <col min="13574" max="13574" width="9.88671875" style="1087" bestFit="1" customWidth="1"/>
    <col min="13575" max="13575" width="20.77734375" style="1087" customWidth="1"/>
    <col min="13576" max="13576" width="9.88671875" style="1087" bestFit="1" customWidth="1"/>
    <col min="13577" max="13577" width="20.77734375" style="1087" customWidth="1"/>
    <col min="13578" max="13578" width="9.88671875" style="1087" bestFit="1" customWidth="1"/>
    <col min="13579" max="13579" width="20.77734375" style="1087" customWidth="1"/>
    <col min="13580" max="13580" width="9.88671875" style="1087" bestFit="1" customWidth="1"/>
    <col min="13581" max="13581" width="20.77734375" style="1087" customWidth="1"/>
    <col min="13582" max="13582" width="12.21875" style="1087" customWidth="1"/>
    <col min="13583" max="13583" width="20.77734375" style="1087" customWidth="1"/>
    <col min="13584" max="13584" width="11.88671875" style="1087" customWidth="1"/>
    <col min="13585" max="13585" width="20.77734375" style="1087" customWidth="1"/>
    <col min="13586" max="13586" width="12.5546875" style="1087" customWidth="1"/>
    <col min="13587" max="13587" width="20.77734375" style="1087" customWidth="1"/>
    <col min="13588" max="13588" width="11.21875" style="1087" customWidth="1"/>
    <col min="13589" max="13589" width="20.77734375" style="1087" customWidth="1"/>
    <col min="13590" max="13590" width="11.5546875" style="1087" customWidth="1"/>
    <col min="13591" max="13591" width="20.77734375" style="1087" customWidth="1"/>
    <col min="13592" max="13592" width="9.88671875" style="1087" bestFit="1" customWidth="1"/>
    <col min="13593" max="13595" width="8.88671875" style="1087"/>
    <col min="13596" max="13607" width="20.77734375" style="1087" customWidth="1"/>
    <col min="13608" max="13824" width="8.88671875" style="1087"/>
    <col min="13825" max="13825" width="20.77734375" style="1087" customWidth="1"/>
    <col min="13826" max="13826" width="12.88671875" style="1087" customWidth="1"/>
    <col min="13827" max="13827" width="20.77734375" style="1087" customWidth="1"/>
    <col min="13828" max="13828" width="11.5546875" style="1087" customWidth="1"/>
    <col min="13829" max="13829" width="20.77734375" style="1087" customWidth="1"/>
    <col min="13830" max="13830" width="9.88671875" style="1087" bestFit="1" customWidth="1"/>
    <col min="13831" max="13831" width="20.77734375" style="1087" customWidth="1"/>
    <col min="13832" max="13832" width="9.88671875" style="1087" bestFit="1" customWidth="1"/>
    <col min="13833" max="13833" width="20.77734375" style="1087" customWidth="1"/>
    <col min="13834" max="13834" width="9.88671875" style="1087" bestFit="1" customWidth="1"/>
    <col min="13835" max="13835" width="20.77734375" style="1087" customWidth="1"/>
    <col min="13836" max="13836" width="9.88671875" style="1087" bestFit="1" customWidth="1"/>
    <col min="13837" max="13837" width="20.77734375" style="1087" customWidth="1"/>
    <col min="13838" max="13838" width="12.21875" style="1087" customWidth="1"/>
    <col min="13839" max="13839" width="20.77734375" style="1087" customWidth="1"/>
    <col min="13840" max="13840" width="11.88671875" style="1087" customWidth="1"/>
    <col min="13841" max="13841" width="20.77734375" style="1087" customWidth="1"/>
    <col min="13842" max="13842" width="12.5546875" style="1087" customWidth="1"/>
    <col min="13843" max="13843" width="20.77734375" style="1087" customWidth="1"/>
    <col min="13844" max="13844" width="11.21875" style="1087" customWidth="1"/>
    <col min="13845" max="13845" width="20.77734375" style="1087" customWidth="1"/>
    <col min="13846" max="13846" width="11.5546875" style="1087" customWidth="1"/>
    <col min="13847" max="13847" width="20.77734375" style="1087" customWidth="1"/>
    <col min="13848" max="13848" width="9.88671875" style="1087" bestFit="1" customWidth="1"/>
    <col min="13849" max="13851" width="8.88671875" style="1087"/>
    <col min="13852" max="13863" width="20.77734375" style="1087" customWidth="1"/>
    <col min="13864" max="14080" width="8.88671875" style="1087"/>
    <col min="14081" max="14081" width="20.77734375" style="1087" customWidth="1"/>
    <col min="14082" max="14082" width="12.88671875" style="1087" customWidth="1"/>
    <col min="14083" max="14083" width="20.77734375" style="1087" customWidth="1"/>
    <col min="14084" max="14084" width="11.5546875" style="1087" customWidth="1"/>
    <col min="14085" max="14085" width="20.77734375" style="1087" customWidth="1"/>
    <col min="14086" max="14086" width="9.88671875" style="1087" bestFit="1" customWidth="1"/>
    <col min="14087" max="14087" width="20.77734375" style="1087" customWidth="1"/>
    <col min="14088" max="14088" width="9.88671875" style="1087" bestFit="1" customWidth="1"/>
    <col min="14089" max="14089" width="20.77734375" style="1087" customWidth="1"/>
    <col min="14090" max="14090" width="9.88671875" style="1087" bestFit="1" customWidth="1"/>
    <col min="14091" max="14091" width="20.77734375" style="1087" customWidth="1"/>
    <col min="14092" max="14092" width="9.88671875" style="1087" bestFit="1" customWidth="1"/>
    <col min="14093" max="14093" width="20.77734375" style="1087" customWidth="1"/>
    <col min="14094" max="14094" width="12.21875" style="1087" customWidth="1"/>
    <col min="14095" max="14095" width="20.77734375" style="1087" customWidth="1"/>
    <col min="14096" max="14096" width="11.88671875" style="1087" customWidth="1"/>
    <col min="14097" max="14097" width="20.77734375" style="1087" customWidth="1"/>
    <col min="14098" max="14098" width="12.5546875" style="1087" customWidth="1"/>
    <col min="14099" max="14099" width="20.77734375" style="1087" customWidth="1"/>
    <col min="14100" max="14100" width="11.21875" style="1087" customWidth="1"/>
    <col min="14101" max="14101" width="20.77734375" style="1087" customWidth="1"/>
    <col min="14102" max="14102" width="11.5546875" style="1087" customWidth="1"/>
    <col min="14103" max="14103" width="20.77734375" style="1087" customWidth="1"/>
    <col min="14104" max="14104" width="9.88671875" style="1087" bestFit="1" customWidth="1"/>
    <col min="14105" max="14107" width="8.88671875" style="1087"/>
    <col min="14108" max="14119" width="20.77734375" style="1087" customWidth="1"/>
    <col min="14120" max="14336" width="8.88671875" style="1087"/>
    <col min="14337" max="14337" width="20.77734375" style="1087" customWidth="1"/>
    <col min="14338" max="14338" width="12.88671875" style="1087" customWidth="1"/>
    <col min="14339" max="14339" width="20.77734375" style="1087" customWidth="1"/>
    <col min="14340" max="14340" width="11.5546875" style="1087" customWidth="1"/>
    <col min="14341" max="14341" width="20.77734375" style="1087" customWidth="1"/>
    <col min="14342" max="14342" width="9.88671875" style="1087" bestFit="1" customWidth="1"/>
    <col min="14343" max="14343" width="20.77734375" style="1087" customWidth="1"/>
    <col min="14344" max="14344" width="9.88671875" style="1087" bestFit="1" customWidth="1"/>
    <col min="14345" max="14345" width="20.77734375" style="1087" customWidth="1"/>
    <col min="14346" max="14346" width="9.88671875" style="1087" bestFit="1" customWidth="1"/>
    <col min="14347" max="14347" width="20.77734375" style="1087" customWidth="1"/>
    <col min="14348" max="14348" width="9.88671875" style="1087" bestFit="1" customWidth="1"/>
    <col min="14349" max="14349" width="20.77734375" style="1087" customWidth="1"/>
    <col min="14350" max="14350" width="12.21875" style="1087" customWidth="1"/>
    <col min="14351" max="14351" width="20.77734375" style="1087" customWidth="1"/>
    <col min="14352" max="14352" width="11.88671875" style="1087" customWidth="1"/>
    <col min="14353" max="14353" width="20.77734375" style="1087" customWidth="1"/>
    <col min="14354" max="14354" width="12.5546875" style="1087" customWidth="1"/>
    <col min="14355" max="14355" width="20.77734375" style="1087" customWidth="1"/>
    <col min="14356" max="14356" width="11.21875" style="1087" customWidth="1"/>
    <col min="14357" max="14357" width="20.77734375" style="1087" customWidth="1"/>
    <col min="14358" max="14358" width="11.5546875" style="1087" customWidth="1"/>
    <col min="14359" max="14359" width="20.77734375" style="1087" customWidth="1"/>
    <col min="14360" max="14360" width="9.88671875" style="1087" bestFit="1" customWidth="1"/>
    <col min="14361" max="14363" width="8.88671875" style="1087"/>
    <col min="14364" max="14375" width="20.77734375" style="1087" customWidth="1"/>
    <col min="14376" max="14592" width="8.88671875" style="1087"/>
    <col min="14593" max="14593" width="20.77734375" style="1087" customWidth="1"/>
    <col min="14594" max="14594" width="12.88671875" style="1087" customWidth="1"/>
    <col min="14595" max="14595" width="20.77734375" style="1087" customWidth="1"/>
    <col min="14596" max="14596" width="11.5546875" style="1087" customWidth="1"/>
    <col min="14597" max="14597" width="20.77734375" style="1087" customWidth="1"/>
    <col min="14598" max="14598" width="9.88671875" style="1087" bestFit="1" customWidth="1"/>
    <col min="14599" max="14599" width="20.77734375" style="1087" customWidth="1"/>
    <col min="14600" max="14600" width="9.88671875" style="1087" bestFit="1" customWidth="1"/>
    <col min="14601" max="14601" width="20.77734375" style="1087" customWidth="1"/>
    <col min="14602" max="14602" width="9.88671875" style="1087" bestFit="1" customWidth="1"/>
    <col min="14603" max="14603" width="20.77734375" style="1087" customWidth="1"/>
    <col min="14604" max="14604" width="9.88671875" style="1087" bestFit="1" customWidth="1"/>
    <col min="14605" max="14605" width="20.77734375" style="1087" customWidth="1"/>
    <col min="14606" max="14606" width="12.21875" style="1087" customWidth="1"/>
    <col min="14607" max="14607" width="20.77734375" style="1087" customWidth="1"/>
    <col min="14608" max="14608" width="11.88671875" style="1087" customWidth="1"/>
    <col min="14609" max="14609" width="20.77734375" style="1087" customWidth="1"/>
    <col min="14610" max="14610" width="12.5546875" style="1087" customWidth="1"/>
    <col min="14611" max="14611" width="20.77734375" style="1087" customWidth="1"/>
    <col min="14612" max="14612" width="11.21875" style="1087" customWidth="1"/>
    <col min="14613" max="14613" width="20.77734375" style="1087" customWidth="1"/>
    <col min="14614" max="14614" width="11.5546875" style="1087" customWidth="1"/>
    <col min="14615" max="14615" width="20.77734375" style="1087" customWidth="1"/>
    <col min="14616" max="14616" width="9.88671875" style="1087" bestFit="1" customWidth="1"/>
    <col min="14617" max="14619" width="8.88671875" style="1087"/>
    <col min="14620" max="14631" width="20.77734375" style="1087" customWidth="1"/>
    <col min="14632" max="14848" width="8.88671875" style="1087"/>
    <col min="14849" max="14849" width="20.77734375" style="1087" customWidth="1"/>
    <col min="14850" max="14850" width="12.88671875" style="1087" customWidth="1"/>
    <col min="14851" max="14851" width="20.77734375" style="1087" customWidth="1"/>
    <col min="14852" max="14852" width="11.5546875" style="1087" customWidth="1"/>
    <col min="14853" max="14853" width="20.77734375" style="1087" customWidth="1"/>
    <col min="14854" max="14854" width="9.88671875" style="1087" bestFit="1" customWidth="1"/>
    <col min="14855" max="14855" width="20.77734375" style="1087" customWidth="1"/>
    <col min="14856" max="14856" width="9.88671875" style="1087" bestFit="1" customWidth="1"/>
    <col min="14857" max="14857" width="20.77734375" style="1087" customWidth="1"/>
    <col min="14858" max="14858" width="9.88671875" style="1087" bestFit="1" customWidth="1"/>
    <col min="14859" max="14859" width="20.77734375" style="1087" customWidth="1"/>
    <col min="14860" max="14860" width="9.88671875" style="1087" bestFit="1" customWidth="1"/>
    <col min="14861" max="14861" width="20.77734375" style="1087" customWidth="1"/>
    <col min="14862" max="14862" width="12.21875" style="1087" customWidth="1"/>
    <col min="14863" max="14863" width="20.77734375" style="1087" customWidth="1"/>
    <col min="14864" max="14864" width="11.88671875" style="1087" customWidth="1"/>
    <col min="14865" max="14865" width="20.77734375" style="1087" customWidth="1"/>
    <col min="14866" max="14866" width="12.5546875" style="1087" customWidth="1"/>
    <col min="14867" max="14867" width="20.77734375" style="1087" customWidth="1"/>
    <col min="14868" max="14868" width="11.21875" style="1087" customWidth="1"/>
    <col min="14869" max="14869" width="20.77734375" style="1087" customWidth="1"/>
    <col min="14870" max="14870" width="11.5546875" style="1087" customWidth="1"/>
    <col min="14871" max="14871" width="20.77734375" style="1087" customWidth="1"/>
    <col min="14872" max="14872" width="9.88671875" style="1087" bestFit="1" customWidth="1"/>
    <col min="14873" max="14875" width="8.88671875" style="1087"/>
    <col min="14876" max="14887" width="20.77734375" style="1087" customWidth="1"/>
    <col min="14888" max="15104" width="8.88671875" style="1087"/>
    <col min="15105" max="15105" width="20.77734375" style="1087" customWidth="1"/>
    <col min="15106" max="15106" width="12.88671875" style="1087" customWidth="1"/>
    <col min="15107" max="15107" width="20.77734375" style="1087" customWidth="1"/>
    <col min="15108" max="15108" width="11.5546875" style="1087" customWidth="1"/>
    <col min="15109" max="15109" width="20.77734375" style="1087" customWidth="1"/>
    <col min="15110" max="15110" width="9.88671875" style="1087" bestFit="1" customWidth="1"/>
    <col min="15111" max="15111" width="20.77734375" style="1087" customWidth="1"/>
    <col min="15112" max="15112" width="9.88671875" style="1087" bestFit="1" customWidth="1"/>
    <col min="15113" max="15113" width="20.77734375" style="1087" customWidth="1"/>
    <col min="15114" max="15114" width="9.88671875" style="1087" bestFit="1" customWidth="1"/>
    <col min="15115" max="15115" width="20.77734375" style="1087" customWidth="1"/>
    <col min="15116" max="15116" width="9.88671875" style="1087" bestFit="1" customWidth="1"/>
    <col min="15117" max="15117" width="20.77734375" style="1087" customWidth="1"/>
    <col min="15118" max="15118" width="12.21875" style="1087" customWidth="1"/>
    <col min="15119" max="15119" width="20.77734375" style="1087" customWidth="1"/>
    <col min="15120" max="15120" width="11.88671875" style="1087" customWidth="1"/>
    <col min="15121" max="15121" width="20.77734375" style="1087" customWidth="1"/>
    <col min="15122" max="15122" width="12.5546875" style="1087" customWidth="1"/>
    <col min="15123" max="15123" width="20.77734375" style="1087" customWidth="1"/>
    <col min="15124" max="15124" width="11.21875" style="1087" customWidth="1"/>
    <col min="15125" max="15125" width="20.77734375" style="1087" customWidth="1"/>
    <col min="15126" max="15126" width="11.5546875" style="1087" customWidth="1"/>
    <col min="15127" max="15127" width="20.77734375" style="1087" customWidth="1"/>
    <col min="15128" max="15128" width="9.88671875" style="1087" bestFit="1" customWidth="1"/>
    <col min="15129" max="15131" width="8.88671875" style="1087"/>
    <col min="15132" max="15143" width="20.77734375" style="1087" customWidth="1"/>
    <col min="15144" max="15360" width="8.88671875" style="1087"/>
    <col min="15361" max="15361" width="20.77734375" style="1087" customWidth="1"/>
    <col min="15362" max="15362" width="12.88671875" style="1087" customWidth="1"/>
    <col min="15363" max="15363" width="20.77734375" style="1087" customWidth="1"/>
    <col min="15364" max="15364" width="11.5546875" style="1087" customWidth="1"/>
    <col min="15365" max="15365" width="20.77734375" style="1087" customWidth="1"/>
    <col min="15366" max="15366" width="9.88671875" style="1087" bestFit="1" customWidth="1"/>
    <col min="15367" max="15367" width="20.77734375" style="1087" customWidth="1"/>
    <col min="15368" max="15368" width="9.88671875" style="1087" bestFit="1" customWidth="1"/>
    <col min="15369" max="15369" width="20.77734375" style="1087" customWidth="1"/>
    <col min="15370" max="15370" width="9.88671875" style="1087" bestFit="1" customWidth="1"/>
    <col min="15371" max="15371" width="20.77734375" style="1087" customWidth="1"/>
    <col min="15372" max="15372" width="9.88671875" style="1087" bestFit="1" customWidth="1"/>
    <col min="15373" max="15373" width="20.77734375" style="1087" customWidth="1"/>
    <col min="15374" max="15374" width="12.21875" style="1087" customWidth="1"/>
    <col min="15375" max="15375" width="20.77734375" style="1087" customWidth="1"/>
    <col min="15376" max="15376" width="11.88671875" style="1087" customWidth="1"/>
    <col min="15377" max="15377" width="20.77734375" style="1087" customWidth="1"/>
    <col min="15378" max="15378" width="12.5546875" style="1087" customWidth="1"/>
    <col min="15379" max="15379" width="20.77734375" style="1087" customWidth="1"/>
    <col min="15380" max="15380" width="11.21875" style="1087" customWidth="1"/>
    <col min="15381" max="15381" width="20.77734375" style="1087" customWidth="1"/>
    <col min="15382" max="15382" width="11.5546875" style="1087" customWidth="1"/>
    <col min="15383" max="15383" width="20.77734375" style="1087" customWidth="1"/>
    <col min="15384" max="15384" width="9.88671875" style="1087" bestFit="1" customWidth="1"/>
    <col min="15385" max="15387" width="8.88671875" style="1087"/>
    <col min="15388" max="15399" width="20.77734375" style="1087" customWidth="1"/>
    <col min="15400" max="15616" width="8.88671875" style="1087"/>
    <col min="15617" max="15617" width="20.77734375" style="1087" customWidth="1"/>
    <col min="15618" max="15618" width="12.88671875" style="1087" customWidth="1"/>
    <col min="15619" max="15619" width="20.77734375" style="1087" customWidth="1"/>
    <col min="15620" max="15620" width="11.5546875" style="1087" customWidth="1"/>
    <col min="15621" max="15621" width="20.77734375" style="1087" customWidth="1"/>
    <col min="15622" max="15622" width="9.88671875" style="1087" bestFit="1" customWidth="1"/>
    <col min="15623" max="15623" width="20.77734375" style="1087" customWidth="1"/>
    <col min="15624" max="15624" width="9.88671875" style="1087" bestFit="1" customWidth="1"/>
    <col min="15625" max="15625" width="20.77734375" style="1087" customWidth="1"/>
    <col min="15626" max="15626" width="9.88671875" style="1087" bestFit="1" customWidth="1"/>
    <col min="15627" max="15627" width="20.77734375" style="1087" customWidth="1"/>
    <col min="15628" max="15628" width="9.88671875" style="1087" bestFit="1" customWidth="1"/>
    <col min="15629" max="15629" width="20.77734375" style="1087" customWidth="1"/>
    <col min="15630" max="15630" width="12.21875" style="1087" customWidth="1"/>
    <col min="15631" max="15631" width="20.77734375" style="1087" customWidth="1"/>
    <col min="15632" max="15632" width="11.88671875" style="1087" customWidth="1"/>
    <col min="15633" max="15633" width="20.77734375" style="1087" customWidth="1"/>
    <col min="15634" max="15634" width="12.5546875" style="1087" customWidth="1"/>
    <col min="15635" max="15635" width="20.77734375" style="1087" customWidth="1"/>
    <col min="15636" max="15636" width="11.21875" style="1087" customWidth="1"/>
    <col min="15637" max="15637" width="20.77734375" style="1087" customWidth="1"/>
    <col min="15638" max="15638" width="11.5546875" style="1087" customWidth="1"/>
    <col min="15639" max="15639" width="20.77734375" style="1087" customWidth="1"/>
    <col min="15640" max="15640" width="9.88671875" style="1087" bestFit="1" customWidth="1"/>
    <col min="15641" max="15643" width="8.88671875" style="1087"/>
    <col min="15644" max="15655" width="20.77734375" style="1087" customWidth="1"/>
    <col min="15656" max="15872" width="8.88671875" style="1087"/>
    <col min="15873" max="15873" width="20.77734375" style="1087" customWidth="1"/>
    <col min="15874" max="15874" width="12.88671875" style="1087" customWidth="1"/>
    <col min="15875" max="15875" width="20.77734375" style="1087" customWidth="1"/>
    <col min="15876" max="15876" width="11.5546875" style="1087" customWidth="1"/>
    <col min="15877" max="15877" width="20.77734375" style="1087" customWidth="1"/>
    <col min="15878" max="15878" width="9.88671875" style="1087" bestFit="1" customWidth="1"/>
    <col min="15879" max="15879" width="20.77734375" style="1087" customWidth="1"/>
    <col min="15880" max="15880" width="9.88671875" style="1087" bestFit="1" customWidth="1"/>
    <col min="15881" max="15881" width="20.77734375" style="1087" customWidth="1"/>
    <col min="15882" max="15882" width="9.88671875" style="1087" bestFit="1" customWidth="1"/>
    <col min="15883" max="15883" width="20.77734375" style="1087" customWidth="1"/>
    <col min="15884" max="15884" width="9.88671875" style="1087" bestFit="1" customWidth="1"/>
    <col min="15885" max="15885" width="20.77734375" style="1087" customWidth="1"/>
    <col min="15886" max="15886" width="12.21875" style="1087" customWidth="1"/>
    <col min="15887" max="15887" width="20.77734375" style="1087" customWidth="1"/>
    <col min="15888" max="15888" width="11.88671875" style="1087" customWidth="1"/>
    <col min="15889" max="15889" width="20.77734375" style="1087" customWidth="1"/>
    <col min="15890" max="15890" width="12.5546875" style="1087" customWidth="1"/>
    <col min="15891" max="15891" width="20.77734375" style="1087" customWidth="1"/>
    <col min="15892" max="15892" width="11.21875" style="1087" customWidth="1"/>
    <col min="15893" max="15893" width="20.77734375" style="1087" customWidth="1"/>
    <col min="15894" max="15894" width="11.5546875" style="1087" customWidth="1"/>
    <col min="15895" max="15895" width="20.77734375" style="1087" customWidth="1"/>
    <col min="15896" max="15896" width="9.88671875" style="1087" bestFit="1" customWidth="1"/>
    <col min="15897" max="15899" width="8.88671875" style="1087"/>
    <col min="15900" max="15911" width="20.77734375" style="1087" customWidth="1"/>
    <col min="15912" max="16128" width="8.88671875" style="1087"/>
    <col min="16129" max="16129" width="20.77734375" style="1087" customWidth="1"/>
    <col min="16130" max="16130" width="12.88671875" style="1087" customWidth="1"/>
    <col min="16131" max="16131" width="20.77734375" style="1087" customWidth="1"/>
    <col min="16132" max="16132" width="11.5546875" style="1087" customWidth="1"/>
    <col min="16133" max="16133" width="20.77734375" style="1087" customWidth="1"/>
    <col min="16134" max="16134" width="9.88671875" style="1087" bestFit="1" customWidth="1"/>
    <col min="16135" max="16135" width="20.77734375" style="1087" customWidth="1"/>
    <col min="16136" max="16136" width="9.88671875" style="1087" bestFit="1" customWidth="1"/>
    <col min="16137" max="16137" width="20.77734375" style="1087" customWidth="1"/>
    <col min="16138" max="16138" width="9.88671875" style="1087" bestFit="1" customWidth="1"/>
    <col min="16139" max="16139" width="20.77734375" style="1087" customWidth="1"/>
    <col min="16140" max="16140" width="9.88671875" style="1087" bestFit="1" customWidth="1"/>
    <col min="16141" max="16141" width="20.77734375" style="1087" customWidth="1"/>
    <col min="16142" max="16142" width="12.21875" style="1087" customWidth="1"/>
    <col min="16143" max="16143" width="20.77734375" style="1087" customWidth="1"/>
    <col min="16144" max="16144" width="11.88671875" style="1087" customWidth="1"/>
    <col min="16145" max="16145" width="20.77734375" style="1087" customWidth="1"/>
    <col min="16146" max="16146" width="12.5546875" style="1087" customWidth="1"/>
    <col min="16147" max="16147" width="20.77734375" style="1087" customWidth="1"/>
    <col min="16148" max="16148" width="11.21875" style="1087" customWidth="1"/>
    <col min="16149" max="16149" width="20.77734375" style="1087" customWidth="1"/>
    <col min="16150" max="16150" width="11.5546875" style="1087" customWidth="1"/>
    <col min="16151" max="16151" width="20.77734375" style="1087" customWidth="1"/>
    <col min="16152" max="16152" width="9.88671875" style="1087" bestFit="1" customWidth="1"/>
    <col min="16153" max="16155" width="8.88671875" style="1087"/>
    <col min="16156" max="16167" width="20.77734375" style="1087" customWidth="1"/>
    <col min="16168" max="16384" width="8.88671875" style="1087"/>
  </cols>
  <sheetData>
    <row r="1" spans="1:29" ht="45" customHeight="1">
      <c r="A1" s="1590" t="s">
        <v>1805</v>
      </c>
      <c r="B1" s="1591"/>
      <c r="C1" s="1591"/>
      <c r="D1" s="1591"/>
      <c r="E1" s="1591"/>
      <c r="F1" s="1591"/>
      <c r="G1" s="1591"/>
      <c r="H1" s="1591"/>
      <c r="I1" s="1591"/>
      <c r="J1" s="1591"/>
      <c r="K1" s="1591"/>
      <c r="L1" s="1591"/>
      <c r="M1" s="1591"/>
      <c r="N1" s="1591"/>
      <c r="O1" s="1591"/>
      <c r="P1" s="1591"/>
      <c r="Q1" s="1591"/>
      <c r="R1" s="1591"/>
      <c r="S1" s="1591"/>
      <c r="T1" s="1591"/>
      <c r="U1" s="1591"/>
      <c r="V1" s="1591"/>
      <c r="W1" s="1591"/>
      <c r="X1" s="1592"/>
    </row>
    <row r="2" spans="1:29" ht="45" customHeight="1">
      <c r="A2" s="1593" t="s">
        <v>49</v>
      </c>
      <c r="B2" s="1594"/>
      <c r="C2" s="1594"/>
      <c r="D2" s="1594"/>
      <c r="E2" s="1594"/>
      <c r="F2" s="1594"/>
      <c r="G2" s="1594"/>
      <c r="H2" s="1594"/>
      <c r="I2" s="1594"/>
      <c r="J2" s="1594"/>
      <c r="K2" s="1594"/>
      <c r="L2" s="1594"/>
      <c r="M2" s="1594"/>
      <c r="N2" s="1594"/>
      <c r="O2" s="1594"/>
      <c r="P2" s="1594"/>
      <c r="Q2" s="1594"/>
      <c r="R2" s="1594"/>
      <c r="S2" s="1594"/>
      <c r="T2" s="1594"/>
      <c r="U2" s="1594"/>
      <c r="V2" s="1594"/>
      <c r="W2" s="1594"/>
      <c r="X2" s="1595"/>
    </row>
    <row r="3" spans="1:29" ht="40.049999999999997" customHeight="1" thickBot="1">
      <c r="A3" s="1593" t="s">
        <v>1806</v>
      </c>
      <c r="B3" s="1594"/>
      <c r="C3" s="1594"/>
      <c r="D3" s="1594"/>
      <c r="E3" s="1594"/>
      <c r="F3" s="1594"/>
      <c r="G3" s="1594"/>
      <c r="H3" s="1594"/>
      <c r="I3" s="1594"/>
      <c r="J3" s="1594"/>
      <c r="K3" s="1594"/>
      <c r="L3" s="1594"/>
      <c r="M3" s="1594"/>
      <c r="N3" s="1594"/>
      <c r="O3" s="1594"/>
      <c r="P3" s="1594"/>
      <c r="Q3" s="1594"/>
      <c r="R3" s="1594"/>
      <c r="S3" s="1594"/>
      <c r="T3" s="1594"/>
      <c r="U3" s="1596"/>
      <c r="V3" s="1596"/>
      <c r="W3" s="1596"/>
      <c r="X3" s="1597"/>
    </row>
    <row r="4" spans="1:29" ht="27.6" customHeight="1">
      <c r="A4" s="1633" t="s">
        <v>1850</v>
      </c>
      <c r="B4" s="1634"/>
      <c r="C4" s="1634"/>
      <c r="D4" s="1634"/>
      <c r="E4" s="1634"/>
      <c r="F4" s="1634"/>
      <c r="G4" s="1634"/>
      <c r="H4" s="1634"/>
      <c r="I4" s="1634"/>
      <c r="J4" s="1634"/>
      <c r="K4" s="1634"/>
      <c r="L4" s="1634"/>
      <c r="M4" s="1634"/>
      <c r="N4" s="1634"/>
      <c r="O4" s="1634"/>
      <c r="P4" s="1634"/>
      <c r="Q4" s="1634"/>
      <c r="R4" s="1634"/>
      <c r="S4" s="1634"/>
      <c r="T4" s="1635"/>
      <c r="U4" s="1625" t="s">
        <v>1440</v>
      </c>
      <c r="V4" s="1626"/>
      <c r="W4" s="1629">
        <f ca="1">NOW()-1</f>
        <v>46114.469186921298</v>
      </c>
      <c r="X4" s="1630"/>
      <c r="Y4" s="1083"/>
      <c r="Z4" s="1083"/>
      <c r="AA4" s="1083"/>
      <c r="AB4" s="1080"/>
      <c r="AC4" s="1080"/>
    </row>
    <row r="5" spans="1:29" ht="21" customHeight="1" thickBot="1">
      <c r="A5" s="1636"/>
      <c r="B5" s="1637"/>
      <c r="C5" s="1637"/>
      <c r="D5" s="1637"/>
      <c r="E5" s="1637"/>
      <c r="F5" s="1637"/>
      <c r="G5" s="1637"/>
      <c r="H5" s="1637"/>
      <c r="I5" s="1637"/>
      <c r="J5" s="1637"/>
      <c r="K5" s="1637"/>
      <c r="L5" s="1637"/>
      <c r="M5" s="1637"/>
      <c r="N5" s="1637"/>
      <c r="O5" s="1637"/>
      <c r="P5" s="1637"/>
      <c r="Q5" s="1637"/>
      <c r="R5" s="1637"/>
      <c r="S5" s="1637"/>
      <c r="T5" s="1638"/>
      <c r="U5" s="1627"/>
      <c r="V5" s="1628"/>
      <c r="W5" s="1631"/>
      <c r="X5" s="1632"/>
      <c r="Z5" s="1080"/>
      <c r="AA5" s="1080"/>
      <c r="AB5" s="1080"/>
      <c r="AC5" s="1080"/>
    </row>
    <row r="6" spans="1:29" ht="43.2" customHeight="1" thickBot="1">
      <c r="A6" s="1598" t="s">
        <v>976</v>
      </c>
      <c r="B6" s="1565" t="s">
        <v>13</v>
      </c>
      <c r="C6" s="1566"/>
      <c r="D6" s="1567"/>
      <c r="E6" s="1598" t="s">
        <v>1130</v>
      </c>
      <c r="F6" s="1600" t="s">
        <v>1807</v>
      </c>
      <c r="G6" s="1601"/>
      <c r="H6" s="1601"/>
      <c r="I6" s="1601"/>
      <c r="J6" s="1601"/>
      <c r="K6" s="1602"/>
      <c r="L6" s="1603" t="s">
        <v>1818</v>
      </c>
      <c r="M6" s="1604"/>
      <c r="N6" s="1604"/>
      <c r="O6" s="1604"/>
      <c r="P6" s="1604"/>
      <c r="Q6" s="1605"/>
      <c r="R6" s="1606" t="s">
        <v>1830</v>
      </c>
      <c r="S6" s="1607"/>
      <c r="T6" s="1606" t="s">
        <v>1831</v>
      </c>
      <c r="U6" s="1607"/>
      <c r="V6" s="1617" t="s">
        <v>20</v>
      </c>
      <c r="W6" s="1618"/>
      <c r="X6" s="1619"/>
      <c r="AB6" s="1080"/>
    </row>
    <row r="7" spans="1:29" ht="50.4" customHeight="1" thickBot="1">
      <c r="A7" s="1599"/>
      <c r="B7" s="1568"/>
      <c r="C7" s="1569"/>
      <c r="D7" s="1570"/>
      <c r="E7" s="1599"/>
      <c r="F7" s="1611" t="s">
        <v>1832</v>
      </c>
      <c r="G7" s="1612"/>
      <c r="H7" s="1613" t="s">
        <v>1441</v>
      </c>
      <c r="I7" s="1614"/>
      <c r="J7" s="1613" t="s">
        <v>1833</v>
      </c>
      <c r="K7" s="1614"/>
      <c r="L7" s="1615" t="s">
        <v>1832</v>
      </c>
      <c r="M7" s="1616"/>
      <c r="N7" s="1620" t="s">
        <v>1441</v>
      </c>
      <c r="O7" s="1621"/>
      <c r="P7" s="1620" t="s">
        <v>1833</v>
      </c>
      <c r="Q7" s="1621"/>
      <c r="R7" s="1608"/>
      <c r="S7" s="1609"/>
      <c r="T7" s="1608"/>
      <c r="U7" s="1610"/>
      <c r="V7" s="1622" t="s">
        <v>1847</v>
      </c>
      <c r="W7" s="1623"/>
      <c r="X7" s="1624"/>
      <c r="Y7" s="1178"/>
      <c r="Z7" s="1082"/>
      <c r="AA7" s="1082"/>
      <c r="AB7" s="1082"/>
      <c r="AC7" s="1082"/>
    </row>
    <row r="8" spans="1:29" ht="34.950000000000003" customHeight="1">
      <c r="A8" s="1131">
        <v>1</v>
      </c>
      <c r="B8" s="1564" t="s">
        <v>1133</v>
      </c>
      <c r="C8" s="1564"/>
      <c r="D8" s="1564"/>
      <c r="E8" s="1132" t="s">
        <v>1029</v>
      </c>
      <c r="F8" s="1584">
        <v>7.556</v>
      </c>
      <c r="G8" s="1585"/>
      <c r="H8" s="1682">
        <v>7.556</v>
      </c>
      <c r="I8" s="1683"/>
      <c r="J8" s="1684">
        <f>F8-H8</f>
        <v>0</v>
      </c>
      <c r="K8" s="1685"/>
      <c r="L8" s="1584">
        <v>7.9219999999999997</v>
      </c>
      <c r="M8" s="1585"/>
      <c r="N8" s="1584">
        <v>7.9219999999999997</v>
      </c>
      <c r="O8" s="1585"/>
      <c r="P8" s="1684">
        <f>L8-N8</f>
        <v>0</v>
      </c>
      <c r="Q8" s="1686"/>
      <c r="R8" s="1571">
        <f>F8+L8</f>
        <v>15.478</v>
      </c>
      <c r="S8" s="1572"/>
      <c r="T8" s="1571">
        <f>P8+J8</f>
        <v>0</v>
      </c>
      <c r="U8" s="1573"/>
      <c r="V8" s="1558" t="s">
        <v>1862</v>
      </c>
      <c r="W8" s="1559"/>
      <c r="X8" s="1560"/>
      <c r="Y8" s="1179"/>
      <c r="Z8" s="1082"/>
      <c r="AA8" s="1082"/>
      <c r="AB8" s="1082"/>
      <c r="AC8" s="1082"/>
    </row>
    <row r="9" spans="1:29" ht="34.950000000000003" customHeight="1">
      <c r="A9" s="1126">
        <f>A8+1</f>
        <v>2</v>
      </c>
      <c r="B9" s="1542" t="s">
        <v>1134</v>
      </c>
      <c r="C9" s="1542"/>
      <c r="D9" s="1542"/>
      <c r="E9" s="1127" t="s">
        <v>1029</v>
      </c>
      <c r="F9" s="1579">
        <v>7.556</v>
      </c>
      <c r="G9" s="1580"/>
      <c r="H9" s="1581">
        <v>7.556</v>
      </c>
      <c r="I9" s="1582"/>
      <c r="J9" s="1577">
        <f>F9-H9</f>
        <v>0</v>
      </c>
      <c r="K9" s="1583"/>
      <c r="L9" s="1579">
        <v>7.9219999999999997</v>
      </c>
      <c r="M9" s="1580"/>
      <c r="N9" s="1579">
        <v>7.9219999999999997</v>
      </c>
      <c r="O9" s="1580"/>
      <c r="P9" s="1577">
        <f t="shared" ref="P9:P17" si="0">L9-N9</f>
        <v>0</v>
      </c>
      <c r="Q9" s="1578"/>
      <c r="R9" s="1574">
        <f>F9+L9</f>
        <v>15.478</v>
      </c>
      <c r="S9" s="1575"/>
      <c r="T9" s="1574">
        <f t="shared" ref="T9:T17" si="1">P9+J9</f>
        <v>0</v>
      </c>
      <c r="U9" s="1576"/>
      <c r="V9" s="1561"/>
      <c r="W9" s="1562"/>
      <c r="X9" s="1563"/>
      <c r="Y9" s="1179"/>
      <c r="Z9" s="1082"/>
      <c r="AA9" s="1082"/>
      <c r="AB9" s="1082"/>
      <c r="AC9" s="1082"/>
    </row>
    <row r="10" spans="1:29" ht="34.950000000000003" customHeight="1">
      <c r="A10" s="1126">
        <v>3</v>
      </c>
      <c r="B10" s="1542" t="s">
        <v>1442</v>
      </c>
      <c r="C10" s="1542"/>
      <c r="D10" s="1542"/>
      <c r="E10" s="1127" t="s">
        <v>1029</v>
      </c>
      <c r="F10" s="1579">
        <v>7.556</v>
      </c>
      <c r="G10" s="1580"/>
      <c r="H10" s="1579">
        <v>7.556</v>
      </c>
      <c r="I10" s="1580"/>
      <c r="J10" s="1577">
        <f>F10-H10</f>
        <v>0</v>
      </c>
      <c r="K10" s="1583"/>
      <c r="L10" s="1579">
        <v>7.9219999999999997</v>
      </c>
      <c r="M10" s="1580"/>
      <c r="N10" s="1579">
        <v>7.9219999999999997</v>
      </c>
      <c r="O10" s="1580"/>
      <c r="P10" s="1577">
        <f t="shared" si="0"/>
        <v>0</v>
      </c>
      <c r="Q10" s="1578"/>
      <c r="R10" s="1574">
        <f>F10+L10</f>
        <v>15.478</v>
      </c>
      <c r="S10" s="1575"/>
      <c r="T10" s="1574">
        <f t="shared" si="1"/>
        <v>0</v>
      </c>
      <c r="U10" s="1576"/>
      <c r="V10" s="1213"/>
      <c r="W10" s="1214"/>
      <c r="X10" s="1215"/>
      <c r="Y10" s="1179"/>
      <c r="Z10" s="1082"/>
      <c r="AA10" s="1082"/>
      <c r="AB10" s="1082"/>
      <c r="AC10" s="1082"/>
    </row>
    <row r="11" spans="1:29" ht="34.950000000000003" customHeight="1" thickBot="1">
      <c r="A11" s="1126">
        <v>4</v>
      </c>
      <c r="B11" s="1542" t="s">
        <v>1135</v>
      </c>
      <c r="C11" s="1542"/>
      <c r="D11" s="1542"/>
      <c r="E11" s="1128" t="s">
        <v>1136</v>
      </c>
      <c r="F11" s="1577">
        <v>11</v>
      </c>
      <c r="G11" s="1583"/>
      <c r="H11" s="1578">
        <v>11</v>
      </c>
      <c r="I11" s="1583"/>
      <c r="J11" s="1577">
        <f>F11-H11</f>
        <v>0</v>
      </c>
      <c r="K11" s="1583"/>
      <c r="L11" s="1577">
        <v>15</v>
      </c>
      <c r="M11" s="1583"/>
      <c r="N11" s="1577">
        <v>15</v>
      </c>
      <c r="O11" s="1578"/>
      <c r="P11" s="1577">
        <f t="shared" si="0"/>
        <v>0</v>
      </c>
      <c r="Q11" s="1578"/>
      <c r="R11" s="1574">
        <v>26</v>
      </c>
      <c r="S11" s="1575"/>
      <c r="T11" s="1574">
        <f t="shared" ref="T11" si="2">P11+J11</f>
        <v>0</v>
      </c>
      <c r="U11" s="1576"/>
      <c r="V11" s="1216"/>
      <c r="W11" s="1217"/>
      <c r="X11" s="1218"/>
      <c r="Y11" s="1179"/>
      <c r="Z11" s="1082"/>
      <c r="AA11" s="1082"/>
      <c r="AB11" s="1082"/>
      <c r="AC11" s="1082"/>
    </row>
    <row r="12" spans="1:29" ht="34.950000000000003" customHeight="1" thickBot="1">
      <c r="A12" s="1126">
        <v>5</v>
      </c>
      <c r="B12" s="1542" t="s">
        <v>1834</v>
      </c>
      <c r="C12" s="1542"/>
      <c r="D12" s="1542"/>
      <c r="E12" s="1128" t="s">
        <v>1136</v>
      </c>
      <c r="F12" s="1586">
        <v>20</v>
      </c>
      <c r="G12" s="1587"/>
      <c r="H12" s="1588">
        <v>7</v>
      </c>
      <c r="I12" s="1589"/>
      <c r="J12" s="1577">
        <f t="shared" ref="J12:J17" si="3">F12-H12</f>
        <v>13</v>
      </c>
      <c r="K12" s="1583"/>
      <c r="L12" s="1577">
        <v>23</v>
      </c>
      <c r="M12" s="1583"/>
      <c r="N12" s="1577">
        <v>9</v>
      </c>
      <c r="O12" s="1578"/>
      <c r="P12" s="1577">
        <f t="shared" si="0"/>
        <v>14</v>
      </c>
      <c r="Q12" s="1578"/>
      <c r="R12" s="1574">
        <f t="shared" ref="R12:R17" si="4">F12+L12</f>
        <v>43</v>
      </c>
      <c r="S12" s="1575"/>
      <c r="T12" s="1574">
        <f t="shared" si="1"/>
        <v>27</v>
      </c>
      <c r="U12" s="1576"/>
      <c r="V12" s="1679" t="s">
        <v>1848</v>
      </c>
      <c r="W12" s="1680"/>
      <c r="X12" s="1681"/>
      <c r="Y12" s="1179"/>
      <c r="AA12" s="1082"/>
      <c r="AB12" s="1082"/>
      <c r="AC12" s="1082"/>
    </row>
    <row r="13" spans="1:29" ht="34.950000000000003" customHeight="1">
      <c r="A13" s="1126">
        <v>6</v>
      </c>
      <c r="B13" s="1542" t="s">
        <v>1835</v>
      </c>
      <c r="C13" s="1542"/>
      <c r="D13" s="1542"/>
      <c r="E13" s="1128" t="s">
        <v>1136</v>
      </c>
      <c r="F13" s="1586">
        <v>20</v>
      </c>
      <c r="G13" s="1587"/>
      <c r="H13" s="1588">
        <v>1</v>
      </c>
      <c r="I13" s="1589"/>
      <c r="J13" s="1577">
        <f t="shared" si="3"/>
        <v>19</v>
      </c>
      <c r="K13" s="1583"/>
      <c r="L13" s="1577">
        <v>23</v>
      </c>
      <c r="M13" s="1583"/>
      <c r="N13" s="1577">
        <v>2</v>
      </c>
      <c r="O13" s="1578"/>
      <c r="P13" s="1577">
        <f t="shared" si="0"/>
        <v>21</v>
      </c>
      <c r="Q13" s="1578"/>
      <c r="R13" s="1574">
        <f t="shared" si="4"/>
        <v>43</v>
      </c>
      <c r="S13" s="1575"/>
      <c r="T13" s="1574">
        <f t="shared" si="1"/>
        <v>40</v>
      </c>
      <c r="U13" s="1576"/>
      <c r="V13" s="1543" t="s">
        <v>1859</v>
      </c>
      <c r="W13" s="1544"/>
      <c r="X13" s="1545"/>
      <c r="Y13" s="1179"/>
      <c r="Z13" s="1081"/>
      <c r="AA13" s="1082"/>
      <c r="AB13" s="1082"/>
      <c r="AC13" s="1082"/>
    </row>
    <row r="14" spans="1:29" ht="34.950000000000003" customHeight="1">
      <c r="A14" s="1126">
        <v>7</v>
      </c>
      <c r="B14" s="1542" t="s">
        <v>1836</v>
      </c>
      <c r="C14" s="1542"/>
      <c r="D14" s="1542"/>
      <c r="E14" s="1128" t="s">
        <v>1136</v>
      </c>
      <c r="F14" s="1586">
        <v>20</v>
      </c>
      <c r="G14" s="1587"/>
      <c r="H14" s="1588"/>
      <c r="I14" s="1589"/>
      <c r="J14" s="1577">
        <f t="shared" si="3"/>
        <v>20</v>
      </c>
      <c r="K14" s="1583"/>
      <c r="L14" s="1577">
        <v>23</v>
      </c>
      <c r="M14" s="1583"/>
      <c r="N14" s="1577"/>
      <c r="O14" s="1578"/>
      <c r="P14" s="1577">
        <f t="shared" si="0"/>
        <v>23</v>
      </c>
      <c r="Q14" s="1578"/>
      <c r="R14" s="1574">
        <f t="shared" si="4"/>
        <v>43</v>
      </c>
      <c r="S14" s="1575"/>
      <c r="T14" s="1574">
        <f t="shared" si="1"/>
        <v>43</v>
      </c>
      <c r="U14" s="1576"/>
      <c r="V14" s="1546"/>
      <c r="W14" s="1547"/>
      <c r="X14" s="1548"/>
      <c r="Y14" s="1179"/>
      <c r="Z14" s="1081"/>
      <c r="AA14" s="1082"/>
      <c r="AB14" s="1082"/>
      <c r="AC14" s="1082"/>
    </row>
    <row r="15" spans="1:29" ht="34.950000000000003" customHeight="1">
      <c r="A15" s="1126">
        <v>8</v>
      </c>
      <c r="B15" s="1542" t="s">
        <v>481</v>
      </c>
      <c r="C15" s="1542"/>
      <c r="D15" s="1542"/>
      <c r="E15" s="1128" t="s">
        <v>1138</v>
      </c>
      <c r="F15" s="1586">
        <v>20</v>
      </c>
      <c r="G15" s="1587"/>
      <c r="H15" s="1588"/>
      <c r="I15" s="1589"/>
      <c r="J15" s="1577">
        <f t="shared" si="3"/>
        <v>20</v>
      </c>
      <c r="K15" s="1583"/>
      <c r="L15" s="1577">
        <v>23</v>
      </c>
      <c r="M15" s="1583"/>
      <c r="N15" s="1577"/>
      <c r="O15" s="1578"/>
      <c r="P15" s="1577">
        <f t="shared" si="0"/>
        <v>23</v>
      </c>
      <c r="Q15" s="1578"/>
      <c r="R15" s="1574">
        <f t="shared" si="4"/>
        <v>43</v>
      </c>
      <c r="S15" s="1575"/>
      <c r="T15" s="1574">
        <f t="shared" si="1"/>
        <v>43</v>
      </c>
      <c r="U15" s="1576"/>
      <c r="V15" s="1549"/>
      <c r="W15" s="1550"/>
      <c r="X15" s="1551"/>
      <c r="Y15" s="1179"/>
      <c r="Z15" s="1082"/>
      <c r="AA15" s="1081"/>
      <c r="AC15" s="1082"/>
    </row>
    <row r="16" spans="1:29" ht="34.950000000000003" customHeight="1">
      <c r="A16" s="1126">
        <v>9</v>
      </c>
      <c r="B16" s="1542" t="s">
        <v>1837</v>
      </c>
      <c r="C16" s="1542"/>
      <c r="D16" s="1542"/>
      <c r="E16" s="1128" t="s">
        <v>1029</v>
      </c>
      <c r="F16" s="1579">
        <v>7.556</v>
      </c>
      <c r="G16" s="1580"/>
      <c r="H16" s="1579"/>
      <c r="I16" s="1580"/>
      <c r="J16" s="1577">
        <f t="shared" si="3"/>
        <v>7.556</v>
      </c>
      <c r="K16" s="1583"/>
      <c r="L16" s="1646">
        <v>7.9219999999999997</v>
      </c>
      <c r="M16" s="1646"/>
      <c r="N16" s="1646"/>
      <c r="O16" s="1646"/>
      <c r="P16" s="1577">
        <f t="shared" si="0"/>
        <v>7.9219999999999997</v>
      </c>
      <c r="Q16" s="1578"/>
      <c r="R16" s="1574">
        <f t="shared" si="4"/>
        <v>15.478</v>
      </c>
      <c r="S16" s="1575"/>
      <c r="T16" s="1574">
        <f t="shared" si="1"/>
        <v>15.478</v>
      </c>
      <c r="U16" s="1576"/>
      <c r="V16" s="1552" t="s">
        <v>1860</v>
      </c>
      <c r="W16" s="1553"/>
      <c r="X16" s="1554"/>
      <c r="Y16" s="1179"/>
      <c r="Z16" s="1082"/>
      <c r="AA16" s="1081"/>
      <c r="AC16" s="1082"/>
    </row>
    <row r="17" spans="1:38" ht="34.799999999999997" customHeight="1" thickBot="1">
      <c r="A17" s="1129">
        <f>A16+1</f>
        <v>10</v>
      </c>
      <c r="B17" s="1667" t="s">
        <v>1838</v>
      </c>
      <c r="C17" s="1667"/>
      <c r="D17" s="1667"/>
      <c r="E17" s="1130" t="s">
        <v>1029</v>
      </c>
      <c r="F17" s="1668">
        <v>7.556</v>
      </c>
      <c r="G17" s="1669"/>
      <c r="H17" s="1668"/>
      <c r="I17" s="1669"/>
      <c r="J17" s="1640">
        <f t="shared" si="3"/>
        <v>7.556</v>
      </c>
      <c r="K17" s="1672"/>
      <c r="L17" s="1673">
        <v>7.9219999999999997</v>
      </c>
      <c r="M17" s="1673"/>
      <c r="N17" s="1673"/>
      <c r="O17" s="1673"/>
      <c r="P17" s="1640">
        <f t="shared" si="0"/>
        <v>7.9219999999999997</v>
      </c>
      <c r="Q17" s="1641"/>
      <c r="R17" s="1642">
        <f t="shared" si="4"/>
        <v>15.478</v>
      </c>
      <c r="S17" s="1643"/>
      <c r="T17" s="1642">
        <f t="shared" si="1"/>
        <v>15.478</v>
      </c>
      <c r="U17" s="1644"/>
      <c r="V17" s="1555"/>
      <c r="W17" s="1556"/>
      <c r="X17" s="1557"/>
      <c r="Y17" s="1179"/>
      <c r="Z17" s="1084"/>
      <c r="AA17" s="1082"/>
      <c r="AB17" s="1082"/>
      <c r="AC17" s="1082"/>
    </row>
    <row r="18" spans="1:38" ht="11.4" customHeight="1" thickBot="1">
      <c r="A18" s="1658"/>
      <c r="B18" s="1659"/>
      <c r="C18" s="1157"/>
      <c r="D18" s="1158"/>
      <c r="E18" s="1158"/>
      <c r="F18" s="1158"/>
    </row>
    <row r="19" spans="1:38" ht="30" customHeight="1" thickBot="1">
      <c r="A19" s="1660" t="s">
        <v>1807</v>
      </c>
      <c r="B19" s="1661"/>
      <c r="C19" s="1661"/>
      <c r="D19" s="1661"/>
      <c r="E19" s="1662"/>
      <c r="F19" s="1158"/>
    </row>
    <row r="20" spans="1:38" ht="35.4" customHeight="1">
      <c r="A20" s="1663" t="s">
        <v>1808</v>
      </c>
      <c r="B20" s="1664"/>
      <c r="C20" s="1091" t="s">
        <v>466</v>
      </c>
      <c r="D20" s="1091"/>
      <c r="E20" s="1091" t="s">
        <v>1252</v>
      </c>
      <c r="F20" s="1091"/>
      <c r="G20" s="1091" t="s">
        <v>1809</v>
      </c>
      <c r="H20" s="1092"/>
      <c r="I20" s="1093" t="s">
        <v>77</v>
      </c>
      <c r="J20" s="1091"/>
      <c r="K20" s="1091" t="s">
        <v>1845</v>
      </c>
      <c r="L20" s="1091"/>
      <c r="M20" s="1093" t="s">
        <v>1810</v>
      </c>
      <c r="N20" s="1091"/>
      <c r="O20" s="1093" t="s">
        <v>1844</v>
      </c>
      <c r="P20" s="1091"/>
      <c r="Q20" s="1094" t="s">
        <v>79</v>
      </c>
      <c r="R20" s="1092"/>
      <c r="S20" s="1094" t="s">
        <v>497</v>
      </c>
      <c r="T20" s="1091"/>
      <c r="U20" s="1094" t="s">
        <v>1150</v>
      </c>
      <c r="V20" s="1091"/>
      <c r="W20" s="1094" t="s">
        <v>1151</v>
      </c>
      <c r="X20" s="1091"/>
      <c r="AA20" s="1095"/>
      <c r="AB20" s="1096"/>
      <c r="AC20" s="1095"/>
    </row>
    <row r="21" spans="1:38" ht="33">
      <c r="A21" s="1097"/>
      <c r="B21" s="1149"/>
      <c r="C21" s="1150"/>
      <c r="D21" s="1149"/>
      <c r="E21" s="1159"/>
      <c r="F21" s="1159"/>
      <c r="G21" s="1159"/>
      <c r="H21" s="1149"/>
      <c r="I21" s="1159"/>
      <c r="J21" s="1149"/>
      <c r="K21" s="1159"/>
      <c r="L21" s="1149"/>
      <c r="M21" s="1159"/>
      <c r="N21" s="1159"/>
      <c r="O21" s="1159"/>
      <c r="P21" s="1149"/>
      <c r="Q21" s="1159"/>
      <c r="R21" s="1149"/>
      <c r="S21" s="1159"/>
      <c r="T21" s="1149"/>
      <c r="U21" s="1159"/>
      <c r="V21" s="1149"/>
      <c r="W21" s="1159"/>
      <c r="X21" s="1149"/>
      <c r="AA21" s="1095"/>
      <c r="AB21" s="1096"/>
      <c r="AC21" s="1095"/>
    </row>
    <row r="22" spans="1:38" ht="33.6" thickBot="1">
      <c r="A22" s="1097"/>
      <c r="B22" s="1149">
        <v>200</v>
      </c>
      <c r="C22" s="1098"/>
      <c r="D22" s="1149">
        <v>132</v>
      </c>
      <c r="E22" s="1159"/>
      <c r="F22" s="1159">
        <v>358</v>
      </c>
      <c r="G22" s="1159"/>
      <c r="H22" s="1149">
        <v>344</v>
      </c>
      <c r="I22" s="1159"/>
      <c r="J22" s="1149">
        <v>398</v>
      </c>
      <c r="K22" s="1159"/>
      <c r="L22" s="1149">
        <v>420</v>
      </c>
      <c r="M22" s="1159"/>
      <c r="N22" s="1159">
        <v>421</v>
      </c>
      <c r="O22" s="1159"/>
      <c r="P22" s="1149">
        <v>418</v>
      </c>
      <c r="Q22" s="1159"/>
      <c r="R22" s="1149">
        <v>407</v>
      </c>
      <c r="S22" s="1159"/>
      <c r="T22" s="1149">
        <v>415</v>
      </c>
      <c r="U22" s="1159"/>
      <c r="V22" s="1149">
        <v>410</v>
      </c>
      <c r="W22" s="1159"/>
      <c r="X22" s="1149">
        <v>397</v>
      </c>
      <c r="AA22" s="1095"/>
      <c r="AB22" s="1096"/>
      <c r="AC22" s="1095"/>
    </row>
    <row r="23" spans="1:38" ht="61.2" customHeight="1" thickBot="1">
      <c r="A23" s="1099"/>
      <c r="B23" s="1149"/>
      <c r="C23" s="1139"/>
      <c r="D23" s="1149"/>
      <c r="E23" s="1100"/>
      <c r="F23" s="1159"/>
      <c r="G23" s="1101"/>
      <c r="H23" s="1149"/>
      <c r="I23" s="1101"/>
      <c r="J23" s="1149"/>
      <c r="K23" s="1101"/>
      <c r="L23" s="1149"/>
      <c r="M23" s="1101"/>
      <c r="N23" s="1159"/>
      <c r="O23" s="1101"/>
      <c r="P23" s="1149"/>
      <c r="Q23" s="1101"/>
      <c r="R23" s="1149"/>
      <c r="S23" s="1101"/>
      <c r="T23" s="1149"/>
      <c r="U23" s="1101"/>
      <c r="V23" s="1149"/>
      <c r="W23" s="1137"/>
      <c r="X23" s="1149"/>
      <c r="AA23" s="1095"/>
      <c r="AB23" s="1096"/>
      <c r="AC23" s="1095"/>
      <c r="AL23" s="1087" t="s">
        <v>1700</v>
      </c>
    </row>
    <row r="24" spans="1:38" ht="16.8" customHeight="1" thickBot="1">
      <c r="A24" s="1099"/>
      <c r="B24" s="1149"/>
      <c r="C24" s="1102"/>
      <c r="D24" s="1149"/>
      <c r="E24" s="1103"/>
      <c r="F24" s="1160"/>
      <c r="G24" s="1103"/>
      <c r="H24" s="1149"/>
      <c r="I24" s="1103"/>
      <c r="J24" s="1149"/>
      <c r="K24" s="1103"/>
      <c r="L24" s="1149"/>
      <c r="M24" s="1103"/>
      <c r="N24" s="1160"/>
      <c r="O24" s="1103"/>
      <c r="P24" s="1149"/>
      <c r="Q24" s="1103"/>
      <c r="R24" s="1149"/>
      <c r="S24" s="1103"/>
      <c r="T24" s="1149"/>
      <c r="U24" s="1103"/>
      <c r="V24" s="1149"/>
      <c r="W24" s="1103"/>
      <c r="X24" s="1149"/>
      <c r="AA24" s="1095"/>
      <c r="AB24" s="1096"/>
      <c r="AC24" s="1095"/>
    </row>
    <row r="25" spans="1:38" ht="35.4" customHeight="1">
      <c r="A25" s="1665" t="s">
        <v>1843</v>
      </c>
      <c r="B25" s="1666"/>
      <c r="C25" s="1161" t="s">
        <v>1811</v>
      </c>
      <c r="E25" s="1210" t="s">
        <v>1811</v>
      </c>
      <c r="F25" s="1162"/>
      <c r="G25" s="1161" t="s">
        <v>1812</v>
      </c>
      <c r="H25" s="1163"/>
      <c r="I25" s="1195" t="s">
        <v>1811</v>
      </c>
      <c r="J25" s="1163"/>
      <c r="K25" s="1195" t="s">
        <v>1813</v>
      </c>
      <c r="L25" s="1164"/>
      <c r="M25" s="1195" t="s">
        <v>1814</v>
      </c>
      <c r="N25" s="1211"/>
      <c r="O25" s="1195" t="s">
        <v>1815</v>
      </c>
      <c r="P25" s="1164"/>
      <c r="Q25" s="1195" t="s">
        <v>1812</v>
      </c>
      <c r="R25" s="1164"/>
      <c r="S25" s="1164" t="s">
        <v>150</v>
      </c>
      <c r="T25" s="1164"/>
      <c r="U25" s="1164" t="s">
        <v>150</v>
      </c>
      <c r="V25" s="1165"/>
      <c r="W25" s="1164" t="s">
        <v>150</v>
      </c>
      <c r="X25" s="1149"/>
      <c r="AA25" s="1095"/>
      <c r="AB25" s="1104"/>
      <c r="AC25" s="1095"/>
    </row>
    <row r="26" spans="1:38" ht="33" hidden="1">
      <c r="A26" s="1097"/>
      <c r="B26" s="1149"/>
      <c r="C26" s="1149"/>
      <c r="D26" s="1149"/>
      <c r="E26" s="1149"/>
      <c r="F26" s="1149"/>
      <c r="G26" s="1149"/>
      <c r="H26" s="1149"/>
      <c r="I26" s="1149"/>
      <c r="J26" s="1149"/>
      <c r="K26" s="1149"/>
      <c r="L26" s="1149"/>
      <c r="M26" s="1149"/>
      <c r="N26" s="1149"/>
      <c r="O26" s="1149"/>
      <c r="P26" s="1149"/>
      <c r="Q26" s="1149"/>
      <c r="R26" s="1149"/>
      <c r="S26" s="1149"/>
      <c r="T26" s="1149"/>
      <c r="U26" s="1149"/>
      <c r="V26" s="1149"/>
      <c r="W26" s="1149"/>
      <c r="X26" s="1149"/>
      <c r="AA26" s="1095"/>
      <c r="AB26" s="1104"/>
      <c r="AC26" s="1095"/>
    </row>
    <row r="27" spans="1:38" ht="33">
      <c r="A27" s="1106" t="s">
        <v>1152</v>
      </c>
      <c r="B27" s="1149"/>
      <c r="C27" s="1166" t="s">
        <v>1153</v>
      </c>
      <c r="D27" s="1149"/>
      <c r="E27" s="1166" t="s">
        <v>1667</v>
      </c>
      <c r="F27" s="1149"/>
      <c r="G27" s="1166" t="s">
        <v>499</v>
      </c>
      <c r="H27" s="1149"/>
      <c r="I27" s="1166" t="s">
        <v>500</v>
      </c>
      <c r="K27" s="1166" t="s">
        <v>81</v>
      </c>
      <c r="L27" s="1167"/>
      <c r="M27" s="1166" t="s">
        <v>1162</v>
      </c>
      <c r="O27" s="1166" t="s">
        <v>1163</v>
      </c>
      <c r="P27" s="1149"/>
      <c r="Q27" s="1149" t="s">
        <v>83</v>
      </c>
      <c r="R27" s="1149"/>
      <c r="S27" s="1149" t="s">
        <v>1450</v>
      </c>
      <c r="T27" s="1149"/>
      <c r="U27" s="1149"/>
      <c r="V27" s="1149"/>
      <c r="W27" s="1149"/>
      <c r="X27" s="1149"/>
      <c r="AA27" s="1095"/>
      <c r="AB27" s="1104"/>
      <c r="AC27" s="1095"/>
    </row>
    <row r="28" spans="1:38" ht="33">
      <c r="A28" s="1107"/>
      <c r="B28" s="1149">
        <v>388</v>
      </c>
      <c r="C28" s="1150"/>
      <c r="D28" s="1149">
        <v>400</v>
      </c>
      <c r="E28" s="1150"/>
      <c r="F28" s="1159">
        <v>365</v>
      </c>
      <c r="G28" s="1150"/>
      <c r="H28" s="1149">
        <v>387</v>
      </c>
      <c r="I28" s="1150"/>
      <c r="J28" s="1149">
        <v>365</v>
      </c>
      <c r="K28" s="1150"/>
      <c r="L28" s="1149">
        <v>374</v>
      </c>
      <c r="M28" s="1150"/>
      <c r="N28" s="1159">
        <v>381</v>
      </c>
      <c r="O28" s="1150"/>
      <c r="P28" s="1149">
        <v>366</v>
      </c>
      <c r="Q28" s="1150"/>
      <c r="R28" s="1149">
        <v>214</v>
      </c>
      <c r="S28" s="1150"/>
      <c r="T28" s="1149"/>
      <c r="U28" s="1150"/>
      <c r="V28" s="1149"/>
      <c r="W28" s="1150"/>
      <c r="X28" s="1149"/>
      <c r="AA28" s="1095"/>
      <c r="AB28" s="1104"/>
      <c r="AC28" s="1095"/>
    </row>
    <row r="29" spans="1:38" ht="33.6" thickBot="1">
      <c r="A29" s="1108"/>
      <c r="B29" s="1149"/>
      <c r="C29" s="1098"/>
      <c r="D29" s="1149"/>
      <c r="E29" s="1098"/>
      <c r="F29" s="1159"/>
      <c r="G29" s="1098"/>
      <c r="H29" s="1149"/>
      <c r="I29" s="1098"/>
      <c r="J29" s="1149"/>
      <c r="K29" s="1098"/>
      <c r="L29" s="1149"/>
      <c r="M29" s="1098"/>
      <c r="N29" s="1159"/>
      <c r="O29" s="1098"/>
      <c r="P29" s="1149"/>
      <c r="Q29" s="1098"/>
      <c r="R29" s="1149"/>
      <c r="S29" s="1098"/>
      <c r="T29" s="1149"/>
      <c r="U29" s="1098"/>
      <c r="V29" s="1149"/>
      <c r="W29" s="1098"/>
      <c r="X29" s="1149"/>
      <c r="AA29" s="1095"/>
      <c r="AB29" s="1104"/>
      <c r="AC29" s="1095"/>
    </row>
    <row r="30" spans="1:38" ht="58.8" customHeight="1" thickBot="1">
      <c r="A30" s="1100"/>
      <c r="B30" s="1149"/>
      <c r="C30" s="1100"/>
      <c r="D30" s="1149"/>
      <c r="E30" s="1100"/>
      <c r="F30" s="1159"/>
      <c r="G30" s="1139"/>
      <c r="H30" s="1149"/>
      <c r="I30" s="1139"/>
      <c r="J30" s="1149"/>
      <c r="K30" s="1139"/>
      <c r="L30" s="1149"/>
      <c r="M30" s="1139"/>
      <c r="N30" s="1159"/>
      <c r="O30" s="1139"/>
      <c r="P30" s="1149"/>
      <c r="Q30" s="1139"/>
      <c r="R30" s="1149"/>
      <c r="S30" s="1100"/>
      <c r="T30" s="1149"/>
      <c r="U30" s="1109"/>
      <c r="V30" s="1149"/>
      <c r="W30" s="1109"/>
      <c r="X30" s="1149"/>
      <c r="AA30" s="1095"/>
      <c r="AB30" s="1104"/>
      <c r="AC30" s="1095"/>
    </row>
    <row r="31" spans="1:38" ht="18" customHeight="1" thickBot="1">
      <c r="A31" s="1102"/>
      <c r="B31" s="1149"/>
      <c r="C31" s="1102"/>
      <c r="D31" s="1149"/>
      <c r="E31" s="1102"/>
      <c r="F31" s="1160"/>
      <c r="G31" s="1102"/>
      <c r="H31" s="1149"/>
      <c r="I31" s="1102"/>
      <c r="J31" s="1149"/>
      <c r="K31" s="1102"/>
      <c r="L31" s="1149"/>
      <c r="M31" s="1102"/>
      <c r="N31" s="1160"/>
      <c r="O31" s="1102"/>
      <c r="P31" s="1149"/>
      <c r="Q31" s="1102"/>
      <c r="R31" s="1149"/>
      <c r="S31" s="1102"/>
      <c r="T31" s="1149"/>
      <c r="U31" s="1170"/>
      <c r="V31" s="1149"/>
      <c r="W31" s="1150"/>
      <c r="X31" s="1149"/>
      <c r="AA31" s="1095"/>
      <c r="AB31" s="1104"/>
      <c r="AC31" s="1095"/>
    </row>
    <row r="32" spans="1:38" ht="33" customHeight="1">
      <c r="A32" s="1110" t="s">
        <v>147</v>
      </c>
      <c r="B32" s="1151"/>
      <c r="C32" s="1096" t="s">
        <v>147</v>
      </c>
      <c r="D32" s="1197">
        <v>2029</v>
      </c>
      <c r="E32" s="1194" t="s">
        <v>1816</v>
      </c>
      <c r="F32" s="1151"/>
      <c r="G32" s="1096" t="s">
        <v>147</v>
      </c>
      <c r="H32" s="1151"/>
      <c r="I32" s="1096" t="s">
        <v>147</v>
      </c>
      <c r="J32" s="1197">
        <v>1117</v>
      </c>
      <c r="K32" s="1168" t="s">
        <v>1812</v>
      </c>
      <c r="L32" s="1169"/>
      <c r="M32" s="1096" t="s">
        <v>147</v>
      </c>
      <c r="N32" s="1151"/>
      <c r="O32" s="1096" t="s">
        <v>147</v>
      </c>
      <c r="P32" s="1197">
        <v>1121</v>
      </c>
      <c r="Q32" s="1647" t="s">
        <v>1817</v>
      </c>
      <c r="R32" s="1647"/>
      <c r="S32" s="1151"/>
      <c r="T32" s="1151"/>
      <c r="U32" s="1151"/>
      <c r="V32" s="1151"/>
      <c r="W32" s="1151"/>
      <c r="X32" s="1177"/>
      <c r="AA32" s="1095"/>
      <c r="AB32" s="1104"/>
      <c r="AC32" s="1095"/>
    </row>
    <row r="33" spans="1:29" s="1090" customFormat="1" ht="12" customHeight="1" thickBot="1">
      <c r="A33" s="1111"/>
      <c r="B33" s="1151"/>
      <c r="C33" s="1170"/>
      <c r="D33" s="1171"/>
      <c r="E33" s="1125"/>
      <c r="F33" s="1151"/>
      <c r="G33" s="1151"/>
      <c r="H33" s="1151"/>
      <c r="I33" s="1151"/>
      <c r="J33" s="1151"/>
      <c r="K33" s="1112"/>
      <c r="L33" s="1112"/>
      <c r="M33" s="1170"/>
      <c r="N33" s="1151"/>
      <c r="O33" s="1170"/>
      <c r="P33" s="1151"/>
      <c r="Q33" s="1648"/>
      <c r="R33" s="1648"/>
      <c r="S33" s="1151"/>
      <c r="T33" s="1151"/>
      <c r="U33" s="1151"/>
      <c r="V33" s="1151"/>
      <c r="W33" s="1151"/>
      <c r="X33" s="1171"/>
      <c r="AA33" s="1113"/>
      <c r="AB33" s="1104"/>
      <c r="AC33" s="1113"/>
    </row>
    <row r="34" spans="1:29" ht="18" customHeight="1" thickBot="1">
      <c r="A34" s="1649"/>
      <c r="B34" s="1650"/>
      <c r="C34" s="1650"/>
      <c r="D34" s="1650"/>
      <c r="E34" s="1651"/>
      <c r="F34" s="1650"/>
      <c r="G34" s="1650"/>
      <c r="H34" s="1650"/>
      <c r="I34" s="1650"/>
      <c r="J34" s="1650"/>
      <c r="K34" s="1650"/>
      <c r="L34" s="1650"/>
      <c r="M34" s="1650"/>
      <c r="N34" s="1650"/>
      <c r="O34" s="1650"/>
      <c r="P34" s="1650"/>
      <c r="Q34" s="1650"/>
      <c r="R34" s="1650"/>
      <c r="S34" s="1650"/>
      <c r="T34" s="1650"/>
      <c r="U34" s="1650"/>
      <c r="V34" s="1650"/>
      <c r="W34" s="1650"/>
      <c r="X34" s="1652"/>
      <c r="AA34" s="1095"/>
      <c r="AB34" s="1104"/>
      <c r="AC34" s="1095"/>
    </row>
    <row r="35" spans="1:29" ht="28.8" customHeight="1" thickBot="1">
      <c r="A35" s="1653" t="s">
        <v>1818</v>
      </c>
      <c r="B35" s="1654"/>
      <c r="C35" s="1654"/>
      <c r="D35" s="1654"/>
      <c r="E35" s="1655"/>
      <c r="F35" s="1149"/>
      <c r="G35" s="1149"/>
      <c r="H35" s="1149"/>
      <c r="I35" s="1149"/>
      <c r="J35" s="1149"/>
      <c r="K35" s="1149"/>
      <c r="L35" s="1149"/>
      <c r="M35" s="1149"/>
      <c r="N35" s="1149"/>
      <c r="O35" s="1149"/>
      <c r="P35" s="1149"/>
      <c r="Q35" s="1149"/>
      <c r="R35" s="1149"/>
      <c r="S35" s="1149"/>
      <c r="T35" s="1149"/>
      <c r="U35" s="1149"/>
      <c r="V35" s="1149"/>
      <c r="W35" s="1149"/>
      <c r="X35" s="1149"/>
      <c r="AA35" s="1095"/>
      <c r="AB35" s="1104"/>
      <c r="AC35" s="1095"/>
    </row>
    <row r="36" spans="1:29" s="1090" customFormat="1" ht="18.600000000000001" customHeight="1">
      <c r="A36" s="1114"/>
      <c r="B36" s="1172"/>
      <c r="C36" s="1172"/>
      <c r="D36" s="1172"/>
      <c r="E36" s="1172"/>
      <c r="F36" s="1171"/>
      <c r="G36" s="1171"/>
      <c r="H36" s="1171"/>
      <c r="I36" s="1171"/>
      <c r="J36" s="1171"/>
      <c r="K36" s="1171"/>
      <c r="L36" s="1171"/>
      <c r="M36" s="1171"/>
      <c r="N36" s="1171"/>
      <c r="O36" s="1171"/>
      <c r="P36" s="1171"/>
      <c r="Q36" s="1171"/>
      <c r="R36" s="1171"/>
      <c r="S36" s="1171"/>
      <c r="T36" s="1171"/>
      <c r="U36" s="1171"/>
      <c r="V36" s="1171"/>
      <c r="W36" s="1171"/>
      <c r="X36" s="1171"/>
      <c r="AA36" s="1113"/>
      <c r="AB36" s="1104"/>
      <c r="AC36" s="1113"/>
    </row>
    <row r="37" spans="1:29" ht="33">
      <c r="A37" s="1097" t="s">
        <v>1819</v>
      </c>
      <c r="B37" s="1149"/>
      <c r="C37" s="1149" t="s">
        <v>466</v>
      </c>
      <c r="D37" s="1149"/>
      <c r="E37" s="1166" t="s">
        <v>1820</v>
      </c>
      <c r="F37" s="1149"/>
      <c r="G37" s="1166" t="s">
        <v>1821</v>
      </c>
      <c r="H37" s="1149"/>
      <c r="I37" s="1166" t="s">
        <v>1252</v>
      </c>
      <c r="J37" s="1149"/>
      <c r="K37" s="1166" t="s">
        <v>1708</v>
      </c>
      <c r="L37" s="1149"/>
      <c r="M37" s="1166" t="s">
        <v>1822</v>
      </c>
      <c r="N37" s="1149"/>
      <c r="O37" s="1166" t="s">
        <v>1823</v>
      </c>
      <c r="P37" s="1149"/>
      <c r="Q37" s="1166" t="s">
        <v>1824</v>
      </c>
      <c r="R37" s="1149"/>
      <c r="S37" s="1166" t="s">
        <v>1825</v>
      </c>
      <c r="T37" s="1149"/>
      <c r="U37" s="1149" t="s">
        <v>77</v>
      </c>
      <c r="V37" s="1149"/>
      <c r="W37" s="1166" t="s">
        <v>1149</v>
      </c>
      <c r="X37" s="1149"/>
      <c r="AA37" s="1095"/>
      <c r="AB37" s="1104"/>
      <c r="AC37" s="1095"/>
    </row>
    <row r="38" spans="1:29" ht="33">
      <c r="A38" s="1107"/>
      <c r="B38" s="1149">
        <v>143</v>
      </c>
      <c r="C38" s="1150"/>
      <c r="D38" s="1149">
        <v>384</v>
      </c>
      <c r="E38" s="1150"/>
      <c r="F38" s="1159">
        <v>317</v>
      </c>
      <c r="G38" s="1150"/>
      <c r="H38" s="1149">
        <v>297</v>
      </c>
      <c r="I38" s="1150"/>
      <c r="J38" s="1149">
        <v>367</v>
      </c>
      <c r="K38" s="1150"/>
      <c r="L38" s="1149">
        <v>343</v>
      </c>
      <c r="M38" s="1150"/>
      <c r="N38" s="1159">
        <v>299</v>
      </c>
      <c r="O38" s="1150"/>
      <c r="P38" s="1149">
        <v>384</v>
      </c>
      <c r="Q38" s="1150"/>
      <c r="R38" s="1149">
        <v>356</v>
      </c>
      <c r="S38" s="1150"/>
      <c r="T38" s="1149">
        <v>336</v>
      </c>
      <c r="U38" s="1150"/>
      <c r="V38" s="1149">
        <v>416</v>
      </c>
      <c r="W38" s="1150"/>
      <c r="X38" s="1149">
        <v>417</v>
      </c>
      <c r="AA38" s="1095"/>
      <c r="AB38" s="1104"/>
      <c r="AC38" s="1095"/>
    </row>
    <row r="39" spans="1:29" ht="24.6" customHeight="1" thickBot="1">
      <c r="A39" s="1108"/>
      <c r="B39" s="1149"/>
      <c r="C39" s="1098"/>
      <c r="D39" s="1149"/>
      <c r="E39" s="1098"/>
      <c r="F39" s="1159"/>
      <c r="G39" s="1098"/>
      <c r="H39" s="1149"/>
      <c r="I39" s="1098"/>
      <c r="J39" s="1149"/>
      <c r="K39" s="1098"/>
      <c r="L39" s="1149"/>
      <c r="M39" s="1098"/>
      <c r="N39" s="1159"/>
      <c r="O39" s="1098"/>
      <c r="P39" s="1149"/>
      <c r="Q39" s="1098"/>
      <c r="R39" s="1149"/>
      <c r="S39" s="1098"/>
      <c r="T39" s="1149"/>
      <c r="U39" s="1098"/>
      <c r="V39" s="1149"/>
      <c r="W39" s="1098"/>
      <c r="X39" s="1149"/>
      <c r="AA39" s="1095"/>
      <c r="AB39" s="1104"/>
      <c r="AC39" s="1095"/>
    </row>
    <row r="40" spans="1:29" ht="78" customHeight="1" thickBot="1">
      <c r="A40" s="1100"/>
      <c r="B40" s="1149"/>
      <c r="C40" s="1139"/>
      <c r="D40" s="1149"/>
      <c r="E40" s="1139"/>
      <c r="F40" s="1159"/>
      <c r="G40" s="1139"/>
      <c r="H40" s="1149"/>
      <c r="I40" s="1139"/>
      <c r="J40" s="1149"/>
      <c r="K40" s="1139"/>
      <c r="L40" s="1149"/>
      <c r="M40" s="1139"/>
      <c r="N40" s="1159"/>
      <c r="O40" s="1139"/>
      <c r="P40" s="1149"/>
      <c r="Q40" s="1139"/>
      <c r="R40" s="1149"/>
      <c r="S40" s="1139"/>
      <c r="T40" s="1149"/>
      <c r="U40" s="1100"/>
      <c r="V40" s="1149"/>
      <c r="W40" s="1140"/>
      <c r="X40" s="1149"/>
      <c r="AA40" s="1095"/>
      <c r="AB40" s="1104"/>
      <c r="AC40" s="1095"/>
    </row>
    <row r="41" spans="1:29" ht="16.8" customHeight="1" thickBot="1">
      <c r="A41" s="1102"/>
      <c r="B41" s="1149"/>
      <c r="C41" s="1102"/>
      <c r="D41" s="1149"/>
      <c r="E41" s="1102"/>
      <c r="F41" s="1160"/>
      <c r="G41" s="1102"/>
      <c r="H41" s="1149"/>
      <c r="I41" s="1102"/>
      <c r="J41" s="1149"/>
      <c r="K41" s="1102"/>
      <c r="L41" s="1149"/>
      <c r="M41" s="1102"/>
      <c r="N41" s="1160"/>
      <c r="O41" s="1102"/>
      <c r="P41" s="1149"/>
      <c r="Q41" s="1102"/>
      <c r="R41" s="1149"/>
      <c r="S41" s="1102"/>
      <c r="T41" s="1149"/>
      <c r="U41" s="1102"/>
      <c r="V41" s="1149"/>
      <c r="W41" s="1102"/>
      <c r="X41" s="1149"/>
      <c r="AA41" s="1095"/>
      <c r="AB41" s="1104"/>
      <c r="AC41" s="1095"/>
    </row>
    <row r="42" spans="1:29" ht="60">
      <c r="A42" s="1097" t="s">
        <v>1819</v>
      </c>
      <c r="B42" s="1150"/>
      <c r="C42" s="1155" t="s">
        <v>1856</v>
      </c>
      <c r="D42" s="1150"/>
      <c r="E42" s="1104" t="s">
        <v>1827</v>
      </c>
      <c r="F42" s="1151"/>
      <c r="G42" s="1104" t="s">
        <v>1827</v>
      </c>
      <c r="H42" s="1197">
        <v>998</v>
      </c>
      <c r="I42" s="1155" t="s">
        <v>1828</v>
      </c>
      <c r="J42" s="1150"/>
      <c r="K42" s="1104" t="s">
        <v>147</v>
      </c>
      <c r="L42" s="1150"/>
      <c r="M42" s="1104" t="s">
        <v>1827</v>
      </c>
      <c r="N42" s="1150"/>
      <c r="O42" s="1104" t="s">
        <v>147</v>
      </c>
      <c r="P42" s="1150"/>
      <c r="Q42" s="1104" t="s">
        <v>150</v>
      </c>
      <c r="R42" s="1150"/>
      <c r="S42" s="1104" t="s">
        <v>1827</v>
      </c>
      <c r="T42" s="1197">
        <v>2085</v>
      </c>
      <c r="U42" s="1155" t="s">
        <v>1828</v>
      </c>
      <c r="V42" s="1150"/>
      <c r="W42" s="1104" t="s">
        <v>150</v>
      </c>
      <c r="X42" s="1150"/>
      <c r="AA42" s="1095"/>
      <c r="AB42" s="1104"/>
      <c r="AC42" s="1095"/>
    </row>
    <row r="43" spans="1:29" ht="15" customHeight="1" thickBot="1">
      <c r="A43" s="1115"/>
      <c r="B43" s="1116"/>
      <c r="C43" s="1116"/>
      <c r="D43" s="1116"/>
      <c r="E43" s="1116"/>
      <c r="F43" s="1116"/>
      <c r="G43" s="1116"/>
      <c r="H43" s="1116"/>
      <c r="I43" s="1116"/>
      <c r="J43" s="1116"/>
      <c r="K43" s="1116"/>
      <c r="L43" s="1116"/>
      <c r="M43" s="1116"/>
      <c r="N43" s="1116"/>
      <c r="O43" s="1116"/>
      <c r="P43" s="1116"/>
      <c r="Q43" s="1116"/>
      <c r="R43" s="1116"/>
      <c r="S43" s="1116"/>
      <c r="T43" s="1116"/>
      <c r="U43" s="1116"/>
      <c r="V43" s="1116"/>
      <c r="W43" s="1116"/>
      <c r="X43" s="1116"/>
      <c r="AB43" s="1104"/>
    </row>
    <row r="44" spans="1:29" ht="22.2" customHeight="1">
      <c r="A44" s="1097"/>
      <c r="B44" s="1149"/>
      <c r="C44" s="1149"/>
      <c r="D44" s="1149"/>
      <c r="E44" s="1149"/>
      <c r="F44" s="1149"/>
      <c r="G44" s="1149"/>
      <c r="H44" s="1149"/>
      <c r="I44" s="1149"/>
      <c r="J44" s="1149"/>
      <c r="K44" s="1149"/>
      <c r="L44" s="1149"/>
      <c r="M44" s="1149"/>
      <c r="N44" s="1149"/>
      <c r="O44" s="1149"/>
      <c r="P44" s="1149"/>
      <c r="Q44" s="1149"/>
      <c r="R44" s="1149"/>
      <c r="S44" s="1149"/>
      <c r="T44" s="1149"/>
      <c r="U44" s="1149"/>
      <c r="V44" s="1149"/>
      <c r="W44" s="1149"/>
      <c r="X44" s="1149"/>
      <c r="AB44" s="1104"/>
    </row>
    <row r="45" spans="1:29" ht="33">
      <c r="A45" s="1106" t="s">
        <v>488</v>
      </c>
      <c r="B45" s="1149"/>
      <c r="C45" s="1166" t="s">
        <v>489</v>
      </c>
      <c r="D45" s="1149"/>
      <c r="E45" s="1166" t="s">
        <v>490</v>
      </c>
      <c r="F45" s="1149"/>
      <c r="G45" s="1166" t="s">
        <v>491</v>
      </c>
      <c r="H45" s="1149"/>
      <c r="I45" s="1149" t="s">
        <v>79</v>
      </c>
      <c r="J45" s="1149"/>
      <c r="K45" s="1166" t="s">
        <v>497</v>
      </c>
      <c r="L45" s="1149"/>
      <c r="M45" s="1173" t="s">
        <v>1150</v>
      </c>
      <c r="O45" s="1166" t="s">
        <v>1151</v>
      </c>
      <c r="Q45" s="1149" t="s">
        <v>1667</v>
      </c>
      <c r="S45" s="1166" t="s">
        <v>1713</v>
      </c>
      <c r="U45" s="1149" t="s">
        <v>81</v>
      </c>
      <c r="W45" s="1149" t="s">
        <v>83</v>
      </c>
      <c r="X45" s="1149"/>
      <c r="AB45" s="1104"/>
    </row>
    <row r="46" spans="1:29" ht="33">
      <c r="A46" s="1097"/>
      <c r="B46" s="1149"/>
      <c r="C46" s="1149"/>
      <c r="D46" s="1149"/>
      <c r="E46" s="1149"/>
      <c r="F46" s="1149"/>
      <c r="G46" s="1149"/>
      <c r="H46" s="1149"/>
      <c r="I46" s="1149"/>
      <c r="J46" s="1149"/>
      <c r="K46" s="1149"/>
      <c r="L46" s="1149"/>
      <c r="M46" s="1149"/>
      <c r="N46" s="1149"/>
      <c r="O46" s="1149"/>
      <c r="P46" s="1149"/>
      <c r="Q46" s="1149"/>
      <c r="R46" s="1149"/>
      <c r="S46" s="1149"/>
      <c r="T46" s="1149"/>
      <c r="U46" s="1149"/>
      <c r="V46" s="1149"/>
      <c r="W46" s="1149"/>
      <c r="X46" s="1149"/>
      <c r="AB46" s="1104"/>
    </row>
    <row r="47" spans="1:29" ht="33">
      <c r="A47" s="1107"/>
      <c r="B47" s="1149">
        <v>398</v>
      </c>
      <c r="C47" s="1150"/>
      <c r="D47" s="1149">
        <v>417</v>
      </c>
      <c r="E47" s="1150"/>
      <c r="F47" s="1159">
        <v>355</v>
      </c>
      <c r="G47" s="1150"/>
      <c r="H47" s="1149">
        <v>367</v>
      </c>
      <c r="I47" s="1150"/>
      <c r="J47" s="1149">
        <v>362</v>
      </c>
      <c r="K47" s="1150"/>
      <c r="L47" s="1149">
        <v>362</v>
      </c>
      <c r="M47" s="1150"/>
      <c r="N47" s="1159">
        <v>365</v>
      </c>
      <c r="O47" s="1150"/>
      <c r="P47" s="1149">
        <v>319</v>
      </c>
      <c r="Q47" s="1150"/>
      <c r="R47" s="1149">
        <v>368</v>
      </c>
      <c r="S47" s="1150">
        <v>281</v>
      </c>
      <c r="T47" s="1149">
        <v>222</v>
      </c>
      <c r="U47" s="1150">
        <v>137</v>
      </c>
      <c r="V47" s="1149">
        <v>138</v>
      </c>
      <c r="W47" s="1150"/>
      <c r="X47" s="1149">
        <v>192</v>
      </c>
      <c r="AB47" s="1104"/>
    </row>
    <row r="48" spans="1:29" ht="24.6" customHeight="1" thickBot="1">
      <c r="A48" s="1108"/>
      <c r="B48" s="1149"/>
      <c r="C48" s="1098"/>
      <c r="D48" s="1149"/>
      <c r="E48" s="1098"/>
      <c r="F48" s="1159"/>
      <c r="G48" s="1098"/>
      <c r="H48" s="1149"/>
      <c r="I48" s="1098"/>
      <c r="J48" s="1149"/>
      <c r="K48" s="1098"/>
      <c r="L48" s="1149"/>
      <c r="M48" s="1098"/>
      <c r="N48" s="1159"/>
      <c r="O48" s="1098"/>
      <c r="P48" s="1149"/>
      <c r="Q48" s="1098"/>
      <c r="R48" s="1149"/>
      <c r="S48" s="1098"/>
      <c r="T48" s="1149"/>
      <c r="U48" s="1098"/>
      <c r="V48" s="1149"/>
      <c r="W48" s="1098"/>
      <c r="X48" s="1149"/>
      <c r="AB48" s="1104"/>
    </row>
    <row r="49" spans="1:28" ht="70.8" customHeight="1" thickBot="1">
      <c r="A49" s="1117"/>
      <c r="B49" s="1149"/>
      <c r="C49" s="1100"/>
      <c r="D49" s="1149"/>
      <c r="E49" s="1100"/>
      <c r="F49" s="1159"/>
      <c r="G49" s="1100"/>
      <c r="H49" s="1149"/>
      <c r="I49" s="1100"/>
      <c r="J49" s="1149"/>
      <c r="K49" s="1100"/>
      <c r="L49" s="1149"/>
      <c r="M49" s="1100"/>
      <c r="N49" s="1159"/>
      <c r="O49" s="1100"/>
      <c r="P49" s="1149"/>
      <c r="Q49" s="1100"/>
      <c r="R49" s="1149"/>
      <c r="S49" s="1100"/>
      <c r="T49" s="1149"/>
      <c r="U49" s="1100"/>
      <c r="V49" s="1149"/>
      <c r="W49" s="1140"/>
      <c r="X49" s="1149"/>
      <c r="AB49" s="1104"/>
    </row>
    <row r="50" spans="1:28" ht="19.8" customHeight="1" thickBot="1">
      <c r="A50" s="1102"/>
      <c r="B50" s="1149"/>
      <c r="C50" s="1102"/>
      <c r="D50" s="1149"/>
      <c r="E50" s="1102"/>
      <c r="F50" s="1160"/>
      <c r="G50" s="1102"/>
      <c r="H50" s="1149"/>
      <c r="I50" s="1102"/>
      <c r="J50" s="1149"/>
      <c r="K50" s="1102"/>
      <c r="L50" s="1149"/>
      <c r="M50" s="1102"/>
      <c r="N50" s="1160"/>
      <c r="O50" s="1102"/>
      <c r="P50" s="1149"/>
      <c r="Q50" s="1102"/>
      <c r="R50" s="1149"/>
      <c r="S50" s="1102"/>
      <c r="T50" s="1149"/>
      <c r="U50" s="1102"/>
      <c r="V50" s="1149"/>
      <c r="W50" s="1102"/>
      <c r="X50" s="1149"/>
      <c r="AB50" s="1104"/>
    </row>
    <row r="51" spans="1:28" ht="76.8" customHeight="1" thickBot="1">
      <c r="A51" s="1174" t="s">
        <v>147</v>
      </c>
      <c r="B51" s="1153"/>
      <c r="C51" s="1121" t="s">
        <v>150</v>
      </c>
      <c r="D51" s="1125"/>
      <c r="E51" s="1121" t="s">
        <v>147</v>
      </c>
      <c r="F51" s="1125"/>
      <c r="G51" s="1121" t="s">
        <v>1827</v>
      </c>
      <c r="H51" s="1197">
        <v>2370</v>
      </c>
      <c r="I51" s="1154" t="s">
        <v>1811</v>
      </c>
      <c r="J51" s="1105"/>
      <c r="K51" s="1121" t="s">
        <v>147</v>
      </c>
      <c r="L51" s="1125"/>
      <c r="M51" s="1121" t="s">
        <v>147</v>
      </c>
      <c r="N51" s="1125"/>
      <c r="O51" s="1121" t="s">
        <v>147</v>
      </c>
      <c r="P51" s="1197">
        <v>1408</v>
      </c>
      <c r="Q51" s="1154" t="s">
        <v>1812</v>
      </c>
      <c r="R51" s="1125"/>
      <c r="S51" s="1154" t="s">
        <v>1816</v>
      </c>
      <c r="T51" s="1125"/>
      <c r="U51" s="1154" t="s">
        <v>1857</v>
      </c>
      <c r="V51" s="1125"/>
      <c r="W51" s="1154" t="s">
        <v>1811</v>
      </c>
      <c r="X51" s="1116"/>
      <c r="AB51" s="1104"/>
    </row>
    <row r="52" spans="1:28" ht="33.6" thickBot="1">
      <c r="A52" s="1175"/>
      <c r="B52" s="1176"/>
      <c r="C52" s="1104"/>
      <c r="D52" s="1151"/>
      <c r="E52" s="1104"/>
      <c r="F52" s="1151"/>
      <c r="G52" s="1104"/>
      <c r="H52" s="1151"/>
      <c r="I52" s="1152"/>
      <c r="J52" s="1171"/>
      <c r="K52" s="1138"/>
      <c r="L52" s="1147"/>
      <c r="M52" s="1138"/>
      <c r="N52" s="1147"/>
      <c r="O52" s="1138"/>
      <c r="P52" s="1147"/>
      <c r="Q52" s="1148"/>
      <c r="R52" s="1147"/>
      <c r="S52" s="1138"/>
      <c r="T52" s="1147"/>
      <c r="U52" s="1152"/>
      <c r="V52" s="1151"/>
      <c r="W52" s="1152"/>
      <c r="X52" s="1149"/>
      <c r="AB52" s="1104"/>
    </row>
    <row r="53" spans="1:28" ht="33" customHeight="1">
      <c r="A53" s="1656" t="s">
        <v>1829</v>
      </c>
      <c r="B53" s="1657"/>
      <c r="C53" s="1657"/>
      <c r="K53" s="1133"/>
      <c r="L53" s="1645" t="s">
        <v>1128</v>
      </c>
      <c r="M53" s="1645"/>
      <c r="N53" s="1134"/>
      <c r="O53" s="1134"/>
      <c r="P53" s="1645" t="s">
        <v>1839</v>
      </c>
      <c r="Q53" s="1645"/>
      <c r="R53" s="1134"/>
      <c r="S53" s="1135"/>
      <c r="AB53" s="1104"/>
    </row>
    <row r="54" spans="1:28" ht="33">
      <c r="A54" s="1118"/>
      <c r="K54" s="1674"/>
      <c r="L54" s="1639"/>
      <c r="M54" s="1149"/>
      <c r="P54" s="1678"/>
      <c r="Q54" s="1678"/>
      <c r="S54" s="1181"/>
      <c r="T54" s="1180"/>
      <c r="AB54" s="1104"/>
    </row>
    <row r="55" spans="1:28" ht="75" customHeight="1" thickBot="1">
      <c r="A55" s="1118"/>
      <c r="K55" s="1118"/>
      <c r="M55" s="1150"/>
      <c r="S55" s="1088"/>
      <c r="AB55" s="1104"/>
    </row>
    <row r="56" spans="1:28" ht="33.6" hidden="1" customHeight="1" thickBot="1">
      <c r="A56" s="1118"/>
      <c r="K56" s="1118"/>
      <c r="M56" s="1098"/>
      <c r="S56" s="1088"/>
      <c r="AB56" s="1104"/>
    </row>
    <row r="57" spans="1:28" ht="73.8" customHeight="1" thickBot="1">
      <c r="A57" s="1119"/>
      <c r="K57" s="1675" t="s">
        <v>1137</v>
      </c>
      <c r="L57" s="1676"/>
      <c r="M57" s="1140"/>
      <c r="O57" s="1677" t="s">
        <v>1840</v>
      </c>
      <c r="P57" s="1677"/>
      <c r="Q57" s="1146"/>
      <c r="S57" s="1198" t="s">
        <v>481</v>
      </c>
      <c r="AB57" s="1104"/>
    </row>
    <row r="58" spans="1:28" ht="33.6" thickBot="1">
      <c r="A58" s="1119"/>
      <c r="K58" s="1118" t="s">
        <v>1842</v>
      </c>
      <c r="M58" s="1102"/>
      <c r="O58" s="1639" t="s">
        <v>1841</v>
      </c>
      <c r="P58" s="1639"/>
      <c r="Q58" s="1119"/>
      <c r="S58" s="1088" t="s">
        <v>269</v>
      </c>
      <c r="T58" s="1143"/>
      <c r="V58" s="1639"/>
      <c r="W58" s="1639"/>
      <c r="AB58" s="1104"/>
    </row>
    <row r="59" spans="1:28" ht="30.6" customHeight="1" thickBot="1">
      <c r="A59" s="1670" t="s">
        <v>1843</v>
      </c>
      <c r="B59" s="1671"/>
      <c r="C59" s="1120"/>
      <c r="D59" s="1120"/>
      <c r="E59" s="1120"/>
      <c r="F59" s="1120"/>
      <c r="G59" s="1120"/>
      <c r="H59" s="1120"/>
      <c r="I59" s="1120"/>
      <c r="J59" s="1120"/>
      <c r="K59" s="1136"/>
      <c r="L59" s="1120"/>
      <c r="M59" s="1121"/>
      <c r="N59" s="1120"/>
      <c r="O59" s="1120"/>
      <c r="P59" s="1120"/>
      <c r="Q59" s="1144"/>
      <c r="R59" s="1144"/>
      <c r="S59" s="1089"/>
      <c r="T59" s="1120"/>
      <c r="U59" s="1145"/>
      <c r="V59" s="1120"/>
      <c r="W59" s="1120"/>
      <c r="X59" s="1120"/>
      <c r="AB59" s="1104"/>
    </row>
    <row r="60" spans="1:28" ht="30.6" customHeight="1">
      <c r="A60" s="1156"/>
      <c r="B60" s="1156"/>
      <c r="AB60" s="1104"/>
    </row>
    <row r="61" spans="1:28" ht="30">
      <c r="AB61" s="1104"/>
    </row>
    <row r="62" spans="1:28" ht="30">
      <c r="O62" s="1639"/>
      <c r="P62" s="1639"/>
      <c r="Q62" s="1639"/>
      <c r="S62" s="1639"/>
      <c r="T62" s="1639"/>
      <c r="U62" s="1639"/>
      <c r="AB62" s="1104"/>
    </row>
    <row r="63" spans="1:28" ht="30">
      <c r="AB63" s="1104"/>
    </row>
    <row r="64" spans="1:28" ht="30">
      <c r="AB64" s="1104"/>
    </row>
    <row r="65" spans="5:28" ht="30">
      <c r="AB65" s="1104"/>
    </row>
    <row r="66" spans="5:28" ht="30">
      <c r="AB66" s="1104"/>
    </row>
    <row r="67" spans="5:28" ht="30">
      <c r="L67" s="1639"/>
      <c r="M67" s="1639"/>
      <c r="AB67" s="1104"/>
    </row>
    <row r="68" spans="5:28" ht="60.6" customHeight="1">
      <c r="G68" s="1142"/>
      <c r="H68" s="1142"/>
      <c r="K68" s="1141"/>
      <c r="AB68" s="1104"/>
    </row>
    <row r="71" spans="5:28">
      <c r="E71" s="1639"/>
      <c r="F71" s="1639"/>
      <c r="G71" s="1639"/>
      <c r="I71" s="1639"/>
      <c r="J71" s="1639"/>
      <c r="K71" s="1639"/>
    </row>
  </sheetData>
  <mergeCells count="137">
    <mergeCell ref="F11:G11"/>
    <mergeCell ref="N15:O15"/>
    <mergeCell ref="H16:I16"/>
    <mergeCell ref="J11:K11"/>
    <mergeCell ref="L11:M11"/>
    <mergeCell ref="N11:O11"/>
    <mergeCell ref="V12:X12"/>
    <mergeCell ref="P9:Q9"/>
    <mergeCell ref="F8:G8"/>
    <mergeCell ref="H8:I8"/>
    <mergeCell ref="J8:K8"/>
    <mergeCell ref="P8:Q8"/>
    <mergeCell ref="N8:O8"/>
    <mergeCell ref="F12:G12"/>
    <mergeCell ref="H12:I12"/>
    <mergeCell ref="J12:K12"/>
    <mergeCell ref="L12:M12"/>
    <mergeCell ref="N12:O12"/>
    <mergeCell ref="H11:I11"/>
    <mergeCell ref="J10:K10"/>
    <mergeCell ref="L10:M10"/>
    <mergeCell ref="N10:O10"/>
    <mergeCell ref="V58:W58"/>
    <mergeCell ref="O62:Q62"/>
    <mergeCell ref="S62:U62"/>
    <mergeCell ref="L53:M53"/>
    <mergeCell ref="P11:Q11"/>
    <mergeCell ref="R11:S11"/>
    <mergeCell ref="T11:U11"/>
    <mergeCell ref="P12:Q12"/>
    <mergeCell ref="R12:S12"/>
    <mergeCell ref="T12:U12"/>
    <mergeCell ref="K54:L54"/>
    <mergeCell ref="O58:P58"/>
    <mergeCell ref="K57:L57"/>
    <mergeCell ref="O57:P57"/>
    <mergeCell ref="P13:Q13"/>
    <mergeCell ref="R13:S13"/>
    <mergeCell ref="T13:U13"/>
    <mergeCell ref="P15:Q15"/>
    <mergeCell ref="R15:S15"/>
    <mergeCell ref="T15:U15"/>
    <mergeCell ref="P14:Q14"/>
    <mergeCell ref="R14:S14"/>
    <mergeCell ref="T14:U14"/>
    <mergeCell ref="P54:Q54"/>
    <mergeCell ref="H17:I17"/>
    <mergeCell ref="J17:K17"/>
    <mergeCell ref="L17:M17"/>
    <mergeCell ref="N17:O17"/>
    <mergeCell ref="B15:D15"/>
    <mergeCell ref="B16:D16"/>
    <mergeCell ref="F15:G15"/>
    <mergeCell ref="H15:I15"/>
    <mergeCell ref="J15:K15"/>
    <mergeCell ref="L15:M15"/>
    <mergeCell ref="F16:G16"/>
    <mergeCell ref="L67:M67"/>
    <mergeCell ref="I71:K71"/>
    <mergeCell ref="E71:G71"/>
    <mergeCell ref="P17:Q17"/>
    <mergeCell ref="R17:S17"/>
    <mergeCell ref="T17:U17"/>
    <mergeCell ref="P53:Q53"/>
    <mergeCell ref="J16:K16"/>
    <mergeCell ref="L16:M16"/>
    <mergeCell ref="N16:O16"/>
    <mergeCell ref="P16:Q16"/>
    <mergeCell ref="R16:S16"/>
    <mergeCell ref="T16:U16"/>
    <mergeCell ref="Q32:R33"/>
    <mergeCell ref="A34:X34"/>
    <mergeCell ref="A35:E35"/>
    <mergeCell ref="A53:C53"/>
    <mergeCell ref="A18:B18"/>
    <mergeCell ref="A19:E19"/>
    <mergeCell ref="A20:B20"/>
    <mergeCell ref="A25:B25"/>
    <mergeCell ref="B17:D17"/>
    <mergeCell ref="F17:G17"/>
    <mergeCell ref="A59:B59"/>
    <mergeCell ref="A1:X1"/>
    <mergeCell ref="A2:X2"/>
    <mergeCell ref="A3:X3"/>
    <mergeCell ref="A6:A7"/>
    <mergeCell ref="E6:E7"/>
    <mergeCell ref="F6:K6"/>
    <mergeCell ref="L6:Q6"/>
    <mergeCell ref="R6:S7"/>
    <mergeCell ref="T6:U7"/>
    <mergeCell ref="F7:G7"/>
    <mergeCell ref="H7:I7"/>
    <mergeCell ref="J7:K7"/>
    <mergeCell ref="L7:M7"/>
    <mergeCell ref="V6:X6"/>
    <mergeCell ref="N7:O7"/>
    <mergeCell ref="P7:Q7"/>
    <mergeCell ref="V7:X7"/>
    <mergeCell ref="U4:V5"/>
    <mergeCell ref="W4:X5"/>
    <mergeCell ref="A4:T5"/>
    <mergeCell ref="B14:D14"/>
    <mergeCell ref="F13:G13"/>
    <mergeCell ref="H13:I13"/>
    <mergeCell ref="J13:K13"/>
    <mergeCell ref="F14:G14"/>
    <mergeCell ref="H14:I14"/>
    <mergeCell ref="J14:K14"/>
    <mergeCell ref="L14:M14"/>
    <mergeCell ref="N14:O14"/>
    <mergeCell ref="L13:M13"/>
    <mergeCell ref="N13:O13"/>
    <mergeCell ref="B13:D13"/>
    <mergeCell ref="B11:D11"/>
    <mergeCell ref="B12:D12"/>
    <mergeCell ref="B10:D10"/>
    <mergeCell ref="V13:X15"/>
    <mergeCell ref="V16:X17"/>
    <mergeCell ref="V8:X9"/>
    <mergeCell ref="B8:D8"/>
    <mergeCell ref="B9:D9"/>
    <mergeCell ref="B6:D7"/>
    <mergeCell ref="R8:S8"/>
    <mergeCell ref="T8:U8"/>
    <mergeCell ref="R9:S9"/>
    <mergeCell ref="T9:U9"/>
    <mergeCell ref="P10:Q10"/>
    <mergeCell ref="R10:S10"/>
    <mergeCell ref="T10:U10"/>
    <mergeCell ref="F9:G9"/>
    <mergeCell ref="H9:I9"/>
    <mergeCell ref="J9:K9"/>
    <mergeCell ref="L9:M9"/>
    <mergeCell ref="N9:O9"/>
    <mergeCell ref="L8:M8"/>
    <mergeCell ref="F10:G10"/>
    <mergeCell ref="H10:I10"/>
  </mergeCells>
  <conditionalFormatting sqref="U4">
    <cfRule type="containsText" dxfId="0" priority="1" operator="containsText" text="wip">
      <formula>NOT(ISERROR(SEARCH("wip",U4)))</formula>
    </cfRule>
  </conditionalFormatting>
  <pageMargins left="0.4" right="0.2" top="0.38" bottom="0.26" header="0.3" footer="0.22"/>
  <pageSetup paperSize="9" scale="17" fitToHeight="0" orientation="landscape"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21875" defaultRowHeight="13.8"/>
  <cols>
    <col min="1" max="1" width="9.21875" style="10" customWidth="1"/>
    <col min="2" max="2" width="41.77734375" style="10" customWidth="1"/>
    <col min="3" max="3" width="20.5546875" style="10" customWidth="1"/>
    <col min="4" max="4" width="19.77734375" style="10" customWidth="1"/>
    <col min="5" max="5" width="14.21875" style="10" customWidth="1"/>
    <col min="6" max="6" width="13.77734375" style="10" hidden="1" customWidth="1"/>
    <col min="7" max="7" width="9.21875" style="10"/>
    <col min="8" max="8" width="8.77734375" style="10" customWidth="1"/>
    <col min="9" max="9" width="10.77734375" style="10" customWidth="1"/>
    <col min="10" max="10" width="12.77734375" style="10" customWidth="1"/>
    <col min="11" max="13" width="9.77734375" style="10" customWidth="1"/>
    <col min="14" max="14" width="11.5546875" style="10" customWidth="1"/>
    <col min="15" max="16" width="9.77734375" style="10" customWidth="1"/>
    <col min="17" max="17" width="11.5546875" style="10" customWidth="1"/>
    <col min="18" max="20" width="9.77734375" style="10" customWidth="1"/>
    <col min="21" max="21" width="11.5546875" style="10" customWidth="1"/>
    <col min="22" max="25" width="9.77734375" style="10" customWidth="1"/>
    <col min="26" max="26" width="11.44140625" style="10" customWidth="1"/>
    <col min="27" max="27" width="11" style="10" customWidth="1"/>
    <col min="28" max="16384" width="9.21875" style="10"/>
  </cols>
  <sheetData>
    <row r="1" spans="1:27">
      <c r="A1" s="1694" t="s">
        <v>974</v>
      </c>
      <c r="B1" s="1694"/>
      <c r="C1" s="1694"/>
      <c r="D1" s="1694"/>
      <c r="E1" s="1694"/>
      <c r="F1" s="1694"/>
      <c r="G1" s="1694"/>
      <c r="H1" s="1694"/>
      <c r="I1" s="1694"/>
      <c r="J1" s="1694"/>
      <c r="K1" s="1694"/>
      <c r="L1" s="1694"/>
      <c r="M1" s="1694"/>
      <c r="N1" s="1694"/>
      <c r="O1" s="1694"/>
      <c r="P1" s="1694"/>
      <c r="Q1" s="1694"/>
      <c r="R1" s="1694"/>
      <c r="S1" s="1694"/>
      <c r="T1" s="1694"/>
      <c r="U1" s="1694"/>
      <c r="V1" s="1694"/>
      <c r="W1" s="1694"/>
      <c r="X1" s="1694"/>
      <c r="Y1" s="1694"/>
      <c r="Z1" s="1694"/>
      <c r="AA1" s="45"/>
    </row>
    <row r="2" spans="1:27">
      <c r="A2" s="1694" t="s">
        <v>975</v>
      </c>
      <c r="B2" s="1695"/>
      <c r="C2" s="1695"/>
      <c r="D2" s="1695"/>
      <c r="E2" s="1695"/>
      <c r="F2" s="1695"/>
      <c r="G2" s="1695"/>
      <c r="H2" s="1695"/>
      <c r="I2" s="1695"/>
      <c r="J2" s="1695"/>
      <c r="K2" s="1695"/>
      <c r="L2" s="1695"/>
      <c r="M2" s="1695"/>
      <c r="N2" s="1695"/>
      <c r="O2" s="1695"/>
      <c r="P2" s="35"/>
      <c r="Q2" s="35"/>
      <c r="R2" s="35"/>
      <c r="S2" s="35"/>
      <c r="T2" s="35"/>
      <c r="U2" s="35"/>
      <c r="V2" s="35"/>
      <c r="W2" s="35"/>
      <c r="X2" s="35"/>
      <c r="Y2" s="35"/>
      <c r="Z2" s="35"/>
      <c r="AA2" s="45"/>
    </row>
    <row r="3" spans="1:27" ht="45.75" customHeight="1">
      <c r="A3" s="1687" t="s">
        <v>976</v>
      </c>
      <c r="B3" s="1687" t="s">
        <v>977</v>
      </c>
      <c r="C3" s="1687" t="s">
        <v>978</v>
      </c>
      <c r="D3" s="1687" t="s">
        <v>979</v>
      </c>
      <c r="E3" s="1687" t="s">
        <v>980</v>
      </c>
      <c r="F3" s="11" t="s">
        <v>981</v>
      </c>
      <c r="G3" s="1687" t="s">
        <v>982</v>
      </c>
      <c r="H3" s="1689" t="s">
        <v>983</v>
      </c>
      <c r="I3" s="3" t="s">
        <v>984</v>
      </c>
      <c r="J3" s="3" t="s">
        <v>985</v>
      </c>
      <c r="K3" s="3" t="s">
        <v>986</v>
      </c>
      <c r="L3" s="3" t="s">
        <v>987</v>
      </c>
      <c r="M3" s="3" t="s">
        <v>988</v>
      </c>
      <c r="N3" s="3" t="s">
        <v>989</v>
      </c>
      <c r="O3" s="3" t="s">
        <v>990</v>
      </c>
      <c r="P3" s="3" t="s">
        <v>991</v>
      </c>
      <c r="Q3" s="3" t="s">
        <v>992</v>
      </c>
      <c r="R3" s="3" t="s">
        <v>993</v>
      </c>
      <c r="S3" s="3" t="s">
        <v>994</v>
      </c>
      <c r="T3" s="3" t="s">
        <v>995</v>
      </c>
      <c r="U3" s="3" t="s">
        <v>996</v>
      </c>
      <c r="V3" s="3" t="s">
        <v>997</v>
      </c>
      <c r="W3" s="3" t="s">
        <v>998</v>
      </c>
      <c r="X3" s="3" t="s">
        <v>999</v>
      </c>
      <c r="Y3" s="3" t="s">
        <v>1000</v>
      </c>
      <c r="Z3" s="3" t="s">
        <v>1001</v>
      </c>
      <c r="AA3" s="3" t="s">
        <v>1002</v>
      </c>
    </row>
    <row r="4" spans="1:27">
      <c r="A4" s="1690"/>
      <c r="B4" s="1690"/>
      <c r="C4" s="1690"/>
      <c r="D4" s="1693"/>
      <c r="E4" s="1690"/>
      <c r="F4" s="12"/>
      <c r="G4" s="1688"/>
      <c r="H4" s="1690"/>
      <c r="I4" s="373" t="s">
        <v>1003</v>
      </c>
      <c r="J4" s="373" t="s">
        <v>1004</v>
      </c>
      <c r="K4" s="373" t="s">
        <v>1005</v>
      </c>
      <c r="L4" s="373" t="s">
        <v>1006</v>
      </c>
      <c r="M4" s="373" t="s">
        <v>1007</v>
      </c>
      <c r="N4" s="373" t="s">
        <v>1008</v>
      </c>
      <c r="O4" s="373" t="s">
        <v>1009</v>
      </c>
      <c r="P4" s="373" t="s">
        <v>1010</v>
      </c>
      <c r="Q4" s="373" t="s">
        <v>1011</v>
      </c>
      <c r="R4" s="373" t="s">
        <v>1012</v>
      </c>
      <c r="S4" s="373" t="s">
        <v>1013</v>
      </c>
      <c r="T4" s="373" t="s">
        <v>1014</v>
      </c>
      <c r="U4" s="373" t="s">
        <v>1015</v>
      </c>
      <c r="V4" s="373" t="s">
        <v>1016</v>
      </c>
      <c r="W4" s="373" t="s">
        <v>1017</v>
      </c>
      <c r="X4" s="373" t="s">
        <v>1018</v>
      </c>
      <c r="Y4" s="373" t="s">
        <v>1019</v>
      </c>
      <c r="Z4" s="373" t="s">
        <v>1020</v>
      </c>
      <c r="AA4" s="373" t="s">
        <v>1021</v>
      </c>
    </row>
    <row r="5" spans="1:27">
      <c r="A5" s="13">
        <v>1</v>
      </c>
      <c r="B5" s="14" t="s">
        <v>1022</v>
      </c>
      <c r="C5" s="15" t="s">
        <v>1023</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1024</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1025</v>
      </c>
      <c r="C7" s="24" t="s">
        <v>1026</v>
      </c>
      <c r="D7" s="25">
        <f>D5+10</f>
        <v>45642</v>
      </c>
      <c r="E7" s="25">
        <f>D7+30</f>
        <v>45672</v>
      </c>
      <c r="F7" s="17">
        <f>E7-D7</f>
        <v>30</v>
      </c>
      <c r="G7" s="26" t="s">
        <v>1027</v>
      </c>
      <c r="H7" s="7"/>
      <c r="I7" s="7"/>
      <c r="J7" s="7"/>
      <c r="K7" s="7"/>
      <c r="L7" s="9"/>
      <c r="M7" s="7"/>
      <c r="N7" s="7"/>
      <c r="O7" s="7"/>
      <c r="P7" s="7"/>
      <c r="Q7" s="7"/>
      <c r="R7" s="7"/>
      <c r="S7" s="7"/>
      <c r="T7" s="7"/>
      <c r="U7" s="7"/>
      <c r="V7" s="7"/>
      <c r="W7" s="7"/>
      <c r="X7" s="7"/>
      <c r="Y7" s="7"/>
      <c r="Z7" s="7"/>
      <c r="AA7" s="7"/>
    </row>
    <row r="8" spans="1:27">
      <c r="A8" s="17"/>
      <c r="B8" s="27" t="s">
        <v>1028</v>
      </c>
      <c r="C8" s="27" t="s">
        <v>1023</v>
      </c>
      <c r="D8" s="25">
        <v>45662</v>
      </c>
      <c r="E8" s="25">
        <v>45762</v>
      </c>
      <c r="F8" s="17">
        <f>E8-D8</f>
        <v>100</v>
      </c>
      <c r="G8" s="28" t="s">
        <v>1029</v>
      </c>
      <c r="H8" s="18">
        <v>184</v>
      </c>
      <c r="I8" s="5"/>
      <c r="J8" s="6">
        <v>20</v>
      </c>
      <c r="K8" s="7">
        <v>60</v>
      </c>
      <c r="L8" s="7">
        <v>60</v>
      </c>
      <c r="M8" s="7">
        <f>60-16</f>
        <v>44</v>
      </c>
      <c r="N8" s="7"/>
      <c r="O8" s="7"/>
      <c r="P8" s="7"/>
      <c r="Q8" s="7"/>
      <c r="R8" s="7"/>
      <c r="S8" s="7"/>
      <c r="T8" s="7"/>
      <c r="U8" s="7"/>
      <c r="V8" s="7"/>
      <c r="W8" s="7"/>
      <c r="X8" s="7"/>
      <c r="Y8" s="7"/>
      <c r="Z8" s="7"/>
      <c r="AA8" s="7"/>
    </row>
    <row r="9" spans="1:27" ht="31.05" customHeight="1">
      <c r="A9" s="17" t="s">
        <v>1030</v>
      </c>
      <c r="B9" s="29" t="s">
        <v>1031</v>
      </c>
      <c r="C9" s="27" t="s">
        <v>1032</v>
      </c>
      <c r="D9" s="16" t="s">
        <v>1033</v>
      </c>
      <c r="E9" s="16" t="s">
        <v>1034</v>
      </c>
      <c r="F9" s="17" t="e">
        <f>E9-D9</f>
        <v>#VALUE!</v>
      </c>
      <c r="G9" s="28" t="s">
        <v>1035</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1036</v>
      </c>
      <c r="B10" s="24" t="s">
        <v>1037</v>
      </c>
      <c r="C10" s="24" t="s">
        <v>1026</v>
      </c>
      <c r="D10" s="16">
        <v>45664</v>
      </c>
      <c r="E10" s="16">
        <f>D10+364+20</f>
        <v>46048</v>
      </c>
      <c r="F10" s="17">
        <f>E10-D10</f>
        <v>384</v>
      </c>
      <c r="G10" s="28" t="s">
        <v>1035</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578"/>
      <c r="B11" s="579"/>
      <c r="C11" s="579"/>
      <c r="D11" s="580"/>
      <c r="E11" s="580"/>
      <c r="F11" s="581"/>
      <c r="G11" s="582"/>
      <c r="H11" s="583"/>
      <c r="I11" s="584"/>
      <c r="J11" s="585"/>
      <c r="K11" s="585"/>
      <c r="L11" s="585"/>
      <c r="M11" s="585"/>
      <c r="N11" s="585"/>
      <c r="O11" s="586"/>
      <c r="P11" s="586"/>
      <c r="Q11" s="586"/>
      <c r="R11" s="586"/>
      <c r="S11" s="586"/>
      <c r="T11" s="586"/>
      <c r="U11" s="586"/>
      <c r="V11" s="586"/>
      <c r="W11" s="586"/>
      <c r="X11" s="586"/>
      <c r="Y11" s="586"/>
      <c r="Z11" s="586"/>
      <c r="AA11" s="586"/>
    </row>
    <row r="12" spans="1:27" ht="33" customHeight="1">
      <c r="A12" s="578"/>
      <c r="B12" s="579"/>
      <c r="C12" s="579"/>
      <c r="D12" s="580"/>
      <c r="E12" s="580"/>
      <c r="F12" s="581"/>
      <c r="G12" s="582"/>
      <c r="H12" s="583"/>
      <c r="I12" s="584"/>
      <c r="J12" s="585"/>
      <c r="K12" s="585"/>
      <c r="L12" s="585"/>
      <c r="M12" s="585"/>
      <c r="N12" s="585"/>
      <c r="O12" s="586"/>
      <c r="P12" s="586"/>
      <c r="Q12" s="586"/>
      <c r="R12" s="586"/>
      <c r="S12" s="586"/>
      <c r="T12" s="586"/>
      <c r="U12" s="586"/>
      <c r="V12" s="586"/>
      <c r="W12" s="586"/>
      <c r="X12" s="586"/>
      <c r="Y12" s="586"/>
      <c r="Z12" s="586"/>
      <c r="AA12" s="586"/>
    </row>
    <row r="13" spans="1:27" ht="33" customHeight="1">
      <c r="A13" s="578"/>
      <c r="B13" s="579"/>
      <c r="C13" s="579"/>
      <c r="D13" s="580"/>
      <c r="E13" s="580"/>
      <c r="F13" s="581"/>
      <c r="G13" s="582"/>
      <c r="H13" s="583"/>
      <c r="I13" s="584"/>
      <c r="J13" s="585"/>
      <c r="K13" s="585"/>
      <c r="L13" s="585"/>
      <c r="M13" s="585"/>
      <c r="N13" s="585"/>
      <c r="O13" s="586"/>
      <c r="P13" s="586"/>
      <c r="Q13" s="586"/>
      <c r="R13" s="586"/>
      <c r="S13" s="586"/>
      <c r="T13" s="586"/>
      <c r="U13" s="586"/>
      <c r="V13" s="586"/>
      <c r="W13" s="586"/>
      <c r="X13" s="586"/>
      <c r="Y13" s="586"/>
      <c r="Z13" s="586"/>
      <c r="AA13" s="586"/>
    </row>
    <row r="14" spans="1:27">
      <c r="A14" s="1691" t="s">
        <v>1038</v>
      </c>
      <c r="B14" s="30" t="s">
        <v>1039</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1692"/>
      <c r="B15" s="33" t="s">
        <v>1040</v>
      </c>
    </row>
    <row r="16" spans="1:27">
      <c r="A16" s="1692"/>
      <c r="B16" s="33" t="s">
        <v>1041</v>
      </c>
    </row>
    <row r="17" spans="1:27">
      <c r="A17" s="34" t="s">
        <v>1042</v>
      </c>
    </row>
    <row r="18" spans="1:27" ht="45.75" customHeight="1">
      <c r="A18" s="1687" t="s">
        <v>976</v>
      </c>
      <c r="B18" s="1687" t="s">
        <v>977</v>
      </c>
      <c r="C18" s="1687" t="s">
        <v>978</v>
      </c>
      <c r="D18" s="1687" t="s">
        <v>979</v>
      </c>
      <c r="E18" s="1687" t="s">
        <v>980</v>
      </c>
      <c r="F18" s="11" t="s">
        <v>981</v>
      </c>
      <c r="G18" s="1687" t="s">
        <v>982</v>
      </c>
      <c r="H18" s="1689" t="s">
        <v>983</v>
      </c>
      <c r="I18" s="3" t="s">
        <v>984</v>
      </c>
      <c r="J18" s="3" t="s">
        <v>985</v>
      </c>
      <c r="K18" s="3" t="s">
        <v>986</v>
      </c>
      <c r="L18" s="3" t="s">
        <v>987</v>
      </c>
      <c r="M18" s="3" t="s">
        <v>988</v>
      </c>
      <c r="N18" s="3" t="s">
        <v>989</v>
      </c>
      <c r="O18" s="3" t="s">
        <v>990</v>
      </c>
      <c r="P18" s="3" t="s">
        <v>991</v>
      </c>
      <c r="Q18" s="3" t="s">
        <v>992</v>
      </c>
      <c r="R18" s="3" t="s">
        <v>993</v>
      </c>
      <c r="S18" s="3" t="s">
        <v>994</v>
      </c>
      <c r="T18" s="3" t="s">
        <v>995</v>
      </c>
      <c r="U18" s="3" t="s">
        <v>996</v>
      </c>
      <c r="V18" s="3" t="s">
        <v>997</v>
      </c>
      <c r="W18" s="3" t="s">
        <v>998</v>
      </c>
      <c r="X18" s="3" t="s">
        <v>999</v>
      </c>
      <c r="Y18" s="3" t="s">
        <v>1000</v>
      </c>
      <c r="Z18" s="3" t="s">
        <v>1001</v>
      </c>
      <c r="AA18" s="3" t="s">
        <v>1002</v>
      </c>
    </row>
    <row r="19" spans="1:27">
      <c r="A19" s="1690"/>
      <c r="B19" s="1690"/>
      <c r="C19" s="1690"/>
      <c r="D19" s="1693"/>
      <c r="E19" s="1690"/>
      <c r="F19" s="12"/>
      <c r="G19" s="1688"/>
      <c r="H19" s="1690"/>
      <c r="I19" s="373" t="s">
        <v>1003</v>
      </c>
      <c r="J19" s="373" t="s">
        <v>1004</v>
      </c>
      <c r="K19" s="373" t="s">
        <v>1005</v>
      </c>
      <c r="L19" s="373" t="s">
        <v>1006</v>
      </c>
      <c r="M19" s="373" t="s">
        <v>1007</v>
      </c>
      <c r="N19" s="373" t="s">
        <v>1008</v>
      </c>
      <c r="O19" s="373" t="s">
        <v>1009</v>
      </c>
      <c r="P19" s="373" t="s">
        <v>1010</v>
      </c>
      <c r="Q19" s="373" t="s">
        <v>1011</v>
      </c>
      <c r="R19" s="373" t="s">
        <v>1012</v>
      </c>
      <c r="S19" s="373" t="s">
        <v>1013</v>
      </c>
      <c r="T19" s="373" t="s">
        <v>1014</v>
      </c>
      <c r="U19" s="373" t="s">
        <v>1015</v>
      </c>
      <c r="V19" s="373" t="s">
        <v>1016</v>
      </c>
      <c r="W19" s="373" t="s">
        <v>1017</v>
      </c>
      <c r="X19" s="373" t="s">
        <v>1018</v>
      </c>
      <c r="Y19" s="373" t="s">
        <v>1019</v>
      </c>
      <c r="Z19" s="373" t="s">
        <v>1020</v>
      </c>
      <c r="AA19" s="373" t="s">
        <v>1021</v>
      </c>
    </row>
    <row r="20" spans="1:27">
      <c r="A20" s="13">
        <v>1</v>
      </c>
      <c r="B20" s="14" t="s">
        <v>1022</v>
      </c>
      <c r="C20" s="15" t="s">
        <v>1023</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1024</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1025</v>
      </c>
      <c r="C22" s="24" t="s">
        <v>1026</v>
      </c>
      <c r="D22" s="25">
        <f>D20+10</f>
        <v>45642</v>
      </c>
      <c r="E22" s="25">
        <f>D22+30</f>
        <v>45672</v>
      </c>
      <c r="F22" s="17">
        <f>E22-D22</f>
        <v>30</v>
      </c>
      <c r="G22" s="26" t="s">
        <v>1027</v>
      </c>
      <c r="H22" s="7"/>
      <c r="I22" s="7"/>
      <c r="J22" s="44">
        <v>1</v>
      </c>
      <c r="K22" s="7"/>
      <c r="L22" s="9"/>
      <c r="M22" s="7"/>
      <c r="N22" s="7"/>
      <c r="O22" s="7"/>
      <c r="P22" s="7"/>
      <c r="Q22" s="7"/>
      <c r="R22" s="7"/>
      <c r="S22" s="7"/>
      <c r="T22" s="7"/>
      <c r="U22" s="7"/>
      <c r="V22" s="7"/>
      <c r="W22" s="7"/>
      <c r="X22" s="7"/>
      <c r="Y22" s="7"/>
      <c r="Z22" s="7"/>
      <c r="AA22" s="7"/>
    </row>
    <row r="23" spans="1:27">
      <c r="A23" s="17"/>
      <c r="B23" s="27" t="s">
        <v>1028</v>
      </c>
      <c r="C23" s="27" t="s">
        <v>1023</v>
      </c>
      <c r="D23" s="25">
        <v>45662</v>
      </c>
      <c r="E23" s="25">
        <v>45762</v>
      </c>
      <c r="F23" s="17">
        <f>E23-D23</f>
        <v>100</v>
      </c>
      <c r="G23" s="28" t="s">
        <v>1029</v>
      </c>
      <c r="H23" s="18">
        <v>184</v>
      </c>
      <c r="I23" s="5"/>
      <c r="J23" s="7">
        <v>28</v>
      </c>
      <c r="K23" s="7"/>
      <c r="L23" s="7"/>
      <c r="M23" s="7"/>
      <c r="N23" s="7"/>
      <c r="O23" s="7"/>
      <c r="P23" s="7"/>
      <c r="Q23" s="7"/>
      <c r="R23" s="7"/>
      <c r="S23" s="7"/>
      <c r="T23" s="7"/>
      <c r="U23" s="7"/>
      <c r="V23" s="7"/>
      <c r="W23" s="7"/>
      <c r="X23" s="7"/>
      <c r="Y23" s="7"/>
      <c r="Z23" s="7"/>
      <c r="AA23" s="7"/>
    </row>
    <row r="24" spans="1:27" ht="31.05" customHeight="1">
      <c r="A24" s="17" t="s">
        <v>1030</v>
      </c>
      <c r="B24" s="29" t="s">
        <v>1031</v>
      </c>
      <c r="C24" s="27" t="s">
        <v>1032</v>
      </c>
      <c r="D24" s="16" t="s">
        <v>1033</v>
      </c>
      <c r="E24" s="16" t="s">
        <v>1034</v>
      </c>
      <c r="F24" s="17" t="e">
        <f>E24-D24</f>
        <v>#VALUE!</v>
      </c>
      <c r="G24" s="28" t="s">
        <v>1035</v>
      </c>
      <c r="H24" s="18">
        <v>508</v>
      </c>
      <c r="I24" s="7"/>
      <c r="J24" s="7">
        <v>4</v>
      </c>
      <c r="K24" s="7"/>
      <c r="L24" s="7"/>
      <c r="M24" s="7"/>
      <c r="N24" s="9"/>
      <c r="O24" s="9"/>
      <c r="P24" s="9"/>
      <c r="Q24" s="9"/>
      <c r="R24" s="9"/>
      <c r="S24" s="9"/>
      <c r="T24" s="9"/>
      <c r="U24" s="9"/>
      <c r="V24" s="7"/>
      <c r="W24" s="7"/>
      <c r="X24" s="7"/>
      <c r="Y24" s="7"/>
      <c r="Z24" s="7"/>
      <c r="AA24" s="7"/>
    </row>
    <row r="25" spans="1:27" ht="33" customHeight="1">
      <c r="A25" s="17" t="s">
        <v>1036</v>
      </c>
      <c r="B25" s="24" t="s">
        <v>1037</v>
      </c>
      <c r="C25" s="24" t="s">
        <v>1026</v>
      </c>
      <c r="D25" s="16">
        <v>45664</v>
      </c>
      <c r="E25" s="16">
        <f>D25+364+20</f>
        <v>46048</v>
      </c>
      <c r="F25" s="17">
        <f>E25-D25</f>
        <v>384</v>
      </c>
      <c r="G25" s="28" t="s">
        <v>1035</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A1:Z1"/>
    <mergeCell ref="A2:O2"/>
    <mergeCell ref="A3:A4"/>
    <mergeCell ref="B3:B4"/>
    <mergeCell ref="C3:C4"/>
    <mergeCell ref="D3:D4"/>
    <mergeCell ref="E3:E4"/>
    <mergeCell ref="G3:G4"/>
    <mergeCell ref="H3:H4"/>
    <mergeCell ref="G18:G19"/>
    <mergeCell ref="H18:H19"/>
    <mergeCell ref="A14:A16"/>
    <mergeCell ref="A18:A19"/>
    <mergeCell ref="B18:B19"/>
    <mergeCell ref="C18:C19"/>
    <mergeCell ref="D18:D19"/>
    <mergeCell ref="E18:E19"/>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4"/>
  <sheetData>
    <row r="4" spans="2:21">
      <c r="B4" s="1" t="s">
        <v>13</v>
      </c>
      <c r="C4" t="s">
        <v>975</v>
      </c>
    </row>
    <row r="5" spans="2:21">
      <c r="B5" s="2"/>
      <c r="C5" s="3" t="s">
        <v>984</v>
      </c>
      <c r="D5" s="3" t="s">
        <v>985</v>
      </c>
      <c r="E5" s="3" t="s">
        <v>986</v>
      </c>
      <c r="F5" s="3" t="s">
        <v>987</v>
      </c>
      <c r="G5" s="3" t="s">
        <v>988</v>
      </c>
      <c r="H5" s="3" t="s">
        <v>989</v>
      </c>
      <c r="I5" s="3" t="s">
        <v>990</v>
      </c>
      <c r="J5" s="3" t="s">
        <v>991</v>
      </c>
      <c r="K5" s="3" t="s">
        <v>992</v>
      </c>
      <c r="L5" s="3" t="s">
        <v>993</v>
      </c>
      <c r="M5" s="3" t="s">
        <v>994</v>
      </c>
      <c r="N5" s="3" t="s">
        <v>995</v>
      </c>
      <c r="O5" s="3" t="s">
        <v>996</v>
      </c>
      <c r="P5" s="3" t="s">
        <v>997</v>
      </c>
      <c r="Q5" s="3" t="s">
        <v>998</v>
      </c>
      <c r="R5" s="3" t="s">
        <v>999</v>
      </c>
      <c r="S5" s="3" t="s">
        <v>1000</v>
      </c>
      <c r="T5" s="3" t="s">
        <v>1001</v>
      </c>
      <c r="U5" s="3" t="s">
        <v>1002</v>
      </c>
    </row>
    <row r="6" spans="2:21" ht="41.4">
      <c r="B6" s="4" t="s">
        <v>27</v>
      </c>
      <c r="C6" s="5"/>
      <c r="D6" s="6">
        <v>20</v>
      </c>
      <c r="E6" s="7">
        <v>60</v>
      </c>
      <c r="F6" s="7">
        <v>60</v>
      </c>
      <c r="G6" s="7">
        <f>60-16</f>
        <v>44</v>
      </c>
      <c r="H6" s="7"/>
      <c r="I6" s="7"/>
      <c r="J6" s="7"/>
      <c r="K6" s="7"/>
      <c r="L6" s="7"/>
      <c r="M6" s="7"/>
      <c r="N6" s="7"/>
      <c r="O6" s="7"/>
      <c r="P6" s="7"/>
      <c r="Q6" s="7"/>
      <c r="R6" s="7"/>
      <c r="S6" s="7"/>
      <c r="T6" s="7"/>
      <c r="U6" s="7"/>
    </row>
    <row r="7" spans="2:21" ht="27.6">
      <c r="B7" s="4" t="s">
        <v>1043</v>
      </c>
      <c r="C7" s="5"/>
      <c r="D7" s="6">
        <v>28</v>
      </c>
      <c r="E7" s="7"/>
      <c r="F7" s="7"/>
      <c r="G7" s="7"/>
      <c r="H7" s="7"/>
      <c r="I7" s="7"/>
      <c r="J7" s="7"/>
      <c r="K7" s="7"/>
      <c r="L7" s="7"/>
      <c r="M7" s="7"/>
      <c r="N7" s="7"/>
      <c r="O7" s="7"/>
      <c r="P7" s="7"/>
      <c r="Q7" s="7"/>
      <c r="R7" s="7"/>
      <c r="S7" s="7"/>
      <c r="T7" s="7"/>
      <c r="U7" s="7"/>
    </row>
    <row r="8" spans="2:21" ht="27.6">
      <c r="B8" s="8" t="s">
        <v>31</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55.2">
      <c r="B9" s="8" t="s">
        <v>1044</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69">
      <c r="B10" s="8" t="s">
        <v>1045</v>
      </c>
      <c r="C10" s="7"/>
      <c r="D10" s="7">
        <v>3</v>
      </c>
      <c r="E10" s="7"/>
      <c r="F10" s="7"/>
      <c r="G10" s="7"/>
      <c r="H10" s="7"/>
      <c r="I10" s="7"/>
      <c r="J10" s="7"/>
      <c r="K10" s="7"/>
      <c r="L10" s="7"/>
      <c r="M10" s="7"/>
      <c r="N10" s="7"/>
      <c r="O10" s="7"/>
      <c r="P10" s="7"/>
      <c r="Q10" s="9"/>
      <c r="R10" s="9"/>
      <c r="S10" s="9"/>
      <c r="T10" s="9"/>
      <c r="U10" s="9"/>
    </row>
    <row r="11" spans="2:21">
      <c r="B11" s="8" t="s">
        <v>242</v>
      </c>
      <c r="C11" s="7"/>
      <c r="D11" s="7">
        <v>2</v>
      </c>
      <c r="E11" s="7"/>
      <c r="F11" s="7"/>
      <c r="G11" s="7"/>
      <c r="H11" s="7"/>
      <c r="I11" s="7"/>
      <c r="J11" s="7"/>
      <c r="K11" s="7"/>
      <c r="L11" s="7"/>
      <c r="M11" s="7"/>
      <c r="N11" s="7"/>
      <c r="O11" s="7"/>
      <c r="P11" s="7"/>
      <c r="Q11" s="9"/>
      <c r="R11" s="9"/>
      <c r="S11" s="9"/>
      <c r="T11" s="9"/>
      <c r="U11" s="9"/>
    </row>
    <row r="12" spans="2:21" ht="27.6">
      <c r="B12" s="8" t="s">
        <v>1046</v>
      </c>
      <c r="C12" s="7"/>
      <c r="D12" s="7"/>
      <c r="E12" s="7"/>
      <c r="F12" s="7"/>
      <c r="G12" s="7"/>
      <c r="H12" s="7"/>
      <c r="I12" s="7"/>
      <c r="J12" s="7"/>
      <c r="K12" s="7"/>
      <c r="L12" s="7"/>
      <c r="M12" s="7"/>
      <c r="N12" s="7"/>
      <c r="O12" s="7"/>
      <c r="P12" s="7"/>
      <c r="Q12" s="9"/>
      <c r="R12" s="9"/>
      <c r="S12" s="9"/>
      <c r="T12" s="9"/>
      <c r="U12" s="9"/>
    </row>
    <row r="13" spans="2:21" ht="41.4">
      <c r="B13" s="8" t="s">
        <v>1047</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6</vt:i4>
      </vt:variant>
    </vt:vector>
  </HeadingPairs>
  <TitlesOfParts>
    <vt:vector size="38" baseType="lpstr">
      <vt:lpstr>765kV Summery</vt:lpstr>
      <vt:lpstr>Check Survey </vt:lpstr>
      <vt:lpstr>Check Survey Status</vt:lpstr>
      <vt:lpstr>Check Survey</vt:lpstr>
      <vt:lpstr>Sheet8</vt:lpstr>
      <vt:lpstr>Sheet2</vt:lpstr>
      <vt:lpstr>Sheet1</vt:lpstr>
      <vt:lpstr>VC 51-96</vt:lpstr>
      <vt:lpstr>VC</vt:lpstr>
      <vt:lpstr>ROW</vt:lpstr>
      <vt:lpstr>June</vt:lpstr>
      <vt:lpstr>Foundation</vt:lpstr>
      <vt:lpstr>Royalty</vt:lpstr>
      <vt:lpstr>Sheet14</vt:lpstr>
      <vt:lpstr>Sheet7</vt:lpstr>
      <vt:lpstr>Project Details</vt:lpstr>
      <vt:lpstr>Erection </vt:lpstr>
      <vt:lpstr>Completion date</vt:lpstr>
      <vt:lpstr>Erection Compiled </vt:lpstr>
      <vt:lpstr>Earthing</vt:lpstr>
      <vt:lpstr>Stringing Compiled </vt:lpstr>
      <vt:lpstr>Soil Investigation</vt:lpstr>
      <vt:lpstr>Sheet9</vt:lpstr>
      <vt:lpstr>VC </vt:lpstr>
      <vt:lpstr>Sheet6</vt:lpstr>
      <vt:lpstr>VC 51-121</vt:lpstr>
      <vt:lpstr>Sheet5</vt:lpstr>
      <vt:lpstr>Sheet3</vt:lpstr>
      <vt:lpstr>Tower Schedule</vt:lpstr>
      <vt:lpstr>Visual Chart</vt:lpstr>
      <vt:lpstr>L2 Vs Actual Progress Chart (2)</vt:lpstr>
      <vt:lpstr>Sheet4</vt:lpstr>
      <vt:lpstr>'765kV Summery'!Print_Area</vt:lpstr>
      <vt:lpstr>'Check Survey'!Print_Area</vt:lpstr>
      <vt:lpstr>Earthing!Print_Area</vt:lpstr>
      <vt:lpstr>Foundation!Print_Area</vt:lpstr>
      <vt:lpstr>Sheet3!Print_Area</vt:lpstr>
      <vt:lpstr>'VC 51-96'!Print_Area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ANIMESH</cp:lastModifiedBy>
  <cp:lastPrinted>2026-02-13T09:31:10Z</cp:lastPrinted>
  <dcterms:created xsi:type="dcterms:W3CDTF">2023-02-01T07:49:00Z</dcterms:created>
  <dcterms:modified xsi:type="dcterms:W3CDTF">2026-04-03T05:47:10Z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