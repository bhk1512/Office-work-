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pgnet-my.sharepoint.com/personal/vaishnavj_kecrpg_com/Documents/KEC T&amp;D/AOTL 765 kv Project/DPR/DPR AOTL/June 26/"/>
    </mc:Choice>
  </mc:AlternateContent>
  <xr:revisionPtr revIDLastSave="682" documentId="8_{7B1A3208-4E2F-44AD-BE2C-E3869B3C869A}" xr6:coauthVersionLast="47" xr6:coauthVersionMax="47" xr10:uidLastSave="{C8A0F85E-8496-438D-A6B3-C008D23AE475}"/>
  <bookViews>
    <workbookView xWindow="-120" yWindow="-120" windowWidth="20730" windowHeight="11040" tabRatio="888" firstSheet="1" activeTab="1" xr2:uid="{00000000-000D-0000-FFFF-FFFF00000000}"/>
  </bookViews>
  <sheets>
    <sheet name="765KV TA 414 VNTL" sheetId="57" state="hidden" r:id="rId1"/>
    <sheet name="765KV ASOTL" sheetId="64" r:id="rId2"/>
    <sheet name="Project Details" sheetId="54" r:id="rId3"/>
    <sheet name="AOTL - KEC" sheetId="6" r:id="rId4"/>
    <sheet name="DPR Sheet" sheetId="7" r:id="rId5"/>
    <sheet name="Sheet5" sheetId="56" state="hidden" r:id="rId6"/>
    <sheet name="Sheet3" sheetId="53" state="hidden" r:id="rId7"/>
    <sheet name="Sheet1" sheetId="51" state="hidden" r:id="rId8"/>
    <sheet name="Survey" sheetId="19" r:id="rId9"/>
    <sheet name="Soil Inv." sheetId="69" r:id="rId10"/>
    <sheet name="Survey Anx" sheetId="38" r:id="rId11"/>
    <sheet name="FDN" sheetId="30" r:id="rId12"/>
    <sheet name="Erection " sheetId="70" r:id="rId13"/>
    <sheet name="Visual chart 1 " sheetId="61" r:id="rId14"/>
    <sheet name="Pile Foundation" sheetId="66" r:id="rId15"/>
    <sheet name="Sheet6" sheetId="60" state="hidden" r:id="rId16"/>
    <sheet name="Sheet4" sheetId="55" state="hidden" r:id="rId17"/>
    <sheet name="Sheet7" sheetId="62" state="hidden" r:id="rId18"/>
    <sheet name="Stringing Compiled" sheetId="58" r:id="rId19"/>
    <sheet name="String" sheetId="46" r:id="rId20"/>
    <sheet name="Crossing" sheetId="50" r:id="rId21"/>
    <sheet name="Tree Enumeration" sheetId="65" r:id="rId22"/>
    <sheet name="Sheet2" sheetId="52" state="hidden" r:id="rId23"/>
  </sheets>
  <definedNames>
    <definedName name="\A" localSheetId="0">#REF!</definedName>
    <definedName name="\A" localSheetId="18">#REF!</definedName>
    <definedName name="\A">#REF!</definedName>
    <definedName name="\aa" localSheetId="0">#REF!</definedName>
    <definedName name="\aa" localSheetId="18">#REF!</definedName>
    <definedName name="\aa">#REF!</definedName>
    <definedName name="\B" localSheetId="0">#REF!</definedName>
    <definedName name="\B" localSheetId="18">#REF!</definedName>
    <definedName name="\B">#REF!</definedName>
    <definedName name="\C" localSheetId="0">#REF!</definedName>
    <definedName name="\C" localSheetId="18">#REF!</definedName>
    <definedName name="\C">#REF!</definedName>
    <definedName name="\DFC" localSheetId="0">#REF!</definedName>
    <definedName name="\DFC" localSheetId="18">#REF!</definedName>
    <definedName name="\DFC">#REF!</definedName>
    <definedName name="\E" localSheetId="0">#REF!</definedName>
    <definedName name="\E" localSheetId="18">#REF!</definedName>
    <definedName name="\E">#REF!</definedName>
    <definedName name="\H" localSheetId="0">#REF!</definedName>
    <definedName name="\H" localSheetId="18">#REF!</definedName>
    <definedName name="\H">#REF!</definedName>
    <definedName name="\jmns" localSheetId="0">#REF!</definedName>
    <definedName name="\jmns" localSheetId="18">#REF!</definedName>
    <definedName name="\jmns">#REF!</definedName>
    <definedName name="\L" localSheetId="0">#REF!</definedName>
    <definedName name="\L" localSheetId="18">#REF!</definedName>
    <definedName name="\L">#REF!</definedName>
    <definedName name="\LK" localSheetId="0">#REF!</definedName>
    <definedName name="\LK" localSheetId="18">#REF!</definedName>
    <definedName name="\LK">#REF!</definedName>
    <definedName name="\LKM" localSheetId="0">#REF!</definedName>
    <definedName name="\LKM" localSheetId="18">#REF!</definedName>
    <definedName name="\LKM">#REF!</definedName>
    <definedName name="\M" localSheetId="0">#REF!</definedName>
    <definedName name="\M" localSheetId="18">#REF!</definedName>
    <definedName name="\M">#REF!</definedName>
    <definedName name="\N" localSheetId="0">#REF!</definedName>
    <definedName name="\N" localSheetId="18">#REF!</definedName>
    <definedName name="\N">#REF!</definedName>
    <definedName name="\P" localSheetId="0">#REF!</definedName>
    <definedName name="\P" localSheetId="18">#REF!</definedName>
    <definedName name="\P">#REF!</definedName>
    <definedName name="\Q" localSheetId="0">#REF!</definedName>
    <definedName name="\Q" localSheetId="18">#REF!</definedName>
    <definedName name="\Q">#REF!</definedName>
    <definedName name="\R" localSheetId="0">#REF!</definedName>
    <definedName name="\R" localSheetId="18">#REF!</definedName>
    <definedName name="\R">#REF!</definedName>
    <definedName name="\S" localSheetId="0">#REF!</definedName>
    <definedName name="\S" localSheetId="18">#REF!</definedName>
    <definedName name="\S">#REF!</definedName>
    <definedName name="\Sv" localSheetId="0">#REF!</definedName>
    <definedName name="\Sv" localSheetId="18">#REF!</definedName>
    <definedName name="\Sv">#REF!</definedName>
    <definedName name="\U" localSheetId="0">#REF!</definedName>
    <definedName name="\U" localSheetId="18">#REF!</definedName>
    <definedName name="\U">#REF!</definedName>
    <definedName name="\V" localSheetId="0">#REF!</definedName>
    <definedName name="\V" localSheetId="18">#REF!</definedName>
    <definedName name="\V">#REF!</definedName>
    <definedName name="\x" localSheetId="0">#REF!</definedName>
    <definedName name="\x" localSheetId="18">#REF!</definedName>
    <definedName name="\x">#REF!</definedName>
    <definedName name="\z" localSheetId="0">#REF!</definedName>
    <definedName name="\z" localSheetId="18">#REF!</definedName>
    <definedName name="\z">#REF!</definedName>
    <definedName name="_" localSheetId="0">#REF!</definedName>
    <definedName name="_" localSheetId="18">#REF!</definedName>
    <definedName name="_">#REF!</definedName>
    <definedName name="_______xlnm.Print_Titles_2">(#REF!,#REF!)</definedName>
    <definedName name="_______xlnm.Print_Titles_3" localSheetId="0">(#REF!,#REF!)</definedName>
    <definedName name="_______xlnm.Print_Titles_3" localSheetId="18">(#REF!,#REF!)</definedName>
    <definedName name="_______xlnm.Print_Titles_3">(#REF!,#REF!)</definedName>
    <definedName name="______xlnm.Print_Titles_2">(#REF!,#REF!)</definedName>
    <definedName name="______xlnm.Print_Titles_3" localSheetId="0">(#REF!,#REF!)</definedName>
    <definedName name="______xlnm.Print_Titles_3" localSheetId="18">(#REF!,#REF!)</definedName>
    <definedName name="______xlnm.Print_Titles_3">(#REF!,#REF!)</definedName>
    <definedName name="_____xlnm.Print_Titles_2">(#REF!,#REF!)</definedName>
    <definedName name="_____xlnm.Print_Titles_3" localSheetId="0">(#REF!,#REF!)</definedName>
    <definedName name="_____xlnm.Print_Titles_3" localSheetId="18">(#REF!,#REF!)</definedName>
    <definedName name="_____xlnm.Print_Titles_3">(#REF!,#REF!)</definedName>
    <definedName name="____a1" localSheetId="0">#REF!</definedName>
    <definedName name="____a1" localSheetId="18">#REF!</definedName>
    <definedName name="____a1">#REF!</definedName>
    <definedName name="____Ki1" localSheetId="0">#REF!</definedName>
    <definedName name="____Ki1" localSheetId="18">#REF!</definedName>
    <definedName name="____Ki1">#REF!</definedName>
    <definedName name="____Ki2" localSheetId="0">#REF!</definedName>
    <definedName name="____Ki2" localSheetId="18">#REF!</definedName>
    <definedName name="____Ki2">#REF!</definedName>
    <definedName name="____Re1" localSheetId="0">#REF!</definedName>
    <definedName name="____Re1" localSheetId="18">#REF!</definedName>
    <definedName name="____Re1">#REF!</definedName>
    <definedName name="____Rs1" localSheetId="0">#REF!</definedName>
    <definedName name="____Rs1" localSheetId="18">#REF!</definedName>
    <definedName name="____Rs1">#REF!</definedName>
    <definedName name="____xlnm.Print_Titles_2">(#REF!,#REF!)</definedName>
    <definedName name="____xlnm.Print_Titles_3" localSheetId="0">(#REF!,#REF!)</definedName>
    <definedName name="____xlnm.Print_Titles_3" localSheetId="18">(#REF!,#REF!)</definedName>
    <definedName name="____xlnm.Print_Titles_3">(#REF!,#REF!)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0">#REF!</definedName>
    <definedName name="___a1" localSheetId="18">#REF!</definedName>
    <definedName name="___a1">#REF!</definedName>
    <definedName name="___aba2" localSheetId="0">#REF!</definedName>
    <definedName name="___aba2" localSheetId="18">#REF!</definedName>
    <definedName name="___aba2">#REF!</definedName>
    <definedName name="___adj1" localSheetId="0">#REF!</definedName>
    <definedName name="___adj1" localSheetId="18">#REF!</definedName>
    <definedName name="___adj1">#REF!</definedName>
    <definedName name="___ahu1">#REF!</definedName>
    <definedName name="___ahu2">#REF!</definedName>
    <definedName name="___bom1" localSheetId="0">#REF!</definedName>
    <definedName name="___bom1" localSheetId="18">#REF!</definedName>
    <definedName name="___bom1">#REF!</definedName>
    <definedName name="___CFB1" localSheetId="0">#REF!</definedName>
    <definedName name="___CFB1" localSheetId="18">#REF!</definedName>
    <definedName name="___CFB1">#REF!</definedName>
    <definedName name="___CFB2" localSheetId="0">#REF!</definedName>
    <definedName name="___CFB2" localSheetId="18">#REF!</definedName>
    <definedName name="___CFB2">#REF!</definedName>
    <definedName name="___CFB3" localSheetId="0">#REF!</definedName>
    <definedName name="___CFB3" localSheetId="18">#REF!</definedName>
    <definedName name="___CFB3">#REF!</definedName>
    <definedName name="___DAT1" localSheetId="0">#REF!</definedName>
    <definedName name="___DAT1" localSheetId="18">#REF!</definedName>
    <definedName name="___DAT1">#REF!</definedName>
    <definedName name="___DAT10" localSheetId="0">#REF!</definedName>
    <definedName name="___DAT10" localSheetId="18">#REF!</definedName>
    <definedName name="___DAT10">#REF!</definedName>
    <definedName name="___DAT11" localSheetId="0">#REF!</definedName>
    <definedName name="___DAT11" localSheetId="18">#REF!</definedName>
    <definedName name="___DAT11">#REF!</definedName>
    <definedName name="___DAT12" localSheetId="0">#REF!</definedName>
    <definedName name="___DAT12" localSheetId="18">#REF!</definedName>
    <definedName name="___DAT12">#REF!</definedName>
    <definedName name="___DAT13" localSheetId="0">#REF!</definedName>
    <definedName name="___DAT13" localSheetId="18">#REF!</definedName>
    <definedName name="___DAT13">#REF!</definedName>
    <definedName name="___DAT14" localSheetId="0">#REF!</definedName>
    <definedName name="___DAT14" localSheetId="18">#REF!</definedName>
    <definedName name="___DAT14">#REF!</definedName>
    <definedName name="___DAT15" localSheetId="0">#REF!</definedName>
    <definedName name="___DAT15" localSheetId="18">#REF!</definedName>
    <definedName name="___DAT15">#REF!</definedName>
    <definedName name="___DAT16" localSheetId="0">#REF!</definedName>
    <definedName name="___DAT16" localSheetId="18">#REF!</definedName>
    <definedName name="___DAT16">#REF!</definedName>
    <definedName name="___DAT17" localSheetId="18">#REF!</definedName>
    <definedName name="___DAT17">#REF!</definedName>
    <definedName name="___DAT18" localSheetId="18">#REF!</definedName>
    <definedName name="___DAT18">#REF!</definedName>
    <definedName name="___DAT2" localSheetId="0">#REF!</definedName>
    <definedName name="___DAT2" localSheetId="18">#REF!</definedName>
    <definedName name="___DAT2">#REF!</definedName>
    <definedName name="___DAT3" localSheetId="0">#REF!</definedName>
    <definedName name="___DAT3" localSheetId="18">#REF!</definedName>
    <definedName name="___DAT3">#REF!</definedName>
    <definedName name="___DAT4" localSheetId="0">#REF!</definedName>
    <definedName name="___DAT4" localSheetId="18">#REF!</definedName>
    <definedName name="___DAT4">#REF!</definedName>
    <definedName name="___DAT5" localSheetId="0">#REF!</definedName>
    <definedName name="___DAT5" localSheetId="18">#REF!</definedName>
    <definedName name="___DAT5">#REF!</definedName>
    <definedName name="___DAT6" localSheetId="0">#REF!</definedName>
    <definedName name="___DAT6" localSheetId="18">#REF!</definedName>
    <definedName name="___DAT6">#REF!</definedName>
    <definedName name="___DAT7" localSheetId="0">#REF!</definedName>
    <definedName name="___DAT7" localSheetId="18">#REF!</definedName>
    <definedName name="___DAT7">#REF!</definedName>
    <definedName name="___DAT8" localSheetId="0">#REF!</definedName>
    <definedName name="___DAT8" localSheetId="18">#REF!</definedName>
    <definedName name="___DAT8">#REF!</definedName>
    <definedName name="___DAT9" localSheetId="0">#REF!</definedName>
    <definedName name="___DAT9" localSheetId="18">#REF!</definedName>
    <definedName name="___DAT9">#REF!</definedName>
    <definedName name="___DET1" localSheetId="0">#REF!</definedName>
    <definedName name="___DET1" localSheetId="18">#REF!</definedName>
    <definedName name="___DET1">#REF!</definedName>
    <definedName name="___DET2" localSheetId="0">#REF!</definedName>
    <definedName name="___DET2" localSheetId="18">#REF!</definedName>
    <definedName name="___DET2">#REF!</definedName>
    <definedName name="___DET3" localSheetId="0">#REF!</definedName>
    <definedName name="___DET3" localSheetId="18">#REF!</definedName>
    <definedName name="___DET3">#REF!</definedName>
    <definedName name="___DET4" localSheetId="0">#REF!</definedName>
    <definedName name="___DET4" localSheetId="18">#REF!</definedName>
    <definedName name="___DET4">#REF!</definedName>
    <definedName name="___DET5" localSheetId="0">#REF!</definedName>
    <definedName name="___DET5" localSheetId="18">#REF!</definedName>
    <definedName name="___DET5">#REF!</definedName>
    <definedName name="___DET6" localSheetId="0">#REF!</definedName>
    <definedName name="___DET6" localSheetId="18">#REF!</definedName>
    <definedName name="___DET6">#REF!</definedName>
    <definedName name="___dol11">#REF!</definedName>
    <definedName name="___drg1" localSheetId="0">#REF!</definedName>
    <definedName name="___drg1" localSheetId="18">#REF!</definedName>
    <definedName name="___drg1">#REF!</definedName>
    <definedName name="___drg2" localSheetId="0">#REF!</definedName>
    <definedName name="___drg2" localSheetId="18">#REF!</definedName>
    <definedName name="___drg2">#REF!</definedName>
    <definedName name="___fac1" localSheetId="0">#REF!</definedName>
    <definedName name="___fac1" localSheetId="18">#REF!</definedName>
    <definedName name="___fac1">#REF!</definedName>
    <definedName name="___fac2" localSheetId="0">#REF!</definedName>
    <definedName name="___fac2" localSheetId="18">#REF!</definedName>
    <definedName name="___fac2">#REF!</definedName>
    <definedName name="___fac3" localSheetId="0">#REF!</definedName>
    <definedName name="___fac3" localSheetId="18">#REF!</definedName>
    <definedName name="___fac3">#REF!</definedName>
    <definedName name="___Ki1" localSheetId="0">#REF!</definedName>
    <definedName name="___Ki1" localSheetId="18">#REF!</definedName>
    <definedName name="___Ki1">#REF!</definedName>
    <definedName name="___Ki2" localSheetId="0">#REF!</definedName>
    <definedName name="___Ki2" localSheetId="18">#REF!</definedName>
    <definedName name="___Ki2">#REF!</definedName>
    <definedName name="___mcc1">#REF!</definedName>
    <definedName name="___mcc2">#REF!</definedName>
    <definedName name="___mp1">#REF!</definedName>
    <definedName name="___out2" localSheetId="0">#REF!</definedName>
    <definedName name="___out2" localSheetId="18">#REF!</definedName>
    <definedName name="___out2">#REF!</definedName>
    <definedName name="___pdp1">#REF!</definedName>
    <definedName name="___pdp2">#REF!</definedName>
    <definedName name="___pdp3">#REF!</definedName>
    <definedName name="___pep99" localSheetId="0">#REF!</definedName>
    <definedName name="___pep99" localSheetId="18">#REF!</definedName>
    <definedName name="___pep99">#REF!</definedName>
    <definedName name="___ps1" localSheetId="0">#REF!</definedName>
    <definedName name="___ps1" localSheetId="18">#REF!</definedName>
    <definedName name="___ps1">#REF!</definedName>
    <definedName name="___Re1" localSheetId="0">#REF!</definedName>
    <definedName name="___Re1" localSheetId="18">#REF!</definedName>
    <definedName name="___Re1">#REF!</definedName>
    <definedName name="___row1">#REF!</definedName>
    <definedName name="___Rs1" localSheetId="0">#REF!</definedName>
    <definedName name="___Rs1" localSheetId="18">#REF!</definedName>
    <definedName name="___Rs1">#REF!</definedName>
    <definedName name="___SAP1" localSheetId="0">#REF!</definedName>
    <definedName name="___SAP1" localSheetId="18">#REF!</definedName>
    <definedName name="___SAP1">#REF!</definedName>
    <definedName name="___SAP10" localSheetId="0">#REF!</definedName>
    <definedName name="___SAP10" localSheetId="18">#REF!</definedName>
    <definedName name="___SAP10">#REF!</definedName>
    <definedName name="___SAP11" localSheetId="0">#REF!</definedName>
    <definedName name="___SAP11" localSheetId="18">#REF!</definedName>
    <definedName name="___SAP11">#REF!</definedName>
    <definedName name="___SAP2" localSheetId="0">#REF!</definedName>
    <definedName name="___SAP2" localSheetId="18">#REF!</definedName>
    <definedName name="___SAP2">#REF!</definedName>
    <definedName name="___SAP3" localSheetId="0">#REF!</definedName>
    <definedName name="___SAP3" localSheetId="18">#REF!</definedName>
    <definedName name="___SAP3">#REF!</definedName>
    <definedName name="___SAP4" localSheetId="0">#REF!</definedName>
    <definedName name="___SAP4" localSheetId="18">#REF!</definedName>
    <definedName name="___SAP4">#REF!</definedName>
    <definedName name="___SAP5" localSheetId="0">#REF!</definedName>
    <definedName name="___SAP5" localSheetId="18">#REF!</definedName>
    <definedName name="___SAP5">#REF!</definedName>
    <definedName name="___SAP6" localSheetId="0">#REF!</definedName>
    <definedName name="___SAP6" localSheetId="18">#REF!</definedName>
    <definedName name="___SAP6">#REF!</definedName>
    <definedName name="___SAP7" localSheetId="0">#REF!</definedName>
    <definedName name="___SAP7" localSheetId="18">#REF!</definedName>
    <definedName name="___SAP7">#REF!</definedName>
    <definedName name="___SAP8" localSheetId="0">#REF!</definedName>
    <definedName name="___SAP8" localSheetId="18">#REF!</definedName>
    <definedName name="___SAP8">#REF!</definedName>
    <definedName name="___SAP9" localSheetId="0">#REF!</definedName>
    <definedName name="___SAP9" localSheetId="18">#REF!</definedName>
    <definedName name="___SAP9">#REF!</definedName>
    <definedName name="___sch2" localSheetId="0">#REF!</definedName>
    <definedName name="___sch2" localSheetId="18">#REF!</definedName>
    <definedName name="___sch2">#REF!</definedName>
    <definedName name="___sch9" localSheetId="0">#REF!</definedName>
    <definedName name="___sch9" localSheetId="18">#REF!</definedName>
    <definedName name="___sch9">#REF!</definedName>
    <definedName name="_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0">#REF!</definedName>
    <definedName name="___SS402" localSheetId="18">#REF!</definedName>
    <definedName name="___SS402">#REF!</definedName>
    <definedName name="___SS403" localSheetId="0">#REF!</definedName>
    <definedName name="___SS403" localSheetId="18">#REF!</definedName>
    <definedName name="___SS403">#REF!</definedName>
    <definedName name="___SS404" localSheetId="0">#REF!</definedName>
    <definedName name="___SS404" localSheetId="18">#REF!</definedName>
    <definedName name="___SS404">#REF!</definedName>
    <definedName name="___SS405" localSheetId="0">#REF!</definedName>
    <definedName name="___SS405" localSheetId="18">#REF!</definedName>
    <definedName name="___SS405">#REF!</definedName>
    <definedName name="___SS406" localSheetId="0">#REF!</definedName>
    <definedName name="___SS406" localSheetId="18">#REF!</definedName>
    <definedName name="___SS406">#REF!</definedName>
    <definedName name="___SS407" localSheetId="0">#REF!</definedName>
    <definedName name="___SS407" localSheetId="18">#REF!</definedName>
    <definedName name="___SS407">#REF!</definedName>
    <definedName name="___SS408" localSheetId="0">#REF!</definedName>
    <definedName name="___SS408" localSheetId="18">#REF!</definedName>
    <definedName name="___SS408">#REF!</definedName>
    <definedName name="___SS409" localSheetId="0">#REF!</definedName>
    <definedName name="___SS409" localSheetId="18">#REF!</definedName>
    <definedName name="___SS409">#REF!</definedName>
    <definedName name="___SS423" localSheetId="0">#REF!</definedName>
    <definedName name="___SS423" localSheetId="18">#REF!</definedName>
    <definedName name="___SS423">#REF!</definedName>
    <definedName name="___SS424" localSheetId="0">#REF!</definedName>
    <definedName name="___SS424" localSheetId="18">#REF!</definedName>
    <definedName name="___SS424">#REF!</definedName>
    <definedName name="___thinkcellREMAAAAAAAAAAAAAvHkPvCRC7kWH6_CDEWVaQA" localSheetId="0" hidden="1">#REF!</definedName>
    <definedName name="___thinkcellREMAAAAAAAAAAAAAvHkPvCRC7kWH6_CDEWVaQA" localSheetId="18" hidden="1">#REF!</definedName>
    <definedName name="___thinkcellREMAAAAAAAAAAAAAvHkPvCRC7kWH6_CDEWVaQA" hidden="1">#REF!</definedName>
    <definedName name="___try1">#REF!</definedName>
    <definedName name="___xlnm.Print_Titles_2">(#REF!,#REF!)</definedName>
    <definedName name="___xlnm.Print_Titles_3" localSheetId="0">(#REF!,#REF!)</definedName>
    <definedName name="___xlnm.Print_Titles_3" localSheetId="18">(#REF!,#REF!)</definedName>
    <definedName name="___xlnm.Print_Titles_3">(#REF!,#REF!)</definedName>
    <definedName name="__1__123Graph_ACHART_1" hidden="1">#REF!</definedName>
    <definedName name="__123Graph_B" localSheetId="0" hidden="1">#REF!</definedName>
    <definedName name="__123Graph_B" localSheetId="18" hidden="1">#REF!</definedName>
    <definedName name="__123Graph_B" hidden="1">#REF!</definedName>
    <definedName name="__123Graph_C" localSheetId="0" hidden="1">#REF!</definedName>
    <definedName name="__123Graph_C" localSheetId="18" hidden="1">#REF!</definedName>
    <definedName name="__123Graph_C" hidden="1">#REF!</definedName>
    <definedName name="__123Graph_X" localSheetId="0" hidden="1">#REF!</definedName>
    <definedName name="__123Graph_X" localSheetId="18" hidden="1">#REF!</definedName>
    <definedName name="__123Graph_X" hidden="1">#REF!</definedName>
    <definedName name="__2__123Graph_BCHART_1" hidden="1">#REF!</definedName>
    <definedName name="__3__123Graph_CCHART_1" hidden="1">#REF!</definedName>
    <definedName name="__a1" localSheetId="0">#REF!</definedName>
    <definedName name="__a1" localSheetId="18">#REF!</definedName>
    <definedName name="__a1">#REF!</definedName>
    <definedName name="__aba2" localSheetId="0">#REF!</definedName>
    <definedName name="__aba2" localSheetId="18">#REF!</definedName>
    <definedName name="__aba2">#REF!</definedName>
    <definedName name="__adj1" localSheetId="0">#REF!</definedName>
    <definedName name="__adj1" localSheetId="18">#REF!</definedName>
    <definedName name="__adj1">#REF!</definedName>
    <definedName name="__ahu1">#REF!</definedName>
    <definedName name="__ahu2">#REF!</definedName>
    <definedName name="__bom1" localSheetId="0">#REF!</definedName>
    <definedName name="__bom1" localSheetId="18">#REF!</definedName>
    <definedName name="__bom1">#REF!</definedName>
    <definedName name="__CFB1" localSheetId="0">#REF!</definedName>
    <definedName name="__CFB1" localSheetId="18">#REF!</definedName>
    <definedName name="__CFB1">#REF!</definedName>
    <definedName name="__CFB2" localSheetId="0">#REF!</definedName>
    <definedName name="__CFB2" localSheetId="18">#REF!</definedName>
    <definedName name="__CFB2">#REF!</definedName>
    <definedName name="__CFB3" localSheetId="0">#REF!</definedName>
    <definedName name="__CFB3" localSheetId="18">#REF!</definedName>
    <definedName name="__CFB3">#REF!</definedName>
    <definedName name="__DAT1" localSheetId="0">#REF!</definedName>
    <definedName name="__DAT1" localSheetId="18">#REF!</definedName>
    <definedName name="__DAT1">#REF!</definedName>
    <definedName name="__DAT10" localSheetId="0">#REF!</definedName>
    <definedName name="__DAT10" localSheetId="18">#REF!</definedName>
    <definedName name="__DAT10">#REF!</definedName>
    <definedName name="__DAT11" localSheetId="0">#REF!</definedName>
    <definedName name="__DAT11" localSheetId="18">#REF!</definedName>
    <definedName name="__DAT11">#REF!</definedName>
    <definedName name="__DAT12" localSheetId="0">#REF!</definedName>
    <definedName name="__DAT12" localSheetId="18">#REF!</definedName>
    <definedName name="__DAT12">#REF!</definedName>
    <definedName name="__DAT13" localSheetId="0">#REF!</definedName>
    <definedName name="__DAT13" localSheetId="18">#REF!</definedName>
    <definedName name="__DAT13">#REF!</definedName>
    <definedName name="__DAT14" localSheetId="0">#REF!</definedName>
    <definedName name="__DAT14" localSheetId="18">#REF!</definedName>
    <definedName name="__DAT14">#REF!</definedName>
    <definedName name="__DAT15" localSheetId="0">#REF!</definedName>
    <definedName name="__DAT15" localSheetId="18">#REF!</definedName>
    <definedName name="__DAT15">#REF!</definedName>
    <definedName name="__DAT16" localSheetId="0">#REF!</definedName>
    <definedName name="__DAT16" localSheetId="18">#REF!</definedName>
    <definedName name="__DAT16">#REF!</definedName>
    <definedName name="__DAT17" localSheetId="18">#REF!</definedName>
    <definedName name="__DAT17">#REF!</definedName>
    <definedName name="__DAT18" localSheetId="18">#REF!</definedName>
    <definedName name="__DAT18">#REF!</definedName>
    <definedName name="__DAT2" localSheetId="0">#REF!</definedName>
    <definedName name="__DAT2" localSheetId="18">#REF!</definedName>
    <definedName name="__DAT2">#REF!</definedName>
    <definedName name="__DAT3" localSheetId="0">#REF!</definedName>
    <definedName name="__DAT3" localSheetId="18">#REF!</definedName>
    <definedName name="__DAT3">#REF!</definedName>
    <definedName name="__DAT4" localSheetId="0">#REF!</definedName>
    <definedName name="__DAT4" localSheetId="18">#REF!</definedName>
    <definedName name="__DAT4">#REF!</definedName>
    <definedName name="__DAT5" localSheetId="0">#REF!</definedName>
    <definedName name="__DAT5" localSheetId="18">#REF!</definedName>
    <definedName name="__DAT5">#REF!</definedName>
    <definedName name="__DAT6" localSheetId="0">#REF!</definedName>
    <definedName name="__DAT6" localSheetId="18">#REF!</definedName>
    <definedName name="__DAT6">#REF!</definedName>
    <definedName name="__DAT7" localSheetId="0">#REF!</definedName>
    <definedName name="__DAT7" localSheetId="18">#REF!</definedName>
    <definedName name="__DAT7">#REF!</definedName>
    <definedName name="__DAT8" localSheetId="0">#REF!</definedName>
    <definedName name="__DAT8" localSheetId="18">#REF!</definedName>
    <definedName name="__DAT8">#REF!</definedName>
    <definedName name="__DAT9" localSheetId="0">#REF!</definedName>
    <definedName name="__DAT9" localSheetId="18">#REF!</definedName>
    <definedName name="__DAT9">#REF!</definedName>
    <definedName name="__DET1" localSheetId="0">#REF!</definedName>
    <definedName name="__DET1" localSheetId="18">#REF!</definedName>
    <definedName name="__DET1">#REF!</definedName>
    <definedName name="__DET2" localSheetId="0">#REF!</definedName>
    <definedName name="__DET2" localSheetId="18">#REF!</definedName>
    <definedName name="__DET2">#REF!</definedName>
    <definedName name="__DET3" localSheetId="0">#REF!</definedName>
    <definedName name="__DET3" localSheetId="18">#REF!</definedName>
    <definedName name="__DET3">#REF!</definedName>
    <definedName name="__DET4" localSheetId="0">#REF!</definedName>
    <definedName name="__DET4" localSheetId="18">#REF!</definedName>
    <definedName name="__DET4">#REF!</definedName>
    <definedName name="__DET5" localSheetId="0">#REF!</definedName>
    <definedName name="__DET5" localSheetId="18">#REF!</definedName>
    <definedName name="__DET5">#REF!</definedName>
    <definedName name="__DET6" localSheetId="0">#REF!</definedName>
    <definedName name="__DET6" localSheetId="18">#REF!</definedName>
    <definedName name="__DET6">#REF!</definedName>
    <definedName name="__dol11">#REF!</definedName>
    <definedName name="__drg1" localSheetId="0">#REF!</definedName>
    <definedName name="__drg1" localSheetId="18">#REF!</definedName>
    <definedName name="__drg1">#REF!</definedName>
    <definedName name="__drg2" localSheetId="0">#REF!</definedName>
    <definedName name="__drg2" localSheetId="18">#REF!</definedName>
    <definedName name="__drg2">#REF!</definedName>
    <definedName name="__EdFJsKAA" localSheetId="18">#REF!</definedName>
    <definedName name="__EdFJsKAA">#REF!</definedName>
    <definedName name="__fac1" localSheetId="0">#REF!</definedName>
    <definedName name="__fac1" localSheetId="18">#REF!</definedName>
    <definedName name="__fac1">#REF!</definedName>
    <definedName name="__fac2" localSheetId="0">#REF!</definedName>
    <definedName name="__fac2" localSheetId="18">#REF!</definedName>
    <definedName name="__fac2">#REF!</definedName>
    <definedName name="__fac3" localSheetId="0">#REF!</definedName>
    <definedName name="__fac3" localSheetId="18">#REF!</definedName>
    <definedName name="__fac3">#REF!</definedName>
    <definedName name="__Ki1" localSheetId="0">#REF!</definedName>
    <definedName name="__Ki1" localSheetId="18">#REF!</definedName>
    <definedName name="__Ki1">#REF!</definedName>
    <definedName name="__Ki2" localSheetId="0">#REF!</definedName>
    <definedName name="__Ki2" localSheetId="18">#REF!</definedName>
    <definedName name="__Ki2">#REF!</definedName>
    <definedName name="__mcc1">#REF!</definedName>
    <definedName name="__mcc2">#REF!</definedName>
    <definedName name="__mp1">#REF!</definedName>
    <definedName name="__out2" localSheetId="0">#REF!</definedName>
    <definedName name="__out2" localSheetId="18">#REF!</definedName>
    <definedName name="__out2">#REF!</definedName>
    <definedName name="__pdp1">#REF!</definedName>
    <definedName name="__pdp2">#REF!</definedName>
    <definedName name="__pdp3">#REF!</definedName>
    <definedName name="__pep99" localSheetId="0">#REF!</definedName>
    <definedName name="__pep99" localSheetId="18">#REF!</definedName>
    <definedName name="__pep99">#REF!</definedName>
    <definedName name="__ps1" localSheetId="0">#REF!</definedName>
    <definedName name="__ps1" localSheetId="18">#REF!</definedName>
    <definedName name="__ps1">#REF!</definedName>
    <definedName name="__Re1" localSheetId="0">#REF!</definedName>
    <definedName name="__Re1" localSheetId="18">#REF!</definedName>
    <definedName name="__Re1">#REF!</definedName>
    <definedName name="__row1">#REF!</definedName>
    <definedName name="__Rs1" localSheetId="0">#REF!</definedName>
    <definedName name="__Rs1" localSheetId="18">#REF!</definedName>
    <definedName name="__Rs1">#REF!</definedName>
    <definedName name="__SAP1" localSheetId="0">#REF!</definedName>
    <definedName name="__SAP1" localSheetId="18">#REF!</definedName>
    <definedName name="__SAP1">#REF!</definedName>
    <definedName name="__SAP10" localSheetId="0">#REF!</definedName>
    <definedName name="__SAP10" localSheetId="18">#REF!</definedName>
    <definedName name="__SAP10">#REF!</definedName>
    <definedName name="__SAP11" localSheetId="0">#REF!</definedName>
    <definedName name="__SAP11" localSheetId="18">#REF!</definedName>
    <definedName name="__SAP11">#REF!</definedName>
    <definedName name="__SAP2" localSheetId="0">#REF!</definedName>
    <definedName name="__SAP2" localSheetId="18">#REF!</definedName>
    <definedName name="__SAP2">#REF!</definedName>
    <definedName name="__SAP3" localSheetId="0">#REF!</definedName>
    <definedName name="__SAP3" localSheetId="18">#REF!</definedName>
    <definedName name="__SAP3">#REF!</definedName>
    <definedName name="__SAP4" localSheetId="0">#REF!</definedName>
    <definedName name="__SAP4" localSheetId="18">#REF!</definedName>
    <definedName name="__SAP4">#REF!</definedName>
    <definedName name="__SAP5" localSheetId="0">#REF!</definedName>
    <definedName name="__SAP5" localSheetId="18">#REF!</definedName>
    <definedName name="__SAP5">#REF!</definedName>
    <definedName name="__SAP6" localSheetId="0">#REF!</definedName>
    <definedName name="__SAP6" localSheetId="18">#REF!</definedName>
    <definedName name="__SAP6">#REF!</definedName>
    <definedName name="__SAP7" localSheetId="0">#REF!</definedName>
    <definedName name="__SAP7" localSheetId="18">#REF!</definedName>
    <definedName name="__SAP7">#REF!</definedName>
    <definedName name="__SAP8" localSheetId="0">#REF!</definedName>
    <definedName name="__SAP8" localSheetId="18">#REF!</definedName>
    <definedName name="__SAP8">#REF!</definedName>
    <definedName name="__SAP9" localSheetId="0">#REF!</definedName>
    <definedName name="__SAP9" localSheetId="18">#REF!</definedName>
    <definedName name="__SAP9">#REF!</definedName>
    <definedName name="__sch2" localSheetId="0">#REF!</definedName>
    <definedName name="__sch2" localSheetId="18">#REF!</definedName>
    <definedName name="__sch2">#REF!</definedName>
    <definedName name="__sch9" localSheetId="0">#REF!</definedName>
    <definedName name="__sch9" localSheetId="18">#REF!</definedName>
    <definedName name="__sch9">#REF!</definedName>
    <definedName name="_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0">#REF!</definedName>
    <definedName name="__SS402" localSheetId="18">#REF!</definedName>
    <definedName name="__SS402">#REF!</definedName>
    <definedName name="__SS403" localSheetId="0">#REF!</definedName>
    <definedName name="__SS403" localSheetId="18">#REF!</definedName>
    <definedName name="__SS403">#REF!</definedName>
    <definedName name="__SS404" localSheetId="0">#REF!</definedName>
    <definedName name="__SS404" localSheetId="18">#REF!</definedName>
    <definedName name="__SS404">#REF!</definedName>
    <definedName name="__SS405" localSheetId="0">#REF!</definedName>
    <definedName name="__SS405" localSheetId="18">#REF!</definedName>
    <definedName name="__SS405">#REF!</definedName>
    <definedName name="__SS406" localSheetId="0">#REF!</definedName>
    <definedName name="__SS406" localSheetId="18">#REF!</definedName>
    <definedName name="__SS406">#REF!</definedName>
    <definedName name="__SS407" localSheetId="0">#REF!</definedName>
    <definedName name="__SS407" localSheetId="18">#REF!</definedName>
    <definedName name="__SS407">#REF!</definedName>
    <definedName name="__SS408" localSheetId="0">#REF!</definedName>
    <definedName name="__SS408" localSheetId="18">#REF!</definedName>
    <definedName name="__SS408">#REF!</definedName>
    <definedName name="__SS409" localSheetId="0">#REF!</definedName>
    <definedName name="__SS409" localSheetId="18">#REF!</definedName>
    <definedName name="__SS409">#REF!</definedName>
    <definedName name="__SS423" localSheetId="0">#REF!</definedName>
    <definedName name="__SS423" localSheetId="18">#REF!</definedName>
    <definedName name="__SS423">#REF!</definedName>
    <definedName name="__SS424" localSheetId="0">#REF!</definedName>
    <definedName name="__SS424" localSheetId="18">#REF!</definedName>
    <definedName name="__SS424">#REF!</definedName>
    <definedName name="__try1">#REF!</definedName>
    <definedName name="__xlnm.Print_Titles_2">(#REF!,#REF!)</definedName>
    <definedName name="__xlnm.Print_Titles_3" localSheetId="0">(#REF!,#REF!)</definedName>
    <definedName name="__xlnm.Print_Titles_3" localSheetId="18">(#REF!,#REF!)</definedName>
    <definedName name="__xlnm.Print_Titles_3">(#REF!,#REF!)</definedName>
    <definedName name="_00" localSheetId="0">#REF!</definedName>
    <definedName name="_00" localSheetId="18">#REF!</definedName>
    <definedName name="_00">#REF!</definedName>
    <definedName name="_01" localSheetId="0">#REF!</definedName>
    <definedName name="_01" localSheetId="18">#REF!</definedName>
    <definedName name="_01">#REF!</definedName>
    <definedName name="_02">#N/A</definedName>
    <definedName name="_03">#N/A</definedName>
    <definedName name="_04">#N/A</definedName>
    <definedName name="_04_DIPL___TITEL" localSheetId="0">#REF!</definedName>
    <definedName name="_04_DIPL___TITEL" localSheetId="18">#REF!</definedName>
    <definedName name="_04_DIPL___TITEL">#REF!</definedName>
    <definedName name="_05" localSheetId="0">#REF!</definedName>
    <definedName name="_05" localSheetId="18">#REF!</definedName>
    <definedName name="_05">#REF!</definedName>
    <definedName name="_06">#N/A</definedName>
    <definedName name="_09_cost" localSheetId="0">#REF!</definedName>
    <definedName name="_09_cost" localSheetId="18">#REF!</definedName>
    <definedName name="_09_cost">#REF!</definedName>
    <definedName name="_09_cost_2">#REF!</definedName>
    <definedName name="_09_IBR_marketing_manpower_cost" localSheetId="0">#REF!</definedName>
    <definedName name="_09_IBR_marketing_manpower_cost" localSheetId="18">#REF!</definedName>
    <definedName name="_09_IBR_marketing_manpower_cost">#REF!</definedName>
    <definedName name="_09_IBR_marketing_manpower_cost_1" localSheetId="0">#REF!</definedName>
    <definedName name="_09_IBR_marketing_manpower_cost_1" localSheetId="18">#REF!</definedName>
    <definedName name="_09_IBR_marketing_manpower_cost_1">#REF!</definedName>
    <definedName name="_09_IBR_marketing_sales_cost" localSheetId="0">#REF!</definedName>
    <definedName name="_09_IBR_marketing_sales_cost" localSheetId="18">#REF!</definedName>
    <definedName name="_09_IBR_marketing_sales_cost">#REF!</definedName>
    <definedName name="_09_IBR_reps" localSheetId="0">#REF!</definedName>
    <definedName name="_09_IBR_reps" localSheetId="18">#REF!</definedName>
    <definedName name="_09_IBR_reps">#REF!</definedName>
    <definedName name="_1">#N/A</definedName>
    <definedName name="_1__123Graph_ACHART_1" hidden="1">#REF!</definedName>
    <definedName name="_2">#N/A</definedName>
    <definedName name="_2__123Graph_BCHART_1" hidden="1">#REF!</definedName>
    <definedName name="_3">#N/A</definedName>
    <definedName name="_3__123Graph_CCHART_1" hidden="1">#REF!</definedName>
    <definedName name="_4">#N/A</definedName>
    <definedName name="_5">#N/A</definedName>
    <definedName name="_6">#N/A</definedName>
    <definedName name="_7">#N/A</definedName>
    <definedName name="_8">#N/A</definedName>
    <definedName name="_a1" localSheetId="0">#REF!</definedName>
    <definedName name="_a1" localSheetId="18">#REF!</definedName>
    <definedName name="_a1">#REF!</definedName>
    <definedName name="_a655601">#REF!</definedName>
    <definedName name="_aba2" localSheetId="0">#REF!</definedName>
    <definedName name="_aba2" localSheetId="18">#REF!</definedName>
    <definedName name="_aba2">#REF!</definedName>
    <definedName name="_adj1" localSheetId="0">#REF!</definedName>
    <definedName name="_adj1" localSheetId="18">#REF!</definedName>
    <definedName name="_adj1">#REF!</definedName>
    <definedName name="_ahu1">#REF!</definedName>
    <definedName name="_ahu2">#REF!</definedName>
    <definedName name="_Ast1" localSheetId="0">#REF!</definedName>
    <definedName name="_Ast1" localSheetId="18">#REF!</definedName>
    <definedName name="_Ast1">#REF!</definedName>
    <definedName name="_Ast2" localSheetId="0">#REF!</definedName>
    <definedName name="_Ast2" localSheetId="18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om1" localSheetId="0">#REF!</definedName>
    <definedName name="_bom1" localSheetId="18">#REF!</definedName>
    <definedName name="_bom1">#REF!</definedName>
    <definedName name="_CE1">#REF!</definedName>
    <definedName name="_CFB1" localSheetId="0">#REF!</definedName>
    <definedName name="_CFB1" localSheetId="18">#REF!</definedName>
    <definedName name="_CFB1">#REF!</definedName>
    <definedName name="_CFB2" localSheetId="0">#REF!</definedName>
    <definedName name="_CFB2" localSheetId="18">#REF!</definedName>
    <definedName name="_CFB2">#REF!</definedName>
    <definedName name="_CFB3" localSheetId="0">#REF!</definedName>
    <definedName name="_CFB3" localSheetId="18">#REF!</definedName>
    <definedName name="_CFB3">#REF!</definedName>
    <definedName name="_DAT1" localSheetId="0">#REF!</definedName>
    <definedName name="_DAT1" localSheetId="18">#REF!</definedName>
    <definedName name="_DAT1">#REF!</definedName>
    <definedName name="_DAT10" localSheetId="0">#REF!</definedName>
    <definedName name="_DAT10" localSheetId="18">#REF!</definedName>
    <definedName name="_DAT10">#REF!</definedName>
    <definedName name="_DAT11" localSheetId="0">#REF!</definedName>
    <definedName name="_DAT11" localSheetId="18">#REF!</definedName>
    <definedName name="_DAT11">#REF!</definedName>
    <definedName name="_DAT12" localSheetId="0">#REF!</definedName>
    <definedName name="_DAT12" localSheetId="18">#REF!</definedName>
    <definedName name="_DAT12">#REF!</definedName>
    <definedName name="_DAT13" localSheetId="0">#REF!</definedName>
    <definedName name="_DAT13" localSheetId="18">#REF!</definedName>
    <definedName name="_DAT13">#REF!</definedName>
    <definedName name="_DAT14" localSheetId="0">#REF!</definedName>
    <definedName name="_DAT14" localSheetId="18">#REF!</definedName>
    <definedName name="_DAT14">#REF!</definedName>
    <definedName name="_DAT15" localSheetId="0">#REF!</definedName>
    <definedName name="_DAT15" localSheetId="18">#REF!</definedName>
    <definedName name="_DAT15">#REF!</definedName>
    <definedName name="_DAT16" localSheetId="0">#REF!</definedName>
    <definedName name="_DAT16" localSheetId="18">#REF!</definedName>
    <definedName name="_DAT16">#REF!</definedName>
    <definedName name="_DAT17" localSheetId="18">#REF!</definedName>
    <definedName name="_DAT17">#REF!</definedName>
    <definedName name="_DAT18" localSheetId="18">#REF!</definedName>
    <definedName name="_DAT18">#REF!</definedName>
    <definedName name="_DAT2" localSheetId="0">#REF!</definedName>
    <definedName name="_DAT2" localSheetId="18">#REF!</definedName>
    <definedName name="_DAT2">#REF!</definedName>
    <definedName name="_DAT3" localSheetId="0">#REF!</definedName>
    <definedName name="_DAT3" localSheetId="18">#REF!</definedName>
    <definedName name="_DAT3">#REF!</definedName>
    <definedName name="_DAT4" localSheetId="0">#REF!</definedName>
    <definedName name="_DAT4" localSheetId="18">#REF!</definedName>
    <definedName name="_DAT4">#REF!</definedName>
    <definedName name="_DAT5" localSheetId="0">#REF!</definedName>
    <definedName name="_DAT5" localSheetId="18">#REF!</definedName>
    <definedName name="_DAT5">#REF!</definedName>
    <definedName name="_DAT6" localSheetId="0">#REF!</definedName>
    <definedName name="_DAT6" localSheetId="18">#REF!</definedName>
    <definedName name="_DAT6">#REF!</definedName>
    <definedName name="_DAT7" localSheetId="0">#REF!</definedName>
    <definedName name="_DAT7" localSheetId="18">#REF!</definedName>
    <definedName name="_DAT7">#REF!</definedName>
    <definedName name="_DAT8" localSheetId="0">#REF!</definedName>
    <definedName name="_DAT8" localSheetId="18">#REF!</definedName>
    <definedName name="_DAT8">#REF!</definedName>
    <definedName name="_DAT9" localSheetId="0">#REF!</definedName>
    <definedName name="_DAT9" localSheetId="18">#REF!</definedName>
    <definedName name="_DAT9">#REF!</definedName>
    <definedName name="_DET1" localSheetId="0">#REF!</definedName>
    <definedName name="_DET1" localSheetId="18">#REF!</definedName>
    <definedName name="_DET1">#REF!</definedName>
    <definedName name="_DET2" localSheetId="0">#REF!</definedName>
    <definedName name="_DET2" localSheetId="18">#REF!</definedName>
    <definedName name="_DET2">#REF!</definedName>
    <definedName name="_DET3" localSheetId="0">#REF!</definedName>
    <definedName name="_DET3" localSheetId="18">#REF!</definedName>
    <definedName name="_DET3">#REF!</definedName>
    <definedName name="_DET4" localSheetId="0">#REF!</definedName>
    <definedName name="_DET4" localSheetId="18">#REF!</definedName>
    <definedName name="_DET4">#REF!</definedName>
    <definedName name="_DET5" localSheetId="0">#REF!</definedName>
    <definedName name="_DET5" localSheetId="18">#REF!</definedName>
    <definedName name="_DET5">#REF!</definedName>
    <definedName name="_DET6" localSheetId="0">#REF!</definedName>
    <definedName name="_DET6" localSheetId="18">#REF!</definedName>
    <definedName name="_DET6">#REF!</definedName>
    <definedName name="_dol11">#REF!</definedName>
    <definedName name="_DPS1" localSheetId="0">#REF!</definedName>
    <definedName name="_DPS1" localSheetId="18">#REF!</definedName>
    <definedName name="_DPS1">#REF!</definedName>
    <definedName name="_DPS2" localSheetId="0">#REF!</definedName>
    <definedName name="_DPS2" localSheetId="18">#REF!</definedName>
    <definedName name="_DPS2">#REF!</definedName>
    <definedName name="_drg1" localSheetId="0">#REF!</definedName>
    <definedName name="_drg1" localSheetId="18">#REF!</definedName>
    <definedName name="_drg1">#REF!</definedName>
    <definedName name="_drg2" localSheetId="0">#REF!</definedName>
    <definedName name="_drg2" localSheetId="18">#REF!</definedName>
    <definedName name="_drg2">#REF!</definedName>
    <definedName name="_fac1" localSheetId="0">#REF!</definedName>
    <definedName name="_fac1" localSheetId="18">#REF!</definedName>
    <definedName name="_fac1">#REF!</definedName>
    <definedName name="_fac2" localSheetId="0">#REF!</definedName>
    <definedName name="_fac2" localSheetId="18">#REF!</definedName>
    <definedName name="_fac2">#REF!</definedName>
    <definedName name="_fac3" localSheetId="0">#REF!</definedName>
    <definedName name="_fac3" localSheetId="18">#REF!</definedName>
    <definedName name="_fac3">#REF!</definedName>
    <definedName name="_Fill" hidden="1">#REF!</definedName>
    <definedName name="_xlnm._FilterDatabase" localSheetId="20" hidden="1">Crossing!$A$2:$P$49</definedName>
    <definedName name="_xlnm._FilterDatabase" localSheetId="12" hidden="1">'Erection '!$A$3:$P$187</definedName>
    <definedName name="_xlnm._FilterDatabase" localSheetId="11" hidden="1">FDN!$A$2:$N$305</definedName>
    <definedName name="_xlnm._FilterDatabase" localSheetId="6" hidden="1">Sheet3!$A$1:$A$26</definedName>
    <definedName name="_xlnm._FilterDatabase" localSheetId="16" hidden="1">Sheet4!$A$10:$MO$361</definedName>
    <definedName name="_xlnm._FilterDatabase" localSheetId="15" hidden="1">Sheet6!$B$2:$E$47</definedName>
    <definedName name="_xlnm._FilterDatabase" localSheetId="17" hidden="1">Sheet7!$B$3:$B$265</definedName>
    <definedName name="_xlnm._FilterDatabase" localSheetId="9" hidden="1">'Soil Inv.'!$A$2:$I$35</definedName>
    <definedName name="_xlnm._FilterDatabase" localSheetId="19" hidden="1">String!$A$3:$Q$10</definedName>
    <definedName name="_xlnm._FilterDatabase" localSheetId="18" hidden="1">'Stringing Compiled'!$A$3:$XEN$6</definedName>
    <definedName name="_xlnm._FilterDatabase" hidden="1">#REF!</definedName>
    <definedName name="_in18900" localSheetId="0">#REF!</definedName>
    <definedName name="_in18900" localSheetId="18">#REF!</definedName>
    <definedName name="_in18900">#REF!</definedName>
    <definedName name="_iv19000" localSheetId="0">#REF!</definedName>
    <definedName name="_iv19000" localSheetId="18">#REF!</definedName>
    <definedName name="_iv19000">#REF!</definedName>
    <definedName name="_Key1" localSheetId="0" hidden="1">#REF!</definedName>
    <definedName name="_Key1" localSheetId="18" hidden="1">#REF!</definedName>
    <definedName name="_Key1" hidden="1">#REF!</definedName>
    <definedName name="_Key2" localSheetId="0" hidden="1">#REF!</definedName>
    <definedName name="_Key2" localSheetId="18" hidden="1">#REF!</definedName>
    <definedName name="_Key2" hidden="1">#REF!</definedName>
    <definedName name="_Ki1" localSheetId="0">#REF!</definedName>
    <definedName name="_Ki1" localSheetId="18">#REF!</definedName>
    <definedName name="_Ki1">#REF!</definedName>
    <definedName name="_Ki2" localSheetId="0">#REF!</definedName>
    <definedName name="_Ki2" localSheetId="18">#REF!</definedName>
    <definedName name="_Ki2">#REF!</definedName>
    <definedName name="_mcc1">#REF!</definedName>
    <definedName name="_mcc2">#REF!</definedName>
    <definedName name="_mp1">#REF!</definedName>
    <definedName name="_Order1" hidden="1">255</definedName>
    <definedName name="_Order2" hidden="1">255</definedName>
    <definedName name="_out2" localSheetId="0">#REF!</definedName>
    <definedName name="_out2" localSheetId="18">#REF!</definedName>
    <definedName name="_out2">#REF!</definedName>
    <definedName name="_pdp1">#REF!</definedName>
    <definedName name="_pdp2">#REF!</definedName>
    <definedName name="_pdp3">#REF!</definedName>
    <definedName name="_pep99" localSheetId="0">#REF!</definedName>
    <definedName name="_pep99" localSheetId="18">#REF!</definedName>
    <definedName name="_pep99">#REF!</definedName>
    <definedName name="_ps1" localSheetId="0">#REF!</definedName>
    <definedName name="_ps1" localSheetId="18">#REF!</definedName>
    <definedName name="_ps1">#REF!</definedName>
    <definedName name="_Re1" localSheetId="0">#REF!</definedName>
    <definedName name="_Re1" localSheetId="18">#REF!</definedName>
    <definedName name="_Re1">#REF!</definedName>
    <definedName name="_row1">#REF!</definedName>
    <definedName name="_Rs1" localSheetId="0">#REF!</definedName>
    <definedName name="_Rs1" localSheetId="18">#REF!</definedName>
    <definedName name="_Rs1">#REF!</definedName>
    <definedName name="_SAP1" localSheetId="0">#REF!</definedName>
    <definedName name="_SAP1" localSheetId="18">#REF!</definedName>
    <definedName name="_SAP1">#REF!</definedName>
    <definedName name="_SAP10" localSheetId="0">#REF!</definedName>
    <definedName name="_SAP10" localSheetId="18">#REF!</definedName>
    <definedName name="_SAP10">#REF!</definedName>
    <definedName name="_SAP11" localSheetId="0">#REF!</definedName>
    <definedName name="_SAP11" localSheetId="18">#REF!</definedName>
    <definedName name="_SAP11">#REF!</definedName>
    <definedName name="_SAP2" localSheetId="0">#REF!</definedName>
    <definedName name="_SAP2" localSheetId="18">#REF!</definedName>
    <definedName name="_SAP2">#REF!</definedName>
    <definedName name="_SAP3" localSheetId="0">#REF!</definedName>
    <definedName name="_SAP3" localSheetId="18">#REF!</definedName>
    <definedName name="_SAP3">#REF!</definedName>
    <definedName name="_SAP4" localSheetId="0">#REF!</definedName>
    <definedName name="_SAP4" localSheetId="18">#REF!</definedName>
    <definedName name="_SAP4">#REF!</definedName>
    <definedName name="_SAP5" localSheetId="0">#REF!</definedName>
    <definedName name="_SAP5" localSheetId="18">#REF!</definedName>
    <definedName name="_SAP5">#REF!</definedName>
    <definedName name="_SAP6" localSheetId="0">#REF!</definedName>
    <definedName name="_SAP6" localSheetId="18">#REF!</definedName>
    <definedName name="_SAP6">#REF!</definedName>
    <definedName name="_SAP7" localSheetId="0">#REF!</definedName>
    <definedName name="_SAP7" localSheetId="18">#REF!</definedName>
    <definedName name="_SAP7">#REF!</definedName>
    <definedName name="_SAP8" localSheetId="0">#REF!</definedName>
    <definedName name="_SAP8" localSheetId="18">#REF!</definedName>
    <definedName name="_SAP8">#REF!</definedName>
    <definedName name="_SAP9" localSheetId="0">#REF!</definedName>
    <definedName name="_SAP9" localSheetId="18">#REF!</definedName>
    <definedName name="_SAP9">#REF!</definedName>
    <definedName name="_sch2" localSheetId="0">#REF!</definedName>
    <definedName name="_sch2" localSheetId="18">#REF!</definedName>
    <definedName name="_sch2">#REF!</definedName>
    <definedName name="_sch9" localSheetId="0">#REF!</definedName>
    <definedName name="_sch9" localSheetId="18">#REF!</definedName>
    <definedName name="_sch9">#REF!</definedName>
    <definedName name="_Sort" localSheetId="0" hidden="1">#REF!</definedName>
    <definedName name="_Sort" localSheetId="18" hidden="1">#REF!</definedName>
    <definedName name="_Sort" hidden="1">#REF!</definedName>
    <definedName name="_sp1" localSheetId="0">#REF!</definedName>
    <definedName name="_sp1" localSheetId="18">#REF!</definedName>
    <definedName name="_sp1">#REF!</definedName>
    <definedName name="_sp10" localSheetId="0">#REF!</definedName>
    <definedName name="_sp10" localSheetId="18">#REF!</definedName>
    <definedName name="_sp10">#REF!</definedName>
    <definedName name="_sp11" localSheetId="0">#REF!</definedName>
    <definedName name="_sp11" localSheetId="18">#REF!</definedName>
    <definedName name="_sp11">#REF!</definedName>
    <definedName name="_sp12" localSheetId="0">#REF!</definedName>
    <definedName name="_sp12" localSheetId="18">#REF!</definedName>
    <definedName name="_sp12">#REF!</definedName>
    <definedName name="_sp13" localSheetId="0">#REF!</definedName>
    <definedName name="_sp13" localSheetId="18">#REF!</definedName>
    <definedName name="_sp13">#REF!</definedName>
    <definedName name="_sp14" localSheetId="0">#REF!</definedName>
    <definedName name="_sp14" localSheetId="18">#REF!</definedName>
    <definedName name="_sp14">#REF!</definedName>
    <definedName name="_sp15" localSheetId="0">#REF!</definedName>
    <definedName name="_sp15" localSheetId="18">#REF!</definedName>
    <definedName name="_sp15">#REF!</definedName>
    <definedName name="_sp2" localSheetId="0">#REF!</definedName>
    <definedName name="_sp2" localSheetId="18">#REF!</definedName>
    <definedName name="_sp2">#REF!</definedName>
    <definedName name="_sp3" localSheetId="0">#REF!</definedName>
    <definedName name="_sp3" localSheetId="18">#REF!</definedName>
    <definedName name="_sp3">#REF!</definedName>
    <definedName name="_sp4" localSheetId="0">#REF!</definedName>
    <definedName name="_sp4" localSheetId="18">#REF!</definedName>
    <definedName name="_sp4">#REF!</definedName>
    <definedName name="_sp5" localSheetId="0">#REF!</definedName>
    <definedName name="_sp5" localSheetId="18">#REF!</definedName>
    <definedName name="_sp5">#REF!</definedName>
    <definedName name="_sp6" localSheetId="0">#REF!</definedName>
    <definedName name="_sp6" localSheetId="18">#REF!</definedName>
    <definedName name="_sp6">#REF!</definedName>
    <definedName name="_sp7" localSheetId="0">#REF!</definedName>
    <definedName name="_sp7" localSheetId="18">#REF!</definedName>
    <definedName name="_sp7">#REF!</definedName>
    <definedName name="_sp8" localSheetId="0">#REF!</definedName>
    <definedName name="_sp8" localSheetId="18">#REF!</definedName>
    <definedName name="_sp8">#REF!</definedName>
    <definedName name="_sp9" localSheetId="0">#REF!</definedName>
    <definedName name="_sp9" localSheetId="18">#REF!</definedName>
    <definedName name="_sp9">#REF!</definedName>
    <definedName name="_srk1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0">#REF!</definedName>
    <definedName name="_SS402" localSheetId="18">#REF!</definedName>
    <definedName name="_SS402">#REF!</definedName>
    <definedName name="_SS403" localSheetId="0">#REF!</definedName>
    <definedName name="_SS403" localSheetId="18">#REF!</definedName>
    <definedName name="_SS403">#REF!</definedName>
    <definedName name="_SS404" localSheetId="0">#REF!</definedName>
    <definedName name="_SS404" localSheetId="18">#REF!</definedName>
    <definedName name="_SS404">#REF!</definedName>
    <definedName name="_SS405" localSheetId="0">#REF!</definedName>
    <definedName name="_SS405" localSheetId="18">#REF!</definedName>
    <definedName name="_SS405">#REF!</definedName>
    <definedName name="_SS406" localSheetId="0">#REF!</definedName>
    <definedName name="_SS406" localSheetId="18">#REF!</definedName>
    <definedName name="_SS406">#REF!</definedName>
    <definedName name="_SS407" localSheetId="0">#REF!</definedName>
    <definedName name="_SS407" localSheetId="18">#REF!</definedName>
    <definedName name="_SS407">#REF!</definedName>
    <definedName name="_SS408" localSheetId="0">#REF!</definedName>
    <definedName name="_SS408" localSheetId="18">#REF!</definedName>
    <definedName name="_SS408">#REF!</definedName>
    <definedName name="_SS409" localSheetId="0">#REF!</definedName>
    <definedName name="_SS409" localSheetId="18">#REF!</definedName>
    <definedName name="_SS409">#REF!</definedName>
    <definedName name="_SS423" localSheetId="0">#REF!</definedName>
    <definedName name="_SS423" localSheetId="18">#REF!</definedName>
    <definedName name="_SS423">#REF!</definedName>
    <definedName name="_SS424" localSheetId="0">#REF!</definedName>
    <definedName name="_SS424" localSheetId="18">#REF!</definedName>
    <definedName name="_SS424">#REF!</definedName>
    <definedName name="_TAB1">#REF!</definedName>
    <definedName name="_tab3" localSheetId="0">#REF!</definedName>
    <definedName name="_tab3" localSheetId="18">#REF!</definedName>
    <definedName name="_tab3">#REF!</definedName>
    <definedName name="_tab8" localSheetId="0">#REF!</definedName>
    <definedName name="_tab8" localSheetId="18">#REF!</definedName>
    <definedName name="_tab8">#REF!</definedName>
    <definedName name="_try1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0">#REF!</definedName>
    <definedName name="a" localSheetId="18">#REF!</definedName>
    <definedName name="a">#REF!</definedName>
    <definedName name="a0">#REF!</definedName>
    <definedName name="A1_" localSheetId="0">#REF!</definedName>
    <definedName name="A1_" localSheetId="18">#REF!</definedName>
    <definedName name="A1_">#REF!</definedName>
    <definedName name="A10_" localSheetId="0">#REF!</definedName>
    <definedName name="A10_" localSheetId="18">#REF!</definedName>
    <definedName name="A10_">#REF!</definedName>
    <definedName name="A13_" localSheetId="0">#REF!</definedName>
    <definedName name="A13_" localSheetId="18">#REF!</definedName>
    <definedName name="A13_">#REF!</definedName>
    <definedName name="A1HELLO">#REF!</definedName>
    <definedName name="A2_" localSheetId="0">#REF!</definedName>
    <definedName name="A2_" localSheetId="18">#REF!</definedName>
    <definedName name="A2_">#REF!</definedName>
    <definedName name="A2hello">#REF!</definedName>
    <definedName name="A3_" localSheetId="0">#REF!</definedName>
    <definedName name="A3_" localSheetId="18">#REF!</definedName>
    <definedName name="A3_">#REF!</definedName>
    <definedName name="A4_" localSheetId="0">#REF!</definedName>
    <definedName name="A4_" localSheetId="18">#REF!</definedName>
    <definedName name="A4_">#REF!</definedName>
    <definedName name="A5_" localSheetId="0">#REF!</definedName>
    <definedName name="A5_" localSheetId="18">#REF!</definedName>
    <definedName name="A5_">#REF!</definedName>
    <definedName name="A6_" localSheetId="0">#REF!</definedName>
    <definedName name="A6_" localSheetId="18">#REF!</definedName>
    <definedName name="A6_">#REF!</definedName>
    <definedName name="A65379A10" localSheetId="0">#REF!</definedName>
    <definedName name="A65379A10" localSheetId="18">#REF!</definedName>
    <definedName name="A65379A10">#REF!</definedName>
    <definedName name="A7_" localSheetId="0">#REF!</definedName>
    <definedName name="A7_" localSheetId="18">#REF!</definedName>
    <definedName name="A7_">#REF!</definedName>
    <definedName name="A8_" localSheetId="0">#REF!</definedName>
    <definedName name="A8_" localSheetId="18">#REF!</definedName>
    <definedName name="A8_">#REF!</definedName>
    <definedName name="A9_" localSheetId="0">#REF!</definedName>
    <definedName name="A9_" localSheetId="18">#REF!</definedName>
    <definedName name="A9_">#REF!</definedName>
    <definedName name="AA" localSheetId="0">#REF!</definedName>
    <definedName name="AA" localSheetId="18">#REF!</definedName>
    <definedName name="AA">#REF!</definedName>
    <definedName name="aaa" localSheetId="0">#REF!</definedName>
    <definedName name="aaa" localSheetId="18">#REF!</definedName>
    <definedName name="aaa">#REF!</definedName>
    <definedName name="AAAA">#REF!</definedName>
    <definedName name="AABC" localSheetId="0">#REF!</definedName>
    <definedName name="AABC" localSheetId="18">#REF!</definedName>
    <definedName name="AABC">#REF!</definedName>
    <definedName name="ab" localSheetId="0">#REF!</definedName>
    <definedName name="ab" localSheetId="18">#REF!</definedName>
    <definedName name="ab">#REF!</definedName>
    <definedName name="ABACUS" localSheetId="0">#REF!</definedName>
    <definedName name="ABACUS" localSheetId="18">#REF!</definedName>
    <definedName name="ABACUS">#REF!</definedName>
    <definedName name="abc" localSheetId="0">#REF!</definedName>
    <definedName name="abc" localSheetId="18">#REF!</definedName>
    <definedName name="abc">#REF!</definedName>
    <definedName name="ABCd">#REF!</definedName>
    <definedName name="AboveAvgGrowth" localSheetId="0">#REF!</definedName>
    <definedName name="AboveAvgGrowth" localSheetId="18">#REF!</definedName>
    <definedName name="AboveAvgGrowth">#REF!</definedName>
    <definedName name="AC" localSheetId="0">#REF!</definedName>
    <definedName name="AC" localSheetId="18">#REF!</definedName>
    <definedName name="AC">#REF!</definedName>
    <definedName name="AC_disc" localSheetId="0">#REF!</definedName>
    <definedName name="AC_disc" localSheetId="18">#REF!</definedName>
    <definedName name="AC_disc">#REF!</definedName>
    <definedName name="acc" localSheetId="0">#REF!</definedName>
    <definedName name="acc" localSheetId="18">#REF!</definedName>
    <definedName name="acc">#REF!</definedName>
    <definedName name="ACCABLESNOTINSY" localSheetId="0">#REF!</definedName>
    <definedName name="ACCABLESNOTINSY" localSheetId="18">#REF!</definedName>
    <definedName name="ACCABLESNOTINSY">#REF!</definedName>
    <definedName name="accp">#REF!</definedName>
    <definedName name="Act_Gp">#REF!</definedName>
    <definedName name="ADFD" localSheetId="0">#REF!</definedName>
    <definedName name="ADFD" localSheetId="18">#REF!</definedName>
    <definedName name="ADFD">#REF!</definedName>
    <definedName name="adj" localSheetId="0">#REF!</definedName>
    <definedName name="adj" localSheetId="18">#REF!</definedName>
    <definedName name="adj">#REF!</definedName>
    <definedName name="ADosCountries" localSheetId="18">#REF!</definedName>
    <definedName name="ADosCountries">#REF!</definedName>
    <definedName name="ADVIK">#REF!</definedName>
    <definedName name="AF_00" localSheetId="0">#REF!</definedName>
    <definedName name="AF_00" localSheetId="18">#REF!</definedName>
    <definedName name="AF_00">#REF!</definedName>
    <definedName name="AF_01" localSheetId="0">#REF!</definedName>
    <definedName name="AF_01" localSheetId="18">#REF!</definedName>
    <definedName name="AF_01">#REF!</definedName>
    <definedName name="AF_02" localSheetId="0">#REF!</definedName>
    <definedName name="AF_02" localSheetId="18">#REF!</definedName>
    <definedName name="AF_02">#REF!</definedName>
    <definedName name="AF_98" localSheetId="0">#REF!</definedName>
    <definedName name="AF_98" localSheetId="18">#REF!</definedName>
    <definedName name="AF_98">#REF!</definedName>
    <definedName name="AF_99" localSheetId="0">#REF!</definedName>
    <definedName name="AF_99" localSheetId="18">#REF!</definedName>
    <definedName name="AF_99">#REF!</definedName>
    <definedName name="AF_M_98">#REF!</definedName>
    <definedName name="AF_M_99">#REF!</definedName>
    <definedName name="Ag" localSheetId="0">#REF!</definedName>
    <definedName name="Ag" localSheetId="18">#REF!</definedName>
    <definedName name="Ag">#REF!</definedName>
    <definedName name="agra" localSheetId="0">#REF!</definedName>
    <definedName name="agra" localSheetId="18">#REF!</definedName>
    <definedName name="agra">#REF!</definedName>
    <definedName name="AICC_Serv" localSheetId="0">#REF!</definedName>
    <definedName name="AICC_Serv" localSheetId="18">#REF!</definedName>
    <definedName name="AICC_Serv">#REF!</definedName>
    <definedName name="AirConditioning" localSheetId="0">#REF!</definedName>
    <definedName name="AirConditioning" localSheetId="18">#REF!</definedName>
    <definedName name="AirConditioning">#REF!</definedName>
    <definedName name="ak" localSheetId="0">#REF!</definedName>
    <definedName name="ak" localSheetId="18">#REF!</definedName>
    <definedName name="ak">#REF!</definedName>
    <definedName name="alarms" localSheetId="0">#REF!</definedName>
    <definedName name="alarms" localSheetId="18">#REF!</definedName>
    <definedName name="alarms">#REF!</definedName>
    <definedName name="alpha">#REF!</definedName>
    <definedName name="alpha_disc" localSheetId="0">#REF!</definedName>
    <definedName name="alpha_disc" localSheetId="18">#REF!</definedName>
    <definedName name="alpha_disc">#REF!</definedName>
    <definedName name="alpha_ed" localSheetId="0">#REF!</definedName>
    <definedName name="alpha_ed" localSheetId="18">#REF!</definedName>
    <definedName name="alpha_ed">#REF!</definedName>
    <definedName name="Alw" localSheetId="0">#REF!</definedName>
    <definedName name="Alw" localSheetId="18">#REF!</definedName>
    <definedName name="Alw">#REF!</definedName>
    <definedName name="AMACountries" localSheetId="18">#REF!</definedName>
    <definedName name="AMACountries">#REF!</definedName>
    <definedName name="Amit" localSheetId="0">#REF!</definedName>
    <definedName name="Amit" localSheetId="18">#REF!</definedName>
    <definedName name="Amit">#REF!</definedName>
    <definedName name="AMN" localSheetId="0">#REF!</definedName>
    <definedName name="AMN" localSheetId="18">#REF!</definedName>
    <definedName name="AMN">#REF!</definedName>
    <definedName name="analysis">#REF!</definedName>
    <definedName name="angle_bracket1">#REF!</definedName>
    <definedName name="ANNEX" localSheetId="0">#REF!</definedName>
    <definedName name="ANNEX" localSheetId="18">#REF!</definedName>
    <definedName name="ANNEX">#REF!</definedName>
    <definedName name="ANNEX1">#REF!</definedName>
    <definedName name="ANNEX4" localSheetId="0">#REF!</definedName>
    <definedName name="ANNEX4" localSheetId="18">#REF!</definedName>
    <definedName name="ANNEX4">#REF!</definedName>
    <definedName name="annex4.1" localSheetId="0">#REF!</definedName>
    <definedName name="annex4.1" localSheetId="18">#REF!</definedName>
    <definedName name="annex4.1">#REF!</definedName>
    <definedName name="annex4.1a" localSheetId="0">#REF!</definedName>
    <definedName name="annex4.1a" localSheetId="18">#REF!</definedName>
    <definedName name="annex4.1a">#REF!</definedName>
    <definedName name="ANNEX4A" localSheetId="0">#REF!</definedName>
    <definedName name="ANNEX4A" localSheetId="18">#REF!</definedName>
    <definedName name="ANNEX4A">#REF!</definedName>
    <definedName name="ANNEX5" localSheetId="0">#REF!</definedName>
    <definedName name="ANNEX5" localSheetId="18">#REF!</definedName>
    <definedName name="ANNEX5">#REF!</definedName>
    <definedName name="annex6">#REF!</definedName>
    <definedName name="annexure_A" localSheetId="0">#REF!</definedName>
    <definedName name="annexure_A" localSheetId="18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0">#REF!</definedName>
    <definedName name="ANNEXURE4A" localSheetId="18">#REF!</definedName>
    <definedName name="ANNEXURE4A">#REF!</definedName>
    <definedName name="anscount" hidden="1">1</definedName>
    <definedName name="app">#REF!</definedName>
    <definedName name="Approach">#REF!</definedName>
    <definedName name="arch">#REF!</definedName>
    <definedName name="as" localSheetId="0">#REF!</definedName>
    <definedName name="as" localSheetId="18">#REF!</definedName>
    <definedName name="as">#REF!</definedName>
    <definedName name="AS_disc" localSheetId="0">#REF!</definedName>
    <definedName name="AS_disc" localSheetId="18">#REF!</definedName>
    <definedName name="AS_disc">#REF!</definedName>
    <definedName name="As_percentage" localSheetId="0">#REF!</definedName>
    <definedName name="As_percentage" localSheetId="18">#REF!</definedName>
    <definedName name="As_percentage">#REF!</definedName>
    <definedName name="Asc" localSheetId="0">#REF!</definedName>
    <definedName name="Asc" localSheetId="18">#REF!</definedName>
    <definedName name="Asc">#REF!</definedName>
    <definedName name="asdfd" localSheetId="0">#REF!</definedName>
    <definedName name="asdfd" localSheetId="18">#REF!</definedName>
    <definedName name="asdfd">#REF!</definedName>
    <definedName name="asdsad" localSheetId="0">#REF!</definedName>
    <definedName name="asdsad" localSheetId="18">#REF!</definedName>
    <definedName name="asdsad">#REF!</definedName>
    <definedName name="Assetno" localSheetId="0">#REF!</definedName>
    <definedName name="Assetno" localSheetId="18">#REF!</definedName>
    <definedName name="Assetno">#REF!</definedName>
    <definedName name="assets" localSheetId="0">#REF!</definedName>
    <definedName name="assets" localSheetId="18">#REF!</definedName>
    <definedName name="assets">#REF!</definedName>
    <definedName name="Ast" localSheetId="0">#REF!</definedName>
    <definedName name="Ast" localSheetId="18">#REF!</definedName>
    <definedName name="Ast">#REF!</definedName>
    <definedName name="Ast_prv">#REF!</definedName>
    <definedName name="AUD" localSheetId="0">#REF!</definedName>
    <definedName name="AUD" localSheetId="18">#REF!</definedName>
    <definedName name="AUD">#REF!</definedName>
    <definedName name="AurobindoDossier" localSheetId="18">#REF!</definedName>
    <definedName name="AurobindoDossier">#REF!</definedName>
    <definedName name="AurobindoMA" localSheetId="18">#REF!</definedName>
    <definedName name="AurobindoMA">#REF!</definedName>
    <definedName name="Aux.items" localSheetId="0">#REF!</definedName>
    <definedName name="Aux.items" localSheetId="18">#REF!</definedName>
    <definedName name="Aux.items">#REF!</definedName>
    <definedName name="Avg_Strike_Size">#REF!</definedName>
    <definedName name="AvgGrowth" localSheetId="0">#REF!</definedName>
    <definedName name="AvgGrowth" localSheetId="18">#REF!</definedName>
    <definedName name="AvgGrowth">#REF!</definedName>
    <definedName name="ax">#REF!</definedName>
    <definedName name="ay">#REF!</definedName>
    <definedName name="azsa" localSheetId="0" hidden="1">{"'PROFITABILITY'!$A$1:$F$45"}</definedName>
    <definedName name="azsa" localSheetId="12" hidden="1">{"'PROFITABILITY'!$A$1:$F$45"}</definedName>
    <definedName name="azsa" localSheetId="9" hidden="1">{"'PROFITABILITY'!$A$1:$F$45"}</definedName>
    <definedName name="azsa" localSheetId="18" hidden="1">{"'PROFITABILITY'!$A$1:$F$45"}</definedName>
    <definedName name="azsa" localSheetId="13" hidden="1">{"'PROFITABILITY'!$A$1:$F$45"}</definedName>
    <definedName name="azsa" hidden="1">{"'PROFITABILITY'!$A$1:$F$45"}</definedName>
    <definedName name="B" localSheetId="0">#REF!</definedName>
    <definedName name="B" localSheetId="18">#REF!</definedName>
    <definedName name="B">#REF!</definedName>
    <definedName name="base_dep" localSheetId="0">#REF!</definedName>
    <definedName name="base_dep" localSheetId="18">#REF!</definedName>
    <definedName name="base_dep">#REF!</definedName>
    <definedName name="base_len" localSheetId="0">#REF!</definedName>
    <definedName name="base_len" localSheetId="18">#REF!</definedName>
    <definedName name="base_len">#REF!</definedName>
    <definedName name="base_wid" localSheetId="0">#REF!</definedName>
    <definedName name="base_wid" localSheetId="18">#REF!</definedName>
    <definedName name="base_wid">#REF!</definedName>
    <definedName name="Baseline" localSheetId="0">#REF!</definedName>
    <definedName name="Baseline" localSheetId="18">#REF!</definedName>
    <definedName name="Baseline">#REF!</definedName>
    <definedName name="basic_rtu" localSheetId="0">#REF!</definedName>
    <definedName name="basic_rtu" localSheetId="18">#REF!</definedName>
    <definedName name="basic_rtu">#REF!</definedName>
    <definedName name="bb">#REF!</definedName>
    <definedName name="bc" localSheetId="0">#REF!</definedName>
    <definedName name="bc" localSheetId="18">#REF!</definedName>
    <definedName name="bc">#REF!</definedName>
    <definedName name="Benefits" localSheetId="0">#REF!</definedName>
    <definedName name="Benefits" localSheetId="18">#REF!</definedName>
    <definedName name="Benefits">#REF!</definedName>
    <definedName name="beta" localSheetId="0">#REF!</definedName>
    <definedName name="beta" localSheetId="18">#REF!</definedName>
    <definedName name="beta">#REF!</definedName>
    <definedName name="Bf">#REF!</definedName>
    <definedName name="BG" localSheetId="0">#REF!</definedName>
    <definedName name="BG" localSheetId="18">#REF!</definedName>
    <definedName name="BG">#REF!</definedName>
    <definedName name="BG_CHGS" localSheetId="0">#REF!</definedName>
    <definedName name="BG_CHGS" localSheetId="18">#REF!</definedName>
    <definedName name="BG_CHGS">#REF!</definedName>
    <definedName name="BG_RATE" localSheetId="0">#REF!</definedName>
    <definedName name="BG_RATE" localSheetId="18">#REF!</definedName>
    <definedName name="BG_RATE">#REF!</definedName>
    <definedName name="bhbhb" localSheetId="0">#REF!</definedName>
    <definedName name="bhbhb" localSheetId="18">#REF!</definedName>
    <definedName name="bhbhb">#REF!</definedName>
    <definedName name="bhdbdhd" localSheetId="18">#REF!</definedName>
    <definedName name="bhdbdhd">#REF!</definedName>
    <definedName name="biddername" localSheetId="0">#REF!</definedName>
    <definedName name="biddername" localSheetId="18">#REF!</definedName>
    <definedName name="biddername">#REF!</definedName>
    <definedName name="Bilu" localSheetId="0">#REF!</definedName>
    <definedName name="Bilu" localSheetId="18">#REF!</definedName>
    <definedName name="Bilu">#REF!</definedName>
    <definedName name="Bilu2" localSheetId="0">#REF!</definedName>
    <definedName name="Bilu2" localSheetId="18">#REF!</definedName>
    <definedName name="Bilu2">#REF!</definedName>
    <definedName name="Bilu3" localSheetId="0">#REF!</definedName>
    <definedName name="Bilu3" localSheetId="18">#REF!</definedName>
    <definedName name="Bilu3">#REF!</definedName>
    <definedName name="BKS" localSheetId="0">#REF!</definedName>
    <definedName name="BKS" localSheetId="18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0">#REF!</definedName>
    <definedName name="BNLM" localSheetId="18">#REF!</definedName>
    <definedName name="BNLM">#REF!</definedName>
    <definedName name="boisar">#REF!</definedName>
    <definedName name="BOISAR_BAYWISE" localSheetId="0">#REF!</definedName>
    <definedName name="BOISAR_BAYWISE" localSheetId="18">#REF!</definedName>
    <definedName name="BOISAR_BAYWISE">#REF!</definedName>
    <definedName name="bom" localSheetId="0">#REF!</definedName>
    <definedName name="bom" localSheetId="18">#REF!</definedName>
    <definedName name="bom">#REF!</definedName>
    <definedName name="BOMBAY">#REF!</definedName>
    <definedName name="BONPSCHE" localSheetId="18">#REF!</definedName>
    <definedName name="BONPSCHE">#REF!</definedName>
    <definedName name="botn">#REF!</definedName>
    <definedName name="bps" localSheetId="0">#REF!</definedName>
    <definedName name="bps" localSheetId="18">#REF!</definedName>
    <definedName name="bps">#REF!</definedName>
    <definedName name="BR_Resou">#REF!</definedName>
    <definedName name="bs" localSheetId="0">#REF!</definedName>
    <definedName name="bs" localSheetId="18">#REF!</definedName>
    <definedName name="bs">#REF!</definedName>
    <definedName name="BSS">#REF!</definedName>
    <definedName name="btb_musd">#REF!</definedName>
    <definedName name="bua">#REF!</definedName>
    <definedName name="building">#REF!</definedName>
    <definedName name="BULIST">#REF!</definedName>
    <definedName name="Bx" localSheetId="0">#REF!</definedName>
    <definedName name="Bx" localSheetId="18">#REF!</definedName>
    <definedName name="Bx">#REF!</definedName>
    <definedName name="C_" localSheetId="0">#REF!</definedName>
    <definedName name="C_" localSheetId="18">#REF!</definedName>
    <definedName name="C_">#REF!</definedName>
    <definedName name="cA" localSheetId="0">#REF!</definedName>
    <definedName name="cA" localSheetId="18">#REF!</definedName>
    <definedName name="cA">#REF!</definedName>
    <definedName name="CABLE" localSheetId="0">#REF!</definedName>
    <definedName name="CABLE" localSheetId="18">#REF!</definedName>
    <definedName name="CABLE">#REF!</definedName>
    <definedName name="camber">#REF!</definedName>
    <definedName name="camber_sides">#REF!</definedName>
    <definedName name="cant">#REF!</definedName>
    <definedName name="Cap" localSheetId="0">#REF!</definedName>
    <definedName name="Cap" localSheetId="18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rpet" localSheetId="0">#REF!</definedName>
    <definedName name="carpet" localSheetId="18">#REF!</definedName>
    <definedName name="carpet">#REF!</definedName>
    <definedName name="Case" localSheetId="0">#REF!</definedName>
    <definedName name="Case" localSheetId="18">#REF!</definedName>
    <definedName name="Case">#REF!</definedName>
    <definedName name="CBISO" localSheetId="0">#REF!</definedName>
    <definedName name="CBISO" localSheetId="18">#REF!</definedName>
    <definedName name="CBISO">#REF!</definedName>
    <definedName name="CBISO145" localSheetId="0">#REF!</definedName>
    <definedName name="CBISO145" localSheetId="18">#REF!</definedName>
    <definedName name="CBISO145">#REF!</definedName>
    <definedName name="CBISO245" localSheetId="0">#REF!</definedName>
    <definedName name="CBISO245" localSheetId="18">#REF!</definedName>
    <definedName name="CBISO245">#REF!</definedName>
    <definedName name="cc" localSheetId="0">#REF!</definedName>
    <definedName name="cc" localSheetId="18">#REF!</definedName>
    <definedName name="cc">#REF!</definedName>
    <definedName name="CCC" localSheetId="0">#REF!</definedName>
    <definedName name="CCC" localSheetId="18">#REF!</definedName>
    <definedName name="CCC">#REF!</definedName>
    <definedName name="Ccu" localSheetId="0">#REF!</definedName>
    <definedName name="Ccu" localSheetId="18">#REF!</definedName>
    <definedName name="Ccu">#REF!</definedName>
    <definedName name="cd" localSheetId="0">#REF!</definedName>
    <definedName name="cd" localSheetId="18">#REF!</definedName>
    <definedName name="cd">#REF!</definedName>
    <definedName name="CD_HW" localSheetId="0">#REF!</definedName>
    <definedName name="CD_HW" localSheetId="18">#REF!</definedName>
    <definedName name="CD_HW">#REF!</definedName>
    <definedName name="CD_SPLADL" localSheetId="0">#REF!</definedName>
    <definedName name="CD_SPLADL" localSheetId="18">#REF!</definedName>
    <definedName name="CD_SPLADL">#REF!</definedName>
    <definedName name="CD_SW" localSheetId="0">#REF!</definedName>
    <definedName name="CD_SW" localSheetId="18">#REF!</definedName>
    <definedName name="CD_SW">#REF!</definedName>
    <definedName name="ce" localSheetId="0">#REF!</definedName>
    <definedName name="ce" localSheetId="18">#REF!</definedName>
    <definedName name="ce">#REF!</definedName>
    <definedName name="ced">#REF!</definedName>
    <definedName name="CED_BOHW" localSheetId="0">#REF!</definedName>
    <definedName name="CED_BOHW" localSheetId="18">#REF!</definedName>
    <definedName name="CED_BOHW">#REF!</definedName>
    <definedName name="CED_BOSW" localSheetId="0">#REF!</definedName>
    <definedName name="CED_BOSW" localSheetId="18">#REF!</definedName>
    <definedName name="CED_BOSW">#REF!</definedName>
    <definedName name="CED_IDTOHW" localSheetId="0">#REF!</definedName>
    <definedName name="CED_IDTOHW" localSheetId="18">#REF!</definedName>
    <definedName name="CED_IDTOHW">#REF!</definedName>
    <definedName name="CED_IDTOSW" localSheetId="0">#REF!</definedName>
    <definedName name="CED_IDTOSW" localSheetId="18">#REF!</definedName>
    <definedName name="CED_IDTOSW">#REF!</definedName>
    <definedName name="ced_own" localSheetId="0">#REF!</definedName>
    <definedName name="ced_own" localSheetId="18">#REF!</definedName>
    <definedName name="ced_own">#REF!</definedName>
    <definedName name="CED_OWNHW" localSheetId="0">#REF!</definedName>
    <definedName name="CED_OWNHW" localSheetId="18">#REF!</definedName>
    <definedName name="CED_OWNHW">#REF!</definedName>
    <definedName name="CED_OWNSW" localSheetId="0">#REF!</definedName>
    <definedName name="CED_OWNSW" localSheetId="18">#REF!</definedName>
    <definedName name="CED_OWNSW">#REF!</definedName>
    <definedName name="CED_pc" localSheetId="0">#REF!</definedName>
    <definedName name="CED_pc" localSheetId="18">#REF!</definedName>
    <definedName name="CED_pc">#REF!</definedName>
    <definedName name="CED_SW" localSheetId="0">#REF!</definedName>
    <definedName name="CED_SW" localSheetId="18">#REF!</definedName>
    <definedName name="CED_SW">#REF!</definedName>
    <definedName name="ced_tr" localSheetId="0">#REF!</definedName>
    <definedName name="ced_tr" localSheetId="18">#REF!</definedName>
    <definedName name="ced_tr">#REF!</definedName>
    <definedName name="CED_TRHW" localSheetId="0">#REF!</definedName>
    <definedName name="CED_TRHW" localSheetId="18">#REF!</definedName>
    <definedName name="CED_TRHW">#REF!</definedName>
    <definedName name="CED_TRSW" localSheetId="0">#REF!</definedName>
    <definedName name="CED_TRSW" localSheetId="18">#REF!</definedName>
    <definedName name="CED_TRSW">#REF!</definedName>
    <definedName name="cf_musd">#REF!</definedName>
    <definedName name="ch_area1">#REF!</definedName>
    <definedName name="ch_area2">#REF!</definedName>
    <definedName name="ch_area3">#REF!</definedName>
    <definedName name="ch_area4">#REF!</definedName>
    <definedName name="CheckDate" localSheetId="0">#REF!</definedName>
    <definedName name="CheckDate" localSheetId="18">#REF!</definedName>
    <definedName name="CheckDate">#REF!</definedName>
    <definedName name="chf" localSheetId="0">#REF!</definedName>
    <definedName name="chf" localSheetId="18">#REF!</definedName>
    <definedName name="chf">#REF!</definedName>
    <definedName name="chk" localSheetId="0">#REF!</definedName>
    <definedName name="chk" localSheetId="18">#REF!</definedName>
    <definedName name="chk">#REF!</definedName>
    <definedName name="CIF_ABB_Imp" localSheetId="0">#REF!</definedName>
    <definedName name="CIF_ABB_Imp" localSheetId="18">#REF!</definedName>
    <definedName name="CIF_ABB_Imp">#REF!</definedName>
    <definedName name="CIF_ABB_local" localSheetId="0">#REF!</definedName>
    <definedName name="CIF_ABB_local" localSheetId="18">#REF!</definedName>
    <definedName name="CIF_ABB_local">#REF!</definedName>
    <definedName name="CIF_ABB_peenya" localSheetId="0">#REF!</definedName>
    <definedName name="CIF_ABB_peenya" localSheetId="18">#REF!</definedName>
    <definedName name="CIF_ABB_peenya">#REF!</definedName>
    <definedName name="CIF_AIC_Imp" localSheetId="0">#REF!</definedName>
    <definedName name="CIF_AIC_Imp" localSheetId="18">#REF!</definedName>
    <definedName name="CIF_AIC_Imp">#REF!</definedName>
    <definedName name="CIF_AIC_local" localSheetId="0">#REF!</definedName>
    <definedName name="CIF_AIC_local" localSheetId="18">#REF!</definedName>
    <definedName name="CIF_AIC_local">#REF!</definedName>
    <definedName name="CIF_NonABB_Imp" localSheetId="0">#REF!</definedName>
    <definedName name="CIF_NonABB_Imp" localSheetId="18">#REF!</definedName>
    <definedName name="CIF_NonABB_Imp">#REF!</definedName>
    <definedName name="CIF_NonABB_local" localSheetId="0">#REF!</definedName>
    <definedName name="CIF_NonABB_local" localSheetId="18">#REF!</definedName>
    <definedName name="CIF_NonABB_local">#REF!</definedName>
    <definedName name="civil" localSheetId="0">#REF!</definedName>
    <definedName name="civil" localSheetId="18">#REF!</definedName>
    <definedName name="civil">#REF!</definedName>
    <definedName name="Cl" localSheetId="0">#REF!</definedName>
    <definedName name="Cl" localSheetId="18">#REF!</definedName>
    <definedName name="Cl">#REF!</definedName>
    <definedName name="Clear" localSheetId="18">#REF!</definedName>
    <definedName name="Clear">#REF!</definedName>
    <definedName name="Clearance">#REF!</definedName>
    <definedName name="Clusters" localSheetId="0">#REF!</definedName>
    <definedName name="Clusters" localSheetId="18">#REF!</definedName>
    <definedName name="Clusters">#REF!</definedName>
    <definedName name="CODE">#REF!</definedName>
    <definedName name="COE" localSheetId="18">#REF!</definedName>
    <definedName name="COE">#REF!</definedName>
    <definedName name="COGSTYPE">#REF!</definedName>
    <definedName name="col" localSheetId="0">#REF!</definedName>
    <definedName name="col" localSheetId="18">#REF!</definedName>
    <definedName name="col">#REF!</definedName>
    <definedName name="collection" localSheetId="0">#REF!</definedName>
    <definedName name="collection" localSheetId="18">#REF!</definedName>
    <definedName name="collection">#REF!</definedName>
    <definedName name="COLLSTATUS" localSheetId="0">#REF!</definedName>
    <definedName name="COLLSTATUS" localSheetId="18">#REF!</definedName>
    <definedName name="COLLSTATUS">#REF!</definedName>
    <definedName name="collstatuspage1" localSheetId="0">#REF!</definedName>
    <definedName name="collstatuspage1" localSheetId="18">#REF!</definedName>
    <definedName name="collstatuspage1">#REF!</definedName>
    <definedName name="collstatuspage2" localSheetId="0">#REF!</definedName>
    <definedName name="collstatuspage2" localSheetId="18">#REF!</definedName>
    <definedName name="collstatuspage2">#REF!</definedName>
    <definedName name="COMMERCIALDISCOUNT" localSheetId="0">#REF!</definedName>
    <definedName name="COMMERCIALDISCOUNT" localSheetId="18">#REF!</definedName>
    <definedName name="COMMERCIALDISCOUNT">#REF!</definedName>
    <definedName name="commn">#REF!</definedName>
    <definedName name="comp" localSheetId="0">#REF!</definedName>
    <definedName name="comp" localSheetId="18">#REF!</definedName>
    <definedName name="comp">#REF!</definedName>
    <definedName name="company" localSheetId="0">#REF!</definedName>
    <definedName name="company" localSheetId="18">#REF!</definedName>
    <definedName name="company">#REF!</definedName>
    <definedName name="Compression" localSheetId="0">#REF!</definedName>
    <definedName name="Compression" localSheetId="18">#REF!</definedName>
    <definedName name="Compression">#REF!</definedName>
    <definedName name="concretegrade" localSheetId="0">#REF!</definedName>
    <definedName name="concretegrade" localSheetId="18">#REF!</definedName>
    <definedName name="concretegrade">#REF!</definedName>
    <definedName name="consultant_consultant_referrals">#REF!,#REF!,#REF!</definedName>
    <definedName name="CONTENTS" localSheetId="0">#REF!</definedName>
    <definedName name="CONTENTS" localSheetId="18">#REF!</definedName>
    <definedName name="CONTENTS">#REF!</definedName>
    <definedName name="COO">#REF!</definedName>
    <definedName name="cookie" localSheetId="0">#REF!</definedName>
    <definedName name="cookie" localSheetId="20">#REF!</definedName>
    <definedName name="cookie" localSheetId="18">#REF!</definedName>
    <definedName name="cookie" localSheetId="10">#REF!</definedName>
    <definedName name="cookie">#REF!</definedName>
    <definedName name="cookie1" localSheetId="0">#REF!</definedName>
    <definedName name="cookie1" localSheetId="20">#REF!</definedName>
    <definedName name="cookie1" localSheetId="18">#REF!</definedName>
    <definedName name="cookie1" localSheetId="10">#REF!</definedName>
    <definedName name="cookie1">#REF!</definedName>
    <definedName name="COPY_OUTPUT" localSheetId="0">#REF!</definedName>
    <definedName name="COPY_OUTPUT" localSheetId="18">#REF!</definedName>
    <definedName name="COPY_OUTPUT">#REF!</definedName>
    <definedName name="cost" localSheetId="0">'765KV TA 414 VNTL'!cost</definedName>
    <definedName name="cost" localSheetId="12">#N/A</definedName>
    <definedName name="cost" localSheetId="9">#N/A</definedName>
    <definedName name="cost" localSheetId="18">'Stringing Compiled'!cost</definedName>
    <definedName name="cost" localSheetId="13">#N/A</definedName>
    <definedName name="cost">'765KV TA 414 VNTL'!cost</definedName>
    <definedName name="Cost__Ex_Works">#REF!</definedName>
    <definedName name="COSTVARIANCE" hidden="1">#REF!</definedName>
    <definedName name="COU" localSheetId="0">#REF!</definedName>
    <definedName name="COU" localSheetId="18">#REF!</definedName>
    <definedName name="COU">#REF!</definedName>
    <definedName name="countries" localSheetId="18">#REF!</definedName>
    <definedName name="countries">#REF!</definedName>
    <definedName name="COVVV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RP" localSheetId="0">#REF!</definedName>
    <definedName name="CPRP" localSheetId="18">#REF!</definedName>
    <definedName name="CPRP">#REF!</definedName>
    <definedName name="cprp_lucknow" localSheetId="0">#REF!</definedName>
    <definedName name="cprp_lucknow" localSheetId="18">#REF!</definedName>
    <definedName name="cprp_lucknow">#REF!</definedName>
    <definedName name="cprp_mandola" localSheetId="0">#REF!</definedName>
    <definedName name="cprp_mandola" localSheetId="18">#REF!</definedName>
    <definedName name="cprp_mandola">#REF!</definedName>
    <definedName name="cr">#REF!</definedName>
    <definedName name="CRB" localSheetId="0">#REF!</definedName>
    <definedName name="CRB" localSheetId="18">#REF!</definedName>
    <definedName name="CRB">#REF!</definedName>
    <definedName name="CRP_Barelliey" localSheetId="0">#REF!</definedName>
    <definedName name="CRP_Barelliey" localSheetId="18">#REF!</definedName>
    <definedName name="CRP_Barelliey">#REF!</definedName>
    <definedName name="CRP_Unnao" localSheetId="0">#REF!</definedName>
    <definedName name="CRP_Unnao" localSheetId="18">#REF!</definedName>
    <definedName name="CRP_Unnao">#REF!</definedName>
    <definedName name="CRRSEP" localSheetId="0">#REF!</definedName>
    <definedName name="CRRSEP" localSheetId="18">#REF!</definedName>
    <definedName name="CRRSEP">#REF!</definedName>
    <definedName name="Crude_Oil_Price">#REF!</definedName>
    <definedName name="CS">#REF!</definedName>
    <definedName name="cst" localSheetId="0">#REF!</definedName>
    <definedName name="cst" localSheetId="18">#REF!</definedName>
    <definedName name="cst">#REF!</definedName>
    <definedName name="CST_BO" localSheetId="0">#REF!</definedName>
    <definedName name="CST_BO" localSheetId="18">#REF!</definedName>
    <definedName name="CST_BO">#REF!</definedName>
    <definedName name="CST_IDTO" localSheetId="0">#REF!</definedName>
    <definedName name="CST_IDTO" localSheetId="18">#REF!</definedName>
    <definedName name="CST_IDTO">#REF!</definedName>
    <definedName name="CST_OWN" localSheetId="0">#REF!</definedName>
    <definedName name="CST_OWN" localSheetId="18">#REF!</definedName>
    <definedName name="CST_OWN">#REF!</definedName>
    <definedName name="CST_TR" localSheetId="0">#REF!</definedName>
    <definedName name="CST_TR" localSheetId="18">#REF!</definedName>
    <definedName name="CST_TR">#REF!</definedName>
    <definedName name="current1" localSheetId="0">#REF!</definedName>
    <definedName name="current1" localSheetId="18">#REF!</definedName>
    <definedName name="current1">#REF!</definedName>
    <definedName name="current2" localSheetId="0">#REF!</definedName>
    <definedName name="current2" localSheetId="18">#REF!</definedName>
    <definedName name="current2">#REF!</definedName>
    <definedName name="current3" localSheetId="0">#REF!</definedName>
    <definedName name="current3" localSheetId="18">#REF!</definedName>
    <definedName name="current3">#REF!</definedName>
    <definedName name="current4" localSheetId="0">#REF!</definedName>
    <definedName name="current4" localSheetId="18">#REF!</definedName>
    <definedName name="current4">#REF!</definedName>
    <definedName name="current5" localSheetId="0">#REF!</definedName>
    <definedName name="current5" localSheetId="18">#REF!</definedName>
    <definedName name="current5">#REF!</definedName>
    <definedName name="cust" localSheetId="0">#REF!</definedName>
    <definedName name="cust" localSheetId="18">#REF!</definedName>
    <definedName name="cust">#REF!</definedName>
    <definedName name="cvd" localSheetId="0">#REF!</definedName>
    <definedName name="cvd" localSheetId="18">#REF!</definedName>
    <definedName name="cvd">#REF!</definedName>
    <definedName name="CVD_HW" localSheetId="0">#REF!</definedName>
    <definedName name="CVD_HW" localSheetId="18">#REF!</definedName>
    <definedName name="CVD_HW">#REF!</definedName>
    <definedName name="CVD_SW" localSheetId="0">#REF!</definedName>
    <definedName name="CVD_SW" localSheetId="18">#REF!</definedName>
    <definedName name="CVD_SW">#REF!</definedName>
    <definedName name="D" localSheetId="0">#REF!</definedName>
    <definedName name="D" localSheetId="18">#REF!</definedName>
    <definedName name="D">#REF!</definedName>
    <definedName name="D1__m" localSheetId="0">#REF!</definedName>
    <definedName name="D1__m" localSheetId="18">#REF!</definedName>
    <definedName name="D1__m">#REF!</definedName>
    <definedName name="D10__m" localSheetId="0">#REF!</definedName>
    <definedName name="D10__m" localSheetId="18">#REF!</definedName>
    <definedName name="D10__m">#REF!</definedName>
    <definedName name="D11__m" localSheetId="0">#REF!</definedName>
    <definedName name="D11__m" localSheetId="18">#REF!</definedName>
    <definedName name="D11__m">#REF!</definedName>
    <definedName name="D12__m" localSheetId="0">#REF!</definedName>
    <definedName name="D12__m" localSheetId="18">#REF!</definedName>
    <definedName name="D12__m">#REF!</definedName>
    <definedName name="D2__m" localSheetId="0">#REF!</definedName>
    <definedName name="D2__m" localSheetId="18">#REF!</definedName>
    <definedName name="D2__m">#REF!</definedName>
    <definedName name="D3__m" localSheetId="0">#REF!</definedName>
    <definedName name="D3__m" localSheetId="18">#REF!</definedName>
    <definedName name="D3__m">#REF!</definedName>
    <definedName name="D4__m" localSheetId="0">#REF!</definedName>
    <definedName name="D4__m" localSheetId="18">#REF!</definedName>
    <definedName name="D4__m">#REF!</definedName>
    <definedName name="D5__m" localSheetId="0">#REF!</definedName>
    <definedName name="D5__m" localSheetId="18">#REF!</definedName>
    <definedName name="D5__m">#REF!</definedName>
    <definedName name="D6__m" localSheetId="0">#REF!</definedName>
    <definedName name="D6__m" localSheetId="18">#REF!</definedName>
    <definedName name="D6__m">#REF!</definedName>
    <definedName name="D7__m" localSheetId="0">#REF!</definedName>
    <definedName name="D7__m" localSheetId="18">#REF!</definedName>
    <definedName name="D7__m">#REF!</definedName>
    <definedName name="D8__m" localSheetId="0">#REF!</definedName>
    <definedName name="D8__m" localSheetId="18">#REF!</definedName>
    <definedName name="D8__m">#REF!</definedName>
    <definedName name="D8Data" localSheetId="0">#REF!</definedName>
    <definedName name="D8Data" localSheetId="18">#REF!</definedName>
    <definedName name="D8Data">#REF!</definedName>
    <definedName name="D9__m" localSheetId="0">#REF!</definedName>
    <definedName name="D9__m" localSheetId="18">#REF!</definedName>
    <definedName name="D9__m">#REF!</definedName>
    <definedName name="Dampers" localSheetId="0" hidden="1">{"'PROFITABILITY'!$A$1:$F$45"}</definedName>
    <definedName name="Dampers" localSheetId="12" hidden="1">{"'PROFITABILITY'!$A$1:$F$45"}</definedName>
    <definedName name="Dampers" localSheetId="9" hidden="1">{"'PROFITABILITY'!$A$1:$F$45"}</definedName>
    <definedName name="Dampers" localSheetId="18" hidden="1">{"'PROFITABILITY'!$A$1:$F$45"}</definedName>
    <definedName name="Dampers" localSheetId="13" hidden="1">{"'PROFITABILITY'!$A$1:$F$45"}</definedName>
    <definedName name="Dampers" hidden="1">{"'PROFITABILITY'!$A$1:$F$45"}</definedName>
    <definedName name="dat" localSheetId="0">#REF!</definedName>
    <definedName name="dat" localSheetId="18">#REF!</definedName>
    <definedName name="dat">#REF!</definedName>
    <definedName name="DATA1" localSheetId="0">#REF!</definedName>
    <definedName name="DATA1" localSheetId="18">#REF!</definedName>
    <definedName name="DATA1">#REF!</definedName>
    <definedName name="DATA10" localSheetId="0">#REF!</definedName>
    <definedName name="DATA10" localSheetId="18">#REF!</definedName>
    <definedName name="DATA10">#REF!</definedName>
    <definedName name="DATA15" localSheetId="18">#REF!</definedName>
    <definedName name="DATA15">#REF!</definedName>
    <definedName name="DATA16" localSheetId="18">#REF!</definedName>
    <definedName name="DATA16">#REF!</definedName>
    <definedName name="DATA17" localSheetId="18">#REF!</definedName>
    <definedName name="DATA17">#REF!</definedName>
    <definedName name="DATA18" localSheetId="0">#REF!</definedName>
    <definedName name="DATA18" localSheetId="18">#REF!</definedName>
    <definedName name="DATA18">#REF!</definedName>
    <definedName name="DATA19" localSheetId="0">#REF!</definedName>
    <definedName name="DATA19" localSheetId="18">#REF!</definedName>
    <definedName name="DATA19">#REF!</definedName>
    <definedName name="DATA2" localSheetId="0">#REF!</definedName>
    <definedName name="DATA2" localSheetId="18">#REF!</definedName>
    <definedName name="DATA2">#REF!</definedName>
    <definedName name="DATA3" localSheetId="0">#REF!</definedName>
    <definedName name="DATA3" localSheetId="18">#REF!</definedName>
    <definedName name="DATA3">#REF!</definedName>
    <definedName name="DATA4" localSheetId="0">#REF!</definedName>
    <definedName name="DATA4" localSheetId="18">#REF!</definedName>
    <definedName name="DATA4">#REF!</definedName>
    <definedName name="DATA5" localSheetId="0">#REF!</definedName>
    <definedName name="DATA5" localSheetId="18">#REF!</definedName>
    <definedName name="DATA5">#REF!</definedName>
    <definedName name="DATA6" localSheetId="0">#REF!</definedName>
    <definedName name="DATA6" localSheetId="18">#REF!</definedName>
    <definedName name="DATA6">#REF!</definedName>
    <definedName name="DATA7" localSheetId="0">#REF!</definedName>
    <definedName name="DATA7" localSheetId="18">#REF!</definedName>
    <definedName name="DATA7">#REF!</definedName>
    <definedName name="DATA8" localSheetId="0">#REF!</definedName>
    <definedName name="DATA8" localSheetId="18">#REF!</definedName>
    <definedName name="DATA8">#REF!</definedName>
    <definedName name="DATA9" localSheetId="0">#REF!</definedName>
    <definedName name="DATA9" localSheetId="18">#REF!</definedName>
    <definedName name="DATA9">#REF!</definedName>
    <definedName name="_xlnm.Database" localSheetId="0">#REF!</definedName>
    <definedName name="_xlnm.Database" localSheetId="18">#REF!</definedName>
    <definedName name="_xlnm.Database">#REF!</definedName>
    <definedName name="date" localSheetId="0">#REF!</definedName>
    <definedName name="date" localSheetId="18">#REF!</definedName>
    <definedName name="date">#REF!</definedName>
    <definedName name="Dates" localSheetId="0">#REF!</definedName>
    <definedName name="Dates" localSheetId="18">#REF!</definedName>
    <definedName name="Dates">#REF!</definedName>
    <definedName name="DAY_ENGR" localSheetId="0">#REF!</definedName>
    <definedName name="DAY_ENGR" localSheetId="18">#REF!</definedName>
    <definedName name="DAY_ENGR">#REF!</definedName>
    <definedName name="DAY_TCHN" localSheetId="0">#REF!</definedName>
    <definedName name="DAY_TCHN" localSheetId="18">#REF!</definedName>
    <definedName name="DAY_TCHN">#REF!</definedName>
    <definedName name="days_in_year">#REF!</definedName>
    <definedName name="db" localSheetId="0">#REF!</definedName>
    <definedName name="db" localSheetId="18">#REF!</definedName>
    <definedName name="db">#REF!</definedName>
    <definedName name="dc" localSheetId="0">#REF!</definedName>
    <definedName name="dc" localSheetId="18">#REF!</definedName>
    <definedName name="dc">#REF!</definedName>
    <definedName name="dccables" localSheetId="0">#REF!</definedName>
    <definedName name="dccables" localSheetId="18">#REF!</definedName>
    <definedName name="dccables">#REF!</definedName>
    <definedName name="dcdeff" localSheetId="0">#REF!</definedName>
    <definedName name="dcdeff" localSheetId="18">#REF!</definedName>
    <definedName name="dcdeff">#REF!</definedName>
    <definedName name="DCP_start_T" localSheetId="0">#REF!</definedName>
    <definedName name="DCP_start_T" localSheetId="18">#REF!</definedName>
    <definedName name="DCP_start_T">#REF!</definedName>
    <definedName name="dd" localSheetId="0" hidden="1">{"'PROFITABILITY'!$A$1:$F$45"}</definedName>
    <definedName name="dd" localSheetId="12" hidden="1">{"'PROFITABILITY'!$A$1:$F$45"}</definedName>
    <definedName name="dd" localSheetId="9" hidden="1">{"'PROFITABILITY'!$A$1:$F$45"}</definedName>
    <definedName name="dd" localSheetId="18" hidden="1">{"'PROFITABILITY'!$A$1:$F$45"}</definedName>
    <definedName name="dd" localSheetId="13" hidden="1">{"'PROFITABILITY'!$A$1:$F$45"}</definedName>
    <definedName name="dd" hidden="1">{"'PROFITABILITY'!$A$1:$F$45"}</definedName>
    <definedName name="DDD" localSheetId="0">#REF!</definedName>
    <definedName name="DDD" localSheetId="18">#REF!</definedName>
    <definedName name="DDD">#REF!</definedName>
    <definedName name="dddddddd" localSheetId="0">#REF!</definedName>
    <definedName name="dddddddd" localSheetId="18">#REF!</definedName>
    <definedName name="dddddddd">#REF!</definedName>
    <definedName name="de_cost">#REF!</definedName>
    <definedName name="DEBTORS" localSheetId="0">#REF!</definedName>
    <definedName name="DEBTORS" localSheetId="18">#REF!</definedName>
    <definedName name="DEBTORS">#REF!</definedName>
    <definedName name="DEED" localSheetId="0">#REF!</definedName>
    <definedName name="DEED" localSheetId="18">#REF!</definedName>
    <definedName name="DEED">#REF!</definedName>
    <definedName name="deff">#REF!</definedName>
    <definedName name="DEHRI" localSheetId="0">#REF!</definedName>
    <definedName name="DEHRI" localSheetId="18">#REF!</definedName>
    <definedName name="DEHRI">#REF!</definedName>
    <definedName name="DELTA20" localSheetId="0">#REF!</definedName>
    <definedName name="DELTA20" localSheetId="18">#REF!</definedName>
    <definedName name="DELTA20">#REF!</definedName>
    <definedName name="DEM" localSheetId="0">#REF!</definedName>
    <definedName name="DEM" localSheetId="18">#REF!</definedName>
    <definedName name="DEM">#REF!</definedName>
    <definedName name="DeNovoAvail" localSheetId="18">#REF!</definedName>
    <definedName name="DeNovoAvail">#REF!</definedName>
    <definedName name="Depth" localSheetId="0">#REF!</definedName>
    <definedName name="Depth" localSheetId="18">#REF!</definedName>
    <definedName name="Depth">#REF!</definedName>
    <definedName name="DEst_Price" localSheetId="0">#REF!</definedName>
    <definedName name="DEst_Price" localSheetId="18">#REF!</definedName>
    <definedName name="DEst_Price">#REF!</definedName>
    <definedName name="det_act_plan" localSheetId="0">#REF!</definedName>
    <definedName name="det_act_plan" localSheetId="18">#REF!</definedName>
    <definedName name="det_act_plan">#REF!</definedName>
    <definedName name="Detailed">#REF!</definedName>
    <definedName name="dev">#REF!</definedName>
    <definedName name="Df">#REF!</definedName>
    <definedName name="DFDF" localSheetId="0">#REF!</definedName>
    <definedName name="DFDF" localSheetId="18">#REF!</definedName>
    <definedName name="DFDF">#REF!</definedName>
    <definedName name="DG" localSheetId="0">#REF!</definedName>
    <definedName name="DG" localSheetId="18">#REF!</definedName>
    <definedName name="DG">#REF!</definedName>
    <definedName name="DG_Total" localSheetId="0">#REF!</definedName>
    <definedName name="DG_Total" localSheetId="18">#REF!</definedName>
    <definedName name="DG_Total">#REF!</definedName>
    <definedName name="dgp">#REF!</definedName>
    <definedName name="Di" localSheetId="0">#REF!</definedName>
    <definedName name="Di" localSheetId="18">#REF!</definedName>
    <definedName name="Di">#REF!</definedName>
    <definedName name="diff">#REF!</definedName>
    <definedName name="diff1">#REF!</definedName>
    <definedName name="DIns">#REF!</definedName>
    <definedName name="Disc" localSheetId="0">#REF!</definedName>
    <definedName name="Disc" localSheetId="18">#REF!</definedName>
    <definedName name="Disc">#REF!</definedName>
    <definedName name="Discount1">#REF!</definedName>
    <definedName name="Distrib" localSheetId="18">#REF!</definedName>
    <definedName name="Distrib">#REF!</definedName>
    <definedName name="Distribution">#REF!</definedName>
    <definedName name="DIV">1000000</definedName>
    <definedName name="dl" localSheetId="0">#REF!</definedName>
    <definedName name="dl" localSheetId="18">#REF!</definedName>
    <definedName name="dl">#REF!</definedName>
    <definedName name="DM">#REF!</definedName>
    <definedName name="Do" localSheetId="0">#REF!</definedName>
    <definedName name="Do" localSheetId="18">#REF!</definedName>
    <definedName name="Do">#REF!</definedName>
    <definedName name="dol7.5">#REF!</definedName>
    <definedName name="Dome1">#REF!</definedName>
    <definedName name="DossierConsolidation" localSheetId="18">#REF!</definedName>
    <definedName name="DossierConsolidation">#REF!</definedName>
    <definedName name="DossierConsolidationCountries" localSheetId="18">#REF!</definedName>
    <definedName name="DossierConsolidationCountries">#REF!</definedName>
    <definedName name="DossierConsolidationMols" localSheetId="18">#REF!</definedName>
    <definedName name="DossierConsolidationMols">#REF!</definedName>
    <definedName name="DossierConversion" localSheetId="18">#REF!</definedName>
    <definedName name="DossierConversion">#REF!</definedName>
    <definedName name="Dq" localSheetId="0">#REF!</definedName>
    <definedName name="Dq" localSheetId="18">#REF!</definedName>
    <definedName name="Dq">#REF!</definedName>
    <definedName name="Ds" localSheetId="0">#REF!</definedName>
    <definedName name="Ds" localSheetId="18">#REF!</definedName>
    <definedName name="Ds">#REF!</definedName>
    <definedName name="dsat" localSheetId="0">#REF!</definedName>
    <definedName name="dsat" localSheetId="18">#REF!</definedName>
    <definedName name="dsat">#REF!</definedName>
    <definedName name="dsd">#REF!</definedName>
    <definedName name="dsda" localSheetId="0">#REF!</definedName>
    <definedName name="dsda" localSheetId="18">#REF!</definedName>
    <definedName name="dsda">#REF!</definedName>
    <definedName name="dsdb" localSheetId="0">#REF!</definedName>
    <definedName name="dsdb" localSheetId="18">#REF!</definedName>
    <definedName name="dsdb">#REF!</definedName>
    <definedName name="dsdsdls" localSheetId="0">#REF!</definedName>
    <definedName name="dsdsdls" localSheetId="18">#REF!</definedName>
    <definedName name="dsdsdls">#REF!</definedName>
    <definedName name="dsm" localSheetId="0">#REF!</definedName>
    <definedName name="dsm" localSheetId="18">#REF!</definedName>
    <definedName name="dsm">#REF!</definedName>
    <definedName name="dt" localSheetId="0">#REF!</definedName>
    <definedName name="dt" localSheetId="18">#REF!</definedName>
    <definedName name="dt">#REF!</definedName>
    <definedName name="E" localSheetId="0">#REF!</definedName>
    <definedName name="E" localSheetId="18">#REF!</definedName>
    <definedName name="E">#REF!</definedName>
    <definedName name="EARTH">#REF!</definedName>
    <definedName name="Earthing" localSheetId="0">#REF!</definedName>
    <definedName name="Earthing" localSheetId="18">#REF!</definedName>
    <definedName name="Earthing" localSheetId="10">#REF!</definedName>
    <definedName name="Earthing">#REF!</definedName>
    <definedName name="EB_Total" localSheetId="0">#REF!</definedName>
    <definedName name="EB_Total" localSheetId="18">#REF!</definedName>
    <definedName name="EB_Total">#REF!</definedName>
    <definedName name="ec_charges" localSheetId="0">#REF!</definedName>
    <definedName name="ec_charges" localSheetId="18">#REF!</definedName>
    <definedName name="ec_charges">#REF!</definedName>
    <definedName name="ecfact" localSheetId="0">#REF!</definedName>
    <definedName name="ecfact" localSheetId="18">#REF!</definedName>
    <definedName name="ecfact">#REF!</definedName>
    <definedName name="ED" localSheetId="0">#REF!</definedName>
    <definedName name="ED" localSheetId="18">#REF!</definedName>
    <definedName name="ED">#REF!</definedName>
    <definedName name="ED_RTU" localSheetId="0">#REF!</definedName>
    <definedName name="ED_RTU" localSheetId="18">#REF!</definedName>
    <definedName name="ED_RTU">#REF!</definedName>
    <definedName name="ED_TRDR" localSheetId="0">#REF!</definedName>
    <definedName name="ED_TRDR" localSheetId="18">#REF!</definedName>
    <definedName name="ED_TRDR">#REF!</definedName>
    <definedName name="ee" localSheetId="0">#REF!</definedName>
    <definedName name="ee" localSheetId="18">#REF!</definedName>
    <definedName name="ee">#REF!</definedName>
    <definedName name="Effective_Tax">#REF!</definedName>
    <definedName name="egr">#REF!</definedName>
    <definedName name="Em" localSheetId="0">#REF!</definedName>
    <definedName name="Em" localSheetId="18">#REF!</definedName>
    <definedName name="Em">#REF!</definedName>
    <definedName name="ENG" localSheetId="0">#REF!</definedName>
    <definedName name="ENG" localSheetId="18">#REF!</definedName>
    <definedName name="ENG">#REF!</definedName>
    <definedName name="ENGG" localSheetId="0">#REF!</definedName>
    <definedName name="ENGG" localSheetId="18">#REF!</definedName>
    <definedName name="ENGG">#REF!</definedName>
    <definedName name="Engg_charges" localSheetId="0">#REF!</definedName>
    <definedName name="Engg_charges" localSheetId="18">#REF!</definedName>
    <definedName name="Engg_charges">#REF!</definedName>
    <definedName name="EQUIPCOM" localSheetId="0">#REF!</definedName>
    <definedName name="EQUIPCOM" localSheetId="18">#REF!</definedName>
    <definedName name="EQUIPCOM">#REF!</definedName>
    <definedName name="ere">#REF!</definedName>
    <definedName name="erec">#REF!</definedName>
    <definedName name="erecps" localSheetId="18">#REF!</definedName>
    <definedName name="erecps">#REF!</definedName>
    <definedName name="Erection" localSheetId="18">#REF!</definedName>
    <definedName name="Erection">#REF!</definedName>
    <definedName name="ert" localSheetId="0">#REF!</definedName>
    <definedName name="ert" localSheetId="18">#REF!</definedName>
    <definedName name="ert">#REF!</definedName>
    <definedName name="ERV" localSheetId="0">#REF!</definedName>
    <definedName name="ERV" localSheetId="18">#REF!</definedName>
    <definedName name="ERV">#REF!</definedName>
    <definedName name="Es" localSheetId="0">#REF!</definedName>
    <definedName name="Es" localSheetId="18">#REF!</definedName>
    <definedName name="Es">#REF!</definedName>
    <definedName name="ESC_BOHW" localSheetId="0">#REF!</definedName>
    <definedName name="ESC_BOHW" localSheetId="18">#REF!</definedName>
    <definedName name="ESC_BOHW">#REF!</definedName>
    <definedName name="ESC_BOSW" localSheetId="0">#REF!</definedName>
    <definedName name="ESC_BOSW" localSheetId="18">#REF!</definedName>
    <definedName name="ESC_BOSW">#REF!</definedName>
    <definedName name="ESC_IDTOHW" localSheetId="0">#REF!</definedName>
    <definedName name="ESC_IDTOHW" localSheetId="18">#REF!</definedName>
    <definedName name="ESC_IDTOHW">#REF!</definedName>
    <definedName name="ESC_IDTOSW" localSheetId="0">#REF!</definedName>
    <definedName name="ESC_IDTOSW" localSheetId="18">#REF!</definedName>
    <definedName name="ESC_IDTOSW">#REF!</definedName>
    <definedName name="ESC_IMPHW" localSheetId="0">#REF!</definedName>
    <definedName name="ESC_IMPHW" localSheetId="18">#REF!</definedName>
    <definedName name="ESC_IMPHW">#REF!</definedName>
    <definedName name="ESC_IMPSW" localSheetId="0">#REF!</definedName>
    <definedName name="ESC_IMPSW" localSheetId="18">#REF!</definedName>
    <definedName name="ESC_IMPSW">#REF!</definedName>
    <definedName name="ESC_SER" localSheetId="0">#REF!</definedName>
    <definedName name="ESC_SER" localSheetId="18">#REF!</definedName>
    <definedName name="ESC_SER">#REF!</definedName>
    <definedName name="ESC_TRHW" localSheetId="0">#REF!</definedName>
    <definedName name="ESC_TRHW" localSheetId="18">#REF!</definedName>
    <definedName name="ESC_TRHW">#REF!</definedName>
    <definedName name="ESC_TRSW" localSheetId="0">#REF!</definedName>
    <definedName name="ESC_TRSW" localSheetId="18">#REF!</definedName>
    <definedName name="ESC_TRSW">#REF!</definedName>
    <definedName name="ESCPRD_BOHW" localSheetId="0">#REF!</definedName>
    <definedName name="ESCPRD_BOHW" localSheetId="18">#REF!</definedName>
    <definedName name="ESCPRD_BOHW">#REF!</definedName>
    <definedName name="ESCPRD_BOSW" localSheetId="0">#REF!</definedName>
    <definedName name="ESCPRD_BOSW" localSheetId="18">#REF!</definedName>
    <definedName name="ESCPRD_BOSW">#REF!</definedName>
    <definedName name="ESCPRD_IDTOHW" localSheetId="0">#REF!</definedName>
    <definedName name="ESCPRD_IDTOHW" localSheetId="18">#REF!</definedName>
    <definedName name="ESCPRD_IDTOHW">#REF!</definedName>
    <definedName name="ESCPRD_IDTOSW" localSheetId="0">#REF!</definedName>
    <definedName name="ESCPRD_IDTOSW" localSheetId="18">#REF!</definedName>
    <definedName name="ESCPRD_IDTOSW">#REF!</definedName>
    <definedName name="ESCPRD_IMPHW" localSheetId="0">#REF!</definedName>
    <definedName name="ESCPRD_IMPHW" localSheetId="18">#REF!</definedName>
    <definedName name="ESCPRD_IMPHW">#REF!</definedName>
    <definedName name="ESCPRD_IMPSW" localSheetId="0">#REF!</definedName>
    <definedName name="ESCPRD_IMPSW" localSheetId="18">#REF!</definedName>
    <definedName name="ESCPRD_IMPSW">#REF!</definedName>
    <definedName name="ESCPRD_TRHW" localSheetId="0">#REF!</definedName>
    <definedName name="ESCPRD_TRHW" localSheetId="18">#REF!</definedName>
    <definedName name="ESCPRD_TRHW">#REF!</definedName>
    <definedName name="ESCPRD_TRSW" localSheetId="0">#REF!</definedName>
    <definedName name="ESCPRD_TRSW" localSheetId="18">#REF!</definedName>
    <definedName name="ESCPRD_TRSW">#REF!</definedName>
    <definedName name="Et" localSheetId="0">#REF!</definedName>
    <definedName name="Et" localSheetId="18">#REF!</definedName>
    <definedName name="Et">#REF!</definedName>
    <definedName name="euro" localSheetId="0">#REF!</definedName>
    <definedName name="euro" localSheetId="18">#REF!</definedName>
    <definedName name="euro">#REF!</definedName>
    <definedName name="ewer" localSheetId="0" hidden="1">{"'PROFITABILITY'!$A$1:$F$45"}</definedName>
    <definedName name="ewer" localSheetId="12" hidden="1">{"'PROFITABILITY'!$A$1:$F$45"}</definedName>
    <definedName name="ewer" localSheetId="9" hidden="1">{"'PROFITABILITY'!$A$1:$F$45"}</definedName>
    <definedName name="ewer" localSheetId="18" hidden="1">{"'PROFITABILITY'!$A$1:$F$45"}</definedName>
    <definedName name="ewer" localSheetId="13" hidden="1">{"'PROFITABILITY'!$A$1:$F$45"}</definedName>
    <definedName name="ewer" hidden="1">{"'PROFITABILITY'!$A$1:$F$45"}</definedName>
    <definedName name="Excel_BuiltIn__FilterDatabase_1">#REF!</definedName>
    <definedName name="Excel_BuiltIn_Print_Area_1" localSheetId="0">#REF!</definedName>
    <definedName name="Excel_BuiltIn_Print_Area_1" localSheetId="18">#REF!</definedName>
    <definedName name="Excel_BuiltIn_Print_Area_1">#REF!</definedName>
    <definedName name="Excel_BuiltIn_Print_Area_1_1" localSheetId="0">#REF!</definedName>
    <definedName name="Excel_BuiltIn_Print_Area_1_1" localSheetId="18">#REF!</definedName>
    <definedName name="Excel_BuiltIn_Print_Area_1_1">#REF!</definedName>
    <definedName name="Excel_BuiltIn_Print_Area_1_1_1" localSheetId="0">#REF!</definedName>
    <definedName name="Excel_BuiltIn_Print_Area_1_1_1" localSheetId="18">#REF!</definedName>
    <definedName name="Excel_BuiltIn_Print_Area_1_1_1">#REF!</definedName>
    <definedName name="Excel_BuiltIn_Print_Area_1_1_1_1" localSheetId="0">#REF!</definedName>
    <definedName name="Excel_BuiltIn_Print_Area_1_1_1_1" localSheetId="18">#REF!</definedName>
    <definedName name="Excel_BuiltIn_Print_Area_1_1_1_1">#REF!</definedName>
    <definedName name="Excel_BuiltIn_Print_Area_2" localSheetId="0">#REF!</definedName>
    <definedName name="Excel_BuiltIn_Print_Area_2" localSheetId="18">#REF!</definedName>
    <definedName name="Excel_BuiltIn_Print_Area_2">#REF!</definedName>
    <definedName name="Excel_BuiltIn_Print_Area_2_1" localSheetId="0">#REF!</definedName>
    <definedName name="Excel_BuiltIn_Print_Area_2_1" localSheetId="18">#REF!</definedName>
    <definedName name="Excel_BuiltIn_Print_Area_2_1">#REF!</definedName>
    <definedName name="Excel_BuiltIn_Print_Area_4_1" localSheetId="0">#REF!</definedName>
    <definedName name="Excel_BuiltIn_Print_Area_4_1" localSheetId="18">#REF!</definedName>
    <definedName name="Excel_BuiltIn_Print_Area_4_1">#REF!</definedName>
    <definedName name="Excel_BuiltIn_Print_Area_4_1_1" localSheetId="0">#REF!</definedName>
    <definedName name="Excel_BuiltIn_Print_Area_4_1_1" localSheetId="18">#REF!</definedName>
    <definedName name="Excel_BuiltIn_Print_Area_4_1_1">#REF!</definedName>
    <definedName name="Excel_BuiltIn_Print_Area_4_1_1_1" localSheetId="0">#REF!</definedName>
    <definedName name="Excel_BuiltIn_Print_Area_4_1_1_1" localSheetId="18">#REF!</definedName>
    <definedName name="Excel_BuiltIn_Print_Area_4_1_1_1">#REF!</definedName>
    <definedName name="Excel_BuiltIn_Print_Area_4_1_1_1_1" localSheetId="0">#REF!</definedName>
    <definedName name="Excel_BuiltIn_Print_Area_4_1_1_1_1" localSheetId="18">#REF!</definedName>
    <definedName name="Excel_BuiltIn_Print_Area_4_1_1_1_1">#REF!</definedName>
    <definedName name="Excel_BuiltIn_Print_Area_4_1_1_1_1_1" localSheetId="0">#REF!</definedName>
    <definedName name="Excel_BuiltIn_Print_Area_4_1_1_1_1_1" localSheetId="18">#REF!</definedName>
    <definedName name="Excel_BuiltIn_Print_Area_4_1_1_1_1_1">#REF!</definedName>
    <definedName name="Excel_BuiltIn_Print_Area_4_1_1_1_1_1_1" localSheetId="0">#REF!</definedName>
    <definedName name="Excel_BuiltIn_Print_Area_4_1_1_1_1_1_1" localSheetId="18">#REF!</definedName>
    <definedName name="Excel_BuiltIn_Print_Area_4_1_1_1_1_1_1">#REF!</definedName>
    <definedName name="Excel_BuiltIn_Print_Area_4_1_1_1_1_1_1_1" localSheetId="0">#REF!</definedName>
    <definedName name="Excel_BuiltIn_Print_Area_4_1_1_1_1_1_1_1" localSheetId="18">#REF!</definedName>
    <definedName name="Excel_BuiltIn_Print_Area_4_1_1_1_1_1_1_1">#REF!</definedName>
    <definedName name="Excel_BuiltIn_Print_Area_4_1_1_1_1_1_1_1_1" localSheetId="0">#REF!</definedName>
    <definedName name="Excel_BuiltIn_Print_Area_4_1_1_1_1_1_1_1_1" localSheetId="18">#REF!</definedName>
    <definedName name="Excel_BuiltIn_Print_Area_4_1_1_1_1_1_1_1_1">#REF!</definedName>
    <definedName name="Excel_BuiltIn_Print_Area_4_1_1_1_1_1_1_1_1_1" localSheetId="0">#REF!</definedName>
    <definedName name="Excel_BuiltIn_Print_Area_4_1_1_1_1_1_1_1_1_1" localSheetId="18">#REF!</definedName>
    <definedName name="Excel_BuiltIn_Print_Area_4_1_1_1_1_1_1_1_1_1">#REF!</definedName>
    <definedName name="Excel_BuiltIn_Print_Area_4_1_1_1_1_1_1_1_1_1_1" localSheetId="0">#REF!</definedName>
    <definedName name="Excel_BuiltIn_Print_Area_4_1_1_1_1_1_1_1_1_1_1" localSheetId="18">#REF!</definedName>
    <definedName name="Excel_BuiltIn_Print_Area_4_1_1_1_1_1_1_1_1_1_1">#REF!</definedName>
    <definedName name="Excel_BuiltIn_Print_Area_4_1_1_1_1_1_1_1_1_1_1_1" localSheetId="0">#REF!</definedName>
    <definedName name="Excel_BuiltIn_Print_Area_4_1_1_1_1_1_1_1_1_1_1_1" localSheetId="18">#REF!</definedName>
    <definedName name="Excel_BuiltIn_Print_Area_4_1_1_1_1_1_1_1_1_1_1_1">#REF!</definedName>
    <definedName name="Excel_BuiltIn_Print_Area_4_1_1_1_1_1_1_1_1_1_1_1_1" localSheetId="0">#REF!</definedName>
    <definedName name="Excel_BuiltIn_Print_Area_4_1_1_1_1_1_1_1_1_1_1_1_1" localSheetId="18">#REF!</definedName>
    <definedName name="Excel_BuiltIn_Print_Area_4_1_1_1_1_1_1_1_1_1_1_1_1">#REF!</definedName>
    <definedName name="Excel_BuiltIn_Print_Titles_1" localSheetId="0">#REF!</definedName>
    <definedName name="Excel_BuiltIn_Print_Titles_1" localSheetId="18">#REF!</definedName>
    <definedName name="Excel_BuiltIn_Print_Titles_1">#REF!</definedName>
    <definedName name="Excel_BuiltIn_Print_Titles_2_1">(#REF!,#REF!)</definedName>
    <definedName name="Excel_BuiltIn_Print_Titles_4_1" localSheetId="18">#REF!</definedName>
    <definedName name="Excel_BuiltIn_Print_Titles_4_1">#REF!</definedName>
    <definedName name="ExclusiveSupplier" localSheetId="18">#REF!</definedName>
    <definedName name="ExclusiveSupplier">#REF!</definedName>
    <definedName name="exp_ch">#REF!</definedName>
    <definedName name="Exp_Success_Rate">#REF!</definedName>
    <definedName name="Exp_Success_Rate_Core_Basin">#REF!</definedName>
    <definedName name="EXPHEADS" localSheetId="0">#REF!</definedName>
    <definedName name="EXPHEADS" localSheetId="18">#REF!</definedName>
    <definedName name="EXPHEADS">#REF!</definedName>
    <definedName name="external" localSheetId="0">#REF!</definedName>
    <definedName name="external" localSheetId="18">#REF!</definedName>
    <definedName name="external">#REF!</definedName>
    <definedName name="exwks" localSheetId="0">#REF!</definedName>
    <definedName name="exwks" localSheetId="18">#REF!</definedName>
    <definedName name="exwks">#REF!</definedName>
    <definedName name="f" localSheetId="0" hidden="1">{"'PROFITABILITY'!$A$1:$F$45"}</definedName>
    <definedName name="f" localSheetId="12" hidden="1">{"'PROFITABILITY'!$A$1:$F$45"}</definedName>
    <definedName name="f" localSheetId="9" hidden="1">{"'PROFITABILITY'!$A$1:$F$45"}</definedName>
    <definedName name="f" localSheetId="18" hidden="1">{"'PROFITABILITY'!$A$1:$F$45"}</definedName>
    <definedName name="f" localSheetId="13" hidden="1">{"'PROFITABILITY'!$A$1:$F$45"}</definedName>
    <definedName name="f" hidden="1">{"'PROFITABILITY'!$A$1:$F$45"}</definedName>
    <definedName name="fac">0.825</definedName>
    <definedName name="facplc" localSheetId="0">#REF!</definedName>
    <definedName name="facplc" localSheetId="18">#REF!</definedName>
    <definedName name="facplc">#REF!</definedName>
    <definedName name="fact" localSheetId="0">#REF!</definedName>
    <definedName name="fact" localSheetId="18">#REF!</definedName>
    <definedName name="fact">#REF!</definedName>
    <definedName name="FACT1" localSheetId="0">#REF!</definedName>
    <definedName name="FACT1" localSheetId="18">#REF!</definedName>
    <definedName name="FACT1">#REF!</definedName>
    <definedName name="Factor">#REF!</definedName>
    <definedName name="Fb" localSheetId="0">#REF!</definedName>
    <definedName name="Fb" localSheetId="18">#REF!</definedName>
    <definedName name="Fb">#REF!</definedName>
    <definedName name="fck" localSheetId="0">#REF!</definedName>
    <definedName name="fck" localSheetId="18">#REF!</definedName>
    <definedName name="fck">#REF!</definedName>
    <definedName name="FDN_Data">#REF!</definedName>
    <definedName name="FebMarLaunch" localSheetId="18">#REF!</definedName>
    <definedName name="FebMarLaunch">#REF!</definedName>
    <definedName name="ff" hidden="1">#REF!</definedName>
    <definedName name="FFR" localSheetId="0">#REF!</definedName>
    <definedName name="FFR" localSheetId="18">#REF!</definedName>
    <definedName name="FFR">#REF!</definedName>
    <definedName name="fgdfgg" localSheetId="0">#REF!</definedName>
    <definedName name="fgdfgg" localSheetId="18">#REF!</definedName>
    <definedName name="fgdfgg">#REF!</definedName>
    <definedName name="fgdt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h" localSheetId="0">#REF!</definedName>
    <definedName name="Fh" localSheetId="18">#REF!</definedName>
    <definedName name="Fh">#REF!</definedName>
    <definedName name="Fhwl" localSheetId="0">#REF!</definedName>
    <definedName name="Fhwl" localSheetId="18">#REF!</definedName>
    <definedName name="Fhwl">#REF!</definedName>
    <definedName name="FI" localSheetId="0">#REF!</definedName>
    <definedName name="FI" localSheetId="18">#REF!</definedName>
    <definedName name="FI">#REF!</definedName>
    <definedName name="FI_AIRHW" localSheetId="0">#REF!</definedName>
    <definedName name="FI_AIRHW" localSheetId="18">#REF!</definedName>
    <definedName name="FI_AIRHW">#REF!</definedName>
    <definedName name="FI_AIRSW" localSheetId="0">#REF!</definedName>
    <definedName name="FI_AIRSW" localSheetId="18">#REF!</definedName>
    <definedName name="FI_AIRSW">#REF!</definedName>
    <definedName name="FI_BOHW" localSheetId="0">#REF!</definedName>
    <definedName name="FI_BOHW" localSheetId="18">#REF!</definedName>
    <definedName name="FI_BOHW">#REF!</definedName>
    <definedName name="FI_BOSW" localSheetId="0">#REF!</definedName>
    <definedName name="FI_BOSW" localSheetId="18">#REF!</definedName>
    <definedName name="FI_BOSW">#REF!</definedName>
    <definedName name="FI_IDTOHW" localSheetId="0">#REF!</definedName>
    <definedName name="FI_IDTOHW" localSheetId="18">#REF!</definedName>
    <definedName name="FI_IDTOHW">#REF!</definedName>
    <definedName name="FI_IDTOSW" localSheetId="0">#REF!</definedName>
    <definedName name="FI_IDTOSW" localSheetId="18">#REF!</definedName>
    <definedName name="FI_IDTOSW">#REF!</definedName>
    <definedName name="FI_SITEHW" localSheetId="0">#REF!</definedName>
    <definedName name="FI_SITEHW" localSheetId="18">#REF!</definedName>
    <definedName name="FI_SITEHW">#REF!</definedName>
    <definedName name="FI_SITESW" localSheetId="0">#REF!</definedName>
    <definedName name="FI_SITESW" localSheetId="18">#REF!</definedName>
    <definedName name="FI_SITESW">#REF!</definedName>
    <definedName name="fiI">#REF!</definedName>
    <definedName name="FilingDate">#REF!</definedName>
    <definedName name="FIM" localSheetId="0">#REF!</definedName>
    <definedName name="FIM" localSheetId="18">#REF!</definedName>
    <definedName name="FIM">#REF!</definedName>
    <definedName name="Fin_charges" localSheetId="0">#REF!</definedName>
    <definedName name="Fin_charges" localSheetId="18">#REF!</definedName>
    <definedName name="Fin_charges">#REF!</definedName>
    <definedName name="FireFighting" localSheetId="0">#REF!</definedName>
    <definedName name="FireFighting" localSheetId="18">#REF!</definedName>
    <definedName name="FireFighting">#REF!</definedName>
    <definedName name="FIT" localSheetId="0">#REF!</definedName>
    <definedName name="FIT" localSheetId="18">#REF!</definedName>
    <definedName name="FIT">#REF!</definedName>
    <definedName name="Floor" localSheetId="0">#REF!</definedName>
    <definedName name="Floor" localSheetId="18">#REF!</definedName>
    <definedName name="Floor">#REF!</definedName>
    <definedName name="fo" localSheetId="0">#REF!</definedName>
    <definedName name="fo" localSheetId="18">#REF!</definedName>
    <definedName name="fo">#REF!</definedName>
    <definedName name="for_typ" localSheetId="0">#REF!</definedName>
    <definedName name="for_typ" localSheetId="18">#REF!</definedName>
    <definedName name="for_typ">#REF!</definedName>
    <definedName name="Forecast" localSheetId="0">#REF!</definedName>
    <definedName name="Forecast" localSheetId="18">#REF!</definedName>
    <definedName name="Forecast">#REF!</definedName>
    <definedName name="Forecast_Receivables" localSheetId="18">#REF!</definedName>
    <definedName name="Forecast_Receivables">#REF!</definedName>
    <definedName name="forex" localSheetId="0">#REF!</definedName>
    <definedName name="forex" localSheetId="18">#REF!</definedName>
    <definedName name="forex">#REF!</definedName>
    <definedName name="forthemonth" localSheetId="0">#REF!</definedName>
    <definedName name="forthemonth" localSheetId="18">#REF!</definedName>
    <definedName name="forthemonth">#REF!</definedName>
    <definedName name="Foundation" localSheetId="18">#REF!</definedName>
    <definedName name="Foundation">#REF!</definedName>
    <definedName name="fourhundred">#REF!</definedName>
    <definedName name="Fp">#REF!</definedName>
    <definedName name="Fr" localSheetId="0" hidden="1">{"'PROFITABILITY'!$A$1:$F$45"}</definedName>
    <definedName name="Fr" localSheetId="12" hidden="1">{"'PROFITABILITY'!$A$1:$F$45"}</definedName>
    <definedName name="Fr" localSheetId="9" hidden="1">{"'PROFITABILITY'!$A$1:$F$45"}</definedName>
    <definedName name="Fr" localSheetId="18" hidden="1">{"'PROFITABILITY'!$A$1:$F$45"}</definedName>
    <definedName name="Fr" localSheetId="13" hidden="1">{"'PROFITABILITY'!$A$1:$F$45"}</definedName>
    <definedName name="Fr" hidden="1">{"'PROFITABILITY'!$A$1:$F$45"}</definedName>
    <definedName name="Fr_charges" localSheetId="0">#REF!</definedName>
    <definedName name="Fr_charges" localSheetId="18">#REF!</definedName>
    <definedName name="Fr_charges">#REF!</definedName>
    <definedName name="frierect" localSheetId="0">#REF!</definedName>
    <definedName name="frierect" localSheetId="18">#REF!</definedName>
    <definedName name="frierect">#REF!</definedName>
    <definedName name="frnorms" localSheetId="0">#REF!</definedName>
    <definedName name="frnorms" localSheetId="18">#REF!</definedName>
    <definedName name="frnorms">#REF!</definedName>
    <definedName name="fromDCP" localSheetId="18">#REF!</definedName>
    <definedName name="fromDCP">#REF!</definedName>
    <definedName name="Fs">#REF!</definedName>
    <definedName name="Fsc" localSheetId="0">#REF!</definedName>
    <definedName name="Fsc" localSheetId="18">#REF!</definedName>
    <definedName name="Fsc">#REF!</definedName>
    <definedName name="Fv" localSheetId="0">#REF!</definedName>
    <definedName name="Fv" localSheetId="18">#REF!</definedName>
    <definedName name="Fv">#REF!</definedName>
    <definedName name="fym" localSheetId="0">#REF!</definedName>
    <definedName name="fym" localSheetId="18">#REF!</definedName>
    <definedName name="fym">#REF!</definedName>
    <definedName name="fys" localSheetId="0">#REF!</definedName>
    <definedName name="fys" localSheetId="18">#REF!</definedName>
    <definedName name="fys">#REF!</definedName>
    <definedName name="g">#REF!</definedName>
    <definedName name="GA">#REF!</definedName>
    <definedName name="gama" localSheetId="0">#REF!</definedName>
    <definedName name="gama" localSheetId="18">#REF!</definedName>
    <definedName name="gama">#REF!</definedName>
    <definedName name="gamah" localSheetId="0">#REF!</definedName>
    <definedName name="gamah" localSheetId="18">#REF!</definedName>
    <definedName name="gamah">#REF!</definedName>
    <definedName name="gamma" localSheetId="0">#REF!</definedName>
    <definedName name="gamma" localSheetId="18">#REF!</definedName>
    <definedName name="gamma">#REF!</definedName>
    <definedName name="Gas_Price">#REF!</definedName>
    <definedName name="GATE" localSheetId="0">#REF!</definedName>
    <definedName name="GATE" localSheetId="18">#REF!</definedName>
    <definedName name="GATE">#REF!</definedName>
    <definedName name="Gcc" localSheetId="0">#REF!</definedName>
    <definedName name="Gcc" localSheetId="18">#REF!</definedName>
    <definedName name="Gcc">#REF!</definedName>
    <definedName name="Gcm" localSheetId="0">#REF!</definedName>
    <definedName name="Gcm" localSheetId="18">#REF!</definedName>
    <definedName name="Gcm">#REF!</definedName>
    <definedName name="Gcr" localSheetId="0">#REF!</definedName>
    <definedName name="Gcr" localSheetId="18">#REF!</definedName>
    <definedName name="Gcr">#REF!</definedName>
    <definedName name="Gen" localSheetId="0">'765KV TA 414 VNTL'!Gen</definedName>
    <definedName name="Gen" localSheetId="12">#N/A</definedName>
    <definedName name="Gen" localSheetId="9">#N/A</definedName>
    <definedName name="Gen" localSheetId="18">'Stringing Compiled'!Gen</definedName>
    <definedName name="Gen" localSheetId="13">#N/A</definedName>
    <definedName name="Gen">'765KV TA 414 VNTL'!Gen</definedName>
    <definedName name="GeneralInformation" localSheetId="0">'765KV TA 414 VNTL'!GeneralInformation</definedName>
    <definedName name="GeneralInformation" localSheetId="12">#N/A</definedName>
    <definedName name="GeneralInformation" localSheetId="9">#N/A</definedName>
    <definedName name="GeneralInformation" localSheetId="18">'Stringing Compiled'!GeneralInformation</definedName>
    <definedName name="GeneralInformation" localSheetId="13">#N/A</definedName>
    <definedName name="GeneralInformation">'765KV TA 414 VNTL'!GeneralInformation</definedName>
    <definedName name="gg">#REF!</definedName>
    <definedName name="GI" localSheetId="0">'765KV TA 414 VNTL'!GI</definedName>
    <definedName name="GI" localSheetId="12">#N/A</definedName>
    <definedName name="GI" localSheetId="9">#N/A</definedName>
    <definedName name="GI" localSheetId="18">'Stringing Compiled'!GI</definedName>
    <definedName name="GI" localSheetId="13">#N/A</definedName>
    <definedName name="GI">'765KV TA 414 VNTL'!GI</definedName>
    <definedName name="GInfo" localSheetId="0">'765KV TA 414 VNTL'!GInfo</definedName>
    <definedName name="GInfo" localSheetId="12">#N/A</definedName>
    <definedName name="GInfo" localSheetId="9">#N/A</definedName>
    <definedName name="GInfo" localSheetId="18">'Stringing Compiled'!GInfo</definedName>
    <definedName name="GInfo" localSheetId="13">#N/A</definedName>
    <definedName name="GInfo">'765KV TA 414 VNTL'!GInfo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P" localSheetId="0">#REF!</definedName>
    <definedName name="GP" localSheetId="18">#REF!</definedName>
    <definedName name="GP">#REF!</definedName>
    <definedName name="GPs" localSheetId="0">#REF!</definedName>
    <definedName name="GPs" localSheetId="18">#REF!</definedName>
    <definedName name="GPs">#REF!</definedName>
    <definedName name="grg" localSheetId="0">#REF!</definedName>
    <definedName name="grg" localSheetId="18">#REF!</definedName>
    <definedName name="grg">#REF!</definedName>
    <definedName name="gross" localSheetId="0">#REF!</definedName>
    <definedName name="gross" localSheetId="18">#REF!</definedName>
    <definedName name="gross">#REF!</definedName>
    <definedName name="Groundinga" localSheetId="0" hidden="1">{"'PROFITABILITY'!$A$1:$F$45"}</definedName>
    <definedName name="Groundinga" localSheetId="12" hidden="1">{"'PROFITABILITY'!$A$1:$F$45"}</definedName>
    <definedName name="Groundinga" localSheetId="9" hidden="1">{"'PROFITABILITY'!$A$1:$F$45"}</definedName>
    <definedName name="Groundinga" localSheetId="18" hidden="1">{"'PROFITABILITY'!$A$1:$F$45"}</definedName>
    <definedName name="Groundinga" localSheetId="13" hidden="1">{"'PROFITABILITY'!$A$1:$F$45"}</definedName>
    <definedName name="Groundinga" hidden="1">{"'PROFITABILITY'!$A$1:$F$45"}</definedName>
    <definedName name="Growth" localSheetId="0">#REF!</definedName>
    <definedName name="Growth" localSheetId="18">#REF!</definedName>
    <definedName name="Growth">#REF!</definedName>
    <definedName name="GRR" localSheetId="0">#REF!</definedName>
    <definedName name="GRR" localSheetId="18">#REF!</definedName>
    <definedName name="GRR">#REF!</definedName>
    <definedName name="gtst" localSheetId="0">#REF!</definedName>
    <definedName name="gtst" localSheetId="18">#REF!</definedName>
    <definedName name="gtst">#REF!</definedName>
    <definedName name="Gw" localSheetId="0">#REF!</definedName>
    <definedName name="Gw" localSheetId="18">#REF!</definedName>
    <definedName name="Gw">#REF!</definedName>
    <definedName name="H" localSheetId="0">#REF!</definedName>
    <definedName name="H" localSheetId="18">#REF!</definedName>
    <definedName name="H">#REF!</definedName>
    <definedName name="H0" localSheetId="0">#REF!</definedName>
    <definedName name="H0" localSheetId="18">#REF!</definedName>
    <definedName name="H0">#REF!</definedName>
    <definedName name="HALag" localSheetId="18">#REF!</definedName>
    <definedName name="HALag">#REF!</definedName>
    <definedName name="HANDL" localSheetId="0">#REF!</definedName>
    <definedName name="HANDL" localSheetId="18">#REF!</definedName>
    <definedName name="HANDL">#REF!</definedName>
    <definedName name="HFL">#REF!</definedName>
    <definedName name="hh" localSheetId="0">#REF!</definedName>
    <definedName name="hh" localSheetId="18">#REF!</definedName>
    <definedName name="hh">#REF!</definedName>
    <definedName name="hhs" localSheetId="0">#REF!</definedName>
    <definedName name="hhs" localSheetId="18">#REF!</definedName>
    <definedName name="hhs">#REF!</definedName>
    <definedName name="hi">#REF!</definedName>
    <definedName name="HINDI" localSheetId="0">#REF!</definedName>
    <definedName name="HINDI" localSheetId="18">#REF!</definedName>
    <definedName name="HINDI">#REF!</definedName>
    <definedName name="HIns">#REF!</definedName>
    <definedName name="HNDCLR_CHGS" localSheetId="0">#REF!</definedName>
    <definedName name="HNDCLR_CHGS" localSheetId="18">#REF!</definedName>
    <definedName name="HNDCLR_CHGS">#REF!</definedName>
    <definedName name="ho" localSheetId="0">#REF!</definedName>
    <definedName name="ho" localSheetId="18">#REF!</definedName>
    <definedName name="ho">#REF!</definedName>
    <definedName name="hoi">#REF!</definedName>
    <definedName name="Hosp_Disc" localSheetId="18">#REF!</definedName>
    <definedName name="Hosp_Disc">#REF!</definedName>
    <definedName name="Hospital_Intervention_Team">#REF!,#REF!,#REF!</definedName>
    <definedName name="hS" localSheetId="0">#REF!</definedName>
    <definedName name="hS" localSheetId="18">#REF!</definedName>
    <definedName name="hS">#REF!</definedName>
    <definedName name="html" localSheetId="0" hidden="1">{"'PROFITABILITY'!$A$1:$F$45"}</definedName>
    <definedName name="html" localSheetId="12" hidden="1">{"'PROFITABILITY'!$A$1:$F$45"}</definedName>
    <definedName name="html" localSheetId="9" hidden="1">{"'PROFITABILITY'!$A$1:$F$45"}</definedName>
    <definedName name="html" localSheetId="18" hidden="1">{"'PROFITABILITY'!$A$1:$F$45"}</definedName>
    <definedName name="html" localSheetId="13" hidden="1">{"'PROFITABILITY'!$A$1:$F$45"}</definedName>
    <definedName name="html" hidden="1">{"'PROFITABILITY'!$A$1:$F$45"}</definedName>
    <definedName name="HTML_CodePage" hidden="1">1252</definedName>
    <definedName name="HTML_Control" localSheetId="0" hidden="1">{"'PROFITABILITY'!$A$1:$F$45"}</definedName>
    <definedName name="HTML_Control" localSheetId="12" hidden="1">{"'PROFITABILITY'!$A$1:$F$45"}</definedName>
    <definedName name="HTML_Control" localSheetId="9" hidden="1">{"'PROFITABILITY'!$A$1:$F$45"}</definedName>
    <definedName name="HTML_Control" localSheetId="18" hidden="1">{"'PROFITABILITY'!$A$1:$F$45"}</definedName>
    <definedName name="HTML_Control" localSheetId="13" hidden="1">{"'PROFITABILITY'!$A$1:$F$45"}</definedName>
    <definedName name="HTML_Control" hidden="1">{"'PROFITABILITY'!$A$1:$F$45"}</definedName>
    <definedName name="HTML_Description" hidden="1">""</definedName>
    <definedName name="HTML_Email" hidden="1">""</definedName>
    <definedName name="HTML_Header" hidden="1">"PRICE AND PROFOTABILITY"</definedName>
    <definedName name="HTML_LastUpdate" hidden="1">"2/9/99"</definedName>
    <definedName name="HTML_LineAfter" hidden="1">TRUE</definedName>
    <definedName name="HTML_LineBefore" hidden="1">TRUE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hidden="1">"C:\My Documents\XLS.htm"</definedName>
    <definedName name="HTML_Title" hidden="1">"MANANTALI PROJECT"</definedName>
    <definedName name="Hu" localSheetId="0">#REF!</definedName>
    <definedName name="Hu" localSheetId="18">#REF!</definedName>
    <definedName name="Hu">#REF!</definedName>
    <definedName name="hxb">#REF!</definedName>
    <definedName name="hxi">#REF!</definedName>
    <definedName name="i" localSheetId="0" hidden="1">{"'PROFITABILITY'!$A$1:$F$45"}</definedName>
    <definedName name="i" localSheetId="12" hidden="1">{"'PROFITABILITY'!$A$1:$F$45"}</definedName>
    <definedName name="i" localSheetId="9" hidden="1">{"'PROFITABILITY'!$A$1:$F$45"}</definedName>
    <definedName name="i" localSheetId="18" hidden="1">{"'PROFITABILITY'!$A$1:$F$45"}</definedName>
    <definedName name="i" localSheetId="13" hidden="1">{"'PROFITABILITY'!$A$1:$F$45"}</definedName>
    <definedName name="i" hidden="1">{"'PROFITABILITY'!$A$1:$F$45"}</definedName>
    <definedName name="ICS_DISCUSSION_C_ISSUES_List" localSheetId="0">#REF!</definedName>
    <definedName name="ICS_DISCUSSION_C_ISSUES_List" localSheetId="18">#REF!</definedName>
    <definedName name="ICS_DISCUSSION_C_ISSUES_List">#REF!</definedName>
    <definedName name="IDosCountries" localSheetId="18">#REF!</definedName>
    <definedName name="IDosCountries">#REF!</definedName>
    <definedName name="idto" localSheetId="0">#REF!</definedName>
    <definedName name="idto" localSheetId="18">#REF!</definedName>
    <definedName name="idto">#REF!</definedName>
    <definedName name="If" localSheetId="0">#REF!</definedName>
    <definedName name="If" localSheetId="18">#REF!</definedName>
    <definedName name="If">#REF!</definedName>
    <definedName name="IF_J_1_RUN__PROG1" localSheetId="0">#REF!</definedName>
    <definedName name="IF_J_1_RUN__PROG1" localSheetId="18">#REF!</definedName>
    <definedName name="IF_J_1_RUN__PROG1">#REF!</definedName>
    <definedName name="Ig" localSheetId="0">#REF!</definedName>
    <definedName name="Ig" localSheetId="18">#REF!</definedName>
    <definedName name="Ig">#REF!</definedName>
    <definedName name="IGP_M" localSheetId="0">#REF!</definedName>
    <definedName name="IGP_M" localSheetId="18">#REF!</definedName>
    <definedName name="IGP_M">#REF!</definedName>
    <definedName name="II" localSheetId="0">#REF!</definedName>
    <definedName name="II" localSheetId="18">#REF!</definedName>
    <definedName name="II">#REF!</definedName>
    <definedName name="iii" localSheetId="0">#REF!</definedName>
    <definedName name="iii" localSheetId="18">#REF!</definedName>
    <definedName name="iii">#REF!</definedName>
    <definedName name="ik" localSheetId="0">#REF!</definedName>
    <definedName name="ik" localSheetId="18">#REF!</definedName>
    <definedName name="ik">#REF!</definedName>
    <definedName name="Illumination" localSheetId="0">#REF!</definedName>
    <definedName name="Illumination" localSheetId="18">#REF!</definedName>
    <definedName name="Illumination">#REF!</definedName>
    <definedName name="IMACountries" localSheetId="18">#REF!</definedName>
    <definedName name="IMACountries">#REF!</definedName>
    <definedName name="Increase" localSheetId="0">#REF!</definedName>
    <definedName name="Increase" localSheetId="18">#REF!</definedName>
    <definedName name="Increase">#REF!</definedName>
    <definedName name="Indra" localSheetId="0">#REF!</definedName>
    <definedName name="Indra" localSheetId="18">#REF!</definedName>
    <definedName name="Indra">#REF!</definedName>
    <definedName name="INNCAGRS" localSheetId="0">#REF!</definedName>
    <definedName name="INNCAGRS" localSheetId="18">#REF!</definedName>
    <definedName name="INNCAGRS">#REF!</definedName>
    <definedName name="INOUT" localSheetId="18">#REF!</definedName>
    <definedName name="INOUT">#REF!</definedName>
    <definedName name="Insurance" localSheetId="0">#REF!</definedName>
    <definedName name="Insurance" localSheetId="18">#REF!</definedName>
    <definedName name="Insurance">#REF!</definedName>
    <definedName name="INT_CHGS" localSheetId="0">#REF!</definedName>
    <definedName name="INT_CHGS" localSheetId="18">#REF!</definedName>
    <definedName name="INT_CHGS">#REF!</definedName>
    <definedName name="IntasDossier" localSheetId="18">#REF!</definedName>
    <definedName name="IntasDossier">#REF!</definedName>
    <definedName name="IntasMA" localSheetId="18">#REF!</definedName>
    <definedName name="IntasMA">#REF!</definedName>
    <definedName name="internaluse" localSheetId="0">#REF!</definedName>
    <definedName name="internaluse" localSheetId="18">#REF!</definedName>
    <definedName name="internaluse">#REF!</definedName>
    <definedName name="IPRestrictions" localSheetId="0">#REF!</definedName>
    <definedName name="IPRestrictions" localSheetId="18">#REF!</definedName>
    <definedName name="IPRestrictions">#REF!</definedName>
    <definedName name="ipu" localSheetId="0">#REF!</definedName>
    <definedName name="ipu" localSheetId="18">#REF!</definedName>
    <definedName name="ipu">#REF!</definedName>
    <definedName name="Is" localSheetId="0">#REF!</definedName>
    <definedName name="Is" localSheetId="18">#REF!</definedName>
    <definedName name="Is">#REF!</definedName>
    <definedName name="ITEMCODE">#REF!</definedName>
    <definedName name="Ix" localSheetId="0">#REF!</definedName>
    <definedName name="Ix" localSheetId="18">#REF!</definedName>
    <definedName name="Ix">#REF!</definedName>
    <definedName name="Iy" localSheetId="0">#REF!</definedName>
    <definedName name="Iy" localSheetId="18">#REF!</definedName>
    <definedName name="Iy">#REF!</definedName>
    <definedName name="J" localSheetId="0">#REF!</definedName>
    <definedName name="J" localSheetId="18">#REF!</definedName>
    <definedName name="J">#REF!</definedName>
    <definedName name="JEERATE" localSheetId="18">#REF!</definedName>
    <definedName name="JEERATE">#REF!</definedName>
    <definedName name="JEJS" localSheetId="0">#REF!</definedName>
    <definedName name="JEJS" localSheetId="18">#REF!</definedName>
    <definedName name="JEJS">#REF!</definedName>
    <definedName name="JJKL">#REF!</definedName>
    <definedName name="jkbuj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>#REF!</definedName>
    <definedName name="k" localSheetId="0" hidden="1">{"'PROFITABILITY'!$A$1:$F$45"}</definedName>
    <definedName name="k" localSheetId="12" hidden="1">{"'PROFITABILITY'!$A$1:$F$45"}</definedName>
    <definedName name="k" localSheetId="9" hidden="1">{"'PROFITABILITY'!$A$1:$F$45"}</definedName>
    <definedName name="k" localSheetId="18" hidden="1">{"'PROFITABILITY'!$A$1:$F$45"}</definedName>
    <definedName name="k" localSheetId="13" hidden="1">{"'PROFITABILITY'!$A$1:$F$45"}</definedName>
    <definedName name="k" hidden="1">{"'PROFITABILITY'!$A$1:$F$45"}</definedName>
    <definedName name="k1s" localSheetId="0">#REF!</definedName>
    <definedName name="k1s" localSheetId="18">#REF!</definedName>
    <definedName name="k1s">#REF!</definedName>
    <definedName name="k2s" localSheetId="0">#REF!</definedName>
    <definedName name="k2s" localSheetId="18">#REF!</definedName>
    <definedName name="k2s">#REF!</definedName>
    <definedName name="ka" localSheetId="0">#REF!</definedName>
    <definedName name="ka" localSheetId="18">#REF!</definedName>
    <definedName name="ka">#REF!</definedName>
    <definedName name="kb" localSheetId="0">#REF!</definedName>
    <definedName name="kb" localSheetId="18">#REF!</definedName>
    <definedName name="kb">#REF!</definedName>
    <definedName name="kc" localSheetId="0">#REF!</definedName>
    <definedName name="kc" localSheetId="18">#REF!</definedName>
    <definedName name="kc">#REF!</definedName>
    <definedName name="kec" localSheetId="0" hidden="1">{"'PROFITABILITY'!$A$1:$F$45"}</definedName>
    <definedName name="kec" localSheetId="12" hidden="1">{"'PROFITABILITY'!$A$1:$F$45"}</definedName>
    <definedName name="kec" localSheetId="9" hidden="1">{"'PROFITABILITY'!$A$1:$F$45"}</definedName>
    <definedName name="kec" localSheetId="18" hidden="1">{"'PROFITABILITY'!$A$1:$F$45"}</definedName>
    <definedName name="kec" localSheetId="13" hidden="1">{"'PROFITABILITY'!$A$1:$F$45"}</definedName>
    <definedName name="kec" hidden="1">{"'PROFITABILITY'!$A$1:$F$45"}</definedName>
    <definedName name="KEL" localSheetId="0">#REF!</definedName>
    <definedName name="KEL" localSheetId="18">#REF!</definedName>
    <definedName name="KEL">#REF!</definedName>
    <definedName name="KET" localSheetId="0">#REF!</definedName>
    <definedName name="KET" localSheetId="18">#REF!</definedName>
    <definedName name="KET">#REF!</definedName>
    <definedName name="Kh" localSheetId="0">#REF!</definedName>
    <definedName name="Kh" localSheetId="18">#REF!</definedName>
    <definedName name="Kh">#REF!</definedName>
    <definedName name="Ki" localSheetId="0">#REF!</definedName>
    <definedName name="Ki" localSheetId="18">#REF!</definedName>
    <definedName name="Ki">#REF!</definedName>
    <definedName name="Kii" localSheetId="0">#REF!</definedName>
    <definedName name="Kii" localSheetId="18">#REF!</definedName>
    <definedName name="Kii">#REF!</definedName>
    <definedName name="kllkl">#REF!</definedName>
    <definedName name="KLM" localSheetId="0">#REF!</definedName>
    <definedName name="KLM" localSheetId="18">#REF!</definedName>
    <definedName name="KLM">#REF!</definedName>
    <definedName name="Km" localSheetId="0">#REF!</definedName>
    <definedName name="Km" localSheetId="18">#REF!</definedName>
    <definedName name="Km">#REF!</definedName>
    <definedName name="knlkk">#REF!</definedName>
    <definedName name="kptl" localSheetId="0">#REF!</definedName>
    <definedName name="kptl" localSheetId="18">#REF!</definedName>
    <definedName name="kptl">#REF!</definedName>
    <definedName name="Ks" localSheetId="0">#REF!</definedName>
    <definedName name="Ks" localSheetId="18">#REF!</definedName>
    <definedName name="Ks">#REF!</definedName>
    <definedName name="KST" localSheetId="0">#REF!</definedName>
    <definedName name="KST" localSheetId="18">#REF!</definedName>
    <definedName name="KST">#REF!</definedName>
    <definedName name="kst_4.20" localSheetId="0">#REF!</definedName>
    <definedName name="kst_4.20" localSheetId="18">#REF!</definedName>
    <definedName name="kst_4.20">#REF!</definedName>
    <definedName name="L" localSheetId="0" hidden="1">#REF!</definedName>
    <definedName name="L" localSheetId="18" hidden="1">#REF!</definedName>
    <definedName name="L" hidden="1">#REF!</definedName>
    <definedName name="L__m" localSheetId="0">#REF!</definedName>
    <definedName name="L__m" localSheetId="18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1__m" localSheetId="0">#REF!</definedName>
    <definedName name="L1__m" localSheetId="18">#REF!</definedName>
    <definedName name="L1__m">#REF!</definedName>
    <definedName name="L2__m" localSheetId="0">#REF!</definedName>
    <definedName name="L2__m" localSheetId="18">#REF!</definedName>
    <definedName name="L2__m">#REF!</definedName>
    <definedName name="La" localSheetId="0">#REF!</definedName>
    <definedName name="La" localSheetId="18">#REF!</definedName>
    <definedName name="La">#REF!</definedName>
    <definedName name="lakh">#REF!</definedName>
    <definedName name="LAMP" localSheetId="0">#REF!</definedName>
    <definedName name="LAMP" localSheetId="18">#REF!</definedName>
    <definedName name="LAMP">#REF!</definedName>
    <definedName name="lane_width" localSheetId="0">#REF!</definedName>
    <definedName name="lane_width" localSheetId="18">#REF!</definedName>
    <definedName name="lane_width">#REF!</definedName>
    <definedName name="LanguageComment" localSheetId="0">#REF!</definedName>
    <definedName name="LanguageComment" localSheetId="18">#REF!</definedName>
    <definedName name="LanguageComment">#REF!</definedName>
    <definedName name="Lb" localSheetId="0">#REF!</definedName>
    <definedName name="Lb" localSheetId="18">#REF!</definedName>
    <definedName name="Lb">#REF!</definedName>
    <definedName name="lc" localSheetId="0">#REF!</definedName>
    <definedName name="lc" localSheetId="18">#REF!</definedName>
    <definedName name="lc">#REF!</definedName>
    <definedName name="LC_CHGS" localSheetId="0">#REF!</definedName>
    <definedName name="LC_CHGS" localSheetId="18">#REF!</definedName>
    <definedName name="LC_CHGS">#REF!</definedName>
    <definedName name="lc1i4f" localSheetId="0">#REF!</definedName>
    <definedName name="lc1i4f" localSheetId="18">#REF!</definedName>
    <definedName name="lc1i4f">#REF!</definedName>
    <definedName name="lc1i5f" localSheetId="0">#REF!</definedName>
    <definedName name="lc1i5f" localSheetId="18">#REF!</definedName>
    <definedName name="lc1i5f">#REF!</definedName>
    <definedName name="lc2i1bc8f" localSheetId="0">#REF!</definedName>
    <definedName name="lc2i1bc8f" localSheetId="18">#REF!</definedName>
    <definedName name="lc2i1bc8f">#REF!</definedName>
    <definedName name="lc350mcbc" localSheetId="0">#REF!</definedName>
    <definedName name="lc350mcbc" localSheetId="18">#REF!</definedName>
    <definedName name="lc350mcbc">#REF!</definedName>
    <definedName name="lc350mcfdr" localSheetId="0">#REF!</definedName>
    <definedName name="lc350mcfdr" localSheetId="18">#REF!</definedName>
    <definedName name="lc350mcfdr">#REF!</definedName>
    <definedName name="lc350mcic" localSheetId="0">#REF!</definedName>
    <definedName name="lc350mcic" localSheetId="18">#REF!</definedName>
    <definedName name="lc350mcic">#REF!</definedName>
    <definedName name="lc350pcfdr" localSheetId="0">#REF!</definedName>
    <definedName name="lc350pcfdr" localSheetId="18">#REF!</definedName>
    <definedName name="lc350pcfdr">#REF!</definedName>
    <definedName name="lc350pcic" localSheetId="0">#REF!</definedName>
    <definedName name="lc350pcic" localSheetId="18">#REF!</definedName>
    <definedName name="lc350pcic">#REF!</definedName>
    <definedName name="lc500mcbc" localSheetId="0">#REF!</definedName>
    <definedName name="lc500mcbc" localSheetId="18">#REF!</definedName>
    <definedName name="lc500mcbc">#REF!</definedName>
    <definedName name="lc500mcfdr" localSheetId="0">#REF!</definedName>
    <definedName name="lc500mcfdr" localSheetId="18">#REF!</definedName>
    <definedName name="lc500mcfdr">#REF!</definedName>
    <definedName name="lc500mcic" localSheetId="0">#REF!</definedName>
    <definedName name="lc500mcic" localSheetId="18">#REF!</definedName>
    <definedName name="lc500mcic">#REF!</definedName>
    <definedName name="lcabbbc" localSheetId="0">#REF!</definedName>
    <definedName name="lcabbbc" localSheetId="18">#REF!</definedName>
    <definedName name="lcabbbc">#REF!</definedName>
    <definedName name="lcabbfdr" localSheetId="0">#REF!</definedName>
    <definedName name="lcabbfdr" localSheetId="18">#REF!</definedName>
    <definedName name="lcabbfdr">#REF!</definedName>
    <definedName name="lcabbic" localSheetId="0">#REF!</definedName>
    <definedName name="lcabbic" localSheetId="18">#REF!</definedName>
    <definedName name="lcabbic">#REF!</definedName>
    <definedName name="lcs" localSheetId="0">#REF!</definedName>
    <definedName name="lcs" localSheetId="18">#REF!</definedName>
    <definedName name="lcs">#REF!</definedName>
    <definedName name="LD_Analysis" localSheetId="0">#REF!</definedName>
    <definedName name="LD_Analysis" localSheetId="18">#REF!</definedName>
    <definedName name="LD_Analysis">#REF!</definedName>
    <definedName name="le" localSheetId="0">#REF!</definedName>
    <definedName name="le" localSheetId="18">#REF!</definedName>
    <definedName name="le">#REF!</definedName>
    <definedName name="least" localSheetId="0">#REF!</definedName>
    <definedName name="least" localSheetId="18">#REF!</definedName>
    <definedName name="least">#REF!</definedName>
    <definedName name="len" localSheetId="0">#REF!</definedName>
    <definedName name="len" localSheetId="18">#REF!</definedName>
    <definedName name="len">#REF!</definedName>
    <definedName name="length" localSheetId="0">#REF!</definedName>
    <definedName name="length" localSheetId="18">#REF!</definedName>
    <definedName name="length">#REF!</definedName>
    <definedName name="limcount" hidden="1">1</definedName>
    <definedName name="line" localSheetId="0">#REF!</definedName>
    <definedName name="line" localSheetId="18">#REF!</definedName>
    <definedName name="line">#REF!</definedName>
    <definedName name="Lm" localSheetId="0">#REF!</definedName>
    <definedName name="Lm" localSheetId="18">#REF!</definedName>
    <definedName name="Lm">#REF!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ND_CHGS" localSheetId="0">#REF!</definedName>
    <definedName name="LND_CHGS" localSheetId="18">#REF!</definedName>
    <definedName name="LND_CHGS">#REF!</definedName>
    <definedName name="load">#REF!</definedName>
    <definedName name="Location" localSheetId="0">#REF!</definedName>
    <definedName name="Location" localSheetId="18">#REF!</definedName>
    <definedName name="Location">#REF!</definedName>
    <definedName name="logo1">"Picture 7"</definedName>
    <definedName name="logoa" localSheetId="0">#REF!</definedName>
    <definedName name="logoa" localSheetId="18">#REF!</definedName>
    <definedName name="logoa">#REF!</definedName>
    <definedName name="Lr" localSheetId="0">#REF!</definedName>
    <definedName name="Lr" localSheetId="18">#REF!</definedName>
    <definedName name="Lr">#REF!</definedName>
    <definedName name="ls" localSheetId="0">#REF!</definedName>
    <definedName name="ls" localSheetId="18">#REF!</definedName>
    <definedName name="ls">#REF!</definedName>
    <definedName name="LTswitchgear" localSheetId="0">#REF!</definedName>
    <definedName name="LTswitchgear" localSheetId="18">#REF!</definedName>
    <definedName name="LTswitchgear">#REF!</definedName>
    <definedName name="LTTrafo">#REF!</definedName>
    <definedName name="Ltwo400">#REF!</definedName>
    <definedName name="Ltwo765">#REF!</definedName>
    <definedName name="LUMEN" localSheetId="0">#REF!</definedName>
    <definedName name="LUMEN" localSheetId="18">#REF!</definedName>
    <definedName name="LUMEN">#REF!</definedName>
    <definedName name="LUX" localSheetId="0">#REF!</definedName>
    <definedName name="LUX" localSheetId="18">#REF!</definedName>
    <definedName name="LUX">#REF!</definedName>
    <definedName name="LWL">#REF!</definedName>
    <definedName name="Lx" localSheetId="0">#REF!</definedName>
    <definedName name="Lx" localSheetId="18">#REF!</definedName>
    <definedName name="Lx">#REF!</definedName>
    <definedName name="M" localSheetId="0">#REF!</definedName>
    <definedName name="M" localSheetId="18">#REF!</definedName>
    <definedName name="M">#REF!</definedName>
    <definedName name="M_Aggregate_10">#REF!</definedName>
    <definedName name="M_Aggregate_20">#REF!</definedName>
    <definedName name="M_Aggregate_40">#REF!</definedName>
    <definedName name="M_BindingWire">#REF!</definedName>
    <definedName name="M_Cement">#REF!</definedName>
    <definedName name="M_RCCPipeNP4_1000mm">#REF!</definedName>
    <definedName name="M_Sand_Coarse">#REF!</definedName>
    <definedName name="MA_incountry" localSheetId="18">#REF!</definedName>
    <definedName name="MA_incountry">#REF!</definedName>
    <definedName name="MA_incountry_T" localSheetId="18">#REF!</definedName>
    <definedName name="MA_incountry_T">#REF!</definedName>
    <definedName name="MA_intercountry" localSheetId="18">#REF!</definedName>
    <definedName name="MA_intercountry">#REF!</definedName>
    <definedName name="MA_intercountry_T" localSheetId="18">#REF!</definedName>
    <definedName name="MA_intercountry_T">#REF!</definedName>
    <definedName name="MAConsolidation" localSheetId="18">#REF!</definedName>
    <definedName name="MAConsolidation">#REF!</definedName>
    <definedName name="MAConsolidationCountries" localSheetId="18">#REF!</definedName>
    <definedName name="MAConsolidationCountries">#REF!</definedName>
    <definedName name="MAConsolidationMols" localSheetId="18">#REF!</definedName>
    <definedName name="MAConsolidationMols">#REF!</definedName>
    <definedName name="Main" localSheetId="18">#REF!</definedName>
    <definedName name="Main">#REF!</definedName>
    <definedName name="major" localSheetId="18">#REF!</definedName>
    <definedName name="major">#REF!</definedName>
    <definedName name="majord" localSheetId="0">#REF!</definedName>
    <definedName name="majord" localSheetId="18">#REF!</definedName>
    <definedName name="majord">#REF!</definedName>
    <definedName name="majororders" localSheetId="0">#REF!</definedName>
    <definedName name="majororders" localSheetId="18">#REF!</definedName>
    <definedName name="majororders">#REF!</definedName>
    <definedName name="man" localSheetId="0">#REF!</definedName>
    <definedName name="man" localSheetId="18">#REF!</definedName>
    <definedName name="man">#REF!</definedName>
    <definedName name="Mandatory" localSheetId="0">'765KV TA 414 VNTL'!Mandatory</definedName>
    <definedName name="Mandatory" localSheetId="12">#N/A</definedName>
    <definedName name="Mandatory" localSheetId="9">#N/A</definedName>
    <definedName name="Mandatory" localSheetId="18">'Stringing Compiled'!Mandatory</definedName>
    <definedName name="Mandatory" localSheetId="13">#N/A</definedName>
    <definedName name="Mandatory">'765KV TA 414 VNTL'!Mandatory</definedName>
    <definedName name="Manday_Rate" localSheetId="0">#REF!</definedName>
    <definedName name="Manday_Rate" localSheetId="18">#REF!</definedName>
    <definedName name="Manday_Rate">#REF!</definedName>
    <definedName name="manday1" localSheetId="0">#REF!</definedName>
    <definedName name="manday1" localSheetId="18">#REF!</definedName>
    <definedName name="manday1">#REF!</definedName>
    <definedName name="manpower" localSheetId="0">#REF!</definedName>
    <definedName name="manpower" localSheetId="18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ginalCosts" localSheetId="0">#REF!</definedName>
    <definedName name="MarginalCosts" localSheetId="18">#REF!</definedName>
    <definedName name="MarginalCosts">#REF!</definedName>
    <definedName name="MarginalCostsSM" localSheetId="0">#REF!</definedName>
    <definedName name="MarginalCostsSM" localSheetId="18">#REF!</definedName>
    <definedName name="MarginalCostsSM">#REF!</definedName>
    <definedName name="MARKETSHAREPYHIGH" localSheetId="0">#REF!</definedName>
    <definedName name="MARKETSHAREPYHIGH" localSheetId="18">#REF!</definedName>
    <definedName name="MARKETSHAREPYHIGH">#REF!</definedName>
    <definedName name="MARKETSHAREPYLOW" localSheetId="0">#REF!</definedName>
    <definedName name="MARKETSHAREPYLOW" localSheetId="18">#REF!</definedName>
    <definedName name="MARKETSHAREPYLOW">#REF!</definedName>
    <definedName name="MAS" localSheetId="0">#REF!</definedName>
    <definedName name="MAS" localSheetId="18">#REF!</definedName>
    <definedName name="MAS">#REF!</definedName>
    <definedName name="MasterMolDoseList">#REF!</definedName>
    <definedName name="Masterpreisliste_Access_ohne_CHAR_10_" localSheetId="0">#REF!</definedName>
    <definedName name="Masterpreisliste_Access_ohne_CHAR_10_" localSheetId="18">#REF!</definedName>
    <definedName name="Masterpreisliste_Access_ohne_CHAR_10_">#REF!</definedName>
    <definedName name="MATHS" localSheetId="0">#REF!</definedName>
    <definedName name="MATHS" localSheetId="18">#REF!</definedName>
    <definedName name="MATHS">#REF!</definedName>
    <definedName name="Mb" localSheetId="0">#REF!</definedName>
    <definedName name="Mb" localSheetId="18">#REF!</definedName>
    <definedName name="Mb">#REF!</definedName>
    <definedName name="Mc" localSheetId="0">#REF!</definedName>
    <definedName name="Mc" localSheetId="18">#REF!</definedName>
    <definedName name="Mc">#REF!</definedName>
    <definedName name="MC_ABB_Imp" localSheetId="0">#REF!</definedName>
    <definedName name="MC_ABB_Imp" localSheetId="18">#REF!</definedName>
    <definedName name="MC_ABB_Imp">#REF!</definedName>
    <definedName name="MC_ABB_local" localSheetId="0">#REF!</definedName>
    <definedName name="MC_ABB_local" localSheetId="18">#REF!</definedName>
    <definedName name="MC_ABB_local">#REF!</definedName>
    <definedName name="MC_ABB_peenya" localSheetId="0">#REF!</definedName>
    <definedName name="MC_ABB_peenya" localSheetId="18">#REF!</definedName>
    <definedName name="MC_ABB_peenya">#REF!</definedName>
    <definedName name="MC_AIC_Imp" localSheetId="0">#REF!</definedName>
    <definedName name="MC_AIC_Imp" localSheetId="18">#REF!</definedName>
    <definedName name="MC_AIC_Imp">#REF!</definedName>
    <definedName name="MC_AIC_local" localSheetId="0">#REF!</definedName>
    <definedName name="MC_AIC_local" localSheetId="18">#REF!</definedName>
    <definedName name="MC_AIC_local">#REF!</definedName>
    <definedName name="MC_DEMHW" localSheetId="0">#REF!</definedName>
    <definedName name="MC_DEMHW" localSheetId="18">#REF!</definedName>
    <definedName name="MC_DEMHW">#REF!</definedName>
    <definedName name="MC_DEMSW" localSheetId="0">#REF!</definedName>
    <definedName name="MC_DEMSW" localSheetId="18">#REF!</definedName>
    <definedName name="MC_DEMSW">#REF!</definedName>
    <definedName name="MC_FFRHW" localSheetId="0">#REF!</definedName>
    <definedName name="MC_FFRHW" localSheetId="18">#REF!</definedName>
    <definedName name="MC_FFRHW">#REF!</definedName>
    <definedName name="MC_FFRSW" localSheetId="0">#REF!</definedName>
    <definedName name="MC_FFRSW" localSheetId="18">#REF!</definedName>
    <definedName name="MC_FFRSW">#REF!</definedName>
    <definedName name="MC_FIMHW" localSheetId="0">#REF!</definedName>
    <definedName name="MC_FIMHW" localSheetId="18">#REF!</definedName>
    <definedName name="MC_FIMHW">#REF!</definedName>
    <definedName name="MC_FIMSW" localSheetId="0">#REF!</definedName>
    <definedName name="MC_FIMSW" localSheetId="18">#REF!</definedName>
    <definedName name="MC_FIMSW">#REF!</definedName>
    <definedName name="MC_NOKHW" localSheetId="0">#REF!</definedName>
    <definedName name="MC_NOKHW" localSheetId="18">#REF!</definedName>
    <definedName name="MC_NOKHW">#REF!</definedName>
    <definedName name="MC_NOKSW" localSheetId="0">#REF!</definedName>
    <definedName name="MC_NOKSW" localSheetId="18">#REF!</definedName>
    <definedName name="MC_NOKSW">#REF!</definedName>
    <definedName name="MC_NonABB_Imp" localSheetId="0">#REF!</definedName>
    <definedName name="MC_NonABB_Imp" localSheetId="18">#REF!</definedName>
    <definedName name="MC_NonABB_Imp">#REF!</definedName>
    <definedName name="MC_NonABB_local" localSheetId="0">#REF!</definedName>
    <definedName name="MC_NonABB_local" localSheetId="18">#REF!</definedName>
    <definedName name="MC_NonABB_local">#REF!</definedName>
    <definedName name="MC_SEKHW" localSheetId="0">#REF!</definedName>
    <definedName name="MC_SEKHW" localSheetId="18">#REF!</definedName>
    <definedName name="MC_SEKHW">#REF!</definedName>
    <definedName name="MC_SEKSW" localSheetId="0">#REF!</definedName>
    <definedName name="MC_SEKSW" localSheetId="18">#REF!</definedName>
    <definedName name="MC_SEKSW">#REF!</definedName>
    <definedName name="MC_SFRHW" localSheetId="0">#REF!</definedName>
    <definedName name="MC_SFRHW" localSheetId="18">#REF!</definedName>
    <definedName name="MC_SFRHW">#REF!</definedName>
    <definedName name="MC_SFRSW" localSheetId="0">#REF!</definedName>
    <definedName name="MC_SFRSW" localSheetId="18">#REF!</definedName>
    <definedName name="MC_SFRSW">#REF!</definedName>
    <definedName name="MC_UKPHW" localSheetId="0">#REF!</definedName>
    <definedName name="MC_UKPHW" localSheetId="18">#REF!</definedName>
    <definedName name="MC_UKPHW">#REF!</definedName>
    <definedName name="MC_UKPSW" localSheetId="0">#REF!</definedName>
    <definedName name="MC_UKPSW" localSheetId="18">#REF!</definedName>
    <definedName name="MC_UKPSW">#REF!</definedName>
    <definedName name="MC_USDHW" localSheetId="0">#REF!</definedName>
    <definedName name="MC_USDHW" localSheetId="18">#REF!</definedName>
    <definedName name="MC_USDHW">#REF!</definedName>
    <definedName name="MC_USDSW" localSheetId="0">#REF!</definedName>
    <definedName name="MC_USDSW" localSheetId="18">#REF!</definedName>
    <definedName name="MC_USDSW">#REF!</definedName>
    <definedName name="MC_YENHW" localSheetId="0">#REF!</definedName>
    <definedName name="MC_YENHW" localSheetId="18">#REF!</definedName>
    <definedName name="MC_YENHW">#REF!</definedName>
    <definedName name="MC_YENSW" localSheetId="0">#REF!</definedName>
    <definedName name="MC_YENSW" localSheetId="18">#REF!</definedName>
    <definedName name="MC_YENSW">#REF!</definedName>
    <definedName name="mcabb3501i5f" localSheetId="0">#REF!</definedName>
    <definedName name="mcabb3501i5f" localSheetId="18">#REF!</definedName>
    <definedName name="mcabb3501i5f">#REF!</definedName>
    <definedName name="mcabb3502i1bc8f" localSheetId="0">#REF!</definedName>
    <definedName name="mcabb3502i1bc8f" localSheetId="18">#REF!</definedName>
    <definedName name="mcabb3502i1bc8f">#REF!</definedName>
    <definedName name="mcabb5002i1bc8f" localSheetId="0">#REF!</definedName>
    <definedName name="mcabb5002i1bc8f" localSheetId="18">#REF!</definedName>
    <definedName name="mcabb5002i1bc8f">#REF!</definedName>
    <definedName name="MCi">#REF!</definedName>
    <definedName name="mcmc1i5f" localSheetId="0">#REF!</definedName>
    <definedName name="mcmc1i5f" localSheetId="18">#REF!</definedName>
    <definedName name="mcmc1i5f">#REF!</definedName>
    <definedName name="mcmc3502i1bc8f" localSheetId="0">#REF!</definedName>
    <definedName name="mcmc3502i1bc8f" localSheetId="18">#REF!</definedName>
    <definedName name="mcmc3502i1bc8f">#REF!</definedName>
    <definedName name="mcmc5002i1bc8f" localSheetId="0">#REF!</definedName>
    <definedName name="mcmc5002i1bc8f" localSheetId="18">#REF!</definedName>
    <definedName name="mcmc5002i1bc8f">#REF!</definedName>
    <definedName name="mcpc1i4f" localSheetId="0">#REF!</definedName>
    <definedName name="mcpc1i4f" localSheetId="18">#REF!</definedName>
    <definedName name="mcpc1i4f">#REF!</definedName>
    <definedName name="mcvr">#REF!</definedName>
    <definedName name="mdp">#REF!</definedName>
    <definedName name="MDVT_ABSP" localSheetId="0">#REF!</definedName>
    <definedName name="MDVT_ABSP" localSheetId="18">#REF!</definedName>
    <definedName name="MDVT_ABSP">#REF!</definedName>
    <definedName name="Med" localSheetId="0">#REF!</definedName>
    <definedName name="Med" localSheetId="18">#REF!</definedName>
    <definedName name="Med">#REF!</definedName>
    <definedName name="method">#REF!</definedName>
    <definedName name="mf" localSheetId="0" hidden="1">{"'PROFITABILITY'!$A$1:$F$45"}</definedName>
    <definedName name="mf" localSheetId="12" hidden="1">{"'PROFITABILITY'!$A$1:$F$45"}</definedName>
    <definedName name="mf" localSheetId="9" hidden="1">{"'PROFITABILITY'!$A$1:$F$45"}</definedName>
    <definedName name="mf" localSheetId="18" hidden="1">{"'PROFITABILITY'!$A$1:$F$45"}</definedName>
    <definedName name="mf" localSheetId="13" hidden="1">{"'PROFITABILITY'!$A$1:$F$45"}</definedName>
    <definedName name="mf" hidden="1">{"'PROFITABILITY'!$A$1:$F$45"}</definedName>
    <definedName name="MF_ABB_local" localSheetId="0">#REF!</definedName>
    <definedName name="MF_ABB_local" localSheetId="18">#REF!</definedName>
    <definedName name="MF_ABB_local">#REF!</definedName>
    <definedName name="MF_ABB_peenya" localSheetId="0">#REF!</definedName>
    <definedName name="MF_ABB_peenya" localSheetId="18">#REF!</definedName>
    <definedName name="MF_ABB_peenya">#REF!</definedName>
    <definedName name="MF_AIC_Imp" localSheetId="0">#REF!</definedName>
    <definedName name="MF_AIC_Imp" localSheetId="18">#REF!</definedName>
    <definedName name="MF_AIC_Imp">#REF!</definedName>
    <definedName name="MF_AIC_local" localSheetId="0">#REF!</definedName>
    <definedName name="MF_AIC_local" localSheetId="18">#REF!</definedName>
    <definedName name="MF_AIC_local">#REF!</definedName>
    <definedName name="MF_AUTImp_ABB" localSheetId="0">#REF!</definedName>
    <definedName name="MF_AUTImp_ABB" localSheetId="18">#REF!</definedName>
    <definedName name="MF_AUTImp_ABB">#REF!</definedName>
    <definedName name="MF_AUTImp_NonABB" localSheetId="0">#REF!</definedName>
    <definedName name="MF_AUTImp_NonABB" localSheetId="18">#REF!</definedName>
    <definedName name="MF_AUTImp_NonABB">#REF!</definedName>
    <definedName name="MF_NonABB_local" localSheetId="0">#REF!</definedName>
    <definedName name="MF_NonABB_local" localSheetId="18">#REF!</definedName>
    <definedName name="MF_NonABB_local">#REF!</definedName>
    <definedName name="Min_Exp_Well">#REF!</definedName>
    <definedName name="minor" localSheetId="18">#REF!</definedName>
    <definedName name="minor">#REF!</definedName>
    <definedName name="Misc_charges" localSheetId="0">#REF!</definedName>
    <definedName name="Misc_charges" localSheetId="18">#REF!</definedName>
    <definedName name="Misc_charges">#REF!</definedName>
    <definedName name="mm" localSheetId="0" hidden="1">#REF!</definedName>
    <definedName name="mm" localSheetId="18" hidden="1">#REF!</definedName>
    <definedName name="mm" hidden="1">#REF!</definedName>
    <definedName name="mmm" localSheetId="18">#REF!</definedName>
    <definedName name="mmm">#REF!</definedName>
    <definedName name="Model_Comparison" localSheetId="0">#REF!</definedName>
    <definedName name="Model_Comparison" localSheetId="18">#REF!</definedName>
    <definedName name="Model_Comparison">#REF!</definedName>
    <definedName name="modvat" localSheetId="0">#REF!</definedName>
    <definedName name="modvat" localSheetId="18">#REF!</definedName>
    <definedName name="modvat">#REF!</definedName>
    <definedName name="molecules" localSheetId="18">#REF!</definedName>
    <definedName name="molecules">#REF!</definedName>
    <definedName name="Month">#REF!</definedName>
    <definedName name="MonthYear">#REF!</definedName>
    <definedName name="MQAKAM" localSheetId="0">#REF!</definedName>
    <definedName name="MQAKAM" localSheetId="18">#REF!</definedName>
    <definedName name="MQAKAM">#REF!</definedName>
    <definedName name="Ms" localSheetId="0">#REF!</definedName>
    <definedName name="Ms" localSheetId="18">#REF!</definedName>
    <definedName name="Ms">#REF!</definedName>
    <definedName name="MS_Royalty" localSheetId="0">#REF!</definedName>
    <definedName name="MS_Royalty" localSheetId="18">#REF!</definedName>
    <definedName name="MS_Royalty">#REF!</definedName>
    <definedName name="mujj" localSheetId="0">#REF!</definedName>
    <definedName name="mujj" localSheetId="18">#REF!</definedName>
    <definedName name="mujj">#REF!</definedName>
    <definedName name="Mulimit" localSheetId="0">#REF!</definedName>
    <definedName name="Mulimit" localSheetId="18">#REF!</definedName>
    <definedName name="Mulimit">#REF!</definedName>
    <definedName name="Musculoskeletal_Interface_clinic">#REF!,#REF!,#REF!</definedName>
    <definedName name="MVP_Total" localSheetId="0">#REF!</definedName>
    <definedName name="MVP_Total" localSheetId="18">#REF!</definedName>
    <definedName name="MVP_Total">#REF!</definedName>
    <definedName name="MyPBRScenario" localSheetId="0">#REF!</definedName>
    <definedName name="MyPBRScenario" localSheetId="18">#REF!</definedName>
    <definedName name="MyPBRScenario">#REF!</definedName>
    <definedName name="N" localSheetId="0">#REF!</definedName>
    <definedName name="N" localSheetId="18">#REF!</definedName>
    <definedName name="N">#REF!</definedName>
    <definedName name="Nature">#REF!</definedName>
    <definedName name="Nc" localSheetId="0">#REF!</definedName>
    <definedName name="Nc" localSheetId="18">#REF!</definedName>
    <definedName name="Nc">#REF!</definedName>
    <definedName name="NcIS" localSheetId="0">#REF!</definedName>
    <definedName name="NcIS" localSheetId="18">#REF!</definedName>
    <definedName name="NcIS">#REF!</definedName>
    <definedName name="NIL" localSheetId="0">#REF!</definedName>
    <definedName name="NIL" localSheetId="18">#REF!</definedName>
    <definedName name="NIL">#REF!</definedName>
    <definedName name="NJPE" localSheetId="18">#REF!</definedName>
    <definedName name="NJPE">#REF!</definedName>
    <definedName name="njspsche" localSheetId="18">#REF!</definedName>
    <definedName name="njspsche">#REF!</definedName>
    <definedName name="nlg_cd" localSheetId="0">#REF!</definedName>
    <definedName name="nlg_cd" localSheetId="18">#REF!</definedName>
    <definedName name="nlg_cd">#REF!</definedName>
    <definedName name="nlg_er" localSheetId="0">#REF!</definedName>
    <definedName name="nlg_er" localSheetId="18">#REF!</definedName>
    <definedName name="nlg_er">#REF!</definedName>
    <definedName name="nlg_fi" localSheetId="0">#REF!</definedName>
    <definedName name="nlg_fi" localSheetId="18">#REF!</definedName>
    <definedName name="nlg_fi">#REF!</definedName>
    <definedName name="NN" localSheetId="0">#REF!</definedName>
    <definedName name="NN" localSheetId="18">#REF!</definedName>
    <definedName name="NN">#REF!</definedName>
    <definedName name="no_name" localSheetId="0">#REF!</definedName>
    <definedName name="no_name" localSheetId="18">#REF!</definedName>
    <definedName name="no_name">#REF!</definedName>
    <definedName name="NOK" localSheetId="0">#REF!</definedName>
    <definedName name="NOK" localSheetId="18">#REF!</definedName>
    <definedName name="NOK">#REF!</definedName>
    <definedName name="NONSOR">#REF!</definedName>
    <definedName name="Nos" localSheetId="0">#REF!</definedName>
    <definedName name="Nos" localSheetId="18">#REF!</definedName>
    <definedName name="Nos">#REF!</definedName>
    <definedName name="NPV_Risk" localSheetId="0">#REF!</definedName>
    <definedName name="NPV_Risk" localSheetId="18">#REF!</definedName>
    <definedName name="NPV_Risk">#REF!</definedName>
    <definedName name="NqIS" localSheetId="0">#REF!</definedName>
    <definedName name="NqIS" localSheetId="18">#REF!</definedName>
    <definedName name="NqIS">#REF!</definedName>
    <definedName name="NrIS" localSheetId="0">#REF!</definedName>
    <definedName name="NrIS" localSheetId="18">#REF!</definedName>
    <definedName name="NrIS">#REF!</definedName>
    <definedName name="Nsd">#REF!</definedName>
    <definedName name="Nsda" localSheetId="0">#REF!</definedName>
    <definedName name="Nsda" localSheetId="18">#REF!</definedName>
    <definedName name="Nsda">#REF!</definedName>
    <definedName name="Nsdb" localSheetId="0">#REF!</definedName>
    <definedName name="Nsdb" localSheetId="18">#REF!</definedName>
    <definedName name="Nsdb">#REF!</definedName>
    <definedName name="Nsm" localSheetId="0">#REF!</definedName>
    <definedName name="Nsm" localSheetId="18">#REF!</definedName>
    <definedName name="Nsm">#REF!</definedName>
    <definedName name="Nt" localSheetId="0">#REF!</definedName>
    <definedName name="Nt" localSheetId="18">#REF!</definedName>
    <definedName name="Nt">#REF!</definedName>
    <definedName name="num2text">#REF!</definedName>
    <definedName name="Nur" localSheetId="0">#REF!</definedName>
    <definedName name="Nur" localSheetId="18">#REF!</definedName>
    <definedName name="Nur">#REF!</definedName>
    <definedName name="Nx" localSheetId="0">#REF!</definedName>
    <definedName name="Nx" localSheetId="18">#REF!</definedName>
    <definedName name="Nx">#REF!</definedName>
    <definedName name="nxs" localSheetId="0">#REF!</definedName>
    <definedName name="nxs" localSheetId="18">#REF!</definedName>
    <definedName name="nxs">#REF!</definedName>
    <definedName name="Ny" localSheetId="0">#REF!</definedName>
    <definedName name="Ny" localSheetId="18">#REF!</definedName>
    <definedName name="Ny">#REF!</definedName>
    <definedName name="nys" localSheetId="0">#REF!</definedName>
    <definedName name="nys" localSheetId="18">#REF!</definedName>
    <definedName name="nys">#REF!</definedName>
    <definedName name="O" localSheetId="0">#REF!</definedName>
    <definedName name="O" localSheetId="18">#REF!</definedName>
    <definedName name="O">#REF!</definedName>
    <definedName name="OCTROI" localSheetId="0">#REF!</definedName>
    <definedName name="OCTROI" localSheetId="18">#REF!</definedName>
    <definedName name="OCTROI">#REF!</definedName>
    <definedName name="OCTROI_HW" localSheetId="0">#REF!</definedName>
    <definedName name="OCTROI_HW" localSheetId="18">#REF!</definedName>
    <definedName name="OCTROI_HW">#REF!</definedName>
    <definedName name="OCTROI_SW" localSheetId="0">#REF!</definedName>
    <definedName name="OCTROI_SW" localSheetId="18">#REF!</definedName>
    <definedName name="OCTROI_SW">#REF!</definedName>
    <definedName name="OFFICE_LIGHTING" localSheetId="0">#REF!</definedName>
    <definedName name="OFFICE_LIGHTING" localSheetId="18">#REF!</definedName>
    <definedName name="OFFICE_LIGHTING">#REF!</definedName>
    <definedName name="oh" localSheetId="0">#REF!</definedName>
    <definedName name="oh" localSheetId="18">#REF!</definedName>
    <definedName name="oh">#REF!</definedName>
    <definedName name="ohe" localSheetId="0">#REF!</definedName>
    <definedName name="ohe" localSheetId="18">#REF!</definedName>
    <definedName name="ohe">#REF!</definedName>
    <definedName name="ok" localSheetId="0">#REF!</definedName>
    <definedName name="ok" localSheetId="18">#REF!</definedName>
    <definedName name="ok">#REF!</definedName>
    <definedName name="OldLaunch" localSheetId="18">#REF!</definedName>
    <definedName name="OldLaunch">#REF!</definedName>
    <definedName name="ongoingDCP" localSheetId="18">#REF!</definedName>
    <definedName name="ongoingDCP">#REF!</definedName>
    <definedName name="ooc" localSheetId="0">#REF!</definedName>
    <definedName name="ooc" localSheetId="18">#REF!</definedName>
    <definedName name="ooc">#REF!</definedName>
    <definedName name="ord_musd">#REF!</definedName>
    <definedName name="orderbacklog" localSheetId="0">#REF!</definedName>
    <definedName name="orderbacklog" localSheetId="18">#REF!</definedName>
    <definedName name="orderbacklog">#REF!</definedName>
    <definedName name="orderbooked98">#REF!</definedName>
    <definedName name="ORDERSTATUS" localSheetId="0">#REF!</definedName>
    <definedName name="ORDERSTATUS" localSheetId="18">#REF!</definedName>
    <definedName name="ORDERSTATUS">#REF!</definedName>
    <definedName name="ORDREVCOLL" localSheetId="0">#REF!</definedName>
    <definedName name="ORDREVCOLL" localSheetId="18">#REF!</definedName>
    <definedName name="ORDREVCOLL">#REF!</definedName>
    <definedName name="Org_Codes">#REF!</definedName>
    <definedName name="P" localSheetId="0" hidden="1">{"'PROFITABILITY'!$A$1:$F$45"}</definedName>
    <definedName name="P" localSheetId="12" hidden="1">{"'PROFITABILITY'!$A$1:$F$45"}</definedName>
    <definedName name="P" localSheetId="9" hidden="1">{"'PROFITABILITY'!$A$1:$F$45"}</definedName>
    <definedName name="P" localSheetId="18" hidden="1">{"'PROFITABILITY'!$A$1:$F$45"}</definedName>
    <definedName name="P" localSheetId="13" hidden="1">{"'PROFITABILITY'!$A$1:$F$45"}</definedName>
    <definedName name="P" hidden="1">{"'PROFITABILITY'!$A$1:$F$45"}</definedName>
    <definedName name="p.s" localSheetId="0">#REF!</definedName>
    <definedName name="p.s" localSheetId="18">#REF!</definedName>
    <definedName name="p.s">#REF!</definedName>
    <definedName name="P_1">#REF!</definedName>
    <definedName name="P_3">#REF!</definedName>
    <definedName name="P_4">#REF!</definedName>
    <definedName name="P_5">#REF!</definedName>
    <definedName name="P_6DSO" localSheetId="0">#REF!</definedName>
    <definedName name="P_6DSO" localSheetId="18">#REF!</definedName>
    <definedName name="P_6DSO">#REF!</definedName>
    <definedName name="P_7DPO">#REF!</definedName>
    <definedName name="p11i4f" localSheetId="0">#REF!</definedName>
    <definedName name="p11i4f" localSheetId="18">#REF!</definedName>
    <definedName name="p11i4f">#REF!</definedName>
    <definedName name="p11i5f" localSheetId="0">#REF!</definedName>
    <definedName name="p11i5f" localSheetId="18">#REF!</definedName>
    <definedName name="p11i5f">#REF!</definedName>
    <definedName name="p12i1bc8f" localSheetId="0">#REF!</definedName>
    <definedName name="p12i1bc8f" localSheetId="18">#REF!</definedName>
    <definedName name="p12i1bc8f">#REF!</definedName>
    <definedName name="p1350mcbc" localSheetId="0">#REF!</definedName>
    <definedName name="p1350mcbc" localSheetId="18">#REF!</definedName>
    <definedName name="p1350mcbc">#REF!</definedName>
    <definedName name="p1350mcfdr" localSheetId="0">#REF!</definedName>
    <definedName name="p1350mcfdr" localSheetId="18">#REF!</definedName>
    <definedName name="p1350mcfdr">#REF!</definedName>
    <definedName name="p1350mcic" localSheetId="0">#REF!</definedName>
    <definedName name="p1350mcic" localSheetId="18">#REF!</definedName>
    <definedName name="p1350mcic">#REF!</definedName>
    <definedName name="p1350pcfdr" localSheetId="0">#REF!</definedName>
    <definedName name="p1350pcfdr" localSheetId="18">#REF!</definedName>
    <definedName name="p1350pcfdr">#REF!</definedName>
    <definedName name="p1350pcic" localSheetId="0">#REF!</definedName>
    <definedName name="p1350pcic" localSheetId="18">#REF!</definedName>
    <definedName name="p1350pcic">#REF!</definedName>
    <definedName name="p1500mcbc" localSheetId="0">#REF!</definedName>
    <definedName name="p1500mcbc" localSheetId="18">#REF!</definedName>
    <definedName name="p1500mcbc">#REF!</definedName>
    <definedName name="p1500mcfdr" localSheetId="0">#REF!</definedName>
    <definedName name="p1500mcfdr" localSheetId="18">#REF!</definedName>
    <definedName name="p1500mcfdr">#REF!</definedName>
    <definedName name="p1500mcic" localSheetId="0">#REF!</definedName>
    <definedName name="p1500mcic" localSheetId="18">#REF!</definedName>
    <definedName name="p1500mcic">#REF!</definedName>
    <definedName name="p1abbbc" localSheetId="0">#REF!</definedName>
    <definedName name="p1abbbc" localSheetId="18">#REF!</definedName>
    <definedName name="p1abbbc">#REF!</definedName>
    <definedName name="p1abbfdr" localSheetId="0">#REF!</definedName>
    <definedName name="p1abbfdr" localSheetId="18">#REF!</definedName>
    <definedName name="p1abbfdr">#REF!</definedName>
    <definedName name="p1abbic" localSheetId="0">#REF!</definedName>
    <definedName name="p1abbic" localSheetId="18">#REF!</definedName>
    <definedName name="p1abbic">#REF!</definedName>
    <definedName name="p1accp" localSheetId="0">#REF!</definedName>
    <definedName name="p1accp" localSheetId="18">#REF!</definedName>
    <definedName name="p1accp">#REF!</definedName>
    <definedName name="p1acdb1" localSheetId="0">#REF!</definedName>
    <definedName name="p1acdb1" localSheetId="18">#REF!</definedName>
    <definedName name="p1acdb1">#REF!</definedName>
    <definedName name="p1acdb2" localSheetId="0">#REF!</definedName>
    <definedName name="p1acdb2" localSheetId="18">#REF!</definedName>
    <definedName name="p1acdb2">#REF!</definedName>
    <definedName name="p1acdb3" localSheetId="0">#REF!</definedName>
    <definedName name="p1acdb3" localSheetId="18">#REF!</definedName>
    <definedName name="p1acdb3">#REF!</definedName>
    <definedName name="p1amf">#REF!</definedName>
    <definedName name="p1apcc1" localSheetId="0">#REF!</definedName>
    <definedName name="p1apcc1" localSheetId="18">#REF!</definedName>
    <definedName name="p1apcc1">#REF!</definedName>
    <definedName name="p1apcc2" localSheetId="0">#REF!</definedName>
    <definedName name="p1apcc2" localSheetId="18">#REF!</definedName>
    <definedName name="p1apcc2">#REF!</definedName>
    <definedName name="p1apcc3" localSheetId="0">#REF!</definedName>
    <definedName name="p1apcc3" localSheetId="18">#REF!</definedName>
    <definedName name="p1apcc3">#REF!</definedName>
    <definedName name="p1clp" localSheetId="0">#REF!</definedName>
    <definedName name="p1clp" localSheetId="18">#REF!</definedName>
    <definedName name="p1clp">#REF!</definedName>
    <definedName name="p1csp">#REF!</definedName>
    <definedName name="p1db">#REF!</definedName>
    <definedName name="p1ht" localSheetId="0">#REF!</definedName>
    <definedName name="p1ht" localSheetId="18">#REF!</definedName>
    <definedName name="p1ht">#REF!</definedName>
    <definedName name="p1ksk">#REF!</definedName>
    <definedName name="p1ldb" localSheetId="0">#REF!</definedName>
    <definedName name="p1ldb" localSheetId="18">#REF!</definedName>
    <definedName name="p1ldb">#REF!</definedName>
    <definedName name="p1lift" localSheetId="0">#REF!</definedName>
    <definedName name="p1lift" localSheetId="18">#REF!</definedName>
    <definedName name="p1lift">#REF!</definedName>
    <definedName name="p1ltsba1" localSheetId="0">#REF!</definedName>
    <definedName name="p1ltsba1" localSheetId="18">#REF!</definedName>
    <definedName name="p1ltsba1">#REF!</definedName>
    <definedName name="p1ltsba2" localSheetId="0">#REF!</definedName>
    <definedName name="p1ltsba2" localSheetId="18">#REF!</definedName>
    <definedName name="p1ltsba2">#REF!</definedName>
    <definedName name="p1ltsbb1" localSheetId="0">#REF!</definedName>
    <definedName name="p1ltsbb1" localSheetId="18">#REF!</definedName>
    <definedName name="p1ltsbb1">#REF!</definedName>
    <definedName name="p1ltsbb2" localSheetId="0">#REF!</definedName>
    <definedName name="p1ltsbb2" localSheetId="18">#REF!</definedName>
    <definedName name="p1ltsbb2">#REF!</definedName>
    <definedName name="p1mcc1" localSheetId="0">#REF!</definedName>
    <definedName name="p1mcc1" localSheetId="18">#REF!</definedName>
    <definedName name="p1mcc1">#REF!</definedName>
    <definedName name="p1mcc10" localSheetId="0">#REF!</definedName>
    <definedName name="p1mcc10" localSheetId="18">#REF!</definedName>
    <definedName name="p1mcc10">#REF!</definedName>
    <definedName name="p1mcc11" localSheetId="0">#REF!</definedName>
    <definedName name="p1mcc11" localSheetId="18">#REF!</definedName>
    <definedName name="p1mcc11">#REF!</definedName>
    <definedName name="p1mcc12" localSheetId="0">#REF!</definedName>
    <definedName name="p1mcc12" localSheetId="18">#REF!</definedName>
    <definedName name="p1mcc12">#REF!</definedName>
    <definedName name="p1mcc13" localSheetId="0">#REF!</definedName>
    <definedName name="p1mcc13" localSheetId="18">#REF!</definedName>
    <definedName name="p1mcc13">#REF!</definedName>
    <definedName name="p1mcc14" localSheetId="0">#REF!</definedName>
    <definedName name="p1mcc14" localSheetId="18">#REF!</definedName>
    <definedName name="p1mcc14">#REF!</definedName>
    <definedName name="p1mcc15" localSheetId="0">#REF!</definedName>
    <definedName name="p1mcc15" localSheetId="18">#REF!</definedName>
    <definedName name="p1mcc15">#REF!</definedName>
    <definedName name="p1mcc17" localSheetId="0">#REF!</definedName>
    <definedName name="p1mcc17" localSheetId="18">#REF!</definedName>
    <definedName name="p1mcc17">#REF!</definedName>
    <definedName name="p1mcc2" localSheetId="0">#REF!</definedName>
    <definedName name="p1mcc2" localSheetId="18">#REF!</definedName>
    <definedName name="p1mcc2">#REF!</definedName>
    <definedName name="p1mcc3" localSheetId="0">#REF!</definedName>
    <definedName name="p1mcc3" localSheetId="18">#REF!</definedName>
    <definedName name="p1mcc3">#REF!</definedName>
    <definedName name="p1mcc4" localSheetId="0">#REF!</definedName>
    <definedName name="p1mcc4" localSheetId="18">#REF!</definedName>
    <definedName name="p1mcc4">#REF!</definedName>
    <definedName name="p1mcc5" localSheetId="0">#REF!</definedName>
    <definedName name="p1mcc5" localSheetId="18">#REF!</definedName>
    <definedName name="p1mcc5">#REF!</definedName>
    <definedName name="p1mcc6" localSheetId="0">#REF!</definedName>
    <definedName name="p1mcc6" localSheetId="18">#REF!</definedName>
    <definedName name="p1mcc6">#REF!</definedName>
    <definedName name="p1mcc7" localSheetId="0">#REF!</definedName>
    <definedName name="p1mcc7" localSheetId="18">#REF!</definedName>
    <definedName name="p1mcc7">#REF!</definedName>
    <definedName name="p1mcc8" localSheetId="0">#REF!</definedName>
    <definedName name="p1mcc8" localSheetId="18">#REF!</definedName>
    <definedName name="p1mcc8">#REF!</definedName>
    <definedName name="p1mcc9" localSheetId="0">#REF!</definedName>
    <definedName name="p1mcc9" localSheetId="18">#REF!</definedName>
    <definedName name="p1mcc9">#REF!</definedName>
    <definedName name="p1mldb" localSheetId="0">#REF!</definedName>
    <definedName name="p1mldb" localSheetId="18">#REF!</definedName>
    <definedName name="p1mldb">#REF!</definedName>
    <definedName name="p1mlp" localSheetId="0">#REF!</definedName>
    <definedName name="p1mlp" localSheetId="18">#REF!</definedName>
    <definedName name="p1mlp">#REF!</definedName>
    <definedName name="p1mltp">#REF!</definedName>
    <definedName name="p1mpcc" localSheetId="0">#REF!</definedName>
    <definedName name="p1mpcc" localSheetId="18">#REF!</definedName>
    <definedName name="p1mpcc">#REF!</definedName>
    <definedName name="p1mpdb" localSheetId="0">#REF!</definedName>
    <definedName name="p1mpdb" localSheetId="18">#REF!</definedName>
    <definedName name="p1mpdb">#REF!</definedName>
    <definedName name="p1mpdp" localSheetId="0">#REF!</definedName>
    <definedName name="p1mpdp" localSheetId="18">#REF!</definedName>
    <definedName name="p1mpdp">#REF!</definedName>
    <definedName name="p1mrlp" localSheetId="0">#REF!</definedName>
    <definedName name="p1mrlp" localSheetId="18">#REF!</definedName>
    <definedName name="p1mrlp">#REF!</definedName>
    <definedName name="p1pcc" localSheetId="0">#REF!</definedName>
    <definedName name="p1pcc" localSheetId="18">#REF!</definedName>
    <definedName name="p1pcc">#REF!</definedName>
    <definedName name="p1pccm" localSheetId="0">#REF!</definedName>
    <definedName name="p1pccm" localSheetId="18">#REF!</definedName>
    <definedName name="p1pccm">#REF!</definedName>
    <definedName name="p1pdb" localSheetId="0">#REF!</definedName>
    <definedName name="p1pdb" localSheetId="18">#REF!</definedName>
    <definedName name="p1pdb">#REF!</definedName>
    <definedName name="p1ssb1">#REF!</definedName>
    <definedName name="p1ssb2">#REF!</definedName>
    <definedName name="p1upsdb">#REF!</definedName>
    <definedName name="p1upsip" localSheetId="0">#REF!</definedName>
    <definedName name="p1upsip" localSheetId="18">#REF!</definedName>
    <definedName name="p1upsip">#REF!</definedName>
    <definedName name="p1upsmdb" localSheetId="0">#REF!</definedName>
    <definedName name="p1upsmdb" localSheetId="18">#REF!</definedName>
    <definedName name="p1upsmdb">#REF!</definedName>
    <definedName name="p1upsop" localSheetId="0">#REF!</definedName>
    <definedName name="p1upsop" localSheetId="18">#REF!</definedName>
    <definedName name="p1upsop">#REF!</definedName>
    <definedName name="pa" localSheetId="0">#REF!</definedName>
    <definedName name="pa" localSheetId="18">#REF!</definedName>
    <definedName name="pa">#REF!</definedName>
    <definedName name="pad_baywise" localSheetId="0">#REF!</definedName>
    <definedName name="pad_baywise" localSheetId="18">#REF!</definedName>
    <definedName name="pad_baywise">#REF!</definedName>
    <definedName name="Page1" localSheetId="0">#REF!</definedName>
    <definedName name="Page1" localSheetId="18">#REF!</definedName>
    <definedName name="Page1">#REF!</definedName>
    <definedName name="PAGE10" localSheetId="0">#REF!</definedName>
    <definedName name="PAGE10" localSheetId="18">#REF!</definedName>
    <definedName name="PAGE10">#REF!</definedName>
    <definedName name="PAGE11" localSheetId="0">#REF!</definedName>
    <definedName name="PAGE11" localSheetId="18">#REF!</definedName>
    <definedName name="PAGE11">#REF!</definedName>
    <definedName name="PAGE2" localSheetId="0">#REF!</definedName>
    <definedName name="PAGE2" localSheetId="18">#REF!</definedName>
    <definedName name="PAGE2">#REF!</definedName>
    <definedName name="PAGE3" localSheetId="0">#REF!</definedName>
    <definedName name="PAGE3" localSheetId="18">#REF!</definedName>
    <definedName name="PAGE3">#REF!</definedName>
    <definedName name="PAGE4" localSheetId="0">#REF!</definedName>
    <definedName name="PAGE4" localSheetId="18">#REF!</definedName>
    <definedName name="PAGE4">#REF!</definedName>
    <definedName name="PAGE5" localSheetId="0">#REF!</definedName>
    <definedName name="PAGE5" localSheetId="18">#REF!</definedName>
    <definedName name="PAGE5">#REF!</definedName>
    <definedName name="PAGE6" localSheetId="0">#REF!</definedName>
    <definedName name="PAGE6" localSheetId="18">#REF!</definedName>
    <definedName name="PAGE6">#REF!</definedName>
    <definedName name="PAGE7" localSheetId="0">#REF!</definedName>
    <definedName name="PAGE7" localSheetId="18">#REF!</definedName>
    <definedName name="PAGE7">#REF!</definedName>
    <definedName name="PAGE8" localSheetId="0">#REF!</definedName>
    <definedName name="PAGE8" localSheetId="18">#REF!</definedName>
    <definedName name="PAGE8">#REF!</definedName>
    <definedName name="PAGE9" localSheetId="0">#REF!</definedName>
    <definedName name="PAGE9" localSheetId="18">#REF!</definedName>
    <definedName name="PAGE9">#REF!</definedName>
    <definedName name="Pal_Workbook_GUID" hidden="1">"I4MQBSQIYS7ZIKLGDAQFMW49"</definedName>
    <definedName name="Pancham" localSheetId="0">#REF!</definedName>
    <definedName name="Pancham" localSheetId="18">#REF!</definedName>
    <definedName name="Pancham">#REF!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0">#REF!</definedName>
    <definedName name="pb" localSheetId="18">#REF!</definedName>
    <definedName name="pb">#REF!</definedName>
    <definedName name="PbRScenario" localSheetId="0">#REF!</definedName>
    <definedName name="PbRScenario" localSheetId="18">#REF!</definedName>
    <definedName name="PbRScenario">#REF!</definedName>
    <definedName name="pc" localSheetId="0">#REF!</definedName>
    <definedName name="pc" localSheetId="18">#REF!</definedName>
    <definedName name="pc">#REF!</definedName>
    <definedName name="PC_ED" localSheetId="0">#REF!</definedName>
    <definedName name="PC_ED" localSheetId="18">#REF!</definedName>
    <definedName name="PC_ED">#REF!</definedName>
    <definedName name="pctacutescore" localSheetId="0">#REF!</definedName>
    <definedName name="pctacutescore" localSheetId="18">#REF!</definedName>
    <definedName name="pctacutescore">#REF!</definedName>
    <definedName name="pctformatted" localSheetId="0">#REF!</definedName>
    <definedName name="pctformatted" localSheetId="18">#REF!</definedName>
    <definedName name="pctformatted">#REF!</definedName>
    <definedName name="PCTs" localSheetId="0">#REF!</definedName>
    <definedName name="PCTs" localSheetId="18">#REF!</definedName>
    <definedName name="PCTs">#REF!</definedName>
    <definedName name="PER" localSheetId="0">#REF!</definedName>
    <definedName name="PER" localSheetId="18">#REF!</definedName>
    <definedName name="PER">#REF!</definedName>
    <definedName name="PerIncrease" localSheetId="0">#REF!</definedName>
    <definedName name="PerIncrease" localSheetId="18">#REF!</definedName>
    <definedName name="PerIncrease">#REF!</definedName>
    <definedName name="PERSONAL_TRANSPORT" localSheetId="0">#REF!</definedName>
    <definedName name="PERSONAL_TRANSPORT" localSheetId="18">#REF!</definedName>
    <definedName name="PERSONAL_TRANSPORT">#REF!</definedName>
    <definedName name="pge" localSheetId="0">#REF!</definedName>
    <definedName name="pge" localSheetId="18">#REF!</definedName>
    <definedName name="pge">#REF!</definedName>
    <definedName name="pH" localSheetId="0">#REF!</definedName>
    <definedName name="pH" localSheetId="18">#REF!</definedName>
    <definedName name="pH">#REF!</definedName>
    <definedName name="PHYSICAL_STATUS_OF_CONDUCTOR_AS_ON_DATE">#REF!</definedName>
    <definedName name="pIaccp" localSheetId="0">#REF!</definedName>
    <definedName name="pIaccp" localSheetId="18">#REF!</definedName>
    <definedName name="pIaccp">#REF!</definedName>
    <definedName name="picture_1">"Picture 1"</definedName>
    <definedName name="pIecp" localSheetId="0">#REF!</definedName>
    <definedName name="pIecp" localSheetId="18">#REF!</definedName>
    <definedName name="pIecp">#REF!</definedName>
    <definedName name="PILLTYPE">#REF!</definedName>
    <definedName name="pImcc.1" localSheetId="0">#REF!</definedName>
    <definedName name="pImcc.1" localSheetId="18">#REF!</definedName>
    <definedName name="pImcc.1">#REF!</definedName>
    <definedName name="pImcc.2" localSheetId="0">#REF!</definedName>
    <definedName name="pImcc.2" localSheetId="18">#REF!</definedName>
    <definedName name="pImcc.2">#REF!</definedName>
    <definedName name="pImcc.3" localSheetId="0">#REF!</definedName>
    <definedName name="pImcc.3" localSheetId="18">#REF!</definedName>
    <definedName name="pImcc.3">#REF!</definedName>
    <definedName name="pImltsb" localSheetId="0">#REF!</definedName>
    <definedName name="pImltsb" localSheetId="18">#REF!</definedName>
    <definedName name="pImltsb">#REF!</definedName>
    <definedName name="pImsb.ups" localSheetId="0">#REF!</definedName>
    <definedName name="pImsb.ups" localSheetId="18">#REF!</definedName>
    <definedName name="pImsb.ups">#REF!</definedName>
    <definedName name="pIsmsb.1" localSheetId="0">#REF!</definedName>
    <definedName name="pIsmsb.1" localSheetId="18">#REF!</definedName>
    <definedName name="pIsmsb.1">#REF!</definedName>
    <definedName name="pIsmsb.2" localSheetId="0">#REF!</definedName>
    <definedName name="pIsmsb.2" localSheetId="18">#REF!</definedName>
    <definedName name="pIsmsb.2">#REF!</definedName>
    <definedName name="pIsmsb.3" localSheetId="0">#REF!</definedName>
    <definedName name="pIsmsb.3" localSheetId="18">#REF!</definedName>
    <definedName name="pIsmsb.3">#REF!</definedName>
    <definedName name="pIsmsb.b" localSheetId="0">#REF!</definedName>
    <definedName name="pIsmsb.b" localSheetId="18">#REF!</definedName>
    <definedName name="pIsmsb.b">#REF!</definedName>
    <definedName name="pIsmsb.g" localSheetId="0">#REF!</definedName>
    <definedName name="pIsmsb.g" localSheetId="18">#REF!</definedName>
    <definedName name="pIsmsb.g">#REF!</definedName>
    <definedName name="pIsmsb.lab" localSheetId="0">#REF!</definedName>
    <definedName name="pIsmsb.lab" localSheetId="18">#REF!</definedName>
    <definedName name="pIsmsb.lab">#REF!</definedName>
    <definedName name="pIsmsb.main" localSheetId="0">#REF!</definedName>
    <definedName name="pIsmsb.main" localSheetId="18">#REF!</definedName>
    <definedName name="pIsmsb.main">#REF!</definedName>
    <definedName name="pIsmsb.t" localSheetId="0">#REF!</definedName>
    <definedName name="pIsmsb.t" localSheetId="18">#REF!</definedName>
    <definedName name="pIsmsb.t">#REF!</definedName>
    <definedName name="pIsmsb.ups" localSheetId="0">#REF!</definedName>
    <definedName name="pIsmsb.ups" localSheetId="18">#REF!</definedName>
    <definedName name="pIsmsb.ups">#REF!</definedName>
    <definedName name="pIup.1" localSheetId="0">#REF!</definedName>
    <definedName name="pIup.1" localSheetId="18">#REF!</definedName>
    <definedName name="pIup.1">#REF!</definedName>
    <definedName name="pIup.2" localSheetId="0">#REF!</definedName>
    <definedName name="pIup.2" localSheetId="18">#REF!</definedName>
    <definedName name="pIup.2">#REF!</definedName>
    <definedName name="PKGFRD_HW" localSheetId="0">#REF!</definedName>
    <definedName name="PKGFRD_HW" localSheetId="18">#REF!</definedName>
    <definedName name="PKGFRD_HW">#REF!</definedName>
    <definedName name="PKGFRD_SW" localSheetId="0">#REF!</definedName>
    <definedName name="PKGFRD_SW" localSheetId="18">#REF!</definedName>
    <definedName name="PKGFRD_SW">#REF!</definedName>
    <definedName name="plsdata" localSheetId="0">#REF!</definedName>
    <definedName name="plsdata" localSheetId="18">#REF!</definedName>
    <definedName name="plsdata">#REF!</definedName>
    <definedName name="PM_ConcreteMixer">#REF!</definedName>
    <definedName name="pmsnonacutescore" localSheetId="0">#REF!</definedName>
    <definedName name="pmsnonacutescore" localSheetId="18">#REF!</definedName>
    <definedName name="pmsnonacutescore">#REF!</definedName>
    <definedName name="PmtFreq_PS" localSheetId="0">#REF!</definedName>
    <definedName name="PmtFreq_PS" localSheetId="18">#REF!</definedName>
    <definedName name="PmtFreq_PS">#REF!</definedName>
    <definedName name="pnu_soil" localSheetId="0">#REF!</definedName>
    <definedName name="pnu_soil" localSheetId="18">#REF!</definedName>
    <definedName name="pnu_soil">#REF!</definedName>
    <definedName name="PNum" localSheetId="0">#REF!</definedName>
    <definedName name="PNum" localSheetId="18">#REF!</definedName>
    <definedName name="PNum">#REF!</definedName>
    <definedName name="PONDA" localSheetId="0">#REF!</definedName>
    <definedName name="PONDA" localSheetId="18">#REF!</definedName>
    <definedName name="PONDA">#REF!</definedName>
    <definedName name="POST" localSheetId="0">#REF!</definedName>
    <definedName name="POST" localSheetId="18">#REF!</definedName>
    <definedName name="POST">#REF!</definedName>
    <definedName name="Potential_All" localSheetId="18">#REF!</definedName>
    <definedName name="Potential_All">#REF!</definedName>
    <definedName name="Potential_Brazil" localSheetId="0">#REF!</definedName>
    <definedName name="Potential_Brazil" localSheetId="18">#REF!</definedName>
    <definedName name="Potential_Brazil">#REF!</definedName>
    <definedName name="Potential_EU" localSheetId="0">#REF!</definedName>
    <definedName name="Potential_EU" localSheetId="18">#REF!</definedName>
    <definedName name="Potential_EU">#REF!</definedName>
    <definedName name="Potential_US" localSheetId="0">#REF!</definedName>
    <definedName name="Potential_US" localSheetId="18">#REF!</definedName>
    <definedName name="Potential_US">#REF!</definedName>
    <definedName name="pp">#REF!</definedName>
    <definedName name="PPPPPP" localSheetId="0" hidden="1">{#N/A,#N/A,FALSE,"COVER1.XLS ";#N/A,#N/A,FALSE,"RACT1.XLS";#N/A,#N/A,FALSE,"RACT2.XLS";#N/A,#N/A,FALSE,"ECCMP";#N/A,#N/A,FALSE,"WELDER.XLS"}</definedName>
    <definedName name="PPPPPP" localSheetId="12" hidden="1">{#N/A,#N/A,FALSE,"COVER1.XLS ";#N/A,#N/A,FALSE,"RACT1.XLS";#N/A,#N/A,FALSE,"RACT2.XLS";#N/A,#N/A,FALSE,"ECCMP";#N/A,#N/A,FALSE,"WELDER.XLS"}</definedName>
    <definedName name="PPPPPP" localSheetId="9" hidden="1">{#N/A,#N/A,FALSE,"COVER1.XLS ";#N/A,#N/A,FALSE,"RACT1.XLS";#N/A,#N/A,FALSE,"RACT2.XLS";#N/A,#N/A,FALSE,"ECCMP";#N/A,#N/A,FALSE,"WELDER.XLS"}</definedName>
    <definedName name="PPPPPP" localSheetId="18" hidden="1">{#N/A,#N/A,FALSE,"COVER1.XLS ";#N/A,#N/A,FALSE,"RACT1.XLS";#N/A,#N/A,FALSE,"RACT2.XLS";#N/A,#N/A,FALSE,"ECCMP";#N/A,#N/A,FALSE,"WELDER.XLS"}</definedName>
    <definedName name="PPPPPP" localSheetId="1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0">#REF!</definedName>
    <definedName name="PR_BO" localSheetId="18">#REF!</definedName>
    <definedName name="PR_BO">#REF!</definedName>
    <definedName name="PR_IDTO" localSheetId="0">#REF!</definedName>
    <definedName name="PR_IDTO" localSheetId="18">#REF!</definedName>
    <definedName name="PR_IDTO">#REF!</definedName>
    <definedName name="PR_IMP" localSheetId="0">#REF!</definedName>
    <definedName name="PR_IMP" localSheetId="18">#REF!</definedName>
    <definedName name="PR_IMP">#REF!</definedName>
    <definedName name="PR_TR" localSheetId="0">#REF!</definedName>
    <definedName name="PR_TR" localSheetId="18">#REF!</definedName>
    <definedName name="PR_TR">#REF!</definedName>
    <definedName name="prashant" localSheetId="0">#REF!</definedName>
    <definedName name="prashant" localSheetId="18">#REF!</definedName>
    <definedName name="prashant">#REF!</definedName>
    <definedName name="PrepareDate" localSheetId="0">#REF!</definedName>
    <definedName name="PrepareDate" localSheetId="18">#REF!</definedName>
    <definedName name="PrepareDate">#REF!</definedName>
    <definedName name="priced_end">#REF!</definedName>
    <definedName name="PRICEDISCOUNT" localSheetId="0">#REF!</definedName>
    <definedName name="PRICEDISCOUNT" localSheetId="18">#REF!</definedName>
    <definedName name="PRICEDISCOUNT">#REF!</definedName>
    <definedName name="Print" localSheetId="0">#REF!</definedName>
    <definedName name="Print" localSheetId="18">#REF!</definedName>
    <definedName name="Print">#REF!</definedName>
    <definedName name="print_activity_by_Commissioner" localSheetId="0">#REF!</definedName>
    <definedName name="print_activity_by_Commissioner" localSheetId="18">#REF!</definedName>
    <definedName name="print_activity_by_Commissioner">#REF!</definedName>
    <definedName name="_xlnm.Print_Area" localSheetId="0">'765KV TA 414 VNTL'!$A$1:$O$20</definedName>
    <definedName name="_xlnm.Print_Area" localSheetId="3">'AOTL - KEC'!$A$1:$M$19</definedName>
    <definedName name="_xlnm.Print_Area" localSheetId="4">'DPR Sheet'!$A$1:$G$33</definedName>
    <definedName name="_xlnm.Print_Area" localSheetId="12">'Erection '!$A$1:$P$169</definedName>
    <definedName name="_xlnm.Print_Area" localSheetId="11">FDN!$A$1:$M$267</definedName>
    <definedName name="_xlnm.Print_Area" localSheetId="18">'Stringing Compiled'!$A$1:$Q$5</definedName>
    <definedName name="_xlnm.Print_Area" localSheetId="13">'Visual chart 1 '!$AE$28</definedName>
    <definedName name="_xlnm.Print_Area">#REF!</definedName>
    <definedName name="Print_Area_MI" localSheetId="0">#REF!</definedName>
    <definedName name="Print_Area_MI" localSheetId="18">#REF!</definedName>
    <definedName name="Print_Area_MI">#REF!</definedName>
    <definedName name="_xlnm.Print_Titles" localSheetId="0">#REF!</definedName>
    <definedName name="_xlnm.Print_Titles" localSheetId="11">FDN!$1:$2</definedName>
    <definedName name="_xlnm.Print_Titles" localSheetId="18">#REF!</definedName>
    <definedName name="_xlnm.Print_Titles">#REF!</definedName>
    <definedName name="PRINT_TITLES_MI" localSheetId="0">#REF!</definedName>
    <definedName name="PRINT_TITLES_MI" localSheetId="18">#REF!</definedName>
    <definedName name="PRINT_TITLES_MI">#REF!</definedName>
    <definedName name="printedname" localSheetId="0">#REF!</definedName>
    <definedName name="printedname" localSheetId="18">#REF!</definedName>
    <definedName name="printedname">#REF!</definedName>
    <definedName name="PRMIL_HW" localSheetId="0">#REF!</definedName>
    <definedName name="PRMIL_HW" localSheetId="18">#REF!</definedName>
    <definedName name="PRMIL_HW">#REF!</definedName>
    <definedName name="PRMIL_SW" localSheetId="0">#REF!</definedName>
    <definedName name="PRMIL_SW" localSheetId="18">#REF!</definedName>
    <definedName name="PRMIL_SW">#REF!</definedName>
    <definedName name="PROBADJUSTMENT" localSheetId="0">#REF!</definedName>
    <definedName name="PROBADJUSTMENT" localSheetId="18">#REF!</definedName>
    <definedName name="PROBADJUSTMENT">#REF!</definedName>
    <definedName name="prod_cost_gas_mmbtu">#REF!</definedName>
    <definedName name="prod_cost_oil">#REF!</definedName>
    <definedName name="Professional___Audit_Fees" localSheetId="0">#REF!</definedName>
    <definedName name="Professional___Audit_Fees" localSheetId="18">#REF!</definedName>
    <definedName name="Professional___Audit_Fees">#REF!</definedName>
    <definedName name="Progress_data">#REF!</definedName>
    <definedName name="project" localSheetId="0">#REF!</definedName>
    <definedName name="project" localSheetId="18">#REF!</definedName>
    <definedName name="project">#REF!</definedName>
    <definedName name="Projects" localSheetId="0">#REF!</definedName>
    <definedName name="Projects" localSheetId="18">#REF!</definedName>
    <definedName name="Projects">#REF!</definedName>
    <definedName name="PROVISIONS" localSheetId="18">#REF!</definedName>
    <definedName name="PROVISIONS">#REF!</definedName>
    <definedName name="PS" localSheetId="0">#REF!</definedName>
    <definedName name="PS" localSheetId="18">#REF!</definedName>
    <definedName name="PS">#REF!</definedName>
    <definedName name="PublicDocuments" localSheetId="0">#REF!</definedName>
    <definedName name="PublicDocuments" localSheetId="18">#REF!</definedName>
    <definedName name="PublicDocuments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0" hidden="1">{"'PROFITABILITY'!$A$1:$F$45"}</definedName>
    <definedName name="q" localSheetId="12" hidden="1">{"'PROFITABILITY'!$A$1:$F$45"}</definedName>
    <definedName name="q" localSheetId="9" hidden="1">{"'PROFITABILITY'!$A$1:$F$45"}</definedName>
    <definedName name="q" localSheetId="18" hidden="1">{"'PROFITABILITY'!$A$1:$F$45"}</definedName>
    <definedName name="q" localSheetId="13" hidden="1">{"'PROFITABILITY'!$A$1:$F$45"}</definedName>
    <definedName name="q" hidden="1">{"'PROFITABILITY'!$A$1:$F$45"}</definedName>
    <definedName name="q_all" localSheetId="0">#REF!</definedName>
    <definedName name="q_all" localSheetId="18">#REF!</definedName>
    <definedName name="q_all">#REF!</definedName>
    <definedName name="qar">#REF!</definedName>
    <definedName name="Qc" localSheetId="0">#REF!</definedName>
    <definedName name="Qc" localSheetId="18">#REF!</definedName>
    <definedName name="Qc">#REF!</definedName>
    <definedName name="QC_Bajaj" localSheetId="0">#REF!</definedName>
    <definedName name="QC_Bajaj" localSheetId="18">#REF!</definedName>
    <definedName name="QC_Bajaj">#REF!</definedName>
    <definedName name="qder" localSheetId="0">#REF!</definedName>
    <definedName name="qder" localSheetId="18">#REF!</definedName>
    <definedName name="qder">#REF!</definedName>
    <definedName name="Qf" localSheetId="0">#REF!</definedName>
    <definedName name="Qf" localSheetId="18">#REF!</definedName>
    <definedName name="Qf">#REF!</definedName>
    <definedName name="qfc" localSheetId="0">#REF!</definedName>
    <definedName name="qfc" localSheetId="18">#REF!</definedName>
    <definedName name="qfc">#REF!</definedName>
    <definedName name="QFC_AUDh" localSheetId="0">#REF!</definedName>
    <definedName name="QFC_AUDh" localSheetId="18">#REF!</definedName>
    <definedName name="QFC_AUDh">#REF!</definedName>
    <definedName name="QFC_AUDs" localSheetId="0">#REF!</definedName>
    <definedName name="QFC_AUDs" localSheetId="18">#REF!</definedName>
    <definedName name="QFC_AUDs">#REF!</definedName>
    <definedName name="QFC_AUDspa" localSheetId="0">#REF!</definedName>
    <definedName name="QFC_AUDspa" localSheetId="18">#REF!</definedName>
    <definedName name="QFC_AUDspa">#REF!</definedName>
    <definedName name="QFC_BO" localSheetId="0">#REF!</definedName>
    <definedName name="QFC_BO" localSheetId="18">#REF!</definedName>
    <definedName name="QFC_BO">#REF!</definedName>
    <definedName name="QFC_DEMh" localSheetId="0">#REF!</definedName>
    <definedName name="QFC_DEMh" localSheetId="18">#REF!</definedName>
    <definedName name="QFC_DEMh">#REF!</definedName>
    <definedName name="QFC_DEMs" localSheetId="0">#REF!</definedName>
    <definedName name="QFC_DEMs" localSheetId="18">#REF!</definedName>
    <definedName name="QFC_DEMs">#REF!</definedName>
    <definedName name="QFC_DEMspa" localSheetId="0">#REF!</definedName>
    <definedName name="QFC_DEMspa" localSheetId="18">#REF!</definedName>
    <definedName name="QFC_DEMspa">#REF!</definedName>
    <definedName name="QFC_FIMh" localSheetId="0">#REF!</definedName>
    <definedName name="QFC_FIMh" localSheetId="18">#REF!</definedName>
    <definedName name="QFC_FIMh">#REF!</definedName>
    <definedName name="QFC_FIMs" localSheetId="0">#REF!</definedName>
    <definedName name="QFC_FIMs" localSheetId="18">#REF!</definedName>
    <definedName name="QFC_FIMs">#REF!</definedName>
    <definedName name="QFC_FIMspa" localSheetId="0">#REF!</definedName>
    <definedName name="QFC_FIMspa" localSheetId="18">#REF!</definedName>
    <definedName name="QFC_FIMspa">#REF!</definedName>
    <definedName name="QFC_FIs" localSheetId="0">#REF!</definedName>
    <definedName name="QFC_FIs" localSheetId="18">#REF!</definedName>
    <definedName name="QFC_FIs">#REF!</definedName>
    <definedName name="QFC_NOKh" localSheetId="0">#REF!</definedName>
    <definedName name="QFC_NOKh" localSheetId="18">#REF!</definedName>
    <definedName name="QFC_NOKh">#REF!</definedName>
    <definedName name="QFC_NOKs" localSheetId="0">#REF!</definedName>
    <definedName name="QFC_NOKs" localSheetId="18">#REF!</definedName>
    <definedName name="QFC_NOKs">#REF!</definedName>
    <definedName name="QFC_NOKspa" localSheetId="0">#REF!</definedName>
    <definedName name="QFC_NOKspa" localSheetId="18">#REF!</definedName>
    <definedName name="QFC_NOKspa">#REF!</definedName>
    <definedName name="QFC_OWN" localSheetId="0">#REF!</definedName>
    <definedName name="QFC_OWN" localSheetId="18">#REF!</definedName>
    <definedName name="QFC_OWN">#REF!</definedName>
    <definedName name="qfc_s00" localSheetId="0">#REF!</definedName>
    <definedName name="qfc_s00" localSheetId="18">#REF!</definedName>
    <definedName name="qfc_s00">#REF!</definedName>
    <definedName name="QFC_S01" localSheetId="0">#REF!</definedName>
    <definedName name="QFC_S01" localSheetId="18">#REF!</definedName>
    <definedName name="QFC_S01">#REF!</definedName>
    <definedName name="QFC_S02" localSheetId="0">#REF!</definedName>
    <definedName name="QFC_S02" localSheetId="18">#REF!</definedName>
    <definedName name="QFC_S02">#REF!</definedName>
    <definedName name="QFC_S03" localSheetId="0">#REF!</definedName>
    <definedName name="QFC_S03" localSheetId="18">#REF!</definedName>
    <definedName name="QFC_S03">#REF!</definedName>
    <definedName name="qfc_s98" localSheetId="0">#REF!</definedName>
    <definedName name="qfc_s98" localSheetId="18">#REF!</definedName>
    <definedName name="qfc_s98">#REF!</definedName>
    <definedName name="qfc_s99" localSheetId="0">#REF!</definedName>
    <definedName name="qfc_s99" localSheetId="18">#REF!</definedName>
    <definedName name="qfc_s99">#REF!</definedName>
    <definedName name="QFC_SEKh" localSheetId="0">#REF!</definedName>
    <definedName name="QFC_SEKh" localSheetId="18">#REF!</definedName>
    <definedName name="QFC_SEKh">#REF!</definedName>
    <definedName name="QFC_SEKs" localSheetId="0">#REF!</definedName>
    <definedName name="QFC_SEKs" localSheetId="18">#REF!</definedName>
    <definedName name="QFC_SEKs">#REF!</definedName>
    <definedName name="QFC_SFRh" localSheetId="0">#REF!</definedName>
    <definedName name="QFC_SFRh" localSheetId="18">#REF!</definedName>
    <definedName name="QFC_SFRh">#REF!</definedName>
    <definedName name="QFC_SFRs" localSheetId="0">#REF!</definedName>
    <definedName name="QFC_SFRs" localSheetId="18">#REF!</definedName>
    <definedName name="QFC_SFRs">#REF!</definedName>
    <definedName name="QFC_SPC" localSheetId="0">#REF!</definedName>
    <definedName name="QFC_SPC" localSheetId="18">#REF!</definedName>
    <definedName name="QFC_SPC">#REF!</definedName>
    <definedName name="QFC_TR" localSheetId="0">#REF!</definedName>
    <definedName name="QFC_TR" localSheetId="18">#REF!</definedName>
    <definedName name="QFC_TR">#REF!</definedName>
    <definedName name="QFC_UKPh" localSheetId="0">#REF!</definedName>
    <definedName name="QFC_UKPh" localSheetId="18">#REF!</definedName>
    <definedName name="QFC_UKPh">#REF!</definedName>
    <definedName name="QFC_UKPs" localSheetId="0">#REF!</definedName>
    <definedName name="QFC_UKPs" localSheetId="18">#REF!</definedName>
    <definedName name="QFC_UKPs">#REF!</definedName>
    <definedName name="QFC_USDh" localSheetId="0">#REF!</definedName>
    <definedName name="QFC_USDh" localSheetId="18">#REF!</definedName>
    <definedName name="QFC_USDh">#REF!</definedName>
    <definedName name="QFC_USDs" localSheetId="0">#REF!</definedName>
    <definedName name="QFC_USDs" localSheetId="18">#REF!</definedName>
    <definedName name="QFC_USDs">#REF!</definedName>
    <definedName name="QFC_USDspa" localSheetId="0">#REF!</definedName>
    <definedName name="QFC_USDspa" localSheetId="18">#REF!</definedName>
    <definedName name="QFC_USDspa">#REF!</definedName>
    <definedName name="Qi" localSheetId="0">#REF!</definedName>
    <definedName name="Qi" localSheetId="18">#REF!</definedName>
    <definedName name="Qi">#REF!</definedName>
    <definedName name="Ql" localSheetId="0">#REF!</definedName>
    <definedName name="Ql" localSheetId="18">#REF!</definedName>
    <definedName name="Ql">#REF!</definedName>
    <definedName name="qryEqptOrdDelyETAProfile_byConstrMgr" localSheetId="0">#REF!</definedName>
    <definedName name="qryEqptOrdDelyETAProfile_byConstrMgr" localSheetId="18">#REF!</definedName>
    <definedName name="qryEqptOrdDelyETAProfile_byConstrMgr">#REF!</definedName>
    <definedName name="qryEqptOrdPODelProfile_ByConstrMgr" localSheetId="0">#REF!</definedName>
    <definedName name="qryEqptOrdPODelProfile_ByConstrMgr" localSheetId="18">#REF!</definedName>
    <definedName name="qryEqptOrdPODelProfile_ByConstrMgr">#REF!</definedName>
    <definedName name="qryMonitorIP_9SpecialByContractToXLS" localSheetId="0">#REF!</definedName>
    <definedName name="qryMonitorIP_9SpecialByContractToXLS" localSheetId="18">#REF!</definedName>
    <definedName name="qryMonitorIP_9SpecialByContractToXLS">#REF!</definedName>
    <definedName name="Qspan" localSheetId="0">#REF!</definedName>
    <definedName name="Qspan" localSheetId="18">#REF!</definedName>
    <definedName name="Qspan">#REF!</definedName>
    <definedName name="qw" localSheetId="0" hidden="1">{"'PROFITABILITY'!$A$1:$F$45"}</definedName>
    <definedName name="qw" localSheetId="12" hidden="1">{"'PROFITABILITY'!$A$1:$F$45"}</definedName>
    <definedName name="qw" localSheetId="9" hidden="1">{"'PROFITABILITY'!$A$1:$F$45"}</definedName>
    <definedName name="qw" localSheetId="18" hidden="1">{"'PROFITABILITY'!$A$1:$F$45"}</definedName>
    <definedName name="qw" localSheetId="13" hidden="1">{"'PROFITABILITY'!$A$1:$F$45"}</definedName>
    <definedName name="qw" hidden="1">{"'PROFITABILITY'!$A$1:$F$45"}</definedName>
    <definedName name="qwer" localSheetId="0">#REF!</definedName>
    <definedName name="qwer" localSheetId="18">#REF!</definedName>
    <definedName name="qwer">#REF!</definedName>
    <definedName name="QWMKS" localSheetId="0">#REF!</definedName>
    <definedName name="QWMKS" localSheetId="18">#REF!</definedName>
    <definedName name="QWMKS">#REF!</definedName>
    <definedName name="r_">#REF!</definedName>
    <definedName name="Radio" localSheetId="0" hidden="1">{"'PROFITABILITY'!$A$1:$F$45"}</definedName>
    <definedName name="Radio" localSheetId="12" hidden="1">{"'PROFITABILITY'!$A$1:$F$45"}</definedName>
    <definedName name="Radio" localSheetId="9" hidden="1">{"'PROFITABILITY'!$A$1:$F$45"}</definedName>
    <definedName name="Radio" localSheetId="18" hidden="1">{"'PROFITABILITY'!$A$1:$F$45"}</definedName>
    <definedName name="Radio" localSheetId="13" hidden="1">{"'PROFITABILITY'!$A$1:$F$45"}</definedName>
    <definedName name="Radio" hidden="1">{"'PROFITABILITY'!$A$1:$F$45"}</definedName>
    <definedName name="raghu" localSheetId="0">#REF!</definedName>
    <definedName name="raghu" localSheetId="18">#REF!</definedName>
    <definedName name="raghu">#REF!</definedName>
    <definedName name="raja" localSheetId="0">#REF!</definedName>
    <definedName name="raja" localSheetId="18">#REF!</definedName>
    <definedName name="raja">#REF!</definedName>
    <definedName name="RbyP">#REF!</definedName>
    <definedName name="Re" localSheetId="0">#REF!</definedName>
    <definedName name="Re" localSheetId="18">#REF!</definedName>
    <definedName name="re">#REF!</definedName>
    <definedName name="Receivables_yearwise" localSheetId="18">#REF!</definedName>
    <definedName name="Receivables_yearwise">#REF!</definedName>
    <definedName name="_xlnm.Recorder" localSheetId="0">#REF!</definedName>
    <definedName name="_xlnm.Recorder" localSheetId="18">#REF!</definedName>
    <definedName name="_xlnm.Recorder">#REF!</definedName>
    <definedName name="Recorder1">#REF!</definedName>
    <definedName name="redmdn" localSheetId="0">#REF!</definedName>
    <definedName name="redmdn" localSheetId="18">#REF!</definedName>
    <definedName name="redmdn">#REF!</definedName>
    <definedName name="Reduction_of_Outpatient_ratios">#REF!,#REF!,#REF!</definedName>
    <definedName name="Ref__EUS_632_FDN_001">#REF!</definedName>
    <definedName name="Ref__EUS_632_FDN_002">#REF!</definedName>
    <definedName name="Regulatory_costs">#REF!</definedName>
    <definedName name="rel">#REF!</definedName>
    <definedName name="RENT" localSheetId="0">#REF!</definedName>
    <definedName name="RENT" localSheetId="18">#REF!</definedName>
    <definedName name="RENT">#REF!</definedName>
    <definedName name="Repairs" localSheetId="0">#REF!</definedName>
    <definedName name="Repairs" localSheetId="18">#REF!</definedName>
    <definedName name="Repairs">#REF!</definedName>
    <definedName name="Retail_Disc" localSheetId="18">#REF!</definedName>
    <definedName name="Retail_Disc">#REF!</definedName>
    <definedName name="Rev" localSheetId="0">#REF!</definedName>
    <definedName name="Rev" localSheetId="18">#REF!</definedName>
    <definedName name="Rev">#REF!</definedName>
    <definedName name="REVENUE_MODEL" localSheetId="0">#REF!</definedName>
    <definedName name="REVENUE_MODEL" localSheetId="18">#REF!</definedName>
    <definedName name="REVENUE_MODEL">#REF!</definedName>
    <definedName name="REVSTATUS" localSheetId="0">#REF!</definedName>
    <definedName name="REVSTATUS" localSheetId="18">#REF!</definedName>
    <definedName name="REVSTATUS">#REF!</definedName>
    <definedName name="revstatuspage1" localSheetId="0">#REF!</definedName>
    <definedName name="revstatuspage1" localSheetId="18">#REF!</definedName>
    <definedName name="revstatuspage1">#REF!</definedName>
    <definedName name="revstatuspage2" localSheetId="0">#REF!</definedName>
    <definedName name="revstatuspage2" localSheetId="18">#REF!</definedName>
    <definedName name="revstatuspage2">#REF!</definedName>
    <definedName name="Rg" localSheetId="0">#REF!</definedName>
    <definedName name="Rg" localSheetId="18">#REF!</definedName>
    <definedName name="Rg">#REF!</definedName>
    <definedName name="rgs" localSheetId="0">#REF!</definedName>
    <definedName name="rgs" localSheetId="18">#REF!</definedName>
    <definedName name="rgs">#REF!</definedName>
    <definedName name="rig">#REF!</definedName>
    <definedName name="rishraetc" localSheetId="0">#REF!</definedName>
    <definedName name="rishraetc" localSheetId="18">#REF!</definedName>
    <definedName name="rishraetc">#REF!</definedName>
    <definedName name="Risk_Table_Complete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l" localSheetId="0">#REF!</definedName>
    <definedName name="Rl" localSheetId="18">#REF!</definedName>
    <definedName name="Rl">#REF!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LLFCCASHFLOW" localSheetId="0">#REF!</definedName>
    <definedName name="ROLLFCCASHFLOW" localSheetId="18">#REF!</definedName>
    <definedName name="ROLLFCCASHFLOW">#REF!</definedName>
    <definedName name="ROLLFCWKGS" localSheetId="0">#REF!</definedName>
    <definedName name="ROLLFCWKGS" localSheetId="18">#REF!</definedName>
    <definedName name="ROLLFCWKGS">#REF!</definedName>
    <definedName name="ROLLGFC" localSheetId="0">#REF!</definedName>
    <definedName name="ROLLGFC" localSheetId="18">#REF!</definedName>
    <definedName name="ROLLGFC">#REF!</definedName>
    <definedName name="rosid">#REF!</definedName>
    <definedName name="Roxy" localSheetId="0">#REF!</definedName>
    <definedName name="Roxy" localSheetId="18">#REF!</definedName>
    <definedName name="Roxy">#REF!</definedName>
    <definedName name="rqf" localSheetId="0">#REF!</definedName>
    <definedName name="rqf" localSheetId="18">#REF!</definedName>
    <definedName name="rqf">#REF!</definedName>
    <definedName name="rr">#REF!</definedName>
    <definedName name="RRR" hidden="1">#REF!</definedName>
    <definedName name="Rs" localSheetId="0">#REF!</definedName>
    <definedName name="Rs" localSheetId="18">#REF!</definedName>
    <definedName name="Rs">#REF!</definedName>
    <definedName name="rsat" localSheetId="0">#REF!</definedName>
    <definedName name="rsat" localSheetId="18">#REF!</definedName>
    <definedName name="rsat">#REF!</definedName>
    <definedName name="Rse" localSheetId="0">#REF!</definedName>
    <definedName name="Rse" localSheetId="18">#REF!</definedName>
    <definedName name="Rse">#REF!</definedName>
    <definedName name="rttqv" localSheetId="0">#REF!</definedName>
    <definedName name="rttqv" localSheetId="18">#REF!</definedName>
    <definedName name="rttqv">#REF!</definedName>
    <definedName name="RTU1_AI" localSheetId="0">#REF!</definedName>
    <definedName name="RTU1_AI" localSheetId="18">#REF!</definedName>
    <definedName name="RTU1_AI">#REF!</definedName>
    <definedName name="RTU1_DI" localSheetId="0">#REF!</definedName>
    <definedName name="RTU1_DI" localSheetId="18">#REF!</definedName>
    <definedName name="RTU1_DI">#REF!</definedName>
    <definedName name="RTU1_DO" localSheetId="0">#REF!</definedName>
    <definedName name="RTU1_DO" localSheetId="18">#REF!</definedName>
    <definedName name="RTU1_DO">#REF!</definedName>
    <definedName name="RTU1_PC" localSheetId="0">#REF!</definedName>
    <definedName name="RTU1_PC" localSheetId="18">#REF!</definedName>
    <definedName name="RTU1_PC">#REF!</definedName>
    <definedName name="RTU2_AI" localSheetId="0">#REF!</definedName>
    <definedName name="RTU2_AI" localSheetId="18">#REF!</definedName>
    <definedName name="RTU2_AI">#REF!</definedName>
    <definedName name="RTU2_DI" localSheetId="0">#REF!</definedName>
    <definedName name="RTU2_DI" localSheetId="18">#REF!</definedName>
    <definedName name="RTU2_DI">#REF!</definedName>
    <definedName name="RTU2_DO" localSheetId="0">#REF!</definedName>
    <definedName name="RTU2_DO" localSheetId="18">#REF!</definedName>
    <definedName name="RTU2_DO">#REF!</definedName>
    <definedName name="RTU2_PC" localSheetId="0">#REF!</definedName>
    <definedName name="RTU2_PC" localSheetId="18">#REF!</definedName>
    <definedName name="RTU2_PC">#REF!</definedName>
    <definedName name="rty">#REF!</definedName>
    <definedName name="Running_begin" localSheetId="18">#REF!</definedName>
    <definedName name="Running_begin">#REF!</definedName>
    <definedName name="Running_incr" localSheetId="18">#REF!</definedName>
    <definedName name="Running_incr">#REF!</definedName>
    <definedName name="ry" localSheetId="0">#REF!</definedName>
    <definedName name="ry" localSheetId="18">#REF!</definedName>
    <definedName name="ry">#REF!</definedName>
    <definedName name="s" localSheetId="18">#REF!</definedName>
    <definedName name="s">#REF!</definedName>
    <definedName name="s_all" localSheetId="0">#REF!</definedName>
    <definedName name="s_all" localSheetId="18">#REF!</definedName>
    <definedName name="s_all">#REF!</definedName>
    <definedName name="Sa" localSheetId="0">#REF!</definedName>
    <definedName name="Sa" localSheetId="18">#REF!</definedName>
    <definedName name="Sa">#REF!</definedName>
    <definedName name="SALARIES___WAGES" localSheetId="0">#REF!</definedName>
    <definedName name="SALARIES___WAGES" localSheetId="18">#REF!</definedName>
    <definedName name="SALARIES___WAGES">#REF!</definedName>
    <definedName name="SALEFACT" localSheetId="0">#REF!</definedName>
    <definedName name="SALEFACT" localSheetId="18">#REF!</definedName>
    <definedName name="SALEFACT">#REF!</definedName>
    <definedName name="SAP_SUMM" localSheetId="0">#REF!</definedName>
    <definedName name="SAP_SUMM" localSheetId="18">#REF!</definedName>
    <definedName name="SAP_SUMM">#REF!</definedName>
    <definedName name="sarita" localSheetId="0">#REF!</definedName>
    <definedName name="sarita" localSheetId="18">#REF!</definedName>
    <definedName name="sarita">#REF!</definedName>
    <definedName name="sas">#REF!</definedName>
    <definedName name="sasssss">#REF!</definedName>
    <definedName name="saz" localSheetId="0">#REF!</definedName>
    <definedName name="saz" localSheetId="18">#REF!</definedName>
    <definedName name="saz">#REF!</definedName>
    <definedName name="sb" localSheetId="0">#REF!</definedName>
    <definedName name="sb" localSheetId="18">#REF!</definedName>
    <definedName name="sb">#REF!</definedName>
    <definedName name="Sc" localSheetId="0">#REF!</definedName>
    <definedName name="Sc" localSheetId="18">#REF!</definedName>
    <definedName name="Sc">#REF!</definedName>
    <definedName name="Scenario">#REF!</definedName>
    <definedName name="Scenario_table">#REF!</definedName>
    <definedName name="SCIENCE" localSheetId="0">#REF!</definedName>
    <definedName name="SCIENCE" localSheetId="18">#REF!</definedName>
    <definedName name="SCIENCE">#REF!</definedName>
    <definedName name="sd" localSheetId="0">#REF!</definedName>
    <definedName name="sd" localSheetId="18">#REF!</definedName>
    <definedName name="sd">#REF!</definedName>
    <definedName name="sda" localSheetId="0">#REF!</definedName>
    <definedName name="sda" localSheetId="18">#REF!</definedName>
    <definedName name="sda">#REF!</definedName>
    <definedName name="Sdate">#REF!</definedName>
    <definedName name="sdb" localSheetId="0">#REF!</definedName>
    <definedName name="sdb" localSheetId="18">#REF!</definedName>
    <definedName name="sdb">#REF!</definedName>
    <definedName name="sdf" localSheetId="0">#REF!</definedName>
    <definedName name="sdf" localSheetId="18">#REF!</definedName>
    <definedName name="sdf">#REF!</definedName>
    <definedName name="sdfd" localSheetId="0">#REF!</definedName>
    <definedName name="sdfd" localSheetId="18">#REF!</definedName>
    <definedName name="sdfd">#REF!</definedName>
    <definedName name="sdrt">#REF!</definedName>
    <definedName name="sdsdsd" localSheetId="0">#REF!</definedName>
    <definedName name="sdsdsd" localSheetId="18">#REF!</definedName>
    <definedName name="sdsdsd">#REF!</definedName>
    <definedName name="sek" localSheetId="0">#REF!</definedName>
    <definedName name="sek" localSheetId="18">#REF!</definedName>
    <definedName name="sek">#REF!</definedName>
    <definedName name="SEK_C" localSheetId="0">#REF!</definedName>
    <definedName name="SEK_C" localSheetId="18">#REF!</definedName>
    <definedName name="SEK_C">#REF!</definedName>
    <definedName name="Sel_SiteInfra_PS" localSheetId="0">#REF!</definedName>
    <definedName name="Sel_SiteInfra_PS" localSheetId="18">#REF!</definedName>
    <definedName name="Sel_SiteInfra_PS">#REF!</definedName>
    <definedName name="sencount" hidden="1">1</definedName>
    <definedName name="SEQUENCING" localSheetId="0">#REF!</definedName>
    <definedName name="SEQUENCING" localSheetId="18">#REF!</definedName>
    <definedName name="SEQUENCING">#REF!</definedName>
    <definedName name="SER_TAX" localSheetId="0">#REF!</definedName>
    <definedName name="SER_TAX" localSheetId="18">#REF!</definedName>
    <definedName name="SER_TAX">#REF!</definedName>
    <definedName name="SESHA_SAI_CONSTRUCTION">#REF!</definedName>
    <definedName name="SF">#REF!</definedName>
    <definedName name="sff" localSheetId="0">#REF!</definedName>
    <definedName name="sff" localSheetId="18">#REF!</definedName>
    <definedName name="sff">#REF!</definedName>
    <definedName name="SFR" localSheetId="0">#REF!</definedName>
    <definedName name="SFR" localSheetId="18">#REF!</definedName>
    <definedName name="SFR">#REF!</definedName>
    <definedName name="sh_mod" localSheetId="0">#REF!</definedName>
    <definedName name="sh_mod" localSheetId="18">#REF!</definedName>
    <definedName name="sh_mod">#REF!</definedName>
    <definedName name="sheet1">#REF!</definedName>
    <definedName name="SHTA" localSheetId="0">#REF!</definedName>
    <definedName name="SHTA" localSheetId="18">#REF!</definedName>
    <definedName name="SHTA">#REF!</definedName>
    <definedName name="si">#REF!</definedName>
    <definedName name="sigma0.2" localSheetId="0">#REF!</definedName>
    <definedName name="sigma0.2" localSheetId="18">#REF!</definedName>
    <definedName name="sigma0.2">#REF!</definedName>
    <definedName name="sigmab" localSheetId="0">#REF!</definedName>
    <definedName name="sigmab" localSheetId="18">#REF!</definedName>
    <definedName name="sigmab">#REF!</definedName>
    <definedName name="sigmah" localSheetId="0">#REF!</definedName>
    <definedName name="sigmah" localSheetId="18">#REF!</definedName>
    <definedName name="sigmah">#REF!</definedName>
    <definedName name="sigmat" localSheetId="0">#REF!</definedName>
    <definedName name="sigmat" localSheetId="18">#REF!</definedName>
    <definedName name="sigmat">#REF!</definedName>
    <definedName name="sm" localSheetId="0">#REF!</definedName>
    <definedName name="sm" localSheetId="18">#REF!</definedName>
    <definedName name="sm">#REF!</definedName>
    <definedName name="smsb">#REF!</definedName>
    <definedName name="soil_damp" localSheetId="0">#REF!</definedName>
    <definedName name="soil_damp" localSheetId="18">#REF!</definedName>
    <definedName name="soil_damp">#REF!</definedName>
    <definedName name="soil_unitwt" localSheetId="0">#REF!</definedName>
    <definedName name="soil_unitwt" localSheetId="18">#REF!</definedName>
    <definedName name="soil_unitwt">#REF!</definedName>
    <definedName name="SOR">#REF!</definedName>
    <definedName name="SOURCE">#REF!</definedName>
    <definedName name="Source_Price" localSheetId="0">#REF!</definedName>
    <definedName name="Source_Price" localSheetId="18">#REF!</definedName>
    <definedName name="Source_Price">#REF!</definedName>
    <definedName name="SpacerDamper" localSheetId="0" hidden="1">{"'PROFITABILITY'!$A$1:$F$45"}</definedName>
    <definedName name="SpacerDamper" localSheetId="12" hidden="1">{"'PROFITABILITY'!$A$1:$F$45"}</definedName>
    <definedName name="SpacerDamper" localSheetId="9" hidden="1">{"'PROFITABILITY'!$A$1:$F$45"}</definedName>
    <definedName name="SpacerDamper" localSheetId="18" hidden="1">{"'PROFITABILITY'!$A$1:$F$45"}</definedName>
    <definedName name="SpacerDamper" localSheetId="13" hidden="1">{"'PROFITABILITY'!$A$1:$F$45"}</definedName>
    <definedName name="SpacerDamper" hidden="1">{"'PROFITABILITY'!$A$1:$F$45"}</definedName>
    <definedName name="SPAR" localSheetId="0">#REF!</definedName>
    <definedName name="SPAR" localSheetId="18">#REF!</definedName>
    <definedName name="SPAR">#REF!</definedName>
    <definedName name="Spare" localSheetId="0" hidden="1">{"'PROFITABILITY'!$A$1:$F$45"}</definedName>
    <definedName name="Spare" localSheetId="12" hidden="1">{"'PROFITABILITY'!$A$1:$F$45"}</definedName>
    <definedName name="Spare" localSheetId="9" hidden="1">{"'PROFITABILITY'!$A$1:$F$45"}</definedName>
    <definedName name="Spare" localSheetId="18" hidden="1">{"'PROFITABILITY'!$A$1:$F$45"}</definedName>
    <definedName name="Spare" localSheetId="13" hidden="1">{"'PROFITABILITY'!$A$1:$F$45"}</definedName>
    <definedName name="Spare" hidden="1">{"'PROFITABILITY'!$A$1:$F$45"}</definedName>
    <definedName name="spfactor">#REF!</definedName>
    <definedName name="SPTNP">#REF!</definedName>
    <definedName name="Sq" localSheetId="0">#REF!</definedName>
    <definedName name="Sq" localSheetId="18">#REF!</definedName>
    <definedName name="Sq">#REF!</definedName>
    <definedName name="SQRT__1___0.6___1.0" localSheetId="0">#REF!</definedName>
    <definedName name="SQRT__1___0.6___1.0" localSheetId="18">#REF!</definedName>
    <definedName name="SQRT__1___0.6___1.0">#REF!</definedName>
    <definedName name="Sr" localSheetId="0">#REF!</definedName>
    <definedName name="Sr" localSheetId="18">#REF!</definedName>
    <definedName name="Sr">#REF!</definedName>
    <definedName name="srk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0">#REF!</definedName>
    <definedName name="SS" localSheetId="18">#REF!</definedName>
    <definedName name="SS">#REF!</definedName>
    <definedName name="SS400_401" localSheetId="0">#REF!</definedName>
    <definedName name="SS400_401" localSheetId="18">#REF!</definedName>
    <definedName name="SS400_401">#REF!</definedName>
    <definedName name="ss401_404" localSheetId="0">#REF!</definedName>
    <definedName name="ss401_404" localSheetId="18">#REF!</definedName>
    <definedName name="ss401_404">#REF!</definedName>
    <definedName name="ss405_408" localSheetId="0">#REF!</definedName>
    <definedName name="ss405_408" localSheetId="18">#REF!</definedName>
    <definedName name="ss405_408">#REF!</definedName>
    <definedName name="SS421_422" localSheetId="0">#REF!</definedName>
    <definedName name="SS421_422" localSheetId="18">#REF!</definedName>
    <definedName name="SS421_422">#REF!</definedName>
    <definedName name="ss421_424" localSheetId="0">#REF!</definedName>
    <definedName name="ss421_424" localSheetId="18">#REF!</definedName>
    <definedName name="ss421_424">#REF!</definedName>
    <definedName name="ssf" localSheetId="0">#REF!</definedName>
    <definedName name="ssf" localSheetId="18">#REF!</definedName>
    <definedName name="ssf">#REF!</definedName>
    <definedName name="sss" localSheetId="18">#REF!</definedName>
    <definedName name="sss">#REF!</definedName>
    <definedName name="ssss" localSheetId="0">#REF!</definedName>
    <definedName name="ssss" localSheetId="18">#REF!</definedName>
    <definedName name="ssss">#REF!</definedName>
    <definedName name="ST" localSheetId="0">#REF!</definedName>
    <definedName name="ST" localSheetId="18">#REF!</definedName>
    <definedName name="ST">#REF!</definedName>
    <definedName name="STD" localSheetId="0">#REF!</definedName>
    <definedName name="STD" localSheetId="18">#REF!</definedName>
    <definedName name="STD">#REF!</definedName>
    <definedName name="SteelSection" localSheetId="0">#REF!</definedName>
    <definedName name="SteelSection" localSheetId="18">#REF!</definedName>
    <definedName name="SteelSection">#REF!</definedName>
    <definedName name="Stra" localSheetId="0">#REF!</definedName>
    <definedName name="Stra" localSheetId="18">#REF!</definedName>
    <definedName name="Stra">#REF!</definedName>
    <definedName name="Strb" localSheetId="0">#REF!</definedName>
    <definedName name="Strb" localSheetId="18">#REF!</definedName>
    <definedName name="Strb">#REF!</definedName>
    <definedName name="Stretch">#REF!</definedName>
    <definedName name="Stringing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0">#REF!</definedName>
    <definedName name="Strm" localSheetId="18">#REF!</definedName>
    <definedName name="Strm">#REF!</definedName>
    <definedName name="Structure" localSheetId="0">#REF!</definedName>
    <definedName name="Structure" localSheetId="18">#REF!</definedName>
    <definedName name="Structure">#REF!</definedName>
    <definedName name="stub400">#REF!</definedName>
    <definedName name="stubtype">#REF!</definedName>
    <definedName name="stubtype1">#REF!</definedName>
    <definedName name="substation" localSheetId="0">#REF!</definedName>
    <definedName name="substation" localSheetId="18">#REF!</definedName>
    <definedName name="substation">#REF!</definedName>
    <definedName name="SUMMARY" localSheetId="0">#REF!</definedName>
    <definedName name="SUMMARY" localSheetId="18">#REF!</definedName>
    <definedName name="SUMMARY">#REF!</definedName>
    <definedName name="SUMMARY_OTHER_EXPS" localSheetId="0">#REF!</definedName>
    <definedName name="SUMMARY_OTHER_EXPS" localSheetId="18">#REF!</definedName>
    <definedName name="SUMMARY_OTHER_EXPS">#REF!</definedName>
    <definedName name="Supplies" localSheetId="0">#REF!</definedName>
    <definedName name="Supplies" localSheetId="20">#REF!</definedName>
    <definedName name="Supplies" localSheetId="18">#REF!</definedName>
    <definedName name="Supplies" localSheetId="10">#REF!</definedName>
    <definedName name="Supplies">#REF!</definedName>
    <definedName name="Supply">#REF!</definedName>
    <definedName name="supplysch" localSheetId="0">#REF!</definedName>
    <definedName name="supplysch" localSheetId="18">#REF!</definedName>
    <definedName name="supplysch">#REF!</definedName>
    <definedName name="SV" hidden="1">#REF!</definedName>
    <definedName name="swd_Adl_dis" localSheetId="0">#REF!</definedName>
    <definedName name="swd_Adl_dis" localSheetId="18">#REF!</definedName>
    <definedName name="swd_Adl_dis">#REF!</definedName>
    <definedName name="swd_cd" localSheetId="0">#REF!</definedName>
    <definedName name="swd_cd" localSheetId="18">#REF!</definedName>
    <definedName name="swd_cd">#REF!</definedName>
    <definedName name="swd_er" localSheetId="0">#REF!</definedName>
    <definedName name="swd_er" localSheetId="18">#REF!</definedName>
    <definedName name="swd_er">#REF!</definedName>
    <definedName name="swd_fi" localSheetId="0">#REF!</definedName>
    <definedName name="swd_fi" localSheetId="18">#REF!</definedName>
    <definedName name="swd_fi">#REF!</definedName>
    <definedName name="t" localSheetId="18">#REF!</definedName>
    <definedName name="t">#REF!</definedName>
    <definedName name="TaperedGrowth" localSheetId="0">#REF!</definedName>
    <definedName name="TaperedGrowth" localSheetId="18">#REF!</definedName>
    <definedName name="TaperedGrowth">#REF!</definedName>
    <definedName name="Target" localSheetId="0">#REF!</definedName>
    <definedName name="Target" localSheetId="18">#REF!</definedName>
    <definedName name="Target">#REF!</definedName>
    <definedName name="Tax_Rate" localSheetId="18">#REF!</definedName>
    <definedName name="Tax_Rate">#REF!</definedName>
    <definedName name="Tc" localSheetId="0">#REF!</definedName>
    <definedName name="Tc" localSheetId="18">#REF!</definedName>
    <definedName name="Tc">#REF!</definedName>
    <definedName name="td1__m" localSheetId="0">#REF!</definedName>
    <definedName name="td1__m" localSheetId="18">#REF!</definedName>
    <definedName name="td1__m">#REF!</definedName>
    <definedName name="td2__m" localSheetId="0">#REF!</definedName>
    <definedName name="td2__m" localSheetId="18">#REF!</definedName>
    <definedName name="td2__m">#REF!</definedName>
    <definedName name="TDosCountries" localSheetId="18">#REF!</definedName>
    <definedName name="TDosCountries">#REF!</definedName>
    <definedName name="te">#REF!</definedName>
    <definedName name="TEAMS" localSheetId="18">#REF!</definedName>
    <definedName name="TEAMS">#REF!</definedName>
    <definedName name="tel" localSheetId="0">#REF!</definedName>
    <definedName name="tel" localSheetId="18">#REF!</definedName>
    <definedName name="tel">#REF!</definedName>
    <definedName name="TEMP">#REF!</definedName>
    <definedName name="Tension" localSheetId="0">#REF!</definedName>
    <definedName name="Tension" localSheetId="18">#REF!</definedName>
    <definedName name="Tension">#REF!</definedName>
    <definedName name="TEs" localSheetId="0">#REF!</definedName>
    <definedName name="TEs" localSheetId="18">#REF!</definedName>
    <definedName name="TEs">#REF!</definedName>
    <definedName name="TEST" localSheetId="0">#REF!</definedName>
    <definedName name="TEST" localSheetId="18">#REF!</definedName>
    <definedName name="TEST">#REF!</definedName>
    <definedName name="TEST0" localSheetId="0">#REF!</definedName>
    <definedName name="TEST0" localSheetId="18">#REF!</definedName>
    <definedName name="TEST0">#REF!</definedName>
    <definedName name="TEST1" localSheetId="0">#REF!</definedName>
    <definedName name="TEST1" localSheetId="18">#REF!</definedName>
    <definedName name="TEST1">#REF!</definedName>
    <definedName name="TEST10" localSheetId="0">#REF!</definedName>
    <definedName name="TEST10" localSheetId="18">#REF!</definedName>
    <definedName name="TEST10">#REF!</definedName>
    <definedName name="TEST11" localSheetId="0">#REF!</definedName>
    <definedName name="TEST11" localSheetId="18">#REF!</definedName>
    <definedName name="TEST11">#REF!</definedName>
    <definedName name="TEST12" localSheetId="0">#REF!</definedName>
    <definedName name="TEST12" localSheetId="18">#REF!</definedName>
    <definedName name="TEST12">#REF!</definedName>
    <definedName name="TEST13" localSheetId="0">#REF!</definedName>
    <definedName name="TEST13" localSheetId="18">#REF!</definedName>
    <definedName name="TEST13">#REF!</definedName>
    <definedName name="TEST14" localSheetId="0">#REF!</definedName>
    <definedName name="TEST14" localSheetId="18">#REF!</definedName>
    <definedName name="TEST14">#REF!</definedName>
    <definedName name="TEST2" localSheetId="0">#REF!</definedName>
    <definedName name="TEST2" localSheetId="18">#REF!</definedName>
    <definedName name="TEST2">#REF!</definedName>
    <definedName name="TEST3" localSheetId="0">#REF!</definedName>
    <definedName name="TEST3" localSheetId="18">#REF!</definedName>
    <definedName name="TEST3">#REF!</definedName>
    <definedName name="TEST4" localSheetId="0">#REF!</definedName>
    <definedName name="TEST4" localSheetId="18">#REF!</definedName>
    <definedName name="TEST4">#REF!</definedName>
    <definedName name="TEST5" localSheetId="0">#REF!</definedName>
    <definedName name="TEST5" localSheetId="18">#REF!</definedName>
    <definedName name="TEST5">#REF!</definedName>
    <definedName name="TEST6" localSheetId="0">#REF!</definedName>
    <definedName name="TEST6" localSheetId="18">#REF!</definedName>
    <definedName name="TEST6">#REF!</definedName>
    <definedName name="TEST7" localSheetId="0">#REF!</definedName>
    <definedName name="TEST7" localSheetId="18">#REF!</definedName>
    <definedName name="TEST7">#REF!</definedName>
    <definedName name="TEST8" localSheetId="0">#REF!</definedName>
    <definedName name="TEST8" localSheetId="18">#REF!</definedName>
    <definedName name="TEST8">#REF!</definedName>
    <definedName name="TEST9" localSheetId="0">#REF!</definedName>
    <definedName name="TEST9" localSheetId="18">#REF!</definedName>
    <definedName name="TEST9">#REF!</definedName>
    <definedName name="TESTHKEY" localSheetId="0">#REF!</definedName>
    <definedName name="TESTHKEY" localSheetId="18">#REF!</definedName>
    <definedName name="TESTHKEY">#REF!</definedName>
    <definedName name="TESTKEYS" localSheetId="0">#REF!</definedName>
    <definedName name="TESTKEYS" localSheetId="18">#REF!</definedName>
    <definedName name="TESTKEYS">#REF!</definedName>
    <definedName name="TESTVKEY" localSheetId="0">#REF!</definedName>
    <definedName name="TESTVKEY" localSheetId="18">#REF!</definedName>
    <definedName name="TESTVKEY">#REF!</definedName>
    <definedName name="TEt" localSheetId="0">#REF!</definedName>
    <definedName name="TEt" localSheetId="18">#REF!</definedName>
    <definedName name="TEt">#REF!</definedName>
    <definedName name="Tf" localSheetId="0">#REF!</definedName>
    <definedName name="Tf" localSheetId="18">#REF!</definedName>
    <definedName name="Tf">#REF!</definedName>
    <definedName name="theta" localSheetId="0">#REF!</definedName>
    <definedName name="theta" localSheetId="18">#REF!</definedName>
    <definedName name="theta">#REF!</definedName>
    <definedName name="TITLE">#REF!</definedName>
    <definedName name="Title1">#REF!</definedName>
    <definedName name="Title2">#REF!</definedName>
    <definedName name="Tk" localSheetId="0">#REF!</definedName>
    <definedName name="Tk" localSheetId="18">#REF!</definedName>
    <definedName name="Tk">#REF!</definedName>
    <definedName name="TMACountries" localSheetId="18">#REF!</definedName>
    <definedName name="TMACountries">#REF!</definedName>
    <definedName name="TNEBJSR" localSheetId="0">#REF!</definedName>
    <definedName name="TNEBJSR" localSheetId="18">#REF!</definedName>
    <definedName name="TNEBJSR">#REF!</definedName>
    <definedName name="tol">#REF!</definedName>
    <definedName name="top_ser" localSheetId="0">#REF!</definedName>
    <definedName name="top_ser" localSheetId="18">#REF!</definedName>
    <definedName name="top_ser">#REF!</definedName>
    <definedName name="TOP_SUP" localSheetId="0">#REF!</definedName>
    <definedName name="TOP_SUP" localSheetId="18">#REF!</definedName>
    <definedName name="TOP_SUP">#REF!</definedName>
    <definedName name="topl">#REF!</definedName>
    <definedName name="topn">#REF!</definedName>
    <definedName name="TorrentDossier" localSheetId="18">#REF!</definedName>
    <definedName name="TorrentDossier">#REF!</definedName>
    <definedName name="TorrentMA" localSheetId="18">#REF!</definedName>
    <definedName name="TorrentMA">#REF!</definedName>
    <definedName name="tot_wt" localSheetId="0">#REF!</definedName>
    <definedName name="tot_wt" localSheetId="18">#REF!</definedName>
    <definedName name="tot_wt">#REF!</definedName>
    <definedName name="total" localSheetId="0">#REF!</definedName>
    <definedName name="total" localSheetId="18">#REF!</definedName>
    <definedName name="total">#REF!</definedName>
    <definedName name="Total_EB" localSheetId="0">#REF!</definedName>
    <definedName name="Total_EB" localSheetId="18">#REF!</definedName>
    <definedName name="Total_EB">#REF!</definedName>
    <definedName name="totalmc" localSheetId="0">#REF!</definedName>
    <definedName name="totalmc" localSheetId="18">#REF!</definedName>
    <definedName name="totalmc">#REF!</definedName>
    <definedName name="totalmc1" localSheetId="0">#REF!</definedName>
    <definedName name="totalmc1" localSheetId="18">#REF!</definedName>
    <definedName name="totalmc1">#REF!</definedName>
    <definedName name="tower" localSheetId="0" hidden="1">{"'PROFITABILITY'!$A$1:$F$45"}</definedName>
    <definedName name="tower" localSheetId="12" hidden="1">{"'PROFITABILITY'!$A$1:$F$45"}</definedName>
    <definedName name="tower" localSheetId="9" hidden="1">{"'PROFITABILITY'!$A$1:$F$45"}</definedName>
    <definedName name="tower" localSheetId="18" hidden="1">{"'PROFITABILITY'!$A$1:$F$45"}</definedName>
    <definedName name="tower" localSheetId="13" hidden="1">{"'PROFITABILITY'!$A$1:$F$45"}</definedName>
    <definedName name="tower" hidden="1">{"'PROFITABILITY'!$A$1:$F$45"}</definedName>
    <definedName name="tower400">#REF!</definedName>
    <definedName name="towercosting" localSheetId="0" hidden="1">{"'PROFITABILITY'!$A$1:$F$45"}</definedName>
    <definedName name="towercosting" localSheetId="12" hidden="1">{"'PROFITABILITY'!$A$1:$F$45"}</definedName>
    <definedName name="towercosting" localSheetId="9" hidden="1">{"'PROFITABILITY'!$A$1:$F$45"}</definedName>
    <definedName name="towercosting" localSheetId="18" hidden="1">{"'PROFITABILITY'!$A$1:$F$45"}</definedName>
    <definedName name="towercosting" localSheetId="13" hidden="1">{"'PROFITABILITY'!$A$1:$F$45"}</definedName>
    <definedName name="towercosting" hidden="1">{"'PROFITABILITY'!$A$1:$F$45"}</definedName>
    <definedName name="tp" localSheetId="0">#REF!</definedName>
    <definedName name="tp" localSheetId="18">#REF!</definedName>
    <definedName name="tp">#REF!</definedName>
    <definedName name="transformer" localSheetId="0" hidden="1">{"'PROFITABILITY'!$A$1:$F$45"}</definedName>
    <definedName name="transformer" localSheetId="12" hidden="1">{"'PROFITABILITY'!$A$1:$F$45"}</definedName>
    <definedName name="transformer" localSheetId="9" hidden="1">{"'PROFITABILITY'!$A$1:$F$45"}</definedName>
    <definedName name="transformer" localSheetId="18" hidden="1">{"'PROFITABILITY'!$A$1:$F$45"}</definedName>
    <definedName name="transformer" localSheetId="13" hidden="1">{"'PROFITABILITY'!$A$1:$F$45"}</definedName>
    <definedName name="transformer" hidden="1">{"'PROFITABILITY'!$A$1:$F$45"}</definedName>
    <definedName name="Trusts" localSheetId="0">#REF!</definedName>
    <definedName name="Trusts" localSheetId="18">#REF!</definedName>
    <definedName name="Trusts">#REF!</definedName>
    <definedName name="TrustUnderlyingDeficitScenarios" localSheetId="0">#REF!</definedName>
    <definedName name="TrustUnderlyingDeficitScenarios" localSheetId="18">#REF!</definedName>
    <definedName name="TrustUnderlyingDeficitScenarios">#REF!</definedName>
    <definedName name="try">#REF!</definedName>
    <definedName name="tS" localSheetId="0">#REF!</definedName>
    <definedName name="tS" localSheetId="18">#REF!</definedName>
    <definedName name="tS">#REF!</definedName>
    <definedName name="ts1__m" localSheetId="0">#REF!</definedName>
    <definedName name="ts1__m" localSheetId="18">#REF!</definedName>
    <definedName name="ts1__m">#REF!</definedName>
    <definedName name="ts2__m" localSheetId="0">#REF!</definedName>
    <definedName name="ts2__m" localSheetId="18">#REF!</definedName>
    <definedName name="ts2__m">#REF!</definedName>
    <definedName name="tt" localSheetId="0">#REF!</definedName>
    <definedName name="tt" localSheetId="18">#REF!</definedName>
    <definedName name="tt">#REF!</definedName>
    <definedName name="ttt" localSheetId="0">#REF!</definedName>
    <definedName name="ttt" localSheetId="18">#REF!</definedName>
    <definedName name="ttt">#REF!</definedName>
    <definedName name="Tv">#REF!</definedName>
    <definedName name="Tva" localSheetId="0">#REF!</definedName>
    <definedName name="Tva" localSheetId="18">#REF!</definedName>
    <definedName name="Tva">#REF!</definedName>
    <definedName name="Tvb" localSheetId="0">#REF!</definedName>
    <definedName name="Tvb" localSheetId="18">#REF!</definedName>
    <definedName name="Tvb">#REF!</definedName>
    <definedName name="typeofbidder" localSheetId="0">#REF!</definedName>
    <definedName name="typeofbidder" localSheetId="18">#REF!</definedName>
    <definedName name="typeofbidder">#REF!</definedName>
    <definedName name="u">#REF!</definedName>
    <definedName name="UKP" localSheetId="0">#REF!</definedName>
    <definedName name="UKP" localSheetId="18">#REF!</definedName>
    <definedName name="UKP">#REF!</definedName>
    <definedName name="UNIT_PRICE_SCHEDULE" localSheetId="0">#REF!</definedName>
    <definedName name="UNIT_PRICE_SCHEDULE" localSheetId="18">#REF!</definedName>
    <definedName name="UNIT_PRICE_SCHEDULE">#REF!</definedName>
    <definedName name="unitdisc" localSheetId="0">#REF!</definedName>
    <definedName name="unitdisc" localSheetId="18">#REF!</definedName>
    <definedName name="unitdisc">#REF!</definedName>
    <definedName name="UNITS">#REF!</definedName>
    <definedName name="UniversalRestriction" localSheetId="18">#REF!</definedName>
    <definedName name="UniversalRestriction">#REF!</definedName>
    <definedName name="UPTAKECURVE" localSheetId="0">#REF!</definedName>
    <definedName name="UPTAKECURVE" localSheetId="18">#REF!</definedName>
    <definedName name="UPTAKECURVE">#REF!</definedName>
    <definedName name="us_cd" localSheetId="0">#REF!</definedName>
    <definedName name="us_cd" localSheetId="18">#REF!</definedName>
    <definedName name="us_cd">#REF!</definedName>
    <definedName name="us_er" localSheetId="0">#REF!</definedName>
    <definedName name="us_er" localSheetId="18">#REF!</definedName>
    <definedName name="us_er">#REF!</definedName>
    <definedName name="us_fi" localSheetId="0">#REF!</definedName>
    <definedName name="us_fi" localSheetId="18">#REF!</definedName>
    <definedName name="us_fi">#REF!</definedName>
    <definedName name="us_n" localSheetId="0">#REF!</definedName>
    <definedName name="us_n" localSheetId="18">#REF!</definedName>
    <definedName name="us_n">#REF!</definedName>
    <definedName name="USD" localSheetId="0">#REF!</definedName>
    <definedName name="USD" localSheetId="18">#REF!</definedName>
    <definedName name="USD">#REF!</definedName>
    <definedName name="USD_to_INR">#REF!</definedName>
    <definedName name="uuu" localSheetId="0">#REF!</definedName>
    <definedName name="uuu" localSheetId="18">#REF!</definedName>
    <definedName name="uuu">#REF!</definedName>
    <definedName name="v" localSheetId="0">#REF!</definedName>
    <definedName name="v" localSheetId="18">#REF!</definedName>
    <definedName name="v">#REF!</definedName>
    <definedName name="va" localSheetId="0">#REF!</definedName>
    <definedName name="va" localSheetId="18">#REF!</definedName>
    <definedName name="va">#REF!</definedName>
    <definedName name="VALUECAGR" localSheetId="0">#REF!</definedName>
    <definedName name="VALUECAGR" localSheetId="18">#REF!</definedName>
    <definedName name="VALUECAGR">#REF!</definedName>
    <definedName name="Var._IGP_M_Dez_00" localSheetId="0">#REF!</definedName>
    <definedName name="Var._IGP_M_Dez_00" localSheetId="18">#REF!</definedName>
    <definedName name="Var._IGP_M_Dez_00">#REF!</definedName>
    <definedName name="VAT" localSheetId="0">#REF!</definedName>
    <definedName name="VAT" localSheetId="18">#REF!</definedName>
    <definedName name="VAT">#REF!</definedName>
    <definedName name="VB" localSheetId="0">#REF!</definedName>
    <definedName name="VB" localSheetId="18">#REF!</definedName>
    <definedName name="VB">#REF!</definedName>
    <definedName name="vcp" localSheetId="0">#REF!</definedName>
    <definedName name="vcp" localSheetId="18">#REF!</definedName>
    <definedName name="vcp">#REF!</definedName>
    <definedName name="VD" localSheetId="0">#REF!</definedName>
    <definedName name="VD" localSheetId="18">#REF!</definedName>
    <definedName name="VD">#REF!</definedName>
    <definedName name="Vend" localSheetId="0">#REF!</definedName>
    <definedName name="Vend" localSheetId="18">#REF!</definedName>
    <definedName name="Vend">#REF!</definedName>
    <definedName name="Vf" localSheetId="0">#REF!</definedName>
    <definedName name="Vf" localSheetId="18">#REF!</definedName>
    <definedName name="Vf">#REF!</definedName>
    <definedName name="vir" localSheetId="0">#REF!</definedName>
    <definedName name="vir" localSheetId="18">#REF!</definedName>
    <definedName name="vir">#REF!</definedName>
    <definedName name="Vol" localSheetId="0">#REF!</definedName>
    <definedName name="Vol" localSheetId="18">#REF!</definedName>
    <definedName name="Vol">#REF!</definedName>
    <definedName name="VOLUMECAGRS" localSheetId="0">#REF!</definedName>
    <definedName name="VOLUMECAGRS" localSheetId="18">#REF!</definedName>
    <definedName name="VOLUMECAGRS">#REF!</definedName>
    <definedName name="VOLUMEGROWTH" localSheetId="0">#REF!</definedName>
    <definedName name="VOLUMEGROWTH" localSheetId="18">#REF!</definedName>
    <definedName name="VOLUMEGROWTH">#REF!</definedName>
    <definedName name="Vsigma" localSheetId="0">#REF!</definedName>
    <definedName name="Vsigma" localSheetId="18">#REF!</definedName>
    <definedName name="Vsigma">#REF!</definedName>
    <definedName name="vv" localSheetId="0">#REF!</definedName>
    <definedName name="vv" localSheetId="18">#REF!</definedName>
    <definedName name="vv">#REF!</definedName>
    <definedName name="VVA" localSheetId="0">#REF!</definedName>
    <definedName name="VVA" localSheetId="18">#REF!</definedName>
    <definedName name="VVA">#REF!</definedName>
    <definedName name="vvhj" localSheetId="0">#REF!</definedName>
    <definedName name="vvhj" localSheetId="18">#REF!</definedName>
    <definedName name="vvhj">#REF!</definedName>
    <definedName name="Vz" localSheetId="0">#REF!</definedName>
    <definedName name="Vz" localSheetId="18">#REF!</definedName>
    <definedName name="Vz">#REF!</definedName>
    <definedName name="W" localSheetId="0">#REF!</definedName>
    <definedName name="W" localSheetId="18">#REF!</definedName>
    <definedName name="W">#REF!</definedName>
    <definedName name="WACC" localSheetId="18">#REF!</definedName>
    <definedName name="WACC">#REF!</definedName>
    <definedName name="Waiting">"Picture 1"</definedName>
    <definedName name="Waves">#REF!</definedName>
    <definedName name="wcl" localSheetId="18">#REF!</definedName>
    <definedName name="wcl">#REF!</definedName>
    <definedName name="WCT">#REF!</definedName>
    <definedName name="web_end">#REF!</definedName>
    <definedName name="web_mid">#REF!</definedName>
    <definedName name="wertt" localSheetId="0" hidden="1">{#N/A,#N/A,FALSE,"COVER1.XLS ";#N/A,#N/A,FALSE,"RACT1.XLS";#N/A,#N/A,FALSE,"RACT2.XLS";#N/A,#N/A,FALSE,"ECCMP";#N/A,#N/A,FALSE,"WELDER.XLS"}</definedName>
    <definedName name="wertt" localSheetId="12" hidden="1">{#N/A,#N/A,FALSE,"COVER1.XLS ";#N/A,#N/A,FALSE,"RACT1.XLS";#N/A,#N/A,FALSE,"RACT2.XLS";#N/A,#N/A,FALSE,"ECCMP";#N/A,#N/A,FALSE,"WELDER.XLS"}</definedName>
    <definedName name="wertt" localSheetId="9" hidden="1">{#N/A,#N/A,FALSE,"COVER1.XLS ";#N/A,#N/A,FALSE,"RACT1.XLS";#N/A,#N/A,FALSE,"RACT2.XLS";#N/A,#N/A,FALSE,"ECCMP";#N/A,#N/A,FALSE,"WELDER.XLS"}</definedName>
    <definedName name="wertt" localSheetId="18" hidden="1">{#N/A,#N/A,FALSE,"COVER1.XLS ";#N/A,#N/A,FALSE,"RACT1.XLS";#N/A,#N/A,FALSE,"RACT2.XLS";#N/A,#N/A,FALSE,"ECCMP";#N/A,#N/A,FALSE,"WELDER.XLS"}</definedName>
    <definedName name="wertt" localSheetId="1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id" localSheetId="0">#REF!</definedName>
    <definedName name="wid" localSheetId="18">#REF!</definedName>
    <definedName name="wid">#REF!</definedName>
    <definedName name="width">#REF!</definedName>
    <definedName name="Winform" localSheetId="0">#REF!</definedName>
    <definedName name="Winform" localSheetId="18">#REF!</definedName>
    <definedName name="Winform">#REF!</definedName>
    <definedName name="WLP">#REF!</definedName>
    <definedName name="wordings" localSheetId="0">#REF!</definedName>
    <definedName name="wordings" localSheetId="18">#REF!</definedName>
    <definedName name="wordings">#REF!</definedName>
    <definedName name="WP" localSheetId="0">#REF!</definedName>
    <definedName name="WP" localSheetId="18">#REF!</definedName>
    <definedName name="WP">#REF!</definedName>
    <definedName name="Wq" localSheetId="0">#REF!</definedName>
    <definedName name="Wq" localSheetId="18">#REF!</definedName>
    <definedName name="Wq">#REF!</definedName>
    <definedName name="Wr" localSheetId="0">#REF!</definedName>
    <definedName name="Wr" localSheetId="18">#REF!</definedName>
    <definedName name="Wr">#REF!</definedName>
    <definedName name="wrn.piping." localSheetId="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8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8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0" hidden="1">{#N/A,#N/A,FALSE,"COVER.XLS";#N/A,#N/A,FALSE,"RACT1.XLS";#N/A,#N/A,FALSE,"RACT2.XLS";#N/A,#N/A,FALSE,"ECCMP";#N/A,#N/A,FALSE,"WELDER.XLS"}</definedName>
    <definedName name="wrn.report." localSheetId="12" hidden="1">{#N/A,#N/A,FALSE,"COVER.XLS";#N/A,#N/A,FALSE,"RACT1.XLS";#N/A,#N/A,FALSE,"RACT2.XLS";#N/A,#N/A,FALSE,"ECCMP";#N/A,#N/A,FALSE,"WELDER.XLS"}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18" hidden="1">{#N/A,#N/A,FALSE,"COVER.XLS";#N/A,#N/A,FALSE,"RACT1.XLS";#N/A,#N/A,FALSE,"RACT2.XLS";#N/A,#N/A,FALSE,"ECCMP";#N/A,#N/A,FALSE,"WELDER.XLS"}</definedName>
    <definedName name="wrn.report." localSheetId="1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8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0" hidden="1">{#N/A,#N/A,FALSE,"COVER1.XLS ";#N/A,#N/A,FALSE,"RACT1.XLS";#N/A,#N/A,FALSE,"RACT2.XLS";#N/A,#N/A,FALSE,"ECCMP";#N/A,#N/A,FALSE,"WELDER.XLS"}</definedName>
    <definedName name="wrn.summary." localSheetId="12" hidden="1">{#N/A,#N/A,FALSE,"COVER1.XLS ";#N/A,#N/A,FALSE,"RACT1.XLS";#N/A,#N/A,FALSE,"RACT2.XLS";#N/A,#N/A,FALSE,"ECCMP";#N/A,#N/A,FALSE,"WELDER.XLS"}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18" hidden="1">{#N/A,#N/A,FALSE,"COVER1.XLS ";#N/A,#N/A,FALSE,"RACT1.XLS";#N/A,#N/A,FALSE,"RACT2.XLS";#N/A,#N/A,FALSE,"ECCMP";#N/A,#N/A,FALSE,"WELDER.XLS"}</definedName>
    <definedName name="wrn.summary." localSheetId="1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T" localSheetId="0">#REF!</definedName>
    <definedName name="WT" localSheetId="18">#REF!</definedName>
    <definedName name="WT">#REF!</definedName>
    <definedName name="ww" localSheetId="0" hidden="1">{"'PROFITABILITY'!$A$1:$F$45"}</definedName>
    <definedName name="ww" localSheetId="12" hidden="1">{"'PROFITABILITY'!$A$1:$F$45"}</definedName>
    <definedName name="ww" localSheetId="9" hidden="1">{"'PROFITABILITY'!$A$1:$F$45"}</definedName>
    <definedName name="ww" localSheetId="18" hidden="1">{"'PROFITABILITY'!$A$1:$F$45"}</definedName>
    <definedName name="ww" localSheetId="13" hidden="1">{"'PROFITABILITY'!$A$1:$F$45"}</definedName>
    <definedName name="ww" hidden="1">{"'PROFITABILITY'!$A$1:$F$45"}</definedName>
    <definedName name="www">#REF!</definedName>
    <definedName name="x" localSheetId="18">#REF!</definedName>
    <definedName name="x">#REF!</definedName>
    <definedName name="Xl" localSheetId="0">#REF!</definedName>
    <definedName name="Xl" localSheetId="18">#REF!</definedName>
    <definedName name="Xl">#REF!</definedName>
    <definedName name="xu" localSheetId="0">#REF!</definedName>
    <definedName name="xu" localSheetId="18">#REF!</definedName>
    <definedName name="xu">#REF!</definedName>
    <definedName name="xulimit" localSheetId="0">#REF!</definedName>
    <definedName name="xulimit" localSheetId="18">#REF!</definedName>
    <definedName name="xulimit">#REF!</definedName>
    <definedName name="xxx" localSheetId="0">'765KV TA 414 VNTL'!xxx</definedName>
    <definedName name="xxx" localSheetId="12">#N/A</definedName>
    <definedName name="xxx" localSheetId="9">#N/A</definedName>
    <definedName name="xxx" localSheetId="18">'Stringing Compiled'!xxx</definedName>
    <definedName name="xxx" localSheetId="13">#N/A</definedName>
    <definedName name="xxx">'765KV TA 414 VNTL'!xxx</definedName>
    <definedName name="year92">#REF!</definedName>
    <definedName name="year93">#REF!</definedName>
    <definedName name="year94">#REF!</definedName>
    <definedName name="year95">#REF!</definedName>
    <definedName name="Yen">#REF!</definedName>
    <definedName name="yf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yy" localSheetId="0">#REF!</definedName>
    <definedName name="yyy" localSheetId="18">#REF!</definedName>
    <definedName name="yyy">#REF!</definedName>
    <definedName name="z" localSheetId="0">#REF!</definedName>
    <definedName name="z" localSheetId="18">#REF!</definedName>
    <definedName name="z">#REF!</definedName>
    <definedName name="zl" localSheetId="0">#REF!</definedName>
    <definedName name="zl" localSheetId="18">#REF!</definedName>
    <definedName name="zl">#REF!</definedName>
    <definedName name="zlpu" localSheetId="0">#REF!</definedName>
    <definedName name="zlpu" localSheetId="18">#REF!</definedName>
    <definedName name="zlpu">#REF!</definedName>
    <definedName name="Zpe" localSheetId="0">#REF!</definedName>
    <definedName name="Zpe" localSheetId="18">#REF!</definedName>
    <definedName name="Zpe">#REF!</definedName>
    <definedName name="zs" localSheetId="0">#REF!</definedName>
    <definedName name="zs" localSheetId="18">#REF!</definedName>
    <definedName name="zs">#REF!</definedName>
    <definedName name="zspu" localSheetId="0">#REF!</definedName>
    <definedName name="zspu" localSheetId="18">#REF!</definedName>
    <definedName name="zspu">#REF!</definedName>
    <definedName name="ZSS" localSheetId="0">#REF!</definedName>
    <definedName name="ZSS" localSheetId="18">#REF!</definedName>
    <definedName name="ZSS">#REF!</definedName>
    <definedName name="ztpu" localSheetId="0">#REF!</definedName>
    <definedName name="ztpu" localSheetId="18">#REF!</definedName>
    <definedName name="ztpu">#REF!</definedName>
    <definedName name="Zxc" localSheetId="0">#REF!</definedName>
    <definedName name="Zxc" localSheetId="18">#REF!</definedName>
    <definedName name="Zxc">#REF!</definedName>
    <definedName name="ZY" localSheetId="0">#REF!</definedName>
    <definedName name="ZY" localSheetId="18">#REF!</definedName>
    <definedName name="ZY">#REF!</definedName>
    <definedName name="전체" localSheetId="0">#REF!</definedName>
    <definedName name="전체" localSheetId="18">#REF!</definedName>
    <definedName name="전체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38" l="1"/>
  <c r="H39" i="38" s="1"/>
  <c r="D26" i="38"/>
  <c r="E26" i="38" s="1"/>
  <c r="F26" i="38" s="1"/>
  <c r="D25" i="38"/>
  <c r="E25" i="38" s="1"/>
  <c r="I20" i="38"/>
  <c r="H20" i="38"/>
  <c r="G20" i="38"/>
  <c r="F20" i="38"/>
  <c r="E20" i="38"/>
  <c r="D20" i="38"/>
  <c r="C20" i="38"/>
  <c r="C40" i="38" s="1"/>
  <c r="E7" i="38"/>
  <c r="F7" i="38" s="1"/>
  <c r="D7" i="38"/>
  <c r="D40" i="38" s="1"/>
  <c r="G6" i="38"/>
  <c r="E91" i="30"/>
  <c r="F41" i="38" l="1"/>
  <c r="G7" i="38"/>
  <c r="H7" i="38" s="1"/>
  <c r="I7" i="38" s="1"/>
  <c r="F40" i="38"/>
  <c r="H6" i="38"/>
  <c r="E40" i="38"/>
  <c r="E90" i="30"/>
  <c r="E85" i="30"/>
  <c r="E87" i="30"/>
  <c r="E84" i="30"/>
  <c r="E88" i="30"/>
  <c r="E89" i="30"/>
  <c r="E86" i="30"/>
  <c r="E83" i="30"/>
  <c r="H40" i="38" l="1"/>
  <c r="I6" i="38"/>
  <c r="I40" i="38" s="1"/>
  <c r="G40" i="38"/>
  <c r="E82" i="30"/>
  <c r="A4" i="30"/>
  <c r="A5" i="30" s="1"/>
  <c r="A6" i="30" s="1"/>
  <c r="A7" i="30" s="1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 s="1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E80" i="30"/>
  <c r="E81" i="30"/>
  <c r="E75" i="30"/>
  <c r="E74" i="30"/>
  <c r="E73" i="30"/>
  <c r="E69" i="30"/>
  <c r="E72" i="30"/>
  <c r="E68" i="30"/>
  <c r="E67" i="30"/>
  <c r="E76" i="30"/>
  <c r="E77" i="30"/>
  <c r="E78" i="30"/>
  <c r="E79" i="30"/>
  <c r="E27" i="30"/>
  <c r="E41" i="30"/>
  <c r="E23" i="30"/>
  <c r="E22" i="30"/>
  <c r="E21" i="30"/>
  <c r="E3" i="30"/>
  <c r="E18" i="30"/>
  <c r="E33" i="30"/>
  <c r="E56" i="30"/>
  <c r="E11" i="30"/>
  <c r="E8" i="30"/>
  <c r="E7" i="30"/>
  <c r="E6" i="30"/>
  <c r="E15" i="30"/>
  <c r="E17" i="30"/>
  <c r="E16" i="30"/>
  <c r="E45" i="30"/>
  <c r="E49" i="30"/>
  <c r="E48" i="30"/>
  <c r="E14" i="30"/>
  <c r="E20" i="30"/>
  <c r="E34" i="30"/>
  <c r="E28" i="30"/>
  <c r="E38" i="30"/>
  <c r="E35" i="30"/>
  <c r="E26" i="30"/>
  <c r="E57" i="30"/>
  <c r="E43" i="30"/>
  <c r="E47" i="30"/>
  <c r="E42" i="30"/>
  <c r="E31" i="30"/>
  <c r="E32" i="30"/>
  <c r="E30" i="30"/>
  <c r="E19" i="30"/>
  <c r="E29" i="30"/>
  <c r="E13" i="30"/>
  <c r="E12" i="30"/>
  <c r="E10" i="30"/>
  <c r="E9" i="30"/>
  <c r="E5" i="30"/>
  <c r="E4" i="30"/>
  <c r="E36" i="30"/>
  <c r="E25" i="30"/>
  <c r="E24" i="30"/>
  <c r="E39" i="30"/>
  <c r="E44" i="30"/>
  <c r="E60" i="30"/>
  <c r="E59" i="30"/>
  <c r="E50" i="30"/>
  <c r="E55" i="30"/>
  <c r="E53" i="30"/>
  <c r="E71" i="30"/>
  <c r="E66" i="30"/>
  <c r="E65" i="30"/>
  <c r="E46" i="30"/>
  <c r="E40" i="30"/>
  <c r="E37" i="30"/>
  <c r="E61" i="30"/>
  <c r="A4" i="69"/>
  <c r="A5" i="69" s="1"/>
  <c r="A6" i="69" s="1"/>
  <c r="A7" i="69" s="1"/>
  <c r="A8" i="69" s="1"/>
  <c r="A10" i="69" s="1"/>
  <c r="A11" i="69" s="1"/>
  <c r="A12" i="69" s="1"/>
  <c r="A13" i="69" s="1"/>
  <c r="A14" i="69" s="1"/>
  <c r="A15" i="69" s="1"/>
  <c r="A16" i="69" s="1"/>
  <c r="A17" i="69" s="1"/>
  <c r="A18" i="69" s="1"/>
  <c r="A19" i="69" s="1"/>
  <c r="A20" i="69" s="1"/>
  <c r="A21" i="69" s="1"/>
  <c r="A22" i="69" s="1"/>
  <c r="A23" i="69" s="1"/>
  <c r="A24" i="69" s="1"/>
  <c r="A25" i="69" s="1"/>
  <c r="A26" i="69" s="1"/>
  <c r="A27" i="69" s="1"/>
  <c r="A28" i="69" s="1"/>
  <c r="A29" i="69" s="1"/>
  <c r="A31" i="69" s="1"/>
  <c r="A32" i="69" s="1"/>
  <c r="A33" i="69" s="1"/>
  <c r="A34" i="69" s="1"/>
  <c r="BV200" i="61"/>
  <c r="BV178" i="61"/>
  <c r="BV108" i="61"/>
  <c r="BV62" i="61"/>
  <c r="BV50" i="61"/>
  <c r="BW38" i="61"/>
  <c r="BW20" i="61" s="1"/>
  <c r="H15" i="61" s="1"/>
  <c r="G3" i="7"/>
  <c r="L11" i="61"/>
  <c r="L12" i="61" s="1"/>
  <c r="L13" i="61" s="1"/>
  <c r="L14" i="61" s="1"/>
  <c r="L15" i="61" s="1"/>
  <c r="L16" i="61" s="1"/>
  <c r="L17" i="61" s="1"/>
  <c r="L18" i="61" s="1"/>
  <c r="L19" i="61" s="1"/>
  <c r="J12" i="61"/>
  <c r="J14" i="61"/>
  <c r="J16" i="61"/>
  <c r="J17" i="61"/>
  <c r="J18" i="61"/>
  <c r="J19" i="61"/>
  <c r="A92" i="30" l="1"/>
  <c r="A93" i="30" s="1"/>
  <c r="A94" i="30" s="1"/>
  <c r="A95" i="30" s="1"/>
  <c r="J15" i="61"/>
  <c r="BV20" i="61"/>
  <c r="K15" i="64"/>
  <c r="E70" i="30"/>
  <c r="H13" i="61" l="1"/>
  <c r="J13" i="61" s="1"/>
  <c r="F10" i="6"/>
  <c r="F6" i="6"/>
  <c r="J19" i="64" l="1"/>
  <c r="K19" i="64" s="1"/>
  <c r="K18" i="64"/>
  <c r="K17" i="64"/>
  <c r="K16" i="64"/>
  <c r="K14" i="64"/>
  <c r="K8" i="64"/>
  <c r="H8" i="64" s="1"/>
  <c r="I8" i="64"/>
  <c r="G8" i="64"/>
  <c r="E1" i="19" l="1"/>
  <c r="E64" i="30" l="1"/>
  <c r="E63" i="30"/>
  <c r="E62" i="30"/>
  <c r="E58" i="30"/>
  <c r="E54" i="30"/>
  <c r="E52" i="30"/>
  <c r="H11" i="61" l="1"/>
  <c r="J11" i="61" s="1"/>
  <c r="D11" i="19"/>
  <c r="E9" i="64"/>
  <c r="G9" i="64" s="1"/>
  <c r="H10" i="61"/>
  <c r="J10" i="61" s="1"/>
  <c r="D6" i="19"/>
  <c r="AJ136" i="61"/>
  <c r="AI136" i="61"/>
  <c r="AJ135" i="61"/>
  <c r="AI135" i="61"/>
  <c r="AJ88" i="61"/>
  <c r="AI88" i="61"/>
  <c r="AJ69" i="61"/>
  <c r="AL69" i="61" s="1"/>
  <c r="AI69" i="61"/>
  <c r="AN67" i="61"/>
  <c r="AJ67" i="61"/>
  <c r="AL67" i="61" s="1"/>
  <c r="AI67" i="61"/>
  <c r="AJ55" i="61"/>
  <c r="AL55" i="61" s="1"/>
  <c r="AI55" i="61"/>
  <c r="AJ44" i="61"/>
  <c r="AL44" i="61" s="1"/>
  <c r="AI44" i="61"/>
  <c r="D7" i="6" l="1"/>
  <c r="F7" i="6" s="1"/>
  <c r="F9" i="64"/>
  <c r="D10" i="19"/>
  <c r="E10" i="64"/>
  <c r="C18" i="7"/>
  <c r="D9" i="6"/>
  <c r="F9" i="6" s="1"/>
  <c r="C15" i="7"/>
  <c r="D8" i="19"/>
  <c r="D5" i="19"/>
  <c r="D7" i="19" s="1"/>
  <c r="D8" i="6"/>
  <c r="F8" i="6" s="1"/>
  <c r="F11" i="19" l="1"/>
  <c r="D12" i="19"/>
  <c r="D13" i="19"/>
  <c r="H9" i="64"/>
  <c r="K9" i="64"/>
  <c r="H10" i="64"/>
  <c r="G10" i="64"/>
  <c r="I15" i="57"/>
  <c r="H15" i="57" l="1"/>
  <c r="J15" i="57" s="1"/>
  <c r="G17" i="57" l="1"/>
  <c r="H18" i="57" l="1"/>
  <c r="H359" i="55" l="1"/>
  <c r="H358" i="55"/>
  <c r="H356" i="55"/>
  <c r="H352" i="55"/>
  <c r="H351" i="55"/>
  <c r="H348" i="55"/>
  <c r="H347" i="55"/>
  <c r="H345" i="55"/>
  <c r="H344" i="55"/>
  <c r="H343" i="55"/>
  <c r="H342" i="55"/>
  <c r="H340" i="55"/>
  <c r="H339" i="55"/>
  <c r="H338" i="55"/>
  <c r="H337" i="55"/>
  <c r="H336" i="55"/>
  <c r="H335" i="55"/>
  <c r="H334" i="55"/>
  <c r="H333" i="55"/>
  <c r="H332" i="55"/>
  <c r="H331" i="55"/>
  <c r="H329" i="55"/>
  <c r="H328" i="55"/>
  <c r="H327" i="55"/>
  <c r="H326" i="55"/>
  <c r="H323" i="55"/>
  <c r="H322" i="55"/>
  <c r="H321" i="55"/>
  <c r="H320" i="55"/>
  <c r="H319" i="55"/>
  <c r="H318" i="55"/>
  <c r="H317" i="55"/>
  <c r="H316" i="55"/>
  <c r="H315" i="55"/>
  <c r="H314" i="55"/>
  <c r="H313" i="55"/>
  <c r="H312" i="55"/>
  <c r="H311" i="55"/>
  <c r="H310" i="55"/>
  <c r="H309" i="55"/>
  <c r="H308" i="55"/>
  <c r="H305" i="55"/>
  <c r="H304" i="55"/>
  <c r="H303" i="55"/>
  <c r="H301" i="55"/>
  <c r="H299" i="55"/>
  <c r="H295" i="55"/>
  <c r="H287" i="55"/>
  <c r="H282" i="55"/>
  <c r="H279" i="55"/>
  <c r="H278" i="55"/>
  <c r="H277" i="55"/>
  <c r="H270" i="55"/>
  <c r="H268" i="55"/>
  <c r="H267" i="55"/>
  <c r="H259" i="55"/>
  <c r="H254" i="55"/>
  <c r="H253" i="55"/>
  <c r="H251" i="55"/>
  <c r="H250" i="55"/>
  <c r="H249" i="55"/>
  <c r="H242" i="55"/>
  <c r="H241" i="55"/>
  <c r="H240" i="55"/>
  <c r="H239" i="55"/>
  <c r="H238" i="55"/>
  <c r="H237" i="55"/>
  <c r="H236" i="55"/>
  <c r="H235" i="55"/>
  <c r="H234" i="55"/>
  <c r="H233" i="55"/>
  <c r="H232" i="55"/>
  <c r="H230" i="55"/>
  <c r="H229" i="55"/>
  <c r="H228" i="55"/>
  <c r="H227" i="55"/>
  <c r="H226" i="55"/>
  <c r="H225" i="55"/>
  <c r="H223" i="55"/>
  <c r="H206" i="55"/>
  <c r="H205" i="55"/>
  <c r="H204" i="55"/>
  <c r="H203" i="55"/>
  <c r="H202" i="55"/>
  <c r="H201" i="55"/>
  <c r="H200" i="55"/>
  <c r="H199" i="55"/>
  <c r="H198" i="55"/>
  <c r="H197" i="55"/>
  <c r="H195" i="55"/>
  <c r="H194" i="55"/>
  <c r="H193" i="55"/>
  <c r="H192" i="55"/>
  <c r="H191" i="55"/>
  <c r="H190" i="55"/>
  <c r="H189" i="55"/>
  <c r="H188" i="55"/>
  <c r="H185" i="55"/>
  <c r="H184" i="55"/>
  <c r="H182" i="55"/>
  <c r="H181" i="55"/>
  <c r="H180" i="55"/>
  <c r="H179" i="55"/>
  <c r="H178" i="55"/>
  <c r="H177" i="55"/>
  <c r="H176" i="55"/>
  <c r="H175" i="55"/>
  <c r="H156" i="55"/>
  <c r="H155" i="55"/>
  <c r="H154" i="55"/>
  <c r="H153" i="55"/>
  <c r="H152" i="55"/>
  <c r="H151" i="55"/>
  <c r="H150" i="55"/>
  <c r="H149" i="55"/>
  <c r="H147" i="55"/>
  <c r="H146" i="55"/>
  <c r="H144" i="55"/>
  <c r="H143" i="55"/>
  <c r="H141" i="55"/>
  <c r="H140" i="55"/>
  <c r="H139" i="55"/>
  <c r="H138" i="55"/>
  <c r="H137" i="55"/>
  <c r="H136" i="55"/>
  <c r="H133" i="55"/>
  <c r="H127" i="55"/>
  <c r="H126" i="55"/>
  <c r="H125" i="55"/>
  <c r="H108" i="55"/>
  <c r="H107" i="55"/>
  <c r="H106" i="55"/>
  <c r="H105" i="55"/>
  <c r="H104" i="55"/>
  <c r="H103" i="55"/>
  <c r="H102" i="55"/>
  <c r="H101" i="55"/>
  <c r="H100" i="55"/>
  <c r="H99" i="55"/>
  <c r="H98" i="55"/>
  <c r="H97" i="55"/>
  <c r="H96" i="55"/>
  <c r="H92" i="55"/>
  <c r="H90" i="55"/>
  <c r="H89" i="55"/>
  <c r="H88" i="55"/>
  <c r="H87" i="55"/>
  <c r="H86" i="55"/>
  <c r="H85" i="55"/>
  <c r="H84" i="55"/>
  <c r="H83" i="55"/>
  <c r="H82" i="55"/>
  <c r="H81" i="55"/>
  <c r="H80" i="55"/>
  <c r="H79" i="55"/>
  <c r="H78" i="55"/>
  <c r="H77" i="55"/>
  <c r="H76" i="55"/>
  <c r="H75" i="55"/>
  <c r="H74" i="55"/>
  <c r="H73" i="55"/>
  <c r="H72" i="55"/>
  <c r="H69" i="55"/>
  <c r="H67" i="55"/>
  <c r="H66" i="55"/>
  <c r="H65" i="55"/>
  <c r="H62" i="55"/>
  <c r="H61" i="55"/>
  <c r="H57" i="55"/>
  <c r="H52" i="55"/>
  <c r="H51" i="55"/>
  <c r="H50" i="55"/>
  <c r="H49" i="55"/>
  <c r="H47" i="55"/>
  <c r="H41" i="55"/>
  <c r="H40" i="55"/>
  <c r="H39" i="55"/>
  <c r="H21" i="55"/>
  <c r="H20" i="55"/>
  <c r="H19" i="55"/>
  <c r="H18" i="55"/>
  <c r="H17" i="55"/>
  <c r="H16" i="55"/>
  <c r="H15" i="55"/>
  <c r="H14" i="55"/>
  <c r="H13" i="55"/>
  <c r="H12" i="55"/>
  <c r="H11" i="55"/>
  <c r="H361" i="55"/>
  <c r="H357" i="55"/>
  <c r="H354" i="55"/>
  <c r="H330" i="55"/>
  <c r="H307" i="55"/>
  <c r="H306" i="55"/>
  <c r="H302" i="55"/>
  <c r="H297" i="55"/>
  <c r="H294" i="55"/>
  <c r="H293" i="55"/>
  <c r="H292" i="55"/>
  <c r="H291" i="55"/>
  <c r="H290" i="55"/>
  <c r="H289" i="55"/>
  <c r="H288" i="55"/>
  <c r="H286" i="55"/>
  <c r="H285" i="55"/>
  <c r="H284" i="55"/>
  <c r="H283" i="55"/>
  <c r="H280" i="55"/>
  <c r="H276" i="55"/>
  <c r="H275" i="55"/>
  <c r="H274" i="55"/>
  <c r="H273" i="55"/>
  <c r="H271" i="55"/>
  <c r="H231" i="55"/>
  <c r="H221" i="55"/>
  <c r="H220" i="55"/>
  <c r="H219" i="55"/>
  <c r="H218" i="55"/>
  <c r="H216" i="55"/>
  <c r="H215" i="55"/>
  <c r="H211" i="55"/>
  <c r="H196" i="55"/>
  <c r="H187" i="55"/>
  <c r="H186" i="55"/>
  <c r="H169" i="55"/>
  <c r="H167" i="55"/>
  <c r="H148" i="55"/>
  <c r="H142" i="55"/>
  <c r="H134" i="55"/>
  <c r="H132" i="55"/>
  <c r="H131" i="55"/>
  <c r="H130" i="55"/>
  <c r="H129" i="55"/>
  <c r="H128" i="55"/>
  <c r="H124" i="55"/>
  <c r="H123" i="55"/>
  <c r="H121" i="55"/>
  <c r="H120" i="55"/>
  <c r="H119" i="55"/>
  <c r="H118" i="55"/>
  <c r="H117" i="55"/>
  <c r="H116" i="55"/>
  <c r="H115" i="55"/>
  <c r="H114" i="55"/>
  <c r="H113" i="55"/>
  <c r="H112" i="55"/>
  <c r="H111" i="55"/>
  <c r="H110" i="55"/>
  <c r="H109" i="55"/>
  <c r="H94" i="55"/>
  <c r="H93" i="55"/>
  <c r="H71" i="55"/>
  <c r="H68" i="55"/>
  <c r="H63" i="55"/>
  <c r="H60" i="55"/>
  <c r="H59" i="55"/>
  <c r="H58" i="55"/>
  <c r="H56" i="55"/>
  <c r="H55" i="55"/>
  <c r="H54" i="55"/>
  <c r="H53" i="55"/>
  <c r="H29" i="55"/>
  <c r="L17" i="57" l="1"/>
  <c r="G15" i="57"/>
  <c r="A4" i="60" l="1"/>
  <c r="A5" i="60" s="1"/>
  <c r="A6" i="60" s="1"/>
  <c r="A7" i="60" s="1"/>
  <c r="A8" i="60" s="1"/>
  <c r="A9" i="60" s="1"/>
  <c r="A10" i="60" s="1"/>
  <c r="A11" i="60" s="1"/>
  <c r="A12" i="60" s="1"/>
  <c r="A13" i="60" s="1"/>
  <c r="A14" i="60" s="1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A28" i="60" s="1"/>
  <c r="A29" i="60" s="1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C6" i="60"/>
  <c r="C4" i="60"/>
  <c r="C8" i="60"/>
  <c r="C13" i="60"/>
  <c r="C15" i="60"/>
  <c r="C10" i="60"/>
  <c r="C22" i="60"/>
  <c r="C27" i="60"/>
  <c r="C30" i="60"/>
  <c r="C16" i="60"/>
  <c r="C11" i="60"/>
  <c r="C23" i="60"/>
  <c r="C14" i="60"/>
  <c r="C17" i="60"/>
  <c r="C18" i="60"/>
  <c r="C19" i="60"/>
  <c r="C43" i="60"/>
  <c r="C44" i="60"/>
  <c r="C21" i="60"/>
  <c r="C20" i="60"/>
  <c r="C26" i="60"/>
  <c r="C29" i="60"/>
  <c r="C31" i="60"/>
  <c r="C32" i="60"/>
  <c r="C33" i="60"/>
  <c r="C34" i="60"/>
  <c r="C35" i="60"/>
  <c r="C46" i="60"/>
  <c r="C39" i="60"/>
  <c r="C42" i="60"/>
  <c r="C40" i="60"/>
  <c r="C41" i="60"/>
  <c r="C45" i="60"/>
  <c r="C47" i="60"/>
  <c r="C3" i="60"/>
  <c r="C37" i="60"/>
  <c r="C36" i="60"/>
  <c r="C9" i="60"/>
  <c r="C24" i="60"/>
  <c r="C28" i="60"/>
  <c r="C5" i="60"/>
  <c r="C38" i="60"/>
  <c r="C12" i="60"/>
  <c r="C25" i="60"/>
  <c r="C7" i="60"/>
  <c r="L15" i="57" l="1"/>
  <c r="E6" i="58" l="1"/>
  <c r="H16" i="57" l="1"/>
  <c r="G16" i="57"/>
  <c r="H17" i="57" l="1"/>
  <c r="J17" i="57" s="1"/>
  <c r="K17" i="57" s="1"/>
  <c r="M17" i="57"/>
  <c r="M15" i="57"/>
  <c r="J19" i="57"/>
  <c r="K19" i="57" s="1"/>
  <c r="I19" i="57"/>
  <c r="J18" i="57"/>
  <c r="K18" i="57" s="1"/>
  <c r="I18" i="57"/>
  <c r="I17" i="57"/>
  <c r="J16" i="57"/>
  <c r="K16" i="57" s="1"/>
  <c r="I16" i="57"/>
  <c r="I14" i="57"/>
  <c r="D14" i="57"/>
  <c r="K14" i="57" s="1"/>
  <c r="C9" i="57"/>
  <c r="D9" i="57" s="1"/>
  <c r="E9" i="57" s="1"/>
  <c r="D8" i="57"/>
  <c r="E8" i="57" s="1"/>
  <c r="F8" i="57" s="1"/>
  <c r="K8" i="57" s="1"/>
  <c r="F1" i="57"/>
  <c r="K15" i="57" l="1"/>
  <c r="C10" i="57"/>
  <c r="D10" i="57" s="1"/>
  <c r="E10" i="57" s="1"/>
  <c r="K10" i="57" s="1"/>
  <c r="F9" i="57"/>
  <c r="K9" i="57"/>
  <c r="F10" i="57" l="1"/>
  <c r="D2" i="53" l="1"/>
  <c r="I7" i="6" l="1"/>
  <c r="J7" i="6" s="1"/>
  <c r="I6" i="52" l="1"/>
  <c r="H6" i="52"/>
  <c r="G6" i="52"/>
  <c r="F6" i="52"/>
  <c r="E6" i="52"/>
  <c r="D6" i="52"/>
  <c r="C6" i="52"/>
  <c r="B33" i="7" l="1"/>
  <c r="F33" i="7" s="1"/>
  <c r="B30" i="7"/>
  <c r="F30" i="7" s="1"/>
  <c r="B21" i="7"/>
  <c r="B27" i="7"/>
  <c r="F27" i="7" s="1"/>
  <c r="B24" i="7"/>
  <c r="F24" i="7" s="1"/>
  <c r="D18" i="7"/>
  <c r="E18" i="7" s="1"/>
  <c r="B18" i="7"/>
  <c r="D15" i="7"/>
  <c r="E15" i="7" s="1"/>
  <c r="B15" i="7"/>
  <c r="E12" i="7"/>
  <c r="D9" i="7"/>
  <c r="C9" i="7"/>
  <c r="B9" i="7"/>
  <c r="I19" i="6"/>
  <c r="J19" i="6" s="1"/>
  <c r="I18" i="6"/>
  <c r="J18" i="6" s="1"/>
  <c r="I17" i="6"/>
  <c r="J17" i="6" s="1"/>
  <c r="I16" i="6"/>
  <c r="J16" i="6" s="1"/>
  <c r="J15" i="6"/>
  <c r="I9" i="6"/>
  <c r="I8" i="6"/>
  <c r="J8" i="6" s="1"/>
  <c r="I6" i="6"/>
  <c r="E9" i="7" s="1"/>
  <c r="F12" i="7" l="1"/>
  <c r="F21" i="7"/>
  <c r="F15" i="7"/>
  <c r="F18" i="7"/>
  <c r="J6" i="6"/>
  <c r="F9" i="7" s="1"/>
  <c r="J9" i="6"/>
  <c r="J10" i="6"/>
  <c r="J11" i="6"/>
  <c r="J14" i="6"/>
  <c r="J12" i="6"/>
  <c r="J13" i="6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<sst xmlns="http://schemas.openxmlformats.org/spreadsheetml/2006/main" count="5429" uniqueCount="1111">
  <si>
    <t>Project Code</t>
  </si>
  <si>
    <t>TA 414</t>
  </si>
  <si>
    <t>Date</t>
  </si>
  <si>
    <t>President-T&amp;D</t>
  </si>
  <si>
    <t>Mr. Ganesh Srinivasan</t>
  </si>
  <si>
    <t>Project Name</t>
  </si>
  <si>
    <t>765KV D/C HEXA VATAMAN - NAVSARI TL 
(PKG 04)</t>
  </si>
  <si>
    <t>NOA Start Date</t>
  </si>
  <si>
    <t>PCH</t>
  </si>
  <si>
    <t>Mr. Arun Felbin</t>
  </si>
  <si>
    <t>Client Name</t>
  </si>
  <si>
    <t>Powergrid Vataman Transmission Ltd</t>
  </si>
  <si>
    <t>LOA End Date</t>
  </si>
  <si>
    <t>Regional Manager</t>
  </si>
  <si>
    <t>Mr. Nitin Bandale</t>
  </si>
  <si>
    <t>Revised End Date</t>
  </si>
  <si>
    <t>Planning Engineer</t>
  </si>
  <si>
    <t>Nishant Giri</t>
  </si>
  <si>
    <t>Project Manger</t>
  </si>
  <si>
    <t>Mr. Vivek Kumar Gupta</t>
  </si>
  <si>
    <t>\</t>
  </si>
  <si>
    <t>Check Survey</t>
  </si>
  <si>
    <t>Activity</t>
  </si>
  <si>
    <t>Unit</t>
  </si>
  <si>
    <t>Final Est. Qty</t>
  </si>
  <si>
    <t>L2 till Last Month</t>
  </si>
  <si>
    <t>Submitted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</si>
  <si>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</si>
  <si>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</si>
  <si>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</si>
  <si>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</si>
  <si>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</si>
  <si>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</si>
  <si>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</si>
  <si>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Rout Alignment</t>
  </si>
  <si>
    <t>km</t>
  </si>
  <si>
    <t xml:space="preserve">  Completed</t>
  </si>
  <si>
    <t>Detailed Survey</t>
  </si>
  <si>
    <t>Completed</t>
  </si>
  <si>
    <t>Progress Status</t>
  </si>
  <si>
    <t>Final Estimated Quantity</t>
  </si>
  <si>
    <t>Cumulative L2 till Last Month (Jan'26)</t>
  </si>
  <si>
    <t>Cumulative Progress till Last Month(Feb'26)</t>
  </si>
  <si>
    <t>L2 for present Month</t>
  </si>
  <si>
    <t>Plan for the Month</t>
  </si>
  <si>
    <t>Today's Progress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</si>
  <si>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</si>
  <si>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</si>
  <si>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</si>
  <si>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</si>
  <si>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</si>
  <si>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</si>
  <si>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Soil Investigation</t>
  </si>
  <si>
    <t>Completed.</t>
  </si>
  <si>
    <t>Foundation</t>
  </si>
  <si>
    <t>Earthing</t>
  </si>
  <si>
    <t>Tower Erection</t>
  </si>
  <si>
    <t>Tack welding</t>
  </si>
  <si>
    <t>Stringing(Km)</t>
  </si>
  <si>
    <t>TA 510</t>
  </si>
  <si>
    <t>765KV D/C Ahmedabad to South Olpad TL-04</t>
  </si>
  <si>
    <t>PGKTL</t>
  </si>
  <si>
    <t>Mr. Nitin Bendale</t>
  </si>
  <si>
    <t>Mr.Jayant Vaishnav</t>
  </si>
  <si>
    <t>Mr. Subash .S</t>
  </si>
  <si>
    <t>Survey</t>
  </si>
  <si>
    <t>Km</t>
  </si>
  <si>
    <t xml:space="preserve"> </t>
  </si>
  <si>
    <t>Project Manager</t>
  </si>
  <si>
    <t>Section Incharge</t>
  </si>
  <si>
    <t>Supervisor</t>
  </si>
  <si>
    <t xml:space="preserve">765kV D/C Ahmedabad South Olpad TL04
</t>
  </si>
  <si>
    <t>Powergrid South Olpad Transmission Limited</t>
  </si>
  <si>
    <t>Mr.Arun Felbin</t>
  </si>
  <si>
    <t>Mr. Nitin Ashok Bendale</t>
  </si>
  <si>
    <t>Mr. Subash.S</t>
  </si>
  <si>
    <t>Mr.Sahil Khan</t>
  </si>
  <si>
    <t>Mr.B Nagarajan</t>
  </si>
  <si>
    <t>Mr.Praveen Singh Rathore</t>
  </si>
  <si>
    <t>Mr.Vidhya Saker upadya</t>
  </si>
  <si>
    <t>Mr.Mohan Kumar</t>
  </si>
  <si>
    <t>Mr.Mohit Kumar Mahto</t>
  </si>
  <si>
    <t>Mr.Dhananjay Kumar Srivastava</t>
  </si>
  <si>
    <t>Mr.Ajay Mahato</t>
  </si>
  <si>
    <t>Mr.Pramod Singh</t>
  </si>
  <si>
    <t>Mr.Jitender Kumar</t>
  </si>
  <si>
    <t>KEC INTERNATIONAL LIMITED</t>
  </si>
  <si>
    <t xml:space="preserve">Name of Client: </t>
  </si>
  <si>
    <t>Name of Line:</t>
  </si>
  <si>
    <t>TL-04 , 765 kV D/C  Ahmedabad - South Olpad Transmission Line</t>
  </si>
  <si>
    <t xml:space="preserve">NOA Ref. No.: </t>
  </si>
  <si>
    <t xml:space="preserve">CC/T/W-TW/DOM/A10/23/12603/NOA-2/24-114169/01, Dt.26-11-24      </t>
  </si>
  <si>
    <t>Sr No.</t>
  </si>
  <si>
    <t>Estimated Quantity</t>
  </si>
  <si>
    <t>Progress in this month</t>
  </si>
  <si>
    <t>Cumm. Progress till date</t>
  </si>
  <si>
    <t xml:space="preserve">Cumm. Balance  
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</si>
  <si>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</si>
  <si>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</si>
  <si>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</si>
  <si>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</si>
  <si>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</si>
  <si>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</si>
  <si>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</si>
  <si>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</si>
  <si>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</si>
  <si>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</si>
  <si>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</si>
  <si>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</si>
  <si>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</si>
  <si>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</si>
  <si>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</si>
  <si>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</si>
  <si>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</si>
  <si>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</si>
  <si>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</si>
  <si>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 xml:space="preserve">DAILY PROGRESS REPORT : SUBMISSION STATUS AS ON </t>
  </si>
  <si>
    <t>Name of the Project:</t>
  </si>
  <si>
    <t xml:space="preserve">Contract No. &amp; Date : </t>
  </si>
  <si>
    <t xml:space="preserve"> CC/T/W-TW/DOM/A10/23/12603/NOA-2/24-114169/01, Dt.26-11-24       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</si>
  <si>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</si>
  <si>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</si>
  <si>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</si>
  <si>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</si>
  <si>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</si>
  <si>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</si>
  <si>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</si>
  <si>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</si>
  <si>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</si>
  <si>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</si>
  <si>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</si>
  <si>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</si>
  <si>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</si>
  <si>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</si>
  <si>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</si>
  <si>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</si>
  <si>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127/1</t>
  </si>
  <si>
    <t>135/0</t>
  </si>
  <si>
    <t>139/1</t>
  </si>
  <si>
    <t>139/2</t>
  </si>
  <si>
    <t>139/3</t>
  </si>
  <si>
    <t>140/0</t>
  </si>
  <si>
    <t>167/0</t>
  </si>
  <si>
    <t>173/0</t>
  </si>
  <si>
    <t>174/0</t>
  </si>
  <si>
    <t>174/2</t>
  </si>
  <si>
    <t>178/2</t>
  </si>
  <si>
    <t>179/0</t>
  </si>
  <si>
    <t>183/3</t>
  </si>
  <si>
    <t>191/0</t>
  </si>
  <si>
    <t>192/0</t>
  </si>
  <si>
    <t>193/0</t>
  </si>
  <si>
    <t>194/0</t>
  </si>
  <si>
    <t>198/0</t>
  </si>
  <si>
    <t>199/2</t>
  </si>
  <si>
    <t>210/0</t>
  </si>
  <si>
    <t>216/0</t>
  </si>
  <si>
    <t>216/2</t>
  </si>
  <si>
    <t>216/3</t>
  </si>
  <si>
    <t>244/3</t>
  </si>
  <si>
    <t>244/4</t>
  </si>
  <si>
    <t>250/1</t>
  </si>
  <si>
    <t>250A/0</t>
  </si>
  <si>
    <t>255/0</t>
  </si>
  <si>
    <t>256/1</t>
  </si>
  <si>
    <t>211/0</t>
  </si>
  <si>
    <t>162/0</t>
  </si>
  <si>
    <t>199/0</t>
  </si>
  <si>
    <t>128/0</t>
  </si>
  <si>
    <t>141/0</t>
  </si>
  <si>
    <t>149/0</t>
  </si>
  <si>
    <t>241/1</t>
  </si>
  <si>
    <t>244/0</t>
  </si>
  <si>
    <t>A</t>
  </si>
  <si>
    <t>127/2</t>
  </si>
  <si>
    <t>139/0</t>
  </si>
  <si>
    <t>127/2128/0135/0139/0139/2141/1141/2145/5145/6148/3161/0166/0175/1182/0183/0183/1183/3194/0214/3214/6217/4225/3244/0244/2250/2</t>
  </si>
  <si>
    <t>141/1</t>
  </si>
  <si>
    <t>141/2</t>
  </si>
  <si>
    <t>145/5</t>
  </si>
  <si>
    <t>145/6</t>
  </si>
  <si>
    <t>148/3</t>
  </si>
  <si>
    <t>161/0</t>
  </si>
  <si>
    <t>166/0</t>
  </si>
  <si>
    <t>175/1</t>
  </si>
  <si>
    <t>182/0</t>
  </si>
  <si>
    <t>183/0</t>
  </si>
  <si>
    <t>183/1</t>
  </si>
  <si>
    <t>214/3</t>
  </si>
  <si>
    <t>214/6</t>
  </si>
  <si>
    <t>217/4</t>
  </si>
  <si>
    <t>225/3</t>
  </si>
  <si>
    <t>244/2</t>
  </si>
  <si>
    <t>250/2</t>
  </si>
  <si>
    <t>District</t>
  </si>
  <si>
    <t>Till Dec'24</t>
  </si>
  <si>
    <t>Jan'25</t>
  </si>
  <si>
    <t>Feb'25</t>
  </si>
  <si>
    <t>Mar'25</t>
  </si>
  <si>
    <t>Apr'25</t>
  </si>
  <si>
    <t>May'25</t>
  </si>
  <si>
    <t>Bharuch</t>
  </si>
  <si>
    <t>Surat</t>
  </si>
  <si>
    <t>Navsari</t>
  </si>
  <si>
    <t>Section</t>
  </si>
  <si>
    <t>Total</t>
  </si>
  <si>
    <t>Detail Survey</t>
  </si>
  <si>
    <t>Submitted</t>
  </si>
  <si>
    <t>Approved</t>
  </si>
  <si>
    <t>Anand</t>
  </si>
  <si>
    <t>117/0-119/0</t>
  </si>
  <si>
    <t>119/0-124/0</t>
  </si>
  <si>
    <t>124/0-124/3</t>
  </si>
  <si>
    <t>124/3-131/0</t>
  </si>
  <si>
    <t>Vadodara</t>
  </si>
  <si>
    <t>131/0-133/0</t>
  </si>
  <si>
    <t>133/0-135/0</t>
  </si>
  <si>
    <t>135/0-136/0</t>
  </si>
  <si>
    <t>136/0-139/5</t>
  </si>
  <si>
    <t>139/5-144/0</t>
  </si>
  <si>
    <t>144/0-146/0</t>
  </si>
  <si>
    <t>146/0-148/1</t>
  </si>
  <si>
    <t>148/1-148/7</t>
  </si>
  <si>
    <t>148/7-153/0</t>
  </si>
  <si>
    <t>153/0-155/0</t>
  </si>
  <si>
    <t>155/0-155/5</t>
  </si>
  <si>
    <t>155/5-156/0</t>
  </si>
  <si>
    <t>156/0-160/1</t>
  </si>
  <si>
    <t>160/1-160/3</t>
  </si>
  <si>
    <t>160/3-162/0</t>
  </si>
  <si>
    <t>162/0-168/0</t>
  </si>
  <si>
    <t>168/0-171/0</t>
  </si>
  <si>
    <t>171/0-174A/0</t>
  </si>
  <si>
    <t>174A/0- 175/0</t>
  </si>
  <si>
    <t>175/0-177/0</t>
  </si>
  <si>
    <t>177/0-179/0</t>
  </si>
  <si>
    <t>179/0-183/0</t>
  </si>
  <si>
    <t>183/0-184/0</t>
  </si>
  <si>
    <t>184/0-185/0</t>
  </si>
  <si>
    <t>185/0-186/0</t>
  </si>
  <si>
    <t>186/0-189/0</t>
  </si>
  <si>
    <t>189/0-190/0</t>
  </si>
  <si>
    <t>190/0-192/1</t>
  </si>
  <si>
    <t>192/1-192/13</t>
  </si>
  <si>
    <t>192/13-194/0</t>
  </si>
  <si>
    <t>194/0-195/0</t>
  </si>
  <si>
    <t>195/0-Gantry</t>
  </si>
  <si>
    <t xml:space="preserve">TA-510 | ASOTL PROJECT | SURVEY STATUS | </t>
  </si>
  <si>
    <t>Sl. No.</t>
  </si>
  <si>
    <t>Particulars</t>
  </si>
  <si>
    <t>UoM</t>
  </si>
  <si>
    <t>Qty.</t>
  </si>
  <si>
    <t>Total Line Length</t>
  </si>
  <si>
    <t>Kms.</t>
  </si>
  <si>
    <t>Detail Survey Submitted</t>
  </si>
  <si>
    <t>AP171/0-175/0 GETCO- SS</t>
  </si>
  <si>
    <t>Detail Survey Approved</t>
  </si>
  <si>
    <t xml:space="preserve">AP175-177 &amp; 184-185 </t>
  </si>
  <si>
    <t>Check Survey Submitted</t>
  </si>
  <si>
    <t>Check Survey Approved</t>
  </si>
  <si>
    <t>Balanceto Submit due to Crossing Section</t>
  </si>
  <si>
    <t>ASOTL PROJECT - SOIL INVESTIGATION LOCATIONS</t>
  </si>
  <si>
    <t>Loc. No.</t>
  </si>
  <si>
    <t>TOT</t>
  </si>
  <si>
    <t>RC</t>
  </si>
  <si>
    <t>Depth In Mtr</t>
  </si>
  <si>
    <t>Status</t>
  </si>
  <si>
    <t>Classification</t>
  </si>
  <si>
    <t>Approval Letter Status</t>
  </si>
  <si>
    <t>Agency</t>
  </si>
  <si>
    <t>PO</t>
  </si>
  <si>
    <t>AP118</t>
  </si>
  <si>
    <t>5DD60+25</t>
  </si>
  <si>
    <t>Sandy Dry</t>
  </si>
  <si>
    <t>Geo Design</t>
  </si>
  <si>
    <t>Done.</t>
  </si>
  <si>
    <t>124/0</t>
  </si>
  <si>
    <t>5DD60+9</t>
  </si>
  <si>
    <t>WET</t>
  </si>
  <si>
    <t xml:space="preserve">Instead of 127/0   </t>
  </si>
  <si>
    <t>To be Done.</t>
  </si>
  <si>
    <t>124/3</t>
  </si>
  <si>
    <t>5DB1+0</t>
  </si>
  <si>
    <t>Sandy Dry/ WET</t>
  </si>
  <si>
    <t xml:space="preserve">New Location      </t>
  </si>
  <si>
    <t>124/7</t>
  </si>
  <si>
    <t>Sandy Dry/ Normal Dry</t>
  </si>
  <si>
    <t xml:space="preserve">Instead of 130/0   </t>
  </si>
  <si>
    <t>124/10</t>
  </si>
  <si>
    <t>5DA+0</t>
  </si>
  <si>
    <t>AP127</t>
  </si>
  <si>
    <t>Eliminated</t>
  </si>
  <si>
    <t>AP130</t>
  </si>
  <si>
    <t>AP131</t>
  </si>
  <si>
    <t>DD60+35(S)</t>
  </si>
  <si>
    <t>AP131/1 (Pile)</t>
  </si>
  <si>
    <t>DD45+9</t>
  </si>
  <si>
    <t>Pile</t>
  </si>
  <si>
    <t>AP131/2 (Pile)</t>
  </si>
  <si>
    <t>DD60+55</t>
  </si>
  <si>
    <t>AP132</t>
  </si>
  <si>
    <t>AP139</t>
  </si>
  <si>
    <t>DD60+0</t>
  </si>
  <si>
    <t>AP142</t>
  </si>
  <si>
    <t>DB2+0</t>
  </si>
  <si>
    <t>AP146</t>
  </si>
  <si>
    <t>DD45+0</t>
  </si>
  <si>
    <t>Black Cotton</t>
  </si>
  <si>
    <t>AP150</t>
  </si>
  <si>
    <t>DD60+6</t>
  </si>
  <si>
    <t>Normal dry/wet</t>
  </si>
  <si>
    <t>AP155</t>
  </si>
  <si>
    <t>AP158</t>
  </si>
  <si>
    <t>DC1+3</t>
  </si>
  <si>
    <t>AP162</t>
  </si>
  <si>
    <t>AP166</t>
  </si>
  <si>
    <t>AP174</t>
  </si>
  <si>
    <t>AP176</t>
  </si>
  <si>
    <t>AP180</t>
  </si>
  <si>
    <t>Approval Awaiting from PGCIL</t>
  </si>
  <si>
    <t xml:space="preserve">Bhoomi </t>
  </si>
  <si>
    <t>AP180/1(Pile)</t>
  </si>
  <si>
    <t>DD45+35(S)</t>
  </si>
  <si>
    <t>AP181 (Pile)</t>
  </si>
  <si>
    <t>DD60+25(S)</t>
  </si>
  <si>
    <t>AP182 (Pile)</t>
  </si>
  <si>
    <t>DB2+6</t>
  </si>
  <si>
    <t>AP183</t>
  </si>
  <si>
    <t>DC1+9</t>
  </si>
  <si>
    <t>AP184</t>
  </si>
  <si>
    <t>DD45+6</t>
  </si>
  <si>
    <t>AP185</t>
  </si>
  <si>
    <t>Interchanged</t>
  </si>
  <si>
    <t>AP186</t>
  </si>
  <si>
    <t>DC1+0</t>
  </si>
  <si>
    <t xml:space="preserve">Instead of 185/0   </t>
  </si>
  <si>
    <t>AP187</t>
  </si>
  <si>
    <t>AP191</t>
  </si>
  <si>
    <t>AP192</t>
  </si>
  <si>
    <t>DB1+0</t>
  </si>
  <si>
    <t xml:space="preserve">ASOTL Foundation </t>
  </si>
  <si>
    <t>`</t>
  </si>
  <si>
    <t>Location No.</t>
  </si>
  <si>
    <t>Tower Type</t>
  </si>
  <si>
    <r>
      <t>Concreting Volume in M</t>
    </r>
    <r>
      <rPr>
        <b/>
        <vertAlign val="superscript"/>
        <sz val="12"/>
        <color theme="1"/>
        <rFont val="Arial"/>
        <family val="2"/>
      </rPr>
      <t>3</t>
    </r>
  </si>
  <si>
    <t>Starting Date</t>
  </si>
  <si>
    <t>Todays Status</t>
  </si>
  <si>
    <t>Cumulative Status</t>
  </si>
  <si>
    <t>Completion Date</t>
  </si>
  <si>
    <t>Gang name</t>
  </si>
  <si>
    <t>Earthing Status</t>
  </si>
  <si>
    <t>Earthing Completion Date</t>
  </si>
  <si>
    <t xml:space="preserve">       </t>
  </si>
  <si>
    <t>155/3</t>
  </si>
  <si>
    <t>DA+0</t>
  </si>
  <si>
    <t>WPS</t>
  </si>
  <si>
    <t>Arya Enterprises</t>
  </si>
  <si>
    <t>Done</t>
  </si>
  <si>
    <t>155/4</t>
  </si>
  <si>
    <t>B.K.Traders</t>
  </si>
  <si>
    <t>155/5</t>
  </si>
  <si>
    <t>DA+3</t>
  </si>
  <si>
    <t>155/1</t>
  </si>
  <si>
    <t>156/2</t>
  </si>
  <si>
    <t>156/1</t>
  </si>
  <si>
    <t>156/0</t>
  </si>
  <si>
    <t>156/3</t>
  </si>
  <si>
    <t>156/4</t>
  </si>
  <si>
    <t>139/5</t>
  </si>
  <si>
    <t>139/4</t>
  </si>
  <si>
    <t>Om Infra</t>
  </si>
  <si>
    <t>138/1</t>
  </si>
  <si>
    <t>137/0</t>
  </si>
  <si>
    <t>138/0</t>
  </si>
  <si>
    <t>136/0</t>
  </si>
  <si>
    <t>148/4</t>
  </si>
  <si>
    <t>134/0</t>
  </si>
  <si>
    <t>DC2+0</t>
  </si>
  <si>
    <t>144/0</t>
  </si>
  <si>
    <t>Jyoti Construction</t>
  </si>
  <si>
    <t>143/1</t>
  </si>
  <si>
    <t>143/2</t>
  </si>
  <si>
    <t>133/2</t>
  </si>
  <si>
    <t>Shakaldev</t>
  </si>
  <si>
    <t>138/2</t>
  </si>
  <si>
    <t>Vihan</t>
  </si>
  <si>
    <t>140/1</t>
  </si>
  <si>
    <t>148/5</t>
  </si>
  <si>
    <t>Not Done</t>
  </si>
  <si>
    <t>148/2</t>
  </si>
  <si>
    <t>148/6</t>
  </si>
  <si>
    <t>148/7</t>
  </si>
  <si>
    <t>145/0</t>
  </si>
  <si>
    <t>DB2+9</t>
  </si>
  <si>
    <t>140/2</t>
  </si>
  <si>
    <t>DB1+6</t>
  </si>
  <si>
    <t>145/1</t>
  </si>
  <si>
    <t>DB1+9</t>
  </si>
  <si>
    <t>MD Hussain</t>
  </si>
  <si>
    <t>138/3</t>
  </si>
  <si>
    <t>DA-3</t>
  </si>
  <si>
    <t>192/11</t>
  </si>
  <si>
    <t>Rudra</t>
  </si>
  <si>
    <t>DA+6</t>
  </si>
  <si>
    <t>143/0</t>
  </si>
  <si>
    <t>Ambani</t>
  </si>
  <si>
    <t>Haji Enterprises</t>
  </si>
  <si>
    <t>192/13</t>
  </si>
  <si>
    <t>145/3</t>
  </si>
  <si>
    <t>146/1</t>
  </si>
  <si>
    <t>146/3</t>
  </si>
  <si>
    <t>145/4</t>
  </si>
  <si>
    <t>192/10</t>
  </si>
  <si>
    <t>Chandrakant Patel</t>
  </si>
  <si>
    <t>147/2</t>
  </si>
  <si>
    <t>146A/0</t>
  </si>
  <si>
    <t>186/1</t>
  </si>
  <si>
    <t>Maa Bhavani</t>
  </si>
  <si>
    <t>192/7</t>
  </si>
  <si>
    <t>192/12</t>
  </si>
  <si>
    <t>FS</t>
  </si>
  <si>
    <t>147/1</t>
  </si>
  <si>
    <t>142/0</t>
  </si>
  <si>
    <t>146/0</t>
  </si>
  <si>
    <t>WBC</t>
  </si>
  <si>
    <t>194/1</t>
  </si>
  <si>
    <t>146A/1</t>
  </si>
  <si>
    <t>148/1</t>
  </si>
  <si>
    <t>ABS Construction</t>
  </si>
  <si>
    <t>148/0</t>
  </si>
  <si>
    <t xml:space="preserve">Vihan </t>
  </si>
  <si>
    <t>157B/0</t>
  </si>
  <si>
    <t>157A/0</t>
  </si>
  <si>
    <t>157/2</t>
  </si>
  <si>
    <t>146/2</t>
  </si>
  <si>
    <t>193/5</t>
  </si>
  <si>
    <t>192/8</t>
  </si>
  <si>
    <t>BLG Infra</t>
  </si>
  <si>
    <t>192/9</t>
  </si>
  <si>
    <t>193/2</t>
  </si>
  <si>
    <t>193/1</t>
  </si>
  <si>
    <t>193/4</t>
  </si>
  <si>
    <t>167/2</t>
  </si>
  <si>
    <t>157B/1</t>
  </si>
  <si>
    <t>JDG Enterprises</t>
  </si>
  <si>
    <t>167/3</t>
  </si>
  <si>
    <t>133/0</t>
  </si>
  <si>
    <t>167/4</t>
  </si>
  <si>
    <t xml:space="preserve">  </t>
  </si>
  <si>
    <t>153/0</t>
  </si>
  <si>
    <t>PS</t>
  </si>
  <si>
    <t>Krishna Constrction</t>
  </si>
  <si>
    <t>133/1</t>
  </si>
  <si>
    <t>167/1</t>
  </si>
  <si>
    <t>155/0</t>
  </si>
  <si>
    <t>Haji Enterprises2</t>
  </si>
  <si>
    <t>150/2</t>
  </si>
  <si>
    <t>153/1</t>
  </si>
  <si>
    <t>150/4</t>
  </si>
  <si>
    <t>154/0</t>
  </si>
  <si>
    <t>155/2</t>
  </si>
  <si>
    <t>Haji Enterprises-1</t>
  </si>
  <si>
    <t>150/3</t>
  </si>
  <si>
    <t>154/1</t>
  </si>
  <si>
    <t>DC1+0 (TP)</t>
  </si>
  <si>
    <t>156/5</t>
  </si>
  <si>
    <t>141/6</t>
  </si>
  <si>
    <t>196/0</t>
  </si>
  <si>
    <t>186/0</t>
  </si>
  <si>
    <t xml:space="preserve">AOTL Tower Erection </t>
  </si>
  <si>
    <t>Location Number</t>
  </si>
  <si>
    <t>Type of Tower</t>
  </si>
  <si>
    <t>Tower Weight (MT)</t>
  </si>
  <si>
    <t>Gang Name</t>
  </si>
  <si>
    <t>Manpower</t>
  </si>
  <si>
    <t>Hindarnce Days</t>
  </si>
  <si>
    <t>Tackweldng Status</t>
  </si>
  <si>
    <t>Tackwelding start date</t>
  </si>
  <si>
    <t>Tackwelding Completion date</t>
  </si>
  <si>
    <t>Sub Contractor name</t>
  </si>
  <si>
    <t>Dhaneshwar Mahato</t>
  </si>
  <si>
    <t>Lalan Mehta</t>
  </si>
  <si>
    <t>Hoque Construction</t>
  </si>
  <si>
    <t>Gauri Shankar</t>
  </si>
  <si>
    <t>Visual Chart</t>
  </si>
  <si>
    <t xml:space="preserve">Name of the Line : </t>
  </si>
  <si>
    <t>TL04 765 kV D/C Ahmedabad - South Olpad Transmission Line</t>
  </si>
  <si>
    <t>Client</t>
  </si>
  <si>
    <t>Power Grid Corporation of India Limited</t>
  </si>
  <si>
    <t>FOUNDATION</t>
  </si>
  <si>
    <t>TOWER ERECTION</t>
  </si>
  <si>
    <t>STR P/O</t>
  </si>
  <si>
    <t>STR F/S</t>
  </si>
  <si>
    <t>OPGW STR</t>
  </si>
  <si>
    <t>KEC International Limited</t>
  </si>
  <si>
    <t>TOTAL</t>
  </si>
  <si>
    <t>COMP.</t>
  </si>
  <si>
    <t>BAL.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</si>
  <si>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</si>
  <si>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</si>
  <si>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</si>
  <si>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</si>
  <si>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</si>
  <si>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</si>
  <si>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</si>
  <si>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Apprd.</t>
  </si>
  <si>
    <t>Bal</t>
  </si>
  <si>
    <t>Kms</t>
  </si>
  <si>
    <t>PL X-ing</t>
  </si>
  <si>
    <t>66 kV</t>
  </si>
  <si>
    <t>Nos.</t>
  </si>
  <si>
    <t>132 kV</t>
  </si>
  <si>
    <t>220 kV</t>
  </si>
  <si>
    <t>400 kV</t>
  </si>
  <si>
    <t>Erection</t>
  </si>
  <si>
    <t>765 kV</t>
  </si>
  <si>
    <t>Tack Welding</t>
  </si>
  <si>
    <t>Stringing (P/O)</t>
  </si>
  <si>
    <t>Stringing (F/S)</t>
  </si>
  <si>
    <t>OPGW Stringing</t>
  </si>
  <si>
    <t>FDN</t>
  </si>
  <si>
    <t>ERC</t>
  </si>
  <si>
    <t>117/0</t>
  </si>
  <si>
    <t>118/0</t>
  </si>
  <si>
    <t>119/0</t>
  </si>
  <si>
    <t>119/1</t>
  </si>
  <si>
    <t>120/0</t>
  </si>
  <si>
    <t>121/0</t>
  </si>
  <si>
    <t>122/0</t>
  </si>
  <si>
    <t>123/0</t>
  </si>
  <si>
    <t>124/1</t>
  </si>
  <si>
    <t>124/2</t>
  </si>
  <si>
    <t>124/4</t>
  </si>
  <si>
    <t>124/5</t>
  </si>
  <si>
    <t>124/6</t>
  </si>
  <si>
    <t>Stub N/A</t>
  </si>
  <si>
    <t>5DB2+3</t>
  </si>
  <si>
    <t>5DB1+9</t>
  </si>
  <si>
    <t>CDDN+55</t>
  </si>
  <si>
    <t>5DD45+9</t>
  </si>
  <si>
    <t>5DA-3</t>
  </si>
  <si>
    <t>124/8</t>
  </si>
  <si>
    <t>124/9</t>
  </si>
  <si>
    <t>124/11</t>
  </si>
  <si>
    <t>124/12</t>
  </si>
  <si>
    <t>131/0</t>
  </si>
  <si>
    <t>131/1</t>
  </si>
  <si>
    <t>131/2</t>
  </si>
  <si>
    <t xml:space="preserve">132/0 </t>
  </si>
  <si>
    <t>132/1</t>
  </si>
  <si>
    <t>5DA+9</t>
  </si>
  <si>
    <t>DB1+18</t>
  </si>
  <si>
    <t>Reserve Forest Approval Pending</t>
  </si>
  <si>
    <t>145/2</t>
  </si>
  <si>
    <t>ROW</t>
  </si>
  <si>
    <t>147/0</t>
  </si>
  <si>
    <t>148A/0</t>
  </si>
  <si>
    <t>148B/0</t>
  </si>
  <si>
    <t>150/0</t>
  </si>
  <si>
    <t>150/1</t>
  </si>
  <si>
    <t>150/5</t>
  </si>
  <si>
    <t>151/0</t>
  </si>
  <si>
    <t>152/0</t>
  </si>
  <si>
    <t>152/1</t>
  </si>
  <si>
    <t>DD60+3</t>
  </si>
  <si>
    <t>DA+9</t>
  </si>
  <si>
    <t>154/2</t>
  </si>
  <si>
    <t>127/4</t>
  </si>
  <si>
    <t>127/5</t>
  </si>
  <si>
    <t>129/0</t>
  </si>
  <si>
    <t>129A/0</t>
  </si>
  <si>
    <t>129A/1</t>
  </si>
  <si>
    <t>129A/2</t>
  </si>
  <si>
    <t>130/0</t>
  </si>
  <si>
    <t>130/1</t>
  </si>
  <si>
    <t>130/2</t>
  </si>
  <si>
    <t>TP</t>
  </si>
  <si>
    <t>156/6</t>
  </si>
  <si>
    <t>157/0</t>
  </si>
  <si>
    <t>157/1</t>
  </si>
  <si>
    <t>157/3</t>
  </si>
  <si>
    <t>158/0</t>
  </si>
  <si>
    <t>158/1</t>
  </si>
  <si>
    <t>158/2</t>
  </si>
  <si>
    <t>159/0</t>
  </si>
  <si>
    <t>159/1</t>
  </si>
  <si>
    <t>159/2</t>
  </si>
  <si>
    <t>3-GAS PIPELINE</t>
  </si>
  <si>
    <t>RLY X-ING (NOT IN USE)</t>
  </si>
  <si>
    <t>DD45+3</t>
  </si>
  <si>
    <t>160/0</t>
  </si>
  <si>
    <t>160/1</t>
  </si>
  <si>
    <t>160/2</t>
  </si>
  <si>
    <t>160/3</t>
  </si>
  <si>
    <t>161/1</t>
  </si>
  <si>
    <t>161A/0</t>
  </si>
  <si>
    <t>161A/1</t>
  </si>
  <si>
    <t>161A/2</t>
  </si>
  <si>
    <t>161A/3</t>
  </si>
  <si>
    <t>161A/4</t>
  </si>
  <si>
    <t>161A/5</t>
  </si>
  <si>
    <t>161A/6</t>
  </si>
  <si>
    <t>161B/0</t>
  </si>
  <si>
    <t>161C/0</t>
  </si>
  <si>
    <t>DC2+3</t>
  </si>
  <si>
    <t>161C/1</t>
  </si>
  <si>
    <t>163/0</t>
  </si>
  <si>
    <t>163/1</t>
  </si>
  <si>
    <t>163/2</t>
  </si>
  <si>
    <t>163/3</t>
  </si>
  <si>
    <t>163/4</t>
  </si>
  <si>
    <t>164/0</t>
  </si>
  <si>
    <t>164/1</t>
  </si>
  <si>
    <t>165/0</t>
  </si>
  <si>
    <t>165/1</t>
  </si>
  <si>
    <t>165/2</t>
  </si>
  <si>
    <t>167/5</t>
  </si>
  <si>
    <t>167/6</t>
  </si>
  <si>
    <t>168/0</t>
  </si>
  <si>
    <t>169/0</t>
  </si>
  <si>
    <t>170/0</t>
  </si>
  <si>
    <t>170/1</t>
  </si>
  <si>
    <t>170/2</t>
  </si>
  <si>
    <t>170/3</t>
  </si>
  <si>
    <t>170/4</t>
  </si>
  <si>
    <t>171/0</t>
  </si>
  <si>
    <t>177/0</t>
  </si>
  <si>
    <t>178/0</t>
  </si>
  <si>
    <t>178/1</t>
  </si>
  <si>
    <t>178/3</t>
  </si>
  <si>
    <t>178A/0</t>
  </si>
  <si>
    <t>178A/1</t>
  </si>
  <si>
    <t>178A/2</t>
  </si>
  <si>
    <t>180/0</t>
  </si>
  <si>
    <t>180/1</t>
  </si>
  <si>
    <t>181/0</t>
  </si>
  <si>
    <t>183/2</t>
  </si>
  <si>
    <t>184/0</t>
  </si>
  <si>
    <t xml:space="preserve"> DC2+0</t>
  </si>
  <si>
    <t>185/0</t>
  </si>
  <si>
    <t>186/2</t>
  </si>
  <si>
    <t>186/3</t>
  </si>
  <si>
    <t>186/4</t>
  </si>
  <si>
    <t>186/5</t>
  </si>
  <si>
    <t>186/6</t>
  </si>
  <si>
    <t>187/0</t>
  </si>
  <si>
    <t>187/1</t>
  </si>
  <si>
    <t>187/2</t>
  </si>
  <si>
    <t>187/3</t>
  </si>
  <si>
    <t>187/4</t>
  </si>
  <si>
    <t>187/5</t>
  </si>
  <si>
    <t>187/6</t>
  </si>
  <si>
    <t>188/0</t>
  </si>
  <si>
    <t>188/1</t>
  </si>
  <si>
    <t>188/2</t>
  </si>
  <si>
    <t>189/0</t>
  </si>
  <si>
    <t>190/0</t>
  </si>
  <si>
    <t>190/1</t>
  </si>
  <si>
    <t>190/2</t>
  </si>
  <si>
    <t>190/3</t>
  </si>
  <si>
    <t>190/4</t>
  </si>
  <si>
    <t>191/1</t>
  </si>
  <si>
    <t>191/2</t>
  </si>
  <si>
    <t>191/3</t>
  </si>
  <si>
    <t>191/4</t>
  </si>
  <si>
    <t>191/5</t>
  </si>
  <si>
    <t>191/6</t>
  </si>
  <si>
    <t>192/1</t>
  </si>
  <si>
    <t>192/2</t>
  </si>
  <si>
    <t>192/3</t>
  </si>
  <si>
    <t>192/4</t>
  </si>
  <si>
    <t>192/5</t>
  </si>
  <si>
    <t>192/6</t>
  </si>
  <si>
    <t>193/3</t>
  </si>
  <si>
    <t>194/2</t>
  </si>
  <si>
    <t>194/3</t>
  </si>
  <si>
    <t>194/4</t>
  </si>
  <si>
    <t>194/5</t>
  </si>
  <si>
    <t>194/6</t>
  </si>
  <si>
    <t>195/0</t>
  </si>
  <si>
    <t>DB1+3</t>
  </si>
  <si>
    <t>ASOTL Pile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</si>
  <si>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</si>
  <si>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Pile </t>
  </si>
  <si>
    <t>work hampered due to forest dept. approval pending</t>
  </si>
  <si>
    <t>Chowdhary Const.</t>
  </si>
  <si>
    <t>Location</t>
  </si>
  <si>
    <t>Start</t>
  </si>
  <si>
    <t>End</t>
  </si>
  <si>
    <t>117/1</t>
  </si>
  <si>
    <t>120/4</t>
  </si>
  <si>
    <t>120/7</t>
  </si>
  <si>
    <t>121/2</t>
  </si>
  <si>
    <t>121/3</t>
  </si>
  <si>
    <t>126/1</t>
  </si>
  <si>
    <t>137/1</t>
  </si>
  <si>
    <t>137/2</t>
  </si>
  <si>
    <t>141/3</t>
  </si>
  <si>
    <t>141/5</t>
  </si>
  <si>
    <t>145/7</t>
  </si>
  <si>
    <t>175/0</t>
  </si>
  <si>
    <t>180/3</t>
  </si>
  <si>
    <t>180/4</t>
  </si>
  <si>
    <t>180/6</t>
  </si>
  <si>
    <t>197/2</t>
  </si>
  <si>
    <t>241/2</t>
  </si>
  <si>
    <t>243/1</t>
  </si>
  <si>
    <t>246/0</t>
  </si>
  <si>
    <t>248/1</t>
  </si>
  <si>
    <t>249/3</t>
  </si>
  <si>
    <t>250/3</t>
  </si>
  <si>
    <t>250A/1</t>
  </si>
  <si>
    <t>250A/2</t>
  </si>
  <si>
    <t>252/5</t>
  </si>
  <si>
    <t>117/2</t>
  </si>
  <si>
    <t>119/2</t>
  </si>
  <si>
    <t>119/3</t>
  </si>
  <si>
    <t>120/1</t>
  </si>
  <si>
    <t>120/2</t>
  </si>
  <si>
    <t>120/3</t>
  </si>
  <si>
    <t>120/5</t>
  </si>
  <si>
    <t>120/6</t>
  </si>
  <si>
    <t>121/1</t>
  </si>
  <si>
    <t>121/4</t>
  </si>
  <si>
    <t>121/5</t>
  </si>
  <si>
    <t>121/6</t>
  </si>
  <si>
    <t>121/7</t>
  </si>
  <si>
    <t>121/8</t>
  </si>
  <si>
    <t>121/9</t>
  </si>
  <si>
    <t>121/10</t>
  </si>
  <si>
    <t>121/11</t>
  </si>
  <si>
    <t>125/0</t>
  </si>
  <si>
    <t>125/1</t>
  </si>
  <si>
    <t>125/2</t>
  </si>
  <si>
    <t>126/0</t>
  </si>
  <si>
    <t>126/2</t>
  </si>
  <si>
    <t>126/3</t>
  </si>
  <si>
    <t>127/0</t>
  </si>
  <si>
    <t>131/3</t>
  </si>
  <si>
    <t>131/4</t>
  </si>
  <si>
    <t>131/5</t>
  </si>
  <si>
    <t>132/0</t>
  </si>
  <si>
    <t>132/2</t>
  </si>
  <si>
    <t>132/3</t>
  </si>
  <si>
    <t>133/3</t>
  </si>
  <si>
    <t>133/4</t>
  </si>
  <si>
    <t>136/1</t>
  </si>
  <si>
    <t>141/4</t>
  </si>
  <si>
    <t>151A/0</t>
  </si>
  <si>
    <t>153/2</t>
  </si>
  <si>
    <t>153A/0</t>
  </si>
  <si>
    <t xml:space="preserve">157/0 </t>
  </si>
  <si>
    <t xml:space="preserve">158/0 </t>
  </si>
  <si>
    <t xml:space="preserve">159/0 </t>
  </si>
  <si>
    <t>165/3</t>
  </si>
  <si>
    <t>165/4</t>
  </si>
  <si>
    <t>165/5</t>
  </si>
  <si>
    <t>165/6</t>
  </si>
  <si>
    <t>165/7</t>
  </si>
  <si>
    <t>172/0</t>
  </si>
  <si>
    <t>172/1</t>
  </si>
  <si>
    <t xml:space="preserve">174/0 </t>
  </si>
  <si>
    <t>174/1</t>
  </si>
  <si>
    <t>174/3</t>
  </si>
  <si>
    <t>174/4</t>
  </si>
  <si>
    <t>174/5</t>
  </si>
  <si>
    <t>174/6</t>
  </si>
  <si>
    <t>176/0</t>
  </si>
  <si>
    <t>176/1</t>
  </si>
  <si>
    <t>176/2</t>
  </si>
  <si>
    <t>179/1</t>
  </si>
  <si>
    <t>179/2</t>
  </si>
  <si>
    <t>179/3</t>
  </si>
  <si>
    <t>180/2</t>
  </si>
  <si>
    <t>180/5</t>
  </si>
  <si>
    <t>180/7</t>
  </si>
  <si>
    <t xml:space="preserve">188/0 </t>
  </si>
  <si>
    <t xml:space="preserve">189/0 </t>
  </si>
  <si>
    <t>189/1</t>
  </si>
  <si>
    <t>196/1</t>
  </si>
  <si>
    <t>196/2</t>
  </si>
  <si>
    <t>197/0</t>
  </si>
  <si>
    <t>197/1</t>
  </si>
  <si>
    <t>199/1</t>
  </si>
  <si>
    <t>200/0</t>
  </si>
  <si>
    <t>200/1</t>
  </si>
  <si>
    <t>201/0</t>
  </si>
  <si>
    <t>202/0</t>
  </si>
  <si>
    <t>203/0</t>
  </si>
  <si>
    <t>203/1</t>
  </si>
  <si>
    <t>204/0</t>
  </si>
  <si>
    <t>205/0</t>
  </si>
  <si>
    <t>205/1</t>
  </si>
  <si>
    <t>205/2</t>
  </si>
  <si>
    <t>206/0</t>
  </si>
  <si>
    <t>206/1</t>
  </si>
  <si>
    <t>207/0</t>
  </si>
  <si>
    <t>208/0</t>
  </si>
  <si>
    <t>209/0</t>
  </si>
  <si>
    <t>209/1</t>
  </si>
  <si>
    <t>209/2</t>
  </si>
  <si>
    <t>211/1</t>
  </si>
  <si>
    <t>211/2</t>
  </si>
  <si>
    <t>211/3</t>
  </si>
  <si>
    <t>211/4</t>
  </si>
  <si>
    <t>211/5</t>
  </si>
  <si>
    <t>212/0</t>
  </si>
  <si>
    <t>213/0</t>
  </si>
  <si>
    <t>214/0</t>
  </si>
  <si>
    <t>214/1</t>
  </si>
  <si>
    <t>214/2</t>
  </si>
  <si>
    <t>214/4</t>
  </si>
  <si>
    <t>214/5</t>
  </si>
  <si>
    <t>214/7</t>
  </si>
  <si>
    <t>215/0</t>
  </si>
  <si>
    <t>216/1</t>
  </si>
  <si>
    <t>217/0</t>
  </si>
  <si>
    <t>217/1</t>
  </si>
  <si>
    <t>217/2</t>
  </si>
  <si>
    <t>217/3</t>
  </si>
  <si>
    <t>217/5</t>
  </si>
  <si>
    <t>218/0</t>
  </si>
  <si>
    <t>219/0</t>
  </si>
  <si>
    <t>219/1</t>
  </si>
  <si>
    <t>220/0</t>
  </si>
  <si>
    <t>220/1</t>
  </si>
  <si>
    <t>221/0</t>
  </si>
  <si>
    <t>222/0</t>
  </si>
  <si>
    <t>223/0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</si>
  <si>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</si>
  <si>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</si>
  <si>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</si>
  <si>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</si>
  <si>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</si>
  <si>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</si>
  <si>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</si>
  <si>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</si>
  <si>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</si>
  <si>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</si>
  <si>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</si>
  <si>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</si>
  <si>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</si>
  <si>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</si>
  <si>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</si>
  <si>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</si>
  <si>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</si>
  <si>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</si>
  <si>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</si>
  <si>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</si>
  <si>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</si>
  <si>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</si>
  <si>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</si>
  <si>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</si>
  <si>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</si>
  <si>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</si>
  <si>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</si>
  <si>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</si>
  <si>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</si>
  <si>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</si>
  <si>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232/0</t>
  </si>
  <si>
    <t>232/1</t>
  </si>
  <si>
    <t>232/2</t>
  </si>
  <si>
    <t>232/3</t>
  </si>
  <si>
    <t>232/4</t>
  </si>
  <si>
    <t>233/0</t>
  </si>
  <si>
    <t>234/0</t>
  </si>
  <si>
    <t>235/0</t>
  </si>
  <si>
    <t>235/1</t>
  </si>
  <si>
    <t>235/2</t>
  </si>
  <si>
    <t>235/3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</si>
  <si>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</si>
  <si>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</si>
  <si>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</si>
  <si>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</si>
  <si>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</si>
  <si>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</si>
  <si>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</si>
  <si>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</si>
  <si>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241/0</t>
  </si>
  <si>
    <t>241/3</t>
  </si>
  <si>
    <t>241/4</t>
  </si>
  <si>
    <t>242/0</t>
  </si>
  <si>
    <t>243/0</t>
  </si>
  <si>
    <t>243/2</t>
  </si>
  <si>
    <t>243/3</t>
  </si>
  <si>
    <t>244/1</t>
  </si>
  <si>
    <t>244/5</t>
  </si>
  <si>
    <t>244/6</t>
  </si>
  <si>
    <t>245/0</t>
  </si>
  <si>
    <t>245/1</t>
  </si>
  <si>
    <t>247/0</t>
  </si>
  <si>
    <t>248/0</t>
  </si>
  <si>
    <t>248/2</t>
  </si>
  <si>
    <t>249/0</t>
  </si>
  <si>
    <t>249/1</t>
  </si>
  <si>
    <t>249/2</t>
  </si>
  <si>
    <t>250/0</t>
  </si>
  <si>
    <t>251/0</t>
  </si>
  <si>
    <t>251/1</t>
  </si>
  <si>
    <t>252/0</t>
  </si>
  <si>
    <t>252/1</t>
  </si>
  <si>
    <t>252/2</t>
  </si>
  <si>
    <t>252/3</t>
  </si>
  <si>
    <t>252/4</t>
  </si>
  <si>
    <t>253/0</t>
  </si>
  <si>
    <t>254/0</t>
  </si>
  <si>
    <t>254/1</t>
  </si>
  <si>
    <t>255/1</t>
  </si>
  <si>
    <t>256/0</t>
  </si>
  <si>
    <t>257/0</t>
  </si>
  <si>
    <t>258/0</t>
  </si>
  <si>
    <t>DB1+25</t>
  </si>
  <si>
    <t>DD60+25 (2MRC)</t>
  </si>
  <si>
    <t>DD45+25 (15.87MRC)</t>
  </si>
  <si>
    <t>DD45+25 (11.9MRC)</t>
  </si>
  <si>
    <t>DD60+9 (7MRC)</t>
  </si>
  <si>
    <t>DB2+3</t>
  </si>
  <si>
    <t>DC2+6</t>
  </si>
  <si>
    <t>DD60+25</t>
  </si>
  <si>
    <t>DD60+18</t>
  </si>
  <si>
    <t>DD60+9</t>
  </si>
  <si>
    <t>DD45+18</t>
  </si>
  <si>
    <t>DD60+41</t>
  </si>
  <si>
    <t>DD60+9 (2MRC)</t>
  </si>
  <si>
    <t>DD60+30</t>
  </si>
  <si>
    <t>DCT+0</t>
  </si>
  <si>
    <t>DC2+18</t>
  </si>
  <si>
    <t>DA+3 (A,B 1.5 RC)</t>
  </si>
  <si>
    <t>DD45+0LE (3 Leg)+1.5LE (1 Leg) &amp; (B1MRC &amp; C0.5MRS)</t>
  </si>
  <si>
    <t>DD45+25</t>
  </si>
  <si>
    <t>DC1+18</t>
  </si>
  <si>
    <t>DD60+35</t>
  </si>
  <si>
    <t>DC2+9</t>
  </si>
  <si>
    <t>DB2+18</t>
  </si>
  <si>
    <t>DD60+25 (3MRC)</t>
  </si>
  <si>
    <t>DD45+35</t>
  </si>
  <si>
    <t>DB2+9 (2MRC)</t>
  </si>
  <si>
    <t>DD45+30 (2MRC)</t>
  </si>
  <si>
    <t>DA+9 (2MRC)</t>
  </si>
  <si>
    <t>DB1+18 (2MRC)</t>
  </si>
  <si>
    <t>DC1+6</t>
  </si>
  <si>
    <t>DB2+25</t>
  </si>
  <si>
    <t>DB1+25 (2MRC)</t>
  </si>
  <si>
    <t>DC1+25</t>
  </si>
  <si>
    <t>DD60+35 (2MRC)</t>
  </si>
  <si>
    <t>DA+9 (1MRC)</t>
  </si>
  <si>
    <t>DB1+3 (3MRC)</t>
  </si>
  <si>
    <t>DA+6 (1MRC)</t>
  </si>
  <si>
    <t>DD45+35 (2MRC)</t>
  </si>
  <si>
    <t>DD60+0 (1.5MRC)</t>
  </si>
  <si>
    <t>Loc No</t>
  </si>
  <si>
    <t>foundation</t>
  </si>
  <si>
    <t>lfmlv</t>
  </si>
  <si>
    <t>dgg</t>
  </si>
  <si>
    <t>kfvnk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</si>
  <si>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</si>
  <si>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</si>
  <si>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</si>
  <si>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</si>
  <si>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</si>
  <si>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</si>
  <si>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</si>
  <si>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</si>
  <si>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</si>
  <si>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</si>
  <si>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</si>
  <si>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</si>
  <si>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</si>
  <si>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</si>
  <si>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</si>
  <si>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</si>
  <si>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</si>
  <si>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</si>
  <si>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</si>
  <si>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</si>
  <si>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</si>
  <si>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ASOTL Stringing</t>
  </si>
  <si>
    <t>Sr. No.</t>
  </si>
  <si>
    <t>length</t>
  </si>
  <si>
    <t>Manual/TSE</t>
  </si>
  <si>
    <t>Engaged Date</t>
  </si>
  <si>
    <t>P/O Completed</t>
  </si>
  <si>
    <t>F/S Completed</t>
  </si>
  <si>
    <t>Stringing Status As on Today</t>
  </si>
  <si>
    <t>Start Date</t>
  </si>
  <si>
    <t>End Date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</si>
  <si>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</si>
  <si>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</si>
  <si>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</si>
  <si>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</si>
  <si>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</si>
  <si>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Span Length</t>
  </si>
  <si>
    <t>LINE OWNER</t>
  </si>
  <si>
    <t>Line Name</t>
  </si>
  <si>
    <t>Work Portion</t>
  </si>
  <si>
    <t>Submitted to Client for Review</t>
  </si>
  <si>
    <t>Proposal Submitted (Y/N)</t>
  </si>
  <si>
    <t>Inspection Status (Y/N)</t>
  </si>
  <si>
    <t>Powerline crossing</t>
  </si>
  <si>
    <t>GETCO</t>
  </si>
  <si>
    <t>400 kV D/C Twin Chorniya/Pancham To Kosamba TL</t>
  </si>
  <si>
    <t>Y</t>
  </si>
  <si>
    <t>Approval Not Received from PGCIL</t>
  </si>
  <si>
    <t>CDDN+25</t>
  </si>
  <si>
    <t>PGCIL</t>
  </si>
  <si>
    <t>765 kV D/C Ahmedabad-Navsari</t>
  </si>
  <si>
    <t>765 kV D/C Vataman-Navsari</t>
  </si>
  <si>
    <t>66 kV D/C Gavasad-Sterling/Sarod</t>
  </si>
  <si>
    <t>GAS PIPELINE</t>
  </si>
  <si>
    <t>ONGC</t>
  </si>
  <si>
    <t>GGS Jambusar-GGS Dabka</t>
  </si>
  <si>
    <t>GAIL</t>
  </si>
  <si>
    <t>Dabka-Gandhar</t>
  </si>
  <si>
    <t>GSPL</t>
  </si>
  <si>
    <t>Uchchhad-Jambusar</t>
  </si>
  <si>
    <t>Railway Crossing</t>
  </si>
  <si>
    <t>IR WR</t>
  </si>
  <si>
    <t xml:space="preserve">BG U/C electrified single Vishamitri-Jambusar </t>
  </si>
  <si>
    <t>66 kV (H FRAME) Masar Road to Jambusar</t>
  </si>
  <si>
    <t>Approval received on 25-04-2026</t>
  </si>
  <si>
    <t>NH</t>
  </si>
  <si>
    <t>NHAI</t>
  </si>
  <si>
    <t>Jambusar-Bharuch Section (NH 64)</t>
  </si>
  <si>
    <t xml:space="preserve">BG U/C electrified single Bharuch-Jambusar </t>
  </si>
  <si>
    <t>Reliance</t>
  </si>
  <si>
    <t>Dahej-Vadodara</t>
  </si>
  <si>
    <t>GNAQ-Magnad</t>
  </si>
  <si>
    <t>G763 Station to EPS253 Station</t>
  </si>
  <si>
    <t>U/C 66 k/V D/C Amod-Muler</t>
  </si>
  <si>
    <t>Ankhi IP to CPF Gandhar 2</t>
  </si>
  <si>
    <t>Near EPS 253 Station</t>
  </si>
  <si>
    <t>IOCL</t>
  </si>
  <si>
    <t>Dehaj-Koyali</t>
  </si>
  <si>
    <t>Amod-Hajira</t>
  </si>
  <si>
    <t>IHBL</t>
  </si>
  <si>
    <t>Kandla-Gorakhpur</t>
  </si>
  <si>
    <t>CPU Gandhar-NTPC Tarminal (Jhanor)</t>
  </si>
  <si>
    <t>Approval received on 25.04.2026</t>
  </si>
  <si>
    <t>Kohsamba-Suva-Gavasad</t>
  </si>
  <si>
    <t>CPU Gandhar DT-GNFC RT</t>
  </si>
  <si>
    <t>Wagra-CPF ONGC</t>
  </si>
  <si>
    <t>66 kV (H FRAME) Wagra-Mular</t>
  </si>
  <si>
    <t>66 kV (H FRAME) Wagra-Vensali</t>
  </si>
  <si>
    <t>BG Electrified Single Bharuch-Dahej</t>
  </si>
  <si>
    <t>Powerline Crossing</t>
  </si>
  <si>
    <t>66 kV D/C Wagra-GAIL</t>
  </si>
  <si>
    <t>Dahej-Vemar</t>
  </si>
  <si>
    <t>220 kV D/C Haldarva-Dahej</t>
  </si>
  <si>
    <t>Not Submitted</t>
  </si>
  <si>
    <t>Details Survey Approval pending due to GETCO new substation in detail survey route</t>
  </si>
  <si>
    <t>220 kV D/C Haldarva-Suva/Dahej</t>
  </si>
  <si>
    <t>176A/0</t>
  </si>
  <si>
    <t>CPU Gandhar-CPF Ankleshwar</t>
  </si>
  <si>
    <t>Awaited for details survey approval from PGCIL</t>
  </si>
  <si>
    <t>DD60+25 (2M RC)</t>
  </si>
  <si>
    <t>DD60+25(2M RC)</t>
  </si>
  <si>
    <t>Torrent Power</t>
  </si>
  <si>
    <t>400 kV D/C DGEN-Navsari</t>
  </si>
  <si>
    <t>Amboli-Dahej</t>
  </si>
  <si>
    <t>Dahej-Hagothana</t>
  </si>
  <si>
    <t>U/P</t>
  </si>
  <si>
    <t>IPCL Hajira-Dahej</t>
  </si>
  <si>
    <t>DUPL Dahej-Hajira</t>
  </si>
  <si>
    <t>184/10</t>
  </si>
  <si>
    <t>184/11</t>
  </si>
  <si>
    <t>ALLA BET- Ankleshwar</t>
  </si>
  <si>
    <t>Details Survey Approval pending due to KP Group new Solar in detail survey route</t>
  </si>
  <si>
    <t>Ankleshwar- Hansot (NH 64)</t>
  </si>
  <si>
    <t>66 kV (H-Frame) Hansot-Ankleshwar</t>
  </si>
  <si>
    <t>66 kV (H-Frame) Panoli-Hansot</t>
  </si>
  <si>
    <t>Hansot-Rayma (NH 64)</t>
  </si>
  <si>
    <t>66 kV D/C Vadoli-Mindhi</t>
  </si>
  <si>
    <t>Vadoli-Olpad</t>
  </si>
  <si>
    <t>DD60+25 (3M RC)</t>
  </si>
  <si>
    <t>DD60+25(3M RC)</t>
  </si>
  <si>
    <t>ESSAR POWER</t>
  </si>
  <si>
    <t>Hazira-Gandhar</t>
  </si>
  <si>
    <t>Sr.No.</t>
  </si>
  <si>
    <t>Location Details</t>
  </si>
  <si>
    <t>completed</t>
  </si>
  <si>
    <t>Hotline Stringing total KM : 17.112 Km</t>
  </si>
  <si>
    <t>Sl NO</t>
  </si>
  <si>
    <t>Description</t>
  </si>
  <si>
    <t xml:space="preserve">Dec'25 </t>
  </si>
  <si>
    <t>June'25</t>
  </si>
  <si>
    <t>Hotline Stringing</t>
  </si>
  <si>
    <t>Cumulative L2 till Last Month (May'26)</t>
  </si>
  <si>
    <t>Cumulative Progress till Last Month(May 26)</t>
  </si>
  <si>
    <t>Cumm. Progress up to
till last Month May'26)</t>
  </si>
  <si>
    <t>Target as per L2 Schedule Cummulative (upto May'26)</t>
  </si>
  <si>
    <t>L3 Plan for the month (May'26 )</t>
  </si>
  <si>
    <t xml:space="preserve">Length </t>
  </si>
  <si>
    <t xml:space="preserve">41.090 km </t>
  </si>
  <si>
    <t xml:space="preserve"> 6.747 km </t>
  </si>
  <si>
    <t xml:space="preserve"> 29.131 km</t>
  </si>
  <si>
    <t>AP145/0 to AP171/0</t>
  </si>
  <si>
    <t>AP177/0 to AP184/0 </t>
  </si>
  <si>
    <t>Front is not cleared by cleint due to manpower &amp; Machinery Idle(ROW)</t>
  </si>
  <si>
    <t>765KV ANTL Line</t>
  </si>
  <si>
    <t>Mahi River</t>
  </si>
  <si>
    <t xml:space="preserve">Asmina Power </t>
  </si>
  <si>
    <t>Tower Tightening</t>
  </si>
  <si>
    <t>Complete</t>
  </si>
  <si>
    <t>Tower Erection Completed</t>
  </si>
  <si>
    <t>Submitted today</t>
  </si>
  <si>
    <t>Foundation work Complete</t>
  </si>
  <si>
    <t>Last Section WIP</t>
  </si>
  <si>
    <t>All Civil Work Complete</t>
  </si>
  <si>
    <t>Pit C Pyramid Cimney Done,Pit B Frustum Casting Done, Pit A Block Level Done</t>
  </si>
  <si>
    <t>Pit ABC PCC completed</t>
  </si>
  <si>
    <t xml:space="preserve"> Pit A Frustum Casting 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</si>
</sst>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0"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(* #,##0.000_);_(* \(#,##0.000\);_(* &quot;-&quot;???_);_(@_)"/>
    <numFmt numFmtId="168" formatCode="0.000"/>
    <numFmt numFmtId="169" formatCode="_ * #,##0.000_ ;_ * \-#,##0.000_ ;_ * &quot;-&quot;??_ ;_ @_ "/>
    <numFmt numFmtId="170" formatCode="&quot;Rs.&quot;#,##0.00_);[Red]\(&quot;Rs.&quot;#,##0.00\)"/>
    <numFmt numFmtId="171" formatCode="_(&quot;Rs.&quot;* #,##0_);_(&quot;Rs.&quot;* \(#,##0\);_(&quot;Rs.&quot;* &quot;-&quot;_);_(@_)"/>
    <numFmt numFmtId="172" formatCode="_(&quot;Rs.&quot;* #,##0.00_);_(&quot;Rs.&quot;* \(#,##0.00\);_(&quot;Rs.&quot;* &quot;-&quot;??_);_(@_)"/>
    <numFmt numFmtId="173" formatCode="_-* #,##0_-;\-* #,##0_-;_-* &quot;-&quot;_-;_-@_-"/>
    <numFmt numFmtId="174" formatCode="_-* #,##0.00_-;\-* #,##0.00_-;_-* &quot;-&quot;??_-;_-@_-"/>
    <numFmt numFmtId="175" formatCode="_-&quot;£&quot;* #,##0.00_-;\-&quot;£&quot;* #,##0.00_-;_-&quot;£&quot;* &quot;-&quot;??_-;_-@_-"/>
    <numFmt numFmtId="176" formatCode="#,##0.0"/>
    <numFmt numFmtId="177" formatCode="&quot;\&quot;#,##0.00;[Red]\-&quot;\&quot;#,##0.00"/>
    <numFmt numFmtId="178" formatCode="#,##0.000_);\(#,##0.000\)"/>
    <numFmt numFmtId="179" formatCode="0.0_)"/>
    <numFmt numFmtId="180" formatCode=";;"/>
    <numFmt numFmtId="181" formatCode="_ &quot;kr&quot;\ * #,##0_ ;_ &quot;kr&quot;\ * \-#,##0_ ;_ &quot;kr&quot;\ * &quot;-&quot;_ ;_ @_ "/>
    <numFmt numFmtId="182" formatCode="_-* #,##0\ _k_r_-;\-* #,##0\ _k_r_-;_-* &quot;-&quot;\ _k_r_-;_-@_-"/>
    <numFmt numFmtId="183" formatCode="_-* #,##0.00\ _k_r_-;\-* #,##0.00\ _k_r_-;_-* &quot;-&quot;??\ _k_r_-;_-@_-"/>
    <numFmt numFmtId="184" formatCode="_ &quot;CHF&quot;\ * #,##0_ ;_ &quot;CHF&quot;\ * \-#,##0_ ;_ &quot;CHF&quot;\ * &quot;-&quot;_ ;_ @_ "/>
    <numFmt numFmtId="185" formatCode="_ &quot;CHF&quot;\ * #,##0.00_ ;_ &quot;CHF&quot;\ * \-#,##0.00_ ;_ &quot;CHF&quot;\ * &quot;-&quot;??_ ;_ @_ "/>
    <numFmt numFmtId="186" formatCode="&quot;Rs.&quot;#,##0.00_);\(&quot;Rs.&quot;#,##0.00\)"/>
    <numFmt numFmtId="187" formatCode="General_)"/>
    <numFmt numFmtId="188" formatCode="#,##0.000"/>
    <numFmt numFmtId="189" formatCode="#,##0.0_);\(#,##0.0\)"/>
    <numFmt numFmtId="190" formatCode="yyyy"/>
    <numFmt numFmtId="191" formatCode="\(0.00%"/>
    <numFmt numFmtId="192" formatCode="\U\S\$#,##0.00;\(\U\S\$#,##0.00\)"/>
    <numFmt numFmtId="193" formatCode="\+0.00%\+"/>
    <numFmt numFmtId="194" formatCode="0.00%\)"/>
    <numFmt numFmtId="195" formatCode="0.0000"/>
    <numFmt numFmtId="196" formatCode="[$-409]d/mmm/yy;@"/>
    <numFmt numFmtId="197" formatCode="[$-409]d\-mmm\-yy;@"/>
    <numFmt numFmtId="198" formatCode="[$-14009]dd/mm/yyyy;@"/>
    <numFmt numFmtId="199" formatCode="0.0"/>
    <numFmt numFmtId="200" formatCode="_ * #,##0_ ;_ * \-#,##0_ ;_ * &quot;-&quot;??_ ;_ @_ "/>
  </numFmts>
  <fonts count="1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sz val="11"/>
      <color rgb="FF000000"/>
      <name val="Arial"/>
      <family val="2"/>
    </font>
    <font>
      <sz val="10"/>
      <color rgb="FF000000"/>
      <name val="Times New Roman"/>
      <family val="1"/>
    </font>
    <font>
      <strike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ptos"/>
      <family val="2"/>
    </font>
    <font>
      <b/>
      <sz val="12"/>
      <color indexed="10"/>
      <name val="Aptos"/>
      <family val="2"/>
    </font>
    <font>
      <sz val="12"/>
      <name val="Aptos"/>
      <family val="2"/>
    </font>
    <font>
      <b/>
      <sz val="12"/>
      <color rgb="FF000000"/>
      <name val="Aptos"/>
      <family val="2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b/>
      <vertAlign val="superscript"/>
      <sz val="11"/>
      <color theme="1"/>
      <name val="Calibri"/>
      <family val="2"/>
      <scheme val="minor"/>
    </font>
    <font>
      <b/>
      <sz val="10"/>
      <name val="Tahoma"/>
      <family val="2"/>
    </font>
    <font>
      <sz val="10"/>
      <name val="Tahoma"/>
      <family val="2"/>
    </font>
    <font>
      <b/>
      <sz val="13"/>
      <color theme="1"/>
      <name val="Calibri"/>
      <family val="2"/>
    </font>
    <font>
      <sz val="1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vertAlign val="superscript"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  <scheme val="minor"/>
    </font>
    <font>
      <sz val="12"/>
      <color rgb="FF242424"/>
      <name val="Aptos"/>
      <family val="2"/>
    </font>
    <font>
      <b/>
      <sz val="12"/>
      <color rgb="FF242424"/>
      <name val="Aptos"/>
      <family val="2"/>
    </font>
    <font>
      <b/>
      <sz val="11"/>
      <color rgb="FFFF0000"/>
      <name val="Calibri"/>
      <family val="2"/>
    </font>
    <font>
      <b/>
      <sz val="11"/>
      <color theme="4"/>
      <name val="Calibri"/>
      <family val="2"/>
    </font>
  </fonts>
  <fills count="6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FF00"/>
        <bgColor indexed="64"/>
      </patternFill>
    </fill>
  </fills>
  <borders count="9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25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4" fontId="1" fillId="0" borderId="0" applyFont="0" applyFill="0" applyBorder="0" applyAlignment="0" applyProtection="0"/>
    <xf numFmtId="0" fontId="7" fillId="0" borderId="0"/>
    <xf numFmtId="0" fontId="3" fillId="0" borderId="0"/>
    <xf numFmtId="0" fontId="14" fillId="0" borderId="0"/>
    <xf numFmtId="0" fontId="3" fillId="0" borderId="0"/>
    <xf numFmtId="0" fontId="3" fillId="0" borderId="0"/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3" fillId="0" borderId="0"/>
    <xf numFmtId="0" fontId="10" fillId="0" borderId="0">
      <alignment vertical="top"/>
    </xf>
    <xf numFmtId="0" fontId="33" fillId="0" borderId="0"/>
    <xf numFmtId="0" fontId="10" fillId="0" borderId="0">
      <alignment vertical="top"/>
    </xf>
    <xf numFmtId="0" fontId="33" fillId="0" borderId="0"/>
    <xf numFmtId="0" fontId="33" fillId="0" borderId="0"/>
    <xf numFmtId="0" fontId="3" fillId="0" borderId="0"/>
    <xf numFmtId="0" fontId="33" fillId="0" borderId="0"/>
    <xf numFmtId="0" fontId="33" fillId="0" borderId="0"/>
    <xf numFmtId="0" fontId="34" fillId="0" borderId="0" applyNumberFormat="0" applyFill="0" applyBorder="0" applyAlignment="0" applyProtection="0"/>
    <xf numFmtId="0" fontId="45" fillId="19" borderId="0" applyNumberFormat="0" applyBorder="0" applyAlignment="0" applyProtection="0"/>
    <xf numFmtId="0" fontId="45" fillId="20" borderId="0" applyNumberFormat="0" applyBorder="0" applyAlignment="0" applyProtection="0"/>
    <xf numFmtId="0" fontId="45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45" fillId="24" borderId="0" applyNumberFormat="0" applyBorder="0" applyAlignment="0" applyProtection="0"/>
    <xf numFmtId="0" fontId="45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45" fillId="22" borderId="0" applyNumberFormat="0" applyBorder="0" applyAlignment="0" applyProtection="0"/>
    <xf numFmtId="0" fontId="45" fillId="25" borderId="0" applyNumberFormat="0" applyBorder="0" applyAlignment="0" applyProtection="0"/>
    <xf numFmtId="0" fontId="45" fillId="28" borderId="0" applyNumberFormat="0" applyBorder="0" applyAlignment="0" applyProtection="0"/>
    <xf numFmtId="0" fontId="46" fillId="29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2" borderId="0" applyNumberFormat="0" applyBorder="0" applyAlignment="0" applyProtection="0"/>
    <xf numFmtId="9" fontId="18" fillId="0" borderId="0"/>
    <xf numFmtId="0" fontId="46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46" fillId="36" borderId="0" applyNumberFormat="0" applyBorder="0" applyAlignment="0" applyProtection="0"/>
    <xf numFmtId="175" fontId="3" fillId="0" borderId="0" applyFont="0" applyFill="0" applyBorder="0" applyAlignment="0" applyProtection="0"/>
    <xf numFmtId="179" fontId="3" fillId="0" borderId="0" applyFont="0" applyFill="0" applyBorder="0" applyAlignment="0" applyProtection="0"/>
    <xf numFmtId="0" fontId="35" fillId="0" borderId="0"/>
    <xf numFmtId="0" fontId="35" fillId="0" borderId="0"/>
    <xf numFmtId="0" fontId="3" fillId="0" borderId="0" applyFill="0" applyBorder="0">
      <alignment vertical="center"/>
    </xf>
    <xf numFmtId="178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7" fontId="28" fillId="0" borderId="32">
      <protection locked="0"/>
    </xf>
    <xf numFmtId="0" fontId="47" fillId="20" borderId="0" applyNumberFormat="0" applyBorder="0" applyAlignment="0" applyProtection="0"/>
    <xf numFmtId="0" fontId="19" fillId="0" borderId="0"/>
    <xf numFmtId="190" fontId="3" fillId="0" borderId="0" applyFill="0" applyBorder="0" applyAlignment="0"/>
    <xf numFmtId="187" fontId="36" fillId="0" borderId="0" applyFill="0" applyBorder="0" applyAlignment="0"/>
    <xf numFmtId="168" fontId="36" fillId="0" borderId="0" applyFill="0" applyBorder="0" applyAlignment="0"/>
    <xf numFmtId="189" fontId="37" fillId="0" borderId="0" applyFill="0" applyBorder="0" applyAlignment="0"/>
    <xf numFmtId="178" fontId="37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48" fillId="37" borderId="33" applyNumberFormat="0" applyAlignment="0" applyProtection="0"/>
    <xf numFmtId="0" fontId="49" fillId="38" borderId="34" applyNumberFormat="0" applyAlignment="0" applyProtection="0"/>
    <xf numFmtId="174" fontId="3" fillId="0" borderId="0" applyFont="0" applyFill="0" applyBorder="0" applyAlignment="0" applyProtection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77" fontId="3" fillId="0" borderId="0"/>
    <xf numFmtId="190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1" fontId="3" fillId="0" borderId="0">
      <protection locked="0"/>
    </xf>
    <xf numFmtId="0" fontId="26" fillId="0" borderId="0"/>
    <xf numFmtId="187" fontId="38" fillId="0" borderId="7" applyNumberFormat="0" applyBorder="0" applyAlignment="0" applyProtection="0">
      <protection locked="0"/>
    </xf>
    <xf numFmtId="187" fontId="36" fillId="0" borderId="0" applyFont="0" applyFill="0" applyBorder="0" applyAlignment="0" applyProtection="0"/>
    <xf numFmtId="172" fontId="3" fillId="0" borderId="0">
      <protection locked="0"/>
    </xf>
    <xf numFmtId="0" fontId="27" fillId="0" borderId="0">
      <protection locked="0"/>
    </xf>
    <xf numFmtId="14" fontId="10" fillId="0" borderId="0" applyFill="0" applyBorder="0" applyAlignment="0"/>
    <xf numFmtId="192" fontId="3" fillId="0" borderId="35">
      <alignment vertical="center"/>
    </xf>
    <xf numFmtId="182" fontId="3" fillId="0" borderId="0" applyFont="0" applyFill="0" applyBorder="0" applyAlignment="0" applyProtection="0"/>
    <xf numFmtId="18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0" fillId="0" borderId="0" applyNumberFormat="0" applyFill="0" applyBorder="0" applyAlignment="0" applyProtection="0"/>
    <xf numFmtId="170" fontId="3" fillId="0" borderId="0">
      <protection locked="0"/>
    </xf>
    <xf numFmtId="0" fontId="32" fillId="39" borderId="0"/>
    <xf numFmtId="0" fontId="28" fillId="0" borderId="8" applyNumberFormat="0" applyFill="0" applyBorder="0" applyAlignment="0" applyProtection="0">
      <protection locked="0"/>
    </xf>
    <xf numFmtId="176" fontId="20" fillId="0" borderId="36">
      <alignment horizontal="right"/>
    </xf>
    <xf numFmtId="0" fontId="51" fillId="21" borderId="0" applyNumberFormat="0" applyBorder="0" applyAlignment="0" applyProtection="0"/>
    <xf numFmtId="38" fontId="17" fillId="40" borderId="0" applyNumberFormat="0" applyBorder="0" applyAlignment="0" applyProtection="0"/>
    <xf numFmtId="0" fontId="15" fillId="0" borderId="4" applyNumberFormat="0" applyAlignment="0" applyProtection="0">
      <alignment horizontal="left" vertical="center"/>
    </xf>
    <xf numFmtId="0" fontId="15" fillId="0" borderId="29">
      <alignment horizontal="left" vertical="center"/>
    </xf>
    <xf numFmtId="168" fontId="40" fillId="0" borderId="0" applyNumberFormat="0" applyFill="0" applyBorder="0" applyAlignment="0" applyProtection="0"/>
    <xf numFmtId="0" fontId="27" fillId="0" borderId="0">
      <protection locked="0"/>
    </xf>
    <xf numFmtId="0" fontId="27" fillId="0" borderId="0">
      <protection locked="0"/>
    </xf>
    <xf numFmtId="0" fontId="52" fillId="0" borderId="37" applyNumberFormat="0" applyFill="0" applyAlignment="0" applyProtection="0"/>
    <xf numFmtId="0" fontId="52" fillId="0" borderId="0" applyNumberForma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186" fontId="3" fillId="0" borderId="0" applyProtection="0">
      <alignment horizontal="center"/>
    </xf>
    <xf numFmtId="0" fontId="53" fillId="24" borderId="33" applyNumberFormat="0" applyAlignment="0" applyProtection="0"/>
    <xf numFmtId="10" fontId="17" fillId="41" borderId="9" applyNumberFormat="0" applyBorder="0" applyAlignment="0" applyProtection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0" fontId="54" fillId="0" borderId="38" applyNumberFormat="0" applyFill="0" applyAlignment="0" applyProtection="0"/>
    <xf numFmtId="0" fontId="55" fillId="42" borderId="0" applyNumberFormat="0" applyBorder="0" applyAlignment="0" applyProtection="0"/>
    <xf numFmtId="37" fontId="22" fillId="0" borderId="0"/>
    <xf numFmtId="0" fontId="3" fillId="0" borderId="0"/>
    <xf numFmtId="168" fontId="3" fillId="0" borderId="0"/>
    <xf numFmtId="0" fontId="1" fillId="0" borderId="0"/>
    <xf numFmtId="0" fontId="1" fillId="0" borderId="0"/>
    <xf numFmtId="0" fontId="1" fillId="0" borderId="0"/>
    <xf numFmtId="0" fontId="3" fillId="43" borderId="39" applyNumberFormat="0" applyFont="0" applyAlignment="0" applyProtection="0"/>
    <xf numFmtId="0" fontId="56" fillId="37" borderId="40" applyNumberFormat="0" applyAlignment="0" applyProtection="0"/>
    <xf numFmtId="0" fontId="41" fillId="4" borderId="0"/>
    <xf numFmtId="9" fontId="3" fillId="0" borderId="0" applyFont="0" applyFill="0" applyBorder="0" applyAlignment="0" applyProtection="0"/>
    <xf numFmtId="178" fontId="37" fillId="0" borderId="0" applyFont="0" applyFill="0" applyBorder="0" applyAlignment="0" applyProtection="0"/>
    <xf numFmtId="188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3" fillId="0" borderId="0" applyFont="0"/>
    <xf numFmtId="190" fontId="3" fillId="0" borderId="0" applyFill="0" applyBorder="0" applyAlignment="0"/>
    <xf numFmtId="187" fontId="36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87" fontId="36" fillId="0" borderId="0" applyFill="0" applyBorder="0" applyAlignment="0"/>
    <xf numFmtId="9" fontId="3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/>
    <xf numFmtId="0" fontId="10" fillId="0" borderId="0">
      <alignment vertical="top"/>
    </xf>
    <xf numFmtId="0" fontId="28" fillId="0" borderId="0">
      <alignment horizontal="right"/>
    </xf>
    <xf numFmtId="0" fontId="29" fillId="0" borderId="31">
      <alignment horizontal="center" vertical="top"/>
    </xf>
    <xf numFmtId="0" fontId="16" fillId="44" borderId="14">
      <alignment horizontal="left" vertical="top" wrapText="1"/>
    </xf>
    <xf numFmtId="0" fontId="16" fillId="44" borderId="14">
      <alignment horizontal="left" vertical="top" wrapText="1"/>
    </xf>
    <xf numFmtId="49" fontId="10" fillId="0" borderId="0" applyFill="0" applyBorder="0" applyAlignment="0"/>
    <xf numFmtId="193" fontId="3" fillId="0" borderId="0" applyFill="0" applyBorder="0" applyAlignment="0"/>
    <xf numFmtId="194" fontId="3" fillId="0" borderId="0" applyFill="0" applyBorder="0" applyAlignment="0"/>
    <xf numFmtId="40" fontId="42" fillId="0" borderId="0"/>
    <xf numFmtId="0" fontId="57" fillId="0" borderId="0" applyNumberFormat="0" applyFill="0" applyBorder="0" applyAlignment="0" applyProtection="0"/>
    <xf numFmtId="3" fontId="30" fillId="0" borderId="26">
      <alignment horizontal="center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84" fontId="31" fillId="0" borderId="0" applyFont="0" applyFill="0" applyBorder="0" applyAlignment="0" applyProtection="0"/>
    <xf numFmtId="181" fontId="3" fillId="0" borderId="0" applyFont="0" applyFill="0" applyBorder="0" applyAlignment="0" applyProtection="0"/>
    <xf numFmtId="185" fontId="31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8" fillId="0" borderId="0" applyNumberFormat="0" applyFill="0" applyBorder="0" applyAlignment="0" applyProtection="0"/>
    <xf numFmtId="173" fontId="43" fillId="0" borderId="0" applyFont="0" applyFill="0" applyBorder="0" applyAlignment="0" applyProtection="0"/>
    <xf numFmtId="174" fontId="43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3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0" fontId="10" fillId="0" borderId="0">
      <alignment vertical="top"/>
    </xf>
    <xf numFmtId="187" fontId="28" fillId="0" borderId="32">
      <protection locked="0"/>
    </xf>
    <xf numFmtId="43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9" applyNumberFormat="0" applyFont="0" applyAlignment="0" applyProtection="0"/>
    <xf numFmtId="9" fontId="3" fillId="0" borderId="0" applyFont="0" applyFill="0" applyBorder="0" applyAlignment="0" applyProtection="0"/>
    <xf numFmtId="0" fontId="10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3" fillId="0" borderId="0"/>
    <xf numFmtId="0" fontId="1" fillId="0" borderId="0"/>
    <xf numFmtId="0" fontId="10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43" fontId="1" fillId="0" borderId="0" applyFont="0" applyFill="0" applyBorder="0" applyAlignment="0" applyProtection="0"/>
    <xf numFmtId="0" fontId="101" fillId="0" borderId="0"/>
    <xf numFmtId="0" fontId="3" fillId="0" borderId="0"/>
    <xf numFmtId="0" fontId="1" fillId="0" borderId="0" applyBorder="0"/>
    <xf numFmtId="0" fontId="101" fillId="0" borderId="0"/>
    <xf numFmtId="9" fontId="45" fillId="0" borderId="0" applyFont="0" applyFill="0" applyBorder="0" applyAlignment="0" applyProtection="0"/>
    <xf numFmtId="0" fontId="10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12">
    <xf numFmtId="0" fontId="0" fillId="0" borderId="0" xfId="0"/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6" fillId="0" borderId="13" xfId="2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/>
    </xf>
    <xf numFmtId="168" fontId="6" fillId="0" borderId="13" xfId="2" applyNumberFormat="1" applyFont="1" applyBorder="1" applyAlignment="1">
      <alignment horizontal="center" vertical="center"/>
    </xf>
    <xf numFmtId="168" fontId="0" fillId="0" borderId="0" xfId="0" applyNumberFormat="1"/>
    <xf numFmtId="0" fontId="6" fillId="0" borderId="25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 wrapText="1"/>
    </xf>
    <xf numFmtId="0" fontId="13" fillId="0" borderId="0" xfId="0" applyFont="1"/>
    <xf numFmtId="0" fontId="13" fillId="5" borderId="0" xfId="0" applyFont="1" applyFill="1"/>
    <xf numFmtId="0" fontId="11" fillId="0" borderId="9" xfId="0" applyFont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wrapText="1"/>
    </xf>
    <xf numFmtId="1" fontId="6" fillId="0" borderId="16" xfId="2" applyNumberFormat="1" applyFont="1" applyBorder="1" applyAlignment="1">
      <alignment horizontal="center" vertical="center" wrapText="1"/>
    </xf>
    <xf numFmtId="1" fontId="6" fillId="0" borderId="13" xfId="2" applyNumberFormat="1" applyFont="1" applyBorder="1" applyAlignment="1">
      <alignment horizontal="center" vertical="center"/>
    </xf>
    <xf numFmtId="168" fontId="6" fillId="0" borderId="9" xfId="2" applyNumberFormat="1" applyFont="1" applyBorder="1" applyAlignment="1">
      <alignment horizontal="center" vertical="center" wrapText="1"/>
    </xf>
    <xf numFmtId="168" fontId="6" fillId="0" borderId="16" xfId="2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9" xfId="0" applyNumberFormat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0" fillId="0" borderId="9" xfId="0" applyBorder="1"/>
    <xf numFmtId="0" fontId="0" fillId="0" borderId="9" xfId="0" applyBorder="1" applyAlignment="1">
      <alignment horizontal="center"/>
    </xf>
    <xf numFmtId="168" fontId="6" fillId="0" borderId="18" xfId="2" applyNumberFormat="1" applyFont="1" applyBorder="1" applyAlignment="1">
      <alignment horizontal="center" vertical="center"/>
    </xf>
    <xf numFmtId="168" fontId="6" fillId="0" borderId="19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16" fontId="11" fillId="0" borderId="9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 wrapText="1"/>
    </xf>
    <xf numFmtId="14" fontId="0" fillId="5" borderId="19" xfId="0" applyNumberForma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2" fillId="0" borderId="9" xfId="0" applyFont="1" applyBorder="1"/>
    <xf numFmtId="199" fontId="0" fillId="0" borderId="9" xfId="0" applyNumberFormat="1" applyBorder="1"/>
    <xf numFmtId="0" fontId="0" fillId="0" borderId="11" xfId="0" applyBorder="1" applyAlignment="1">
      <alignment horizontal="center" vertical="center"/>
    </xf>
    <xf numFmtId="16" fontId="11" fillId="5" borderId="9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5" xfId="0" applyFont="1" applyFill="1" applyBorder="1" applyAlignment="1">
      <alignment horizontal="left"/>
    </xf>
    <xf numFmtId="0" fontId="0" fillId="0" borderId="9" xfId="0" applyBorder="1" applyAlignment="1">
      <alignment horizontal="left" vertical="center"/>
    </xf>
    <xf numFmtId="0" fontId="2" fillId="6" borderId="57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2" fillId="6" borderId="58" xfId="0" applyFont="1" applyFill="1" applyBorder="1" applyAlignment="1">
      <alignment horizontal="center" vertical="center" wrapText="1"/>
    </xf>
    <xf numFmtId="16" fontId="11" fillId="49" borderId="9" xfId="0" applyNumberFormat="1" applyFont="1" applyFill="1" applyBorder="1" applyAlignment="1">
      <alignment horizontal="center" vertical="center"/>
    </xf>
    <xf numFmtId="16" fontId="11" fillId="51" borderId="9" xfId="0" applyNumberFormat="1" applyFont="1" applyFill="1" applyBorder="1" applyAlignment="1">
      <alignment horizontal="center" vertical="center"/>
    </xf>
    <xf numFmtId="16" fontId="11" fillId="52" borderId="9" xfId="0" applyNumberFormat="1" applyFont="1" applyFill="1" applyBorder="1" applyAlignment="1">
      <alignment horizontal="center" vertical="center"/>
    </xf>
    <xf numFmtId="16" fontId="11" fillId="53" borderId="9" xfId="0" applyNumberFormat="1" applyFont="1" applyFill="1" applyBorder="1" applyAlignment="1">
      <alignment horizontal="center" vertical="center"/>
    </xf>
    <xf numFmtId="0" fontId="0" fillId="5" borderId="9" xfId="0" applyFill="1" applyBorder="1"/>
    <xf numFmtId="0" fontId="0" fillId="5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16" xfId="0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0" fontId="0" fillId="0" borderId="59" xfId="0" applyBorder="1"/>
    <xf numFmtId="0" fontId="0" fillId="0" borderId="9" xfId="0" applyBorder="1" applyAlignment="1">
      <alignment vertical="top" wrapText="1"/>
    </xf>
    <xf numFmtId="16" fontId="11" fillId="5" borderId="9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82" fillId="55" borderId="61" xfId="0" applyFont="1" applyFill="1" applyBorder="1" applyAlignment="1">
      <alignment horizontal="center" vertical="center" wrapText="1"/>
    </xf>
    <xf numFmtId="0" fontId="83" fillId="0" borderId="62" xfId="0" applyFont="1" applyBorder="1" applyAlignment="1">
      <alignment horizontal="center" vertical="center" wrapText="1"/>
    </xf>
    <xf numFmtId="0" fontId="84" fillId="55" borderId="63" xfId="0" applyFont="1" applyFill="1" applyBorder="1" applyAlignment="1">
      <alignment horizontal="center" vertical="center" wrapText="1"/>
    </xf>
    <xf numFmtId="15" fontId="85" fillId="0" borderId="62" xfId="0" applyNumberFormat="1" applyFont="1" applyBorder="1" applyAlignment="1">
      <alignment horizontal="center" vertical="center" wrapText="1"/>
    </xf>
    <xf numFmtId="14" fontId="83" fillId="55" borderId="61" xfId="0" applyNumberFormat="1" applyFont="1" applyFill="1" applyBorder="1" applyAlignment="1">
      <alignment horizontal="center" vertical="center" wrapText="1"/>
    </xf>
    <xf numFmtId="14" fontId="83" fillId="0" borderId="64" xfId="0" applyNumberFormat="1" applyFont="1" applyBorder="1" applyAlignment="1">
      <alignment horizontal="left" vertical="center" wrapText="1"/>
    </xf>
    <xf numFmtId="0" fontId="84" fillId="55" borderId="61" xfId="0" applyFont="1" applyFill="1" applyBorder="1" applyAlignment="1">
      <alignment horizontal="center" vertical="center" wrapText="1"/>
    </xf>
    <xf numFmtId="0" fontId="83" fillId="0" borderId="65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82" fillId="55" borderId="67" xfId="0" applyFont="1" applyFill="1" applyBorder="1" applyAlignment="1">
      <alignment horizontal="center" vertical="center" wrapText="1"/>
    </xf>
    <xf numFmtId="0" fontId="84" fillId="55" borderId="71" xfId="0" applyFont="1" applyFill="1" applyBorder="1" applyAlignment="1">
      <alignment horizontal="center" vertical="center" wrapText="1"/>
    </xf>
    <xf numFmtId="14" fontId="83" fillId="0" borderId="65" xfId="0" applyNumberFormat="1" applyFont="1" applyBorder="1" applyAlignment="1">
      <alignment horizontal="left" vertical="center" wrapText="1"/>
    </xf>
    <xf numFmtId="0" fontId="84" fillId="55" borderId="67" xfId="0" applyFont="1" applyFill="1" applyBorder="1" applyAlignment="1">
      <alignment horizontal="center" vertical="center" wrapText="1"/>
    </xf>
    <xf numFmtId="0" fontId="81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82" fillId="55" borderId="9" xfId="0" applyFont="1" applyFill="1" applyBorder="1" applyAlignment="1">
      <alignment horizontal="center" vertical="center" wrapText="1"/>
    </xf>
    <xf numFmtId="15" fontId="82" fillId="55" borderId="9" xfId="0" applyNumberFormat="1" applyFont="1" applyFill="1" applyBorder="1" applyAlignment="1">
      <alignment horizontal="center" vertical="center" wrapText="1"/>
    </xf>
    <xf numFmtId="0" fontId="87" fillId="0" borderId="9" xfId="0" applyFont="1" applyBorder="1" applyAlignment="1">
      <alignment horizontal="left" vertical="center" wrapText="1"/>
    </xf>
    <xf numFmtId="0" fontId="61" fillId="0" borderId="9" xfId="0" applyFont="1" applyBorder="1" applyAlignment="1">
      <alignment horizontal="center" vertical="center" wrapText="1"/>
    </xf>
    <xf numFmtId="168" fontId="61" fillId="0" borderId="9" xfId="0" applyNumberFormat="1" applyFont="1" applyBorder="1" applyAlignment="1">
      <alignment horizontal="center" vertical="center" wrapText="1"/>
    </xf>
    <xf numFmtId="168" fontId="88" fillId="0" borderId="9" xfId="0" applyNumberFormat="1" applyFont="1" applyBorder="1" applyAlignment="1">
      <alignment horizontal="center" vertical="center" wrapText="1"/>
    </xf>
    <xf numFmtId="0" fontId="74" fillId="5" borderId="9" xfId="0" applyFont="1" applyFill="1" applyBorder="1" applyAlignment="1">
      <alignment horizontal="center" vertical="center" wrapText="1"/>
    </xf>
    <xf numFmtId="168" fontId="74" fillId="56" borderId="9" xfId="0" applyNumberFormat="1" applyFont="1" applyFill="1" applyBorder="1" applyAlignment="1">
      <alignment horizontal="center" vertical="center" wrapText="1"/>
    </xf>
    <xf numFmtId="0" fontId="74" fillId="0" borderId="9" xfId="0" applyFont="1" applyBorder="1" applyAlignment="1">
      <alignment horizontal="center" vertical="center" wrapText="1"/>
    </xf>
    <xf numFmtId="0" fontId="87" fillId="0" borderId="9" xfId="0" applyFont="1" applyBorder="1" applyAlignment="1">
      <alignment horizontal="left" wrapText="1"/>
    </xf>
    <xf numFmtId="168" fontId="61" fillId="0" borderId="9" xfId="0" applyNumberFormat="1" applyFont="1" applyBorder="1" applyAlignment="1">
      <alignment horizontal="center" wrapText="1"/>
    </xf>
    <xf numFmtId="0" fontId="90" fillId="55" borderId="9" xfId="0" applyFont="1" applyFill="1" applyBorder="1" applyAlignment="1">
      <alignment horizontal="center" vertical="center" wrapText="1"/>
    </xf>
    <xf numFmtId="0" fontId="61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center" vertical="center" wrapText="1"/>
    </xf>
    <xf numFmtId="0" fontId="92" fillId="57" borderId="9" xfId="0" applyFont="1" applyFill="1" applyBorder="1" applyAlignment="1">
      <alignment horizontal="center" vertical="center" wrapText="1"/>
    </xf>
    <xf numFmtId="0" fontId="93" fillId="0" borderId="9" xfId="0" applyFont="1" applyBorder="1" applyAlignment="1">
      <alignment horizontal="center" vertical="center" wrapText="1"/>
    </xf>
    <xf numFmtId="0" fontId="91" fillId="58" borderId="9" xfId="0" applyFont="1" applyFill="1" applyBorder="1" applyAlignment="1">
      <alignment horizontal="center" vertical="center" wrapText="1"/>
    </xf>
    <xf numFmtId="0" fontId="84" fillId="0" borderId="9" xfId="0" applyFont="1" applyBorder="1" applyAlignment="1">
      <alignment horizontal="left" vertical="center" wrapText="1"/>
    </xf>
    <xf numFmtId="0" fontId="94" fillId="0" borderId="9" xfId="0" applyFont="1" applyBorder="1" applyAlignment="1">
      <alignment horizontal="center" vertical="center" wrapText="1"/>
    </xf>
    <xf numFmtId="0" fontId="60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95" fillId="0" borderId="9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57" borderId="56" xfId="0" applyFont="1" applyFill="1" applyBorder="1" applyAlignment="1">
      <alignment vertical="center"/>
    </xf>
    <xf numFmtId="0" fontId="9" fillId="57" borderId="58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2" fillId="6" borderId="56" xfId="0" applyFont="1" applyFill="1" applyBorder="1" applyAlignment="1">
      <alignment horizontal="center" vertical="center"/>
    </xf>
    <xf numFmtId="0" fontId="2" fillId="6" borderId="57" xfId="0" applyFont="1" applyFill="1" applyBorder="1" applyAlignment="1">
      <alignment horizontal="center" vertical="center"/>
    </xf>
    <xf numFmtId="0" fontId="2" fillId="6" borderId="22" xfId="224" applyFont="1" applyFill="1" applyBorder="1" applyAlignment="1">
      <alignment horizontal="center" vertical="center" wrapText="1"/>
    </xf>
    <xf numFmtId="0" fontId="2" fillId="6" borderId="75" xfId="224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195" fontId="2" fillId="49" borderId="9" xfId="0" applyNumberFormat="1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center" vertical="center"/>
    </xf>
    <xf numFmtId="44" fontId="2" fillId="49" borderId="9" xfId="5" applyFont="1" applyFill="1" applyBorder="1" applyAlignment="1">
      <alignment horizontal="center" vertical="center"/>
    </xf>
    <xf numFmtId="44" fontId="2" fillId="0" borderId="9" xfId="5" applyFont="1" applyFill="1" applyBorder="1" applyAlignment="1">
      <alignment horizontal="center" vertical="center"/>
    </xf>
    <xf numFmtId="2" fontId="2" fillId="49" borderId="9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9" xfId="0" quotePrefix="1" applyBorder="1" applyAlignment="1">
      <alignment horizontal="center" vertical="center"/>
    </xf>
    <xf numFmtId="16" fontId="0" fillId="0" borderId="9" xfId="0" quotePrefix="1" applyNumberFormat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68" fontId="0" fillId="5" borderId="14" xfId="0" applyNumberFormat="1" applyFill="1" applyBorder="1" applyAlignment="1">
      <alignment horizontal="center" vertical="center"/>
    </xf>
    <xf numFmtId="0" fontId="2" fillId="5" borderId="14" xfId="224" applyFont="1" applyFill="1" applyBorder="1" applyAlignment="1">
      <alignment horizontal="center" vertical="center" wrapText="1"/>
    </xf>
    <xf numFmtId="14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left" vertical="center"/>
    </xf>
    <xf numFmtId="168" fontId="0" fillId="5" borderId="9" xfId="0" applyNumberFormat="1" applyFill="1" applyBorder="1" applyAlignment="1">
      <alignment horizontal="center" vertical="center"/>
    </xf>
    <xf numFmtId="0" fontId="2" fillId="5" borderId="9" xfId="224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 vertical="center"/>
    </xf>
    <xf numFmtId="198" fontId="96" fillId="0" borderId="9" xfId="230" applyNumberFormat="1" applyFont="1" applyBorder="1" applyAlignment="1">
      <alignment horizontal="center" vertical="center" wrapText="1"/>
    </xf>
    <xf numFmtId="0" fontId="0" fillId="50" borderId="9" xfId="0" applyFill="1" applyBorder="1"/>
    <xf numFmtId="0" fontId="2" fillId="0" borderId="9" xfId="0" applyFont="1" applyBorder="1" applyAlignment="1">
      <alignment horizontal="center"/>
    </xf>
    <xf numFmtId="0" fontId="0" fillId="59" borderId="9" xfId="0" applyFill="1" applyBorder="1"/>
    <xf numFmtId="0" fontId="3" fillId="5" borderId="9" xfId="2" applyFill="1" applyBorder="1"/>
    <xf numFmtId="0" fontId="3" fillId="0" borderId="9" xfId="2" applyBorder="1"/>
    <xf numFmtId="0" fontId="3" fillId="52" borderId="9" xfId="2" applyFill="1" applyBorder="1"/>
    <xf numFmtId="0" fontId="3" fillId="5" borderId="9" xfId="2" applyFill="1" applyBorder="1" applyAlignment="1">
      <alignment horizontal="left"/>
    </xf>
    <xf numFmtId="0" fontId="3" fillId="0" borderId="9" xfId="2" applyBorder="1" applyAlignment="1">
      <alignment horizontal="left"/>
    </xf>
    <xf numFmtId="0" fontId="0" fillId="0" borderId="0" xfId="0" applyAlignment="1">
      <alignment horizontal="left"/>
    </xf>
    <xf numFmtId="0" fontId="0" fillId="0" borderId="9" xfId="0" applyBorder="1" applyAlignment="1">
      <alignment horizontal="left"/>
    </xf>
    <xf numFmtId="16" fontId="11" fillId="0" borderId="19" xfId="0" applyNumberFormat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103" fillId="0" borderId="0" xfId="0" applyFont="1" applyAlignment="1">
      <alignment vertical="center"/>
    </xf>
    <xf numFmtId="0" fontId="66" fillId="0" borderId="0" xfId="0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67" fillId="47" borderId="42" xfId="1" applyFont="1" applyFill="1" applyBorder="1" applyAlignment="1">
      <alignment horizontal="left" vertical="center"/>
    </xf>
    <xf numFmtId="0" fontId="67" fillId="47" borderId="42" xfId="0" applyFont="1" applyFill="1" applyBorder="1" applyAlignment="1">
      <alignment vertical="center"/>
    </xf>
    <xf numFmtId="0" fontId="69" fillId="47" borderId="42" xfId="0" applyFont="1" applyFill="1" applyBorder="1" applyAlignment="1">
      <alignment horizontal="left"/>
    </xf>
    <xf numFmtId="0" fontId="68" fillId="47" borderId="42" xfId="0" applyFont="1" applyFill="1" applyBorder="1" applyAlignment="1">
      <alignment vertical="center"/>
    </xf>
    <xf numFmtId="0" fontId="74" fillId="5" borderId="0" xfId="0" applyFont="1" applyFill="1" applyAlignment="1">
      <alignment vertical="center"/>
    </xf>
    <xf numFmtId="0" fontId="74" fillId="5" borderId="8" xfId="0" applyFont="1" applyFill="1" applyBorder="1" applyAlignment="1">
      <alignment vertical="center"/>
    </xf>
    <xf numFmtId="0" fontId="64" fillId="0" borderId="0" xfId="0" applyFont="1" applyAlignment="1">
      <alignment horizontal="center" vertical="center"/>
    </xf>
    <xf numFmtId="0" fontId="98" fillId="0" borderId="0" xfId="0" applyFont="1" applyAlignment="1">
      <alignment horizontal="center" vertical="center"/>
    </xf>
    <xf numFmtId="0" fontId="76" fillId="0" borderId="9" xfId="1" applyFont="1" applyBorder="1" applyAlignment="1">
      <alignment vertical="center"/>
    </xf>
    <xf numFmtId="0" fontId="76" fillId="0" borderId="19" xfId="1" applyFont="1" applyBorder="1" applyAlignment="1">
      <alignment vertical="center"/>
    </xf>
    <xf numFmtId="0" fontId="65" fillId="47" borderId="2" xfId="0" applyFont="1" applyFill="1" applyBorder="1" applyAlignment="1">
      <alignment vertical="center"/>
    </xf>
    <xf numFmtId="0" fontId="71" fillId="47" borderId="9" xfId="0" applyFont="1" applyFill="1" applyBorder="1" applyAlignment="1">
      <alignment vertical="center"/>
    </xf>
    <xf numFmtId="0" fontId="69" fillId="47" borderId="42" xfId="0" applyFont="1" applyFill="1" applyBorder="1" applyAlignment="1">
      <alignment vertical="center"/>
    </xf>
    <xf numFmtId="0" fontId="73" fillId="48" borderId="2" xfId="1" applyFont="1" applyFill="1" applyBorder="1" applyAlignment="1">
      <alignment vertical="center"/>
    </xf>
    <xf numFmtId="0" fontId="73" fillId="48" borderId="6" xfId="1" applyFont="1" applyFill="1" applyBorder="1" applyAlignment="1">
      <alignment vertical="center"/>
    </xf>
    <xf numFmtId="0" fontId="73" fillId="48" borderId="42" xfId="1" applyFont="1" applyFill="1" applyBorder="1" applyAlignment="1">
      <alignment vertical="center"/>
    </xf>
    <xf numFmtId="0" fontId="73" fillId="48" borderId="43" xfId="1" applyFont="1" applyFill="1" applyBorder="1" applyAlignment="1">
      <alignment vertical="center"/>
    </xf>
    <xf numFmtId="0" fontId="76" fillId="0" borderId="14" xfId="1" applyFont="1" applyBorder="1" applyAlignment="1">
      <alignment horizontal="center" vertical="center" wrapText="1"/>
    </xf>
    <xf numFmtId="0" fontId="76" fillId="0" borderId="14" xfId="1" applyFont="1" applyBorder="1" applyAlignment="1">
      <alignment vertical="center"/>
    </xf>
    <xf numFmtId="0" fontId="76" fillId="0" borderId="9" xfId="1" applyFont="1" applyBorder="1" applyAlignment="1">
      <alignment horizontal="center" vertical="center" wrapText="1"/>
    </xf>
    <xf numFmtId="0" fontId="76" fillId="0" borderId="19" xfId="1" applyFont="1" applyBorder="1" applyAlignment="1">
      <alignment horizontal="center" vertical="center" wrapText="1"/>
    </xf>
    <xf numFmtId="0" fontId="70" fillId="0" borderId="42" xfId="0" applyFont="1" applyBorder="1" applyAlignment="1">
      <alignment horizontal="center" vertical="center"/>
    </xf>
    <xf numFmtId="0" fontId="76" fillId="0" borderId="42" xfId="1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2" fontId="78" fillId="0" borderId="0" xfId="0" applyNumberFormat="1" applyFont="1" applyAlignment="1">
      <alignment horizontal="center" vertical="center" wrapText="1"/>
    </xf>
    <xf numFmtId="0" fontId="64" fillId="50" borderId="49" xfId="0" applyFont="1" applyFill="1" applyBorder="1" applyAlignment="1">
      <alignment horizontal="center" vertical="center"/>
    </xf>
    <xf numFmtId="0" fontId="64" fillId="0" borderId="50" xfId="0" applyFont="1" applyBorder="1" applyAlignment="1">
      <alignment horizontal="center" vertical="center"/>
    </xf>
    <xf numFmtId="1" fontId="64" fillId="0" borderId="50" xfId="0" applyNumberFormat="1" applyFont="1" applyBorder="1" applyAlignment="1">
      <alignment horizontal="center" vertical="center"/>
    </xf>
    <xf numFmtId="1" fontId="64" fillId="50" borderId="50" xfId="0" applyNumberFormat="1" applyFont="1" applyFill="1" applyBorder="1" applyAlignment="1">
      <alignment horizontal="center" vertical="center"/>
    </xf>
    <xf numFmtId="0" fontId="64" fillId="0" borderId="51" xfId="0" applyFont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49" borderId="5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64" fillId="49" borderId="50" xfId="0" applyFont="1" applyFill="1" applyBorder="1" applyAlignment="1">
      <alignment horizontal="center" vertical="center"/>
    </xf>
    <xf numFmtId="0" fontId="64" fillId="59" borderId="49" xfId="0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0" fontId="64" fillId="59" borderId="51" xfId="0" applyFont="1" applyFill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" fontId="98" fillId="0" borderId="0" xfId="0" applyNumberFormat="1" applyFont="1" applyAlignment="1">
      <alignment horizontal="center" vertical="center"/>
    </xf>
    <xf numFmtId="1" fontId="66" fillId="0" borderId="0" xfId="0" applyNumberFormat="1" applyFont="1" applyAlignment="1">
      <alignment horizontal="center" vertical="center"/>
    </xf>
    <xf numFmtId="0" fontId="64" fillId="5" borderId="0" xfId="0" applyFont="1" applyFill="1" applyAlignment="1">
      <alignment horizontal="center" vertical="center"/>
    </xf>
    <xf numFmtId="1" fontId="64" fillId="49" borderId="50" xfId="0" applyNumberFormat="1" applyFont="1" applyFill="1" applyBorder="1" applyAlignment="1">
      <alignment horizontal="center" vertical="center"/>
    </xf>
    <xf numFmtId="1" fontId="64" fillId="50" borderId="49" xfId="0" applyNumberFormat="1" applyFont="1" applyFill="1" applyBorder="1" applyAlignment="1">
      <alignment horizontal="center" vertical="center"/>
    </xf>
    <xf numFmtId="1" fontId="64" fillId="50" borderId="51" xfId="0" applyNumberFormat="1" applyFont="1" applyFill="1" applyBorder="1" applyAlignment="1">
      <alignment horizontal="center" vertical="center"/>
    </xf>
    <xf numFmtId="0" fontId="78" fillId="0" borderId="9" xfId="1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6" xfId="0" applyBorder="1" applyAlignment="1">
      <alignment horizontal="left" vertical="center" wrapText="1"/>
    </xf>
    <xf numFmtId="0" fontId="64" fillId="5" borderId="7" xfId="0" applyFont="1" applyFill="1" applyBorder="1" applyAlignment="1">
      <alignment horizontal="center" vertical="center"/>
    </xf>
    <xf numFmtId="0" fontId="64" fillId="5" borderId="8" xfId="0" applyFont="1" applyFill="1" applyBorder="1" applyAlignment="1">
      <alignment horizontal="center" vertical="center"/>
    </xf>
    <xf numFmtId="0" fontId="103" fillId="0" borderId="0" xfId="0" applyFont="1"/>
    <xf numFmtId="0" fontId="108" fillId="4" borderId="0" xfId="2" applyFont="1" applyFill="1" applyAlignment="1">
      <alignment vertical="center"/>
    </xf>
    <xf numFmtId="0" fontId="108" fillId="4" borderId="0" xfId="2" applyFont="1" applyFill="1" applyAlignment="1">
      <alignment horizontal="center" vertical="center" wrapText="1"/>
    </xf>
    <xf numFmtId="0" fontId="106" fillId="4" borderId="0" xfId="2" applyFont="1" applyFill="1" applyAlignment="1">
      <alignment horizontal="center" vertical="center" wrapText="1"/>
    </xf>
    <xf numFmtId="4" fontId="108" fillId="4" borderId="0" xfId="2" applyNumberFormat="1" applyFont="1" applyFill="1" applyAlignment="1">
      <alignment horizontal="center" vertical="center" wrapText="1"/>
    </xf>
    <xf numFmtId="0" fontId="97" fillId="4" borderId="9" xfId="2" applyFont="1" applyFill="1" applyBorder="1" applyAlignment="1">
      <alignment horizontal="left" vertical="center" wrapText="1"/>
    </xf>
    <xf numFmtId="168" fontId="97" fillId="0" borderId="9" xfId="229" applyNumberFormat="1" applyFont="1" applyFill="1" applyBorder="1" applyAlignment="1">
      <alignment horizontal="center" vertical="center" wrapText="1"/>
    </xf>
    <xf numFmtId="0" fontId="97" fillId="0" borderId="9" xfId="229" applyNumberFormat="1" applyFont="1" applyFill="1" applyBorder="1" applyAlignment="1">
      <alignment horizontal="center" vertical="center" wrapText="1"/>
    </xf>
    <xf numFmtId="168" fontId="4" fillId="0" borderId="9" xfId="229" applyNumberFormat="1" applyFont="1" applyFill="1" applyBorder="1" applyAlignment="1">
      <alignment horizontal="center" vertical="center" wrapText="1"/>
    </xf>
    <xf numFmtId="167" fontId="108" fillId="4" borderId="0" xfId="2" applyNumberFormat="1" applyFont="1" applyFill="1" applyAlignment="1">
      <alignment horizontal="center" vertical="center" wrapText="1"/>
    </xf>
    <xf numFmtId="0" fontId="97" fillId="5" borderId="9" xfId="2" applyFont="1" applyFill="1" applyBorder="1" applyAlignment="1">
      <alignment horizontal="left" vertical="center" wrapText="1"/>
    </xf>
    <xf numFmtId="168" fontId="97" fillId="5" borderId="9" xfId="229" applyNumberFormat="1" applyFont="1" applyFill="1" applyBorder="1" applyAlignment="1">
      <alignment horizontal="center" vertical="center" wrapText="1"/>
    </xf>
    <xf numFmtId="0" fontId="97" fillId="5" borderId="9" xfId="229" applyNumberFormat="1" applyFont="1" applyFill="1" applyBorder="1" applyAlignment="1">
      <alignment horizontal="center" vertical="center" wrapText="1"/>
    </xf>
    <xf numFmtId="168" fontId="4" fillId="5" borderId="9" xfId="229" applyNumberFormat="1" applyFont="1" applyFill="1" applyBorder="1" applyAlignment="1">
      <alignment horizontal="center" vertical="center" wrapText="1"/>
    </xf>
    <xf numFmtId="167" fontId="108" fillId="5" borderId="0" xfId="2" applyNumberFormat="1" applyFont="1" applyFill="1" applyAlignment="1">
      <alignment horizontal="center" vertical="center" wrapText="1"/>
    </xf>
    <xf numFmtId="0" fontId="108" fillId="5" borderId="0" xfId="2" applyFont="1" applyFill="1" applyAlignment="1">
      <alignment horizontal="center" vertical="center" wrapText="1"/>
    </xf>
    <xf numFmtId="0" fontId="97" fillId="0" borderId="9" xfId="2" applyFont="1" applyBorder="1" applyAlignment="1">
      <alignment horizontal="left" vertical="center" wrapText="1"/>
    </xf>
    <xf numFmtId="1" fontId="4" fillId="0" borderId="9" xfId="229" applyNumberFormat="1" applyFont="1" applyFill="1" applyBorder="1" applyAlignment="1">
      <alignment horizontal="center" vertical="center" wrapText="1"/>
    </xf>
    <xf numFmtId="1" fontId="4" fillId="5" borderId="9" xfId="229" applyNumberFormat="1" applyFont="1" applyFill="1" applyBorder="1" applyAlignment="1">
      <alignment horizontal="center" vertical="center" wrapText="1"/>
    </xf>
    <xf numFmtId="2" fontId="97" fillId="0" borderId="9" xfId="229" applyNumberFormat="1" applyFont="1" applyFill="1" applyBorder="1" applyAlignment="1">
      <alignment horizontal="center" vertical="center" wrapText="1"/>
    </xf>
    <xf numFmtId="168" fontId="108" fillId="4" borderId="0" xfId="2" applyNumberFormat="1" applyFont="1" applyFill="1" applyAlignment="1">
      <alignment horizontal="center" vertical="center" wrapText="1"/>
    </xf>
    <xf numFmtId="169" fontId="108" fillId="4" borderId="0" xfId="2" applyNumberFormat="1" applyFont="1" applyFill="1" applyAlignment="1">
      <alignment horizontal="center" vertical="center" wrapText="1"/>
    </xf>
    <xf numFmtId="43" fontId="108" fillId="4" borderId="0" xfId="2" applyNumberFormat="1" applyFont="1" applyFill="1" applyAlignment="1">
      <alignment horizontal="center" vertical="center" wrapText="1"/>
    </xf>
    <xf numFmtId="0" fontId="108" fillId="4" borderId="0" xfId="2" applyFont="1" applyFill="1" applyAlignment="1">
      <alignment vertical="center" wrapText="1"/>
    </xf>
    <xf numFmtId="43" fontId="108" fillId="4" borderId="0" xfId="2" applyNumberFormat="1" applyFont="1" applyFill="1" applyAlignment="1">
      <alignment vertical="center" wrapText="1"/>
    </xf>
    <xf numFmtId="0" fontId="108" fillId="4" borderId="0" xfId="2" applyFont="1" applyFill="1" applyAlignment="1">
      <alignment horizontal="center" vertical="center"/>
    </xf>
    <xf numFmtId="1" fontId="97" fillId="5" borderId="9" xfId="229" applyNumberFormat="1" applyFont="1" applyFill="1" applyBorder="1" applyAlignment="1">
      <alignment horizontal="center" vertical="center" wrapText="1"/>
    </xf>
    <xf numFmtId="1" fontId="97" fillId="0" borderId="9" xfId="229" applyNumberFormat="1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/>
    </xf>
    <xf numFmtId="0" fontId="106" fillId="4" borderId="9" xfId="2" applyFont="1" applyFill="1" applyBorder="1" applyAlignment="1">
      <alignment horizontal="center" vertical="center" wrapText="1"/>
    </xf>
    <xf numFmtId="0" fontId="109" fillId="0" borderId="9" xfId="0" applyFont="1" applyBorder="1" applyAlignment="1">
      <alignment vertical="center"/>
    </xf>
    <xf numFmtId="0" fontId="4" fillId="8" borderId="9" xfId="2" applyFont="1" applyFill="1" applyBorder="1" applyAlignment="1">
      <alignment horizontal="center" vertical="center" wrapText="1"/>
    </xf>
    <xf numFmtId="0" fontId="97" fillId="4" borderId="9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left" vertical="center" wrapText="1"/>
    </xf>
    <xf numFmtId="0" fontId="4" fillId="4" borderId="9" xfId="2" applyFont="1" applyFill="1" applyBorder="1" applyAlignment="1">
      <alignment horizontal="left" vertical="center" wrapText="1"/>
    </xf>
    <xf numFmtId="0" fontId="97" fillId="5" borderId="9" xfId="2" applyFont="1" applyFill="1" applyBorder="1" applyAlignment="1">
      <alignment horizontal="center" vertical="center" wrapText="1"/>
    </xf>
    <xf numFmtId="0" fontId="9" fillId="4" borderId="9" xfId="2" applyFont="1" applyFill="1" applyBorder="1" applyAlignment="1">
      <alignment horizontal="left" vertical="center" wrapText="1"/>
    </xf>
    <xf numFmtId="49" fontId="4" fillId="4" borderId="9" xfId="2" quotePrefix="1" applyNumberFormat="1" applyFont="1" applyFill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14" fontId="107" fillId="5" borderId="9" xfId="2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vertical="center" wrapText="1"/>
    </xf>
    <xf numFmtId="197" fontId="9" fillId="8" borderId="5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9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0" xfId="0" applyFont="1"/>
    <xf numFmtId="14" fontId="110" fillId="6" borderId="9" xfId="0" applyNumberFormat="1" applyFont="1" applyFill="1" applyBorder="1" applyAlignment="1">
      <alignment vertical="center" wrapText="1"/>
    </xf>
    <xf numFmtId="0" fontId="7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center" vertical="center"/>
    </xf>
    <xf numFmtId="0" fontId="64" fillId="0" borderId="49" xfId="0" applyFont="1" applyBorder="1" applyAlignment="1">
      <alignment vertical="center"/>
    </xf>
    <xf numFmtId="0" fontId="64" fillId="0" borderId="50" xfId="0" applyFont="1" applyBorder="1" applyAlignment="1">
      <alignment vertical="center"/>
    </xf>
    <xf numFmtId="0" fontId="64" fillId="0" borderId="51" xfId="0" applyFont="1" applyBorder="1" applyAlignment="1">
      <alignment vertical="center"/>
    </xf>
    <xf numFmtId="0" fontId="79" fillId="5" borderId="0" xfId="0" applyFont="1" applyFill="1" applyAlignment="1">
      <alignment horizontal="center" vertical="center"/>
    </xf>
    <xf numFmtId="0" fontId="64" fillId="5" borderId="41" xfId="0" applyFont="1" applyFill="1" applyBorder="1" applyAlignment="1">
      <alignment horizontal="center" vertical="center"/>
    </xf>
    <xf numFmtId="0" fontId="64" fillId="5" borderId="42" xfId="0" applyFont="1" applyFill="1" applyBorder="1" applyAlignment="1">
      <alignment horizontal="center" vertical="center"/>
    </xf>
    <xf numFmtId="0" fontId="64" fillId="5" borderId="43" xfId="0" applyFont="1" applyFill="1" applyBorder="1" applyAlignment="1">
      <alignment horizontal="center" vertical="center"/>
    </xf>
    <xf numFmtId="0" fontId="64" fillId="5" borderId="49" xfId="0" applyFont="1" applyFill="1" applyBorder="1" applyAlignment="1">
      <alignment horizontal="center" vertical="center"/>
    </xf>
    <xf numFmtId="2" fontId="78" fillId="5" borderId="0" xfId="0" applyNumberFormat="1" applyFont="1" applyFill="1" applyAlignment="1">
      <alignment horizontal="center" vertical="center" wrapText="1"/>
    </xf>
    <xf numFmtId="0" fontId="64" fillId="5" borderId="50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 wrapText="1"/>
    </xf>
    <xf numFmtId="1" fontId="64" fillId="5" borderId="50" xfId="0" applyNumberFormat="1" applyFont="1" applyFill="1" applyBorder="1" applyAlignment="1">
      <alignment horizontal="center" vertical="center"/>
    </xf>
    <xf numFmtId="0" fontId="64" fillId="5" borderId="51" xfId="0" applyFont="1" applyFill="1" applyBorder="1" applyAlignment="1">
      <alignment horizontal="center" vertical="center"/>
    </xf>
    <xf numFmtId="0" fontId="97" fillId="0" borderId="0" xfId="238" applyFont="1"/>
    <xf numFmtId="0" fontId="97" fillId="0" borderId="0" xfId="238" applyFont="1" applyAlignment="1">
      <alignment horizontal="center" vertical="center"/>
    </xf>
    <xf numFmtId="0" fontId="112" fillId="0" borderId="0" xfId="238" applyFont="1"/>
    <xf numFmtId="0" fontId="112" fillId="0" borderId="0" xfId="238" applyFont="1" applyAlignment="1">
      <alignment vertical="center"/>
    </xf>
    <xf numFmtId="0" fontId="94" fillId="55" borderId="9" xfId="0" applyFont="1" applyFill="1" applyBorder="1" applyAlignment="1">
      <alignment horizontal="center" vertical="center" wrapText="1"/>
    </xf>
    <xf numFmtId="0" fontId="84" fillId="55" borderId="9" xfId="0" applyFont="1" applyFill="1" applyBorder="1" applyAlignment="1">
      <alignment horizontal="center" vertical="center" wrapText="1"/>
    </xf>
    <xf numFmtId="15" fontId="84" fillId="55" borderId="9" xfId="0" applyNumberFormat="1" applyFont="1" applyFill="1" applyBorder="1" applyAlignment="1">
      <alignment horizontal="center" vertical="center" wrapText="1"/>
    </xf>
    <xf numFmtId="168" fontId="74" fillId="0" borderId="9" xfId="0" applyNumberFormat="1" applyFont="1" applyBorder="1" applyAlignment="1">
      <alignment horizontal="center" vertical="center" wrapText="1"/>
    </xf>
    <xf numFmtId="168" fontId="74" fillId="5" borderId="9" xfId="0" applyNumberFormat="1" applyFont="1" applyFill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left" vertical="center" wrapText="1"/>
    </xf>
    <xf numFmtId="0" fontId="83" fillId="0" borderId="9" xfId="0" applyFont="1" applyBorder="1" applyAlignment="1">
      <alignment horizontal="left" vertical="center" wrapText="1"/>
    </xf>
    <xf numFmtId="0" fontId="114" fillId="5" borderId="9" xfId="0" applyFont="1" applyFill="1" applyBorder="1" applyAlignment="1">
      <alignment horizontal="center" vertical="center" wrapText="1"/>
    </xf>
    <xf numFmtId="2" fontId="114" fillId="0" borderId="9" xfId="0" applyNumberFormat="1" applyFont="1" applyBorder="1" applyAlignment="1">
      <alignment horizontal="center" vertical="center" wrapText="1"/>
    </xf>
    <xf numFmtId="0" fontId="113" fillId="0" borderId="0" xfId="0" applyFont="1" applyAlignment="1">
      <alignment horizontal="center" vertical="center"/>
    </xf>
    <xf numFmtId="0" fontId="115" fillId="61" borderId="10" xfId="0" applyFont="1" applyFill="1" applyBorder="1" applyAlignment="1">
      <alignment horizontal="center" vertical="center" wrapText="1"/>
    </xf>
    <xf numFmtId="0" fontId="115" fillId="61" borderId="11" xfId="0" applyFont="1" applyFill="1" applyBorder="1" applyAlignment="1">
      <alignment horizontal="center" vertical="center" wrapText="1"/>
    </xf>
    <xf numFmtId="0" fontId="115" fillId="61" borderId="12" xfId="0" applyFont="1" applyFill="1" applyBorder="1" applyAlignment="1">
      <alignment horizontal="center" vertical="center" wrapText="1"/>
    </xf>
    <xf numFmtId="0" fontId="114" fillId="0" borderId="47" xfId="0" applyFont="1" applyBorder="1" applyAlignment="1">
      <alignment horizontal="center" vertical="center"/>
    </xf>
    <xf numFmtId="0" fontId="114" fillId="0" borderId="48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 wrapText="1"/>
    </xf>
    <xf numFmtId="14" fontId="114" fillId="0" borderId="9" xfId="0" applyNumberFormat="1" applyFont="1" applyBorder="1" applyAlignment="1">
      <alignment horizontal="center" vertical="center"/>
    </xf>
    <xf numFmtId="14" fontId="114" fillId="0" borderId="48" xfId="0" applyNumberFormat="1" applyFont="1" applyBorder="1" applyAlignment="1">
      <alignment horizontal="center" vertical="center"/>
    </xf>
    <xf numFmtId="0" fontId="114" fillId="0" borderId="13" xfId="0" applyFont="1" applyBorder="1" applyAlignment="1">
      <alignment horizontal="center" vertical="center"/>
    </xf>
    <xf numFmtId="0" fontId="114" fillId="0" borderId="9" xfId="0" applyFont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" xfId="0" applyFont="1" applyBorder="1" applyAlignment="1">
      <alignment horizontal="left" vertical="center" wrapText="1"/>
    </xf>
    <xf numFmtId="0" fontId="114" fillId="0" borderId="9" xfId="0" applyFont="1" applyBorder="1" applyAlignment="1">
      <alignment horizontal="left" vertical="center" wrapText="1"/>
    </xf>
    <xf numFmtId="0" fontId="116" fillId="0" borderId="13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/>
    </xf>
    <xf numFmtId="0" fontId="116" fillId="0" borderId="9" xfId="0" applyFont="1" applyBorder="1" applyAlignment="1">
      <alignment horizontal="center" vertical="center" wrapText="1"/>
    </xf>
    <xf numFmtId="0" fontId="116" fillId="5" borderId="9" xfId="0" applyFont="1" applyFill="1" applyBorder="1" applyAlignment="1">
      <alignment horizontal="center" vertical="center" wrapText="1"/>
    </xf>
    <xf numFmtId="0" fontId="116" fillId="0" borderId="9" xfId="0" applyFont="1" applyBorder="1" applyAlignment="1">
      <alignment horizontal="left" vertical="center" wrapText="1"/>
    </xf>
    <xf numFmtId="14" fontId="116" fillId="0" borderId="9" xfId="0" applyNumberFormat="1" applyFon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 wrapText="1"/>
    </xf>
    <xf numFmtId="168" fontId="2" fillId="6" borderId="9" xfId="0" applyNumberFormat="1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left" vertical="center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0" xfId="0" applyFont="1" applyFill="1" applyAlignment="1">
      <alignment horizontal="center" vertical="center" textRotation="90" wrapText="1"/>
    </xf>
    <xf numFmtId="0" fontId="119" fillId="0" borderId="9" xfId="0" applyFont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0" fontId="120" fillId="0" borderId="9" xfId="0" applyFont="1" applyBorder="1" applyAlignment="1">
      <alignment horizontal="center" vertical="center"/>
    </xf>
    <xf numFmtId="0" fontId="114" fillId="62" borderId="13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/>
    </xf>
    <xf numFmtId="0" fontId="114" fillId="62" borderId="9" xfId="0" applyFont="1" applyFill="1" applyBorder="1" applyAlignment="1">
      <alignment horizontal="center" vertical="center" wrapText="1"/>
    </xf>
    <xf numFmtId="0" fontId="114" fillId="62" borderId="9" xfId="0" applyFont="1" applyFill="1" applyBorder="1" applyAlignment="1">
      <alignment horizontal="left" vertical="center" wrapText="1"/>
    </xf>
    <xf numFmtId="14" fontId="114" fillId="62" borderId="9" xfId="0" applyNumberFormat="1" applyFont="1" applyFill="1" applyBorder="1" applyAlignment="1">
      <alignment horizontal="center" vertical="center"/>
    </xf>
    <xf numFmtId="0" fontId="0" fillId="50" borderId="13" xfId="0" applyFill="1" applyBorder="1" applyAlignment="1">
      <alignment horizontal="center"/>
    </xf>
    <xf numFmtId="0" fontId="0" fillId="50" borderId="15" xfId="0" applyFill="1" applyBorder="1"/>
    <xf numFmtId="0" fontId="0" fillId="0" borderId="13" xfId="0" applyBorder="1" applyAlignment="1">
      <alignment horizontal="center"/>
    </xf>
    <xf numFmtId="0" fontId="0" fillId="0" borderId="15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0" fillId="50" borderId="25" xfId="0" applyFill="1" applyBorder="1" applyAlignment="1">
      <alignment horizontal="center"/>
    </xf>
    <xf numFmtId="0" fontId="0" fillId="50" borderId="26" xfId="0" applyFill="1" applyBorder="1"/>
    <xf numFmtId="0" fontId="74" fillId="0" borderId="5" xfId="0" applyFont="1" applyBorder="1" applyAlignment="1">
      <alignment horizontal="center"/>
    </xf>
    <xf numFmtId="0" fontId="74" fillId="0" borderId="75" xfId="0" applyFont="1" applyBorder="1" applyAlignment="1">
      <alignment horizontal="center"/>
    </xf>
    <xf numFmtId="0" fontId="64" fillId="0" borderId="3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2" fillId="50" borderId="26" xfId="0" applyFont="1" applyFill="1" applyBorder="1"/>
    <xf numFmtId="0" fontId="121" fillId="49" borderId="0" xfId="0" applyFont="1" applyFill="1" applyAlignment="1">
      <alignment horizontal="center" vertical="center"/>
    </xf>
    <xf numFmtId="0" fontId="67" fillId="47" borderId="32" xfId="1" applyFont="1" applyFill="1" applyBorder="1" applyAlignment="1">
      <alignment vertical="center"/>
    </xf>
    <xf numFmtId="0" fontId="67" fillId="47" borderId="0" xfId="1" applyFont="1" applyFill="1" applyAlignment="1">
      <alignment vertical="center"/>
    </xf>
    <xf numFmtId="0" fontId="68" fillId="47" borderId="0" xfId="0" applyFont="1" applyFill="1" applyAlignment="1">
      <alignment horizontal="center" vertical="center"/>
    </xf>
    <xf numFmtId="0" fontId="69" fillId="47" borderId="0" xfId="0" applyFont="1" applyFill="1" applyAlignment="1">
      <alignment horizontal="left"/>
    </xf>
    <xf numFmtId="198" fontId="69" fillId="47" borderId="0" xfId="0" applyNumberFormat="1" applyFont="1" applyFill="1" applyAlignment="1">
      <alignment vertical="center"/>
    </xf>
    <xf numFmtId="0" fontId="68" fillId="47" borderId="0" xfId="0" applyFont="1" applyFill="1" applyAlignment="1">
      <alignment vertical="center"/>
    </xf>
    <xf numFmtId="0" fontId="68" fillId="47" borderId="31" xfId="0" applyFont="1" applyFill="1" applyBorder="1" applyAlignment="1">
      <alignment vertical="center"/>
    </xf>
    <xf numFmtId="0" fontId="69" fillId="47" borderId="0" xfId="0" applyFont="1" applyFill="1" applyAlignment="1">
      <alignment vertical="center"/>
    </xf>
    <xf numFmtId="0" fontId="67" fillId="47" borderId="32" xfId="1" applyFont="1" applyFill="1" applyBorder="1" applyAlignment="1">
      <alignment horizontal="left" vertical="center"/>
    </xf>
    <xf numFmtId="0" fontId="67" fillId="47" borderId="0" xfId="1" applyFont="1" applyFill="1" applyAlignment="1">
      <alignment horizontal="left" vertical="center"/>
    </xf>
    <xf numFmtId="0" fontId="67" fillId="47" borderId="0" xfId="0" applyFont="1" applyFill="1" applyAlignment="1">
      <alignment vertical="center"/>
    </xf>
    <xf numFmtId="0" fontId="67" fillId="47" borderId="85" xfId="1" applyFont="1" applyFill="1" applyBorder="1" applyAlignment="1">
      <alignment horizontal="left" vertical="center"/>
    </xf>
    <xf numFmtId="0" fontId="73" fillId="48" borderId="83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3" fillId="48" borderId="31" xfId="1" applyFont="1" applyFill="1" applyBorder="1" applyAlignment="1">
      <alignment horizontal="center" vertical="center"/>
    </xf>
    <xf numFmtId="0" fontId="75" fillId="0" borderId="0" xfId="1" applyFont="1" applyAlignment="1">
      <alignment horizontal="center" vertical="center"/>
    </xf>
    <xf numFmtId="0" fontId="75" fillId="0" borderId="31" xfId="1" applyFont="1" applyBorder="1" applyAlignment="1">
      <alignment horizontal="center" vertical="center"/>
    </xf>
    <xf numFmtId="0" fontId="76" fillId="0" borderId="14" xfId="1" applyFont="1" applyBorder="1" applyAlignment="1">
      <alignment horizontal="center" vertical="center"/>
    </xf>
    <xf numFmtId="0" fontId="76" fillId="0" borderId="0" xfId="1" applyFont="1" applyAlignment="1">
      <alignment horizontal="center" vertical="center"/>
    </xf>
    <xf numFmtId="0" fontId="76" fillId="0" borderId="31" xfId="1" applyFont="1" applyBorder="1" applyAlignment="1">
      <alignment horizontal="center" vertical="center"/>
    </xf>
    <xf numFmtId="0" fontId="76" fillId="0" borderId="9" xfId="1" applyFont="1" applyBorder="1" applyAlignment="1">
      <alignment horizontal="center" vertical="center"/>
    </xf>
    <xf numFmtId="0" fontId="76" fillId="0" borderId="19" xfId="1" applyFont="1" applyBorder="1" applyAlignment="1">
      <alignment horizontal="center" vertical="center"/>
    </xf>
    <xf numFmtId="0" fontId="76" fillId="0" borderId="81" xfId="1" applyFont="1" applyBorder="1" applyAlignment="1">
      <alignment horizontal="center" vertical="center"/>
    </xf>
    <xf numFmtId="0" fontId="76" fillId="0" borderId="32" xfId="1" applyFont="1" applyBorder="1" applyAlignment="1">
      <alignment horizontal="center" vertical="center"/>
    </xf>
    <xf numFmtId="0" fontId="76" fillId="0" borderId="0" xfId="1" applyFont="1" applyAlignment="1">
      <alignment horizontal="left" vertical="center"/>
    </xf>
    <xf numFmtId="0" fontId="76" fillId="0" borderId="0" xfId="1" applyFont="1" applyAlignment="1">
      <alignment horizontal="center" vertical="center" wrapText="1"/>
    </xf>
    <xf numFmtId="168" fontId="76" fillId="0" borderId="0" xfId="0" applyNumberFormat="1" applyFont="1" applyAlignment="1">
      <alignment horizontal="center" vertical="center"/>
    </xf>
    <xf numFmtId="1" fontId="75" fillId="0" borderId="0" xfId="0" applyNumberFormat="1" applyFont="1" applyAlignment="1">
      <alignment horizontal="center" vertical="center"/>
    </xf>
    <xf numFmtId="0" fontId="78" fillId="0" borderId="0" xfId="1" applyFont="1" applyAlignment="1">
      <alignment horizontal="center" vertical="center" wrapText="1"/>
    </xf>
    <xf numFmtId="0" fontId="76" fillId="0" borderId="0" xfId="1" applyFont="1" applyAlignment="1">
      <alignment vertical="center"/>
    </xf>
    <xf numFmtId="0" fontId="64" fillId="5" borderId="32" xfId="0" applyFont="1" applyFill="1" applyBorder="1" applyAlignment="1">
      <alignment horizontal="center" vertical="center"/>
    </xf>
    <xf numFmtId="0" fontId="64" fillId="5" borderId="31" xfId="0" applyFont="1" applyFill="1" applyBorder="1" applyAlignment="1">
      <alignment horizontal="center" vertical="center"/>
    </xf>
    <xf numFmtId="168" fontId="64" fillId="5" borderId="31" xfId="0" applyNumberFormat="1" applyFont="1" applyFill="1" applyBorder="1" applyAlignment="1">
      <alignment horizontal="center" vertical="center"/>
    </xf>
    <xf numFmtId="0" fontId="79" fillId="5" borderId="32" xfId="0" applyFont="1" applyFill="1" applyBorder="1" applyAlignment="1">
      <alignment horizontal="center" vertical="center"/>
    </xf>
    <xf numFmtId="0" fontId="79" fillId="5" borderId="31" xfId="0" applyFon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1" fontId="78" fillId="0" borderId="0" xfId="0" applyNumberFormat="1" applyFont="1" applyAlignment="1">
      <alignment horizontal="center" vertical="center" wrapText="1"/>
    </xf>
    <xf numFmtId="0" fontId="64" fillId="0" borderId="32" xfId="0" applyFont="1" applyBorder="1" applyAlignment="1">
      <alignment horizontal="center" vertical="center"/>
    </xf>
    <xf numFmtId="0" fontId="96" fillId="5" borderId="0" xfId="0" applyFont="1" applyFill="1" applyAlignment="1">
      <alignment horizontal="left" vertical="center"/>
    </xf>
    <xf numFmtId="0" fontId="99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horizontal="center" vertical="center"/>
    </xf>
    <xf numFmtId="0" fontId="96" fillId="5" borderId="0" xfId="0" applyFont="1" applyFill="1" applyAlignment="1">
      <alignment horizontal="right" vertical="center"/>
    </xf>
    <xf numFmtId="0" fontId="64" fillId="5" borderId="89" xfId="0" applyFont="1" applyFill="1" applyBorder="1" applyAlignment="1">
      <alignment horizontal="center" vertical="center"/>
    </xf>
    <xf numFmtId="0" fontId="64" fillId="5" borderId="28" xfId="0" applyFont="1" applyFill="1" applyBorder="1" applyAlignment="1">
      <alignment horizontal="center" vertical="center"/>
    </xf>
    <xf numFmtId="0" fontId="64" fillId="5" borderId="77" xfId="0" applyFont="1" applyFill="1" applyBorder="1" applyAlignment="1">
      <alignment horizontal="center" vertical="center"/>
    </xf>
    <xf numFmtId="0" fontId="64" fillId="5" borderId="78" xfId="0" applyFont="1" applyFill="1" applyBorder="1" applyAlignment="1">
      <alignment horizontal="center" vertical="center"/>
    </xf>
    <xf numFmtId="0" fontId="64" fillId="5" borderId="59" xfId="0" applyFont="1" applyFill="1" applyBorder="1" applyAlignment="1">
      <alignment horizontal="center" vertical="center"/>
    </xf>
    <xf numFmtId="0" fontId="99" fillId="5" borderId="59" xfId="0" applyFont="1" applyFill="1" applyBorder="1" applyAlignment="1">
      <alignment horizontal="center" vertical="center"/>
    </xf>
    <xf numFmtId="0" fontId="64" fillId="5" borderId="80" xfId="0" applyFont="1" applyFill="1" applyBorder="1" applyAlignment="1">
      <alignment horizontal="center" vertical="center"/>
    </xf>
    <xf numFmtId="0" fontId="99" fillId="5" borderId="0" xfId="0" applyFont="1" applyFill="1" applyAlignment="1">
      <alignment horizontal="left" vertical="center"/>
    </xf>
    <xf numFmtId="0" fontId="71" fillId="5" borderId="0" xfId="0" applyFont="1" applyFill="1" applyAlignment="1">
      <alignment horizontal="center" vertical="center"/>
    </xf>
    <xf numFmtId="0" fontId="98" fillId="5" borderId="80" xfId="0" applyFont="1" applyFill="1" applyBorder="1" applyAlignment="1">
      <alignment horizontal="center" vertical="center"/>
    </xf>
    <xf numFmtId="0" fontId="98" fillId="5" borderId="31" xfId="0" applyFont="1" applyFill="1" applyBorder="1" applyAlignment="1">
      <alignment horizontal="center" vertical="center"/>
    </xf>
    <xf numFmtId="1" fontId="78" fillId="5" borderId="0" xfId="0" applyNumberFormat="1" applyFont="1" applyFill="1" applyAlignment="1">
      <alignment horizontal="center" vertical="center"/>
    </xf>
    <xf numFmtId="0" fontId="71" fillId="5" borderId="0" xfId="0" applyFont="1" applyFill="1" applyAlignment="1">
      <alignment horizontal="center"/>
    </xf>
    <xf numFmtId="0" fontId="78" fillId="5" borderId="32" xfId="0" applyFont="1" applyFill="1" applyBorder="1" applyAlignment="1">
      <alignment horizontal="center" vertical="center"/>
    </xf>
    <xf numFmtId="0" fontId="78" fillId="5" borderId="31" xfId="0" applyFont="1" applyFill="1" applyBorder="1" applyAlignment="1">
      <alignment horizontal="center" vertical="center"/>
    </xf>
    <xf numFmtId="0" fontId="102" fillId="5" borderId="0" xfId="0" applyFont="1" applyFill="1" applyAlignment="1">
      <alignment horizontal="center" vertical="center"/>
    </xf>
    <xf numFmtId="14" fontId="64" fillId="5" borderId="0" xfId="0" applyNumberFormat="1" applyFont="1" applyFill="1" applyAlignment="1">
      <alignment horizontal="center" vertical="center"/>
    </xf>
    <xf numFmtId="0" fontId="79" fillId="5" borderId="28" xfId="0" applyFont="1" applyFill="1" applyBorder="1" applyAlignment="1">
      <alignment horizontal="center" vertical="center"/>
    </xf>
    <xf numFmtId="0" fontId="78" fillId="5" borderId="28" xfId="0" applyFont="1" applyFill="1" applyBorder="1" applyAlignment="1">
      <alignment horizontal="center" vertical="center"/>
    </xf>
    <xf numFmtId="0" fontId="78" fillId="5" borderId="9" xfId="0" applyFont="1" applyFill="1" applyBorder="1" applyAlignment="1">
      <alignment horizontal="center" vertical="center"/>
    </xf>
    <xf numFmtId="0" fontId="122" fillId="0" borderId="13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/>
    </xf>
    <xf numFmtId="0" fontId="122" fillId="0" borderId="9" xfId="0" applyFont="1" applyBorder="1" applyAlignment="1">
      <alignment horizontal="center" vertical="center" wrapText="1"/>
    </xf>
    <xf numFmtId="0" fontId="122" fillId="0" borderId="9" xfId="0" applyFont="1" applyBorder="1" applyAlignment="1">
      <alignment horizontal="left" vertical="center" wrapText="1"/>
    </xf>
    <xf numFmtId="14" fontId="122" fillId="0" borderId="9" xfId="0" applyNumberFormat="1" applyFont="1" applyBorder="1" applyAlignment="1">
      <alignment horizontal="center" vertical="center"/>
    </xf>
    <xf numFmtId="0" fontId="122" fillId="5" borderId="9" xfId="0" applyFont="1" applyFill="1" applyBorder="1" applyAlignment="1">
      <alignment horizontal="center" vertical="center" wrapText="1"/>
    </xf>
    <xf numFmtId="0" fontId="62" fillId="0" borderId="9" xfId="0" applyFont="1" applyBorder="1" applyAlignment="1">
      <alignment horizontal="left" wrapText="1"/>
    </xf>
    <xf numFmtId="0" fontId="62" fillId="62" borderId="9" xfId="0" applyFont="1" applyFill="1" applyBorder="1" applyAlignment="1">
      <alignment horizontal="left" wrapText="1"/>
    </xf>
    <xf numFmtId="0" fontId="62" fillId="0" borderId="9" xfId="0" applyFont="1" applyBorder="1" applyAlignment="1">
      <alignment horizontal="left" vertical="center" wrapText="1"/>
    </xf>
    <xf numFmtId="0" fontId="117" fillId="0" borderId="9" xfId="0" applyFont="1" applyBorder="1" applyAlignment="1">
      <alignment horizontal="left" wrapText="1"/>
    </xf>
    <xf numFmtId="0" fontId="97" fillId="0" borderId="0" xfId="238" applyFont="1" applyAlignment="1">
      <alignment wrapText="1"/>
    </xf>
    <xf numFmtId="0" fontId="15" fillId="46" borderId="9" xfId="0" applyFont="1" applyFill="1" applyBorder="1" applyAlignment="1">
      <alignment horizontal="center" vertical="center" wrapText="1"/>
    </xf>
    <xf numFmtId="0" fontId="123" fillId="62" borderId="9" xfId="0" applyFont="1" applyFill="1" applyBorder="1" applyAlignment="1">
      <alignment vertical="center"/>
    </xf>
    <xf numFmtId="168" fontId="124" fillId="62" borderId="9" xfId="0" applyNumberFormat="1" applyFont="1" applyFill="1" applyBorder="1" applyAlignment="1">
      <alignment horizontal="center" vertical="center"/>
    </xf>
    <xf numFmtId="168" fontId="123" fillId="62" borderId="9" xfId="0" applyNumberFormat="1" applyFont="1" applyFill="1" applyBorder="1" applyAlignment="1">
      <alignment horizontal="center" vertical="center"/>
    </xf>
    <xf numFmtId="168" fontId="7" fillId="0" borderId="0" xfId="0" applyNumberFormat="1" applyFont="1"/>
    <xf numFmtId="0" fontId="124" fillId="62" borderId="9" xfId="0" applyFont="1" applyFill="1" applyBorder="1" applyAlignment="1">
      <alignment vertical="center"/>
    </xf>
    <xf numFmtId="0" fontId="123" fillId="0" borderId="9" xfId="0" applyFont="1" applyBorder="1" applyAlignment="1">
      <alignment vertical="center"/>
    </xf>
    <xf numFmtId="168" fontId="124" fillId="0" borderId="9" xfId="0" applyNumberFormat="1" applyFont="1" applyBorder="1" applyAlignment="1">
      <alignment horizontal="center" vertical="center"/>
    </xf>
    <xf numFmtId="168" fontId="63" fillId="49" borderId="9" xfId="0" applyNumberFormat="1" applyFont="1" applyFill="1" applyBorder="1" applyAlignment="1">
      <alignment horizontal="center" vertical="center"/>
    </xf>
    <xf numFmtId="0" fontId="123" fillId="0" borderId="0" xfId="0" applyFont="1"/>
    <xf numFmtId="0" fontId="63" fillId="7" borderId="9" xfId="0" applyFont="1" applyFill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123" fillId="0" borderId="9" xfId="0" applyFont="1" applyBorder="1" applyAlignment="1">
      <alignment horizontal="center" vertical="center"/>
    </xf>
    <xf numFmtId="0" fontId="123" fillId="0" borderId="9" xfId="0" applyFont="1" applyBorder="1" applyAlignment="1">
      <alignment horizontal="left" vertical="center"/>
    </xf>
    <xf numFmtId="168" fontId="123" fillId="0" borderId="9" xfId="0" applyNumberFormat="1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168" fontId="123" fillId="0" borderId="0" xfId="0" applyNumberFormat="1" applyFont="1" applyAlignment="1">
      <alignment horizontal="center" vertical="center"/>
    </xf>
    <xf numFmtId="195" fontId="123" fillId="0" borderId="0" xfId="0" applyNumberFormat="1" applyFont="1" applyAlignment="1">
      <alignment horizontal="center" vertical="center"/>
    </xf>
    <xf numFmtId="0" fontId="123" fillId="5" borderId="0" xfId="0" applyFont="1" applyFill="1"/>
    <xf numFmtId="0" fontId="9" fillId="0" borderId="1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 wrapText="1"/>
    </xf>
    <xf numFmtId="0" fontId="7" fillId="62" borderId="9" xfId="0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center" vertical="center" wrapText="1"/>
    </xf>
    <xf numFmtId="0" fontId="7" fillId="49" borderId="9" xfId="0" applyFont="1" applyFill="1" applyBorder="1" applyAlignment="1">
      <alignment horizontal="center" vertical="center"/>
    </xf>
    <xf numFmtId="14" fontId="7" fillId="49" borderId="9" xfId="0" applyNumberFormat="1" applyFont="1" applyFill="1" applyBorder="1" applyAlignment="1">
      <alignment horizontal="center" vertical="center"/>
    </xf>
    <xf numFmtId="0" fontId="8" fillId="62" borderId="9" xfId="0" applyFont="1" applyFill="1" applyBorder="1" applyAlignment="1">
      <alignment horizontal="center" vertical="center" wrapText="1"/>
    </xf>
    <xf numFmtId="0" fontId="8" fillId="62" borderId="9" xfId="0" applyFont="1" applyFill="1" applyBorder="1" applyAlignment="1">
      <alignment horizontal="center" vertical="center"/>
    </xf>
    <xf numFmtId="14" fontId="8" fillId="62" borderId="9" xfId="0" applyNumberFormat="1" applyFont="1" applyFill="1" applyBorder="1" applyAlignment="1">
      <alignment horizontal="center" vertical="center"/>
    </xf>
    <xf numFmtId="0" fontId="111" fillId="0" borderId="9" xfId="0" applyFont="1" applyBorder="1" applyAlignment="1">
      <alignment horizontal="center" vertical="center" wrapText="1"/>
    </xf>
    <xf numFmtId="0" fontId="111" fillId="0" borderId="9" xfId="0" applyFont="1" applyBorder="1" applyAlignment="1">
      <alignment horizontal="center" vertical="center"/>
    </xf>
    <xf numFmtId="14" fontId="111" fillId="0" borderId="9" xfId="0" applyNumberFormat="1" applyFont="1" applyBorder="1" applyAlignment="1">
      <alignment horizontal="center" vertical="center"/>
    </xf>
    <xf numFmtId="0" fontId="7" fillId="49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20" fillId="62" borderId="9" xfId="0" applyFont="1" applyFill="1" applyBorder="1" applyAlignment="1">
      <alignment horizontal="center" vertical="center"/>
    </xf>
    <xf numFmtId="0" fontId="7" fillId="49" borderId="9" xfId="0" applyFont="1" applyFill="1" applyBorder="1" applyAlignment="1">
      <alignment horizontal="left" vertical="center" wrapText="1"/>
    </xf>
    <xf numFmtId="0" fontId="112" fillId="62" borderId="9" xfId="238" applyFont="1" applyFill="1" applyBorder="1" applyAlignment="1">
      <alignment horizontal="left" vertical="center"/>
    </xf>
    <xf numFmtId="0" fontId="7" fillId="62" borderId="9" xfId="0" applyFont="1" applyFill="1" applyBorder="1" applyAlignment="1">
      <alignment vertical="center"/>
    </xf>
    <xf numFmtId="0" fontId="111" fillId="49" borderId="9" xfId="0" applyFont="1" applyFill="1" applyBorder="1" applyAlignment="1">
      <alignment vertical="center"/>
    </xf>
    <xf numFmtId="0" fontId="8" fillId="62" borderId="9" xfId="238" applyFont="1" applyFill="1" applyBorder="1" applyAlignment="1">
      <alignment horizontal="left" vertical="center"/>
    </xf>
    <xf numFmtId="0" fontId="8" fillId="62" borderId="9" xfId="0" applyFont="1" applyFill="1" applyBorder="1" applyAlignment="1">
      <alignment vertical="center"/>
    </xf>
    <xf numFmtId="0" fontId="111" fillId="0" borderId="9" xfId="0" applyFont="1" applyBorder="1" applyAlignment="1">
      <alignment horizontal="left" vertical="center" wrapText="1"/>
    </xf>
    <xf numFmtId="0" fontId="111" fillId="0" borderId="9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7" fillId="62" borderId="9" xfId="0" applyFont="1" applyFill="1" applyBorder="1" applyAlignment="1">
      <alignment horizontal="left" vertical="center"/>
    </xf>
    <xf numFmtId="0" fontId="123" fillId="0" borderId="0" xfId="0" applyFont="1" applyAlignment="1">
      <alignment vertical="center"/>
    </xf>
    <xf numFmtId="0" fontId="63" fillId="6" borderId="9" xfId="0" applyFont="1" applyFill="1" applyBorder="1" applyAlignment="1">
      <alignment horizontal="center" vertical="center" wrapText="1"/>
    </xf>
    <xf numFmtId="168" fontId="63" fillId="6" borderId="9" xfId="0" applyNumberFormat="1" applyFont="1" applyFill="1" applyBorder="1" applyAlignment="1">
      <alignment horizontal="center" vertical="center" wrapText="1"/>
    </xf>
    <xf numFmtId="0" fontId="123" fillId="5" borderId="0" xfId="0" applyFont="1" applyFill="1" applyAlignment="1">
      <alignment vertical="center"/>
    </xf>
    <xf numFmtId="0" fontId="123" fillId="0" borderId="0" xfId="0" applyFont="1" applyAlignment="1">
      <alignment horizontal="center" vertical="center" wrapText="1"/>
    </xf>
    <xf numFmtId="16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/>
    </xf>
    <xf numFmtId="2" fontId="124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center" vertical="center" wrapText="1"/>
    </xf>
    <xf numFmtId="0" fontId="123" fillId="5" borderId="0" xfId="0" applyFont="1" applyFill="1" applyAlignment="1">
      <alignment horizontal="left" vertical="center"/>
    </xf>
    <xf numFmtId="15" fontId="123" fillId="0" borderId="0" xfId="0" applyNumberFormat="1" applyFont="1" applyAlignment="1">
      <alignment horizontal="center" vertical="center" wrapText="1"/>
    </xf>
    <xf numFmtId="0" fontId="63" fillId="0" borderId="0" xfId="0" applyFont="1" applyAlignment="1">
      <alignment vertical="center"/>
    </xf>
    <xf numFmtId="0" fontId="127" fillId="5" borderId="0" xfId="0" applyFont="1" applyFill="1" applyAlignment="1">
      <alignment horizontal="left" vertical="center" wrapText="1"/>
    </xf>
    <xf numFmtId="15" fontId="123" fillId="5" borderId="0" xfId="0" applyNumberFormat="1" applyFont="1" applyFill="1" applyAlignment="1">
      <alignment horizontal="center" vertical="center" wrapText="1"/>
    </xf>
    <xf numFmtId="14" fontId="127" fillId="5" borderId="0" xfId="0" applyNumberFormat="1" applyFont="1" applyFill="1" applyAlignment="1">
      <alignment horizontal="center" vertical="center"/>
    </xf>
    <xf numFmtId="0" fontId="123" fillId="5" borderId="0" xfId="0" applyFont="1" applyFill="1" applyAlignment="1">
      <alignment horizontal="left" vertical="center" wrapText="1"/>
    </xf>
    <xf numFmtId="16" fontId="127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center" vertical="center"/>
    </xf>
    <xf numFmtId="14" fontId="127" fillId="0" borderId="0" xfId="0" applyNumberFormat="1" applyFont="1" applyAlignment="1">
      <alignment horizontal="center" vertical="center"/>
    </xf>
    <xf numFmtId="15" fontId="127" fillId="5" borderId="0" xfId="0" applyNumberFormat="1" applyFont="1" applyFill="1" applyAlignment="1">
      <alignment horizontal="center" vertical="center" wrapText="1"/>
    </xf>
    <xf numFmtId="16" fontId="127" fillId="60" borderId="0" xfId="0" applyNumberFormat="1" applyFont="1" applyFill="1" applyAlignment="1">
      <alignment horizontal="center" vertical="center"/>
    </xf>
    <xf numFmtId="2" fontId="124" fillId="0" borderId="0" xfId="0" applyNumberFormat="1" applyFont="1" applyAlignment="1">
      <alignment horizontal="center" vertical="center" wrapText="1"/>
    </xf>
    <xf numFmtId="0" fontId="123" fillId="5" borderId="0" xfId="0" applyFont="1" applyFill="1" applyAlignment="1">
      <alignment horizontal="center" vertical="center"/>
    </xf>
    <xf numFmtId="14" fontId="125" fillId="6" borderId="9" xfId="0" applyNumberFormat="1" applyFont="1" applyFill="1" applyBorder="1" applyAlignment="1">
      <alignment horizontal="center" vertical="center" wrapText="1"/>
    </xf>
    <xf numFmtId="14" fontId="123" fillId="0" borderId="0" xfId="0" applyNumberFormat="1" applyFont="1" applyAlignment="1">
      <alignment horizontal="center" vertical="center"/>
    </xf>
    <xf numFmtId="15" fontId="123" fillId="0" borderId="0" xfId="0" applyNumberFormat="1" applyFont="1" applyAlignment="1">
      <alignment horizontal="center" vertical="center"/>
    </xf>
    <xf numFmtId="14" fontId="127" fillId="5" borderId="0" xfId="0" applyNumberFormat="1" applyFont="1" applyFill="1" applyAlignment="1">
      <alignment horizontal="center" vertical="center" wrapText="1"/>
    </xf>
    <xf numFmtId="0" fontId="127" fillId="5" borderId="0" xfId="0" applyFont="1" applyFill="1" applyAlignment="1">
      <alignment horizontal="left" vertical="center"/>
    </xf>
    <xf numFmtId="0" fontId="127" fillId="0" borderId="0" xfId="0" applyFont="1" applyAlignment="1">
      <alignment horizontal="left" vertical="center"/>
    </xf>
    <xf numFmtId="0" fontId="127" fillId="49" borderId="0" xfId="0" applyFont="1" applyFill="1" applyAlignment="1">
      <alignment horizontal="left" vertical="center"/>
    </xf>
    <xf numFmtId="14" fontId="127" fillId="0" borderId="0" xfId="0" applyNumberFormat="1" applyFont="1" applyAlignment="1">
      <alignment horizontal="left" vertical="center"/>
    </xf>
    <xf numFmtId="0" fontId="127" fillId="49" borderId="0" xfId="0" applyFont="1" applyFill="1" applyAlignment="1">
      <alignment horizontal="left" vertical="center" wrapText="1"/>
    </xf>
    <xf numFmtId="0" fontId="127" fillId="0" borderId="0" xfId="0" applyFont="1" applyAlignment="1">
      <alignment horizontal="left" vertical="center" wrapText="1"/>
    </xf>
    <xf numFmtId="0" fontId="128" fillId="5" borderId="0" xfId="0" applyFont="1" applyFill="1" applyAlignment="1">
      <alignment horizontal="left" vertical="center" wrapText="1"/>
    </xf>
    <xf numFmtId="0" fontId="127" fillId="51" borderId="0" xfId="0" applyFont="1" applyFill="1" applyAlignment="1">
      <alignment horizontal="left" vertical="center" wrapText="1"/>
    </xf>
    <xf numFmtId="15" fontId="127" fillId="5" borderId="0" xfId="0" applyNumberFormat="1" applyFont="1" applyFill="1" applyAlignment="1">
      <alignment horizontal="left" vertical="center" wrapText="1"/>
    </xf>
    <xf numFmtId="0" fontId="123" fillId="0" borderId="0" xfId="0" applyFont="1" applyAlignment="1">
      <alignment horizontal="left" vertical="center" wrapText="1"/>
    </xf>
    <xf numFmtId="198" fontId="124" fillId="5" borderId="0" xfId="230" applyNumberFormat="1" applyFont="1" applyFill="1" applyAlignment="1">
      <alignment horizontal="center" vertical="center" wrapText="1"/>
    </xf>
    <xf numFmtId="198" fontId="124" fillId="0" borderId="0" xfId="230" applyNumberFormat="1" applyFont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/>
    </xf>
    <xf numFmtId="168" fontId="123" fillId="3" borderId="9" xfId="0" applyNumberFormat="1" applyFont="1" applyFill="1" applyBorder="1" applyAlignment="1">
      <alignment horizontal="center" vertical="center" wrapText="1"/>
    </xf>
    <xf numFmtId="14" fontId="123" fillId="3" borderId="9" xfId="0" applyNumberFormat="1" applyFont="1" applyFill="1" applyBorder="1" applyAlignment="1">
      <alignment horizontal="center" vertical="center"/>
    </xf>
    <xf numFmtId="0" fontId="123" fillId="3" borderId="9" xfId="0" applyFont="1" applyFill="1" applyBorder="1" applyAlignment="1">
      <alignment horizontal="left" vertical="center" wrapText="1"/>
    </xf>
    <xf numFmtId="15" fontId="123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left" vertical="center"/>
    </xf>
    <xf numFmtId="0" fontId="127" fillId="3" borderId="9" xfId="0" applyFont="1" applyFill="1" applyBorder="1" applyAlignment="1">
      <alignment horizontal="left" vertical="center" wrapText="1"/>
    </xf>
    <xf numFmtId="0" fontId="127" fillId="3" borderId="9" xfId="0" applyFont="1" applyFill="1" applyBorder="1" applyAlignment="1">
      <alignment horizontal="left" vertical="center"/>
    </xf>
    <xf numFmtId="2" fontId="123" fillId="3" borderId="9" xfId="0" applyNumberFormat="1" applyFont="1" applyFill="1" applyBorder="1" applyAlignment="1">
      <alignment horizontal="center" vertical="center" wrapText="1"/>
    </xf>
    <xf numFmtId="2" fontId="124" fillId="3" borderId="9" xfId="0" applyNumberFormat="1" applyFont="1" applyFill="1" applyBorder="1" applyAlignment="1">
      <alignment horizontal="center" vertical="center" wrapText="1"/>
    </xf>
    <xf numFmtId="0" fontId="124" fillId="3" borderId="9" xfId="0" applyFont="1" applyFill="1" applyBorder="1" applyAlignment="1">
      <alignment horizontal="left" vertical="center" wrapText="1"/>
    </xf>
    <xf numFmtId="196" fontId="128" fillId="3" borderId="9" xfId="0" applyNumberFormat="1" applyFont="1" applyFill="1" applyBorder="1" applyAlignment="1">
      <alignment horizontal="center" vertical="center" wrapText="1"/>
    </xf>
    <xf numFmtId="0" fontId="123" fillId="3" borderId="9" xfId="0" applyFont="1" applyFill="1" applyBorder="1" applyAlignment="1">
      <alignment horizontal="center" vertical="center" wrapText="1"/>
    </xf>
    <xf numFmtId="16" fontId="127" fillId="3" borderId="9" xfId="0" applyNumberFormat="1" applyFont="1" applyFill="1" applyBorder="1" applyAlignment="1">
      <alignment horizontal="center" vertical="center"/>
    </xf>
    <xf numFmtId="0" fontId="127" fillId="3" borderId="9" xfId="0" applyFont="1" applyFill="1" applyBorder="1" applyAlignment="1">
      <alignment horizontal="center" vertical="center"/>
    </xf>
    <xf numFmtId="15" fontId="123" fillId="3" borderId="9" xfId="0" applyNumberFormat="1" applyFont="1" applyFill="1" applyBorder="1" applyAlignment="1">
      <alignment horizontal="left" vertical="center"/>
    </xf>
    <xf numFmtId="15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horizontal="center" vertical="center"/>
    </xf>
    <xf numFmtId="168" fontId="124" fillId="3" borderId="9" xfId="0" applyNumberFormat="1" applyFont="1" applyFill="1" applyBorder="1" applyAlignment="1">
      <alignment horizontal="center" vertical="center" wrapText="1"/>
    </xf>
    <xf numFmtId="0" fontId="124" fillId="0" borderId="0" xfId="0" applyFont="1" applyAlignment="1">
      <alignment vertical="center"/>
    </xf>
    <xf numFmtId="0" fontId="124" fillId="3" borderId="9" xfId="0" applyFont="1" applyFill="1" applyBorder="1" applyAlignment="1">
      <alignment horizontal="center" vertical="center"/>
    </xf>
    <xf numFmtId="14" fontId="124" fillId="3" borderId="9" xfId="0" applyNumberFormat="1" applyFont="1" applyFill="1" applyBorder="1" applyAlignment="1">
      <alignment horizontal="center" vertical="center"/>
    </xf>
    <xf numFmtId="0" fontId="124" fillId="3" borderId="9" xfId="0" applyFont="1" applyFill="1" applyBorder="1" applyAlignment="1">
      <alignment horizontal="left" vertical="center"/>
    </xf>
    <xf numFmtId="14" fontId="128" fillId="3" borderId="9" xfId="0" applyNumberFormat="1" applyFont="1" applyFill="1" applyBorder="1" applyAlignment="1">
      <alignment horizontal="center" vertical="center"/>
    </xf>
    <xf numFmtId="0" fontId="128" fillId="3" borderId="9" xfId="0" applyFont="1" applyFill="1" applyBorder="1" applyAlignment="1">
      <alignment horizontal="left" vertical="center" wrapText="1"/>
    </xf>
    <xf numFmtId="0" fontId="128" fillId="3" borderId="9" xfId="0" applyFont="1" applyFill="1" applyBorder="1" applyAlignment="1">
      <alignment horizontal="center" vertical="center"/>
    </xf>
    <xf numFmtId="15" fontId="128" fillId="3" borderId="9" xfId="0" applyNumberFormat="1" applyFont="1" applyFill="1" applyBorder="1" applyAlignment="1">
      <alignment horizontal="center" vertical="center" wrapText="1"/>
    </xf>
    <xf numFmtId="0" fontId="128" fillId="3" borderId="9" xfId="0" applyFont="1" applyFill="1" applyBorder="1" applyAlignment="1">
      <alignment horizontal="left" vertical="center"/>
    </xf>
    <xf numFmtId="14" fontId="9" fillId="3" borderId="9" xfId="0" applyNumberFormat="1" applyFont="1" applyFill="1" applyBorder="1" applyAlignment="1">
      <alignment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15" fontId="9" fillId="6" borderId="9" xfId="0" applyNumberFormat="1" applyFont="1" applyFill="1" applyBorder="1" applyAlignment="1">
      <alignment horizontal="center" vertical="center" wrapText="1"/>
    </xf>
    <xf numFmtId="0" fontId="9" fillId="6" borderId="30" xfId="0" applyFont="1" applyFill="1" applyBorder="1" applyAlignment="1">
      <alignment vertical="center" wrapText="1"/>
    </xf>
    <xf numFmtId="0" fontId="9" fillId="6" borderId="30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 vertical="center"/>
    </xf>
    <xf numFmtId="168" fontId="7" fillId="3" borderId="9" xfId="0" applyNumberFormat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/>
    </xf>
    <xf numFmtId="0" fontId="7" fillId="3" borderId="9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168" fontId="7" fillId="3" borderId="90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vertical="center" wrapText="1"/>
    </xf>
    <xf numFmtId="1" fontId="7" fillId="3" borderId="9" xfId="0" applyNumberFormat="1" applyFont="1" applyFill="1" applyBorder="1" applyAlignment="1">
      <alignment horizontal="center" vertical="center" wrapText="1"/>
    </xf>
    <xf numFmtId="198" fontId="97" fillId="3" borderId="9" xfId="230" applyNumberFormat="1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vertical="center"/>
    </xf>
    <xf numFmtId="0" fontId="7" fillId="5" borderId="30" xfId="0" applyFont="1" applyFill="1" applyBorder="1" applyAlignment="1">
      <alignment vertical="center"/>
    </xf>
    <xf numFmtId="168" fontId="7" fillId="5" borderId="9" xfId="0" applyNumberFormat="1" applyFont="1" applyFill="1" applyBorder="1" applyAlignment="1">
      <alignment horizontal="center" vertical="center" wrapText="1"/>
    </xf>
    <xf numFmtId="1" fontId="7" fillId="5" borderId="9" xfId="0" applyNumberFormat="1" applyFont="1" applyFill="1" applyBorder="1" applyAlignment="1">
      <alignment horizontal="center" vertical="center" wrapText="1"/>
    </xf>
    <xf numFmtId="198" fontId="97" fillId="5" borderId="9" xfId="230" applyNumberFormat="1" applyFont="1" applyFill="1" applyBorder="1" applyAlignment="1">
      <alignment horizontal="center" vertical="center" wrapText="1"/>
    </xf>
    <xf numFmtId="16" fontId="129" fillId="5" borderId="9" xfId="0" applyNumberFormat="1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168" fontId="7" fillId="5" borderId="9" xfId="0" applyNumberFormat="1" applyFont="1" applyFill="1" applyBorder="1" applyAlignment="1">
      <alignment vertical="center"/>
    </xf>
    <xf numFmtId="0" fontId="97" fillId="5" borderId="30" xfId="0" applyFont="1" applyFill="1" applyBorder="1" applyAlignment="1">
      <alignment vertical="center"/>
    </xf>
    <xf numFmtId="16" fontId="129" fillId="5" borderId="9" xfId="0" applyNumberFormat="1" applyFont="1" applyFill="1" applyBorder="1" applyAlignment="1">
      <alignment vertical="center"/>
    </xf>
    <xf numFmtId="0" fontId="7" fillId="5" borderId="14" xfId="0" applyFont="1" applyFill="1" applyBorder="1" applyAlignment="1">
      <alignment horizontal="center" vertical="center" wrapText="1"/>
    </xf>
    <xf numFmtId="168" fontId="7" fillId="5" borderId="0" xfId="0" applyNumberFormat="1" applyFont="1" applyFill="1" applyAlignment="1">
      <alignment horizontal="center" vertical="center"/>
    </xf>
    <xf numFmtId="15" fontId="7" fillId="5" borderId="9" xfId="0" applyNumberFormat="1" applyFont="1" applyFill="1" applyBorder="1" applyAlignment="1">
      <alignment horizontal="center" vertical="center" wrapText="1"/>
    </xf>
    <xf numFmtId="14" fontId="129" fillId="5" borderId="9" xfId="0" applyNumberFormat="1" applyFont="1" applyFill="1" applyBorder="1" applyAlignment="1">
      <alignment horizontal="center" vertical="center"/>
    </xf>
    <xf numFmtId="200" fontId="97" fillId="5" borderId="9" xfId="230" applyNumberFormat="1" applyFont="1" applyFill="1" applyBorder="1" applyAlignment="1">
      <alignment vertical="center"/>
    </xf>
    <xf numFmtId="0" fontId="7" fillId="5" borderId="30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123" fillId="0" borderId="1" xfId="0" applyFont="1" applyBorder="1"/>
    <xf numFmtId="0" fontId="123" fillId="0" borderId="2" xfId="0" applyFont="1" applyBorder="1"/>
    <xf numFmtId="0" fontId="63" fillId="0" borderId="2" xfId="0" applyFont="1" applyBorder="1" applyAlignment="1">
      <alignment horizontal="center"/>
    </xf>
    <xf numFmtId="14" fontId="63" fillId="0" borderId="6" xfId="0" applyNumberFormat="1" applyFont="1" applyBorder="1" applyAlignment="1">
      <alignment horizontal="center"/>
    </xf>
    <xf numFmtId="0" fontId="123" fillId="0" borderId="7" xfId="0" applyFont="1" applyBorder="1"/>
    <xf numFmtId="0" fontId="123" fillId="0" borderId="8" xfId="0" applyFont="1" applyBorder="1"/>
    <xf numFmtId="0" fontId="63" fillId="7" borderId="13" xfId="0" applyFont="1" applyFill="1" applyBorder="1" applyAlignment="1">
      <alignment horizontal="center" vertical="center"/>
    </xf>
    <xf numFmtId="0" fontId="63" fillId="7" borderId="15" xfId="0" applyFont="1" applyFill="1" applyBorder="1" applyAlignment="1">
      <alignment horizontal="center" vertical="center"/>
    </xf>
    <xf numFmtId="0" fontId="123" fillId="0" borderId="13" xfId="0" applyFont="1" applyBorder="1" applyAlignment="1">
      <alignment horizontal="center" vertical="center"/>
    </xf>
    <xf numFmtId="0" fontId="123" fillId="0" borderId="15" xfId="0" applyFont="1" applyBorder="1" applyAlignment="1">
      <alignment horizontal="left" vertical="center"/>
    </xf>
    <xf numFmtId="0" fontId="63" fillId="0" borderId="15" xfId="0" applyFont="1" applyBorder="1" applyAlignment="1">
      <alignment horizontal="left" vertical="center"/>
    </xf>
    <xf numFmtId="0" fontId="123" fillId="0" borderId="18" xfId="0" applyFont="1" applyBorder="1" applyAlignment="1">
      <alignment horizontal="center" vertical="center"/>
    </xf>
    <xf numFmtId="0" fontId="123" fillId="0" borderId="19" xfId="0" applyFont="1" applyBorder="1" applyAlignment="1">
      <alignment horizontal="left" vertical="center" wrapText="1"/>
    </xf>
    <xf numFmtId="0" fontId="123" fillId="0" borderId="19" xfId="0" applyFont="1" applyBorder="1" applyAlignment="1">
      <alignment horizontal="center" vertical="center"/>
    </xf>
    <xf numFmtId="168" fontId="123" fillId="0" borderId="19" xfId="0" applyNumberFormat="1" applyFont="1" applyBorder="1" applyAlignment="1">
      <alignment horizontal="center" vertical="center"/>
    </xf>
    <xf numFmtId="0" fontId="123" fillId="0" borderId="20" xfId="0" applyFont="1" applyBorder="1" applyAlignment="1">
      <alignment horizontal="left" vertical="center" wrapText="1"/>
    </xf>
    <xf numFmtId="16" fontId="129" fillId="5" borderId="9" xfId="0" applyNumberFormat="1" applyFont="1" applyFill="1" applyBorder="1" applyAlignment="1">
      <alignment horizontal="center" vertical="center" wrapText="1"/>
    </xf>
    <xf numFmtId="0" fontId="64" fillId="49" borderId="49" xfId="0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/>
    </xf>
    <xf numFmtId="0" fontId="127" fillId="8" borderId="9" xfId="0" applyFont="1" applyFill="1" applyBorder="1" applyAlignment="1">
      <alignment horizontal="center" vertical="center"/>
    </xf>
    <xf numFmtId="198" fontId="124" fillId="8" borderId="9" xfId="23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 wrapText="1"/>
    </xf>
    <xf numFmtId="15" fontId="123" fillId="8" borderId="9" xfId="0" applyNumberFormat="1" applyFont="1" applyFill="1" applyBorder="1" applyAlignment="1">
      <alignment horizontal="center" vertical="center" wrapText="1"/>
    </xf>
    <xf numFmtId="0" fontId="127" fillId="8" borderId="9" xfId="0" applyFont="1" applyFill="1" applyBorder="1" applyAlignment="1">
      <alignment horizontal="left" vertical="center"/>
    </xf>
    <xf numFmtId="2" fontId="124" fillId="8" borderId="9" xfId="0" applyNumberFormat="1" applyFont="1" applyFill="1" applyBorder="1" applyAlignment="1">
      <alignment horizontal="center" vertical="center" wrapText="1"/>
    </xf>
    <xf numFmtId="16" fontId="127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horizontal="center" vertical="center" wrapText="1"/>
    </xf>
    <xf numFmtId="14" fontId="123" fillId="8" borderId="9" xfId="0" applyNumberFormat="1" applyFont="1" applyFill="1" applyBorder="1" applyAlignment="1">
      <alignment horizontal="center" vertical="center"/>
    </xf>
    <xf numFmtId="0" fontId="123" fillId="8" borderId="9" xfId="0" applyFont="1" applyFill="1" applyBorder="1" applyAlignment="1">
      <alignment vertical="center"/>
    </xf>
    <xf numFmtId="168" fontId="124" fillId="8" borderId="9" xfId="0" applyNumberFormat="1" applyFont="1" applyFill="1" applyBorder="1" applyAlignment="1">
      <alignment horizontal="center" vertical="center"/>
    </xf>
    <xf numFmtId="14" fontId="7" fillId="62" borderId="9" xfId="0" applyNumberFormat="1" applyFont="1" applyFill="1" applyBorder="1" applyAlignment="1">
      <alignment horizontal="left" vertical="center" wrapText="1"/>
    </xf>
    <xf numFmtId="0" fontId="125" fillId="8" borderId="9" xfId="0" applyFont="1" applyFill="1" applyBorder="1" applyAlignment="1">
      <alignment horizontal="left" vertical="center" wrapText="1"/>
    </xf>
    <xf numFmtId="0" fontId="131" fillId="0" borderId="0" xfId="0" applyFont="1" applyAlignment="1">
      <alignment horizontal="left" vertical="center" indent="1"/>
    </xf>
    <xf numFmtId="0" fontId="130" fillId="0" borderId="0" xfId="0" applyFont="1" applyAlignment="1">
      <alignment horizontal="left" vertical="center" indent="1"/>
    </xf>
    <xf numFmtId="0" fontId="70" fillId="0" borderId="9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1" fontId="98" fillId="0" borderId="9" xfId="0" applyNumberFormat="1" applyFont="1" applyBorder="1" applyAlignment="1">
      <alignment horizontal="center" vertical="center"/>
    </xf>
    <xf numFmtId="0" fontId="66" fillId="0" borderId="9" xfId="0" applyFont="1" applyBorder="1" applyAlignment="1">
      <alignment horizontal="center" vertical="center"/>
    </xf>
    <xf numFmtId="0" fontId="132" fillId="5" borderId="0" xfId="0" applyFont="1" applyFill="1" applyAlignment="1">
      <alignment horizontal="center" vertical="center"/>
    </xf>
    <xf numFmtId="0" fontId="133" fillId="5" borderId="0" xfId="0" applyFont="1" applyFill="1" applyAlignment="1">
      <alignment horizontal="center" vertical="center"/>
    </xf>
    <xf numFmtId="14" fontId="7" fillId="3" borderId="9" xfId="0" applyNumberFormat="1" applyFont="1" applyFill="1" applyBorder="1" applyAlignment="1">
      <alignment horizontal="center"/>
    </xf>
    <xf numFmtId="16" fontId="129" fillId="0" borderId="0" xfId="0" applyNumberFormat="1" applyFont="1" applyAlignment="1">
      <alignment horizontal="center" vertical="center" wrapText="1"/>
    </xf>
    <xf numFmtId="198" fontId="97" fillId="0" borderId="0" xfId="23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" fontId="129" fillId="5" borderId="30" xfId="0" applyNumberFormat="1" applyFont="1" applyFill="1" applyBorder="1" applyAlignment="1">
      <alignment vertical="center"/>
    </xf>
    <xf numFmtId="200" fontId="97" fillId="5" borderId="30" xfId="230" applyNumberFormat="1" applyFont="1" applyFill="1" applyBorder="1" applyAlignment="1">
      <alignment vertical="center"/>
    </xf>
    <xf numFmtId="0" fontId="62" fillId="62" borderId="9" xfId="0" applyFont="1" applyFill="1" applyBorder="1" applyAlignment="1">
      <alignment horizontal="left"/>
    </xf>
    <xf numFmtId="0" fontId="111" fillId="0" borderId="0" xfId="238" applyFont="1"/>
    <xf numFmtId="1" fontId="64" fillId="49" borderId="49" xfId="0" applyNumberFormat="1" applyFont="1" applyFill="1" applyBorder="1" applyAlignment="1">
      <alignment horizontal="center" vertical="center"/>
    </xf>
    <xf numFmtId="1" fontId="64" fillId="49" borderId="51" xfId="0" applyNumberFormat="1" applyFont="1" applyFill="1" applyBorder="1" applyAlignment="1">
      <alignment horizontal="center" vertical="center"/>
    </xf>
    <xf numFmtId="0" fontId="59" fillId="0" borderId="9" xfId="0" applyFont="1" applyBorder="1" applyAlignment="1">
      <alignment horizontal="left" vertical="center" wrapText="1"/>
    </xf>
    <xf numFmtId="0" fontId="91" fillId="0" borderId="9" xfId="0" applyFont="1" applyBorder="1" applyAlignment="1">
      <alignment horizontal="left" vertical="center" wrapText="1"/>
    </xf>
    <xf numFmtId="0" fontId="0" fillId="0" borderId="0" xfId="0"/>
    <xf numFmtId="0" fontId="89" fillId="55" borderId="9" xfId="0" applyFont="1" applyFill="1" applyBorder="1" applyAlignment="1">
      <alignment horizontal="center" vertical="center" wrapText="1"/>
    </xf>
    <xf numFmtId="0" fontId="90" fillId="55" borderId="9" xfId="0" applyFont="1" applyFill="1" applyBorder="1" applyAlignment="1">
      <alignment horizontal="center" vertical="center" wrapText="1"/>
    </xf>
    <xf numFmtId="0" fontId="59" fillId="56" borderId="9" xfId="0" applyFont="1" applyFill="1" applyBorder="1" applyAlignment="1">
      <alignment horizontal="left" vertical="center" wrapText="1"/>
    </xf>
    <xf numFmtId="0" fontId="86" fillId="55" borderId="9" xfId="0" applyFont="1" applyFill="1" applyBorder="1" applyAlignment="1">
      <alignment horizontal="center" vertical="center" wrapText="1"/>
    </xf>
    <xf numFmtId="0" fontId="81" fillId="0" borderId="60" xfId="0" applyFont="1" applyBorder="1" applyAlignment="1">
      <alignment vertical="center" wrapText="1"/>
    </xf>
    <xf numFmtId="0" fontId="81" fillId="0" borderId="66" xfId="0" applyFont="1" applyBorder="1" applyAlignment="1">
      <alignment vertical="center" wrapText="1"/>
    </xf>
    <xf numFmtId="0" fontId="81" fillId="0" borderId="72" xfId="0" applyFont="1" applyBorder="1" applyAlignment="1">
      <alignment vertical="center" wrapText="1"/>
    </xf>
    <xf numFmtId="0" fontId="83" fillId="0" borderId="68" xfId="0" quotePrefix="1" applyFont="1" applyBorder="1" applyAlignment="1">
      <alignment horizontal="center" vertical="center" wrapText="1"/>
    </xf>
    <xf numFmtId="0" fontId="83" fillId="0" borderId="69" xfId="0" quotePrefix="1" applyFont="1" applyBorder="1" applyAlignment="1">
      <alignment horizontal="center" vertical="center" wrapText="1"/>
    </xf>
    <xf numFmtId="0" fontId="83" fillId="0" borderId="70" xfId="0" quotePrefix="1" applyFont="1" applyBorder="1" applyAlignment="1">
      <alignment horizontal="center" vertical="center" wrapText="1"/>
    </xf>
    <xf numFmtId="14" fontId="83" fillId="0" borderId="73" xfId="0" applyNumberFormat="1" applyFont="1" applyBorder="1" applyAlignment="1">
      <alignment horizontal="center" vertical="center" wrapText="1"/>
    </xf>
    <xf numFmtId="14" fontId="83" fillId="0" borderId="7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0" fontId="81" fillId="0" borderId="9" xfId="0" applyFont="1" applyBorder="1" applyAlignment="1">
      <alignment vertical="center" wrapText="1"/>
    </xf>
    <xf numFmtId="0" fontId="83" fillId="0" borderId="9" xfId="0" quotePrefix="1" applyFont="1" applyBorder="1" applyAlignment="1">
      <alignment horizontal="center" vertical="center" wrapText="1"/>
    </xf>
    <xf numFmtId="14" fontId="83" fillId="0" borderId="9" xfId="0" applyNumberFormat="1" applyFont="1" applyBorder="1" applyAlignment="1">
      <alignment horizontal="center" vertical="center" wrapText="1"/>
    </xf>
    <xf numFmtId="0" fontId="83" fillId="0" borderId="9" xfId="0" applyFont="1" applyBorder="1" applyAlignment="1">
      <alignment horizontal="center" vertical="center" wrapText="1"/>
    </xf>
    <xf numFmtId="0" fontId="105" fillId="55" borderId="9" xfId="0" applyFont="1" applyFill="1" applyBorder="1" applyAlignment="1">
      <alignment horizontal="center" vertical="center" wrapText="1"/>
    </xf>
    <xf numFmtId="0" fontId="94" fillId="55" borderId="9" xfId="0" applyFont="1" applyFill="1" applyBorder="1" applyAlignment="1">
      <alignment horizontal="center" vertical="center" wrapText="1"/>
    </xf>
    <xf numFmtId="0" fontId="59" fillId="5" borderId="9" xfId="0" applyFont="1" applyFill="1" applyBorder="1" applyAlignment="1">
      <alignment horizontal="left" vertical="center" wrapText="1"/>
    </xf>
    <xf numFmtId="0" fontId="106" fillId="4" borderId="9" xfId="2" applyFont="1" applyFill="1" applyBorder="1" applyAlignment="1">
      <alignment horizontal="center" vertical="center" wrapText="1"/>
    </xf>
    <xf numFmtId="0" fontId="106" fillId="4" borderId="9" xfId="2" applyFont="1" applyFill="1" applyBorder="1" applyAlignment="1">
      <alignment horizontal="left" vertical="center" wrapText="1"/>
    </xf>
    <xf numFmtId="0" fontId="109" fillId="0" borderId="9" xfId="0" applyFont="1" applyBorder="1" applyAlignment="1">
      <alignment horizontal="left" vertical="center"/>
    </xf>
    <xf numFmtId="0" fontId="5" fillId="0" borderId="3" xfId="2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0" fontId="5" fillId="0" borderId="5" xfId="2" applyFont="1" applyBorder="1" applyAlignment="1">
      <alignment horizontal="center" vertical="center"/>
    </xf>
    <xf numFmtId="0" fontId="4" fillId="8" borderId="3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22" xfId="2" applyFont="1" applyBorder="1" applyAlignment="1">
      <alignment horizontal="left" vertical="center" wrapText="1"/>
    </xf>
    <xf numFmtId="0" fontId="4" fillId="0" borderId="4" xfId="2" applyFont="1" applyBorder="1" applyAlignment="1">
      <alignment horizontal="left" vertical="center" wrapText="1"/>
    </xf>
    <xf numFmtId="0" fontId="4" fillId="0" borderId="5" xfId="2" applyFont="1" applyBorder="1" applyAlignment="1">
      <alignment horizontal="left" vertical="center" wrapText="1"/>
    </xf>
    <xf numFmtId="0" fontId="4" fillId="0" borderId="22" xfId="2" applyFont="1" applyBorder="1" applyAlignment="1">
      <alignment horizontal="left" vertical="center"/>
    </xf>
    <xf numFmtId="0" fontId="4" fillId="0" borderId="4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168" fontId="6" fillId="0" borderId="54" xfId="2" applyNumberFormat="1" applyFont="1" applyBorder="1" applyAlignment="1">
      <alignment horizontal="center" vertical="center"/>
    </xf>
    <xf numFmtId="168" fontId="6" fillId="0" borderId="55" xfId="2" applyNumberFormat="1" applyFont="1" applyBorder="1" applyAlignment="1">
      <alignment horizontal="center" vertical="center"/>
    </xf>
    <xf numFmtId="0" fontId="12" fillId="45" borderId="3" xfId="2" applyFont="1" applyFill="1" applyBorder="1" applyAlignment="1">
      <alignment horizontal="left" vertical="center"/>
    </xf>
    <xf numFmtId="0" fontId="12" fillId="45" borderId="4" xfId="2" applyFont="1" applyFill="1" applyBorder="1" applyAlignment="1">
      <alignment horizontal="left" vertical="center"/>
    </xf>
    <xf numFmtId="0" fontId="12" fillId="45" borderId="5" xfId="2" applyFont="1" applyFill="1" applyBorder="1" applyAlignment="1">
      <alignment horizontal="left" vertical="center"/>
    </xf>
    <xf numFmtId="0" fontId="12" fillId="45" borderId="3" xfId="2" applyFont="1" applyFill="1" applyBorder="1" applyAlignment="1">
      <alignment horizontal="left" vertical="center" wrapText="1"/>
    </xf>
    <xf numFmtId="0" fontId="12" fillId="45" borderId="4" xfId="2" applyFont="1" applyFill="1" applyBorder="1" applyAlignment="1">
      <alignment horizontal="left" vertical="center" wrapText="1"/>
    </xf>
    <xf numFmtId="0" fontId="12" fillId="45" borderId="5" xfId="2" applyFont="1" applyFill="1" applyBorder="1" applyAlignment="1">
      <alignment horizontal="left" vertical="center" wrapText="1"/>
    </xf>
    <xf numFmtId="0" fontId="6" fillId="0" borderId="53" xfId="2" applyFont="1" applyBorder="1" applyAlignment="1">
      <alignment horizontal="center" vertical="center" wrapText="1"/>
    </xf>
    <xf numFmtId="0" fontId="6" fillId="0" borderId="46" xfId="2" applyFont="1" applyBorder="1" applyAlignment="1">
      <alignment horizontal="center" vertical="center" wrapText="1"/>
    </xf>
    <xf numFmtId="1" fontId="6" fillId="0" borderId="54" xfId="2" applyNumberFormat="1" applyFont="1" applyBorder="1" applyAlignment="1">
      <alignment horizontal="center" vertical="center"/>
    </xf>
    <xf numFmtId="1" fontId="6" fillId="0" borderId="55" xfId="2" applyNumberFormat="1" applyFont="1" applyBorder="1" applyAlignment="1">
      <alignment horizontal="center" vertical="center"/>
    </xf>
    <xf numFmtId="0" fontId="63" fillId="0" borderId="13" xfId="0" applyFont="1" applyBorder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63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63" fillId="0" borderId="28" xfId="0" applyFont="1" applyBorder="1" applyAlignment="1">
      <alignment horizontal="center" vertical="center"/>
    </xf>
    <xf numFmtId="0" fontId="15" fillId="46" borderId="9" xfId="0" applyFont="1" applyFill="1" applyBorder="1" applyAlignment="1">
      <alignment horizontal="center" vertical="center" wrapText="1"/>
    </xf>
    <xf numFmtId="0" fontId="63" fillId="49" borderId="9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 wrapText="1"/>
    </xf>
    <xf numFmtId="0" fontId="15" fillId="46" borderId="14" xfId="0" applyFont="1" applyFill="1" applyBorder="1" applyAlignment="1">
      <alignment horizontal="center" vertical="center" wrapText="1"/>
    </xf>
    <xf numFmtId="0" fontId="125" fillId="6" borderId="30" xfId="0" applyFont="1" applyFill="1" applyBorder="1" applyAlignment="1">
      <alignment horizontal="center" vertical="center" wrapText="1"/>
    </xf>
    <xf numFmtId="0" fontId="125" fillId="6" borderId="29" xfId="0" applyFont="1" applyFill="1" applyBorder="1" applyAlignment="1">
      <alignment horizontal="center" vertical="center" wrapText="1"/>
    </xf>
    <xf numFmtId="0" fontId="125" fillId="6" borderId="76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/>
    </xf>
    <xf numFmtId="0" fontId="9" fillId="3" borderId="45" xfId="0" applyFont="1" applyFill="1" applyBorder="1" applyAlignment="1">
      <alignment horizontal="center" vertical="center"/>
    </xf>
    <xf numFmtId="0" fontId="65" fillId="47" borderId="78" xfId="0" applyFont="1" applyFill="1" applyBorder="1" applyAlignment="1">
      <alignment horizontal="center" vertical="center"/>
    </xf>
    <xf numFmtId="0" fontId="65" fillId="47" borderId="59" xfId="0" applyFont="1" applyFill="1" applyBorder="1" applyAlignment="1">
      <alignment horizontal="center" vertical="center"/>
    </xf>
    <xf numFmtId="0" fontId="65" fillId="47" borderId="80" xfId="0" applyFont="1" applyFill="1" applyBorder="1" applyAlignment="1">
      <alignment horizontal="center" vertical="center"/>
    </xf>
    <xf numFmtId="0" fontId="79" fillId="0" borderId="12" xfId="1" applyFont="1" applyBorder="1" applyAlignment="1">
      <alignment horizontal="center" vertical="center"/>
    </xf>
    <xf numFmtId="0" fontId="79" fillId="0" borderId="82" xfId="1" applyFont="1" applyBorder="1" applyAlignment="1">
      <alignment horizontal="center" vertical="center"/>
    </xf>
    <xf numFmtId="0" fontId="76" fillId="0" borderId="53" xfId="1" applyFont="1" applyBorder="1" applyAlignment="1">
      <alignment horizontal="center" vertical="center" wrapText="1"/>
    </xf>
    <xf numFmtId="0" fontId="76" fillId="0" borderId="86" xfId="1" applyFont="1" applyBorder="1" applyAlignment="1">
      <alignment horizontal="center" vertical="center" wrapText="1"/>
    </xf>
    <xf numFmtId="0" fontId="72" fillId="48" borderId="84" xfId="1" applyFont="1" applyFill="1" applyBorder="1" applyAlignment="1">
      <alignment horizontal="center" vertical="center"/>
    </xf>
    <xf numFmtId="0" fontId="72" fillId="48" borderId="2" xfId="1" applyFont="1" applyFill="1" applyBorder="1" applyAlignment="1">
      <alignment horizontal="center" vertical="center"/>
    </xf>
    <xf numFmtId="0" fontId="72" fillId="48" borderId="32" xfId="1" applyFont="1" applyFill="1" applyBorder="1" applyAlignment="1">
      <alignment horizontal="center" vertical="center"/>
    </xf>
    <xf numFmtId="0" fontId="72" fillId="48" borderId="0" xfId="1" applyFont="1" applyFill="1" applyAlignment="1">
      <alignment horizontal="center" vertical="center"/>
    </xf>
    <xf numFmtId="0" fontId="75" fillId="0" borderId="11" xfId="1" applyFont="1" applyBorder="1" applyAlignment="1">
      <alignment horizontal="center" vertical="center" wrapText="1"/>
    </xf>
    <xf numFmtId="0" fontId="75" fillId="0" borderId="52" xfId="1" applyFont="1" applyBorder="1" applyAlignment="1">
      <alignment horizontal="center" vertical="center" wrapText="1"/>
    </xf>
    <xf numFmtId="0" fontId="75" fillId="0" borderId="84" xfId="1" applyFont="1" applyBorder="1" applyAlignment="1">
      <alignment horizontal="center" vertical="center" wrapText="1"/>
    </xf>
    <xf numFmtId="0" fontId="75" fillId="0" borderId="2" xfId="1" applyFont="1" applyBorder="1" applyAlignment="1">
      <alignment horizontal="center" vertical="center" wrapText="1"/>
    </xf>
    <xf numFmtId="0" fontId="75" fillId="0" borderId="83" xfId="1" applyFont="1" applyBorder="1" applyAlignment="1">
      <alignment horizontal="center" vertical="center" wrapText="1"/>
    </xf>
    <xf numFmtId="0" fontId="75" fillId="0" borderId="85" xfId="1" applyFont="1" applyBorder="1" applyAlignment="1">
      <alignment horizontal="center" vertical="center" wrapText="1"/>
    </xf>
    <xf numFmtId="0" fontId="75" fillId="0" borderId="42" xfId="1" applyFont="1" applyBorder="1" applyAlignment="1">
      <alignment horizontal="center" vertical="center" wrapText="1"/>
    </xf>
    <xf numFmtId="0" fontId="75" fillId="0" borderId="81" xfId="1" applyFont="1" applyBorder="1" applyAlignment="1">
      <alignment horizontal="center" vertical="center" wrapText="1"/>
    </xf>
    <xf numFmtId="14" fontId="69" fillId="47" borderId="42" xfId="0" applyNumberFormat="1" applyFont="1" applyFill="1" applyBorder="1" applyAlignment="1">
      <alignment horizontal="center" vertical="center"/>
    </xf>
    <xf numFmtId="0" fontId="69" fillId="47" borderId="81" xfId="0" applyFont="1" applyFill="1" applyBorder="1" applyAlignment="1">
      <alignment horizontal="center" vertical="center"/>
    </xf>
    <xf numFmtId="0" fontId="73" fillId="48" borderId="1" xfId="1" applyFont="1" applyFill="1" applyBorder="1" applyAlignment="1">
      <alignment horizontal="center" vertical="center"/>
    </xf>
    <xf numFmtId="0" fontId="73" fillId="48" borderId="2" xfId="1" applyFont="1" applyFill="1" applyBorder="1" applyAlignment="1">
      <alignment horizontal="center" vertical="center"/>
    </xf>
    <xf numFmtId="0" fontId="73" fillId="48" borderId="7" xfId="1" applyFont="1" applyFill="1" applyBorder="1" applyAlignment="1">
      <alignment horizontal="center" vertical="center"/>
    </xf>
    <xf numFmtId="0" fontId="73" fillId="48" borderId="0" xfId="1" applyFont="1" applyFill="1" applyAlignment="1">
      <alignment horizontal="center" vertical="center"/>
    </xf>
    <xf numFmtId="0" fontId="76" fillId="0" borderId="53" xfId="1" applyFont="1" applyBorder="1" applyAlignment="1">
      <alignment horizontal="left" vertical="center"/>
    </xf>
    <xf numFmtId="0" fontId="76" fillId="0" borderId="45" xfId="1" applyFont="1" applyBorder="1" applyAlignment="1">
      <alignment horizontal="left" vertical="center"/>
    </xf>
    <xf numFmtId="0" fontId="76" fillId="0" borderId="86" xfId="1" applyFont="1" applyBorder="1" applyAlignment="1">
      <alignment horizontal="left" vertical="center"/>
    </xf>
    <xf numFmtId="168" fontId="76" fillId="0" borderId="53" xfId="0" applyNumberFormat="1" applyFont="1" applyBorder="1" applyAlignment="1">
      <alignment horizontal="center" vertical="center"/>
    </xf>
    <xf numFmtId="168" fontId="76" fillId="0" borderId="86" xfId="0" applyNumberFormat="1" applyFont="1" applyBorder="1" applyAlignment="1">
      <alignment horizontal="center" vertical="center"/>
    </xf>
    <xf numFmtId="168" fontId="75" fillId="0" borderId="53" xfId="0" applyNumberFormat="1" applyFont="1" applyBorder="1" applyAlignment="1">
      <alignment horizontal="center" vertical="center"/>
    </xf>
    <xf numFmtId="168" fontId="75" fillId="0" borderId="86" xfId="0" applyNumberFormat="1" applyFont="1" applyBorder="1" applyAlignment="1">
      <alignment horizontal="center" vertical="center"/>
    </xf>
    <xf numFmtId="0" fontId="79" fillId="0" borderId="11" xfId="1" applyFont="1" applyBorder="1" applyAlignment="1">
      <alignment horizontal="center" vertical="center"/>
    </xf>
    <xf numFmtId="0" fontId="79" fillId="0" borderId="52" xfId="1" applyFont="1" applyBorder="1" applyAlignment="1">
      <alignment horizontal="center" vertical="center"/>
    </xf>
    <xf numFmtId="0" fontId="79" fillId="0" borderId="84" xfId="1" applyFont="1" applyBorder="1" applyAlignment="1">
      <alignment horizontal="center" vertical="center" wrapText="1"/>
    </xf>
    <xf numFmtId="0" fontId="79" fillId="0" borderId="83" xfId="1" applyFont="1" applyBorder="1" applyAlignment="1">
      <alignment horizontal="center" vertical="center" wrapText="1"/>
    </xf>
    <xf numFmtId="0" fontId="79" fillId="0" borderId="85" xfId="1" applyFont="1" applyBorder="1" applyAlignment="1">
      <alignment horizontal="center" vertical="center" wrapText="1"/>
    </xf>
    <xf numFmtId="0" fontId="79" fillId="0" borderId="81" xfId="1" applyFont="1" applyBorder="1" applyAlignment="1">
      <alignment horizontal="center" vertical="center" wrapText="1"/>
    </xf>
    <xf numFmtId="0" fontId="79" fillId="0" borderId="11" xfId="1" applyFont="1" applyBorder="1" applyAlignment="1">
      <alignment horizontal="center" vertical="center" wrapText="1"/>
    </xf>
    <xf numFmtId="0" fontId="79" fillId="0" borderId="52" xfId="1" applyFont="1" applyBorder="1" applyAlignment="1">
      <alignment horizontal="center" vertical="center" wrapText="1"/>
    </xf>
    <xf numFmtId="0" fontId="76" fillId="0" borderId="30" xfId="1" applyFont="1" applyBorder="1" applyAlignment="1">
      <alignment horizontal="left" vertical="center"/>
    </xf>
    <xf numFmtId="0" fontId="76" fillId="0" borderId="29" xfId="1" applyFont="1" applyBorder="1" applyAlignment="1">
      <alignment horizontal="left" vertical="center"/>
    </xf>
    <xf numFmtId="0" fontId="76" fillId="0" borderId="76" xfId="1" applyFont="1" applyBorder="1" applyAlignment="1">
      <alignment horizontal="left" vertical="center"/>
    </xf>
    <xf numFmtId="1" fontId="76" fillId="0" borderId="30" xfId="0" applyNumberFormat="1" applyFont="1" applyBorder="1" applyAlignment="1">
      <alignment horizontal="center" vertical="center"/>
    </xf>
    <xf numFmtId="1" fontId="76" fillId="0" borderId="76" xfId="0" applyNumberFormat="1" applyFont="1" applyBorder="1" applyAlignment="1">
      <alignment horizontal="center" vertical="center"/>
    </xf>
    <xf numFmtId="1" fontId="75" fillId="0" borderId="30" xfId="0" applyNumberFormat="1" applyFont="1" applyBorder="1" applyAlignment="1">
      <alignment horizontal="center" vertical="center"/>
    </xf>
    <xf numFmtId="1" fontId="75" fillId="0" borderId="76" xfId="0" applyNumberFormat="1" applyFont="1" applyBorder="1" applyAlignment="1">
      <alignment horizontal="center" vertical="center"/>
    </xf>
    <xf numFmtId="168" fontId="76" fillId="0" borderId="30" xfId="0" applyNumberFormat="1" applyFont="1" applyBorder="1" applyAlignment="1">
      <alignment horizontal="center" vertical="center"/>
    </xf>
    <xf numFmtId="168" fontId="76" fillId="0" borderId="76" xfId="0" applyNumberFormat="1" applyFont="1" applyBorder="1" applyAlignment="1">
      <alignment horizontal="center" vertical="center"/>
    </xf>
    <xf numFmtId="168" fontId="75" fillId="0" borderId="30" xfId="0" applyNumberFormat="1" applyFont="1" applyBorder="1" applyAlignment="1">
      <alignment horizontal="center" vertical="center"/>
    </xf>
    <xf numFmtId="168" fontId="75" fillId="0" borderId="76" xfId="0" applyNumberFormat="1" applyFont="1" applyBorder="1" applyAlignment="1">
      <alignment horizontal="center" vertical="center"/>
    </xf>
    <xf numFmtId="0" fontId="76" fillId="0" borderId="54" xfId="1" applyFont="1" applyBorder="1" applyAlignment="1">
      <alignment horizontal="left" vertical="center"/>
    </xf>
    <xf numFmtId="0" fontId="76" fillId="0" borderId="88" xfId="1" applyFont="1" applyBorder="1" applyAlignment="1">
      <alignment horizontal="left" vertical="center"/>
    </xf>
    <xf numFmtId="0" fontId="76" fillId="0" borderId="87" xfId="1" applyFont="1" applyBorder="1" applyAlignment="1">
      <alignment horizontal="left" vertical="center"/>
    </xf>
    <xf numFmtId="168" fontId="76" fillId="0" borderId="54" xfId="0" applyNumberFormat="1" applyFont="1" applyBorder="1" applyAlignment="1">
      <alignment horizontal="center" vertical="center"/>
    </xf>
    <xf numFmtId="168" fontId="76" fillId="0" borderId="87" xfId="0" applyNumberFormat="1" applyFont="1" applyBorder="1" applyAlignment="1">
      <alignment horizontal="center" vertical="center"/>
    </xf>
    <xf numFmtId="1" fontId="75" fillId="0" borderId="54" xfId="0" applyNumberFormat="1" applyFont="1" applyBorder="1" applyAlignment="1">
      <alignment horizontal="center" vertical="center"/>
    </xf>
    <xf numFmtId="1" fontId="75" fillId="0" borderId="87" xfId="0" applyNumberFormat="1" applyFont="1" applyBorder="1" applyAlignment="1">
      <alignment horizontal="center" vertical="center"/>
    </xf>
    <xf numFmtId="0" fontId="64" fillId="0" borderId="31" xfId="0" applyFont="1" applyBorder="1" applyAlignment="1">
      <alignment horizontal="center" vertical="center"/>
    </xf>
    <xf numFmtId="0" fontId="64" fillId="0" borderId="77" xfId="0" applyFont="1" applyBorder="1" applyAlignment="1">
      <alignment horizontal="center" vertical="center"/>
    </xf>
    <xf numFmtId="0" fontId="64" fillId="0" borderId="83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4" fillId="0" borderId="24" xfId="0" applyFont="1" applyBorder="1" applyAlignment="1">
      <alignment horizontal="center" vertical="center"/>
    </xf>
    <xf numFmtId="0" fontId="64" fillId="0" borderId="14" xfId="0" applyFont="1" applyBorder="1" applyAlignment="1">
      <alignment horizontal="center" vertical="center"/>
    </xf>
    <xf numFmtId="0" fontId="64" fillId="0" borderId="16" xfId="0" applyFont="1" applyBorder="1" applyAlignment="1">
      <alignment horizontal="center" vertical="center"/>
    </xf>
    <xf numFmtId="0" fontId="64" fillId="0" borderId="80" xfId="0" applyFont="1" applyBorder="1" applyAlignment="1">
      <alignment horizontal="center" vertical="center"/>
    </xf>
    <xf numFmtId="14" fontId="65" fillId="47" borderId="4" xfId="0" applyNumberFormat="1" applyFont="1" applyFill="1" applyBorder="1" applyAlignment="1">
      <alignment horizontal="center" vertical="center"/>
    </xf>
    <xf numFmtId="14" fontId="65" fillId="47" borderId="5" xfId="0" applyNumberFormat="1" applyFont="1" applyFill="1" applyBorder="1" applyAlignment="1">
      <alignment horizontal="center" vertical="center"/>
    </xf>
    <xf numFmtId="0" fontId="69" fillId="47" borderId="45" xfId="0" applyFont="1" applyFill="1" applyBorder="1" applyAlignment="1">
      <alignment horizontal="center" vertical="center"/>
    </xf>
    <xf numFmtId="0" fontId="69" fillId="47" borderId="46" xfId="0" applyFont="1" applyFill="1" applyBorder="1" applyAlignment="1">
      <alignment horizontal="center" vertical="center"/>
    </xf>
    <xf numFmtId="0" fontId="71" fillId="47" borderId="76" xfId="0" applyFont="1" applyFill="1" applyBorder="1" applyAlignment="1">
      <alignment horizontal="center" vertical="center"/>
    </xf>
    <xf numFmtId="0" fontId="71" fillId="47" borderId="9" xfId="0" applyFont="1" applyFill="1" applyBorder="1" applyAlignment="1">
      <alignment horizontal="center" vertical="center"/>
    </xf>
    <xf numFmtId="0" fontId="71" fillId="47" borderId="16" xfId="0" applyFont="1" applyFill="1" applyBorder="1" applyAlignment="1">
      <alignment horizontal="center" vertical="center" wrapText="1"/>
    </xf>
    <xf numFmtId="0" fontId="71" fillId="47" borderId="24" xfId="0" applyFont="1" applyFill="1" applyBorder="1" applyAlignment="1">
      <alignment horizontal="center" vertical="center" wrapText="1"/>
    </xf>
    <xf numFmtId="0" fontId="71" fillId="47" borderId="52" xfId="0" applyFont="1" applyFill="1" applyBorder="1" applyAlignment="1">
      <alignment horizontal="center" vertical="center" wrapText="1"/>
    </xf>
    <xf numFmtId="0" fontId="71" fillId="47" borderId="27" xfId="0" applyFont="1" applyFill="1" applyBorder="1" applyAlignment="1">
      <alignment horizontal="center" vertical="center" wrapText="1"/>
    </xf>
    <xf numFmtId="0" fontId="71" fillId="47" borderId="79" xfId="0" applyFont="1" applyFill="1" applyBorder="1" applyAlignment="1">
      <alignment horizontal="center" vertical="center" wrapText="1"/>
    </xf>
    <xf numFmtId="0" fontId="71" fillId="47" borderId="82" xfId="0" applyFont="1" applyFill="1" applyBorder="1" applyAlignment="1">
      <alignment horizontal="center" vertical="center" wrapText="1"/>
    </xf>
    <xf numFmtId="0" fontId="77" fillId="5" borderId="0" xfId="0" applyFont="1" applyFill="1" applyAlignment="1">
      <alignment horizontal="center" vertical="center" wrapText="1"/>
    </xf>
    <xf numFmtId="0" fontId="77" fillId="5" borderId="0" xfId="0" applyFont="1" applyFill="1" applyAlignment="1">
      <alignment horizontal="center" vertical="center" textRotation="90" wrapText="1"/>
    </xf>
    <xf numFmtId="0" fontId="77" fillId="5" borderId="42" xfId="0" applyFont="1" applyFill="1" applyBorder="1" applyAlignment="1">
      <alignment horizontal="center" vertical="center" textRotation="90" wrapText="1"/>
    </xf>
    <xf numFmtId="0" fontId="77" fillId="5" borderId="8" xfId="0" applyFont="1" applyFill="1" applyBorder="1" applyAlignment="1">
      <alignment horizontal="center" vertical="center" textRotation="90" wrapText="1"/>
    </xf>
    <xf numFmtId="0" fontId="77" fillId="5" borderId="43" xfId="0" applyFont="1" applyFill="1" applyBorder="1" applyAlignment="1">
      <alignment horizontal="center" vertical="center" textRotation="90" wrapText="1"/>
    </xf>
    <xf numFmtId="0" fontId="76" fillId="0" borderId="30" xfId="1" applyFont="1" applyBorder="1" applyAlignment="1">
      <alignment horizontal="center" vertical="center" wrapText="1"/>
    </xf>
    <xf numFmtId="0" fontId="76" fillId="0" borderId="76" xfId="1" applyFont="1" applyBorder="1" applyAlignment="1">
      <alignment horizontal="center" vertical="center" wrapText="1"/>
    </xf>
    <xf numFmtId="0" fontId="76" fillId="0" borderId="54" xfId="1" applyFont="1" applyBorder="1" applyAlignment="1">
      <alignment horizontal="center" vertical="center" wrapText="1"/>
    </xf>
    <xf numFmtId="0" fontId="76" fillId="0" borderId="87" xfId="1" applyFont="1" applyBorder="1" applyAlignment="1">
      <alignment horizontal="center" vertical="center" wrapText="1"/>
    </xf>
    <xf numFmtId="0" fontId="64" fillId="0" borderId="52" xfId="0" applyFont="1" applyBorder="1" applyAlignment="1">
      <alignment horizontal="center" vertical="center"/>
    </xf>
    <xf numFmtId="0" fontId="64" fillId="0" borderId="27" xfId="0" applyFont="1" applyBorder="1" applyAlignment="1">
      <alignment horizontal="center" vertical="center"/>
    </xf>
    <xf numFmtId="0" fontId="64" fillId="0" borderId="79" xfId="0" applyFont="1" applyBorder="1" applyAlignment="1">
      <alignment horizontal="center" vertical="center"/>
    </xf>
    <xf numFmtId="0" fontId="64" fillId="0" borderId="82" xfId="0" applyFont="1" applyBorder="1" applyAlignment="1">
      <alignment horizontal="center" vertical="center"/>
    </xf>
    <xf numFmtId="0" fontId="64" fillId="0" borderId="12" xfId="0" applyFont="1" applyBorder="1" applyAlignment="1">
      <alignment horizontal="center" vertical="center"/>
    </xf>
    <xf numFmtId="0" fontId="64" fillId="0" borderId="26" xfId="0" applyFont="1" applyBorder="1" applyAlignment="1">
      <alignment horizontal="center" vertical="center"/>
    </xf>
    <xf numFmtId="0" fontId="64" fillId="50" borderId="49" xfId="0" applyFont="1" applyFill="1" applyBorder="1" applyAlignment="1">
      <alignment horizontal="center" vertical="center"/>
    </xf>
    <xf numFmtId="0" fontId="64" fillId="50" borderId="50" xfId="0" applyFont="1" applyFill="1" applyBorder="1" applyAlignment="1">
      <alignment horizontal="center" vertical="center"/>
    </xf>
    <xf numFmtId="0" fontId="64" fillId="50" borderId="51" xfId="0" applyFont="1" applyFill="1" applyBorder="1" applyAlignment="1">
      <alignment horizontal="center" vertical="center"/>
    </xf>
    <xf numFmtId="0" fontId="64" fillId="0" borderId="81" xfId="0" applyFont="1" applyBorder="1" applyAlignment="1">
      <alignment horizontal="center" vertical="center"/>
    </xf>
    <xf numFmtId="0" fontId="64" fillId="59" borderId="0" xfId="0" applyFont="1" applyFill="1" applyAlignment="1">
      <alignment horizontal="center" vertical="center"/>
    </xf>
    <xf numFmtId="1" fontId="64" fillId="49" borderId="49" xfId="0" applyNumberFormat="1" applyFont="1" applyFill="1" applyBorder="1" applyAlignment="1">
      <alignment horizontal="center" vertical="center" wrapText="1"/>
    </xf>
    <xf numFmtId="1" fontId="64" fillId="49" borderId="50" xfId="0" applyNumberFormat="1" applyFont="1" applyFill="1" applyBorder="1" applyAlignment="1">
      <alignment horizontal="center" vertical="center" wrapText="1"/>
    </xf>
    <xf numFmtId="1" fontId="64" fillId="49" borderId="51" xfId="0" applyNumberFormat="1" applyFont="1" applyFill="1" applyBorder="1" applyAlignment="1">
      <alignment horizontal="center" vertical="center" wrapText="1"/>
    </xf>
    <xf numFmtId="1" fontId="64" fillId="5" borderId="49" xfId="0" applyNumberFormat="1" applyFont="1" applyFill="1" applyBorder="1" applyAlignment="1">
      <alignment horizontal="center" vertical="center"/>
    </xf>
    <xf numFmtId="1" fontId="64" fillId="5" borderId="50" xfId="0" applyNumberFormat="1" applyFont="1" applyFill="1" applyBorder="1" applyAlignment="1">
      <alignment horizontal="center" vertical="center"/>
    </xf>
    <xf numFmtId="1" fontId="64" fillId="5" borderId="51" xfId="0" applyNumberFormat="1" applyFont="1" applyFill="1" applyBorder="1" applyAlignment="1">
      <alignment horizontal="center" vertical="center"/>
    </xf>
    <xf numFmtId="1" fontId="64" fillId="59" borderId="49" xfId="0" applyNumberFormat="1" applyFont="1" applyFill="1" applyBorder="1" applyAlignment="1">
      <alignment horizontal="center" vertical="center"/>
    </xf>
    <xf numFmtId="1" fontId="64" fillId="59" borderId="50" xfId="0" applyNumberFormat="1" applyFont="1" applyFill="1" applyBorder="1" applyAlignment="1">
      <alignment horizontal="center" vertical="center"/>
    </xf>
    <xf numFmtId="1" fontId="64" fillId="59" borderId="51" xfId="0" applyNumberFormat="1" applyFont="1" applyFill="1" applyBorder="1" applyAlignment="1">
      <alignment horizontal="center" vertical="center"/>
    </xf>
    <xf numFmtId="0" fontId="110" fillId="6" borderId="30" xfId="0" applyFont="1" applyFill="1" applyBorder="1" applyAlignment="1">
      <alignment horizontal="center" vertical="center" wrapText="1"/>
    </xf>
    <xf numFmtId="0" fontId="110" fillId="6" borderId="29" xfId="0" applyFont="1" applyFill="1" applyBorder="1" applyAlignment="1">
      <alignment horizontal="center" vertical="center" wrapText="1"/>
    </xf>
    <xf numFmtId="0" fontId="110" fillId="6" borderId="76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113" fillId="49" borderId="3" xfId="0" applyFont="1" applyFill="1" applyBorder="1" applyAlignment="1">
      <alignment horizontal="center" vertical="center"/>
    </xf>
    <xf numFmtId="0" fontId="113" fillId="49" borderId="4" xfId="0" applyFont="1" applyFill="1" applyBorder="1" applyAlignment="1">
      <alignment horizontal="center" vertical="center"/>
    </xf>
    <xf numFmtId="0" fontId="113" fillId="49" borderId="5" xfId="0" applyFont="1" applyFill="1" applyBorder="1" applyAlignment="1">
      <alignment horizontal="center" vertical="center"/>
    </xf>
  </cellXfs>
  <cellStyles count="255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10" xfId="236" xr:uid="{93577CF5-45AB-4657-9F87-8E47B9A8A982}"/>
    <cellStyle name="Comma 11" xfId="243" xr:uid="{8A7773D6-E4A1-44BA-A540-34627B34AEAB}"/>
    <cellStyle name="Comma 12" xfId="245" xr:uid="{F02B0593-C7FF-4528-B3F2-113259C243B2}"/>
    <cellStyle name="Comma 13" xfId="244" xr:uid="{3AEAD64A-7993-4C0A-B1B6-F20A36EC9EDC}"/>
    <cellStyle name="Comma 14" xfId="253" xr:uid="{1E3B0812-2743-45E5-A22D-61085AC196AC}"/>
    <cellStyle name="Comma 15" xfId="254" xr:uid="{4A19D081-02D1-4F36-B5C2-AA0EDF581925}"/>
    <cellStyle name="Comma 2" xfId="80" xr:uid="{28A2C656-8405-4726-86CC-0015975370ED}"/>
    <cellStyle name="Comma 2 2" xfId="199" xr:uid="{84B3C01D-096C-4336-8CC3-4DA55B4BB622}"/>
    <cellStyle name="Comma 2 2 2" xfId="250" xr:uid="{F27F94F8-DCF2-4FFB-8424-95783E9CA02D}"/>
    <cellStyle name="Comma 2 3" xfId="233" xr:uid="{E37C7D6C-7EC6-437A-B78E-877DEF78A80C}"/>
    <cellStyle name="Comma 2 4" xfId="249" xr:uid="{57F24713-E5AB-43C5-831F-F752B67300B3}"/>
    <cellStyle name="Comma 3" xfId="81" xr:uid="{4F8C863C-A373-409D-A3B5-EF216CB04DB6}"/>
    <cellStyle name="Comma 3 2" xfId="200" xr:uid="{A73043A1-7F4E-4E05-A2DD-019A1ADAC226}"/>
    <cellStyle name="Comma 3 3" xfId="246" xr:uid="{F14D6CD6-FC71-4AB4-8A7F-A303B4837B14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2 2 2" xfId="252" xr:uid="{7D464DA9-62F4-4CF8-B0A8-AA0247B0A450}"/>
    <cellStyle name="Currency 2 3" xfId="247" xr:uid="{749B8B23-5CA8-4542-899C-8A926FED03E6}"/>
    <cellStyle name="Currency 3" xfId="227" xr:uid="{D1C22437-3FA1-46CB-938A-5A2071A42EA7}"/>
    <cellStyle name="Currency 3 2" xfId="251" xr:uid="{E6818BEA-37E6-482F-BAD1-C3A8BCB2E7E9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1" xfId="226" xr:uid="{39A4D461-2B69-45AC-BC3B-879E60BD782F}"/>
    <cellStyle name="Normal 11 2" xfId="240" xr:uid="{AF766A5A-5330-4391-95B4-7A37419A55CB}"/>
    <cellStyle name="Normal 12" xfId="8" xr:uid="{4E0B2CA2-5C40-4985-9461-F2C32F978CC3}"/>
    <cellStyle name="Normal 12 2" xfId="242" xr:uid="{09719F55-136F-4A51-9D40-3882BDD06BCD}"/>
    <cellStyle name="Normal 12 3" xfId="248" xr:uid="{FEFEEBD6-310F-4C9A-9AED-95AA71A28CF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3" xfId="133" xr:uid="{9D3CAFDD-777B-4801-B5E4-C8D8CC174EB3}"/>
    <cellStyle name="Normal 4 4" xfId="234" xr:uid="{5002FAB0-BA47-4F44-9C35-FC79D225078A}"/>
    <cellStyle name="Normal 5" xfId="1" xr:uid="{00000000-0005-0000-0000-000008000000}"/>
    <cellStyle name="Normal 5 2" xfId="209" xr:uid="{047B139D-57F4-471A-AD35-710095123A4A}"/>
    <cellStyle name="Normal 6" xfId="177" xr:uid="{CDF9C918-65BB-4DAD-81E2-02C507F79AC5}"/>
    <cellStyle name="Normal 6 2" xfId="213" xr:uid="{111C7465-8F43-4907-B96B-49F16A8879E8}"/>
    <cellStyle name="Normal 6 3" xfId="235" xr:uid="{BCB85DBC-1DA8-434A-A9B3-7D4663B14E8A}"/>
    <cellStyle name="Normal 7" xfId="187" xr:uid="{4DA7725A-B314-407C-9796-C3354AC98304}"/>
    <cellStyle name="Normal 7 2" xfId="223" xr:uid="{B9EDB1BC-64FD-4B58-B93D-25B2B0D8FBFC}"/>
    <cellStyle name="Normal 7 3" xfId="232" xr:uid="{F5CCE71F-1092-456A-B16E-5ACB26B7B589}"/>
    <cellStyle name="Normal 7 4" xfId="237" xr:uid="{10DFDB8F-A09C-4B48-9CC2-6884341CE2EE}"/>
    <cellStyle name="Normal 8" xfId="189" xr:uid="{3367B9C5-1C7A-4C44-8C8B-D58CD3A52851}"/>
    <cellStyle name="Normal 8 2" xfId="224" xr:uid="{748436D7-D10D-4DFC-A8C7-D147EE560212}"/>
    <cellStyle name="Normal 8 3" xfId="238" xr:uid="{682F28A8-150B-4572-B831-CD4B4C4F901C}"/>
    <cellStyle name="Normal 9" xfId="191" xr:uid="{EF0291C8-52C7-49DD-86DF-3CBAC3AA204E}"/>
    <cellStyle name="Normal 9 2" xfId="231" xr:uid="{D25CC614-CF27-4158-A4E9-7F3245FF24E0}"/>
    <cellStyle name="Normal 9 3" xfId="239" xr:uid="{646FD42C-8281-4944-A213-E92CBC689E41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2 3" xfId="241" xr:uid="{698E5E22-8612-4BC8-9362-66E40B2EEC64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2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solid">
          <fgColor rgb="FF66FFFF"/>
          <bgColor rgb="FF000000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241"/>
      <tableStyleElement type="headerRow" dxfId="240"/>
      <tableStyleElement type="totalRow" dxfId="239"/>
      <tableStyleElement type="firstColumn" dxfId="238"/>
      <tableStyleElement type="lastColumn" dxfId="237"/>
      <tableStyleElement type="firstRowStripe" dxfId="236"/>
      <tableStyleElement type="firstColumnStripe" dxfId="235"/>
    </tableStyle>
  </tableStyles>
  <colors>
    <mruColors>
      <color rgb="FF00FF00"/>
      <color rgb="FFFFFF66"/>
      <color rgb="FF66FFFF"/>
      <color rgb="FF66FF66"/>
      <color rgb="FF66FF99"/>
      <color rgb="FFFFCCFF"/>
      <color rgb="FF00FFCC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17/06/relationships/rdRichValue" Target="richData/rdrichvalu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232418</xdr:colOff>
      <xdr:row>1</xdr:row>
      <xdr:rowOff>212105</xdr:rowOff>
    </xdr:from>
    <xdr:to>
      <xdr:col>0</xdr:col>
      <xdr:colOff>1253954</xdr:colOff>
      <xdr:row>3</xdr:row>
      <xdr:rowOff>97805</xdr:rowOff>
    </xdr:to>
    <xdr:pic>
      <xdr:nvPicPr>
        <xdr:cNvPr id="3" name="Picture 2" descr="companylogo">
          <a:extLst>
            <a:ext uri="{FF2B5EF4-FFF2-40B4-BE49-F238E27FC236}">
              <a16:creationId xmlns:a16="http://schemas.microsoft.com/office/drawing/2014/main" id="{2A57A61C-B92E-4AEA-8FDD-9828911A4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2418" y="476688"/>
          <a:ext cx="1021536" cy="414867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145677</xdr:colOff>
      <xdr:row>28</xdr:row>
      <xdr:rowOff>67235</xdr:rowOff>
    </xdr:from>
    <xdr:ext cx="134698" cy="425823"/>
    <xdr:pic>
      <xdr:nvPicPr>
        <xdr:cNvPr id="3768" name="Picture 11595">
          <a:extLst>
            <a:ext uri="{FF2B5EF4-FFF2-40B4-BE49-F238E27FC236}">
              <a16:creationId xmlns:a16="http://schemas.microsoft.com/office/drawing/2014/main" id="{F5D5BD66-164E-4B70-8370-D91E2E176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7824" y="5815853"/>
          <a:ext cx="134698" cy="4258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7937</xdr:colOff>
      <xdr:row>5</xdr:row>
      <xdr:rowOff>17776</xdr:rowOff>
    </xdr:from>
    <xdr:to>
      <xdr:col>31</xdr:col>
      <xdr:colOff>1075765</xdr:colOff>
      <xdr:row>19</xdr:row>
      <xdr:rowOff>30913</xdr:rowOff>
    </xdr:to>
    <xdr:grpSp>
      <xdr:nvGrpSpPr>
        <xdr:cNvPr id="3775" name="Group 3774">
          <a:extLst>
            <a:ext uri="{FF2B5EF4-FFF2-40B4-BE49-F238E27FC236}">
              <a16:creationId xmlns:a16="http://schemas.microsoft.com/office/drawing/2014/main" id="{A0BADA3B-98D9-02EF-48AC-1B350B9C2835}"/>
            </a:ext>
          </a:extLst>
        </xdr:cNvPr>
        <xdr:cNvGrpSpPr/>
      </xdr:nvGrpSpPr>
      <xdr:grpSpPr>
        <a:xfrm>
          <a:off x="8253866" y="1201597"/>
          <a:ext cx="8034685" cy="2938673"/>
          <a:chOff x="8289084" y="1239217"/>
          <a:chExt cx="8060299" cy="2993902"/>
        </a:xfrm>
      </xdr:grpSpPr>
      <xdr:pic>
        <xdr:nvPicPr>
          <xdr:cNvPr id="2110" name="Picture 2109">
            <a:extLst>
              <a:ext uri="{FF2B5EF4-FFF2-40B4-BE49-F238E27FC236}">
                <a16:creationId xmlns:a16="http://schemas.microsoft.com/office/drawing/2014/main" id="{AF869BED-883F-2732-38F9-A7408A401F2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l="531" t="2221" r="1239"/>
          <a:stretch/>
        </xdr:blipFill>
        <xdr:spPr>
          <a:xfrm>
            <a:off x="8289084" y="1239217"/>
            <a:ext cx="8060299" cy="2993902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2111" name="Picture 2110" descr="Gas pipeline line icon concept. Gas ...">
            <a:extLst>
              <a:ext uri="{FF2B5EF4-FFF2-40B4-BE49-F238E27FC236}">
                <a16:creationId xmlns:a16="http://schemas.microsoft.com/office/drawing/2014/main" id="{23470FC8-7A92-5434-6D6F-3FEB41FF1036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13427543" y="3800872"/>
            <a:ext cx="409857" cy="26522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112" name="TextBox 2111">
            <a:extLst>
              <a:ext uri="{FF2B5EF4-FFF2-40B4-BE49-F238E27FC236}">
                <a16:creationId xmlns:a16="http://schemas.microsoft.com/office/drawing/2014/main" id="{F09E165F-4C65-4A92-A54E-1F6A540189CF}"/>
              </a:ext>
            </a:extLst>
          </xdr:cNvPr>
          <xdr:cNvSpPr txBox="1"/>
        </xdr:nvSpPr>
        <xdr:spPr>
          <a:xfrm>
            <a:off x="13464832" y="3457166"/>
            <a:ext cx="859037" cy="33634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22</xdr:col>
      <xdr:colOff>406400</xdr:colOff>
      <xdr:row>34</xdr:row>
      <xdr:rowOff>7055</xdr:rowOff>
    </xdr:from>
    <xdr:to>
      <xdr:col>24</xdr:col>
      <xdr:colOff>81142</xdr:colOff>
      <xdr:row>37</xdr:row>
      <xdr:rowOff>12700</xdr:rowOff>
    </xdr:to>
    <xdr:sp macro="" textlink="">
      <xdr:nvSpPr>
        <xdr:cNvPr id="2113" name="Isosceles Triangle 2112">
          <a:extLst>
            <a:ext uri="{FF2B5EF4-FFF2-40B4-BE49-F238E27FC236}">
              <a16:creationId xmlns:a16="http://schemas.microsoft.com/office/drawing/2014/main" id="{833AC0E0-82D9-45B3-BA10-D3EFB0596E64}"/>
            </a:ext>
          </a:extLst>
        </xdr:cNvPr>
        <xdr:cNvSpPr/>
      </xdr:nvSpPr>
      <xdr:spPr>
        <a:xfrm>
          <a:off x="11595100" y="6890455"/>
          <a:ext cx="703442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4233</xdr:rowOff>
    </xdr:from>
    <xdr:to>
      <xdr:col>26</xdr:col>
      <xdr:colOff>46570</xdr:colOff>
      <xdr:row>36</xdr:row>
      <xdr:rowOff>173567</xdr:rowOff>
    </xdr:to>
    <xdr:sp macro="" textlink="">
      <xdr:nvSpPr>
        <xdr:cNvPr id="2114" name="Isosceles Triangle 2113">
          <a:extLst>
            <a:ext uri="{FF2B5EF4-FFF2-40B4-BE49-F238E27FC236}">
              <a16:creationId xmlns:a16="http://schemas.microsoft.com/office/drawing/2014/main" id="{F1BC1642-648C-4BDD-BBF0-F02ACAB9FAE3}"/>
            </a:ext>
          </a:extLst>
        </xdr:cNvPr>
        <xdr:cNvSpPr/>
      </xdr:nvSpPr>
      <xdr:spPr>
        <a:xfrm>
          <a:off x="131967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34</xdr:row>
      <xdr:rowOff>13304</xdr:rowOff>
    </xdr:from>
    <xdr:to>
      <xdr:col>30</xdr:col>
      <xdr:colOff>46570</xdr:colOff>
      <xdr:row>37</xdr:row>
      <xdr:rowOff>1209</xdr:rowOff>
    </xdr:to>
    <xdr:sp macro="" textlink="">
      <xdr:nvSpPr>
        <xdr:cNvPr id="2115" name="Isosceles Triangle 2114">
          <a:extLst>
            <a:ext uri="{FF2B5EF4-FFF2-40B4-BE49-F238E27FC236}">
              <a16:creationId xmlns:a16="http://schemas.microsoft.com/office/drawing/2014/main" id="{BD21D7BF-B4DB-4A20-A123-CBB8CAD7BA01}"/>
            </a:ext>
          </a:extLst>
        </xdr:cNvPr>
        <xdr:cNvSpPr/>
      </xdr:nvSpPr>
      <xdr:spPr>
        <a:xfrm>
          <a:off x="3392315" y="471484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34</xdr:row>
      <xdr:rowOff>13304</xdr:rowOff>
    </xdr:from>
    <xdr:to>
      <xdr:col>26</xdr:col>
      <xdr:colOff>46569</xdr:colOff>
      <xdr:row>37</xdr:row>
      <xdr:rowOff>1209</xdr:rowOff>
    </xdr:to>
    <xdr:sp macro="" textlink="">
      <xdr:nvSpPr>
        <xdr:cNvPr id="2116" name="Isosceles Triangle 2115">
          <a:extLst>
            <a:ext uri="{FF2B5EF4-FFF2-40B4-BE49-F238E27FC236}">
              <a16:creationId xmlns:a16="http://schemas.microsoft.com/office/drawing/2014/main" id="{153E0520-0F9E-4B75-AF5C-E001D0EB23A3}"/>
            </a:ext>
          </a:extLst>
        </xdr:cNvPr>
        <xdr:cNvSpPr/>
      </xdr:nvSpPr>
      <xdr:spPr>
        <a:xfrm>
          <a:off x="1319675" y="4714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34</xdr:row>
      <xdr:rowOff>15522</xdr:rowOff>
    </xdr:from>
    <xdr:to>
      <xdr:col>28</xdr:col>
      <xdr:colOff>43746</xdr:colOff>
      <xdr:row>37</xdr:row>
      <xdr:rowOff>8467</xdr:rowOff>
    </xdr:to>
    <xdr:sp macro="" textlink="">
      <xdr:nvSpPr>
        <xdr:cNvPr id="2117" name="Isosceles Triangle 2116">
          <a:extLst>
            <a:ext uri="{FF2B5EF4-FFF2-40B4-BE49-F238E27FC236}">
              <a16:creationId xmlns:a16="http://schemas.microsoft.com/office/drawing/2014/main" id="{C78D563A-15E0-4D46-8381-0332EA8A4F49}"/>
            </a:ext>
          </a:extLst>
        </xdr:cNvPr>
        <xdr:cNvSpPr/>
      </xdr:nvSpPr>
      <xdr:spPr>
        <a:xfrm>
          <a:off x="2353172" y="4717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46</xdr:row>
      <xdr:rowOff>7056</xdr:rowOff>
    </xdr:from>
    <xdr:to>
      <xdr:col>2</xdr:col>
      <xdr:colOff>42332</xdr:colOff>
      <xdr:row>49</xdr:row>
      <xdr:rowOff>1</xdr:rowOff>
    </xdr:to>
    <xdr:sp macro="" textlink="">
      <xdr:nvSpPr>
        <xdr:cNvPr id="2118" name="Isosceles Triangle 2117">
          <a:extLst>
            <a:ext uri="{FF2B5EF4-FFF2-40B4-BE49-F238E27FC236}">
              <a16:creationId xmlns:a16="http://schemas.microsoft.com/office/drawing/2014/main" id="{A45ABDE8-AA5E-4431-9020-D4C6D8562D9F}"/>
            </a:ext>
          </a:extLst>
        </xdr:cNvPr>
        <xdr:cNvSpPr/>
      </xdr:nvSpPr>
      <xdr:spPr>
        <a:xfrm>
          <a:off x="442439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46</xdr:row>
      <xdr:rowOff>9380</xdr:rowOff>
    </xdr:from>
    <xdr:to>
      <xdr:col>4</xdr:col>
      <xdr:colOff>39510</xdr:colOff>
      <xdr:row>49</xdr:row>
      <xdr:rowOff>2325</xdr:rowOff>
    </xdr:to>
    <xdr:sp macro="" textlink="">
      <xdr:nvSpPr>
        <xdr:cNvPr id="2119" name="Isosceles Triangle 2118">
          <a:extLst>
            <a:ext uri="{FF2B5EF4-FFF2-40B4-BE49-F238E27FC236}">
              <a16:creationId xmlns:a16="http://schemas.microsoft.com/office/drawing/2014/main" id="{6055B8B2-4F2D-4C06-8466-39FBCCD6E36E}"/>
            </a:ext>
          </a:extLst>
        </xdr:cNvPr>
        <xdr:cNvSpPr/>
      </xdr:nvSpPr>
      <xdr:spPr>
        <a:xfrm>
          <a:off x="5457896" y="4710920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46</xdr:row>
      <xdr:rowOff>7056</xdr:rowOff>
    </xdr:from>
    <xdr:to>
      <xdr:col>6</xdr:col>
      <xdr:colOff>42332</xdr:colOff>
      <xdr:row>49</xdr:row>
      <xdr:rowOff>1</xdr:rowOff>
    </xdr:to>
    <xdr:sp macro="" textlink="">
      <xdr:nvSpPr>
        <xdr:cNvPr id="2120" name="Isosceles Triangle 2119">
          <a:extLst>
            <a:ext uri="{FF2B5EF4-FFF2-40B4-BE49-F238E27FC236}">
              <a16:creationId xmlns:a16="http://schemas.microsoft.com/office/drawing/2014/main" id="{DAEE6E3F-2C83-47E8-A4C9-A3843A98D719}"/>
            </a:ext>
          </a:extLst>
        </xdr:cNvPr>
        <xdr:cNvSpPr/>
      </xdr:nvSpPr>
      <xdr:spPr>
        <a:xfrm>
          <a:off x="6497038" y="4708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46</xdr:row>
      <xdr:rowOff>18345</xdr:rowOff>
    </xdr:from>
    <xdr:to>
      <xdr:col>8</xdr:col>
      <xdr:colOff>39510</xdr:colOff>
      <xdr:row>49</xdr:row>
      <xdr:rowOff>11290</xdr:rowOff>
    </xdr:to>
    <xdr:sp macro="" textlink="">
      <xdr:nvSpPr>
        <xdr:cNvPr id="2121" name="Isosceles Triangle 2120">
          <a:extLst>
            <a:ext uri="{FF2B5EF4-FFF2-40B4-BE49-F238E27FC236}">
              <a16:creationId xmlns:a16="http://schemas.microsoft.com/office/drawing/2014/main" id="{1F6D0609-0333-4D7D-A229-6DA2FB97E1B3}"/>
            </a:ext>
          </a:extLst>
        </xdr:cNvPr>
        <xdr:cNvSpPr/>
      </xdr:nvSpPr>
      <xdr:spPr>
        <a:xfrm>
          <a:off x="7530536" y="4719885"/>
          <a:ext cx="662374" cy="49586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46</xdr:row>
      <xdr:rowOff>5135</xdr:rowOff>
    </xdr:from>
    <xdr:to>
      <xdr:col>10</xdr:col>
      <xdr:colOff>42332</xdr:colOff>
      <xdr:row>48</xdr:row>
      <xdr:rowOff>168409</xdr:rowOff>
    </xdr:to>
    <xdr:sp macro="" textlink="">
      <xdr:nvSpPr>
        <xdr:cNvPr id="2122" name="Isosceles Triangle 2121">
          <a:extLst>
            <a:ext uri="{FF2B5EF4-FFF2-40B4-BE49-F238E27FC236}">
              <a16:creationId xmlns:a16="http://schemas.microsoft.com/office/drawing/2014/main" id="{FB266428-7327-4A95-BE09-6785353EDA34}"/>
            </a:ext>
          </a:extLst>
        </xdr:cNvPr>
        <xdr:cNvSpPr/>
      </xdr:nvSpPr>
      <xdr:spPr>
        <a:xfrm>
          <a:off x="8569678" y="4706675"/>
          <a:ext cx="669994" cy="49855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46</xdr:row>
      <xdr:rowOff>9380</xdr:rowOff>
    </xdr:from>
    <xdr:to>
      <xdr:col>12</xdr:col>
      <xdr:colOff>39510</xdr:colOff>
      <xdr:row>49</xdr:row>
      <xdr:rowOff>2325</xdr:rowOff>
    </xdr:to>
    <xdr:sp macro="" textlink="">
      <xdr:nvSpPr>
        <xdr:cNvPr id="2123" name="Isosceles Triangle 2122">
          <a:extLst>
            <a:ext uri="{FF2B5EF4-FFF2-40B4-BE49-F238E27FC236}">
              <a16:creationId xmlns:a16="http://schemas.microsoft.com/office/drawing/2014/main" id="{A8DE26E0-5C3E-453A-9187-5FFDBBE025AB}"/>
            </a:ext>
          </a:extLst>
        </xdr:cNvPr>
        <xdr:cNvSpPr/>
      </xdr:nvSpPr>
      <xdr:spPr>
        <a:xfrm>
          <a:off x="9610796" y="4710920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368734</xdr:colOff>
      <xdr:row>46</xdr:row>
      <xdr:rowOff>18345</xdr:rowOff>
    </xdr:from>
    <xdr:to>
      <xdr:col>24</xdr:col>
      <xdr:colOff>86228</xdr:colOff>
      <xdr:row>49</xdr:row>
      <xdr:rowOff>11290</xdr:rowOff>
    </xdr:to>
    <xdr:sp macro="" textlink="">
      <xdr:nvSpPr>
        <xdr:cNvPr id="2124" name="Isosceles Triangle 2123">
          <a:extLst>
            <a:ext uri="{FF2B5EF4-FFF2-40B4-BE49-F238E27FC236}">
              <a16:creationId xmlns:a16="http://schemas.microsoft.com/office/drawing/2014/main" id="{2C1A5FD5-5727-46DF-95F1-B1DE5F84F0ED}"/>
            </a:ext>
          </a:extLst>
        </xdr:cNvPr>
        <xdr:cNvSpPr/>
      </xdr:nvSpPr>
      <xdr:spPr>
        <a:xfrm>
          <a:off x="11243109" y="8590845"/>
          <a:ext cx="717619" cy="46919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46</xdr:row>
      <xdr:rowOff>7056</xdr:rowOff>
    </xdr:from>
    <xdr:to>
      <xdr:col>26</xdr:col>
      <xdr:colOff>42332</xdr:colOff>
      <xdr:row>49</xdr:row>
      <xdr:rowOff>1</xdr:rowOff>
    </xdr:to>
    <xdr:sp macro="" textlink="">
      <xdr:nvSpPr>
        <xdr:cNvPr id="2125" name="Isosceles Triangle 2124">
          <a:extLst>
            <a:ext uri="{FF2B5EF4-FFF2-40B4-BE49-F238E27FC236}">
              <a16:creationId xmlns:a16="http://schemas.microsoft.com/office/drawing/2014/main" id="{527878FD-9612-4055-8E44-6E61D54215F9}"/>
            </a:ext>
          </a:extLst>
        </xdr:cNvPr>
        <xdr:cNvSpPr/>
      </xdr:nvSpPr>
      <xdr:spPr>
        <a:xfrm>
          <a:off x="131543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46</xdr:row>
      <xdr:rowOff>18345</xdr:rowOff>
    </xdr:from>
    <xdr:to>
      <xdr:col>28</xdr:col>
      <xdr:colOff>39510</xdr:colOff>
      <xdr:row>49</xdr:row>
      <xdr:rowOff>11290</xdr:rowOff>
    </xdr:to>
    <xdr:sp macro="" textlink="">
      <xdr:nvSpPr>
        <xdr:cNvPr id="2126" name="Isosceles Triangle 2125">
          <a:extLst>
            <a:ext uri="{FF2B5EF4-FFF2-40B4-BE49-F238E27FC236}">
              <a16:creationId xmlns:a16="http://schemas.microsoft.com/office/drawing/2014/main" id="{99E50D5F-BF11-4DFD-BEAA-45533F753CAB}"/>
            </a:ext>
          </a:extLst>
        </xdr:cNvPr>
        <xdr:cNvSpPr/>
      </xdr:nvSpPr>
      <xdr:spPr>
        <a:xfrm>
          <a:off x="234893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46</xdr:row>
      <xdr:rowOff>7056</xdr:rowOff>
    </xdr:from>
    <xdr:to>
      <xdr:col>30</xdr:col>
      <xdr:colOff>42332</xdr:colOff>
      <xdr:row>49</xdr:row>
      <xdr:rowOff>1</xdr:rowOff>
    </xdr:to>
    <xdr:sp macro="" textlink="">
      <xdr:nvSpPr>
        <xdr:cNvPr id="2127" name="Isosceles Triangle 2126">
          <a:extLst>
            <a:ext uri="{FF2B5EF4-FFF2-40B4-BE49-F238E27FC236}">
              <a16:creationId xmlns:a16="http://schemas.microsoft.com/office/drawing/2014/main" id="{40E90CFE-9F64-46A7-9D04-D6D628D21EE4}"/>
            </a:ext>
          </a:extLst>
        </xdr:cNvPr>
        <xdr:cNvSpPr/>
      </xdr:nvSpPr>
      <xdr:spPr>
        <a:xfrm>
          <a:off x="338807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4233</xdr:rowOff>
    </xdr:from>
    <xdr:to>
      <xdr:col>6</xdr:col>
      <xdr:colOff>46570</xdr:colOff>
      <xdr:row>60</xdr:row>
      <xdr:rowOff>173567</xdr:rowOff>
    </xdr:to>
    <xdr:sp macro="" textlink="">
      <xdr:nvSpPr>
        <xdr:cNvPr id="2130" name="Isosceles Triangle 2129">
          <a:extLst>
            <a:ext uri="{FF2B5EF4-FFF2-40B4-BE49-F238E27FC236}">
              <a16:creationId xmlns:a16="http://schemas.microsoft.com/office/drawing/2014/main" id="{C5DE98B9-D441-4721-AB3E-D0C15A512B76}"/>
            </a:ext>
          </a:extLst>
        </xdr:cNvPr>
        <xdr:cNvSpPr/>
      </xdr:nvSpPr>
      <xdr:spPr>
        <a:xfrm>
          <a:off x="6501275" y="674793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58</xdr:row>
      <xdr:rowOff>13304</xdr:rowOff>
    </xdr:from>
    <xdr:to>
      <xdr:col>10</xdr:col>
      <xdr:colOff>46570</xdr:colOff>
      <xdr:row>61</xdr:row>
      <xdr:rowOff>1209</xdr:rowOff>
    </xdr:to>
    <xdr:sp macro="" textlink="">
      <xdr:nvSpPr>
        <xdr:cNvPr id="2131" name="Isosceles Triangle 2130">
          <a:extLst>
            <a:ext uri="{FF2B5EF4-FFF2-40B4-BE49-F238E27FC236}">
              <a16:creationId xmlns:a16="http://schemas.microsoft.com/office/drawing/2014/main" id="{BC003568-199C-41A9-8D6D-32CFDB5C6464}"/>
            </a:ext>
          </a:extLst>
        </xdr:cNvPr>
        <xdr:cNvSpPr/>
      </xdr:nvSpPr>
      <xdr:spPr>
        <a:xfrm>
          <a:off x="8573915" y="6757004"/>
          <a:ext cx="669995" cy="49082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58</xdr:row>
      <xdr:rowOff>13304</xdr:rowOff>
    </xdr:from>
    <xdr:to>
      <xdr:col>6</xdr:col>
      <xdr:colOff>46569</xdr:colOff>
      <xdr:row>61</xdr:row>
      <xdr:rowOff>1209</xdr:rowOff>
    </xdr:to>
    <xdr:sp macro="" textlink="">
      <xdr:nvSpPr>
        <xdr:cNvPr id="2132" name="Isosceles Triangle 2131">
          <a:extLst>
            <a:ext uri="{FF2B5EF4-FFF2-40B4-BE49-F238E27FC236}">
              <a16:creationId xmlns:a16="http://schemas.microsoft.com/office/drawing/2014/main" id="{9DD3B515-571D-41F5-AB62-6CCA69355BE0}"/>
            </a:ext>
          </a:extLst>
        </xdr:cNvPr>
        <xdr:cNvSpPr/>
      </xdr:nvSpPr>
      <xdr:spPr>
        <a:xfrm>
          <a:off x="6501275" y="675700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58</xdr:row>
      <xdr:rowOff>15522</xdr:rowOff>
    </xdr:from>
    <xdr:to>
      <xdr:col>8</xdr:col>
      <xdr:colOff>43746</xdr:colOff>
      <xdr:row>61</xdr:row>
      <xdr:rowOff>8467</xdr:rowOff>
    </xdr:to>
    <xdr:sp macro="" textlink="">
      <xdr:nvSpPr>
        <xdr:cNvPr id="2133" name="Isosceles Triangle 2132">
          <a:extLst>
            <a:ext uri="{FF2B5EF4-FFF2-40B4-BE49-F238E27FC236}">
              <a16:creationId xmlns:a16="http://schemas.microsoft.com/office/drawing/2014/main" id="{2EB39F0A-4E89-4A37-B30B-5D959A54C073}"/>
            </a:ext>
          </a:extLst>
        </xdr:cNvPr>
        <xdr:cNvSpPr/>
      </xdr:nvSpPr>
      <xdr:spPr>
        <a:xfrm>
          <a:off x="7534772" y="67592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58</xdr:row>
      <xdr:rowOff>7056</xdr:rowOff>
    </xdr:from>
    <xdr:to>
      <xdr:col>12</xdr:col>
      <xdr:colOff>42332</xdr:colOff>
      <xdr:row>61</xdr:row>
      <xdr:rowOff>1</xdr:rowOff>
    </xdr:to>
    <xdr:sp macro="" textlink="">
      <xdr:nvSpPr>
        <xdr:cNvPr id="2134" name="Isosceles Triangle 2133">
          <a:extLst>
            <a:ext uri="{FF2B5EF4-FFF2-40B4-BE49-F238E27FC236}">
              <a16:creationId xmlns:a16="http://schemas.microsoft.com/office/drawing/2014/main" id="{A0F090C0-A92B-4342-91BE-DA770A7599A0}"/>
            </a:ext>
          </a:extLst>
        </xdr:cNvPr>
        <xdr:cNvSpPr/>
      </xdr:nvSpPr>
      <xdr:spPr>
        <a:xfrm>
          <a:off x="9613618" y="67507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58</xdr:row>
      <xdr:rowOff>18345</xdr:rowOff>
    </xdr:from>
    <xdr:to>
      <xdr:col>14</xdr:col>
      <xdr:colOff>39510</xdr:colOff>
      <xdr:row>61</xdr:row>
      <xdr:rowOff>11290</xdr:rowOff>
    </xdr:to>
    <xdr:sp macro="" textlink="">
      <xdr:nvSpPr>
        <xdr:cNvPr id="2135" name="Isosceles Triangle 2134">
          <a:extLst>
            <a:ext uri="{FF2B5EF4-FFF2-40B4-BE49-F238E27FC236}">
              <a16:creationId xmlns:a16="http://schemas.microsoft.com/office/drawing/2014/main" id="{446DCEF7-DA0D-4CCA-A50A-A3D587364C8D}"/>
            </a:ext>
          </a:extLst>
        </xdr:cNvPr>
        <xdr:cNvSpPr/>
      </xdr:nvSpPr>
      <xdr:spPr>
        <a:xfrm>
          <a:off x="1064711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58</xdr:row>
      <xdr:rowOff>7056</xdr:rowOff>
    </xdr:from>
    <xdr:to>
      <xdr:col>16</xdr:col>
      <xdr:colOff>42332</xdr:colOff>
      <xdr:row>61</xdr:row>
      <xdr:rowOff>1</xdr:rowOff>
    </xdr:to>
    <xdr:sp macro="" textlink="">
      <xdr:nvSpPr>
        <xdr:cNvPr id="2136" name="Isosceles Triangle 2135">
          <a:extLst>
            <a:ext uri="{FF2B5EF4-FFF2-40B4-BE49-F238E27FC236}">
              <a16:creationId xmlns:a16="http://schemas.microsoft.com/office/drawing/2014/main" id="{FD3E8394-E9B1-4680-A425-31D522A7CD6E}"/>
            </a:ext>
          </a:extLst>
        </xdr:cNvPr>
        <xdr:cNvSpPr/>
      </xdr:nvSpPr>
      <xdr:spPr>
        <a:xfrm>
          <a:off x="11686258" y="675075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58</xdr:row>
      <xdr:rowOff>18345</xdr:rowOff>
    </xdr:from>
    <xdr:to>
      <xdr:col>18</xdr:col>
      <xdr:colOff>39510</xdr:colOff>
      <xdr:row>61</xdr:row>
      <xdr:rowOff>11290</xdr:rowOff>
    </xdr:to>
    <xdr:sp macro="" textlink="">
      <xdr:nvSpPr>
        <xdr:cNvPr id="2137" name="Isosceles Triangle 2136">
          <a:extLst>
            <a:ext uri="{FF2B5EF4-FFF2-40B4-BE49-F238E27FC236}">
              <a16:creationId xmlns:a16="http://schemas.microsoft.com/office/drawing/2014/main" id="{C8EC977D-57DF-4448-AA87-EFED17B6DB22}"/>
            </a:ext>
          </a:extLst>
        </xdr:cNvPr>
        <xdr:cNvSpPr/>
      </xdr:nvSpPr>
      <xdr:spPr>
        <a:xfrm>
          <a:off x="12719756" y="676204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58</xdr:row>
      <xdr:rowOff>7056</xdr:rowOff>
    </xdr:from>
    <xdr:to>
      <xdr:col>20</xdr:col>
      <xdr:colOff>42332</xdr:colOff>
      <xdr:row>61</xdr:row>
      <xdr:rowOff>1</xdr:rowOff>
    </xdr:to>
    <xdr:sp macro="" textlink="">
      <xdr:nvSpPr>
        <xdr:cNvPr id="2138" name="Isosceles Triangle 2137">
          <a:extLst>
            <a:ext uri="{FF2B5EF4-FFF2-40B4-BE49-F238E27FC236}">
              <a16:creationId xmlns:a16="http://schemas.microsoft.com/office/drawing/2014/main" id="{4D6A588B-7417-47EF-9913-B298E63B5132}"/>
            </a:ext>
          </a:extLst>
        </xdr:cNvPr>
        <xdr:cNvSpPr/>
      </xdr:nvSpPr>
      <xdr:spPr>
        <a:xfrm>
          <a:off x="13758898" y="67507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58</xdr:row>
      <xdr:rowOff>18345</xdr:rowOff>
    </xdr:from>
    <xdr:to>
      <xdr:col>22</xdr:col>
      <xdr:colOff>39510</xdr:colOff>
      <xdr:row>61</xdr:row>
      <xdr:rowOff>11290</xdr:rowOff>
    </xdr:to>
    <xdr:sp macro="" textlink="">
      <xdr:nvSpPr>
        <xdr:cNvPr id="2139" name="Isosceles Triangle 2138">
          <a:extLst>
            <a:ext uri="{FF2B5EF4-FFF2-40B4-BE49-F238E27FC236}">
              <a16:creationId xmlns:a16="http://schemas.microsoft.com/office/drawing/2014/main" id="{D92E416B-F3B2-4E83-99B2-9C2536B8BC56}"/>
            </a:ext>
          </a:extLst>
        </xdr:cNvPr>
        <xdr:cNvSpPr/>
      </xdr:nvSpPr>
      <xdr:spPr>
        <a:xfrm>
          <a:off x="14792396" y="67620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313976</xdr:colOff>
      <xdr:row>58</xdr:row>
      <xdr:rowOff>59009</xdr:rowOff>
    </xdr:from>
    <xdr:to>
      <xdr:col>24</xdr:col>
      <xdr:colOff>81142</xdr:colOff>
      <xdr:row>61</xdr:row>
      <xdr:rowOff>51954</xdr:rowOff>
    </xdr:to>
    <xdr:sp macro="" textlink="">
      <xdr:nvSpPr>
        <xdr:cNvPr id="2140" name="Isosceles Triangle 2139">
          <a:extLst>
            <a:ext uri="{FF2B5EF4-FFF2-40B4-BE49-F238E27FC236}">
              <a16:creationId xmlns:a16="http://schemas.microsoft.com/office/drawing/2014/main" id="{C5684C60-AB29-4569-80AA-1255B8697AAB}"/>
            </a:ext>
          </a:extLst>
        </xdr:cNvPr>
        <xdr:cNvSpPr/>
      </xdr:nvSpPr>
      <xdr:spPr>
        <a:xfrm>
          <a:off x="11068567" y="10952145"/>
          <a:ext cx="754302" cy="5124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4233</xdr:rowOff>
    </xdr:from>
    <xdr:to>
      <xdr:col>26</xdr:col>
      <xdr:colOff>46570</xdr:colOff>
      <xdr:row>60</xdr:row>
      <xdr:rowOff>173567</xdr:rowOff>
    </xdr:to>
    <xdr:sp macro="" textlink="">
      <xdr:nvSpPr>
        <xdr:cNvPr id="2141" name="Isosceles Triangle 2140">
          <a:extLst>
            <a:ext uri="{FF2B5EF4-FFF2-40B4-BE49-F238E27FC236}">
              <a16:creationId xmlns:a16="http://schemas.microsoft.com/office/drawing/2014/main" id="{32866E00-337C-40C7-A3B5-B287A6455DD2}"/>
            </a:ext>
          </a:extLst>
        </xdr:cNvPr>
        <xdr:cNvSpPr/>
      </xdr:nvSpPr>
      <xdr:spPr>
        <a:xfrm>
          <a:off x="131967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28</xdr:col>
      <xdr:colOff>420515</xdr:colOff>
      <xdr:row>58</xdr:row>
      <xdr:rowOff>13304</xdr:rowOff>
    </xdr:from>
    <xdr:to>
      <xdr:col>30</xdr:col>
      <xdr:colOff>46570</xdr:colOff>
      <xdr:row>61</xdr:row>
      <xdr:rowOff>1210</xdr:rowOff>
    </xdr:to>
    <xdr:sp macro="" textlink="">
      <xdr:nvSpPr>
        <xdr:cNvPr id="2142" name="Isosceles Triangle 2141">
          <a:extLst>
            <a:ext uri="{FF2B5EF4-FFF2-40B4-BE49-F238E27FC236}">
              <a16:creationId xmlns:a16="http://schemas.microsoft.com/office/drawing/2014/main" id="{D68C526F-3E9C-42B7-97D3-98C142372385}"/>
            </a:ext>
          </a:extLst>
        </xdr:cNvPr>
        <xdr:cNvSpPr/>
      </xdr:nvSpPr>
      <xdr:spPr>
        <a:xfrm>
          <a:off x="3392315" y="895918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58</xdr:row>
      <xdr:rowOff>13304</xdr:rowOff>
    </xdr:from>
    <xdr:to>
      <xdr:col>26</xdr:col>
      <xdr:colOff>46569</xdr:colOff>
      <xdr:row>61</xdr:row>
      <xdr:rowOff>1210</xdr:rowOff>
    </xdr:to>
    <xdr:sp macro="" textlink="">
      <xdr:nvSpPr>
        <xdr:cNvPr id="2143" name="Isosceles Triangle 2142">
          <a:extLst>
            <a:ext uri="{FF2B5EF4-FFF2-40B4-BE49-F238E27FC236}">
              <a16:creationId xmlns:a16="http://schemas.microsoft.com/office/drawing/2014/main" id="{B0A372D1-E409-4057-A54D-0BF39D00B89E}"/>
            </a:ext>
          </a:extLst>
        </xdr:cNvPr>
        <xdr:cNvSpPr/>
      </xdr:nvSpPr>
      <xdr:spPr>
        <a:xfrm>
          <a:off x="1319675" y="89591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58</xdr:row>
      <xdr:rowOff>15522</xdr:rowOff>
    </xdr:from>
    <xdr:to>
      <xdr:col>28</xdr:col>
      <xdr:colOff>43746</xdr:colOff>
      <xdr:row>61</xdr:row>
      <xdr:rowOff>8467</xdr:rowOff>
    </xdr:to>
    <xdr:sp macro="" textlink="">
      <xdr:nvSpPr>
        <xdr:cNvPr id="2144" name="Isosceles Triangle 2143">
          <a:extLst>
            <a:ext uri="{FF2B5EF4-FFF2-40B4-BE49-F238E27FC236}">
              <a16:creationId xmlns:a16="http://schemas.microsoft.com/office/drawing/2014/main" id="{31A3D473-100D-46BE-8F03-498CF8840CF6}"/>
            </a:ext>
          </a:extLst>
        </xdr:cNvPr>
        <xdr:cNvSpPr/>
      </xdr:nvSpPr>
      <xdr:spPr>
        <a:xfrm>
          <a:off x="2353172" y="89614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71</xdr:row>
      <xdr:rowOff>7056</xdr:rowOff>
    </xdr:from>
    <xdr:to>
      <xdr:col>2</xdr:col>
      <xdr:colOff>42332</xdr:colOff>
      <xdr:row>74</xdr:row>
      <xdr:rowOff>1</xdr:rowOff>
    </xdr:to>
    <xdr:sp macro="" textlink="">
      <xdr:nvSpPr>
        <xdr:cNvPr id="2145" name="Isosceles Triangle 2144">
          <a:extLst>
            <a:ext uri="{FF2B5EF4-FFF2-40B4-BE49-F238E27FC236}">
              <a16:creationId xmlns:a16="http://schemas.microsoft.com/office/drawing/2014/main" id="{28E7C0D3-F56C-4EC3-8AA9-80353EDDE5AE}"/>
            </a:ext>
          </a:extLst>
        </xdr:cNvPr>
        <xdr:cNvSpPr/>
      </xdr:nvSpPr>
      <xdr:spPr>
        <a:xfrm>
          <a:off x="4424398" y="89529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71</xdr:row>
      <xdr:rowOff>18345</xdr:rowOff>
    </xdr:from>
    <xdr:to>
      <xdr:col>4</xdr:col>
      <xdr:colOff>39510</xdr:colOff>
      <xdr:row>74</xdr:row>
      <xdr:rowOff>11290</xdr:rowOff>
    </xdr:to>
    <xdr:sp macro="" textlink="">
      <xdr:nvSpPr>
        <xdr:cNvPr id="2146" name="Isosceles Triangle 2145">
          <a:extLst>
            <a:ext uri="{FF2B5EF4-FFF2-40B4-BE49-F238E27FC236}">
              <a16:creationId xmlns:a16="http://schemas.microsoft.com/office/drawing/2014/main" id="{1E6DDB4C-D1A0-4233-BE49-6BC3C535AAA5}"/>
            </a:ext>
          </a:extLst>
        </xdr:cNvPr>
        <xdr:cNvSpPr/>
      </xdr:nvSpPr>
      <xdr:spPr>
        <a:xfrm>
          <a:off x="54578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71</xdr:row>
      <xdr:rowOff>7056</xdr:rowOff>
    </xdr:from>
    <xdr:to>
      <xdr:col>6</xdr:col>
      <xdr:colOff>42332</xdr:colOff>
      <xdr:row>74</xdr:row>
      <xdr:rowOff>1</xdr:rowOff>
    </xdr:to>
    <xdr:sp macro="" textlink="">
      <xdr:nvSpPr>
        <xdr:cNvPr id="2147" name="Isosceles Triangle 2146">
          <a:extLst>
            <a:ext uri="{FF2B5EF4-FFF2-40B4-BE49-F238E27FC236}">
              <a16:creationId xmlns:a16="http://schemas.microsoft.com/office/drawing/2014/main" id="{8B5DFD19-EBB4-4BF4-AD2A-FE602BD40C95}"/>
            </a:ext>
          </a:extLst>
        </xdr:cNvPr>
        <xdr:cNvSpPr/>
      </xdr:nvSpPr>
      <xdr:spPr>
        <a:xfrm>
          <a:off x="6497038" y="89529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71</xdr:row>
      <xdr:rowOff>18345</xdr:rowOff>
    </xdr:from>
    <xdr:to>
      <xdr:col>8</xdr:col>
      <xdr:colOff>39510</xdr:colOff>
      <xdr:row>74</xdr:row>
      <xdr:rowOff>11290</xdr:rowOff>
    </xdr:to>
    <xdr:sp macro="" textlink="">
      <xdr:nvSpPr>
        <xdr:cNvPr id="2148" name="Isosceles Triangle 2147">
          <a:extLst>
            <a:ext uri="{FF2B5EF4-FFF2-40B4-BE49-F238E27FC236}">
              <a16:creationId xmlns:a16="http://schemas.microsoft.com/office/drawing/2014/main" id="{C51DC23B-5EED-4736-B0BA-46BD686F19BF}"/>
            </a:ext>
          </a:extLst>
        </xdr:cNvPr>
        <xdr:cNvSpPr/>
      </xdr:nvSpPr>
      <xdr:spPr>
        <a:xfrm>
          <a:off x="753053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71</xdr:row>
      <xdr:rowOff>7056</xdr:rowOff>
    </xdr:from>
    <xdr:to>
      <xdr:col>10</xdr:col>
      <xdr:colOff>42332</xdr:colOff>
      <xdr:row>74</xdr:row>
      <xdr:rowOff>1</xdr:rowOff>
    </xdr:to>
    <xdr:sp macro="" textlink="">
      <xdr:nvSpPr>
        <xdr:cNvPr id="2149" name="Isosceles Triangle 2148">
          <a:extLst>
            <a:ext uri="{FF2B5EF4-FFF2-40B4-BE49-F238E27FC236}">
              <a16:creationId xmlns:a16="http://schemas.microsoft.com/office/drawing/2014/main" id="{E89974CC-AF3D-4C45-A4FC-4343914354EC}"/>
            </a:ext>
          </a:extLst>
        </xdr:cNvPr>
        <xdr:cNvSpPr/>
      </xdr:nvSpPr>
      <xdr:spPr>
        <a:xfrm>
          <a:off x="8569678" y="89529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71</xdr:row>
      <xdr:rowOff>18345</xdr:rowOff>
    </xdr:from>
    <xdr:to>
      <xdr:col>12</xdr:col>
      <xdr:colOff>39510</xdr:colOff>
      <xdr:row>74</xdr:row>
      <xdr:rowOff>11290</xdr:rowOff>
    </xdr:to>
    <xdr:sp macro="" textlink="">
      <xdr:nvSpPr>
        <xdr:cNvPr id="2150" name="Isosceles Triangle 2149">
          <a:extLst>
            <a:ext uri="{FF2B5EF4-FFF2-40B4-BE49-F238E27FC236}">
              <a16:creationId xmlns:a16="http://schemas.microsoft.com/office/drawing/2014/main" id="{B5D496B7-BBA4-4D8F-B671-7D16A8869C65}"/>
            </a:ext>
          </a:extLst>
        </xdr:cNvPr>
        <xdr:cNvSpPr/>
      </xdr:nvSpPr>
      <xdr:spPr>
        <a:xfrm>
          <a:off x="9610796" y="89642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385482</xdr:colOff>
      <xdr:row>71</xdr:row>
      <xdr:rowOff>7055</xdr:rowOff>
    </xdr:from>
    <xdr:to>
      <xdr:col>14</xdr:col>
      <xdr:colOff>49391</xdr:colOff>
      <xdr:row>74</xdr:row>
      <xdr:rowOff>0</xdr:rowOff>
    </xdr:to>
    <xdr:sp macro="" textlink="">
      <xdr:nvSpPr>
        <xdr:cNvPr id="2151" name="Isosceles Triangle 2150">
          <a:extLst>
            <a:ext uri="{FF2B5EF4-FFF2-40B4-BE49-F238E27FC236}">
              <a16:creationId xmlns:a16="http://schemas.microsoft.com/office/drawing/2014/main" id="{B174399C-4C81-4583-BEED-E4E354C4ECE5}"/>
            </a:ext>
          </a:extLst>
        </xdr:cNvPr>
        <xdr:cNvSpPr/>
      </xdr:nvSpPr>
      <xdr:spPr>
        <a:xfrm>
          <a:off x="10619142" y="8952935"/>
          <a:ext cx="700229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4233</xdr:rowOff>
    </xdr:from>
    <xdr:to>
      <xdr:col>16</xdr:col>
      <xdr:colOff>46570</xdr:colOff>
      <xdr:row>73</xdr:row>
      <xdr:rowOff>173567</xdr:rowOff>
    </xdr:to>
    <xdr:sp macro="" textlink="">
      <xdr:nvSpPr>
        <xdr:cNvPr id="2152" name="Isosceles Triangle 2151">
          <a:extLst>
            <a:ext uri="{FF2B5EF4-FFF2-40B4-BE49-F238E27FC236}">
              <a16:creationId xmlns:a16="http://schemas.microsoft.com/office/drawing/2014/main" id="{C8E1CB87-B095-4C3C-9493-DD20AF8CE8BE}"/>
            </a:ext>
          </a:extLst>
        </xdr:cNvPr>
        <xdr:cNvSpPr/>
      </xdr:nvSpPr>
      <xdr:spPr>
        <a:xfrm>
          <a:off x="11690495" y="8950113"/>
          <a:ext cx="662375" cy="496994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407815</xdr:colOff>
      <xdr:row>71</xdr:row>
      <xdr:rowOff>13304</xdr:rowOff>
    </xdr:from>
    <xdr:to>
      <xdr:col>20</xdr:col>
      <xdr:colOff>33870</xdr:colOff>
      <xdr:row>74</xdr:row>
      <xdr:rowOff>1209</xdr:rowOff>
    </xdr:to>
    <xdr:sp macro="" textlink="">
      <xdr:nvSpPr>
        <xdr:cNvPr id="2153" name="Isosceles Triangle 2152">
          <a:extLst>
            <a:ext uri="{FF2B5EF4-FFF2-40B4-BE49-F238E27FC236}">
              <a16:creationId xmlns:a16="http://schemas.microsoft.com/office/drawing/2014/main" id="{CB87D8F6-BB7F-4F96-8052-74791EF15C7F}"/>
            </a:ext>
          </a:extLst>
        </xdr:cNvPr>
        <xdr:cNvSpPr/>
      </xdr:nvSpPr>
      <xdr:spPr>
        <a:xfrm>
          <a:off x="9539115" y="13272104"/>
          <a:ext cx="654755" cy="4832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71</xdr:row>
      <xdr:rowOff>13304</xdr:rowOff>
    </xdr:from>
    <xdr:to>
      <xdr:col>16</xdr:col>
      <xdr:colOff>46569</xdr:colOff>
      <xdr:row>74</xdr:row>
      <xdr:rowOff>1209</xdr:rowOff>
    </xdr:to>
    <xdr:sp macro="" textlink="">
      <xdr:nvSpPr>
        <xdr:cNvPr id="2154" name="Isosceles Triangle 2153">
          <a:extLst>
            <a:ext uri="{FF2B5EF4-FFF2-40B4-BE49-F238E27FC236}">
              <a16:creationId xmlns:a16="http://schemas.microsoft.com/office/drawing/2014/main" id="{1A22985D-2C52-4D0C-9F44-3FF21AB73D8E}"/>
            </a:ext>
          </a:extLst>
        </xdr:cNvPr>
        <xdr:cNvSpPr/>
      </xdr:nvSpPr>
      <xdr:spPr>
        <a:xfrm>
          <a:off x="11690495" y="895918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71</xdr:row>
      <xdr:rowOff>15522</xdr:rowOff>
    </xdr:from>
    <xdr:to>
      <xdr:col>18</xdr:col>
      <xdr:colOff>43746</xdr:colOff>
      <xdr:row>74</xdr:row>
      <xdr:rowOff>8467</xdr:rowOff>
    </xdr:to>
    <xdr:sp macro="" textlink="">
      <xdr:nvSpPr>
        <xdr:cNvPr id="2155" name="Isosceles Triangle 2154">
          <a:extLst>
            <a:ext uri="{FF2B5EF4-FFF2-40B4-BE49-F238E27FC236}">
              <a16:creationId xmlns:a16="http://schemas.microsoft.com/office/drawing/2014/main" id="{C492712B-14AB-4B4C-9B7A-BEFCB17C4B69}"/>
            </a:ext>
          </a:extLst>
        </xdr:cNvPr>
        <xdr:cNvSpPr/>
      </xdr:nvSpPr>
      <xdr:spPr>
        <a:xfrm>
          <a:off x="12723992" y="8961402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394507</xdr:colOff>
      <xdr:row>71</xdr:row>
      <xdr:rowOff>28827</xdr:rowOff>
    </xdr:from>
    <xdr:to>
      <xdr:col>22</xdr:col>
      <xdr:colOff>20561</xdr:colOff>
      <xdr:row>74</xdr:row>
      <xdr:rowOff>21772</xdr:rowOff>
    </xdr:to>
    <xdr:sp macro="" textlink="">
      <xdr:nvSpPr>
        <xdr:cNvPr id="2156" name="Isosceles Triangle 2155">
          <a:extLst>
            <a:ext uri="{FF2B5EF4-FFF2-40B4-BE49-F238E27FC236}">
              <a16:creationId xmlns:a16="http://schemas.microsoft.com/office/drawing/2014/main" id="{2B440F23-ACF8-4DBB-95A4-5176F579B78E}"/>
            </a:ext>
          </a:extLst>
        </xdr:cNvPr>
        <xdr:cNvSpPr/>
      </xdr:nvSpPr>
      <xdr:spPr>
        <a:xfrm>
          <a:off x="14773447" y="8974707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343460</xdr:colOff>
      <xdr:row>71</xdr:row>
      <xdr:rowOff>18345</xdr:rowOff>
    </xdr:from>
    <xdr:to>
      <xdr:col>24</xdr:col>
      <xdr:colOff>87135</xdr:colOff>
      <xdr:row>74</xdr:row>
      <xdr:rowOff>11290</xdr:rowOff>
    </xdr:to>
    <xdr:sp macro="" textlink="">
      <xdr:nvSpPr>
        <xdr:cNvPr id="2157" name="Isosceles Triangle 2156">
          <a:extLst>
            <a:ext uri="{FF2B5EF4-FFF2-40B4-BE49-F238E27FC236}">
              <a16:creationId xmlns:a16="http://schemas.microsoft.com/office/drawing/2014/main" id="{6AF0B081-CD4C-4274-B3FE-B73C1A213F68}"/>
            </a:ext>
          </a:extLst>
        </xdr:cNvPr>
        <xdr:cNvSpPr/>
      </xdr:nvSpPr>
      <xdr:spPr>
        <a:xfrm>
          <a:off x="11217835" y="12892970"/>
          <a:ext cx="743800" cy="516820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71</xdr:row>
      <xdr:rowOff>7056</xdr:rowOff>
    </xdr:from>
    <xdr:to>
      <xdr:col>26</xdr:col>
      <xdr:colOff>42332</xdr:colOff>
      <xdr:row>74</xdr:row>
      <xdr:rowOff>1</xdr:rowOff>
    </xdr:to>
    <xdr:sp macro="" textlink="">
      <xdr:nvSpPr>
        <xdr:cNvPr id="2158" name="Isosceles Triangle 2157">
          <a:extLst>
            <a:ext uri="{FF2B5EF4-FFF2-40B4-BE49-F238E27FC236}">
              <a16:creationId xmlns:a16="http://schemas.microsoft.com/office/drawing/2014/main" id="{D31221B3-A205-4DCC-8E70-0618C58B2469}"/>
            </a:ext>
          </a:extLst>
        </xdr:cNvPr>
        <xdr:cNvSpPr/>
      </xdr:nvSpPr>
      <xdr:spPr>
        <a:xfrm>
          <a:off x="131543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71</xdr:row>
      <xdr:rowOff>18345</xdr:rowOff>
    </xdr:from>
    <xdr:to>
      <xdr:col>28</xdr:col>
      <xdr:colOff>39510</xdr:colOff>
      <xdr:row>74</xdr:row>
      <xdr:rowOff>11290</xdr:rowOff>
    </xdr:to>
    <xdr:sp macro="" textlink="">
      <xdr:nvSpPr>
        <xdr:cNvPr id="2159" name="Isosceles Triangle 2158">
          <a:extLst>
            <a:ext uri="{FF2B5EF4-FFF2-40B4-BE49-F238E27FC236}">
              <a16:creationId xmlns:a16="http://schemas.microsoft.com/office/drawing/2014/main" id="{78D93494-5774-47B5-B4A0-530EEC20DE9C}"/>
            </a:ext>
          </a:extLst>
        </xdr:cNvPr>
        <xdr:cNvSpPr/>
      </xdr:nvSpPr>
      <xdr:spPr>
        <a:xfrm>
          <a:off x="234893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71</xdr:row>
      <xdr:rowOff>7056</xdr:rowOff>
    </xdr:from>
    <xdr:to>
      <xdr:col>30</xdr:col>
      <xdr:colOff>42332</xdr:colOff>
      <xdr:row>74</xdr:row>
      <xdr:rowOff>1</xdr:rowOff>
    </xdr:to>
    <xdr:sp macro="" textlink="">
      <xdr:nvSpPr>
        <xdr:cNvPr id="2160" name="Isosceles Triangle 2159">
          <a:extLst>
            <a:ext uri="{FF2B5EF4-FFF2-40B4-BE49-F238E27FC236}">
              <a16:creationId xmlns:a16="http://schemas.microsoft.com/office/drawing/2014/main" id="{8943271C-9328-4103-975A-771FB8FFC41E}"/>
            </a:ext>
          </a:extLst>
        </xdr:cNvPr>
        <xdr:cNvSpPr/>
      </xdr:nvSpPr>
      <xdr:spPr>
        <a:xfrm>
          <a:off x="3388078" y="1131513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82</xdr:row>
      <xdr:rowOff>18345</xdr:rowOff>
    </xdr:from>
    <xdr:to>
      <xdr:col>2</xdr:col>
      <xdr:colOff>39510</xdr:colOff>
      <xdr:row>85</xdr:row>
      <xdr:rowOff>11290</xdr:rowOff>
    </xdr:to>
    <xdr:sp macro="" textlink="">
      <xdr:nvSpPr>
        <xdr:cNvPr id="2161" name="Isosceles Triangle 2160">
          <a:extLst>
            <a:ext uri="{FF2B5EF4-FFF2-40B4-BE49-F238E27FC236}">
              <a16:creationId xmlns:a16="http://schemas.microsoft.com/office/drawing/2014/main" id="{5BE08E9F-55B1-48E4-93F2-204D8F5E6A3E}"/>
            </a:ext>
          </a:extLst>
        </xdr:cNvPr>
        <xdr:cNvSpPr/>
      </xdr:nvSpPr>
      <xdr:spPr>
        <a:xfrm>
          <a:off x="4421576" y="1132642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108</xdr:col>
      <xdr:colOff>282226</xdr:colOff>
      <xdr:row>98</xdr:row>
      <xdr:rowOff>7055</xdr:rowOff>
    </xdr:from>
    <xdr:to>
      <xdr:col>110</xdr:col>
      <xdr:colOff>49392</xdr:colOff>
      <xdr:row>101</xdr:row>
      <xdr:rowOff>0</xdr:rowOff>
    </xdr:to>
    <xdr:sp macro="" textlink="">
      <xdr:nvSpPr>
        <xdr:cNvPr id="2162" name="Isosceles Triangle 2161">
          <a:extLst>
            <a:ext uri="{FF2B5EF4-FFF2-40B4-BE49-F238E27FC236}">
              <a16:creationId xmlns:a16="http://schemas.microsoft.com/office/drawing/2014/main" id="{5428BFCF-B17F-427D-8EE7-CCC70CDC8541}"/>
            </a:ext>
          </a:extLst>
        </xdr:cNvPr>
        <xdr:cNvSpPr/>
      </xdr:nvSpPr>
      <xdr:spPr>
        <a:xfrm>
          <a:off x="37376386" y="14012615"/>
          <a:ext cx="955886" cy="51110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4233</xdr:rowOff>
    </xdr:from>
    <xdr:to>
      <xdr:col>112</xdr:col>
      <xdr:colOff>46570</xdr:colOff>
      <xdr:row>100</xdr:row>
      <xdr:rowOff>173567</xdr:rowOff>
    </xdr:to>
    <xdr:sp macro="" textlink="">
      <xdr:nvSpPr>
        <xdr:cNvPr id="2163" name="Isosceles Triangle 2162">
          <a:extLst>
            <a:ext uri="{FF2B5EF4-FFF2-40B4-BE49-F238E27FC236}">
              <a16:creationId xmlns:a16="http://schemas.microsoft.com/office/drawing/2014/main" id="{2B437C2B-6CD7-4F55-B297-2DED91C3D264}"/>
            </a:ext>
          </a:extLst>
        </xdr:cNvPr>
        <xdr:cNvSpPr/>
      </xdr:nvSpPr>
      <xdr:spPr>
        <a:xfrm>
          <a:off x="38703395" y="14009793"/>
          <a:ext cx="814775" cy="51223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420515</xdr:colOff>
      <xdr:row>98</xdr:row>
      <xdr:rowOff>13304</xdr:rowOff>
    </xdr:from>
    <xdr:to>
      <xdr:col>116</xdr:col>
      <xdr:colOff>46570</xdr:colOff>
      <xdr:row>101</xdr:row>
      <xdr:rowOff>0</xdr:rowOff>
    </xdr:to>
    <xdr:sp macro="" textlink="">
      <xdr:nvSpPr>
        <xdr:cNvPr id="2164" name="Isosceles Triangle 2163">
          <a:extLst>
            <a:ext uri="{FF2B5EF4-FFF2-40B4-BE49-F238E27FC236}">
              <a16:creationId xmlns:a16="http://schemas.microsoft.com/office/drawing/2014/main" id="{89CB7537-A08C-49E3-880A-FF2F2185267A}"/>
            </a:ext>
          </a:extLst>
        </xdr:cNvPr>
        <xdr:cNvSpPr/>
      </xdr:nvSpPr>
      <xdr:spPr>
        <a:xfrm>
          <a:off x="41080835" y="14018864"/>
          <a:ext cx="814775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110</xdr:col>
      <xdr:colOff>420515</xdr:colOff>
      <xdr:row>98</xdr:row>
      <xdr:rowOff>13304</xdr:rowOff>
    </xdr:from>
    <xdr:to>
      <xdr:col>112</xdr:col>
      <xdr:colOff>46569</xdr:colOff>
      <xdr:row>101</xdr:row>
      <xdr:rowOff>0</xdr:rowOff>
    </xdr:to>
    <xdr:sp macro="" textlink="">
      <xdr:nvSpPr>
        <xdr:cNvPr id="2165" name="Isosceles Triangle 2164">
          <a:extLst>
            <a:ext uri="{FF2B5EF4-FFF2-40B4-BE49-F238E27FC236}">
              <a16:creationId xmlns:a16="http://schemas.microsoft.com/office/drawing/2014/main" id="{B6DC8C03-5408-41A2-B36F-FE22033D071B}"/>
            </a:ext>
          </a:extLst>
        </xdr:cNvPr>
        <xdr:cNvSpPr/>
      </xdr:nvSpPr>
      <xdr:spPr>
        <a:xfrm>
          <a:off x="38703395" y="14018864"/>
          <a:ext cx="814774" cy="50485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112</xdr:col>
      <xdr:colOff>417692</xdr:colOff>
      <xdr:row>98</xdr:row>
      <xdr:rowOff>15522</xdr:rowOff>
    </xdr:from>
    <xdr:to>
      <xdr:col>114</xdr:col>
      <xdr:colOff>43746</xdr:colOff>
      <xdr:row>101</xdr:row>
      <xdr:rowOff>0</xdr:rowOff>
    </xdr:to>
    <xdr:sp macro="" textlink="">
      <xdr:nvSpPr>
        <xdr:cNvPr id="2166" name="Isosceles Triangle 2165">
          <a:extLst>
            <a:ext uri="{FF2B5EF4-FFF2-40B4-BE49-F238E27FC236}">
              <a16:creationId xmlns:a16="http://schemas.microsoft.com/office/drawing/2014/main" id="{D2FEC568-A6B3-4CA1-8FC9-F9B128400B23}"/>
            </a:ext>
          </a:extLst>
        </xdr:cNvPr>
        <xdr:cNvSpPr/>
      </xdr:nvSpPr>
      <xdr:spPr>
        <a:xfrm>
          <a:off x="39889292" y="14021082"/>
          <a:ext cx="814774" cy="502638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116</xdr:col>
      <xdr:colOff>416278</xdr:colOff>
      <xdr:row>98</xdr:row>
      <xdr:rowOff>7056</xdr:rowOff>
    </xdr:from>
    <xdr:to>
      <xdr:col>118</xdr:col>
      <xdr:colOff>42332</xdr:colOff>
      <xdr:row>101</xdr:row>
      <xdr:rowOff>0</xdr:rowOff>
    </xdr:to>
    <xdr:sp macro="" textlink="">
      <xdr:nvSpPr>
        <xdr:cNvPr id="2167" name="Isosceles Triangle 2166">
          <a:extLst>
            <a:ext uri="{FF2B5EF4-FFF2-40B4-BE49-F238E27FC236}">
              <a16:creationId xmlns:a16="http://schemas.microsoft.com/office/drawing/2014/main" id="{492E8E58-634D-419E-A65C-6838562D7163}"/>
            </a:ext>
          </a:extLst>
        </xdr:cNvPr>
        <xdr:cNvSpPr/>
      </xdr:nvSpPr>
      <xdr:spPr>
        <a:xfrm>
          <a:off x="4226531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118</xdr:col>
      <xdr:colOff>413456</xdr:colOff>
      <xdr:row>98</xdr:row>
      <xdr:rowOff>18345</xdr:rowOff>
    </xdr:from>
    <xdr:to>
      <xdr:col>120</xdr:col>
      <xdr:colOff>39510</xdr:colOff>
      <xdr:row>101</xdr:row>
      <xdr:rowOff>0</xdr:rowOff>
    </xdr:to>
    <xdr:sp macro="" textlink="">
      <xdr:nvSpPr>
        <xdr:cNvPr id="2168" name="Isosceles Triangle 2167">
          <a:extLst>
            <a:ext uri="{FF2B5EF4-FFF2-40B4-BE49-F238E27FC236}">
              <a16:creationId xmlns:a16="http://schemas.microsoft.com/office/drawing/2014/main" id="{6BF6ED5C-7A2F-4522-99AF-59CEE523688E}"/>
            </a:ext>
          </a:extLst>
        </xdr:cNvPr>
        <xdr:cNvSpPr/>
      </xdr:nvSpPr>
      <xdr:spPr>
        <a:xfrm>
          <a:off x="4345121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120</xdr:col>
      <xdr:colOff>416278</xdr:colOff>
      <xdr:row>98</xdr:row>
      <xdr:rowOff>7056</xdr:rowOff>
    </xdr:from>
    <xdr:to>
      <xdr:col>122</xdr:col>
      <xdr:colOff>42332</xdr:colOff>
      <xdr:row>101</xdr:row>
      <xdr:rowOff>0</xdr:rowOff>
    </xdr:to>
    <xdr:sp macro="" textlink="">
      <xdr:nvSpPr>
        <xdr:cNvPr id="2169" name="Isosceles Triangle 2168">
          <a:extLst>
            <a:ext uri="{FF2B5EF4-FFF2-40B4-BE49-F238E27FC236}">
              <a16:creationId xmlns:a16="http://schemas.microsoft.com/office/drawing/2014/main" id="{B41AB399-FD14-4FC0-9EEC-C87F9B08FE6F}"/>
            </a:ext>
          </a:extLst>
        </xdr:cNvPr>
        <xdr:cNvSpPr/>
      </xdr:nvSpPr>
      <xdr:spPr>
        <a:xfrm>
          <a:off x="44642758" y="14012616"/>
          <a:ext cx="814774" cy="51110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122</xdr:col>
      <xdr:colOff>413456</xdr:colOff>
      <xdr:row>98</xdr:row>
      <xdr:rowOff>18345</xdr:rowOff>
    </xdr:from>
    <xdr:to>
      <xdr:col>124</xdr:col>
      <xdr:colOff>39510</xdr:colOff>
      <xdr:row>101</xdr:row>
      <xdr:rowOff>0</xdr:rowOff>
    </xdr:to>
    <xdr:sp macro="" textlink="">
      <xdr:nvSpPr>
        <xdr:cNvPr id="2170" name="Isosceles Triangle 2169">
          <a:extLst>
            <a:ext uri="{FF2B5EF4-FFF2-40B4-BE49-F238E27FC236}">
              <a16:creationId xmlns:a16="http://schemas.microsoft.com/office/drawing/2014/main" id="{752E432A-3751-491C-8339-C1DB36A78FAA}"/>
            </a:ext>
          </a:extLst>
        </xdr:cNvPr>
        <xdr:cNvSpPr/>
      </xdr:nvSpPr>
      <xdr:spPr>
        <a:xfrm>
          <a:off x="45828656" y="14023905"/>
          <a:ext cx="814774" cy="49981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124</xdr:col>
      <xdr:colOff>416278</xdr:colOff>
      <xdr:row>98</xdr:row>
      <xdr:rowOff>7056</xdr:rowOff>
    </xdr:from>
    <xdr:to>
      <xdr:col>126</xdr:col>
      <xdr:colOff>42332</xdr:colOff>
      <xdr:row>101</xdr:row>
      <xdr:rowOff>0</xdr:rowOff>
    </xdr:to>
    <xdr:sp macro="" textlink="">
      <xdr:nvSpPr>
        <xdr:cNvPr id="2171" name="Isosceles Triangle 2170">
          <a:extLst>
            <a:ext uri="{FF2B5EF4-FFF2-40B4-BE49-F238E27FC236}">
              <a16:creationId xmlns:a16="http://schemas.microsoft.com/office/drawing/2014/main" id="{3442A985-402F-40E1-8B2B-12F8C2354076}"/>
            </a:ext>
          </a:extLst>
        </xdr:cNvPr>
        <xdr:cNvSpPr/>
      </xdr:nvSpPr>
      <xdr:spPr>
        <a:xfrm>
          <a:off x="47020198" y="14012616"/>
          <a:ext cx="814774" cy="51110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126</xdr:col>
      <xdr:colOff>413456</xdr:colOff>
      <xdr:row>98</xdr:row>
      <xdr:rowOff>18345</xdr:rowOff>
    </xdr:from>
    <xdr:to>
      <xdr:col>128</xdr:col>
      <xdr:colOff>39510</xdr:colOff>
      <xdr:row>101</xdr:row>
      <xdr:rowOff>0</xdr:rowOff>
    </xdr:to>
    <xdr:sp macro="" textlink="">
      <xdr:nvSpPr>
        <xdr:cNvPr id="2172" name="Isosceles Triangle 2171">
          <a:extLst>
            <a:ext uri="{FF2B5EF4-FFF2-40B4-BE49-F238E27FC236}">
              <a16:creationId xmlns:a16="http://schemas.microsoft.com/office/drawing/2014/main" id="{4B287400-B5D8-4C3F-A876-1836DDBA5702}"/>
            </a:ext>
          </a:extLst>
        </xdr:cNvPr>
        <xdr:cNvSpPr/>
      </xdr:nvSpPr>
      <xdr:spPr>
        <a:xfrm>
          <a:off x="48206096" y="14023905"/>
          <a:ext cx="814774" cy="49981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331869</xdr:colOff>
      <xdr:row>82</xdr:row>
      <xdr:rowOff>7055</xdr:rowOff>
    </xdr:from>
    <xdr:to>
      <xdr:col>24</xdr:col>
      <xdr:colOff>64358</xdr:colOff>
      <xdr:row>85</xdr:row>
      <xdr:rowOff>0</xdr:rowOff>
    </xdr:to>
    <xdr:sp macro="" textlink="">
      <xdr:nvSpPr>
        <xdr:cNvPr id="2173" name="Isosceles Triangle 2172">
          <a:extLst>
            <a:ext uri="{FF2B5EF4-FFF2-40B4-BE49-F238E27FC236}">
              <a16:creationId xmlns:a16="http://schemas.microsoft.com/office/drawing/2014/main" id="{FD1972EC-6F75-421F-9168-677B1C591358}"/>
            </a:ext>
          </a:extLst>
        </xdr:cNvPr>
        <xdr:cNvSpPr/>
      </xdr:nvSpPr>
      <xdr:spPr>
        <a:xfrm>
          <a:off x="11206244" y="15326430"/>
          <a:ext cx="732614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4233</xdr:rowOff>
    </xdr:from>
    <xdr:to>
      <xdr:col>26</xdr:col>
      <xdr:colOff>46570</xdr:colOff>
      <xdr:row>84</xdr:row>
      <xdr:rowOff>173567</xdr:rowOff>
    </xdr:to>
    <xdr:sp macro="" textlink="">
      <xdr:nvSpPr>
        <xdr:cNvPr id="2174" name="Isosceles Triangle 2173">
          <a:extLst>
            <a:ext uri="{FF2B5EF4-FFF2-40B4-BE49-F238E27FC236}">
              <a16:creationId xmlns:a16="http://schemas.microsoft.com/office/drawing/2014/main" id="{50333B55-D5C2-44AC-B77A-31DCD89EA918}"/>
            </a:ext>
          </a:extLst>
        </xdr:cNvPr>
        <xdr:cNvSpPr/>
      </xdr:nvSpPr>
      <xdr:spPr>
        <a:xfrm>
          <a:off x="131967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82</xdr:row>
      <xdr:rowOff>13304</xdr:rowOff>
    </xdr:from>
    <xdr:to>
      <xdr:col>30</xdr:col>
      <xdr:colOff>46570</xdr:colOff>
      <xdr:row>85</xdr:row>
      <xdr:rowOff>1209</xdr:rowOff>
    </xdr:to>
    <xdr:sp macro="" textlink="">
      <xdr:nvSpPr>
        <xdr:cNvPr id="2175" name="Isosceles Triangle 2174">
          <a:extLst>
            <a:ext uri="{FF2B5EF4-FFF2-40B4-BE49-F238E27FC236}">
              <a16:creationId xmlns:a16="http://schemas.microsoft.com/office/drawing/2014/main" id="{2FA067E0-5D30-4B88-ACDA-B9757C65F0F2}"/>
            </a:ext>
          </a:extLst>
        </xdr:cNvPr>
        <xdr:cNvSpPr/>
      </xdr:nvSpPr>
      <xdr:spPr>
        <a:xfrm>
          <a:off x="3392315" y="131806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82</xdr:row>
      <xdr:rowOff>13304</xdr:rowOff>
    </xdr:from>
    <xdr:to>
      <xdr:col>26</xdr:col>
      <xdr:colOff>46569</xdr:colOff>
      <xdr:row>85</xdr:row>
      <xdr:rowOff>1209</xdr:rowOff>
    </xdr:to>
    <xdr:sp macro="" textlink="">
      <xdr:nvSpPr>
        <xdr:cNvPr id="2176" name="Isosceles Triangle 2175">
          <a:extLst>
            <a:ext uri="{FF2B5EF4-FFF2-40B4-BE49-F238E27FC236}">
              <a16:creationId xmlns:a16="http://schemas.microsoft.com/office/drawing/2014/main" id="{E2CF41EC-3314-4276-AC85-49493B809132}"/>
            </a:ext>
          </a:extLst>
        </xdr:cNvPr>
        <xdr:cNvSpPr/>
      </xdr:nvSpPr>
      <xdr:spPr>
        <a:xfrm>
          <a:off x="1319675" y="131806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82</xdr:row>
      <xdr:rowOff>15522</xdr:rowOff>
    </xdr:from>
    <xdr:to>
      <xdr:col>28</xdr:col>
      <xdr:colOff>43746</xdr:colOff>
      <xdr:row>85</xdr:row>
      <xdr:rowOff>8467</xdr:rowOff>
    </xdr:to>
    <xdr:sp macro="" textlink="">
      <xdr:nvSpPr>
        <xdr:cNvPr id="2177" name="Isosceles Triangle 2176">
          <a:extLst>
            <a:ext uri="{FF2B5EF4-FFF2-40B4-BE49-F238E27FC236}">
              <a16:creationId xmlns:a16="http://schemas.microsoft.com/office/drawing/2014/main" id="{7ADAABF5-55E3-4DA1-91EF-2235A1D5F4A4}"/>
            </a:ext>
          </a:extLst>
        </xdr:cNvPr>
        <xdr:cNvSpPr/>
      </xdr:nvSpPr>
      <xdr:spPr>
        <a:xfrm>
          <a:off x="2353172" y="131828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93</xdr:row>
      <xdr:rowOff>7056</xdr:rowOff>
    </xdr:from>
    <xdr:to>
      <xdr:col>2</xdr:col>
      <xdr:colOff>42332</xdr:colOff>
      <xdr:row>96</xdr:row>
      <xdr:rowOff>1</xdr:rowOff>
    </xdr:to>
    <xdr:sp macro="" textlink="">
      <xdr:nvSpPr>
        <xdr:cNvPr id="2178" name="Isosceles Triangle 2177">
          <a:extLst>
            <a:ext uri="{FF2B5EF4-FFF2-40B4-BE49-F238E27FC236}">
              <a16:creationId xmlns:a16="http://schemas.microsoft.com/office/drawing/2014/main" id="{04FF6E79-63FE-4AF6-B604-359D21253F7D}"/>
            </a:ext>
          </a:extLst>
        </xdr:cNvPr>
        <xdr:cNvSpPr/>
      </xdr:nvSpPr>
      <xdr:spPr>
        <a:xfrm>
          <a:off x="4424398" y="131744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93</xdr:row>
      <xdr:rowOff>18345</xdr:rowOff>
    </xdr:from>
    <xdr:to>
      <xdr:col>4</xdr:col>
      <xdr:colOff>39510</xdr:colOff>
      <xdr:row>96</xdr:row>
      <xdr:rowOff>11290</xdr:rowOff>
    </xdr:to>
    <xdr:sp macro="" textlink="">
      <xdr:nvSpPr>
        <xdr:cNvPr id="2179" name="Isosceles Triangle 2178">
          <a:extLst>
            <a:ext uri="{FF2B5EF4-FFF2-40B4-BE49-F238E27FC236}">
              <a16:creationId xmlns:a16="http://schemas.microsoft.com/office/drawing/2014/main" id="{22445480-8BF3-40CB-9DD5-3471FE3D4669}"/>
            </a:ext>
          </a:extLst>
        </xdr:cNvPr>
        <xdr:cNvSpPr/>
      </xdr:nvSpPr>
      <xdr:spPr>
        <a:xfrm>
          <a:off x="54578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93</xdr:row>
      <xdr:rowOff>7056</xdr:rowOff>
    </xdr:from>
    <xdr:to>
      <xdr:col>6</xdr:col>
      <xdr:colOff>42332</xdr:colOff>
      <xdr:row>96</xdr:row>
      <xdr:rowOff>1</xdr:rowOff>
    </xdr:to>
    <xdr:sp macro="" textlink="">
      <xdr:nvSpPr>
        <xdr:cNvPr id="2180" name="Isosceles Triangle 2179">
          <a:extLst>
            <a:ext uri="{FF2B5EF4-FFF2-40B4-BE49-F238E27FC236}">
              <a16:creationId xmlns:a16="http://schemas.microsoft.com/office/drawing/2014/main" id="{A0C3A352-418C-472B-9179-3F5831B318CE}"/>
            </a:ext>
          </a:extLst>
        </xdr:cNvPr>
        <xdr:cNvSpPr/>
      </xdr:nvSpPr>
      <xdr:spPr>
        <a:xfrm>
          <a:off x="649703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413456</xdr:colOff>
      <xdr:row>93</xdr:row>
      <xdr:rowOff>18345</xdr:rowOff>
    </xdr:from>
    <xdr:to>
      <xdr:col>8</xdr:col>
      <xdr:colOff>39510</xdr:colOff>
      <xdr:row>96</xdr:row>
      <xdr:rowOff>11290</xdr:rowOff>
    </xdr:to>
    <xdr:sp macro="" textlink="">
      <xdr:nvSpPr>
        <xdr:cNvPr id="2181" name="Isosceles Triangle 2180">
          <a:extLst>
            <a:ext uri="{FF2B5EF4-FFF2-40B4-BE49-F238E27FC236}">
              <a16:creationId xmlns:a16="http://schemas.microsoft.com/office/drawing/2014/main" id="{97B69B23-B883-419F-B4B5-BBE516170E58}"/>
            </a:ext>
          </a:extLst>
        </xdr:cNvPr>
        <xdr:cNvSpPr/>
      </xdr:nvSpPr>
      <xdr:spPr>
        <a:xfrm>
          <a:off x="753053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93</xdr:row>
      <xdr:rowOff>7056</xdr:rowOff>
    </xdr:from>
    <xdr:to>
      <xdr:col>10</xdr:col>
      <xdr:colOff>42332</xdr:colOff>
      <xdr:row>96</xdr:row>
      <xdr:rowOff>1</xdr:rowOff>
    </xdr:to>
    <xdr:sp macro="" textlink="">
      <xdr:nvSpPr>
        <xdr:cNvPr id="2182" name="Isosceles Triangle 2181">
          <a:extLst>
            <a:ext uri="{FF2B5EF4-FFF2-40B4-BE49-F238E27FC236}">
              <a16:creationId xmlns:a16="http://schemas.microsoft.com/office/drawing/2014/main" id="{4F0BD581-0BFC-41C3-95E8-23F721C119B0}"/>
            </a:ext>
          </a:extLst>
        </xdr:cNvPr>
        <xdr:cNvSpPr/>
      </xdr:nvSpPr>
      <xdr:spPr>
        <a:xfrm>
          <a:off x="8569678" y="1317441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93</xdr:row>
      <xdr:rowOff>18345</xdr:rowOff>
    </xdr:from>
    <xdr:to>
      <xdr:col>12</xdr:col>
      <xdr:colOff>39510</xdr:colOff>
      <xdr:row>96</xdr:row>
      <xdr:rowOff>11290</xdr:rowOff>
    </xdr:to>
    <xdr:sp macro="" textlink="">
      <xdr:nvSpPr>
        <xdr:cNvPr id="2183" name="Isosceles Triangle 2182">
          <a:extLst>
            <a:ext uri="{FF2B5EF4-FFF2-40B4-BE49-F238E27FC236}">
              <a16:creationId xmlns:a16="http://schemas.microsoft.com/office/drawing/2014/main" id="{9CBB8AF9-913A-4E38-BFE3-5D4182CD8A90}"/>
            </a:ext>
          </a:extLst>
        </xdr:cNvPr>
        <xdr:cNvSpPr/>
      </xdr:nvSpPr>
      <xdr:spPr>
        <a:xfrm>
          <a:off x="9610796" y="1318570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402771</xdr:colOff>
      <xdr:row>93</xdr:row>
      <xdr:rowOff>7055</xdr:rowOff>
    </xdr:from>
    <xdr:to>
      <xdr:col>14</xdr:col>
      <xdr:colOff>49392</xdr:colOff>
      <xdr:row>95</xdr:row>
      <xdr:rowOff>152400</xdr:rowOff>
    </xdr:to>
    <xdr:sp macro="" textlink="">
      <xdr:nvSpPr>
        <xdr:cNvPr id="2184" name="Isosceles Triangle 2183">
          <a:extLst>
            <a:ext uri="{FF2B5EF4-FFF2-40B4-BE49-F238E27FC236}">
              <a16:creationId xmlns:a16="http://schemas.microsoft.com/office/drawing/2014/main" id="{73943455-CDE1-4391-92A0-F763036ACBA2}"/>
            </a:ext>
          </a:extLst>
        </xdr:cNvPr>
        <xdr:cNvSpPr/>
      </xdr:nvSpPr>
      <xdr:spPr>
        <a:xfrm>
          <a:off x="10636431" y="13174415"/>
          <a:ext cx="6829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4233</xdr:rowOff>
    </xdr:from>
    <xdr:to>
      <xdr:col>16</xdr:col>
      <xdr:colOff>46570</xdr:colOff>
      <xdr:row>95</xdr:row>
      <xdr:rowOff>173567</xdr:rowOff>
    </xdr:to>
    <xdr:sp macro="" textlink="">
      <xdr:nvSpPr>
        <xdr:cNvPr id="2185" name="Isosceles Triangle 2184">
          <a:extLst>
            <a:ext uri="{FF2B5EF4-FFF2-40B4-BE49-F238E27FC236}">
              <a16:creationId xmlns:a16="http://schemas.microsoft.com/office/drawing/2014/main" id="{AB8F0D2A-53B3-4EB3-9013-6B701AF737B0}"/>
            </a:ext>
          </a:extLst>
        </xdr:cNvPr>
        <xdr:cNvSpPr/>
      </xdr:nvSpPr>
      <xdr:spPr>
        <a:xfrm>
          <a:off x="11690495" y="131715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93</xdr:row>
      <xdr:rowOff>13304</xdr:rowOff>
    </xdr:from>
    <xdr:to>
      <xdr:col>20</xdr:col>
      <xdr:colOff>46570</xdr:colOff>
      <xdr:row>96</xdr:row>
      <xdr:rowOff>1209</xdr:rowOff>
    </xdr:to>
    <xdr:sp macro="" textlink="">
      <xdr:nvSpPr>
        <xdr:cNvPr id="2186" name="Isosceles Triangle 2185">
          <a:extLst>
            <a:ext uri="{FF2B5EF4-FFF2-40B4-BE49-F238E27FC236}">
              <a16:creationId xmlns:a16="http://schemas.microsoft.com/office/drawing/2014/main" id="{5087D65A-94D0-4667-BDC1-42F2D8B82BC0}"/>
            </a:ext>
          </a:extLst>
        </xdr:cNvPr>
        <xdr:cNvSpPr/>
      </xdr:nvSpPr>
      <xdr:spPr>
        <a:xfrm>
          <a:off x="13763135" y="13180664"/>
          <a:ext cx="66237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93</xdr:row>
      <xdr:rowOff>13304</xdr:rowOff>
    </xdr:from>
    <xdr:to>
      <xdr:col>16</xdr:col>
      <xdr:colOff>46569</xdr:colOff>
      <xdr:row>96</xdr:row>
      <xdr:rowOff>1209</xdr:rowOff>
    </xdr:to>
    <xdr:sp macro="" textlink="">
      <xdr:nvSpPr>
        <xdr:cNvPr id="2187" name="Isosceles Triangle 2186">
          <a:extLst>
            <a:ext uri="{FF2B5EF4-FFF2-40B4-BE49-F238E27FC236}">
              <a16:creationId xmlns:a16="http://schemas.microsoft.com/office/drawing/2014/main" id="{6EC1D5D8-712C-4BEA-BD67-1FC334CA49CA}"/>
            </a:ext>
          </a:extLst>
        </xdr:cNvPr>
        <xdr:cNvSpPr/>
      </xdr:nvSpPr>
      <xdr:spPr>
        <a:xfrm>
          <a:off x="11690495" y="13180664"/>
          <a:ext cx="66237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93</xdr:row>
      <xdr:rowOff>15522</xdr:rowOff>
    </xdr:from>
    <xdr:to>
      <xdr:col>18</xdr:col>
      <xdr:colOff>43746</xdr:colOff>
      <xdr:row>96</xdr:row>
      <xdr:rowOff>8467</xdr:rowOff>
    </xdr:to>
    <xdr:sp macro="" textlink="">
      <xdr:nvSpPr>
        <xdr:cNvPr id="2188" name="Isosceles Triangle 2187">
          <a:extLst>
            <a:ext uri="{FF2B5EF4-FFF2-40B4-BE49-F238E27FC236}">
              <a16:creationId xmlns:a16="http://schemas.microsoft.com/office/drawing/2014/main" id="{C2404D24-DBB8-403A-B049-661042B8DEF3}"/>
            </a:ext>
          </a:extLst>
        </xdr:cNvPr>
        <xdr:cNvSpPr/>
      </xdr:nvSpPr>
      <xdr:spPr>
        <a:xfrm>
          <a:off x="12723992" y="1318288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93</xdr:row>
      <xdr:rowOff>7056</xdr:rowOff>
    </xdr:from>
    <xdr:to>
      <xdr:col>22</xdr:col>
      <xdr:colOff>42332</xdr:colOff>
      <xdr:row>96</xdr:row>
      <xdr:rowOff>1</xdr:rowOff>
    </xdr:to>
    <xdr:sp macro="" textlink="">
      <xdr:nvSpPr>
        <xdr:cNvPr id="2189" name="Isosceles Triangle 2188">
          <a:extLst>
            <a:ext uri="{FF2B5EF4-FFF2-40B4-BE49-F238E27FC236}">
              <a16:creationId xmlns:a16="http://schemas.microsoft.com/office/drawing/2014/main" id="{1DCFCA70-3145-41D3-9706-DFAB31B02F19}"/>
            </a:ext>
          </a:extLst>
        </xdr:cNvPr>
        <xdr:cNvSpPr/>
      </xdr:nvSpPr>
      <xdr:spPr>
        <a:xfrm>
          <a:off x="14795218" y="1317441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336983</xdr:colOff>
      <xdr:row>93</xdr:row>
      <xdr:rowOff>18345</xdr:rowOff>
    </xdr:from>
    <xdr:to>
      <xdr:col>24</xdr:col>
      <xdr:colOff>54477</xdr:colOff>
      <xdr:row>96</xdr:row>
      <xdr:rowOff>11290</xdr:rowOff>
    </xdr:to>
    <xdr:sp macro="" textlink="">
      <xdr:nvSpPr>
        <xdr:cNvPr id="2190" name="Isosceles Triangle 2189">
          <a:extLst>
            <a:ext uri="{FF2B5EF4-FFF2-40B4-BE49-F238E27FC236}">
              <a16:creationId xmlns:a16="http://schemas.microsoft.com/office/drawing/2014/main" id="{2D28A4C3-5735-4C9F-A269-57888A1AE7A6}"/>
            </a:ext>
          </a:extLst>
        </xdr:cNvPr>
        <xdr:cNvSpPr/>
      </xdr:nvSpPr>
      <xdr:spPr>
        <a:xfrm>
          <a:off x="11211358" y="17258595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93</xdr:row>
      <xdr:rowOff>7056</xdr:rowOff>
    </xdr:from>
    <xdr:to>
      <xdr:col>26</xdr:col>
      <xdr:colOff>42332</xdr:colOff>
      <xdr:row>96</xdr:row>
      <xdr:rowOff>1</xdr:rowOff>
    </xdr:to>
    <xdr:sp macro="" textlink="">
      <xdr:nvSpPr>
        <xdr:cNvPr id="2191" name="Isosceles Triangle 2190">
          <a:extLst>
            <a:ext uri="{FF2B5EF4-FFF2-40B4-BE49-F238E27FC236}">
              <a16:creationId xmlns:a16="http://schemas.microsoft.com/office/drawing/2014/main" id="{34AD441A-B108-4D74-A083-847EE219AD61}"/>
            </a:ext>
          </a:extLst>
        </xdr:cNvPr>
        <xdr:cNvSpPr/>
      </xdr:nvSpPr>
      <xdr:spPr>
        <a:xfrm>
          <a:off x="131543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93</xdr:row>
      <xdr:rowOff>18345</xdr:rowOff>
    </xdr:from>
    <xdr:to>
      <xdr:col>28</xdr:col>
      <xdr:colOff>39510</xdr:colOff>
      <xdr:row>96</xdr:row>
      <xdr:rowOff>11290</xdr:rowOff>
    </xdr:to>
    <xdr:sp macro="" textlink="">
      <xdr:nvSpPr>
        <xdr:cNvPr id="2192" name="Isosceles Triangle 2191">
          <a:extLst>
            <a:ext uri="{FF2B5EF4-FFF2-40B4-BE49-F238E27FC236}">
              <a16:creationId xmlns:a16="http://schemas.microsoft.com/office/drawing/2014/main" id="{F61C8DFD-12CA-4CEE-ADCF-01FD43DE54F2}"/>
            </a:ext>
          </a:extLst>
        </xdr:cNvPr>
        <xdr:cNvSpPr/>
      </xdr:nvSpPr>
      <xdr:spPr>
        <a:xfrm>
          <a:off x="234893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93</xdr:row>
      <xdr:rowOff>7056</xdr:rowOff>
    </xdr:from>
    <xdr:to>
      <xdr:col>30</xdr:col>
      <xdr:colOff>42332</xdr:colOff>
      <xdr:row>96</xdr:row>
      <xdr:rowOff>1</xdr:rowOff>
    </xdr:to>
    <xdr:sp macro="" textlink="">
      <xdr:nvSpPr>
        <xdr:cNvPr id="2193" name="Isosceles Triangle 2192">
          <a:extLst>
            <a:ext uri="{FF2B5EF4-FFF2-40B4-BE49-F238E27FC236}">
              <a16:creationId xmlns:a16="http://schemas.microsoft.com/office/drawing/2014/main" id="{01A3D8A3-9302-4C5A-AAA3-19EA08F2E474}"/>
            </a:ext>
          </a:extLst>
        </xdr:cNvPr>
        <xdr:cNvSpPr/>
      </xdr:nvSpPr>
      <xdr:spPr>
        <a:xfrm>
          <a:off x="338807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413456</xdr:colOff>
      <xdr:row>104</xdr:row>
      <xdr:rowOff>18345</xdr:rowOff>
    </xdr:from>
    <xdr:to>
      <xdr:col>2</xdr:col>
      <xdr:colOff>39510</xdr:colOff>
      <xdr:row>107</xdr:row>
      <xdr:rowOff>11290</xdr:rowOff>
    </xdr:to>
    <xdr:sp macro="" textlink="">
      <xdr:nvSpPr>
        <xdr:cNvPr id="2194" name="Isosceles Triangle 2193">
          <a:extLst>
            <a:ext uri="{FF2B5EF4-FFF2-40B4-BE49-F238E27FC236}">
              <a16:creationId xmlns:a16="http://schemas.microsoft.com/office/drawing/2014/main" id="{630A9A1C-0D42-48CA-BDA7-EF6BA3C3EB25}"/>
            </a:ext>
          </a:extLst>
        </xdr:cNvPr>
        <xdr:cNvSpPr/>
      </xdr:nvSpPr>
      <xdr:spPr>
        <a:xfrm>
          <a:off x="442157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370114</xdr:colOff>
      <xdr:row>104</xdr:row>
      <xdr:rowOff>7055</xdr:rowOff>
    </xdr:from>
    <xdr:to>
      <xdr:col>4</xdr:col>
      <xdr:colOff>49392</xdr:colOff>
      <xdr:row>107</xdr:row>
      <xdr:rowOff>0</xdr:rowOff>
    </xdr:to>
    <xdr:sp macro="" textlink="">
      <xdr:nvSpPr>
        <xdr:cNvPr id="2195" name="Isosceles Triangle 2194">
          <a:extLst>
            <a:ext uri="{FF2B5EF4-FFF2-40B4-BE49-F238E27FC236}">
              <a16:creationId xmlns:a16="http://schemas.microsoft.com/office/drawing/2014/main" id="{0888B764-29E5-4EA3-8193-67B54C80301E}"/>
            </a:ext>
          </a:extLst>
        </xdr:cNvPr>
        <xdr:cNvSpPr/>
      </xdr:nvSpPr>
      <xdr:spPr>
        <a:xfrm>
          <a:off x="5414554" y="15033695"/>
          <a:ext cx="71559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4233</xdr:rowOff>
    </xdr:from>
    <xdr:to>
      <xdr:col>6</xdr:col>
      <xdr:colOff>46570</xdr:colOff>
      <xdr:row>106</xdr:row>
      <xdr:rowOff>173567</xdr:rowOff>
    </xdr:to>
    <xdr:sp macro="" textlink="">
      <xdr:nvSpPr>
        <xdr:cNvPr id="2196" name="Isosceles Triangle 2195">
          <a:extLst>
            <a:ext uri="{FF2B5EF4-FFF2-40B4-BE49-F238E27FC236}">
              <a16:creationId xmlns:a16="http://schemas.microsoft.com/office/drawing/2014/main" id="{E72D2042-BBA4-430A-81D6-BAF511564294}"/>
            </a:ext>
          </a:extLst>
        </xdr:cNvPr>
        <xdr:cNvSpPr/>
      </xdr:nvSpPr>
      <xdr:spPr>
        <a:xfrm>
          <a:off x="6501275" y="150308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104</xdr:row>
      <xdr:rowOff>13304</xdr:rowOff>
    </xdr:from>
    <xdr:to>
      <xdr:col>10</xdr:col>
      <xdr:colOff>46570</xdr:colOff>
      <xdr:row>107</xdr:row>
      <xdr:rowOff>1210</xdr:rowOff>
    </xdr:to>
    <xdr:sp macro="" textlink="">
      <xdr:nvSpPr>
        <xdr:cNvPr id="2197" name="Isosceles Triangle 2196">
          <a:extLst>
            <a:ext uri="{FF2B5EF4-FFF2-40B4-BE49-F238E27FC236}">
              <a16:creationId xmlns:a16="http://schemas.microsoft.com/office/drawing/2014/main" id="{BD4D1DAA-C2A4-4007-BD42-76D5902BFDED}"/>
            </a:ext>
          </a:extLst>
        </xdr:cNvPr>
        <xdr:cNvSpPr/>
      </xdr:nvSpPr>
      <xdr:spPr>
        <a:xfrm>
          <a:off x="8573915" y="15039944"/>
          <a:ext cx="66999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104</xdr:row>
      <xdr:rowOff>13304</xdr:rowOff>
    </xdr:from>
    <xdr:to>
      <xdr:col>6</xdr:col>
      <xdr:colOff>46569</xdr:colOff>
      <xdr:row>107</xdr:row>
      <xdr:rowOff>1210</xdr:rowOff>
    </xdr:to>
    <xdr:sp macro="" textlink="">
      <xdr:nvSpPr>
        <xdr:cNvPr id="2198" name="Isosceles Triangle 2197">
          <a:extLst>
            <a:ext uri="{FF2B5EF4-FFF2-40B4-BE49-F238E27FC236}">
              <a16:creationId xmlns:a16="http://schemas.microsoft.com/office/drawing/2014/main" id="{C494BCE9-3D27-4043-AB8D-719815544F37}"/>
            </a:ext>
          </a:extLst>
        </xdr:cNvPr>
        <xdr:cNvSpPr/>
      </xdr:nvSpPr>
      <xdr:spPr>
        <a:xfrm>
          <a:off x="6501275" y="150399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104</xdr:row>
      <xdr:rowOff>15522</xdr:rowOff>
    </xdr:from>
    <xdr:to>
      <xdr:col>8</xdr:col>
      <xdr:colOff>43746</xdr:colOff>
      <xdr:row>107</xdr:row>
      <xdr:rowOff>8467</xdr:rowOff>
    </xdr:to>
    <xdr:sp macro="" textlink="">
      <xdr:nvSpPr>
        <xdr:cNvPr id="2199" name="Isosceles Triangle 2198">
          <a:extLst>
            <a:ext uri="{FF2B5EF4-FFF2-40B4-BE49-F238E27FC236}">
              <a16:creationId xmlns:a16="http://schemas.microsoft.com/office/drawing/2014/main" id="{C44515A0-9865-40C1-A593-49EDE1056F71}"/>
            </a:ext>
          </a:extLst>
        </xdr:cNvPr>
        <xdr:cNvSpPr/>
      </xdr:nvSpPr>
      <xdr:spPr>
        <a:xfrm>
          <a:off x="7534772" y="1504216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104</xdr:row>
      <xdr:rowOff>7056</xdr:rowOff>
    </xdr:from>
    <xdr:to>
      <xdr:col>12</xdr:col>
      <xdr:colOff>42332</xdr:colOff>
      <xdr:row>107</xdr:row>
      <xdr:rowOff>1</xdr:rowOff>
    </xdr:to>
    <xdr:sp macro="" textlink="">
      <xdr:nvSpPr>
        <xdr:cNvPr id="2200" name="Isosceles Triangle 2199">
          <a:extLst>
            <a:ext uri="{FF2B5EF4-FFF2-40B4-BE49-F238E27FC236}">
              <a16:creationId xmlns:a16="http://schemas.microsoft.com/office/drawing/2014/main" id="{C44D486F-1CFF-48DC-AAEA-543DDE9DF2DF}"/>
            </a:ext>
          </a:extLst>
        </xdr:cNvPr>
        <xdr:cNvSpPr/>
      </xdr:nvSpPr>
      <xdr:spPr>
        <a:xfrm>
          <a:off x="961361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104</xdr:row>
      <xdr:rowOff>18345</xdr:rowOff>
    </xdr:from>
    <xdr:to>
      <xdr:col>14</xdr:col>
      <xdr:colOff>39510</xdr:colOff>
      <xdr:row>107</xdr:row>
      <xdr:rowOff>11290</xdr:rowOff>
    </xdr:to>
    <xdr:sp macro="" textlink="">
      <xdr:nvSpPr>
        <xdr:cNvPr id="2201" name="Isosceles Triangle 2200">
          <a:extLst>
            <a:ext uri="{FF2B5EF4-FFF2-40B4-BE49-F238E27FC236}">
              <a16:creationId xmlns:a16="http://schemas.microsoft.com/office/drawing/2014/main" id="{B808F67D-5215-4779-ABAC-5791ABCBFFF3}"/>
            </a:ext>
          </a:extLst>
        </xdr:cNvPr>
        <xdr:cNvSpPr/>
      </xdr:nvSpPr>
      <xdr:spPr>
        <a:xfrm>
          <a:off x="10647116" y="150449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104</xdr:row>
      <xdr:rowOff>7056</xdr:rowOff>
    </xdr:from>
    <xdr:to>
      <xdr:col>16</xdr:col>
      <xdr:colOff>42332</xdr:colOff>
      <xdr:row>107</xdr:row>
      <xdr:rowOff>1</xdr:rowOff>
    </xdr:to>
    <xdr:sp macro="" textlink="">
      <xdr:nvSpPr>
        <xdr:cNvPr id="2202" name="Isosceles Triangle 2201">
          <a:extLst>
            <a:ext uri="{FF2B5EF4-FFF2-40B4-BE49-F238E27FC236}">
              <a16:creationId xmlns:a16="http://schemas.microsoft.com/office/drawing/2014/main" id="{28C7671E-5848-43CC-9FE1-79CA2FB03389}"/>
            </a:ext>
          </a:extLst>
        </xdr:cNvPr>
        <xdr:cNvSpPr/>
      </xdr:nvSpPr>
      <xdr:spPr>
        <a:xfrm>
          <a:off x="11686258" y="150336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104</xdr:row>
      <xdr:rowOff>18345</xdr:rowOff>
    </xdr:from>
    <xdr:to>
      <xdr:col>18</xdr:col>
      <xdr:colOff>39510</xdr:colOff>
      <xdr:row>107</xdr:row>
      <xdr:rowOff>11290</xdr:rowOff>
    </xdr:to>
    <xdr:sp macro="" textlink="">
      <xdr:nvSpPr>
        <xdr:cNvPr id="2203" name="Isosceles Triangle 2202">
          <a:extLst>
            <a:ext uri="{FF2B5EF4-FFF2-40B4-BE49-F238E27FC236}">
              <a16:creationId xmlns:a16="http://schemas.microsoft.com/office/drawing/2014/main" id="{11E2A0DE-C694-42EA-BF63-C88FB3E4DBCE}"/>
            </a:ext>
          </a:extLst>
        </xdr:cNvPr>
        <xdr:cNvSpPr/>
      </xdr:nvSpPr>
      <xdr:spPr>
        <a:xfrm>
          <a:off x="1271975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104</xdr:row>
      <xdr:rowOff>7056</xdr:rowOff>
    </xdr:from>
    <xdr:to>
      <xdr:col>20</xdr:col>
      <xdr:colOff>42332</xdr:colOff>
      <xdr:row>107</xdr:row>
      <xdr:rowOff>1</xdr:rowOff>
    </xdr:to>
    <xdr:sp macro="" textlink="">
      <xdr:nvSpPr>
        <xdr:cNvPr id="2204" name="Isosceles Triangle 2203">
          <a:extLst>
            <a:ext uri="{FF2B5EF4-FFF2-40B4-BE49-F238E27FC236}">
              <a16:creationId xmlns:a16="http://schemas.microsoft.com/office/drawing/2014/main" id="{9B15FC55-9E7B-4EEF-9E85-4D11F565F66B}"/>
            </a:ext>
          </a:extLst>
        </xdr:cNvPr>
        <xdr:cNvSpPr/>
      </xdr:nvSpPr>
      <xdr:spPr>
        <a:xfrm>
          <a:off x="13758898" y="150336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104</xdr:row>
      <xdr:rowOff>18345</xdr:rowOff>
    </xdr:from>
    <xdr:to>
      <xdr:col>22</xdr:col>
      <xdr:colOff>39510</xdr:colOff>
      <xdr:row>107</xdr:row>
      <xdr:rowOff>11290</xdr:rowOff>
    </xdr:to>
    <xdr:sp macro="" textlink="">
      <xdr:nvSpPr>
        <xdr:cNvPr id="2205" name="Isosceles Triangle 2204">
          <a:extLst>
            <a:ext uri="{FF2B5EF4-FFF2-40B4-BE49-F238E27FC236}">
              <a16:creationId xmlns:a16="http://schemas.microsoft.com/office/drawing/2014/main" id="{9BF0FA23-2FD3-4439-B7DD-A06329B36356}"/>
            </a:ext>
          </a:extLst>
        </xdr:cNvPr>
        <xdr:cNvSpPr/>
      </xdr:nvSpPr>
      <xdr:spPr>
        <a:xfrm>
          <a:off x="14792396" y="150449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104</xdr:row>
      <xdr:rowOff>4233</xdr:rowOff>
    </xdr:from>
    <xdr:to>
      <xdr:col>26</xdr:col>
      <xdr:colOff>46570</xdr:colOff>
      <xdr:row>106</xdr:row>
      <xdr:rowOff>173567</xdr:rowOff>
    </xdr:to>
    <xdr:sp macro="" textlink="">
      <xdr:nvSpPr>
        <xdr:cNvPr id="2206" name="Isosceles Triangle 2205">
          <a:extLst>
            <a:ext uri="{FF2B5EF4-FFF2-40B4-BE49-F238E27FC236}">
              <a16:creationId xmlns:a16="http://schemas.microsoft.com/office/drawing/2014/main" id="{6282DF2C-ADFD-45EE-8BF4-A00AD38F582B}"/>
            </a:ext>
          </a:extLst>
        </xdr:cNvPr>
        <xdr:cNvSpPr/>
      </xdr:nvSpPr>
      <xdr:spPr>
        <a:xfrm>
          <a:off x="1319675" y="1689015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104</xdr:row>
      <xdr:rowOff>13304</xdr:rowOff>
    </xdr:from>
    <xdr:to>
      <xdr:col>30</xdr:col>
      <xdr:colOff>46570</xdr:colOff>
      <xdr:row>107</xdr:row>
      <xdr:rowOff>1209</xdr:rowOff>
    </xdr:to>
    <xdr:sp macro="" textlink="">
      <xdr:nvSpPr>
        <xdr:cNvPr id="2207" name="Isosceles Triangle 2206">
          <a:extLst>
            <a:ext uri="{FF2B5EF4-FFF2-40B4-BE49-F238E27FC236}">
              <a16:creationId xmlns:a16="http://schemas.microsoft.com/office/drawing/2014/main" id="{5E849430-4E7E-4847-AC06-D6FB548F169C}"/>
            </a:ext>
          </a:extLst>
        </xdr:cNvPr>
        <xdr:cNvSpPr/>
      </xdr:nvSpPr>
      <xdr:spPr>
        <a:xfrm>
          <a:off x="3392315" y="1689922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104</xdr:row>
      <xdr:rowOff>15522</xdr:rowOff>
    </xdr:from>
    <xdr:to>
      <xdr:col>28</xdr:col>
      <xdr:colOff>43746</xdr:colOff>
      <xdr:row>107</xdr:row>
      <xdr:rowOff>8467</xdr:rowOff>
    </xdr:to>
    <xdr:sp macro="" textlink="">
      <xdr:nvSpPr>
        <xdr:cNvPr id="2208" name="Isosceles Triangle 2207">
          <a:extLst>
            <a:ext uri="{FF2B5EF4-FFF2-40B4-BE49-F238E27FC236}">
              <a16:creationId xmlns:a16="http://schemas.microsoft.com/office/drawing/2014/main" id="{EF5894FB-628B-484B-A931-CAFB123C24DA}"/>
            </a:ext>
          </a:extLst>
        </xdr:cNvPr>
        <xdr:cNvSpPr/>
      </xdr:nvSpPr>
      <xdr:spPr>
        <a:xfrm>
          <a:off x="2353172" y="169014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2209" name="Isosceles Triangle 2208">
          <a:extLst>
            <a:ext uri="{FF2B5EF4-FFF2-40B4-BE49-F238E27FC236}">
              <a16:creationId xmlns:a16="http://schemas.microsoft.com/office/drawing/2014/main" id="{01D26152-0C0A-4AAE-942F-D89AFAF116C2}"/>
            </a:ext>
          </a:extLst>
        </xdr:cNvPr>
        <xdr:cNvSpPr/>
      </xdr:nvSpPr>
      <xdr:spPr>
        <a:xfrm>
          <a:off x="9610796" y="169042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358588</xdr:colOff>
      <xdr:row>115</xdr:row>
      <xdr:rowOff>7055</xdr:rowOff>
    </xdr:from>
    <xdr:to>
      <xdr:col>14</xdr:col>
      <xdr:colOff>49392</xdr:colOff>
      <xdr:row>118</xdr:row>
      <xdr:rowOff>0</xdr:rowOff>
    </xdr:to>
    <xdr:sp macro="" textlink="">
      <xdr:nvSpPr>
        <xdr:cNvPr id="2210" name="Isosceles Triangle 2209">
          <a:extLst>
            <a:ext uri="{FF2B5EF4-FFF2-40B4-BE49-F238E27FC236}">
              <a16:creationId xmlns:a16="http://schemas.microsoft.com/office/drawing/2014/main" id="{273BEB6F-3B37-420A-AEEB-F7F51195E586}"/>
            </a:ext>
          </a:extLst>
        </xdr:cNvPr>
        <xdr:cNvSpPr/>
      </xdr:nvSpPr>
      <xdr:spPr>
        <a:xfrm>
          <a:off x="10592248" y="1689297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4233</xdr:rowOff>
    </xdr:from>
    <xdr:to>
      <xdr:col>16</xdr:col>
      <xdr:colOff>46570</xdr:colOff>
      <xdr:row>117</xdr:row>
      <xdr:rowOff>173567</xdr:rowOff>
    </xdr:to>
    <xdr:sp macro="" textlink="">
      <xdr:nvSpPr>
        <xdr:cNvPr id="2211" name="Isosceles Triangle 2210">
          <a:extLst>
            <a:ext uri="{FF2B5EF4-FFF2-40B4-BE49-F238E27FC236}">
              <a16:creationId xmlns:a16="http://schemas.microsoft.com/office/drawing/2014/main" id="{BD0700B3-ACB7-46C9-8F16-E694B5C8D602}"/>
            </a:ext>
          </a:extLst>
        </xdr:cNvPr>
        <xdr:cNvSpPr/>
      </xdr:nvSpPr>
      <xdr:spPr>
        <a:xfrm>
          <a:off x="11690495" y="168901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115</xdr:row>
      <xdr:rowOff>13304</xdr:rowOff>
    </xdr:from>
    <xdr:to>
      <xdr:col>20</xdr:col>
      <xdr:colOff>46570</xdr:colOff>
      <xdr:row>118</xdr:row>
      <xdr:rowOff>1210</xdr:rowOff>
    </xdr:to>
    <xdr:sp macro="" textlink="">
      <xdr:nvSpPr>
        <xdr:cNvPr id="2212" name="Isosceles Triangle 2211">
          <a:extLst>
            <a:ext uri="{FF2B5EF4-FFF2-40B4-BE49-F238E27FC236}">
              <a16:creationId xmlns:a16="http://schemas.microsoft.com/office/drawing/2014/main" id="{2E1FFFD4-1CEF-4D5E-8DAC-E9B324D3B4D4}"/>
            </a:ext>
          </a:extLst>
        </xdr:cNvPr>
        <xdr:cNvSpPr/>
      </xdr:nvSpPr>
      <xdr:spPr>
        <a:xfrm>
          <a:off x="13763135" y="1689922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115</xdr:row>
      <xdr:rowOff>13304</xdr:rowOff>
    </xdr:from>
    <xdr:to>
      <xdr:col>16</xdr:col>
      <xdr:colOff>46569</xdr:colOff>
      <xdr:row>118</xdr:row>
      <xdr:rowOff>1210</xdr:rowOff>
    </xdr:to>
    <xdr:sp macro="" textlink="">
      <xdr:nvSpPr>
        <xdr:cNvPr id="2213" name="Isosceles Triangle 2212">
          <a:extLst>
            <a:ext uri="{FF2B5EF4-FFF2-40B4-BE49-F238E27FC236}">
              <a16:creationId xmlns:a16="http://schemas.microsoft.com/office/drawing/2014/main" id="{90D620AA-EF85-4D87-BB2F-427C1E29D3AC}"/>
            </a:ext>
          </a:extLst>
        </xdr:cNvPr>
        <xdr:cNvSpPr/>
      </xdr:nvSpPr>
      <xdr:spPr>
        <a:xfrm>
          <a:off x="11690495" y="1689922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115</xdr:row>
      <xdr:rowOff>15522</xdr:rowOff>
    </xdr:from>
    <xdr:to>
      <xdr:col>18</xdr:col>
      <xdr:colOff>43746</xdr:colOff>
      <xdr:row>118</xdr:row>
      <xdr:rowOff>8467</xdr:rowOff>
    </xdr:to>
    <xdr:sp macro="" textlink="">
      <xdr:nvSpPr>
        <xdr:cNvPr id="2214" name="Isosceles Triangle 2213">
          <a:extLst>
            <a:ext uri="{FF2B5EF4-FFF2-40B4-BE49-F238E27FC236}">
              <a16:creationId xmlns:a16="http://schemas.microsoft.com/office/drawing/2014/main" id="{E34E7998-64B8-4B93-8D4A-318F20FBED9C}"/>
            </a:ext>
          </a:extLst>
        </xdr:cNvPr>
        <xdr:cNvSpPr/>
      </xdr:nvSpPr>
      <xdr:spPr>
        <a:xfrm>
          <a:off x="12723992" y="1690144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115</xdr:row>
      <xdr:rowOff>7056</xdr:rowOff>
    </xdr:from>
    <xdr:to>
      <xdr:col>22</xdr:col>
      <xdr:colOff>42332</xdr:colOff>
      <xdr:row>118</xdr:row>
      <xdr:rowOff>1</xdr:rowOff>
    </xdr:to>
    <xdr:sp macro="" textlink="">
      <xdr:nvSpPr>
        <xdr:cNvPr id="2215" name="Isosceles Triangle 2214">
          <a:extLst>
            <a:ext uri="{FF2B5EF4-FFF2-40B4-BE49-F238E27FC236}">
              <a16:creationId xmlns:a16="http://schemas.microsoft.com/office/drawing/2014/main" id="{F219F4C3-AC87-4FD4-BDE6-EF30B5884A81}"/>
            </a:ext>
          </a:extLst>
        </xdr:cNvPr>
        <xdr:cNvSpPr/>
      </xdr:nvSpPr>
      <xdr:spPr>
        <a:xfrm>
          <a:off x="14795218" y="168929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347870</xdr:colOff>
      <xdr:row>114</xdr:row>
      <xdr:rowOff>159859</xdr:rowOff>
    </xdr:from>
    <xdr:to>
      <xdr:col>24</xdr:col>
      <xdr:colOff>65364</xdr:colOff>
      <xdr:row>117</xdr:row>
      <xdr:rowOff>152804</xdr:rowOff>
    </xdr:to>
    <xdr:sp macro="" textlink="">
      <xdr:nvSpPr>
        <xdr:cNvPr id="2216" name="Isosceles Triangle 2215">
          <a:extLst>
            <a:ext uri="{FF2B5EF4-FFF2-40B4-BE49-F238E27FC236}">
              <a16:creationId xmlns:a16="http://schemas.microsoft.com/office/drawing/2014/main" id="{B86D4A37-CF5B-450F-9A01-AE921156F122}"/>
            </a:ext>
          </a:extLst>
        </xdr:cNvPr>
        <xdr:cNvSpPr/>
      </xdr:nvSpPr>
      <xdr:spPr>
        <a:xfrm>
          <a:off x="11222245" y="21067234"/>
          <a:ext cx="717619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115</xdr:row>
      <xdr:rowOff>7056</xdr:rowOff>
    </xdr:from>
    <xdr:to>
      <xdr:col>26</xdr:col>
      <xdr:colOff>42332</xdr:colOff>
      <xdr:row>118</xdr:row>
      <xdr:rowOff>1</xdr:rowOff>
    </xdr:to>
    <xdr:sp macro="" textlink="">
      <xdr:nvSpPr>
        <xdr:cNvPr id="2217" name="Isosceles Triangle 2216">
          <a:extLst>
            <a:ext uri="{FF2B5EF4-FFF2-40B4-BE49-F238E27FC236}">
              <a16:creationId xmlns:a16="http://schemas.microsoft.com/office/drawing/2014/main" id="{1BA056C8-0BD4-4F0B-9CA3-7FEDCAE0BB67}"/>
            </a:ext>
          </a:extLst>
        </xdr:cNvPr>
        <xdr:cNvSpPr/>
      </xdr:nvSpPr>
      <xdr:spPr>
        <a:xfrm>
          <a:off x="131543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413456</xdr:colOff>
      <xdr:row>115</xdr:row>
      <xdr:rowOff>18345</xdr:rowOff>
    </xdr:from>
    <xdr:to>
      <xdr:col>28</xdr:col>
      <xdr:colOff>39510</xdr:colOff>
      <xdr:row>118</xdr:row>
      <xdr:rowOff>11290</xdr:rowOff>
    </xdr:to>
    <xdr:sp macro="" textlink="">
      <xdr:nvSpPr>
        <xdr:cNvPr id="2218" name="Isosceles Triangle 2217">
          <a:extLst>
            <a:ext uri="{FF2B5EF4-FFF2-40B4-BE49-F238E27FC236}">
              <a16:creationId xmlns:a16="http://schemas.microsoft.com/office/drawing/2014/main" id="{033B70C1-2802-4EE5-9E0C-48BA275FED83}"/>
            </a:ext>
          </a:extLst>
        </xdr:cNvPr>
        <xdr:cNvSpPr/>
      </xdr:nvSpPr>
      <xdr:spPr>
        <a:xfrm>
          <a:off x="2348936" y="187635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115</xdr:row>
      <xdr:rowOff>7056</xdr:rowOff>
    </xdr:from>
    <xdr:to>
      <xdr:col>30</xdr:col>
      <xdr:colOff>42332</xdr:colOff>
      <xdr:row>118</xdr:row>
      <xdr:rowOff>1</xdr:rowOff>
    </xdr:to>
    <xdr:sp macro="" textlink="">
      <xdr:nvSpPr>
        <xdr:cNvPr id="2219" name="Isosceles Triangle 2218">
          <a:extLst>
            <a:ext uri="{FF2B5EF4-FFF2-40B4-BE49-F238E27FC236}">
              <a16:creationId xmlns:a16="http://schemas.microsoft.com/office/drawing/2014/main" id="{B1D39B2C-9DF7-4A70-959A-6B285C8EA441}"/>
            </a:ext>
          </a:extLst>
        </xdr:cNvPr>
        <xdr:cNvSpPr/>
      </xdr:nvSpPr>
      <xdr:spPr>
        <a:xfrm>
          <a:off x="3388078" y="187522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276931</xdr:colOff>
      <xdr:row>126</xdr:row>
      <xdr:rowOff>18345</xdr:rowOff>
    </xdr:from>
    <xdr:to>
      <xdr:col>2</xdr:col>
      <xdr:colOff>7760</xdr:colOff>
      <xdr:row>129</xdr:row>
      <xdr:rowOff>11290</xdr:rowOff>
    </xdr:to>
    <xdr:sp macro="" textlink="">
      <xdr:nvSpPr>
        <xdr:cNvPr id="2220" name="Isosceles Triangle 2219">
          <a:extLst>
            <a:ext uri="{FF2B5EF4-FFF2-40B4-BE49-F238E27FC236}">
              <a16:creationId xmlns:a16="http://schemas.microsoft.com/office/drawing/2014/main" id="{F67BA50D-6041-4348-BE93-5A45D392759F}"/>
            </a:ext>
          </a:extLst>
        </xdr:cNvPr>
        <xdr:cNvSpPr/>
      </xdr:nvSpPr>
      <xdr:spPr>
        <a:xfrm>
          <a:off x="276931" y="23021220"/>
          <a:ext cx="58807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413657</xdr:colOff>
      <xdr:row>126</xdr:row>
      <xdr:rowOff>7055</xdr:rowOff>
    </xdr:from>
    <xdr:to>
      <xdr:col>4</xdr:col>
      <xdr:colOff>49392</xdr:colOff>
      <xdr:row>129</xdr:row>
      <xdr:rowOff>0</xdr:rowOff>
    </xdr:to>
    <xdr:sp macro="" textlink="">
      <xdr:nvSpPr>
        <xdr:cNvPr id="2221" name="Isosceles Triangle 2220">
          <a:extLst>
            <a:ext uri="{FF2B5EF4-FFF2-40B4-BE49-F238E27FC236}">
              <a16:creationId xmlns:a16="http://schemas.microsoft.com/office/drawing/2014/main" id="{83B584DE-490A-4A70-9B0B-20C85D86526A}"/>
            </a:ext>
          </a:extLst>
        </xdr:cNvPr>
        <xdr:cNvSpPr/>
      </xdr:nvSpPr>
      <xdr:spPr>
        <a:xfrm>
          <a:off x="5458097" y="1875225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4233</xdr:rowOff>
    </xdr:from>
    <xdr:to>
      <xdr:col>6</xdr:col>
      <xdr:colOff>46570</xdr:colOff>
      <xdr:row>128</xdr:row>
      <xdr:rowOff>173567</xdr:rowOff>
    </xdr:to>
    <xdr:sp macro="" textlink="">
      <xdr:nvSpPr>
        <xdr:cNvPr id="2222" name="Isosceles Triangle 2221">
          <a:extLst>
            <a:ext uri="{FF2B5EF4-FFF2-40B4-BE49-F238E27FC236}">
              <a16:creationId xmlns:a16="http://schemas.microsoft.com/office/drawing/2014/main" id="{C6CA07BF-8A70-4575-81D2-270B0006A5E8}"/>
            </a:ext>
          </a:extLst>
        </xdr:cNvPr>
        <xdr:cNvSpPr/>
      </xdr:nvSpPr>
      <xdr:spPr>
        <a:xfrm>
          <a:off x="6501275" y="187494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126</xdr:row>
      <xdr:rowOff>13304</xdr:rowOff>
    </xdr:from>
    <xdr:to>
      <xdr:col>10</xdr:col>
      <xdr:colOff>46570</xdr:colOff>
      <xdr:row>129</xdr:row>
      <xdr:rowOff>1209</xdr:rowOff>
    </xdr:to>
    <xdr:sp macro="" textlink="">
      <xdr:nvSpPr>
        <xdr:cNvPr id="2223" name="Isosceles Triangle 2222">
          <a:extLst>
            <a:ext uri="{FF2B5EF4-FFF2-40B4-BE49-F238E27FC236}">
              <a16:creationId xmlns:a16="http://schemas.microsoft.com/office/drawing/2014/main" id="{C7D8841C-6064-4989-AB1E-258E609141D4}"/>
            </a:ext>
          </a:extLst>
        </xdr:cNvPr>
        <xdr:cNvSpPr/>
      </xdr:nvSpPr>
      <xdr:spPr>
        <a:xfrm>
          <a:off x="8278640" y="23333679"/>
          <a:ext cx="642055" cy="51178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126</xdr:row>
      <xdr:rowOff>13304</xdr:rowOff>
    </xdr:from>
    <xdr:to>
      <xdr:col>6</xdr:col>
      <xdr:colOff>46569</xdr:colOff>
      <xdr:row>129</xdr:row>
      <xdr:rowOff>1209</xdr:rowOff>
    </xdr:to>
    <xdr:sp macro="" textlink="">
      <xdr:nvSpPr>
        <xdr:cNvPr id="2224" name="Isosceles Triangle 2223">
          <a:extLst>
            <a:ext uri="{FF2B5EF4-FFF2-40B4-BE49-F238E27FC236}">
              <a16:creationId xmlns:a16="http://schemas.microsoft.com/office/drawing/2014/main" id="{785F58C1-2863-4B3E-A278-E771173657A2}"/>
            </a:ext>
          </a:extLst>
        </xdr:cNvPr>
        <xdr:cNvSpPr/>
      </xdr:nvSpPr>
      <xdr:spPr>
        <a:xfrm>
          <a:off x="6501275" y="1875850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126</xdr:row>
      <xdr:rowOff>15522</xdr:rowOff>
    </xdr:from>
    <xdr:to>
      <xdr:col>8</xdr:col>
      <xdr:colOff>43746</xdr:colOff>
      <xdr:row>129</xdr:row>
      <xdr:rowOff>8467</xdr:rowOff>
    </xdr:to>
    <xdr:sp macro="" textlink="">
      <xdr:nvSpPr>
        <xdr:cNvPr id="2225" name="Isosceles Triangle 2224">
          <a:extLst>
            <a:ext uri="{FF2B5EF4-FFF2-40B4-BE49-F238E27FC236}">
              <a16:creationId xmlns:a16="http://schemas.microsoft.com/office/drawing/2014/main" id="{805543AF-1939-4EA9-82BB-B965764636B2}"/>
            </a:ext>
          </a:extLst>
        </xdr:cNvPr>
        <xdr:cNvSpPr/>
      </xdr:nvSpPr>
      <xdr:spPr>
        <a:xfrm>
          <a:off x="7534772" y="187607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126</xdr:row>
      <xdr:rowOff>7056</xdr:rowOff>
    </xdr:from>
    <xdr:to>
      <xdr:col>12</xdr:col>
      <xdr:colOff>42332</xdr:colOff>
      <xdr:row>129</xdr:row>
      <xdr:rowOff>1</xdr:rowOff>
    </xdr:to>
    <xdr:sp macro="" textlink="">
      <xdr:nvSpPr>
        <xdr:cNvPr id="2226" name="Isosceles Triangle 2225">
          <a:extLst>
            <a:ext uri="{FF2B5EF4-FFF2-40B4-BE49-F238E27FC236}">
              <a16:creationId xmlns:a16="http://schemas.microsoft.com/office/drawing/2014/main" id="{27D0861B-226D-4345-8907-80DAA2216DDB}"/>
            </a:ext>
          </a:extLst>
        </xdr:cNvPr>
        <xdr:cNvSpPr/>
      </xdr:nvSpPr>
      <xdr:spPr>
        <a:xfrm>
          <a:off x="961361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126</xdr:row>
      <xdr:rowOff>18345</xdr:rowOff>
    </xdr:from>
    <xdr:to>
      <xdr:col>14</xdr:col>
      <xdr:colOff>39510</xdr:colOff>
      <xdr:row>129</xdr:row>
      <xdr:rowOff>11290</xdr:rowOff>
    </xdr:to>
    <xdr:sp macro="" textlink="">
      <xdr:nvSpPr>
        <xdr:cNvPr id="2227" name="Isosceles Triangle 2226">
          <a:extLst>
            <a:ext uri="{FF2B5EF4-FFF2-40B4-BE49-F238E27FC236}">
              <a16:creationId xmlns:a16="http://schemas.microsoft.com/office/drawing/2014/main" id="{DCA4AEFB-F709-4220-B86E-D0B4EE6F5277}"/>
            </a:ext>
          </a:extLst>
        </xdr:cNvPr>
        <xdr:cNvSpPr/>
      </xdr:nvSpPr>
      <xdr:spPr>
        <a:xfrm>
          <a:off x="10647116" y="1876354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126</xdr:row>
      <xdr:rowOff>7056</xdr:rowOff>
    </xdr:from>
    <xdr:to>
      <xdr:col>16</xdr:col>
      <xdr:colOff>42332</xdr:colOff>
      <xdr:row>129</xdr:row>
      <xdr:rowOff>1</xdr:rowOff>
    </xdr:to>
    <xdr:sp macro="" textlink="">
      <xdr:nvSpPr>
        <xdr:cNvPr id="2228" name="Isosceles Triangle 2227">
          <a:extLst>
            <a:ext uri="{FF2B5EF4-FFF2-40B4-BE49-F238E27FC236}">
              <a16:creationId xmlns:a16="http://schemas.microsoft.com/office/drawing/2014/main" id="{48CADF30-86F2-4841-9966-3666DB95F9CE}"/>
            </a:ext>
          </a:extLst>
        </xdr:cNvPr>
        <xdr:cNvSpPr/>
      </xdr:nvSpPr>
      <xdr:spPr>
        <a:xfrm>
          <a:off x="1168625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126</xdr:row>
      <xdr:rowOff>18345</xdr:rowOff>
    </xdr:from>
    <xdr:to>
      <xdr:col>18</xdr:col>
      <xdr:colOff>39510</xdr:colOff>
      <xdr:row>129</xdr:row>
      <xdr:rowOff>11290</xdr:rowOff>
    </xdr:to>
    <xdr:sp macro="" textlink="">
      <xdr:nvSpPr>
        <xdr:cNvPr id="2229" name="Isosceles Triangle 2228">
          <a:extLst>
            <a:ext uri="{FF2B5EF4-FFF2-40B4-BE49-F238E27FC236}">
              <a16:creationId xmlns:a16="http://schemas.microsoft.com/office/drawing/2014/main" id="{CC669063-D36C-4D5C-BE99-ABAB2C2283E3}"/>
            </a:ext>
          </a:extLst>
        </xdr:cNvPr>
        <xdr:cNvSpPr/>
      </xdr:nvSpPr>
      <xdr:spPr>
        <a:xfrm>
          <a:off x="1271975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126</xdr:row>
      <xdr:rowOff>7056</xdr:rowOff>
    </xdr:from>
    <xdr:to>
      <xdr:col>20</xdr:col>
      <xdr:colOff>42332</xdr:colOff>
      <xdr:row>129</xdr:row>
      <xdr:rowOff>1</xdr:rowOff>
    </xdr:to>
    <xdr:sp macro="" textlink="">
      <xdr:nvSpPr>
        <xdr:cNvPr id="2230" name="Isosceles Triangle 2229">
          <a:extLst>
            <a:ext uri="{FF2B5EF4-FFF2-40B4-BE49-F238E27FC236}">
              <a16:creationId xmlns:a16="http://schemas.microsoft.com/office/drawing/2014/main" id="{C99BDBA1-187E-4EF8-B408-5AAD94CA3E34}"/>
            </a:ext>
          </a:extLst>
        </xdr:cNvPr>
        <xdr:cNvSpPr/>
      </xdr:nvSpPr>
      <xdr:spPr>
        <a:xfrm>
          <a:off x="13758898" y="187522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126</xdr:row>
      <xdr:rowOff>18345</xdr:rowOff>
    </xdr:from>
    <xdr:to>
      <xdr:col>22</xdr:col>
      <xdr:colOff>39510</xdr:colOff>
      <xdr:row>129</xdr:row>
      <xdr:rowOff>11290</xdr:rowOff>
    </xdr:to>
    <xdr:sp macro="" textlink="">
      <xdr:nvSpPr>
        <xdr:cNvPr id="2231" name="Isosceles Triangle 2230">
          <a:extLst>
            <a:ext uri="{FF2B5EF4-FFF2-40B4-BE49-F238E27FC236}">
              <a16:creationId xmlns:a16="http://schemas.microsoft.com/office/drawing/2014/main" id="{5849AC8E-D5E1-4FAB-A774-6B86A8F925CE}"/>
            </a:ext>
          </a:extLst>
        </xdr:cNvPr>
        <xdr:cNvSpPr/>
      </xdr:nvSpPr>
      <xdr:spPr>
        <a:xfrm>
          <a:off x="14792396" y="1876354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344998</xdr:colOff>
      <xdr:row>126</xdr:row>
      <xdr:rowOff>7055</xdr:rowOff>
    </xdr:from>
    <xdr:to>
      <xdr:col>24</xdr:col>
      <xdr:colOff>75246</xdr:colOff>
      <xdr:row>129</xdr:row>
      <xdr:rowOff>0</xdr:rowOff>
    </xdr:to>
    <xdr:sp macro="" textlink="">
      <xdr:nvSpPr>
        <xdr:cNvPr id="2232" name="Isosceles Triangle 2231">
          <a:extLst>
            <a:ext uri="{FF2B5EF4-FFF2-40B4-BE49-F238E27FC236}">
              <a16:creationId xmlns:a16="http://schemas.microsoft.com/office/drawing/2014/main" id="{CDAD1FAF-0393-45E6-B261-CDDB44A6948B}"/>
            </a:ext>
          </a:extLst>
        </xdr:cNvPr>
        <xdr:cNvSpPr/>
      </xdr:nvSpPr>
      <xdr:spPr>
        <a:xfrm>
          <a:off x="11219373" y="23009930"/>
          <a:ext cx="730373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4233</xdr:rowOff>
    </xdr:from>
    <xdr:to>
      <xdr:col>26</xdr:col>
      <xdr:colOff>46570</xdr:colOff>
      <xdr:row>128</xdr:row>
      <xdr:rowOff>173567</xdr:rowOff>
    </xdr:to>
    <xdr:sp macro="" textlink="">
      <xdr:nvSpPr>
        <xdr:cNvPr id="2233" name="Isosceles Triangle 2232">
          <a:extLst>
            <a:ext uri="{FF2B5EF4-FFF2-40B4-BE49-F238E27FC236}">
              <a16:creationId xmlns:a16="http://schemas.microsoft.com/office/drawing/2014/main" id="{3D6A4A52-52BE-447F-A5C0-AF9396501F46}"/>
            </a:ext>
          </a:extLst>
        </xdr:cNvPr>
        <xdr:cNvSpPr/>
      </xdr:nvSpPr>
      <xdr:spPr>
        <a:xfrm>
          <a:off x="131967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420515</xdr:colOff>
      <xdr:row>126</xdr:row>
      <xdr:rowOff>13304</xdr:rowOff>
    </xdr:from>
    <xdr:to>
      <xdr:col>30</xdr:col>
      <xdr:colOff>46570</xdr:colOff>
      <xdr:row>129</xdr:row>
      <xdr:rowOff>1210</xdr:rowOff>
    </xdr:to>
    <xdr:sp macro="" textlink="">
      <xdr:nvSpPr>
        <xdr:cNvPr id="2234" name="Isosceles Triangle 2233">
          <a:extLst>
            <a:ext uri="{FF2B5EF4-FFF2-40B4-BE49-F238E27FC236}">
              <a16:creationId xmlns:a16="http://schemas.microsoft.com/office/drawing/2014/main" id="{1C09C0C2-886C-44A7-B241-33300A2E713C}"/>
            </a:ext>
          </a:extLst>
        </xdr:cNvPr>
        <xdr:cNvSpPr/>
      </xdr:nvSpPr>
      <xdr:spPr>
        <a:xfrm>
          <a:off x="3392315" y="2095306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420515</xdr:colOff>
      <xdr:row>126</xdr:row>
      <xdr:rowOff>13304</xdr:rowOff>
    </xdr:from>
    <xdr:to>
      <xdr:col>26</xdr:col>
      <xdr:colOff>46569</xdr:colOff>
      <xdr:row>129</xdr:row>
      <xdr:rowOff>1210</xdr:rowOff>
    </xdr:to>
    <xdr:sp macro="" textlink="">
      <xdr:nvSpPr>
        <xdr:cNvPr id="2235" name="Isosceles Triangle 2234">
          <a:extLst>
            <a:ext uri="{FF2B5EF4-FFF2-40B4-BE49-F238E27FC236}">
              <a16:creationId xmlns:a16="http://schemas.microsoft.com/office/drawing/2014/main" id="{17C8DF04-488B-4C92-8F80-C3C0A4B21F78}"/>
            </a:ext>
          </a:extLst>
        </xdr:cNvPr>
        <xdr:cNvSpPr/>
      </xdr:nvSpPr>
      <xdr:spPr>
        <a:xfrm>
          <a:off x="1319675" y="2095306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417692</xdr:colOff>
      <xdr:row>126</xdr:row>
      <xdr:rowOff>15522</xdr:rowOff>
    </xdr:from>
    <xdr:to>
      <xdr:col>28</xdr:col>
      <xdr:colOff>43746</xdr:colOff>
      <xdr:row>129</xdr:row>
      <xdr:rowOff>8467</xdr:rowOff>
    </xdr:to>
    <xdr:sp macro="" textlink="">
      <xdr:nvSpPr>
        <xdr:cNvPr id="2236" name="Isosceles Triangle 2235">
          <a:extLst>
            <a:ext uri="{FF2B5EF4-FFF2-40B4-BE49-F238E27FC236}">
              <a16:creationId xmlns:a16="http://schemas.microsoft.com/office/drawing/2014/main" id="{80F95E93-EDEA-4B6F-95AE-A1EB9DDD637F}"/>
            </a:ext>
          </a:extLst>
        </xdr:cNvPr>
        <xdr:cNvSpPr/>
      </xdr:nvSpPr>
      <xdr:spPr>
        <a:xfrm>
          <a:off x="235317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416278</xdr:colOff>
      <xdr:row>139</xdr:row>
      <xdr:rowOff>7056</xdr:rowOff>
    </xdr:from>
    <xdr:to>
      <xdr:col>2</xdr:col>
      <xdr:colOff>42332</xdr:colOff>
      <xdr:row>142</xdr:row>
      <xdr:rowOff>1</xdr:rowOff>
    </xdr:to>
    <xdr:sp macro="" textlink="">
      <xdr:nvSpPr>
        <xdr:cNvPr id="2237" name="Isosceles Triangle 2236">
          <a:extLst>
            <a:ext uri="{FF2B5EF4-FFF2-40B4-BE49-F238E27FC236}">
              <a16:creationId xmlns:a16="http://schemas.microsoft.com/office/drawing/2014/main" id="{99B9701A-26D7-40FA-A64C-647EE09308A0}"/>
            </a:ext>
          </a:extLst>
        </xdr:cNvPr>
        <xdr:cNvSpPr/>
      </xdr:nvSpPr>
      <xdr:spPr>
        <a:xfrm>
          <a:off x="442439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413456</xdr:colOff>
      <xdr:row>139</xdr:row>
      <xdr:rowOff>18345</xdr:rowOff>
    </xdr:from>
    <xdr:to>
      <xdr:col>4</xdr:col>
      <xdr:colOff>39510</xdr:colOff>
      <xdr:row>142</xdr:row>
      <xdr:rowOff>11290</xdr:rowOff>
    </xdr:to>
    <xdr:sp macro="" textlink="">
      <xdr:nvSpPr>
        <xdr:cNvPr id="2238" name="Isosceles Triangle 2237">
          <a:extLst>
            <a:ext uri="{FF2B5EF4-FFF2-40B4-BE49-F238E27FC236}">
              <a16:creationId xmlns:a16="http://schemas.microsoft.com/office/drawing/2014/main" id="{85BC107E-AEB5-42F7-8679-F442AB760697}"/>
            </a:ext>
          </a:extLst>
        </xdr:cNvPr>
        <xdr:cNvSpPr/>
      </xdr:nvSpPr>
      <xdr:spPr>
        <a:xfrm>
          <a:off x="5457896" y="2095810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416278</xdr:colOff>
      <xdr:row>139</xdr:row>
      <xdr:rowOff>7056</xdr:rowOff>
    </xdr:from>
    <xdr:to>
      <xdr:col>6</xdr:col>
      <xdr:colOff>42332</xdr:colOff>
      <xdr:row>142</xdr:row>
      <xdr:rowOff>1</xdr:rowOff>
    </xdr:to>
    <xdr:sp macro="" textlink="">
      <xdr:nvSpPr>
        <xdr:cNvPr id="2239" name="Isosceles Triangle 2238">
          <a:extLst>
            <a:ext uri="{FF2B5EF4-FFF2-40B4-BE49-F238E27FC236}">
              <a16:creationId xmlns:a16="http://schemas.microsoft.com/office/drawing/2014/main" id="{CAC250D8-1B5F-4CFF-8F1D-5D09FE719E09}"/>
            </a:ext>
          </a:extLst>
        </xdr:cNvPr>
        <xdr:cNvSpPr/>
      </xdr:nvSpPr>
      <xdr:spPr>
        <a:xfrm>
          <a:off x="649703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419100</xdr:colOff>
      <xdr:row>139</xdr:row>
      <xdr:rowOff>18345</xdr:rowOff>
    </xdr:from>
    <xdr:to>
      <xdr:col>8</xdr:col>
      <xdr:colOff>39510</xdr:colOff>
      <xdr:row>142</xdr:row>
      <xdr:rowOff>0</xdr:rowOff>
    </xdr:to>
    <xdr:sp macro="" textlink="">
      <xdr:nvSpPr>
        <xdr:cNvPr id="2240" name="Isosceles Triangle 2239">
          <a:extLst>
            <a:ext uri="{FF2B5EF4-FFF2-40B4-BE49-F238E27FC236}">
              <a16:creationId xmlns:a16="http://schemas.microsoft.com/office/drawing/2014/main" id="{2D825863-23E5-4BD0-9627-E1D521D5E75B}"/>
            </a:ext>
          </a:extLst>
        </xdr:cNvPr>
        <xdr:cNvSpPr/>
      </xdr:nvSpPr>
      <xdr:spPr>
        <a:xfrm>
          <a:off x="3378200" y="25151645"/>
          <a:ext cx="649110" cy="47695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139</xdr:row>
      <xdr:rowOff>7056</xdr:rowOff>
    </xdr:from>
    <xdr:to>
      <xdr:col>10</xdr:col>
      <xdr:colOff>42332</xdr:colOff>
      <xdr:row>142</xdr:row>
      <xdr:rowOff>1</xdr:rowOff>
    </xdr:to>
    <xdr:sp macro="" textlink="">
      <xdr:nvSpPr>
        <xdr:cNvPr id="2241" name="Isosceles Triangle 2240">
          <a:extLst>
            <a:ext uri="{FF2B5EF4-FFF2-40B4-BE49-F238E27FC236}">
              <a16:creationId xmlns:a16="http://schemas.microsoft.com/office/drawing/2014/main" id="{51F1C5DA-5A92-427F-8579-3625B9CEC985}"/>
            </a:ext>
          </a:extLst>
        </xdr:cNvPr>
        <xdr:cNvSpPr/>
      </xdr:nvSpPr>
      <xdr:spPr>
        <a:xfrm>
          <a:off x="8569678" y="20946816"/>
          <a:ext cx="66999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439270</xdr:colOff>
      <xdr:row>139</xdr:row>
      <xdr:rowOff>18345</xdr:rowOff>
    </xdr:from>
    <xdr:to>
      <xdr:col>12</xdr:col>
      <xdr:colOff>21579</xdr:colOff>
      <xdr:row>142</xdr:row>
      <xdr:rowOff>8965</xdr:rowOff>
    </xdr:to>
    <xdr:sp macro="" textlink="">
      <xdr:nvSpPr>
        <xdr:cNvPr id="2242" name="Isosceles Triangle 2241">
          <a:extLst>
            <a:ext uri="{FF2B5EF4-FFF2-40B4-BE49-F238E27FC236}">
              <a16:creationId xmlns:a16="http://schemas.microsoft.com/office/drawing/2014/main" id="{A3AF81E8-4EBE-40BA-9985-6E74383F0E4D}"/>
            </a:ext>
          </a:extLst>
        </xdr:cNvPr>
        <xdr:cNvSpPr/>
      </xdr:nvSpPr>
      <xdr:spPr>
        <a:xfrm>
          <a:off x="9636610" y="20958105"/>
          <a:ext cx="618629" cy="49354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403412</xdr:colOff>
      <xdr:row>139</xdr:row>
      <xdr:rowOff>7055</xdr:rowOff>
    </xdr:from>
    <xdr:to>
      <xdr:col>14</xdr:col>
      <xdr:colOff>49392</xdr:colOff>
      <xdr:row>142</xdr:row>
      <xdr:rowOff>0</xdr:rowOff>
    </xdr:to>
    <xdr:sp macro="" textlink="">
      <xdr:nvSpPr>
        <xdr:cNvPr id="2243" name="Isosceles Triangle 2242">
          <a:extLst>
            <a:ext uri="{FF2B5EF4-FFF2-40B4-BE49-F238E27FC236}">
              <a16:creationId xmlns:a16="http://schemas.microsoft.com/office/drawing/2014/main" id="{4589BF2B-2430-4424-B174-1EF9ED5B964C}"/>
            </a:ext>
          </a:extLst>
        </xdr:cNvPr>
        <xdr:cNvSpPr/>
      </xdr:nvSpPr>
      <xdr:spPr>
        <a:xfrm>
          <a:off x="10637072" y="20946815"/>
          <a:ext cx="682300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4233</xdr:rowOff>
    </xdr:from>
    <xdr:to>
      <xdr:col>16</xdr:col>
      <xdr:colOff>46570</xdr:colOff>
      <xdr:row>141</xdr:row>
      <xdr:rowOff>173567</xdr:rowOff>
    </xdr:to>
    <xdr:sp macro="" textlink="">
      <xdr:nvSpPr>
        <xdr:cNvPr id="2244" name="Isosceles Triangle 2243">
          <a:extLst>
            <a:ext uri="{FF2B5EF4-FFF2-40B4-BE49-F238E27FC236}">
              <a16:creationId xmlns:a16="http://schemas.microsoft.com/office/drawing/2014/main" id="{18405475-C39E-47B8-BFAF-CF84D1558167}"/>
            </a:ext>
          </a:extLst>
        </xdr:cNvPr>
        <xdr:cNvSpPr/>
      </xdr:nvSpPr>
      <xdr:spPr>
        <a:xfrm>
          <a:off x="11690495" y="2094399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420515</xdr:colOff>
      <xdr:row>139</xdr:row>
      <xdr:rowOff>13304</xdr:rowOff>
    </xdr:from>
    <xdr:to>
      <xdr:col>20</xdr:col>
      <xdr:colOff>46570</xdr:colOff>
      <xdr:row>142</xdr:row>
      <xdr:rowOff>1209</xdr:rowOff>
    </xdr:to>
    <xdr:sp macro="" textlink="">
      <xdr:nvSpPr>
        <xdr:cNvPr id="2245" name="Isosceles Triangle 2244">
          <a:extLst>
            <a:ext uri="{FF2B5EF4-FFF2-40B4-BE49-F238E27FC236}">
              <a16:creationId xmlns:a16="http://schemas.microsoft.com/office/drawing/2014/main" id="{FB9DF041-F914-4426-B103-9DDC4FAD474F}"/>
            </a:ext>
          </a:extLst>
        </xdr:cNvPr>
        <xdr:cNvSpPr/>
      </xdr:nvSpPr>
      <xdr:spPr>
        <a:xfrm>
          <a:off x="13763135" y="2095306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139</xdr:row>
      <xdr:rowOff>13304</xdr:rowOff>
    </xdr:from>
    <xdr:to>
      <xdr:col>16</xdr:col>
      <xdr:colOff>46569</xdr:colOff>
      <xdr:row>142</xdr:row>
      <xdr:rowOff>1209</xdr:rowOff>
    </xdr:to>
    <xdr:sp macro="" textlink="">
      <xdr:nvSpPr>
        <xdr:cNvPr id="2246" name="Isosceles Triangle 2245">
          <a:extLst>
            <a:ext uri="{FF2B5EF4-FFF2-40B4-BE49-F238E27FC236}">
              <a16:creationId xmlns:a16="http://schemas.microsoft.com/office/drawing/2014/main" id="{3B46B197-620E-4CE8-A30C-6489B245DB31}"/>
            </a:ext>
          </a:extLst>
        </xdr:cNvPr>
        <xdr:cNvSpPr/>
      </xdr:nvSpPr>
      <xdr:spPr>
        <a:xfrm>
          <a:off x="11690495" y="2095306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417692</xdr:colOff>
      <xdr:row>139</xdr:row>
      <xdr:rowOff>15522</xdr:rowOff>
    </xdr:from>
    <xdr:to>
      <xdr:col>18</xdr:col>
      <xdr:colOff>43746</xdr:colOff>
      <xdr:row>142</xdr:row>
      <xdr:rowOff>8467</xdr:rowOff>
    </xdr:to>
    <xdr:sp macro="" textlink="">
      <xdr:nvSpPr>
        <xdr:cNvPr id="2247" name="Isosceles Triangle 2246">
          <a:extLst>
            <a:ext uri="{FF2B5EF4-FFF2-40B4-BE49-F238E27FC236}">
              <a16:creationId xmlns:a16="http://schemas.microsoft.com/office/drawing/2014/main" id="{ACF833CF-1E0D-4B25-8A5A-7564397BB08B}"/>
            </a:ext>
          </a:extLst>
        </xdr:cNvPr>
        <xdr:cNvSpPr/>
      </xdr:nvSpPr>
      <xdr:spPr>
        <a:xfrm>
          <a:off x="12723992" y="2095528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416278</xdr:colOff>
      <xdr:row>139</xdr:row>
      <xdr:rowOff>7056</xdr:rowOff>
    </xdr:from>
    <xdr:to>
      <xdr:col>22</xdr:col>
      <xdr:colOff>42332</xdr:colOff>
      <xdr:row>142</xdr:row>
      <xdr:rowOff>1</xdr:rowOff>
    </xdr:to>
    <xdr:sp macro="" textlink="">
      <xdr:nvSpPr>
        <xdr:cNvPr id="2248" name="Isosceles Triangle 2247">
          <a:extLst>
            <a:ext uri="{FF2B5EF4-FFF2-40B4-BE49-F238E27FC236}">
              <a16:creationId xmlns:a16="http://schemas.microsoft.com/office/drawing/2014/main" id="{092B1017-5975-46CB-95C1-26B0C457E84C}"/>
            </a:ext>
          </a:extLst>
        </xdr:cNvPr>
        <xdr:cNvSpPr/>
      </xdr:nvSpPr>
      <xdr:spPr>
        <a:xfrm>
          <a:off x="14795218" y="2094681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347869</xdr:colOff>
      <xdr:row>139</xdr:row>
      <xdr:rowOff>18345</xdr:rowOff>
    </xdr:from>
    <xdr:to>
      <xdr:col>24</xdr:col>
      <xdr:colOff>65363</xdr:colOff>
      <xdr:row>142</xdr:row>
      <xdr:rowOff>11290</xdr:rowOff>
    </xdr:to>
    <xdr:sp macro="" textlink="">
      <xdr:nvSpPr>
        <xdr:cNvPr id="2249" name="Isosceles Triangle 2248">
          <a:extLst>
            <a:ext uri="{FF2B5EF4-FFF2-40B4-BE49-F238E27FC236}">
              <a16:creationId xmlns:a16="http://schemas.microsoft.com/office/drawing/2014/main" id="{C5154D0F-9B5D-47FE-8BC0-C2270CECF243}"/>
            </a:ext>
          </a:extLst>
        </xdr:cNvPr>
        <xdr:cNvSpPr/>
      </xdr:nvSpPr>
      <xdr:spPr>
        <a:xfrm>
          <a:off x="11222244" y="25291345"/>
          <a:ext cx="717619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416278</xdr:colOff>
      <xdr:row>139</xdr:row>
      <xdr:rowOff>7056</xdr:rowOff>
    </xdr:from>
    <xdr:to>
      <xdr:col>26</xdr:col>
      <xdr:colOff>42332</xdr:colOff>
      <xdr:row>142</xdr:row>
      <xdr:rowOff>1</xdr:rowOff>
    </xdr:to>
    <xdr:sp macro="" textlink="">
      <xdr:nvSpPr>
        <xdr:cNvPr id="2250" name="Isosceles Triangle 2249">
          <a:extLst>
            <a:ext uri="{FF2B5EF4-FFF2-40B4-BE49-F238E27FC236}">
              <a16:creationId xmlns:a16="http://schemas.microsoft.com/office/drawing/2014/main" id="{B0000729-60DD-44B3-B76D-043325684ADC}"/>
            </a:ext>
          </a:extLst>
        </xdr:cNvPr>
        <xdr:cNvSpPr/>
      </xdr:nvSpPr>
      <xdr:spPr>
        <a:xfrm>
          <a:off x="1315438" y="228060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114</xdr:col>
      <xdr:colOff>330200</xdr:colOff>
      <xdr:row>103</xdr:row>
      <xdr:rowOff>0</xdr:rowOff>
    </xdr:from>
    <xdr:to>
      <xdr:col>114</xdr:col>
      <xdr:colOff>454079</xdr:colOff>
      <xdr:row>104</xdr:row>
      <xdr:rowOff>123827</xdr:rowOff>
    </xdr:to>
    <xdr:grpSp>
      <xdr:nvGrpSpPr>
        <xdr:cNvPr id="2292" name="Group 2291">
          <a:extLst>
            <a:ext uri="{FF2B5EF4-FFF2-40B4-BE49-F238E27FC236}">
              <a16:creationId xmlns:a16="http://schemas.microsoft.com/office/drawing/2014/main" id="{1B72510B-E7E0-4C19-88F3-EA4FA968308E}"/>
            </a:ext>
          </a:extLst>
        </xdr:cNvPr>
        <xdr:cNvGrpSpPr/>
      </xdr:nvGrpSpPr>
      <xdr:grpSpPr>
        <a:xfrm>
          <a:off x="42934164" y="18995571"/>
          <a:ext cx="123879" cy="300720"/>
          <a:chOff x="1166812" y="7477124"/>
          <a:chExt cx="154782" cy="285752"/>
        </a:xfrm>
        <a:solidFill>
          <a:schemeClr val="accent6">
            <a:lumMod val="50000"/>
          </a:schemeClr>
        </a:solidFill>
      </xdr:grpSpPr>
      <xdr:sp macro="" textlink="">
        <xdr:nvSpPr>
          <xdr:cNvPr id="2293" name="Can 991">
            <a:extLst>
              <a:ext uri="{FF2B5EF4-FFF2-40B4-BE49-F238E27FC236}">
                <a16:creationId xmlns:a16="http://schemas.microsoft.com/office/drawing/2014/main" id="{3DB2BA94-C8F0-DEE3-0FBA-94EFD81234AC}"/>
              </a:ext>
            </a:extLst>
          </xdr:cNvPr>
          <xdr:cNvSpPr/>
        </xdr:nvSpPr>
        <xdr:spPr>
          <a:xfrm>
            <a:off x="1166812" y="7596188"/>
            <a:ext cx="119064" cy="166688"/>
          </a:xfrm>
          <a:prstGeom prst="can">
            <a:avLst/>
          </a:prstGeom>
          <a:grpFill/>
          <a:ln w="1270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4D6173C5-B256-FF11-FBD4-B9F7BF00DB6F}"/>
              </a:ext>
            </a:extLst>
          </xdr:cNvPr>
          <xdr:cNvCxnSpPr/>
        </xdr:nvCxnSpPr>
        <xdr:spPr>
          <a:xfrm flipV="1">
            <a:off x="1214438" y="7477124"/>
            <a:ext cx="107156" cy="130969"/>
          </a:xfrm>
          <a:prstGeom prst="line">
            <a:avLst/>
          </a:prstGeom>
          <a:grpFill/>
          <a:ln w="1270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322487</xdr:colOff>
      <xdr:row>91</xdr:row>
      <xdr:rowOff>40825</xdr:rowOff>
    </xdr:from>
    <xdr:to>
      <xdr:col>36</xdr:col>
      <xdr:colOff>218619</xdr:colOff>
      <xdr:row>92</xdr:row>
      <xdr:rowOff>43543</xdr:rowOff>
    </xdr:to>
    <xdr:sp macro="" textlink="">
      <xdr:nvSpPr>
        <xdr:cNvPr id="2298" name="Callout: Right Arrow 2297">
          <a:extLst>
            <a:ext uri="{FF2B5EF4-FFF2-40B4-BE49-F238E27FC236}">
              <a16:creationId xmlns:a16="http://schemas.microsoft.com/office/drawing/2014/main" id="{D3042D9F-C124-4DD9-947D-201B9F0554E7}"/>
            </a:ext>
          </a:extLst>
        </xdr:cNvPr>
        <xdr:cNvSpPr/>
      </xdr:nvSpPr>
      <xdr:spPr>
        <a:xfrm>
          <a:off x="16291560" y="12872905"/>
          <a:ext cx="0" cy="170358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288640</xdr:colOff>
      <xdr:row>45</xdr:row>
      <xdr:rowOff>173181</xdr:rowOff>
    </xdr:from>
    <xdr:to>
      <xdr:col>7</xdr:col>
      <xdr:colOff>294410</xdr:colOff>
      <xdr:row>46</xdr:row>
      <xdr:rowOff>121226</xdr:rowOff>
    </xdr:to>
    <xdr:sp macro="" textlink="">
      <xdr:nvSpPr>
        <xdr:cNvPr id="2300" name="Freeform 10707">
          <a:extLst>
            <a:ext uri="{FF2B5EF4-FFF2-40B4-BE49-F238E27FC236}">
              <a16:creationId xmlns:a16="http://schemas.microsoft.com/office/drawing/2014/main" id="{B455D39E-6988-4FE4-BBA1-E88ECE0BE9D7}"/>
            </a:ext>
          </a:extLst>
        </xdr:cNvPr>
        <xdr:cNvSpPr>
          <a:spLocks/>
        </xdr:cNvSpPr>
      </xdr:nvSpPr>
      <xdr:spPr bwMode="auto">
        <a:xfrm>
          <a:off x="68266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46</xdr:row>
      <xdr:rowOff>30305</xdr:rowOff>
    </xdr:from>
    <xdr:to>
      <xdr:col>9</xdr:col>
      <xdr:colOff>294410</xdr:colOff>
      <xdr:row>46</xdr:row>
      <xdr:rowOff>145038</xdr:rowOff>
    </xdr:to>
    <xdr:sp macro="" textlink="">
      <xdr:nvSpPr>
        <xdr:cNvPr id="2301" name="Freeform 10707">
          <a:extLst>
            <a:ext uri="{FF2B5EF4-FFF2-40B4-BE49-F238E27FC236}">
              <a16:creationId xmlns:a16="http://schemas.microsoft.com/office/drawing/2014/main" id="{509DCF6B-4B9E-4815-A7B4-81AB72D21979}"/>
            </a:ext>
          </a:extLst>
        </xdr:cNvPr>
        <xdr:cNvSpPr>
          <a:spLocks/>
        </xdr:cNvSpPr>
      </xdr:nvSpPr>
      <xdr:spPr bwMode="auto">
        <a:xfrm>
          <a:off x="7862920" y="4731845"/>
          <a:ext cx="1042090" cy="114733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45</xdr:row>
      <xdr:rowOff>173181</xdr:rowOff>
    </xdr:from>
    <xdr:to>
      <xdr:col>11</xdr:col>
      <xdr:colOff>294410</xdr:colOff>
      <xdr:row>46</xdr:row>
      <xdr:rowOff>121226</xdr:rowOff>
    </xdr:to>
    <xdr:sp macro="" textlink="">
      <xdr:nvSpPr>
        <xdr:cNvPr id="2302" name="Freeform 10707">
          <a:extLst>
            <a:ext uri="{FF2B5EF4-FFF2-40B4-BE49-F238E27FC236}">
              <a16:creationId xmlns:a16="http://schemas.microsoft.com/office/drawing/2014/main" id="{86FEE92D-6779-49EA-A763-5E100A911D77}"/>
            </a:ext>
          </a:extLst>
        </xdr:cNvPr>
        <xdr:cNvSpPr>
          <a:spLocks/>
        </xdr:cNvSpPr>
      </xdr:nvSpPr>
      <xdr:spPr bwMode="auto">
        <a:xfrm>
          <a:off x="8899240" y="4699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45</xdr:row>
      <xdr:rowOff>173181</xdr:rowOff>
    </xdr:from>
    <xdr:to>
      <xdr:col>13</xdr:col>
      <xdr:colOff>294410</xdr:colOff>
      <xdr:row>46</xdr:row>
      <xdr:rowOff>121226</xdr:rowOff>
    </xdr:to>
    <xdr:sp macro="" textlink="">
      <xdr:nvSpPr>
        <xdr:cNvPr id="2303" name="Freeform 10707">
          <a:extLst>
            <a:ext uri="{FF2B5EF4-FFF2-40B4-BE49-F238E27FC236}">
              <a16:creationId xmlns:a16="http://schemas.microsoft.com/office/drawing/2014/main" id="{4B807273-5CC9-44B1-B03B-35FE00459456}"/>
            </a:ext>
          </a:extLst>
        </xdr:cNvPr>
        <xdr:cNvSpPr>
          <a:spLocks/>
        </xdr:cNvSpPr>
      </xdr:nvSpPr>
      <xdr:spPr bwMode="auto">
        <a:xfrm>
          <a:off x="99431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304" name="Freeform 10707">
          <a:extLst>
            <a:ext uri="{FF2B5EF4-FFF2-40B4-BE49-F238E27FC236}">
              <a16:creationId xmlns:a16="http://schemas.microsoft.com/office/drawing/2014/main" id="{3AF80C61-BDE3-4B80-8C39-B84795216292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305" name="Freeform 10707">
          <a:extLst>
            <a:ext uri="{FF2B5EF4-FFF2-40B4-BE49-F238E27FC236}">
              <a16:creationId xmlns:a16="http://schemas.microsoft.com/office/drawing/2014/main" id="{12130D77-ADBE-4E6F-A386-7E1ADAEF742B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306" name="Freeform 10707">
          <a:extLst>
            <a:ext uri="{FF2B5EF4-FFF2-40B4-BE49-F238E27FC236}">
              <a16:creationId xmlns:a16="http://schemas.microsoft.com/office/drawing/2014/main" id="{E298B370-C63F-4F7D-8CD7-3EF8A0545579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307" name="Freeform 10707">
          <a:extLst>
            <a:ext uri="{FF2B5EF4-FFF2-40B4-BE49-F238E27FC236}">
              <a16:creationId xmlns:a16="http://schemas.microsoft.com/office/drawing/2014/main" id="{DC16A378-7960-49FB-972F-5C842AA08794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45</xdr:row>
      <xdr:rowOff>173181</xdr:rowOff>
    </xdr:from>
    <xdr:to>
      <xdr:col>3</xdr:col>
      <xdr:colOff>294410</xdr:colOff>
      <xdr:row>46</xdr:row>
      <xdr:rowOff>121226</xdr:rowOff>
    </xdr:to>
    <xdr:sp macro="" textlink="">
      <xdr:nvSpPr>
        <xdr:cNvPr id="2308" name="Freeform 10707">
          <a:extLst>
            <a:ext uri="{FF2B5EF4-FFF2-40B4-BE49-F238E27FC236}">
              <a16:creationId xmlns:a16="http://schemas.microsoft.com/office/drawing/2014/main" id="{5D0C1BCC-F551-452F-9F66-D8FD2F70F395}"/>
            </a:ext>
          </a:extLst>
        </xdr:cNvPr>
        <xdr:cNvSpPr>
          <a:spLocks/>
        </xdr:cNvSpPr>
      </xdr:nvSpPr>
      <xdr:spPr bwMode="auto">
        <a:xfrm>
          <a:off x="47539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45</xdr:row>
      <xdr:rowOff>173181</xdr:rowOff>
    </xdr:from>
    <xdr:to>
      <xdr:col>5</xdr:col>
      <xdr:colOff>294410</xdr:colOff>
      <xdr:row>46</xdr:row>
      <xdr:rowOff>121226</xdr:rowOff>
    </xdr:to>
    <xdr:sp macro="" textlink="">
      <xdr:nvSpPr>
        <xdr:cNvPr id="2309" name="Freeform 10707">
          <a:extLst>
            <a:ext uri="{FF2B5EF4-FFF2-40B4-BE49-F238E27FC236}">
              <a16:creationId xmlns:a16="http://schemas.microsoft.com/office/drawing/2014/main" id="{A2B79EF4-1605-4D17-9125-EA53D4C585BA}"/>
            </a:ext>
          </a:extLst>
        </xdr:cNvPr>
        <xdr:cNvSpPr>
          <a:spLocks/>
        </xdr:cNvSpPr>
      </xdr:nvSpPr>
      <xdr:spPr bwMode="auto">
        <a:xfrm>
          <a:off x="57902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45</xdr:row>
      <xdr:rowOff>173181</xdr:rowOff>
    </xdr:from>
    <xdr:to>
      <xdr:col>25</xdr:col>
      <xdr:colOff>294410</xdr:colOff>
      <xdr:row>46</xdr:row>
      <xdr:rowOff>121226</xdr:rowOff>
    </xdr:to>
    <xdr:sp macro="" textlink="">
      <xdr:nvSpPr>
        <xdr:cNvPr id="2310" name="Freeform 10707">
          <a:extLst>
            <a:ext uri="{FF2B5EF4-FFF2-40B4-BE49-F238E27FC236}">
              <a16:creationId xmlns:a16="http://schemas.microsoft.com/office/drawing/2014/main" id="{DCD0B355-678F-43A2-B309-53223229A748}"/>
            </a:ext>
          </a:extLst>
        </xdr:cNvPr>
        <xdr:cNvSpPr>
          <a:spLocks/>
        </xdr:cNvSpPr>
      </xdr:nvSpPr>
      <xdr:spPr bwMode="auto">
        <a:xfrm>
          <a:off x="6086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45</xdr:row>
      <xdr:rowOff>173181</xdr:rowOff>
    </xdr:from>
    <xdr:to>
      <xdr:col>27</xdr:col>
      <xdr:colOff>294410</xdr:colOff>
      <xdr:row>46</xdr:row>
      <xdr:rowOff>121226</xdr:rowOff>
    </xdr:to>
    <xdr:sp macro="" textlink="">
      <xdr:nvSpPr>
        <xdr:cNvPr id="2311" name="Freeform 10707">
          <a:extLst>
            <a:ext uri="{FF2B5EF4-FFF2-40B4-BE49-F238E27FC236}">
              <a16:creationId xmlns:a16="http://schemas.microsoft.com/office/drawing/2014/main" id="{5038D690-92E0-427B-BE03-DC77CCC22EA8}"/>
            </a:ext>
          </a:extLst>
        </xdr:cNvPr>
        <xdr:cNvSpPr>
          <a:spLocks/>
        </xdr:cNvSpPr>
      </xdr:nvSpPr>
      <xdr:spPr bwMode="auto">
        <a:xfrm>
          <a:off x="16450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45</xdr:row>
      <xdr:rowOff>173181</xdr:rowOff>
    </xdr:from>
    <xdr:to>
      <xdr:col>29</xdr:col>
      <xdr:colOff>294410</xdr:colOff>
      <xdr:row>46</xdr:row>
      <xdr:rowOff>121226</xdr:rowOff>
    </xdr:to>
    <xdr:sp macro="" textlink="">
      <xdr:nvSpPr>
        <xdr:cNvPr id="2312" name="Freeform 10707">
          <a:extLst>
            <a:ext uri="{FF2B5EF4-FFF2-40B4-BE49-F238E27FC236}">
              <a16:creationId xmlns:a16="http://schemas.microsoft.com/office/drawing/2014/main" id="{E024D232-876D-4175-BA7F-D3CB0302748E}"/>
            </a:ext>
          </a:extLst>
        </xdr:cNvPr>
        <xdr:cNvSpPr>
          <a:spLocks/>
        </xdr:cNvSpPr>
      </xdr:nvSpPr>
      <xdr:spPr bwMode="auto">
        <a:xfrm>
          <a:off x="26813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45</xdr:row>
      <xdr:rowOff>173181</xdr:rowOff>
    </xdr:from>
    <xdr:to>
      <xdr:col>31</xdr:col>
      <xdr:colOff>294410</xdr:colOff>
      <xdr:row>46</xdr:row>
      <xdr:rowOff>121226</xdr:rowOff>
    </xdr:to>
    <xdr:sp macro="" textlink="">
      <xdr:nvSpPr>
        <xdr:cNvPr id="2313" name="Freeform 10707">
          <a:extLst>
            <a:ext uri="{FF2B5EF4-FFF2-40B4-BE49-F238E27FC236}">
              <a16:creationId xmlns:a16="http://schemas.microsoft.com/office/drawing/2014/main" id="{508AFBA9-5272-4C84-BD4F-41B73B81648A}"/>
            </a:ext>
          </a:extLst>
        </xdr:cNvPr>
        <xdr:cNvSpPr>
          <a:spLocks/>
        </xdr:cNvSpPr>
      </xdr:nvSpPr>
      <xdr:spPr bwMode="auto">
        <a:xfrm>
          <a:off x="37176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57</xdr:row>
      <xdr:rowOff>173181</xdr:rowOff>
    </xdr:from>
    <xdr:to>
      <xdr:col>3</xdr:col>
      <xdr:colOff>294410</xdr:colOff>
      <xdr:row>58</xdr:row>
      <xdr:rowOff>121226</xdr:rowOff>
    </xdr:to>
    <xdr:sp macro="" textlink="">
      <xdr:nvSpPr>
        <xdr:cNvPr id="2314" name="Freeform 10707">
          <a:extLst>
            <a:ext uri="{FF2B5EF4-FFF2-40B4-BE49-F238E27FC236}">
              <a16:creationId xmlns:a16="http://schemas.microsoft.com/office/drawing/2014/main" id="{0F285BF1-D0E2-4167-A189-190566046038}"/>
            </a:ext>
          </a:extLst>
        </xdr:cNvPr>
        <xdr:cNvSpPr>
          <a:spLocks/>
        </xdr:cNvSpPr>
      </xdr:nvSpPr>
      <xdr:spPr bwMode="auto">
        <a:xfrm>
          <a:off x="47539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57</xdr:row>
      <xdr:rowOff>173181</xdr:rowOff>
    </xdr:from>
    <xdr:to>
      <xdr:col>5</xdr:col>
      <xdr:colOff>294410</xdr:colOff>
      <xdr:row>58</xdr:row>
      <xdr:rowOff>121226</xdr:rowOff>
    </xdr:to>
    <xdr:sp macro="" textlink="">
      <xdr:nvSpPr>
        <xdr:cNvPr id="2315" name="Freeform 10707">
          <a:extLst>
            <a:ext uri="{FF2B5EF4-FFF2-40B4-BE49-F238E27FC236}">
              <a16:creationId xmlns:a16="http://schemas.microsoft.com/office/drawing/2014/main" id="{77EC939A-0FC9-42E5-9830-60DABE5807BC}"/>
            </a:ext>
          </a:extLst>
        </xdr:cNvPr>
        <xdr:cNvSpPr>
          <a:spLocks/>
        </xdr:cNvSpPr>
      </xdr:nvSpPr>
      <xdr:spPr bwMode="auto">
        <a:xfrm>
          <a:off x="57902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57</xdr:row>
      <xdr:rowOff>173181</xdr:rowOff>
    </xdr:from>
    <xdr:to>
      <xdr:col>7</xdr:col>
      <xdr:colOff>294410</xdr:colOff>
      <xdr:row>58</xdr:row>
      <xdr:rowOff>121226</xdr:rowOff>
    </xdr:to>
    <xdr:sp macro="" textlink="">
      <xdr:nvSpPr>
        <xdr:cNvPr id="2316" name="Freeform 10707">
          <a:extLst>
            <a:ext uri="{FF2B5EF4-FFF2-40B4-BE49-F238E27FC236}">
              <a16:creationId xmlns:a16="http://schemas.microsoft.com/office/drawing/2014/main" id="{5837D04A-011C-4FE0-A032-2AC300454014}"/>
            </a:ext>
          </a:extLst>
        </xdr:cNvPr>
        <xdr:cNvSpPr>
          <a:spLocks/>
        </xdr:cNvSpPr>
      </xdr:nvSpPr>
      <xdr:spPr bwMode="auto">
        <a:xfrm>
          <a:off x="68266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57</xdr:row>
      <xdr:rowOff>173181</xdr:rowOff>
    </xdr:from>
    <xdr:to>
      <xdr:col>9</xdr:col>
      <xdr:colOff>294410</xdr:colOff>
      <xdr:row>58</xdr:row>
      <xdr:rowOff>121226</xdr:rowOff>
    </xdr:to>
    <xdr:sp macro="" textlink="">
      <xdr:nvSpPr>
        <xdr:cNvPr id="2317" name="Freeform 10707">
          <a:extLst>
            <a:ext uri="{FF2B5EF4-FFF2-40B4-BE49-F238E27FC236}">
              <a16:creationId xmlns:a16="http://schemas.microsoft.com/office/drawing/2014/main" id="{656946D3-EFED-43CE-B16E-0CF13DF98B87}"/>
            </a:ext>
          </a:extLst>
        </xdr:cNvPr>
        <xdr:cNvSpPr>
          <a:spLocks/>
        </xdr:cNvSpPr>
      </xdr:nvSpPr>
      <xdr:spPr bwMode="auto">
        <a:xfrm>
          <a:off x="78629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57</xdr:row>
      <xdr:rowOff>173181</xdr:rowOff>
    </xdr:from>
    <xdr:to>
      <xdr:col>11</xdr:col>
      <xdr:colOff>294410</xdr:colOff>
      <xdr:row>58</xdr:row>
      <xdr:rowOff>121226</xdr:rowOff>
    </xdr:to>
    <xdr:sp macro="" textlink="">
      <xdr:nvSpPr>
        <xdr:cNvPr id="2318" name="Freeform 10707">
          <a:extLst>
            <a:ext uri="{FF2B5EF4-FFF2-40B4-BE49-F238E27FC236}">
              <a16:creationId xmlns:a16="http://schemas.microsoft.com/office/drawing/2014/main" id="{D3780526-D9B5-4313-B37C-B4D4A72D2B99}"/>
            </a:ext>
          </a:extLst>
        </xdr:cNvPr>
        <xdr:cNvSpPr>
          <a:spLocks/>
        </xdr:cNvSpPr>
      </xdr:nvSpPr>
      <xdr:spPr bwMode="auto">
        <a:xfrm>
          <a:off x="8899240" y="67416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57</xdr:row>
      <xdr:rowOff>173181</xdr:rowOff>
    </xdr:from>
    <xdr:to>
      <xdr:col>13</xdr:col>
      <xdr:colOff>294410</xdr:colOff>
      <xdr:row>58</xdr:row>
      <xdr:rowOff>121226</xdr:rowOff>
    </xdr:to>
    <xdr:sp macro="" textlink="">
      <xdr:nvSpPr>
        <xdr:cNvPr id="2319" name="Freeform 10707">
          <a:extLst>
            <a:ext uri="{FF2B5EF4-FFF2-40B4-BE49-F238E27FC236}">
              <a16:creationId xmlns:a16="http://schemas.microsoft.com/office/drawing/2014/main" id="{03C15989-DE95-4378-A873-137053A105FA}"/>
            </a:ext>
          </a:extLst>
        </xdr:cNvPr>
        <xdr:cNvSpPr>
          <a:spLocks/>
        </xdr:cNvSpPr>
      </xdr:nvSpPr>
      <xdr:spPr bwMode="auto">
        <a:xfrm>
          <a:off x="99431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57</xdr:row>
      <xdr:rowOff>173181</xdr:rowOff>
    </xdr:from>
    <xdr:to>
      <xdr:col>15</xdr:col>
      <xdr:colOff>294410</xdr:colOff>
      <xdr:row>58</xdr:row>
      <xdr:rowOff>121226</xdr:rowOff>
    </xdr:to>
    <xdr:sp macro="" textlink="">
      <xdr:nvSpPr>
        <xdr:cNvPr id="2320" name="Freeform 10707">
          <a:extLst>
            <a:ext uri="{FF2B5EF4-FFF2-40B4-BE49-F238E27FC236}">
              <a16:creationId xmlns:a16="http://schemas.microsoft.com/office/drawing/2014/main" id="{151CDE46-BDB2-4CAF-A7B4-0D2DD057B763}"/>
            </a:ext>
          </a:extLst>
        </xdr:cNvPr>
        <xdr:cNvSpPr>
          <a:spLocks/>
        </xdr:cNvSpPr>
      </xdr:nvSpPr>
      <xdr:spPr bwMode="auto">
        <a:xfrm>
          <a:off x="1097950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57</xdr:row>
      <xdr:rowOff>173181</xdr:rowOff>
    </xdr:from>
    <xdr:to>
      <xdr:col>17</xdr:col>
      <xdr:colOff>294410</xdr:colOff>
      <xdr:row>58</xdr:row>
      <xdr:rowOff>121226</xdr:rowOff>
    </xdr:to>
    <xdr:sp macro="" textlink="">
      <xdr:nvSpPr>
        <xdr:cNvPr id="2321" name="Freeform 10707">
          <a:extLst>
            <a:ext uri="{FF2B5EF4-FFF2-40B4-BE49-F238E27FC236}">
              <a16:creationId xmlns:a16="http://schemas.microsoft.com/office/drawing/2014/main" id="{1EC02261-381D-4D71-84FB-2FF6E92FE3BB}"/>
            </a:ext>
          </a:extLst>
        </xdr:cNvPr>
        <xdr:cNvSpPr>
          <a:spLocks/>
        </xdr:cNvSpPr>
      </xdr:nvSpPr>
      <xdr:spPr bwMode="auto">
        <a:xfrm>
          <a:off x="1201582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57</xdr:row>
      <xdr:rowOff>173181</xdr:rowOff>
    </xdr:from>
    <xdr:to>
      <xdr:col>19</xdr:col>
      <xdr:colOff>294410</xdr:colOff>
      <xdr:row>58</xdr:row>
      <xdr:rowOff>121226</xdr:rowOff>
    </xdr:to>
    <xdr:sp macro="" textlink="">
      <xdr:nvSpPr>
        <xdr:cNvPr id="2322" name="Freeform 10707">
          <a:extLst>
            <a:ext uri="{FF2B5EF4-FFF2-40B4-BE49-F238E27FC236}">
              <a16:creationId xmlns:a16="http://schemas.microsoft.com/office/drawing/2014/main" id="{6DB393F3-DD97-44D2-8FB6-B927ED29434C}"/>
            </a:ext>
          </a:extLst>
        </xdr:cNvPr>
        <xdr:cNvSpPr>
          <a:spLocks/>
        </xdr:cNvSpPr>
      </xdr:nvSpPr>
      <xdr:spPr bwMode="auto">
        <a:xfrm>
          <a:off x="1305214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57</xdr:row>
      <xdr:rowOff>173181</xdr:rowOff>
    </xdr:from>
    <xdr:to>
      <xdr:col>21</xdr:col>
      <xdr:colOff>294410</xdr:colOff>
      <xdr:row>58</xdr:row>
      <xdr:rowOff>121226</xdr:rowOff>
    </xdr:to>
    <xdr:sp macro="" textlink="">
      <xdr:nvSpPr>
        <xdr:cNvPr id="2323" name="Freeform 10707">
          <a:extLst>
            <a:ext uri="{FF2B5EF4-FFF2-40B4-BE49-F238E27FC236}">
              <a16:creationId xmlns:a16="http://schemas.microsoft.com/office/drawing/2014/main" id="{5CDF455D-E9FA-4709-B8C2-92C410363605}"/>
            </a:ext>
          </a:extLst>
        </xdr:cNvPr>
        <xdr:cNvSpPr>
          <a:spLocks/>
        </xdr:cNvSpPr>
      </xdr:nvSpPr>
      <xdr:spPr bwMode="auto">
        <a:xfrm>
          <a:off x="1408846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57</xdr:row>
      <xdr:rowOff>173181</xdr:rowOff>
    </xdr:from>
    <xdr:to>
      <xdr:col>23</xdr:col>
      <xdr:colOff>294410</xdr:colOff>
      <xdr:row>58</xdr:row>
      <xdr:rowOff>121226</xdr:rowOff>
    </xdr:to>
    <xdr:sp macro="" textlink="">
      <xdr:nvSpPr>
        <xdr:cNvPr id="2324" name="Freeform 10707">
          <a:extLst>
            <a:ext uri="{FF2B5EF4-FFF2-40B4-BE49-F238E27FC236}">
              <a16:creationId xmlns:a16="http://schemas.microsoft.com/office/drawing/2014/main" id="{295437DF-FFD8-4DAA-BDCB-121BA1B816A5}"/>
            </a:ext>
          </a:extLst>
        </xdr:cNvPr>
        <xdr:cNvSpPr>
          <a:spLocks/>
        </xdr:cNvSpPr>
      </xdr:nvSpPr>
      <xdr:spPr bwMode="auto">
        <a:xfrm>
          <a:off x="15124780" y="6741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57</xdr:row>
      <xdr:rowOff>173181</xdr:rowOff>
    </xdr:from>
    <xdr:to>
      <xdr:col>25</xdr:col>
      <xdr:colOff>294410</xdr:colOff>
      <xdr:row>58</xdr:row>
      <xdr:rowOff>121226</xdr:rowOff>
    </xdr:to>
    <xdr:sp macro="" textlink="">
      <xdr:nvSpPr>
        <xdr:cNvPr id="2325" name="Freeform 10707">
          <a:extLst>
            <a:ext uri="{FF2B5EF4-FFF2-40B4-BE49-F238E27FC236}">
              <a16:creationId xmlns:a16="http://schemas.microsoft.com/office/drawing/2014/main" id="{A7BBB8E3-0B59-4535-B02B-4F9F08C8E268}"/>
            </a:ext>
          </a:extLst>
        </xdr:cNvPr>
        <xdr:cNvSpPr>
          <a:spLocks/>
        </xdr:cNvSpPr>
      </xdr:nvSpPr>
      <xdr:spPr bwMode="auto">
        <a:xfrm>
          <a:off x="6086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57</xdr:row>
      <xdr:rowOff>173181</xdr:rowOff>
    </xdr:from>
    <xdr:to>
      <xdr:col>27</xdr:col>
      <xdr:colOff>294410</xdr:colOff>
      <xdr:row>58</xdr:row>
      <xdr:rowOff>121226</xdr:rowOff>
    </xdr:to>
    <xdr:sp macro="" textlink="">
      <xdr:nvSpPr>
        <xdr:cNvPr id="2326" name="Freeform 10707">
          <a:extLst>
            <a:ext uri="{FF2B5EF4-FFF2-40B4-BE49-F238E27FC236}">
              <a16:creationId xmlns:a16="http://schemas.microsoft.com/office/drawing/2014/main" id="{99B7EFBB-B121-40C4-B340-3ADDBF4286BE}"/>
            </a:ext>
          </a:extLst>
        </xdr:cNvPr>
        <xdr:cNvSpPr>
          <a:spLocks/>
        </xdr:cNvSpPr>
      </xdr:nvSpPr>
      <xdr:spPr bwMode="auto">
        <a:xfrm>
          <a:off x="16450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57</xdr:row>
      <xdr:rowOff>173181</xdr:rowOff>
    </xdr:from>
    <xdr:to>
      <xdr:col>29</xdr:col>
      <xdr:colOff>294410</xdr:colOff>
      <xdr:row>58</xdr:row>
      <xdr:rowOff>121226</xdr:rowOff>
    </xdr:to>
    <xdr:sp macro="" textlink="">
      <xdr:nvSpPr>
        <xdr:cNvPr id="2327" name="Freeform 10707">
          <a:extLst>
            <a:ext uri="{FF2B5EF4-FFF2-40B4-BE49-F238E27FC236}">
              <a16:creationId xmlns:a16="http://schemas.microsoft.com/office/drawing/2014/main" id="{210AE41F-EEA4-45BB-AE15-796C25D13C1C}"/>
            </a:ext>
          </a:extLst>
        </xdr:cNvPr>
        <xdr:cNvSpPr>
          <a:spLocks/>
        </xdr:cNvSpPr>
      </xdr:nvSpPr>
      <xdr:spPr bwMode="auto">
        <a:xfrm>
          <a:off x="26813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328" name="Freeform 10707">
          <a:extLst>
            <a:ext uri="{FF2B5EF4-FFF2-40B4-BE49-F238E27FC236}">
              <a16:creationId xmlns:a16="http://schemas.microsoft.com/office/drawing/2014/main" id="{9DE1DFB0-0BE7-4E24-8A8B-910774D7E254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329" name="Freeform 10707">
          <a:extLst>
            <a:ext uri="{FF2B5EF4-FFF2-40B4-BE49-F238E27FC236}">
              <a16:creationId xmlns:a16="http://schemas.microsoft.com/office/drawing/2014/main" id="{F0CD775E-57E3-4111-83F3-5F69DC65445A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330" name="Freeform 10707">
          <a:extLst>
            <a:ext uri="{FF2B5EF4-FFF2-40B4-BE49-F238E27FC236}">
              <a16:creationId xmlns:a16="http://schemas.microsoft.com/office/drawing/2014/main" id="{7A58DC04-50EB-47F7-9F86-071C31C85358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331" name="Freeform 10707">
          <a:extLst>
            <a:ext uri="{FF2B5EF4-FFF2-40B4-BE49-F238E27FC236}">
              <a16:creationId xmlns:a16="http://schemas.microsoft.com/office/drawing/2014/main" id="{DF38B36F-7A15-4B5C-919A-248909E7E9B9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332" name="Freeform 10707">
          <a:extLst>
            <a:ext uri="{FF2B5EF4-FFF2-40B4-BE49-F238E27FC236}">
              <a16:creationId xmlns:a16="http://schemas.microsoft.com/office/drawing/2014/main" id="{934DE573-F778-476B-ADD2-CC384C28C732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333" name="Freeform 10707">
          <a:extLst>
            <a:ext uri="{FF2B5EF4-FFF2-40B4-BE49-F238E27FC236}">
              <a16:creationId xmlns:a16="http://schemas.microsoft.com/office/drawing/2014/main" id="{E9E31C5A-C75B-4506-BC79-0E658CD7981E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334" name="Freeform 10707">
          <a:extLst>
            <a:ext uri="{FF2B5EF4-FFF2-40B4-BE49-F238E27FC236}">
              <a16:creationId xmlns:a16="http://schemas.microsoft.com/office/drawing/2014/main" id="{7FF0BFBF-6A86-4DCA-9BC6-1292D3E011B2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70</xdr:row>
      <xdr:rowOff>173181</xdr:rowOff>
    </xdr:from>
    <xdr:to>
      <xdr:col>15</xdr:col>
      <xdr:colOff>294410</xdr:colOff>
      <xdr:row>71</xdr:row>
      <xdr:rowOff>121226</xdr:rowOff>
    </xdr:to>
    <xdr:sp macro="" textlink="">
      <xdr:nvSpPr>
        <xdr:cNvPr id="2335" name="Freeform 10707">
          <a:extLst>
            <a:ext uri="{FF2B5EF4-FFF2-40B4-BE49-F238E27FC236}">
              <a16:creationId xmlns:a16="http://schemas.microsoft.com/office/drawing/2014/main" id="{EAAF6BA2-5D34-492D-9E04-A82FA934B46D}"/>
            </a:ext>
          </a:extLst>
        </xdr:cNvPr>
        <xdr:cNvSpPr>
          <a:spLocks/>
        </xdr:cNvSpPr>
      </xdr:nvSpPr>
      <xdr:spPr bwMode="auto">
        <a:xfrm>
          <a:off x="109795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70</xdr:row>
      <xdr:rowOff>173181</xdr:rowOff>
    </xdr:from>
    <xdr:to>
      <xdr:col>17</xdr:col>
      <xdr:colOff>294410</xdr:colOff>
      <xdr:row>71</xdr:row>
      <xdr:rowOff>121226</xdr:rowOff>
    </xdr:to>
    <xdr:sp macro="" textlink="">
      <xdr:nvSpPr>
        <xdr:cNvPr id="2336" name="Freeform 10707">
          <a:extLst>
            <a:ext uri="{FF2B5EF4-FFF2-40B4-BE49-F238E27FC236}">
              <a16:creationId xmlns:a16="http://schemas.microsoft.com/office/drawing/2014/main" id="{97E71D04-2091-4E49-B6D1-983E5BD0E0AC}"/>
            </a:ext>
          </a:extLst>
        </xdr:cNvPr>
        <xdr:cNvSpPr>
          <a:spLocks/>
        </xdr:cNvSpPr>
      </xdr:nvSpPr>
      <xdr:spPr bwMode="auto">
        <a:xfrm>
          <a:off x="120158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70</xdr:row>
      <xdr:rowOff>173181</xdr:rowOff>
    </xdr:from>
    <xdr:to>
      <xdr:col>19</xdr:col>
      <xdr:colOff>294410</xdr:colOff>
      <xdr:row>71</xdr:row>
      <xdr:rowOff>121226</xdr:rowOff>
    </xdr:to>
    <xdr:sp macro="" textlink="">
      <xdr:nvSpPr>
        <xdr:cNvPr id="2337" name="Freeform 10707">
          <a:extLst>
            <a:ext uri="{FF2B5EF4-FFF2-40B4-BE49-F238E27FC236}">
              <a16:creationId xmlns:a16="http://schemas.microsoft.com/office/drawing/2014/main" id="{181B9625-B197-4F91-9C31-8979F7A88D21}"/>
            </a:ext>
          </a:extLst>
        </xdr:cNvPr>
        <xdr:cNvSpPr>
          <a:spLocks/>
        </xdr:cNvSpPr>
      </xdr:nvSpPr>
      <xdr:spPr bwMode="auto">
        <a:xfrm>
          <a:off x="130521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70</xdr:row>
      <xdr:rowOff>173181</xdr:rowOff>
    </xdr:from>
    <xdr:to>
      <xdr:col>21</xdr:col>
      <xdr:colOff>294410</xdr:colOff>
      <xdr:row>71</xdr:row>
      <xdr:rowOff>121226</xdr:rowOff>
    </xdr:to>
    <xdr:sp macro="" textlink="">
      <xdr:nvSpPr>
        <xdr:cNvPr id="2338" name="Freeform 10707">
          <a:extLst>
            <a:ext uri="{FF2B5EF4-FFF2-40B4-BE49-F238E27FC236}">
              <a16:creationId xmlns:a16="http://schemas.microsoft.com/office/drawing/2014/main" id="{7F93167A-0AB5-4BB8-91C7-918E9392B6C6}"/>
            </a:ext>
          </a:extLst>
        </xdr:cNvPr>
        <xdr:cNvSpPr>
          <a:spLocks/>
        </xdr:cNvSpPr>
      </xdr:nvSpPr>
      <xdr:spPr bwMode="auto">
        <a:xfrm>
          <a:off x="140884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70</xdr:row>
      <xdr:rowOff>173181</xdr:rowOff>
    </xdr:from>
    <xdr:to>
      <xdr:col>23</xdr:col>
      <xdr:colOff>294410</xdr:colOff>
      <xdr:row>71</xdr:row>
      <xdr:rowOff>121226</xdr:rowOff>
    </xdr:to>
    <xdr:sp macro="" textlink="">
      <xdr:nvSpPr>
        <xdr:cNvPr id="2339" name="Freeform 10707">
          <a:extLst>
            <a:ext uri="{FF2B5EF4-FFF2-40B4-BE49-F238E27FC236}">
              <a16:creationId xmlns:a16="http://schemas.microsoft.com/office/drawing/2014/main" id="{B52268BC-BDCA-4CC6-A2E7-63CF0593B332}"/>
            </a:ext>
          </a:extLst>
        </xdr:cNvPr>
        <xdr:cNvSpPr>
          <a:spLocks/>
        </xdr:cNvSpPr>
      </xdr:nvSpPr>
      <xdr:spPr bwMode="auto">
        <a:xfrm>
          <a:off x="151247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70</xdr:row>
      <xdr:rowOff>173181</xdr:rowOff>
    </xdr:from>
    <xdr:to>
      <xdr:col>25</xdr:col>
      <xdr:colOff>294410</xdr:colOff>
      <xdr:row>71</xdr:row>
      <xdr:rowOff>121226</xdr:rowOff>
    </xdr:to>
    <xdr:sp macro="" textlink="">
      <xdr:nvSpPr>
        <xdr:cNvPr id="2340" name="Freeform 10707">
          <a:extLst>
            <a:ext uri="{FF2B5EF4-FFF2-40B4-BE49-F238E27FC236}">
              <a16:creationId xmlns:a16="http://schemas.microsoft.com/office/drawing/2014/main" id="{C2571B4F-312C-4B55-AB52-96601183AE96}"/>
            </a:ext>
          </a:extLst>
        </xdr:cNvPr>
        <xdr:cNvSpPr>
          <a:spLocks/>
        </xdr:cNvSpPr>
      </xdr:nvSpPr>
      <xdr:spPr bwMode="auto">
        <a:xfrm>
          <a:off x="6086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70</xdr:row>
      <xdr:rowOff>173181</xdr:rowOff>
    </xdr:from>
    <xdr:to>
      <xdr:col>27</xdr:col>
      <xdr:colOff>294410</xdr:colOff>
      <xdr:row>71</xdr:row>
      <xdr:rowOff>121226</xdr:rowOff>
    </xdr:to>
    <xdr:sp macro="" textlink="">
      <xdr:nvSpPr>
        <xdr:cNvPr id="2341" name="Freeform 10707">
          <a:extLst>
            <a:ext uri="{FF2B5EF4-FFF2-40B4-BE49-F238E27FC236}">
              <a16:creationId xmlns:a16="http://schemas.microsoft.com/office/drawing/2014/main" id="{2B4C21B5-139B-4113-B8D4-8CAAFE86E4BA}"/>
            </a:ext>
          </a:extLst>
        </xdr:cNvPr>
        <xdr:cNvSpPr>
          <a:spLocks/>
        </xdr:cNvSpPr>
      </xdr:nvSpPr>
      <xdr:spPr bwMode="auto">
        <a:xfrm>
          <a:off x="16450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70</xdr:row>
      <xdr:rowOff>173181</xdr:rowOff>
    </xdr:from>
    <xdr:to>
      <xdr:col>29</xdr:col>
      <xdr:colOff>294410</xdr:colOff>
      <xdr:row>71</xdr:row>
      <xdr:rowOff>121226</xdr:rowOff>
    </xdr:to>
    <xdr:sp macro="" textlink="">
      <xdr:nvSpPr>
        <xdr:cNvPr id="2342" name="Freeform 10707">
          <a:extLst>
            <a:ext uri="{FF2B5EF4-FFF2-40B4-BE49-F238E27FC236}">
              <a16:creationId xmlns:a16="http://schemas.microsoft.com/office/drawing/2014/main" id="{ADBCDD94-2002-4FAE-87D9-FECFC58ADDC9}"/>
            </a:ext>
          </a:extLst>
        </xdr:cNvPr>
        <xdr:cNvSpPr>
          <a:spLocks/>
        </xdr:cNvSpPr>
      </xdr:nvSpPr>
      <xdr:spPr bwMode="auto">
        <a:xfrm>
          <a:off x="26813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70</xdr:row>
      <xdr:rowOff>173181</xdr:rowOff>
    </xdr:from>
    <xdr:to>
      <xdr:col>31</xdr:col>
      <xdr:colOff>294410</xdr:colOff>
      <xdr:row>71</xdr:row>
      <xdr:rowOff>121226</xdr:rowOff>
    </xdr:to>
    <xdr:sp macro="" textlink="">
      <xdr:nvSpPr>
        <xdr:cNvPr id="2343" name="Freeform 10707">
          <a:extLst>
            <a:ext uri="{FF2B5EF4-FFF2-40B4-BE49-F238E27FC236}">
              <a16:creationId xmlns:a16="http://schemas.microsoft.com/office/drawing/2014/main" id="{2B6FEEAC-C395-4DDE-B665-EF3145C4B30C}"/>
            </a:ext>
          </a:extLst>
        </xdr:cNvPr>
        <xdr:cNvSpPr>
          <a:spLocks/>
        </xdr:cNvSpPr>
      </xdr:nvSpPr>
      <xdr:spPr bwMode="auto">
        <a:xfrm>
          <a:off x="37176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81</xdr:row>
      <xdr:rowOff>173181</xdr:rowOff>
    </xdr:from>
    <xdr:to>
      <xdr:col>3</xdr:col>
      <xdr:colOff>294410</xdr:colOff>
      <xdr:row>82</xdr:row>
      <xdr:rowOff>121226</xdr:rowOff>
    </xdr:to>
    <xdr:sp macro="" textlink="">
      <xdr:nvSpPr>
        <xdr:cNvPr id="2344" name="Freeform 10707">
          <a:extLst>
            <a:ext uri="{FF2B5EF4-FFF2-40B4-BE49-F238E27FC236}">
              <a16:creationId xmlns:a16="http://schemas.microsoft.com/office/drawing/2014/main" id="{7348EA51-23B4-4BD4-8390-66D9BEE777EE}"/>
            </a:ext>
          </a:extLst>
        </xdr:cNvPr>
        <xdr:cNvSpPr>
          <a:spLocks/>
        </xdr:cNvSpPr>
      </xdr:nvSpPr>
      <xdr:spPr bwMode="auto">
        <a:xfrm>
          <a:off x="47539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109</xdr:col>
      <xdr:colOff>288640</xdr:colOff>
      <xdr:row>97</xdr:row>
      <xdr:rowOff>173181</xdr:rowOff>
    </xdr:from>
    <xdr:to>
      <xdr:col>111</xdr:col>
      <xdr:colOff>294410</xdr:colOff>
      <xdr:row>98</xdr:row>
      <xdr:rowOff>121226</xdr:rowOff>
    </xdr:to>
    <xdr:sp macro="" textlink="">
      <xdr:nvSpPr>
        <xdr:cNvPr id="2345" name="Freeform 10707">
          <a:extLst>
            <a:ext uri="{FF2B5EF4-FFF2-40B4-BE49-F238E27FC236}">
              <a16:creationId xmlns:a16="http://schemas.microsoft.com/office/drawing/2014/main" id="{4EAFF206-C822-4C9C-9892-7121C9D80F89}"/>
            </a:ext>
          </a:extLst>
        </xdr:cNvPr>
        <xdr:cNvSpPr>
          <a:spLocks/>
        </xdr:cNvSpPr>
      </xdr:nvSpPr>
      <xdr:spPr bwMode="auto">
        <a:xfrm>
          <a:off x="379771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111</xdr:col>
      <xdr:colOff>288640</xdr:colOff>
      <xdr:row>97</xdr:row>
      <xdr:rowOff>173181</xdr:rowOff>
    </xdr:from>
    <xdr:to>
      <xdr:col>113</xdr:col>
      <xdr:colOff>294410</xdr:colOff>
      <xdr:row>98</xdr:row>
      <xdr:rowOff>121226</xdr:rowOff>
    </xdr:to>
    <xdr:sp macro="" textlink="">
      <xdr:nvSpPr>
        <xdr:cNvPr id="2346" name="Freeform 10707">
          <a:extLst>
            <a:ext uri="{FF2B5EF4-FFF2-40B4-BE49-F238E27FC236}">
              <a16:creationId xmlns:a16="http://schemas.microsoft.com/office/drawing/2014/main" id="{3DBE50A3-5F80-444A-A9AF-BFCFAEF07FCF}"/>
            </a:ext>
          </a:extLst>
        </xdr:cNvPr>
        <xdr:cNvSpPr>
          <a:spLocks/>
        </xdr:cNvSpPr>
      </xdr:nvSpPr>
      <xdr:spPr bwMode="auto">
        <a:xfrm>
          <a:off x="391658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113</xdr:col>
      <xdr:colOff>288640</xdr:colOff>
      <xdr:row>97</xdr:row>
      <xdr:rowOff>173181</xdr:rowOff>
    </xdr:from>
    <xdr:to>
      <xdr:col>115</xdr:col>
      <xdr:colOff>294410</xdr:colOff>
      <xdr:row>98</xdr:row>
      <xdr:rowOff>121226</xdr:rowOff>
    </xdr:to>
    <xdr:sp macro="" textlink="">
      <xdr:nvSpPr>
        <xdr:cNvPr id="2347" name="Freeform 10707">
          <a:extLst>
            <a:ext uri="{FF2B5EF4-FFF2-40B4-BE49-F238E27FC236}">
              <a16:creationId xmlns:a16="http://schemas.microsoft.com/office/drawing/2014/main" id="{05BE77EC-2990-40D9-87FA-64F05AC09A47}"/>
            </a:ext>
          </a:extLst>
        </xdr:cNvPr>
        <xdr:cNvSpPr>
          <a:spLocks/>
        </xdr:cNvSpPr>
      </xdr:nvSpPr>
      <xdr:spPr bwMode="auto">
        <a:xfrm>
          <a:off x="403546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115</xdr:col>
      <xdr:colOff>288640</xdr:colOff>
      <xdr:row>97</xdr:row>
      <xdr:rowOff>173181</xdr:rowOff>
    </xdr:from>
    <xdr:to>
      <xdr:col>117</xdr:col>
      <xdr:colOff>294410</xdr:colOff>
      <xdr:row>98</xdr:row>
      <xdr:rowOff>121226</xdr:rowOff>
    </xdr:to>
    <xdr:sp macro="" textlink="">
      <xdr:nvSpPr>
        <xdr:cNvPr id="2348" name="Freeform 10707">
          <a:extLst>
            <a:ext uri="{FF2B5EF4-FFF2-40B4-BE49-F238E27FC236}">
              <a16:creationId xmlns:a16="http://schemas.microsoft.com/office/drawing/2014/main" id="{C9D5A64A-B471-46C8-A496-18CBDA2B79B6}"/>
            </a:ext>
          </a:extLst>
        </xdr:cNvPr>
        <xdr:cNvSpPr>
          <a:spLocks/>
        </xdr:cNvSpPr>
      </xdr:nvSpPr>
      <xdr:spPr bwMode="auto">
        <a:xfrm>
          <a:off x="415433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117</xdr:col>
      <xdr:colOff>288640</xdr:colOff>
      <xdr:row>97</xdr:row>
      <xdr:rowOff>173181</xdr:rowOff>
    </xdr:from>
    <xdr:to>
      <xdr:col>119</xdr:col>
      <xdr:colOff>294410</xdr:colOff>
      <xdr:row>98</xdr:row>
      <xdr:rowOff>121226</xdr:rowOff>
    </xdr:to>
    <xdr:sp macro="" textlink="">
      <xdr:nvSpPr>
        <xdr:cNvPr id="2349" name="Freeform 10707">
          <a:extLst>
            <a:ext uri="{FF2B5EF4-FFF2-40B4-BE49-F238E27FC236}">
              <a16:creationId xmlns:a16="http://schemas.microsoft.com/office/drawing/2014/main" id="{F77D33B9-9486-453E-9E0D-E7D8D728FBCF}"/>
            </a:ext>
          </a:extLst>
        </xdr:cNvPr>
        <xdr:cNvSpPr>
          <a:spLocks/>
        </xdr:cNvSpPr>
      </xdr:nvSpPr>
      <xdr:spPr bwMode="auto">
        <a:xfrm>
          <a:off x="427320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119</xdr:col>
      <xdr:colOff>288640</xdr:colOff>
      <xdr:row>97</xdr:row>
      <xdr:rowOff>173181</xdr:rowOff>
    </xdr:from>
    <xdr:to>
      <xdr:col>121</xdr:col>
      <xdr:colOff>294410</xdr:colOff>
      <xdr:row>98</xdr:row>
      <xdr:rowOff>121226</xdr:rowOff>
    </xdr:to>
    <xdr:sp macro="" textlink="">
      <xdr:nvSpPr>
        <xdr:cNvPr id="2350" name="Freeform 10707">
          <a:extLst>
            <a:ext uri="{FF2B5EF4-FFF2-40B4-BE49-F238E27FC236}">
              <a16:creationId xmlns:a16="http://schemas.microsoft.com/office/drawing/2014/main" id="{EF92A0DC-4C65-4758-B892-FD446BB6363E}"/>
            </a:ext>
          </a:extLst>
        </xdr:cNvPr>
        <xdr:cNvSpPr>
          <a:spLocks/>
        </xdr:cNvSpPr>
      </xdr:nvSpPr>
      <xdr:spPr bwMode="auto">
        <a:xfrm>
          <a:off x="4392076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121</xdr:col>
      <xdr:colOff>288640</xdr:colOff>
      <xdr:row>97</xdr:row>
      <xdr:rowOff>173181</xdr:rowOff>
    </xdr:from>
    <xdr:to>
      <xdr:col>123</xdr:col>
      <xdr:colOff>294410</xdr:colOff>
      <xdr:row>98</xdr:row>
      <xdr:rowOff>121226</xdr:rowOff>
    </xdr:to>
    <xdr:sp macro="" textlink="">
      <xdr:nvSpPr>
        <xdr:cNvPr id="2351" name="Freeform 10707">
          <a:extLst>
            <a:ext uri="{FF2B5EF4-FFF2-40B4-BE49-F238E27FC236}">
              <a16:creationId xmlns:a16="http://schemas.microsoft.com/office/drawing/2014/main" id="{AB7582A4-B42B-4C7A-BB80-2A8276AACFB5}"/>
            </a:ext>
          </a:extLst>
        </xdr:cNvPr>
        <xdr:cNvSpPr>
          <a:spLocks/>
        </xdr:cNvSpPr>
      </xdr:nvSpPr>
      <xdr:spPr bwMode="auto">
        <a:xfrm>
          <a:off x="4510948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123</xdr:col>
      <xdr:colOff>288640</xdr:colOff>
      <xdr:row>97</xdr:row>
      <xdr:rowOff>173181</xdr:rowOff>
    </xdr:from>
    <xdr:to>
      <xdr:col>125</xdr:col>
      <xdr:colOff>294410</xdr:colOff>
      <xdr:row>98</xdr:row>
      <xdr:rowOff>121226</xdr:rowOff>
    </xdr:to>
    <xdr:sp macro="" textlink="">
      <xdr:nvSpPr>
        <xdr:cNvPr id="2352" name="Freeform 10707">
          <a:extLst>
            <a:ext uri="{FF2B5EF4-FFF2-40B4-BE49-F238E27FC236}">
              <a16:creationId xmlns:a16="http://schemas.microsoft.com/office/drawing/2014/main" id="{9F6F1E78-3753-4074-BCCF-E833CA4EC18A}"/>
            </a:ext>
          </a:extLst>
        </xdr:cNvPr>
        <xdr:cNvSpPr>
          <a:spLocks/>
        </xdr:cNvSpPr>
      </xdr:nvSpPr>
      <xdr:spPr bwMode="auto">
        <a:xfrm>
          <a:off x="4629820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125</xdr:col>
      <xdr:colOff>288640</xdr:colOff>
      <xdr:row>97</xdr:row>
      <xdr:rowOff>173181</xdr:rowOff>
    </xdr:from>
    <xdr:to>
      <xdr:col>127</xdr:col>
      <xdr:colOff>294410</xdr:colOff>
      <xdr:row>98</xdr:row>
      <xdr:rowOff>121226</xdr:rowOff>
    </xdr:to>
    <xdr:sp macro="" textlink="">
      <xdr:nvSpPr>
        <xdr:cNvPr id="2353" name="Freeform 10707">
          <a:extLst>
            <a:ext uri="{FF2B5EF4-FFF2-40B4-BE49-F238E27FC236}">
              <a16:creationId xmlns:a16="http://schemas.microsoft.com/office/drawing/2014/main" id="{2E493F97-E74F-4093-B9D8-BC1F1C97C54A}"/>
            </a:ext>
          </a:extLst>
        </xdr:cNvPr>
        <xdr:cNvSpPr>
          <a:spLocks/>
        </xdr:cNvSpPr>
      </xdr:nvSpPr>
      <xdr:spPr bwMode="auto">
        <a:xfrm>
          <a:off x="4748692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127</xdr:col>
      <xdr:colOff>288640</xdr:colOff>
      <xdr:row>97</xdr:row>
      <xdr:rowOff>173181</xdr:rowOff>
    </xdr:from>
    <xdr:to>
      <xdr:col>129</xdr:col>
      <xdr:colOff>294410</xdr:colOff>
      <xdr:row>98</xdr:row>
      <xdr:rowOff>121226</xdr:rowOff>
    </xdr:to>
    <xdr:sp macro="" textlink="">
      <xdr:nvSpPr>
        <xdr:cNvPr id="2354" name="Freeform 10707">
          <a:extLst>
            <a:ext uri="{FF2B5EF4-FFF2-40B4-BE49-F238E27FC236}">
              <a16:creationId xmlns:a16="http://schemas.microsoft.com/office/drawing/2014/main" id="{3EF7C697-C358-487B-851A-27AC01E00E58}"/>
            </a:ext>
          </a:extLst>
        </xdr:cNvPr>
        <xdr:cNvSpPr>
          <a:spLocks/>
        </xdr:cNvSpPr>
      </xdr:nvSpPr>
      <xdr:spPr bwMode="auto">
        <a:xfrm>
          <a:off x="48675640" y="14003481"/>
          <a:ext cx="11944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81</xdr:row>
      <xdr:rowOff>173181</xdr:rowOff>
    </xdr:from>
    <xdr:to>
      <xdr:col>25</xdr:col>
      <xdr:colOff>294410</xdr:colOff>
      <xdr:row>82</xdr:row>
      <xdr:rowOff>121226</xdr:rowOff>
    </xdr:to>
    <xdr:sp macro="" textlink="">
      <xdr:nvSpPr>
        <xdr:cNvPr id="2355" name="Freeform 10707">
          <a:extLst>
            <a:ext uri="{FF2B5EF4-FFF2-40B4-BE49-F238E27FC236}">
              <a16:creationId xmlns:a16="http://schemas.microsoft.com/office/drawing/2014/main" id="{EEFFEAB3-47C0-4CCF-8577-5A04BBE5DE94}"/>
            </a:ext>
          </a:extLst>
        </xdr:cNvPr>
        <xdr:cNvSpPr>
          <a:spLocks/>
        </xdr:cNvSpPr>
      </xdr:nvSpPr>
      <xdr:spPr bwMode="auto">
        <a:xfrm>
          <a:off x="6086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81</xdr:row>
      <xdr:rowOff>173181</xdr:rowOff>
    </xdr:from>
    <xdr:to>
      <xdr:col>27</xdr:col>
      <xdr:colOff>294410</xdr:colOff>
      <xdr:row>82</xdr:row>
      <xdr:rowOff>121226</xdr:rowOff>
    </xdr:to>
    <xdr:sp macro="" textlink="">
      <xdr:nvSpPr>
        <xdr:cNvPr id="2356" name="Freeform 10707">
          <a:extLst>
            <a:ext uri="{FF2B5EF4-FFF2-40B4-BE49-F238E27FC236}">
              <a16:creationId xmlns:a16="http://schemas.microsoft.com/office/drawing/2014/main" id="{E0057CC1-3B1D-43FA-8297-6F6DD808B5BD}"/>
            </a:ext>
          </a:extLst>
        </xdr:cNvPr>
        <xdr:cNvSpPr>
          <a:spLocks/>
        </xdr:cNvSpPr>
      </xdr:nvSpPr>
      <xdr:spPr bwMode="auto">
        <a:xfrm>
          <a:off x="16450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81</xdr:row>
      <xdr:rowOff>173181</xdr:rowOff>
    </xdr:from>
    <xdr:to>
      <xdr:col>29</xdr:col>
      <xdr:colOff>294410</xdr:colOff>
      <xdr:row>82</xdr:row>
      <xdr:rowOff>121226</xdr:rowOff>
    </xdr:to>
    <xdr:sp macro="" textlink="">
      <xdr:nvSpPr>
        <xdr:cNvPr id="2357" name="Freeform 10707">
          <a:extLst>
            <a:ext uri="{FF2B5EF4-FFF2-40B4-BE49-F238E27FC236}">
              <a16:creationId xmlns:a16="http://schemas.microsoft.com/office/drawing/2014/main" id="{E6BFD9DD-BC16-4035-A34C-8DF256B86DA5}"/>
            </a:ext>
          </a:extLst>
        </xdr:cNvPr>
        <xdr:cNvSpPr>
          <a:spLocks/>
        </xdr:cNvSpPr>
      </xdr:nvSpPr>
      <xdr:spPr bwMode="auto">
        <a:xfrm>
          <a:off x="26813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81</xdr:row>
      <xdr:rowOff>173181</xdr:rowOff>
    </xdr:from>
    <xdr:to>
      <xdr:col>31</xdr:col>
      <xdr:colOff>294410</xdr:colOff>
      <xdr:row>82</xdr:row>
      <xdr:rowOff>121226</xdr:rowOff>
    </xdr:to>
    <xdr:sp macro="" textlink="">
      <xdr:nvSpPr>
        <xdr:cNvPr id="2358" name="Freeform 10707">
          <a:extLst>
            <a:ext uri="{FF2B5EF4-FFF2-40B4-BE49-F238E27FC236}">
              <a16:creationId xmlns:a16="http://schemas.microsoft.com/office/drawing/2014/main" id="{59FDF91F-C490-4DD9-BE6C-80395FB8B846}"/>
            </a:ext>
          </a:extLst>
        </xdr:cNvPr>
        <xdr:cNvSpPr>
          <a:spLocks/>
        </xdr:cNvSpPr>
      </xdr:nvSpPr>
      <xdr:spPr bwMode="auto">
        <a:xfrm>
          <a:off x="37176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92</xdr:row>
      <xdr:rowOff>173181</xdr:rowOff>
    </xdr:from>
    <xdr:to>
      <xdr:col>3</xdr:col>
      <xdr:colOff>294410</xdr:colOff>
      <xdr:row>93</xdr:row>
      <xdr:rowOff>121226</xdr:rowOff>
    </xdr:to>
    <xdr:sp macro="" textlink="">
      <xdr:nvSpPr>
        <xdr:cNvPr id="2359" name="Freeform 10707">
          <a:extLst>
            <a:ext uri="{FF2B5EF4-FFF2-40B4-BE49-F238E27FC236}">
              <a16:creationId xmlns:a16="http://schemas.microsoft.com/office/drawing/2014/main" id="{271A7DAC-C123-4F58-BCA6-DB63FAE5D0F5}"/>
            </a:ext>
          </a:extLst>
        </xdr:cNvPr>
        <xdr:cNvSpPr>
          <a:spLocks/>
        </xdr:cNvSpPr>
      </xdr:nvSpPr>
      <xdr:spPr bwMode="auto">
        <a:xfrm>
          <a:off x="47539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92</xdr:row>
      <xdr:rowOff>173181</xdr:rowOff>
    </xdr:from>
    <xdr:to>
      <xdr:col>5</xdr:col>
      <xdr:colOff>294410</xdr:colOff>
      <xdr:row>93</xdr:row>
      <xdr:rowOff>121226</xdr:rowOff>
    </xdr:to>
    <xdr:sp macro="" textlink="">
      <xdr:nvSpPr>
        <xdr:cNvPr id="2360" name="Freeform 10707">
          <a:extLst>
            <a:ext uri="{FF2B5EF4-FFF2-40B4-BE49-F238E27FC236}">
              <a16:creationId xmlns:a16="http://schemas.microsoft.com/office/drawing/2014/main" id="{CED99D98-668B-4A11-BB51-DE7650757630}"/>
            </a:ext>
          </a:extLst>
        </xdr:cNvPr>
        <xdr:cNvSpPr>
          <a:spLocks/>
        </xdr:cNvSpPr>
      </xdr:nvSpPr>
      <xdr:spPr bwMode="auto">
        <a:xfrm>
          <a:off x="57902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92</xdr:row>
      <xdr:rowOff>173181</xdr:rowOff>
    </xdr:from>
    <xdr:to>
      <xdr:col>7</xdr:col>
      <xdr:colOff>294410</xdr:colOff>
      <xdr:row>93</xdr:row>
      <xdr:rowOff>121226</xdr:rowOff>
    </xdr:to>
    <xdr:sp macro="" textlink="">
      <xdr:nvSpPr>
        <xdr:cNvPr id="2361" name="Freeform 10707">
          <a:extLst>
            <a:ext uri="{FF2B5EF4-FFF2-40B4-BE49-F238E27FC236}">
              <a16:creationId xmlns:a16="http://schemas.microsoft.com/office/drawing/2014/main" id="{BDFD809A-04DF-455B-A40B-A52EC60D9800}"/>
            </a:ext>
          </a:extLst>
        </xdr:cNvPr>
        <xdr:cNvSpPr>
          <a:spLocks/>
        </xdr:cNvSpPr>
      </xdr:nvSpPr>
      <xdr:spPr bwMode="auto">
        <a:xfrm>
          <a:off x="68266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92</xdr:row>
      <xdr:rowOff>173181</xdr:rowOff>
    </xdr:from>
    <xdr:to>
      <xdr:col>9</xdr:col>
      <xdr:colOff>294410</xdr:colOff>
      <xdr:row>93</xdr:row>
      <xdr:rowOff>121226</xdr:rowOff>
    </xdr:to>
    <xdr:sp macro="" textlink="">
      <xdr:nvSpPr>
        <xdr:cNvPr id="2362" name="Freeform 10707">
          <a:extLst>
            <a:ext uri="{FF2B5EF4-FFF2-40B4-BE49-F238E27FC236}">
              <a16:creationId xmlns:a16="http://schemas.microsoft.com/office/drawing/2014/main" id="{AAF1D7B9-59B2-414C-8B96-C3A4BAC08AA2}"/>
            </a:ext>
          </a:extLst>
        </xdr:cNvPr>
        <xdr:cNvSpPr>
          <a:spLocks/>
        </xdr:cNvSpPr>
      </xdr:nvSpPr>
      <xdr:spPr bwMode="auto">
        <a:xfrm>
          <a:off x="78629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92</xdr:row>
      <xdr:rowOff>173181</xdr:rowOff>
    </xdr:from>
    <xdr:to>
      <xdr:col>11</xdr:col>
      <xdr:colOff>294410</xdr:colOff>
      <xdr:row>93</xdr:row>
      <xdr:rowOff>121226</xdr:rowOff>
    </xdr:to>
    <xdr:sp macro="" textlink="">
      <xdr:nvSpPr>
        <xdr:cNvPr id="2363" name="Freeform 10707">
          <a:extLst>
            <a:ext uri="{FF2B5EF4-FFF2-40B4-BE49-F238E27FC236}">
              <a16:creationId xmlns:a16="http://schemas.microsoft.com/office/drawing/2014/main" id="{E6BA3ED5-2E70-4EEB-AAB7-364E26252066}"/>
            </a:ext>
          </a:extLst>
        </xdr:cNvPr>
        <xdr:cNvSpPr>
          <a:spLocks/>
        </xdr:cNvSpPr>
      </xdr:nvSpPr>
      <xdr:spPr bwMode="auto">
        <a:xfrm>
          <a:off x="8899240" y="131652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92</xdr:row>
      <xdr:rowOff>173181</xdr:rowOff>
    </xdr:from>
    <xdr:to>
      <xdr:col>13</xdr:col>
      <xdr:colOff>294410</xdr:colOff>
      <xdr:row>93</xdr:row>
      <xdr:rowOff>121226</xdr:rowOff>
    </xdr:to>
    <xdr:sp macro="" textlink="">
      <xdr:nvSpPr>
        <xdr:cNvPr id="2364" name="Freeform 10707">
          <a:extLst>
            <a:ext uri="{FF2B5EF4-FFF2-40B4-BE49-F238E27FC236}">
              <a16:creationId xmlns:a16="http://schemas.microsoft.com/office/drawing/2014/main" id="{F79E3C91-1ABF-408F-BCF3-E11DBE51ED6F}"/>
            </a:ext>
          </a:extLst>
        </xdr:cNvPr>
        <xdr:cNvSpPr>
          <a:spLocks/>
        </xdr:cNvSpPr>
      </xdr:nvSpPr>
      <xdr:spPr bwMode="auto">
        <a:xfrm>
          <a:off x="99431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92</xdr:row>
      <xdr:rowOff>173181</xdr:rowOff>
    </xdr:from>
    <xdr:to>
      <xdr:col>15</xdr:col>
      <xdr:colOff>294410</xdr:colOff>
      <xdr:row>93</xdr:row>
      <xdr:rowOff>121226</xdr:rowOff>
    </xdr:to>
    <xdr:sp macro="" textlink="">
      <xdr:nvSpPr>
        <xdr:cNvPr id="2365" name="Freeform 10707">
          <a:extLst>
            <a:ext uri="{FF2B5EF4-FFF2-40B4-BE49-F238E27FC236}">
              <a16:creationId xmlns:a16="http://schemas.microsoft.com/office/drawing/2014/main" id="{0A97FC0E-EB20-4331-BBEA-8D7FBF100E83}"/>
            </a:ext>
          </a:extLst>
        </xdr:cNvPr>
        <xdr:cNvSpPr>
          <a:spLocks/>
        </xdr:cNvSpPr>
      </xdr:nvSpPr>
      <xdr:spPr bwMode="auto">
        <a:xfrm>
          <a:off x="1097950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92</xdr:row>
      <xdr:rowOff>173181</xdr:rowOff>
    </xdr:from>
    <xdr:to>
      <xdr:col>17</xdr:col>
      <xdr:colOff>294410</xdr:colOff>
      <xdr:row>93</xdr:row>
      <xdr:rowOff>121226</xdr:rowOff>
    </xdr:to>
    <xdr:sp macro="" textlink="">
      <xdr:nvSpPr>
        <xdr:cNvPr id="2366" name="Freeform 10707">
          <a:extLst>
            <a:ext uri="{FF2B5EF4-FFF2-40B4-BE49-F238E27FC236}">
              <a16:creationId xmlns:a16="http://schemas.microsoft.com/office/drawing/2014/main" id="{D86F09BA-58ED-44BF-9633-71310361342D}"/>
            </a:ext>
          </a:extLst>
        </xdr:cNvPr>
        <xdr:cNvSpPr>
          <a:spLocks/>
        </xdr:cNvSpPr>
      </xdr:nvSpPr>
      <xdr:spPr bwMode="auto">
        <a:xfrm>
          <a:off x="1201582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92</xdr:row>
      <xdr:rowOff>173181</xdr:rowOff>
    </xdr:from>
    <xdr:to>
      <xdr:col>19</xdr:col>
      <xdr:colOff>294410</xdr:colOff>
      <xdr:row>93</xdr:row>
      <xdr:rowOff>121226</xdr:rowOff>
    </xdr:to>
    <xdr:sp macro="" textlink="">
      <xdr:nvSpPr>
        <xdr:cNvPr id="2367" name="Freeform 10707">
          <a:extLst>
            <a:ext uri="{FF2B5EF4-FFF2-40B4-BE49-F238E27FC236}">
              <a16:creationId xmlns:a16="http://schemas.microsoft.com/office/drawing/2014/main" id="{B596EE62-10AD-4DD3-BA1C-966F5941D0A2}"/>
            </a:ext>
          </a:extLst>
        </xdr:cNvPr>
        <xdr:cNvSpPr>
          <a:spLocks/>
        </xdr:cNvSpPr>
      </xdr:nvSpPr>
      <xdr:spPr bwMode="auto">
        <a:xfrm>
          <a:off x="1305214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92</xdr:row>
      <xdr:rowOff>173181</xdr:rowOff>
    </xdr:from>
    <xdr:to>
      <xdr:col>21</xdr:col>
      <xdr:colOff>294410</xdr:colOff>
      <xdr:row>93</xdr:row>
      <xdr:rowOff>121226</xdr:rowOff>
    </xdr:to>
    <xdr:sp macro="" textlink="">
      <xdr:nvSpPr>
        <xdr:cNvPr id="2368" name="Freeform 10707">
          <a:extLst>
            <a:ext uri="{FF2B5EF4-FFF2-40B4-BE49-F238E27FC236}">
              <a16:creationId xmlns:a16="http://schemas.microsoft.com/office/drawing/2014/main" id="{A0F29DA1-B6D2-48C0-809C-C258D6AC2508}"/>
            </a:ext>
          </a:extLst>
        </xdr:cNvPr>
        <xdr:cNvSpPr>
          <a:spLocks/>
        </xdr:cNvSpPr>
      </xdr:nvSpPr>
      <xdr:spPr bwMode="auto">
        <a:xfrm>
          <a:off x="1408846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92</xdr:row>
      <xdr:rowOff>173181</xdr:rowOff>
    </xdr:from>
    <xdr:to>
      <xdr:col>23</xdr:col>
      <xdr:colOff>294410</xdr:colOff>
      <xdr:row>93</xdr:row>
      <xdr:rowOff>121226</xdr:rowOff>
    </xdr:to>
    <xdr:sp macro="" textlink="">
      <xdr:nvSpPr>
        <xdr:cNvPr id="2369" name="Freeform 10707">
          <a:extLst>
            <a:ext uri="{FF2B5EF4-FFF2-40B4-BE49-F238E27FC236}">
              <a16:creationId xmlns:a16="http://schemas.microsoft.com/office/drawing/2014/main" id="{7334587A-6B6E-452E-9A18-A45675533501}"/>
            </a:ext>
          </a:extLst>
        </xdr:cNvPr>
        <xdr:cNvSpPr>
          <a:spLocks/>
        </xdr:cNvSpPr>
      </xdr:nvSpPr>
      <xdr:spPr bwMode="auto">
        <a:xfrm>
          <a:off x="15124780" y="131652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92</xdr:row>
      <xdr:rowOff>173181</xdr:rowOff>
    </xdr:from>
    <xdr:to>
      <xdr:col>25</xdr:col>
      <xdr:colOff>294410</xdr:colOff>
      <xdr:row>93</xdr:row>
      <xdr:rowOff>121226</xdr:rowOff>
    </xdr:to>
    <xdr:sp macro="" textlink="">
      <xdr:nvSpPr>
        <xdr:cNvPr id="2370" name="Freeform 10707">
          <a:extLst>
            <a:ext uri="{FF2B5EF4-FFF2-40B4-BE49-F238E27FC236}">
              <a16:creationId xmlns:a16="http://schemas.microsoft.com/office/drawing/2014/main" id="{2B9EB507-3C1D-4A04-979F-D7B6A2CF6B11}"/>
            </a:ext>
          </a:extLst>
        </xdr:cNvPr>
        <xdr:cNvSpPr>
          <a:spLocks/>
        </xdr:cNvSpPr>
      </xdr:nvSpPr>
      <xdr:spPr bwMode="auto">
        <a:xfrm>
          <a:off x="6086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92</xdr:row>
      <xdr:rowOff>173181</xdr:rowOff>
    </xdr:from>
    <xdr:to>
      <xdr:col>27</xdr:col>
      <xdr:colOff>294410</xdr:colOff>
      <xdr:row>93</xdr:row>
      <xdr:rowOff>121226</xdr:rowOff>
    </xdr:to>
    <xdr:sp macro="" textlink="">
      <xdr:nvSpPr>
        <xdr:cNvPr id="2371" name="Freeform 10707">
          <a:extLst>
            <a:ext uri="{FF2B5EF4-FFF2-40B4-BE49-F238E27FC236}">
              <a16:creationId xmlns:a16="http://schemas.microsoft.com/office/drawing/2014/main" id="{4413DA7B-1079-4AE4-BD05-209C16D7F37D}"/>
            </a:ext>
          </a:extLst>
        </xdr:cNvPr>
        <xdr:cNvSpPr>
          <a:spLocks/>
        </xdr:cNvSpPr>
      </xdr:nvSpPr>
      <xdr:spPr bwMode="auto">
        <a:xfrm>
          <a:off x="16450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92</xdr:row>
      <xdr:rowOff>173181</xdr:rowOff>
    </xdr:from>
    <xdr:to>
      <xdr:col>29</xdr:col>
      <xdr:colOff>294410</xdr:colOff>
      <xdr:row>93</xdr:row>
      <xdr:rowOff>121226</xdr:rowOff>
    </xdr:to>
    <xdr:sp macro="" textlink="">
      <xdr:nvSpPr>
        <xdr:cNvPr id="2372" name="Freeform 10707">
          <a:extLst>
            <a:ext uri="{FF2B5EF4-FFF2-40B4-BE49-F238E27FC236}">
              <a16:creationId xmlns:a16="http://schemas.microsoft.com/office/drawing/2014/main" id="{66867870-C57F-4A74-8DE9-AF53C647C661}"/>
            </a:ext>
          </a:extLst>
        </xdr:cNvPr>
        <xdr:cNvSpPr>
          <a:spLocks/>
        </xdr:cNvSpPr>
      </xdr:nvSpPr>
      <xdr:spPr bwMode="auto">
        <a:xfrm>
          <a:off x="26813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92</xdr:row>
      <xdr:rowOff>173181</xdr:rowOff>
    </xdr:from>
    <xdr:to>
      <xdr:col>31</xdr:col>
      <xdr:colOff>294410</xdr:colOff>
      <xdr:row>93</xdr:row>
      <xdr:rowOff>121226</xdr:rowOff>
    </xdr:to>
    <xdr:sp macro="" textlink="">
      <xdr:nvSpPr>
        <xdr:cNvPr id="2373" name="Freeform 10707">
          <a:extLst>
            <a:ext uri="{FF2B5EF4-FFF2-40B4-BE49-F238E27FC236}">
              <a16:creationId xmlns:a16="http://schemas.microsoft.com/office/drawing/2014/main" id="{05B8A953-17DD-402C-A470-D3ADBE673B81}"/>
            </a:ext>
          </a:extLst>
        </xdr:cNvPr>
        <xdr:cNvSpPr>
          <a:spLocks/>
        </xdr:cNvSpPr>
      </xdr:nvSpPr>
      <xdr:spPr bwMode="auto">
        <a:xfrm>
          <a:off x="37176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103</xdr:row>
      <xdr:rowOff>173181</xdr:rowOff>
    </xdr:from>
    <xdr:to>
      <xdr:col>3</xdr:col>
      <xdr:colOff>294410</xdr:colOff>
      <xdr:row>104</xdr:row>
      <xdr:rowOff>121226</xdr:rowOff>
    </xdr:to>
    <xdr:sp macro="" textlink="">
      <xdr:nvSpPr>
        <xdr:cNvPr id="2374" name="Freeform 10707">
          <a:extLst>
            <a:ext uri="{FF2B5EF4-FFF2-40B4-BE49-F238E27FC236}">
              <a16:creationId xmlns:a16="http://schemas.microsoft.com/office/drawing/2014/main" id="{71459CB4-6989-4F10-9649-3E818D581ECC}"/>
            </a:ext>
          </a:extLst>
        </xdr:cNvPr>
        <xdr:cNvSpPr>
          <a:spLocks/>
        </xdr:cNvSpPr>
      </xdr:nvSpPr>
      <xdr:spPr bwMode="auto">
        <a:xfrm>
          <a:off x="47539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103</xdr:row>
      <xdr:rowOff>173181</xdr:rowOff>
    </xdr:from>
    <xdr:to>
      <xdr:col>5</xdr:col>
      <xdr:colOff>294410</xdr:colOff>
      <xdr:row>104</xdr:row>
      <xdr:rowOff>121226</xdr:rowOff>
    </xdr:to>
    <xdr:sp macro="" textlink="">
      <xdr:nvSpPr>
        <xdr:cNvPr id="2375" name="Freeform 10707">
          <a:extLst>
            <a:ext uri="{FF2B5EF4-FFF2-40B4-BE49-F238E27FC236}">
              <a16:creationId xmlns:a16="http://schemas.microsoft.com/office/drawing/2014/main" id="{B6E9B9B2-1E20-42DB-8E5B-B942388E00F6}"/>
            </a:ext>
          </a:extLst>
        </xdr:cNvPr>
        <xdr:cNvSpPr>
          <a:spLocks/>
        </xdr:cNvSpPr>
      </xdr:nvSpPr>
      <xdr:spPr bwMode="auto">
        <a:xfrm>
          <a:off x="57902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103</xdr:row>
      <xdr:rowOff>173181</xdr:rowOff>
    </xdr:from>
    <xdr:to>
      <xdr:col>25</xdr:col>
      <xdr:colOff>294410</xdr:colOff>
      <xdr:row>104</xdr:row>
      <xdr:rowOff>121226</xdr:rowOff>
    </xdr:to>
    <xdr:sp macro="" textlink="">
      <xdr:nvSpPr>
        <xdr:cNvPr id="2376" name="Freeform 10707">
          <a:extLst>
            <a:ext uri="{FF2B5EF4-FFF2-40B4-BE49-F238E27FC236}">
              <a16:creationId xmlns:a16="http://schemas.microsoft.com/office/drawing/2014/main" id="{9309C3E7-21B7-4104-AFC5-87EE07F6DE31}"/>
            </a:ext>
          </a:extLst>
        </xdr:cNvPr>
        <xdr:cNvSpPr>
          <a:spLocks/>
        </xdr:cNvSpPr>
      </xdr:nvSpPr>
      <xdr:spPr bwMode="auto">
        <a:xfrm>
          <a:off x="6086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103</xdr:row>
      <xdr:rowOff>173181</xdr:rowOff>
    </xdr:from>
    <xdr:to>
      <xdr:col>27</xdr:col>
      <xdr:colOff>294410</xdr:colOff>
      <xdr:row>104</xdr:row>
      <xdr:rowOff>121226</xdr:rowOff>
    </xdr:to>
    <xdr:sp macro="" textlink="">
      <xdr:nvSpPr>
        <xdr:cNvPr id="2377" name="Freeform 10707">
          <a:extLst>
            <a:ext uri="{FF2B5EF4-FFF2-40B4-BE49-F238E27FC236}">
              <a16:creationId xmlns:a16="http://schemas.microsoft.com/office/drawing/2014/main" id="{E01832F3-9BC9-4A65-98EF-3D539954E416}"/>
            </a:ext>
          </a:extLst>
        </xdr:cNvPr>
        <xdr:cNvSpPr>
          <a:spLocks/>
        </xdr:cNvSpPr>
      </xdr:nvSpPr>
      <xdr:spPr bwMode="auto">
        <a:xfrm>
          <a:off x="16450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103</xdr:row>
      <xdr:rowOff>173181</xdr:rowOff>
    </xdr:from>
    <xdr:to>
      <xdr:col>7</xdr:col>
      <xdr:colOff>294410</xdr:colOff>
      <xdr:row>104</xdr:row>
      <xdr:rowOff>121226</xdr:rowOff>
    </xdr:to>
    <xdr:sp macro="" textlink="">
      <xdr:nvSpPr>
        <xdr:cNvPr id="2378" name="Freeform 10707">
          <a:extLst>
            <a:ext uri="{FF2B5EF4-FFF2-40B4-BE49-F238E27FC236}">
              <a16:creationId xmlns:a16="http://schemas.microsoft.com/office/drawing/2014/main" id="{1BDF4651-0E19-4912-AB9D-829D014492FA}"/>
            </a:ext>
          </a:extLst>
        </xdr:cNvPr>
        <xdr:cNvSpPr>
          <a:spLocks/>
        </xdr:cNvSpPr>
      </xdr:nvSpPr>
      <xdr:spPr bwMode="auto">
        <a:xfrm>
          <a:off x="68266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103</xdr:row>
      <xdr:rowOff>173181</xdr:rowOff>
    </xdr:from>
    <xdr:to>
      <xdr:col>9</xdr:col>
      <xdr:colOff>294410</xdr:colOff>
      <xdr:row>104</xdr:row>
      <xdr:rowOff>121226</xdr:rowOff>
    </xdr:to>
    <xdr:sp macro="" textlink="">
      <xdr:nvSpPr>
        <xdr:cNvPr id="2379" name="Freeform 10707">
          <a:extLst>
            <a:ext uri="{FF2B5EF4-FFF2-40B4-BE49-F238E27FC236}">
              <a16:creationId xmlns:a16="http://schemas.microsoft.com/office/drawing/2014/main" id="{49A0384B-CB0B-4074-920A-38A1EE166551}"/>
            </a:ext>
          </a:extLst>
        </xdr:cNvPr>
        <xdr:cNvSpPr>
          <a:spLocks/>
        </xdr:cNvSpPr>
      </xdr:nvSpPr>
      <xdr:spPr bwMode="auto">
        <a:xfrm>
          <a:off x="78629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103</xdr:row>
      <xdr:rowOff>173181</xdr:rowOff>
    </xdr:from>
    <xdr:to>
      <xdr:col>29</xdr:col>
      <xdr:colOff>294410</xdr:colOff>
      <xdr:row>104</xdr:row>
      <xdr:rowOff>121226</xdr:rowOff>
    </xdr:to>
    <xdr:sp macro="" textlink="">
      <xdr:nvSpPr>
        <xdr:cNvPr id="2380" name="Freeform 10707">
          <a:extLst>
            <a:ext uri="{FF2B5EF4-FFF2-40B4-BE49-F238E27FC236}">
              <a16:creationId xmlns:a16="http://schemas.microsoft.com/office/drawing/2014/main" id="{B7218839-A738-437C-9189-BDD65ACEC66F}"/>
            </a:ext>
          </a:extLst>
        </xdr:cNvPr>
        <xdr:cNvSpPr>
          <a:spLocks/>
        </xdr:cNvSpPr>
      </xdr:nvSpPr>
      <xdr:spPr bwMode="auto">
        <a:xfrm>
          <a:off x="26813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103</xdr:row>
      <xdr:rowOff>173181</xdr:rowOff>
    </xdr:from>
    <xdr:to>
      <xdr:col>11</xdr:col>
      <xdr:colOff>294410</xdr:colOff>
      <xdr:row>104</xdr:row>
      <xdr:rowOff>121226</xdr:rowOff>
    </xdr:to>
    <xdr:sp macro="" textlink="">
      <xdr:nvSpPr>
        <xdr:cNvPr id="2381" name="Freeform 10707">
          <a:extLst>
            <a:ext uri="{FF2B5EF4-FFF2-40B4-BE49-F238E27FC236}">
              <a16:creationId xmlns:a16="http://schemas.microsoft.com/office/drawing/2014/main" id="{84222F1F-5254-46D3-B556-272BB4542620}"/>
            </a:ext>
          </a:extLst>
        </xdr:cNvPr>
        <xdr:cNvSpPr>
          <a:spLocks/>
        </xdr:cNvSpPr>
      </xdr:nvSpPr>
      <xdr:spPr bwMode="auto">
        <a:xfrm>
          <a:off x="8899240" y="150245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103</xdr:row>
      <xdr:rowOff>173181</xdr:rowOff>
    </xdr:from>
    <xdr:to>
      <xdr:col>31</xdr:col>
      <xdr:colOff>294410</xdr:colOff>
      <xdr:row>104</xdr:row>
      <xdr:rowOff>121226</xdr:rowOff>
    </xdr:to>
    <xdr:sp macro="" textlink="">
      <xdr:nvSpPr>
        <xdr:cNvPr id="2382" name="Freeform 10707">
          <a:extLst>
            <a:ext uri="{FF2B5EF4-FFF2-40B4-BE49-F238E27FC236}">
              <a16:creationId xmlns:a16="http://schemas.microsoft.com/office/drawing/2014/main" id="{A70BA506-E0CE-46C3-AD23-548DE7FE76CA}"/>
            </a:ext>
          </a:extLst>
        </xdr:cNvPr>
        <xdr:cNvSpPr>
          <a:spLocks/>
        </xdr:cNvSpPr>
      </xdr:nvSpPr>
      <xdr:spPr bwMode="auto">
        <a:xfrm>
          <a:off x="37176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103</xdr:row>
      <xdr:rowOff>173181</xdr:rowOff>
    </xdr:from>
    <xdr:to>
      <xdr:col>13</xdr:col>
      <xdr:colOff>294410</xdr:colOff>
      <xdr:row>104</xdr:row>
      <xdr:rowOff>121226</xdr:rowOff>
    </xdr:to>
    <xdr:sp macro="" textlink="">
      <xdr:nvSpPr>
        <xdr:cNvPr id="2383" name="Freeform 10707">
          <a:extLst>
            <a:ext uri="{FF2B5EF4-FFF2-40B4-BE49-F238E27FC236}">
              <a16:creationId xmlns:a16="http://schemas.microsoft.com/office/drawing/2014/main" id="{DA6467C0-5C58-4360-A019-812A03F34082}"/>
            </a:ext>
          </a:extLst>
        </xdr:cNvPr>
        <xdr:cNvSpPr>
          <a:spLocks/>
        </xdr:cNvSpPr>
      </xdr:nvSpPr>
      <xdr:spPr bwMode="auto">
        <a:xfrm>
          <a:off x="99431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114</xdr:row>
      <xdr:rowOff>173181</xdr:rowOff>
    </xdr:from>
    <xdr:to>
      <xdr:col>3</xdr:col>
      <xdr:colOff>294410</xdr:colOff>
      <xdr:row>115</xdr:row>
      <xdr:rowOff>121226</xdr:rowOff>
    </xdr:to>
    <xdr:sp macro="" textlink="">
      <xdr:nvSpPr>
        <xdr:cNvPr id="2384" name="Freeform 10707">
          <a:extLst>
            <a:ext uri="{FF2B5EF4-FFF2-40B4-BE49-F238E27FC236}">
              <a16:creationId xmlns:a16="http://schemas.microsoft.com/office/drawing/2014/main" id="{4E694708-7752-4CBE-9E32-02CA4470E82F}"/>
            </a:ext>
          </a:extLst>
        </xdr:cNvPr>
        <xdr:cNvSpPr>
          <a:spLocks/>
        </xdr:cNvSpPr>
      </xdr:nvSpPr>
      <xdr:spPr bwMode="auto">
        <a:xfrm>
          <a:off x="47539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103</xdr:row>
      <xdr:rowOff>173181</xdr:rowOff>
    </xdr:from>
    <xdr:to>
      <xdr:col>15</xdr:col>
      <xdr:colOff>294410</xdr:colOff>
      <xdr:row>104</xdr:row>
      <xdr:rowOff>121226</xdr:rowOff>
    </xdr:to>
    <xdr:sp macro="" textlink="">
      <xdr:nvSpPr>
        <xdr:cNvPr id="2385" name="Freeform 10707">
          <a:extLst>
            <a:ext uri="{FF2B5EF4-FFF2-40B4-BE49-F238E27FC236}">
              <a16:creationId xmlns:a16="http://schemas.microsoft.com/office/drawing/2014/main" id="{63CF0582-1689-418F-90C2-06A1E8A42F45}"/>
            </a:ext>
          </a:extLst>
        </xdr:cNvPr>
        <xdr:cNvSpPr>
          <a:spLocks/>
        </xdr:cNvSpPr>
      </xdr:nvSpPr>
      <xdr:spPr bwMode="auto">
        <a:xfrm>
          <a:off x="1097950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114</xdr:row>
      <xdr:rowOff>173181</xdr:rowOff>
    </xdr:from>
    <xdr:to>
      <xdr:col>5</xdr:col>
      <xdr:colOff>294410</xdr:colOff>
      <xdr:row>115</xdr:row>
      <xdr:rowOff>121226</xdr:rowOff>
    </xdr:to>
    <xdr:sp macro="" textlink="">
      <xdr:nvSpPr>
        <xdr:cNvPr id="2386" name="Freeform 10707">
          <a:extLst>
            <a:ext uri="{FF2B5EF4-FFF2-40B4-BE49-F238E27FC236}">
              <a16:creationId xmlns:a16="http://schemas.microsoft.com/office/drawing/2014/main" id="{000FBE10-286F-4FC9-8985-9F2A53DA1C00}"/>
            </a:ext>
          </a:extLst>
        </xdr:cNvPr>
        <xdr:cNvSpPr>
          <a:spLocks/>
        </xdr:cNvSpPr>
      </xdr:nvSpPr>
      <xdr:spPr bwMode="auto">
        <a:xfrm>
          <a:off x="57902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103</xdr:row>
      <xdr:rowOff>173181</xdr:rowOff>
    </xdr:from>
    <xdr:to>
      <xdr:col>17</xdr:col>
      <xdr:colOff>294410</xdr:colOff>
      <xdr:row>104</xdr:row>
      <xdr:rowOff>121226</xdr:rowOff>
    </xdr:to>
    <xdr:sp macro="" textlink="">
      <xdr:nvSpPr>
        <xdr:cNvPr id="2387" name="Freeform 10707">
          <a:extLst>
            <a:ext uri="{FF2B5EF4-FFF2-40B4-BE49-F238E27FC236}">
              <a16:creationId xmlns:a16="http://schemas.microsoft.com/office/drawing/2014/main" id="{7CDE0FE2-62D4-41F4-9B72-81A94D99B71C}"/>
            </a:ext>
          </a:extLst>
        </xdr:cNvPr>
        <xdr:cNvSpPr>
          <a:spLocks/>
        </xdr:cNvSpPr>
      </xdr:nvSpPr>
      <xdr:spPr bwMode="auto">
        <a:xfrm>
          <a:off x="1201582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114</xdr:row>
      <xdr:rowOff>173181</xdr:rowOff>
    </xdr:from>
    <xdr:to>
      <xdr:col>7</xdr:col>
      <xdr:colOff>294410</xdr:colOff>
      <xdr:row>115</xdr:row>
      <xdr:rowOff>121226</xdr:rowOff>
    </xdr:to>
    <xdr:sp macro="" textlink="">
      <xdr:nvSpPr>
        <xdr:cNvPr id="2388" name="Freeform 10707">
          <a:extLst>
            <a:ext uri="{FF2B5EF4-FFF2-40B4-BE49-F238E27FC236}">
              <a16:creationId xmlns:a16="http://schemas.microsoft.com/office/drawing/2014/main" id="{B2747C6D-4B0E-44AE-B541-8F2DC4375906}"/>
            </a:ext>
          </a:extLst>
        </xdr:cNvPr>
        <xdr:cNvSpPr>
          <a:spLocks/>
        </xdr:cNvSpPr>
      </xdr:nvSpPr>
      <xdr:spPr bwMode="auto">
        <a:xfrm>
          <a:off x="68266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103</xdr:row>
      <xdr:rowOff>173181</xdr:rowOff>
    </xdr:from>
    <xdr:to>
      <xdr:col>19</xdr:col>
      <xdr:colOff>294410</xdr:colOff>
      <xdr:row>104</xdr:row>
      <xdr:rowOff>121226</xdr:rowOff>
    </xdr:to>
    <xdr:sp macro="" textlink="">
      <xdr:nvSpPr>
        <xdr:cNvPr id="2389" name="Freeform 10707">
          <a:extLst>
            <a:ext uri="{FF2B5EF4-FFF2-40B4-BE49-F238E27FC236}">
              <a16:creationId xmlns:a16="http://schemas.microsoft.com/office/drawing/2014/main" id="{8599365D-A738-4F2D-970B-F8502DCB5C1E}"/>
            </a:ext>
          </a:extLst>
        </xdr:cNvPr>
        <xdr:cNvSpPr>
          <a:spLocks/>
        </xdr:cNvSpPr>
      </xdr:nvSpPr>
      <xdr:spPr bwMode="auto">
        <a:xfrm>
          <a:off x="1305214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114</xdr:row>
      <xdr:rowOff>173181</xdr:rowOff>
    </xdr:from>
    <xdr:to>
      <xdr:col>9</xdr:col>
      <xdr:colOff>294410</xdr:colOff>
      <xdr:row>115</xdr:row>
      <xdr:rowOff>121226</xdr:rowOff>
    </xdr:to>
    <xdr:sp macro="" textlink="">
      <xdr:nvSpPr>
        <xdr:cNvPr id="2390" name="Freeform 10707">
          <a:extLst>
            <a:ext uri="{FF2B5EF4-FFF2-40B4-BE49-F238E27FC236}">
              <a16:creationId xmlns:a16="http://schemas.microsoft.com/office/drawing/2014/main" id="{E980A65D-ECE3-4CAF-B880-1EE7981376DE}"/>
            </a:ext>
          </a:extLst>
        </xdr:cNvPr>
        <xdr:cNvSpPr>
          <a:spLocks/>
        </xdr:cNvSpPr>
      </xdr:nvSpPr>
      <xdr:spPr bwMode="auto">
        <a:xfrm>
          <a:off x="78629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103</xdr:row>
      <xdr:rowOff>173181</xdr:rowOff>
    </xdr:from>
    <xdr:to>
      <xdr:col>21</xdr:col>
      <xdr:colOff>294410</xdr:colOff>
      <xdr:row>104</xdr:row>
      <xdr:rowOff>121226</xdr:rowOff>
    </xdr:to>
    <xdr:sp macro="" textlink="">
      <xdr:nvSpPr>
        <xdr:cNvPr id="2391" name="Freeform 10707">
          <a:extLst>
            <a:ext uri="{FF2B5EF4-FFF2-40B4-BE49-F238E27FC236}">
              <a16:creationId xmlns:a16="http://schemas.microsoft.com/office/drawing/2014/main" id="{40BBB366-0874-41A6-A623-458FB5AA1978}"/>
            </a:ext>
          </a:extLst>
        </xdr:cNvPr>
        <xdr:cNvSpPr>
          <a:spLocks/>
        </xdr:cNvSpPr>
      </xdr:nvSpPr>
      <xdr:spPr bwMode="auto">
        <a:xfrm>
          <a:off x="1408846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114</xdr:row>
      <xdr:rowOff>173181</xdr:rowOff>
    </xdr:from>
    <xdr:to>
      <xdr:col>11</xdr:col>
      <xdr:colOff>294410</xdr:colOff>
      <xdr:row>115</xdr:row>
      <xdr:rowOff>121226</xdr:rowOff>
    </xdr:to>
    <xdr:sp macro="" textlink="">
      <xdr:nvSpPr>
        <xdr:cNvPr id="2392" name="Freeform 10707">
          <a:extLst>
            <a:ext uri="{FF2B5EF4-FFF2-40B4-BE49-F238E27FC236}">
              <a16:creationId xmlns:a16="http://schemas.microsoft.com/office/drawing/2014/main" id="{FD3465BF-1F29-4D11-94DB-06D491E4B3A9}"/>
            </a:ext>
          </a:extLst>
        </xdr:cNvPr>
        <xdr:cNvSpPr>
          <a:spLocks/>
        </xdr:cNvSpPr>
      </xdr:nvSpPr>
      <xdr:spPr bwMode="auto">
        <a:xfrm>
          <a:off x="8899240" y="168838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103</xdr:row>
      <xdr:rowOff>173181</xdr:rowOff>
    </xdr:from>
    <xdr:to>
      <xdr:col>23</xdr:col>
      <xdr:colOff>294410</xdr:colOff>
      <xdr:row>104</xdr:row>
      <xdr:rowOff>121226</xdr:rowOff>
    </xdr:to>
    <xdr:sp macro="" textlink="">
      <xdr:nvSpPr>
        <xdr:cNvPr id="2393" name="Freeform 10707">
          <a:extLst>
            <a:ext uri="{FF2B5EF4-FFF2-40B4-BE49-F238E27FC236}">
              <a16:creationId xmlns:a16="http://schemas.microsoft.com/office/drawing/2014/main" id="{5B99496A-65C1-4EE4-9A7E-DE235E90F23F}"/>
            </a:ext>
          </a:extLst>
        </xdr:cNvPr>
        <xdr:cNvSpPr>
          <a:spLocks/>
        </xdr:cNvSpPr>
      </xdr:nvSpPr>
      <xdr:spPr bwMode="auto">
        <a:xfrm>
          <a:off x="15124780" y="150245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114</xdr:row>
      <xdr:rowOff>173181</xdr:rowOff>
    </xdr:from>
    <xdr:to>
      <xdr:col>13</xdr:col>
      <xdr:colOff>294410</xdr:colOff>
      <xdr:row>115</xdr:row>
      <xdr:rowOff>121226</xdr:rowOff>
    </xdr:to>
    <xdr:sp macro="" textlink="">
      <xdr:nvSpPr>
        <xdr:cNvPr id="2394" name="Freeform 10707">
          <a:extLst>
            <a:ext uri="{FF2B5EF4-FFF2-40B4-BE49-F238E27FC236}">
              <a16:creationId xmlns:a16="http://schemas.microsoft.com/office/drawing/2014/main" id="{2FFC1A1D-2B47-4C30-8878-ED2C0BEAA9B7}"/>
            </a:ext>
          </a:extLst>
        </xdr:cNvPr>
        <xdr:cNvSpPr>
          <a:spLocks/>
        </xdr:cNvSpPr>
      </xdr:nvSpPr>
      <xdr:spPr bwMode="auto">
        <a:xfrm>
          <a:off x="99431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114</xdr:row>
      <xdr:rowOff>173181</xdr:rowOff>
    </xdr:from>
    <xdr:to>
      <xdr:col>15</xdr:col>
      <xdr:colOff>294410</xdr:colOff>
      <xdr:row>115</xdr:row>
      <xdr:rowOff>121226</xdr:rowOff>
    </xdr:to>
    <xdr:sp macro="" textlink="">
      <xdr:nvSpPr>
        <xdr:cNvPr id="2395" name="Freeform 10707">
          <a:extLst>
            <a:ext uri="{FF2B5EF4-FFF2-40B4-BE49-F238E27FC236}">
              <a16:creationId xmlns:a16="http://schemas.microsoft.com/office/drawing/2014/main" id="{65BBC04B-BB62-44DE-A7D9-8DD0AF987FB3}"/>
            </a:ext>
          </a:extLst>
        </xdr:cNvPr>
        <xdr:cNvSpPr>
          <a:spLocks/>
        </xdr:cNvSpPr>
      </xdr:nvSpPr>
      <xdr:spPr bwMode="auto">
        <a:xfrm>
          <a:off x="1097950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114</xdr:row>
      <xdr:rowOff>173181</xdr:rowOff>
    </xdr:from>
    <xdr:to>
      <xdr:col>17</xdr:col>
      <xdr:colOff>294410</xdr:colOff>
      <xdr:row>115</xdr:row>
      <xdr:rowOff>121226</xdr:rowOff>
    </xdr:to>
    <xdr:sp macro="" textlink="">
      <xdr:nvSpPr>
        <xdr:cNvPr id="2396" name="Freeform 10707">
          <a:extLst>
            <a:ext uri="{FF2B5EF4-FFF2-40B4-BE49-F238E27FC236}">
              <a16:creationId xmlns:a16="http://schemas.microsoft.com/office/drawing/2014/main" id="{048E53A4-8DC1-4DC3-823F-1495A074AF2B}"/>
            </a:ext>
          </a:extLst>
        </xdr:cNvPr>
        <xdr:cNvSpPr>
          <a:spLocks/>
        </xdr:cNvSpPr>
      </xdr:nvSpPr>
      <xdr:spPr bwMode="auto">
        <a:xfrm>
          <a:off x="1201582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114</xdr:row>
      <xdr:rowOff>173181</xdr:rowOff>
    </xdr:from>
    <xdr:to>
      <xdr:col>19</xdr:col>
      <xdr:colOff>294410</xdr:colOff>
      <xdr:row>115</xdr:row>
      <xdr:rowOff>121226</xdr:rowOff>
    </xdr:to>
    <xdr:sp macro="" textlink="">
      <xdr:nvSpPr>
        <xdr:cNvPr id="2397" name="Freeform 10707">
          <a:extLst>
            <a:ext uri="{FF2B5EF4-FFF2-40B4-BE49-F238E27FC236}">
              <a16:creationId xmlns:a16="http://schemas.microsoft.com/office/drawing/2014/main" id="{FEB21AB2-CA76-4298-85A8-B4C841189B49}"/>
            </a:ext>
          </a:extLst>
        </xdr:cNvPr>
        <xdr:cNvSpPr>
          <a:spLocks/>
        </xdr:cNvSpPr>
      </xdr:nvSpPr>
      <xdr:spPr bwMode="auto">
        <a:xfrm>
          <a:off x="1305214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114</xdr:row>
      <xdr:rowOff>173181</xdr:rowOff>
    </xdr:from>
    <xdr:to>
      <xdr:col>21</xdr:col>
      <xdr:colOff>294410</xdr:colOff>
      <xdr:row>115</xdr:row>
      <xdr:rowOff>121226</xdr:rowOff>
    </xdr:to>
    <xdr:sp macro="" textlink="">
      <xdr:nvSpPr>
        <xdr:cNvPr id="2398" name="Freeform 10707">
          <a:extLst>
            <a:ext uri="{FF2B5EF4-FFF2-40B4-BE49-F238E27FC236}">
              <a16:creationId xmlns:a16="http://schemas.microsoft.com/office/drawing/2014/main" id="{C428926F-0786-4D2A-A96F-C9FA16AD8F6B}"/>
            </a:ext>
          </a:extLst>
        </xdr:cNvPr>
        <xdr:cNvSpPr>
          <a:spLocks/>
        </xdr:cNvSpPr>
      </xdr:nvSpPr>
      <xdr:spPr bwMode="auto">
        <a:xfrm>
          <a:off x="1408846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114</xdr:row>
      <xdr:rowOff>173181</xdr:rowOff>
    </xdr:from>
    <xdr:to>
      <xdr:col>23</xdr:col>
      <xdr:colOff>294410</xdr:colOff>
      <xdr:row>115</xdr:row>
      <xdr:rowOff>121226</xdr:rowOff>
    </xdr:to>
    <xdr:sp macro="" textlink="">
      <xdr:nvSpPr>
        <xdr:cNvPr id="2399" name="Freeform 10707">
          <a:extLst>
            <a:ext uri="{FF2B5EF4-FFF2-40B4-BE49-F238E27FC236}">
              <a16:creationId xmlns:a16="http://schemas.microsoft.com/office/drawing/2014/main" id="{38C47467-5E51-44CA-92C0-90A8DEC7B790}"/>
            </a:ext>
          </a:extLst>
        </xdr:cNvPr>
        <xdr:cNvSpPr>
          <a:spLocks/>
        </xdr:cNvSpPr>
      </xdr:nvSpPr>
      <xdr:spPr bwMode="auto">
        <a:xfrm>
          <a:off x="15124780" y="168838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114</xdr:row>
      <xdr:rowOff>173181</xdr:rowOff>
    </xdr:from>
    <xdr:to>
      <xdr:col>25</xdr:col>
      <xdr:colOff>294410</xdr:colOff>
      <xdr:row>115</xdr:row>
      <xdr:rowOff>121226</xdr:rowOff>
    </xdr:to>
    <xdr:sp macro="" textlink="">
      <xdr:nvSpPr>
        <xdr:cNvPr id="2400" name="Freeform 10707">
          <a:extLst>
            <a:ext uri="{FF2B5EF4-FFF2-40B4-BE49-F238E27FC236}">
              <a16:creationId xmlns:a16="http://schemas.microsoft.com/office/drawing/2014/main" id="{14ED92D9-5144-4124-BFFC-7E83C61CACCA}"/>
            </a:ext>
          </a:extLst>
        </xdr:cNvPr>
        <xdr:cNvSpPr>
          <a:spLocks/>
        </xdr:cNvSpPr>
      </xdr:nvSpPr>
      <xdr:spPr bwMode="auto">
        <a:xfrm>
          <a:off x="6086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114</xdr:row>
      <xdr:rowOff>173181</xdr:rowOff>
    </xdr:from>
    <xdr:to>
      <xdr:col>27</xdr:col>
      <xdr:colOff>294410</xdr:colOff>
      <xdr:row>115</xdr:row>
      <xdr:rowOff>121226</xdr:rowOff>
    </xdr:to>
    <xdr:sp macro="" textlink="">
      <xdr:nvSpPr>
        <xdr:cNvPr id="2401" name="Freeform 10707">
          <a:extLst>
            <a:ext uri="{FF2B5EF4-FFF2-40B4-BE49-F238E27FC236}">
              <a16:creationId xmlns:a16="http://schemas.microsoft.com/office/drawing/2014/main" id="{A786DC43-5A71-4188-99FF-2F2437D584F7}"/>
            </a:ext>
          </a:extLst>
        </xdr:cNvPr>
        <xdr:cNvSpPr>
          <a:spLocks/>
        </xdr:cNvSpPr>
      </xdr:nvSpPr>
      <xdr:spPr bwMode="auto">
        <a:xfrm>
          <a:off x="16450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114</xdr:row>
      <xdr:rowOff>173181</xdr:rowOff>
    </xdr:from>
    <xdr:to>
      <xdr:col>29</xdr:col>
      <xdr:colOff>294410</xdr:colOff>
      <xdr:row>115</xdr:row>
      <xdr:rowOff>121226</xdr:rowOff>
    </xdr:to>
    <xdr:sp macro="" textlink="">
      <xdr:nvSpPr>
        <xdr:cNvPr id="2402" name="Freeform 10707">
          <a:extLst>
            <a:ext uri="{FF2B5EF4-FFF2-40B4-BE49-F238E27FC236}">
              <a16:creationId xmlns:a16="http://schemas.microsoft.com/office/drawing/2014/main" id="{C597D0C8-9886-453F-90C1-DFAB040437AA}"/>
            </a:ext>
          </a:extLst>
        </xdr:cNvPr>
        <xdr:cNvSpPr>
          <a:spLocks/>
        </xdr:cNvSpPr>
      </xdr:nvSpPr>
      <xdr:spPr bwMode="auto">
        <a:xfrm>
          <a:off x="26813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114</xdr:row>
      <xdr:rowOff>173181</xdr:rowOff>
    </xdr:from>
    <xdr:to>
      <xdr:col>31</xdr:col>
      <xdr:colOff>294410</xdr:colOff>
      <xdr:row>115</xdr:row>
      <xdr:rowOff>121226</xdr:rowOff>
    </xdr:to>
    <xdr:sp macro="" textlink="">
      <xdr:nvSpPr>
        <xdr:cNvPr id="2403" name="Freeform 10707">
          <a:extLst>
            <a:ext uri="{FF2B5EF4-FFF2-40B4-BE49-F238E27FC236}">
              <a16:creationId xmlns:a16="http://schemas.microsoft.com/office/drawing/2014/main" id="{8D10E383-D1C8-4681-96F1-3E979C5EC20A}"/>
            </a:ext>
          </a:extLst>
        </xdr:cNvPr>
        <xdr:cNvSpPr>
          <a:spLocks/>
        </xdr:cNvSpPr>
      </xdr:nvSpPr>
      <xdr:spPr bwMode="auto">
        <a:xfrm>
          <a:off x="37176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125</xdr:row>
      <xdr:rowOff>173181</xdr:rowOff>
    </xdr:from>
    <xdr:to>
      <xdr:col>3</xdr:col>
      <xdr:colOff>294410</xdr:colOff>
      <xdr:row>126</xdr:row>
      <xdr:rowOff>121226</xdr:rowOff>
    </xdr:to>
    <xdr:sp macro="" textlink="">
      <xdr:nvSpPr>
        <xdr:cNvPr id="2404" name="Freeform 10707">
          <a:extLst>
            <a:ext uri="{FF2B5EF4-FFF2-40B4-BE49-F238E27FC236}">
              <a16:creationId xmlns:a16="http://schemas.microsoft.com/office/drawing/2014/main" id="{BB8D1C30-C433-49FF-9B0E-3331B252EE62}"/>
            </a:ext>
          </a:extLst>
        </xdr:cNvPr>
        <xdr:cNvSpPr>
          <a:spLocks/>
        </xdr:cNvSpPr>
      </xdr:nvSpPr>
      <xdr:spPr bwMode="auto">
        <a:xfrm>
          <a:off x="47539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125</xdr:row>
      <xdr:rowOff>173181</xdr:rowOff>
    </xdr:from>
    <xdr:to>
      <xdr:col>5</xdr:col>
      <xdr:colOff>294410</xdr:colOff>
      <xdr:row>126</xdr:row>
      <xdr:rowOff>121226</xdr:rowOff>
    </xdr:to>
    <xdr:sp macro="" textlink="">
      <xdr:nvSpPr>
        <xdr:cNvPr id="2405" name="Freeform 10707">
          <a:extLst>
            <a:ext uri="{FF2B5EF4-FFF2-40B4-BE49-F238E27FC236}">
              <a16:creationId xmlns:a16="http://schemas.microsoft.com/office/drawing/2014/main" id="{B436CCFB-0E3E-4E67-8767-A2AA8C1F3775}"/>
            </a:ext>
          </a:extLst>
        </xdr:cNvPr>
        <xdr:cNvSpPr>
          <a:spLocks/>
        </xdr:cNvSpPr>
      </xdr:nvSpPr>
      <xdr:spPr bwMode="auto">
        <a:xfrm>
          <a:off x="57902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125</xdr:row>
      <xdr:rowOff>173181</xdr:rowOff>
    </xdr:from>
    <xdr:to>
      <xdr:col>7</xdr:col>
      <xdr:colOff>294410</xdr:colOff>
      <xdr:row>126</xdr:row>
      <xdr:rowOff>121226</xdr:rowOff>
    </xdr:to>
    <xdr:sp macro="" textlink="">
      <xdr:nvSpPr>
        <xdr:cNvPr id="2406" name="Freeform 10707">
          <a:extLst>
            <a:ext uri="{FF2B5EF4-FFF2-40B4-BE49-F238E27FC236}">
              <a16:creationId xmlns:a16="http://schemas.microsoft.com/office/drawing/2014/main" id="{6D9D0616-BD33-4DF7-85DA-3F2766FCBEFC}"/>
            </a:ext>
          </a:extLst>
        </xdr:cNvPr>
        <xdr:cNvSpPr>
          <a:spLocks/>
        </xdr:cNvSpPr>
      </xdr:nvSpPr>
      <xdr:spPr bwMode="auto">
        <a:xfrm>
          <a:off x="68266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125</xdr:row>
      <xdr:rowOff>173181</xdr:rowOff>
    </xdr:from>
    <xdr:to>
      <xdr:col>9</xdr:col>
      <xdr:colOff>294410</xdr:colOff>
      <xdr:row>126</xdr:row>
      <xdr:rowOff>121226</xdr:rowOff>
    </xdr:to>
    <xdr:sp macro="" textlink="">
      <xdr:nvSpPr>
        <xdr:cNvPr id="2407" name="Freeform 10707">
          <a:extLst>
            <a:ext uri="{FF2B5EF4-FFF2-40B4-BE49-F238E27FC236}">
              <a16:creationId xmlns:a16="http://schemas.microsoft.com/office/drawing/2014/main" id="{C8E03EC2-D618-49CA-94FD-03B9D53D701C}"/>
            </a:ext>
          </a:extLst>
        </xdr:cNvPr>
        <xdr:cNvSpPr>
          <a:spLocks/>
        </xdr:cNvSpPr>
      </xdr:nvSpPr>
      <xdr:spPr bwMode="auto">
        <a:xfrm>
          <a:off x="3590640" y="23318931"/>
          <a:ext cx="1005895" cy="12267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125</xdr:row>
      <xdr:rowOff>173181</xdr:rowOff>
    </xdr:from>
    <xdr:to>
      <xdr:col>11</xdr:col>
      <xdr:colOff>294410</xdr:colOff>
      <xdr:row>126</xdr:row>
      <xdr:rowOff>121226</xdr:rowOff>
    </xdr:to>
    <xdr:sp macro="" textlink="">
      <xdr:nvSpPr>
        <xdr:cNvPr id="2408" name="Freeform 10707">
          <a:extLst>
            <a:ext uri="{FF2B5EF4-FFF2-40B4-BE49-F238E27FC236}">
              <a16:creationId xmlns:a16="http://schemas.microsoft.com/office/drawing/2014/main" id="{01A9C603-C1B5-4D5A-8E61-18C1F4E730D4}"/>
            </a:ext>
          </a:extLst>
        </xdr:cNvPr>
        <xdr:cNvSpPr>
          <a:spLocks/>
        </xdr:cNvSpPr>
      </xdr:nvSpPr>
      <xdr:spPr bwMode="auto">
        <a:xfrm>
          <a:off x="8899240" y="187431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125</xdr:row>
      <xdr:rowOff>173181</xdr:rowOff>
    </xdr:from>
    <xdr:to>
      <xdr:col>13</xdr:col>
      <xdr:colOff>294410</xdr:colOff>
      <xdr:row>126</xdr:row>
      <xdr:rowOff>121226</xdr:rowOff>
    </xdr:to>
    <xdr:sp macro="" textlink="">
      <xdr:nvSpPr>
        <xdr:cNvPr id="2409" name="Freeform 10707">
          <a:extLst>
            <a:ext uri="{FF2B5EF4-FFF2-40B4-BE49-F238E27FC236}">
              <a16:creationId xmlns:a16="http://schemas.microsoft.com/office/drawing/2014/main" id="{182C5824-8823-40CD-A242-F50B29257390}"/>
            </a:ext>
          </a:extLst>
        </xdr:cNvPr>
        <xdr:cNvSpPr>
          <a:spLocks/>
        </xdr:cNvSpPr>
      </xdr:nvSpPr>
      <xdr:spPr bwMode="auto">
        <a:xfrm>
          <a:off x="99431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125</xdr:row>
      <xdr:rowOff>173181</xdr:rowOff>
    </xdr:from>
    <xdr:to>
      <xdr:col>15</xdr:col>
      <xdr:colOff>294410</xdr:colOff>
      <xdr:row>126</xdr:row>
      <xdr:rowOff>121226</xdr:rowOff>
    </xdr:to>
    <xdr:sp macro="" textlink="">
      <xdr:nvSpPr>
        <xdr:cNvPr id="2410" name="Freeform 10707">
          <a:extLst>
            <a:ext uri="{FF2B5EF4-FFF2-40B4-BE49-F238E27FC236}">
              <a16:creationId xmlns:a16="http://schemas.microsoft.com/office/drawing/2014/main" id="{6D990A7F-2B6B-465E-8317-2A22DE8E4C34}"/>
            </a:ext>
          </a:extLst>
        </xdr:cNvPr>
        <xdr:cNvSpPr>
          <a:spLocks/>
        </xdr:cNvSpPr>
      </xdr:nvSpPr>
      <xdr:spPr bwMode="auto">
        <a:xfrm>
          <a:off x="1097950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125</xdr:row>
      <xdr:rowOff>173181</xdr:rowOff>
    </xdr:from>
    <xdr:to>
      <xdr:col>17</xdr:col>
      <xdr:colOff>294410</xdr:colOff>
      <xdr:row>126</xdr:row>
      <xdr:rowOff>121226</xdr:rowOff>
    </xdr:to>
    <xdr:sp macro="" textlink="">
      <xdr:nvSpPr>
        <xdr:cNvPr id="2411" name="Freeform 10707">
          <a:extLst>
            <a:ext uri="{FF2B5EF4-FFF2-40B4-BE49-F238E27FC236}">
              <a16:creationId xmlns:a16="http://schemas.microsoft.com/office/drawing/2014/main" id="{CD02A951-BFF0-463A-8799-6E340B9F0399}"/>
            </a:ext>
          </a:extLst>
        </xdr:cNvPr>
        <xdr:cNvSpPr>
          <a:spLocks/>
        </xdr:cNvSpPr>
      </xdr:nvSpPr>
      <xdr:spPr bwMode="auto">
        <a:xfrm>
          <a:off x="1201582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125</xdr:row>
      <xdr:rowOff>173181</xdr:rowOff>
    </xdr:from>
    <xdr:to>
      <xdr:col>19</xdr:col>
      <xdr:colOff>294410</xdr:colOff>
      <xdr:row>126</xdr:row>
      <xdr:rowOff>121226</xdr:rowOff>
    </xdr:to>
    <xdr:sp macro="" textlink="">
      <xdr:nvSpPr>
        <xdr:cNvPr id="2412" name="Freeform 10707">
          <a:extLst>
            <a:ext uri="{FF2B5EF4-FFF2-40B4-BE49-F238E27FC236}">
              <a16:creationId xmlns:a16="http://schemas.microsoft.com/office/drawing/2014/main" id="{462CC0C9-F90C-4881-89BE-BD592CD38219}"/>
            </a:ext>
          </a:extLst>
        </xdr:cNvPr>
        <xdr:cNvSpPr>
          <a:spLocks/>
        </xdr:cNvSpPr>
      </xdr:nvSpPr>
      <xdr:spPr bwMode="auto">
        <a:xfrm>
          <a:off x="1305214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125</xdr:row>
      <xdr:rowOff>173181</xdr:rowOff>
    </xdr:from>
    <xdr:to>
      <xdr:col>21</xdr:col>
      <xdr:colOff>294410</xdr:colOff>
      <xdr:row>126</xdr:row>
      <xdr:rowOff>121226</xdr:rowOff>
    </xdr:to>
    <xdr:sp macro="" textlink="">
      <xdr:nvSpPr>
        <xdr:cNvPr id="2413" name="Freeform 10707">
          <a:extLst>
            <a:ext uri="{FF2B5EF4-FFF2-40B4-BE49-F238E27FC236}">
              <a16:creationId xmlns:a16="http://schemas.microsoft.com/office/drawing/2014/main" id="{651EA0C5-B302-4665-A869-706EAD1B7CE9}"/>
            </a:ext>
          </a:extLst>
        </xdr:cNvPr>
        <xdr:cNvSpPr>
          <a:spLocks/>
        </xdr:cNvSpPr>
      </xdr:nvSpPr>
      <xdr:spPr bwMode="auto">
        <a:xfrm>
          <a:off x="1408846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125</xdr:row>
      <xdr:rowOff>173181</xdr:rowOff>
    </xdr:from>
    <xdr:to>
      <xdr:col>23</xdr:col>
      <xdr:colOff>294410</xdr:colOff>
      <xdr:row>126</xdr:row>
      <xdr:rowOff>121226</xdr:rowOff>
    </xdr:to>
    <xdr:sp macro="" textlink="">
      <xdr:nvSpPr>
        <xdr:cNvPr id="2414" name="Freeform 10707">
          <a:extLst>
            <a:ext uri="{FF2B5EF4-FFF2-40B4-BE49-F238E27FC236}">
              <a16:creationId xmlns:a16="http://schemas.microsoft.com/office/drawing/2014/main" id="{C8BAA369-270B-409A-B6DB-4D2F7553E6D7}"/>
            </a:ext>
          </a:extLst>
        </xdr:cNvPr>
        <xdr:cNvSpPr>
          <a:spLocks/>
        </xdr:cNvSpPr>
      </xdr:nvSpPr>
      <xdr:spPr bwMode="auto">
        <a:xfrm>
          <a:off x="15124780" y="187431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125</xdr:row>
      <xdr:rowOff>173181</xdr:rowOff>
    </xdr:from>
    <xdr:to>
      <xdr:col>25</xdr:col>
      <xdr:colOff>294410</xdr:colOff>
      <xdr:row>126</xdr:row>
      <xdr:rowOff>121226</xdr:rowOff>
    </xdr:to>
    <xdr:sp macro="" textlink="">
      <xdr:nvSpPr>
        <xdr:cNvPr id="2415" name="Freeform 10707">
          <a:extLst>
            <a:ext uri="{FF2B5EF4-FFF2-40B4-BE49-F238E27FC236}">
              <a16:creationId xmlns:a16="http://schemas.microsoft.com/office/drawing/2014/main" id="{081882F2-15BA-4C90-80BD-8F83E13DCC99}"/>
            </a:ext>
          </a:extLst>
        </xdr:cNvPr>
        <xdr:cNvSpPr>
          <a:spLocks/>
        </xdr:cNvSpPr>
      </xdr:nvSpPr>
      <xdr:spPr bwMode="auto">
        <a:xfrm>
          <a:off x="6086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125</xdr:row>
      <xdr:rowOff>173181</xdr:rowOff>
    </xdr:from>
    <xdr:to>
      <xdr:col>27</xdr:col>
      <xdr:colOff>294410</xdr:colOff>
      <xdr:row>126</xdr:row>
      <xdr:rowOff>121226</xdr:rowOff>
    </xdr:to>
    <xdr:sp macro="" textlink="">
      <xdr:nvSpPr>
        <xdr:cNvPr id="2416" name="Freeform 10707">
          <a:extLst>
            <a:ext uri="{FF2B5EF4-FFF2-40B4-BE49-F238E27FC236}">
              <a16:creationId xmlns:a16="http://schemas.microsoft.com/office/drawing/2014/main" id="{CADBFEDD-24FD-4CCA-852E-42A5ABDEC687}"/>
            </a:ext>
          </a:extLst>
        </xdr:cNvPr>
        <xdr:cNvSpPr>
          <a:spLocks/>
        </xdr:cNvSpPr>
      </xdr:nvSpPr>
      <xdr:spPr bwMode="auto">
        <a:xfrm>
          <a:off x="16450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125</xdr:row>
      <xdr:rowOff>173181</xdr:rowOff>
    </xdr:from>
    <xdr:to>
      <xdr:col>29</xdr:col>
      <xdr:colOff>294410</xdr:colOff>
      <xdr:row>126</xdr:row>
      <xdr:rowOff>121226</xdr:rowOff>
    </xdr:to>
    <xdr:sp macro="" textlink="">
      <xdr:nvSpPr>
        <xdr:cNvPr id="2417" name="Freeform 10707">
          <a:extLst>
            <a:ext uri="{FF2B5EF4-FFF2-40B4-BE49-F238E27FC236}">
              <a16:creationId xmlns:a16="http://schemas.microsoft.com/office/drawing/2014/main" id="{7BDC27EF-DFEB-4E50-B80B-229595806B01}"/>
            </a:ext>
          </a:extLst>
        </xdr:cNvPr>
        <xdr:cNvSpPr>
          <a:spLocks/>
        </xdr:cNvSpPr>
      </xdr:nvSpPr>
      <xdr:spPr bwMode="auto">
        <a:xfrm>
          <a:off x="26813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125</xdr:row>
      <xdr:rowOff>173181</xdr:rowOff>
    </xdr:from>
    <xdr:to>
      <xdr:col>31</xdr:col>
      <xdr:colOff>294410</xdr:colOff>
      <xdr:row>126</xdr:row>
      <xdr:rowOff>121226</xdr:rowOff>
    </xdr:to>
    <xdr:sp macro="" textlink="">
      <xdr:nvSpPr>
        <xdr:cNvPr id="2418" name="Freeform 10707">
          <a:extLst>
            <a:ext uri="{FF2B5EF4-FFF2-40B4-BE49-F238E27FC236}">
              <a16:creationId xmlns:a16="http://schemas.microsoft.com/office/drawing/2014/main" id="{8B2BA10A-C11D-466D-859D-06C840AD2D6E}"/>
            </a:ext>
          </a:extLst>
        </xdr:cNvPr>
        <xdr:cNvSpPr>
          <a:spLocks/>
        </xdr:cNvSpPr>
      </xdr:nvSpPr>
      <xdr:spPr bwMode="auto">
        <a:xfrm>
          <a:off x="37176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138</xdr:row>
      <xdr:rowOff>173181</xdr:rowOff>
    </xdr:from>
    <xdr:to>
      <xdr:col>3</xdr:col>
      <xdr:colOff>294410</xdr:colOff>
      <xdr:row>139</xdr:row>
      <xdr:rowOff>121226</xdr:rowOff>
    </xdr:to>
    <xdr:sp macro="" textlink="">
      <xdr:nvSpPr>
        <xdr:cNvPr id="2419" name="Freeform 10707">
          <a:extLst>
            <a:ext uri="{FF2B5EF4-FFF2-40B4-BE49-F238E27FC236}">
              <a16:creationId xmlns:a16="http://schemas.microsoft.com/office/drawing/2014/main" id="{A2C850AB-99E6-497D-A7D3-F69DEE8D84A9}"/>
            </a:ext>
          </a:extLst>
        </xdr:cNvPr>
        <xdr:cNvSpPr>
          <a:spLocks/>
        </xdr:cNvSpPr>
      </xdr:nvSpPr>
      <xdr:spPr bwMode="auto">
        <a:xfrm>
          <a:off x="47539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138</xdr:row>
      <xdr:rowOff>173181</xdr:rowOff>
    </xdr:from>
    <xdr:to>
      <xdr:col>5</xdr:col>
      <xdr:colOff>294410</xdr:colOff>
      <xdr:row>139</xdr:row>
      <xdr:rowOff>121226</xdr:rowOff>
    </xdr:to>
    <xdr:sp macro="" textlink="">
      <xdr:nvSpPr>
        <xdr:cNvPr id="2420" name="Freeform 10707">
          <a:extLst>
            <a:ext uri="{FF2B5EF4-FFF2-40B4-BE49-F238E27FC236}">
              <a16:creationId xmlns:a16="http://schemas.microsoft.com/office/drawing/2014/main" id="{44F872DA-10B0-4DAF-8C4E-A004AEF07123}"/>
            </a:ext>
          </a:extLst>
        </xdr:cNvPr>
        <xdr:cNvSpPr>
          <a:spLocks/>
        </xdr:cNvSpPr>
      </xdr:nvSpPr>
      <xdr:spPr bwMode="auto">
        <a:xfrm>
          <a:off x="57902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355600</xdr:colOff>
      <xdr:row>139</xdr:row>
      <xdr:rowOff>38100</xdr:rowOff>
    </xdr:from>
    <xdr:to>
      <xdr:col>7</xdr:col>
      <xdr:colOff>294410</xdr:colOff>
      <xdr:row>139</xdr:row>
      <xdr:rowOff>121226</xdr:rowOff>
    </xdr:to>
    <xdr:sp macro="" textlink="">
      <xdr:nvSpPr>
        <xdr:cNvPr id="2421" name="Freeform 10707">
          <a:extLst>
            <a:ext uri="{FF2B5EF4-FFF2-40B4-BE49-F238E27FC236}">
              <a16:creationId xmlns:a16="http://schemas.microsoft.com/office/drawing/2014/main" id="{C7AA45DF-39D3-433D-8B0F-487A86CEE530}"/>
            </a:ext>
          </a:extLst>
        </xdr:cNvPr>
        <xdr:cNvSpPr>
          <a:spLocks/>
        </xdr:cNvSpPr>
      </xdr:nvSpPr>
      <xdr:spPr bwMode="auto">
        <a:xfrm>
          <a:off x="2730500" y="25171400"/>
          <a:ext cx="967510" cy="83126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138</xdr:row>
      <xdr:rowOff>173181</xdr:rowOff>
    </xdr:from>
    <xdr:to>
      <xdr:col>9</xdr:col>
      <xdr:colOff>294410</xdr:colOff>
      <xdr:row>139</xdr:row>
      <xdr:rowOff>121226</xdr:rowOff>
    </xdr:to>
    <xdr:sp macro="" textlink="">
      <xdr:nvSpPr>
        <xdr:cNvPr id="2422" name="Freeform 10707">
          <a:extLst>
            <a:ext uri="{FF2B5EF4-FFF2-40B4-BE49-F238E27FC236}">
              <a16:creationId xmlns:a16="http://schemas.microsoft.com/office/drawing/2014/main" id="{A45DAE40-8FB7-4E3F-8CAC-FF824C36D185}"/>
            </a:ext>
          </a:extLst>
        </xdr:cNvPr>
        <xdr:cNvSpPr>
          <a:spLocks/>
        </xdr:cNvSpPr>
      </xdr:nvSpPr>
      <xdr:spPr bwMode="auto">
        <a:xfrm>
          <a:off x="78629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138</xdr:row>
      <xdr:rowOff>173181</xdr:rowOff>
    </xdr:from>
    <xdr:to>
      <xdr:col>11</xdr:col>
      <xdr:colOff>294410</xdr:colOff>
      <xdr:row>139</xdr:row>
      <xdr:rowOff>121226</xdr:rowOff>
    </xdr:to>
    <xdr:sp macro="" textlink="">
      <xdr:nvSpPr>
        <xdr:cNvPr id="2423" name="Freeform 10707">
          <a:extLst>
            <a:ext uri="{FF2B5EF4-FFF2-40B4-BE49-F238E27FC236}">
              <a16:creationId xmlns:a16="http://schemas.microsoft.com/office/drawing/2014/main" id="{A771067A-ACAE-4361-9F9F-8A733BBC1099}"/>
            </a:ext>
          </a:extLst>
        </xdr:cNvPr>
        <xdr:cNvSpPr>
          <a:spLocks/>
        </xdr:cNvSpPr>
      </xdr:nvSpPr>
      <xdr:spPr bwMode="auto">
        <a:xfrm>
          <a:off x="8899240" y="2093768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138</xdr:row>
      <xdr:rowOff>173181</xdr:rowOff>
    </xdr:from>
    <xdr:to>
      <xdr:col>13</xdr:col>
      <xdr:colOff>294410</xdr:colOff>
      <xdr:row>139</xdr:row>
      <xdr:rowOff>121226</xdr:rowOff>
    </xdr:to>
    <xdr:sp macro="" textlink="">
      <xdr:nvSpPr>
        <xdr:cNvPr id="2424" name="Freeform 10707">
          <a:extLst>
            <a:ext uri="{FF2B5EF4-FFF2-40B4-BE49-F238E27FC236}">
              <a16:creationId xmlns:a16="http://schemas.microsoft.com/office/drawing/2014/main" id="{2A612794-E83E-4FB0-B95E-FD60F69A2BBF}"/>
            </a:ext>
          </a:extLst>
        </xdr:cNvPr>
        <xdr:cNvSpPr>
          <a:spLocks/>
        </xdr:cNvSpPr>
      </xdr:nvSpPr>
      <xdr:spPr bwMode="auto">
        <a:xfrm>
          <a:off x="99431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138</xdr:row>
      <xdr:rowOff>173181</xdr:rowOff>
    </xdr:from>
    <xdr:to>
      <xdr:col>15</xdr:col>
      <xdr:colOff>294410</xdr:colOff>
      <xdr:row>139</xdr:row>
      <xdr:rowOff>121226</xdr:rowOff>
    </xdr:to>
    <xdr:sp macro="" textlink="">
      <xdr:nvSpPr>
        <xdr:cNvPr id="2425" name="Freeform 10707">
          <a:extLst>
            <a:ext uri="{FF2B5EF4-FFF2-40B4-BE49-F238E27FC236}">
              <a16:creationId xmlns:a16="http://schemas.microsoft.com/office/drawing/2014/main" id="{98DB084A-031A-4EDC-835C-147320ABC240}"/>
            </a:ext>
          </a:extLst>
        </xdr:cNvPr>
        <xdr:cNvSpPr>
          <a:spLocks/>
        </xdr:cNvSpPr>
      </xdr:nvSpPr>
      <xdr:spPr bwMode="auto">
        <a:xfrm>
          <a:off x="1097950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138</xdr:row>
      <xdr:rowOff>173181</xdr:rowOff>
    </xdr:from>
    <xdr:to>
      <xdr:col>17</xdr:col>
      <xdr:colOff>294410</xdr:colOff>
      <xdr:row>139</xdr:row>
      <xdr:rowOff>121226</xdr:rowOff>
    </xdr:to>
    <xdr:sp macro="" textlink="">
      <xdr:nvSpPr>
        <xdr:cNvPr id="2426" name="Freeform 10707">
          <a:extLst>
            <a:ext uri="{FF2B5EF4-FFF2-40B4-BE49-F238E27FC236}">
              <a16:creationId xmlns:a16="http://schemas.microsoft.com/office/drawing/2014/main" id="{A4D25AC7-B85A-4928-9628-07F8848C15CF}"/>
            </a:ext>
          </a:extLst>
        </xdr:cNvPr>
        <xdr:cNvSpPr>
          <a:spLocks/>
        </xdr:cNvSpPr>
      </xdr:nvSpPr>
      <xdr:spPr bwMode="auto">
        <a:xfrm>
          <a:off x="1201582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138</xdr:row>
      <xdr:rowOff>173181</xdr:rowOff>
    </xdr:from>
    <xdr:to>
      <xdr:col>19</xdr:col>
      <xdr:colOff>294410</xdr:colOff>
      <xdr:row>139</xdr:row>
      <xdr:rowOff>121226</xdr:rowOff>
    </xdr:to>
    <xdr:sp macro="" textlink="">
      <xdr:nvSpPr>
        <xdr:cNvPr id="2427" name="Freeform 10707">
          <a:extLst>
            <a:ext uri="{FF2B5EF4-FFF2-40B4-BE49-F238E27FC236}">
              <a16:creationId xmlns:a16="http://schemas.microsoft.com/office/drawing/2014/main" id="{C73CD952-4143-41D5-9B00-C3370BE1E9C8}"/>
            </a:ext>
          </a:extLst>
        </xdr:cNvPr>
        <xdr:cNvSpPr>
          <a:spLocks/>
        </xdr:cNvSpPr>
      </xdr:nvSpPr>
      <xdr:spPr bwMode="auto">
        <a:xfrm>
          <a:off x="1305214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138</xdr:row>
      <xdr:rowOff>173181</xdr:rowOff>
    </xdr:from>
    <xdr:to>
      <xdr:col>21</xdr:col>
      <xdr:colOff>294410</xdr:colOff>
      <xdr:row>139</xdr:row>
      <xdr:rowOff>121226</xdr:rowOff>
    </xdr:to>
    <xdr:sp macro="" textlink="">
      <xdr:nvSpPr>
        <xdr:cNvPr id="2428" name="Freeform 10707">
          <a:extLst>
            <a:ext uri="{FF2B5EF4-FFF2-40B4-BE49-F238E27FC236}">
              <a16:creationId xmlns:a16="http://schemas.microsoft.com/office/drawing/2014/main" id="{6B49888E-549C-45EC-AC07-ED5702ABB646}"/>
            </a:ext>
          </a:extLst>
        </xdr:cNvPr>
        <xdr:cNvSpPr>
          <a:spLocks/>
        </xdr:cNvSpPr>
      </xdr:nvSpPr>
      <xdr:spPr bwMode="auto">
        <a:xfrm>
          <a:off x="1408846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138</xdr:row>
      <xdr:rowOff>173181</xdr:rowOff>
    </xdr:from>
    <xdr:to>
      <xdr:col>23</xdr:col>
      <xdr:colOff>294410</xdr:colOff>
      <xdr:row>139</xdr:row>
      <xdr:rowOff>121226</xdr:rowOff>
    </xdr:to>
    <xdr:sp macro="" textlink="">
      <xdr:nvSpPr>
        <xdr:cNvPr id="2429" name="Freeform 10707">
          <a:extLst>
            <a:ext uri="{FF2B5EF4-FFF2-40B4-BE49-F238E27FC236}">
              <a16:creationId xmlns:a16="http://schemas.microsoft.com/office/drawing/2014/main" id="{D2DFEC7C-D464-4E78-A234-8F879EDDE9BC}"/>
            </a:ext>
          </a:extLst>
        </xdr:cNvPr>
        <xdr:cNvSpPr>
          <a:spLocks/>
        </xdr:cNvSpPr>
      </xdr:nvSpPr>
      <xdr:spPr bwMode="auto">
        <a:xfrm>
          <a:off x="15124780" y="2093768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138</xdr:row>
      <xdr:rowOff>173181</xdr:rowOff>
    </xdr:from>
    <xdr:to>
      <xdr:col>25</xdr:col>
      <xdr:colOff>294410</xdr:colOff>
      <xdr:row>139</xdr:row>
      <xdr:rowOff>121226</xdr:rowOff>
    </xdr:to>
    <xdr:sp macro="" textlink="">
      <xdr:nvSpPr>
        <xdr:cNvPr id="2430" name="Freeform 10707">
          <a:extLst>
            <a:ext uri="{FF2B5EF4-FFF2-40B4-BE49-F238E27FC236}">
              <a16:creationId xmlns:a16="http://schemas.microsoft.com/office/drawing/2014/main" id="{A1A5C5CE-AF15-4171-8D54-2F801DE4DACE}"/>
            </a:ext>
          </a:extLst>
        </xdr:cNvPr>
        <xdr:cNvSpPr>
          <a:spLocks/>
        </xdr:cNvSpPr>
      </xdr:nvSpPr>
      <xdr:spPr bwMode="auto">
        <a:xfrm>
          <a:off x="60868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138</xdr:row>
      <xdr:rowOff>173181</xdr:rowOff>
    </xdr:from>
    <xdr:to>
      <xdr:col>27</xdr:col>
      <xdr:colOff>0</xdr:colOff>
      <xdr:row>139</xdr:row>
      <xdr:rowOff>121226</xdr:rowOff>
    </xdr:to>
    <xdr:sp macro="" textlink="">
      <xdr:nvSpPr>
        <xdr:cNvPr id="2431" name="Freeform 10707">
          <a:extLst>
            <a:ext uri="{FF2B5EF4-FFF2-40B4-BE49-F238E27FC236}">
              <a16:creationId xmlns:a16="http://schemas.microsoft.com/office/drawing/2014/main" id="{5F66DABD-FFAD-4012-8ACE-F2E2DD846CF9}"/>
            </a:ext>
          </a:extLst>
        </xdr:cNvPr>
        <xdr:cNvSpPr>
          <a:spLocks/>
        </xdr:cNvSpPr>
      </xdr:nvSpPr>
      <xdr:spPr bwMode="auto">
        <a:xfrm>
          <a:off x="1645000" y="227969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110</xdr:col>
      <xdr:colOff>678</xdr:colOff>
      <xdr:row>103</xdr:row>
      <xdr:rowOff>233</xdr:rowOff>
    </xdr:from>
    <xdr:to>
      <xdr:col>110</xdr:col>
      <xdr:colOff>274998</xdr:colOff>
      <xdr:row>105</xdr:row>
      <xdr:rowOff>2047</xdr:rowOff>
    </xdr:to>
    <xdr:grpSp>
      <xdr:nvGrpSpPr>
        <xdr:cNvPr id="2467" name="Group 2466">
          <a:extLst>
            <a:ext uri="{FF2B5EF4-FFF2-40B4-BE49-F238E27FC236}">
              <a16:creationId xmlns:a16="http://schemas.microsoft.com/office/drawing/2014/main" id="{629D2A7F-6C91-49E3-8E92-2118D955DFDE}"/>
            </a:ext>
          </a:extLst>
        </xdr:cNvPr>
        <xdr:cNvGrpSpPr/>
      </xdr:nvGrpSpPr>
      <xdr:grpSpPr>
        <a:xfrm>
          <a:off x="40318642" y="18995804"/>
          <a:ext cx="274320" cy="355600"/>
          <a:chOff x="6147651" y="793750"/>
          <a:chExt cx="462699" cy="514350"/>
        </a:xfrm>
      </xdr:grpSpPr>
      <xdr:grpSp>
        <xdr:nvGrpSpPr>
          <xdr:cNvPr id="2468" name="Group 2467">
            <a:extLst>
              <a:ext uri="{FF2B5EF4-FFF2-40B4-BE49-F238E27FC236}">
                <a16:creationId xmlns:a16="http://schemas.microsoft.com/office/drawing/2014/main" id="{6E372082-89AC-59FB-E78F-35FB6FF71F76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0" name="Straight Connector 2469">
              <a:extLst>
                <a:ext uri="{FF2B5EF4-FFF2-40B4-BE49-F238E27FC236}">
                  <a16:creationId xmlns:a16="http://schemas.microsoft.com/office/drawing/2014/main" id="{0131DEEE-2D83-F6CC-43A3-657332C0140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1" name="Straight Connector 2470">
              <a:extLst>
                <a:ext uri="{FF2B5EF4-FFF2-40B4-BE49-F238E27FC236}">
                  <a16:creationId xmlns:a16="http://schemas.microsoft.com/office/drawing/2014/main" id="{0B353B50-F7E5-E4DA-DE6F-FBFB36689D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2" name="Straight Connector 2471">
              <a:extLst>
                <a:ext uri="{FF2B5EF4-FFF2-40B4-BE49-F238E27FC236}">
                  <a16:creationId xmlns:a16="http://schemas.microsoft.com/office/drawing/2014/main" id="{7D37E3D8-8ABB-2774-8DC9-F54567BEDE8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3" name="Straight Connector 2472">
              <a:extLst>
                <a:ext uri="{FF2B5EF4-FFF2-40B4-BE49-F238E27FC236}">
                  <a16:creationId xmlns:a16="http://schemas.microsoft.com/office/drawing/2014/main" id="{4C9CBE57-1A9E-7312-B51B-369C49A13B8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4" name="Straight Connector 2473">
              <a:extLst>
                <a:ext uri="{FF2B5EF4-FFF2-40B4-BE49-F238E27FC236}">
                  <a16:creationId xmlns:a16="http://schemas.microsoft.com/office/drawing/2014/main" id="{DBAEA9B4-50B5-A9C4-6CD6-3E6CDA22152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75" name="Straight Connector 2474">
              <a:extLst>
                <a:ext uri="{FF2B5EF4-FFF2-40B4-BE49-F238E27FC236}">
                  <a16:creationId xmlns:a16="http://schemas.microsoft.com/office/drawing/2014/main" id="{4E47CE72-9777-01E3-FCE5-1E8B2A0854B0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B4B744DD-5C2A-57B8-54BA-453BA5A7EF32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112</xdr:col>
      <xdr:colOff>678</xdr:colOff>
      <xdr:row>103</xdr:row>
      <xdr:rowOff>233</xdr:rowOff>
    </xdr:from>
    <xdr:to>
      <xdr:col>112</xdr:col>
      <xdr:colOff>274998</xdr:colOff>
      <xdr:row>105</xdr:row>
      <xdr:rowOff>2047</xdr:rowOff>
    </xdr:to>
    <xdr:grpSp>
      <xdr:nvGrpSpPr>
        <xdr:cNvPr id="2476" name="Group 2475">
          <a:extLst>
            <a:ext uri="{FF2B5EF4-FFF2-40B4-BE49-F238E27FC236}">
              <a16:creationId xmlns:a16="http://schemas.microsoft.com/office/drawing/2014/main" id="{DA87D704-DDD2-494C-894F-B6D91E7F85EF}"/>
            </a:ext>
          </a:extLst>
        </xdr:cNvPr>
        <xdr:cNvGrpSpPr/>
      </xdr:nvGrpSpPr>
      <xdr:grpSpPr>
        <a:xfrm>
          <a:off x="41461642" y="18995804"/>
          <a:ext cx="274320" cy="355600"/>
          <a:chOff x="6147651" y="793750"/>
          <a:chExt cx="462699" cy="514350"/>
        </a:xfrm>
      </xdr:grpSpPr>
      <xdr:grpSp>
        <xdr:nvGrpSpPr>
          <xdr:cNvPr id="2477" name="Group 2476">
            <a:extLst>
              <a:ext uri="{FF2B5EF4-FFF2-40B4-BE49-F238E27FC236}">
                <a16:creationId xmlns:a16="http://schemas.microsoft.com/office/drawing/2014/main" id="{FA70C50E-B2F9-FC61-DDA3-4EB02C3B6B37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79" name="Straight Connector 2478">
              <a:extLst>
                <a:ext uri="{FF2B5EF4-FFF2-40B4-BE49-F238E27FC236}">
                  <a16:creationId xmlns:a16="http://schemas.microsoft.com/office/drawing/2014/main" id="{27722CC6-804C-0E8F-D72F-5FF96DE9A7C5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0" name="Straight Connector 2479">
              <a:extLst>
                <a:ext uri="{FF2B5EF4-FFF2-40B4-BE49-F238E27FC236}">
                  <a16:creationId xmlns:a16="http://schemas.microsoft.com/office/drawing/2014/main" id="{5460A700-B59B-8A62-215C-12528C1D39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1" name="Straight Connector 2480">
              <a:extLst>
                <a:ext uri="{FF2B5EF4-FFF2-40B4-BE49-F238E27FC236}">
                  <a16:creationId xmlns:a16="http://schemas.microsoft.com/office/drawing/2014/main" id="{839C8F78-AEC0-D19A-C64D-2FB910D7A8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2" name="Straight Connector 2481">
              <a:extLst>
                <a:ext uri="{FF2B5EF4-FFF2-40B4-BE49-F238E27FC236}">
                  <a16:creationId xmlns:a16="http://schemas.microsoft.com/office/drawing/2014/main" id="{C5E776DB-838D-929A-EF94-C0CF15B884C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3" name="Straight Connector 2482">
              <a:extLst>
                <a:ext uri="{FF2B5EF4-FFF2-40B4-BE49-F238E27FC236}">
                  <a16:creationId xmlns:a16="http://schemas.microsoft.com/office/drawing/2014/main" id="{6256DA2B-D306-9EC3-5A36-916A23DD563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4" name="Straight Connector 2483">
              <a:extLst>
                <a:ext uri="{FF2B5EF4-FFF2-40B4-BE49-F238E27FC236}">
                  <a16:creationId xmlns:a16="http://schemas.microsoft.com/office/drawing/2014/main" id="{8F208A2D-7F8A-2B9E-2676-78A3B3D4A6B4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78" name="Straight Connector 2477">
            <a:extLst>
              <a:ext uri="{FF2B5EF4-FFF2-40B4-BE49-F238E27FC236}">
                <a16:creationId xmlns:a16="http://schemas.microsoft.com/office/drawing/2014/main" id="{6851088E-D395-AF1C-02F8-D5A1D7EBCFEA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118</xdr:col>
      <xdr:colOff>678</xdr:colOff>
      <xdr:row>103</xdr:row>
      <xdr:rowOff>233</xdr:rowOff>
    </xdr:from>
    <xdr:to>
      <xdr:col>118</xdr:col>
      <xdr:colOff>274998</xdr:colOff>
      <xdr:row>105</xdr:row>
      <xdr:rowOff>2047</xdr:rowOff>
    </xdr:to>
    <xdr:grpSp>
      <xdr:nvGrpSpPr>
        <xdr:cNvPr id="2485" name="Group 2484">
          <a:extLst>
            <a:ext uri="{FF2B5EF4-FFF2-40B4-BE49-F238E27FC236}">
              <a16:creationId xmlns:a16="http://schemas.microsoft.com/office/drawing/2014/main" id="{A36A8FDD-EF4C-4D0D-9C89-7530BD130ECB}"/>
            </a:ext>
          </a:extLst>
        </xdr:cNvPr>
        <xdr:cNvGrpSpPr/>
      </xdr:nvGrpSpPr>
      <xdr:grpSpPr>
        <a:xfrm>
          <a:off x="44890642" y="18995804"/>
          <a:ext cx="274320" cy="355600"/>
          <a:chOff x="6147651" y="793750"/>
          <a:chExt cx="462699" cy="514350"/>
        </a:xfrm>
      </xdr:grpSpPr>
      <xdr:grpSp>
        <xdr:nvGrpSpPr>
          <xdr:cNvPr id="2486" name="Group 2485">
            <a:extLst>
              <a:ext uri="{FF2B5EF4-FFF2-40B4-BE49-F238E27FC236}">
                <a16:creationId xmlns:a16="http://schemas.microsoft.com/office/drawing/2014/main" id="{4F4A9D23-BEE8-1500-C7E8-ED10DD47C8E1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88" name="Straight Connector 2487">
              <a:extLst>
                <a:ext uri="{FF2B5EF4-FFF2-40B4-BE49-F238E27FC236}">
                  <a16:creationId xmlns:a16="http://schemas.microsoft.com/office/drawing/2014/main" id="{2047DCAB-70AB-C2B5-BA1E-7C5E533C3B09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89" name="Straight Connector 2488">
              <a:extLst>
                <a:ext uri="{FF2B5EF4-FFF2-40B4-BE49-F238E27FC236}">
                  <a16:creationId xmlns:a16="http://schemas.microsoft.com/office/drawing/2014/main" id="{F1D2788D-2AC0-5B72-DB05-A5E1AE27511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0" name="Straight Connector 2489">
              <a:extLst>
                <a:ext uri="{FF2B5EF4-FFF2-40B4-BE49-F238E27FC236}">
                  <a16:creationId xmlns:a16="http://schemas.microsoft.com/office/drawing/2014/main" id="{9D6012D2-DD3A-A9EF-95E1-B0BFD32C454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1" name="Straight Connector 2490">
              <a:extLst>
                <a:ext uri="{FF2B5EF4-FFF2-40B4-BE49-F238E27FC236}">
                  <a16:creationId xmlns:a16="http://schemas.microsoft.com/office/drawing/2014/main" id="{52EDEF06-6433-6182-F1A0-453674AD735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2" name="Straight Connector 2491">
              <a:extLst>
                <a:ext uri="{FF2B5EF4-FFF2-40B4-BE49-F238E27FC236}">
                  <a16:creationId xmlns:a16="http://schemas.microsoft.com/office/drawing/2014/main" id="{7EBE65CD-4543-FC65-709B-8C5A696EF8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3" name="Straight Connector 2492">
              <a:extLst>
                <a:ext uri="{FF2B5EF4-FFF2-40B4-BE49-F238E27FC236}">
                  <a16:creationId xmlns:a16="http://schemas.microsoft.com/office/drawing/2014/main" id="{D7D5F094-E672-5365-8CD3-05BC6E7E0C9C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87" name="Straight Connector 2486">
            <a:extLst>
              <a:ext uri="{FF2B5EF4-FFF2-40B4-BE49-F238E27FC236}">
                <a16:creationId xmlns:a16="http://schemas.microsoft.com/office/drawing/2014/main" id="{8D31CEF3-33D7-5098-0A77-D10EEE89D2D9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120</xdr:col>
      <xdr:colOff>678</xdr:colOff>
      <xdr:row>103</xdr:row>
      <xdr:rowOff>233</xdr:rowOff>
    </xdr:from>
    <xdr:to>
      <xdr:col>120</xdr:col>
      <xdr:colOff>274998</xdr:colOff>
      <xdr:row>105</xdr:row>
      <xdr:rowOff>2047</xdr:rowOff>
    </xdr:to>
    <xdr:grpSp>
      <xdr:nvGrpSpPr>
        <xdr:cNvPr id="2494" name="Group 2493">
          <a:extLst>
            <a:ext uri="{FF2B5EF4-FFF2-40B4-BE49-F238E27FC236}">
              <a16:creationId xmlns:a16="http://schemas.microsoft.com/office/drawing/2014/main" id="{728003E8-C793-410F-9FA0-D9F1CD287F57}"/>
            </a:ext>
          </a:extLst>
        </xdr:cNvPr>
        <xdr:cNvGrpSpPr/>
      </xdr:nvGrpSpPr>
      <xdr:grpSpPr>
        <a:xfrm>
          <a:off x="46033642" y="18995804"/>
          <a:ext cx="274320" cy="355600"/>
          <a:chOff x="6147651" y="793750"/>
          <a:chExt cx="462699" cy="514350"/>
        </a:xfrm>
      </xdr:grpSpPr>
      <xdr:grpSp>
        <xdr:nvGrpSpPr>
          <xdr:cNvPr id="2495" name="Group 2494">
            <a:extLst>
              <a:ext uri="{FF2B5EF4-FFF2-40B4-BE49-F238E27FC236}">
                <a16:creationId xmlns:a16="http://schemas.microsoft.com/office/drawing/2014/main" id="{53609E9A-61A1-1B67-CA6E-CD6792B34788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497" name="Straight Connector 2496">
              <a:extLst>
                <a:ext uri="{FF2B5EF4-FFF2-40B4-BE49-F238E27FC236}">
                  <a16:creationId xmlns:a16="http://schemas.microsoft.com/office/drawing/2014/main" id="{BE4BC849-87D8-E636-470B-F1BA958A94EC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8" name="Straight Connector 2497">
              <a:extLst>
                <a:ext uri="{FF2B5EF4-FFF2-40B4-BE49-F238E27FC236}">
                  <a16:creationId xmlns:a16="http://schemas.microsoft.com/office/drawing/2014/main" id="{DE615C7D-30AF-BC25-4737-C4D752FF91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99" name="Straight Connector 2498">
              <a:extLst>
                <a:ext uri="{FF2B5EF4-FFF2-40B4-BE49-F238E27FC236}">
                  <a16:creationId xmlns:a16="http://schemas.microsoft.com/office/drawing/2014/main" id="{E8B24890-4BAD-3076-4568-F064DF953A2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0" name="Straight Connector 2499">
              <a:extLst>
                <a:ext uri="{FF2B5EF4-FFF2-40B4-BE49-F238E27FC236}">
                  <a16:creationId xmlns:a16="http://schemas.microsoft.com/office/drawing/2014/main" id="{97770B3A-8B6A-F59E-6042-9FB8D0ABADA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1" name="Straight Connector 2500">
              <a:extLst>
                <a:ext uri="{FF2B5EF4-FFF2-40B4-BE49-F238E27FC236}">
                  <a16:creationId xmlns:a16="http://schemas.microsoft.com/office/drawing/2014/main" id="{7F612AEC-36D5-38A7-E7E0-3ECAA29F75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2" name="Straight Connector 2501">
              <a:extLst>
                <a:ext uri="{FF2B5EF4-FFF2-40B4-BE49-F238E27FC236}">
                  <a16:creationId xmlns:a16="http://schemas.microsoft.com/office/drawing/2014/main" id="{218618E7-BF2C-D149-772E-91999E5291BB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496" name="Straight Connector 2495">
            <a:extLst>
              <a:ext uri="{FF2B5EF4-FFF2-40B4-BE49-F238E27FC236}">
                <a16:creationId xmlns:a16="http://schemas.microsoft.com/office/drawing/2014/main" id="{F41BF287-6228-E02B-BC92-46C0FC4C8168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122</xdr:col>
      <xdr:colOff>678</xdr:colOff>
      <xdr:row>103</xdr:row>
      <xdr:rowOff>233</xdr:rowOff>
    </xdr:from>
    <xdr:to>
      <xdr:col>122</xdr:col>
      <xdr:colOff>274998</xdr:colOff>
      <xdr:row>105</xdr:row>
      <xdr:rowOff>2047</xdr:rowOff>
    </xdr:to>
    <xdr:grpSp>
      <xdr:nvGrpSpPr>
        <xdr:cNvPr id="2503" name="Group 2502">
          <a:extLst>
            <a:ext uri="{FF2B5EF4-FFF2-40B4-BE49-F238E27FC236}">
              <a16:creationId xmlns:a16="http://schemas.microsoft.com/office/drawing/2014/main" id="{8C24D883-8DA5-405E-9A29-D215E2607A2B}"/>
            </a:ext>
          </a:extLst>
        </xdr:cNvPr>
        <xdr:cNvGrpSpPr/>
      </xdr:nvGrpSpPr>
      <xdr:grpSpPr>
        <a:xfrm>
          <a:off x="47176642" y="18995804"/>
          <a:ext cx="274320" cy="355600"/>
          <a:chOff x="6147651" y="793750"/>
          <a:chExt cx="462699" cy="514350"/>
        </a:xfrm>
      </xdr:grpSpPr>
      <xdr:grpSp>
        <xdr:nvGrpSpPr>
          <xdr:cNvPr id="2504" name="Group 2503">
            <a:extLst>
              <a:ext uri="{FF2B5EF4-FFF2-40B4-BE49-F238E27FC236}">
                <a16:creationId xmlns:a16="http://schemas.microsoft.com/office/drawing/2014/main" id="{73683DF1-27D8-806A-2903-FDA9A6AF821E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06" name="Straight Connector 2505">
              <a:extLst>
                <a:ext uri="{FF2B5EF4-FFF2-40B4-BE49-F238E27FC236}">
                  <a16:creationId xmlns:a16="http://schemas.microsoft.com/office/drawing/2014/main" id="{B18ACB90-D1AF-FD7D-CBD8-22E9CAD644BE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7" name="Straight Connector 2506">
              <a:extLst>
                <a:ext uri="{FF2B5EF4-FFF2-40B4-BE49-F238E27FC236}">
                  <a16:creationId xmlns:a16="http://schemas.microsoft.com/office/drawing/2014/main" id="{59B96B14-BC38-FC08-B455-F16D0C415C3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8" name="Straight Connector 2507">
              <a:extLst>
                <a:ext uri="{FF2B5EF4-FFF2-40B4-BE49-F238E27FC236}">
                  <a16:creationId xmlns:a16="http://schemas.microsoft.com/office/drawing/2014/main" id="{17C4396E-ADC9-8840-E1DA-C7A24BC25BC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09" name="Straight Connector 2508">
              <a:extLst>
                <a:ext uri="{FF2B5EF4-FFF2-40B4-BE49-F238E27FC236}">
                  <a16:creationId xmlns:a16="http://schemas.microsoft.com/office/drawing/2014/main" id="{368B1F14-14BD-99F0-5546-A1E4CB9D441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0" name="Straight Connector 2509">
              <a:extLst>
                <a:ext uri="{FF2B5EF4-FFF2-40B4-BE49-F238E27FC236}">
                  <a16:creationId xmlns:a16="http://schemas.microsoft.com/office/drawing/2014/main" id="{B9F55940-E1A7-F015-DC42-66F31EF961F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1" name="Straight Connector 2510">
              <a:extLst>
                <a:ext uri="{FF2B5EF4-FFF2-40B4-BE49-F238E27FC236}">
                  <a16:creationId xmlns:a16="http://schemas.microsoft.com/office/drawing/2014/main" id="{0B442B81-576B-3310-E2AA-2222F55EE76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05" name="Straight Connector 2504">
            <a:extLst>
              <a:ext uri="{FF2B5EF4-FFF2-40B4-BE49-F238E27FC236}">
                <a16:creationId xmlns:a16="http://schemas.microsoft.com/office/drawing/2014/main" id="{53AC8936-0051-E5B0-25DD-56DCA4F77C9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124</xdr:col>
      <xdr:colOff>678</xdr:colOff>
      <xdr:row>103</xdr:row>
      <xdr:rowOff>233</xdr:rowOff>
    </xdr:from>
    <xdr:to>
      <xdr:col>124</xdr:col>
      <xdr:colOff>274998</xdr:colOff>
      <xdr:row>105</xdr:row>
      <xdr:rowOff>2047</xdr:rowOff>
    </xdr:to>
    <xdr:grpSp>
      <xdr:nvGrpSpPr>
        <xdr:cNvPr id="2512" name="Group 2511">
          <a:extLst>
            <a:ext uri="{FF2B5EF4-FFF2-40B4-BE49-F238E27FC236}">
              <a16:creationId xmlns:a16="http://schemas.microsoft.com/office/drawing/2014/main" id="{35BCA944-2908-44FC-AAC7-714BD6FD7E69}"/>
            </a:ext>
          </a:extLst>
        </xdr:cNvPr>
        <xdr:cNvGrpSpPr/>
      </xdr:nvGrpSpPr>
      <xdr:grpSpPr>
        <a:xfrm>
          <a:off x="48319642" y="18995804"/>
          <a:ext cx="274320" cy="355600"/>
          <a:chOff x="6147651" y="793750"/>
          <a:chExt cx="462699" cy="514350"/>
        </a:xfrm>
      </xdr:grpSpPr>
      <xdr:grpSp>
        <xdr:nvGrpSpPr>
          <xdr:cNvPr id="2513" name="Group 2512">
            <a:extLst>
              <a:ext uri="{FF2B5EF4-FFF2-40B4-BE49-F238E27FC236}">
                <a16:creationId xmlns:a16="http://schemas.microsoft.com/office/drawing/2014/main" id="{816F5917-D682-BD19-BF90-1D0F6037D05D}"/>
              </a:ext>
            </a:extLst>
          </xdr:cNvPr>
          <xdr:cNvGrpSpPr/>
        </xdr:nvGrpSpPr>
        <xdr:grpSpPr>
          <a:xfrm>
            <a:off x="6153150" y="796754"/>
            <a:ext cx="457200" cy="511346"/>
            <a:chOff x="2540000" y="561804"/>
            <a:chExt cx="457200" cy="511346"/>
          </a:xfrm>
        </xdr:grpSpPr>
        <xdr:cxnSp macro="">
          <xdr:nvCxnSpPr>
            <xdr:cNvPr id="2515" name="Straight Connector 2514">
              <a:extLst>
                <a:ext uri="{FF2B5EF4-FFF2-40B4-BE49-F238E27FC236}">
                  <a16:creationId xmlns:a16="http://schemas.microsoft.com/office/drawing/2014/main" id="{1892CEA2-34C5-8934-A3C5-D30CCBC05A13}"/>
                </a:ext>
              </a:extLst>
            </xdr:cNvPr>
            <xdr:cNvCxnSpPr/>
          </xdr:nvCxnSpPr>
          <xdr:spPr>
            <a:xfrm>
              <a:off x="2540000" y="825500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6" name="Straight Connector 2515">
              <a:extLst>
                <a:ext uri="{FF2B5EF4-FFF2-40B4-BE49-F238E27FC236}">
                  <a16:creationId xmlns:a16="http://schemas.microsoft.com/office/drawing/2014/main" id="{1C83FC81-1D4B-290A-24C1-FEDFF5B7DBF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7" name="Straight Connector 2516">
              <a:extLst>
                <a:ext uri="{FF2B5EF4-FFF2-40B4-BE49-F238E27FC236}">
                  <a16:creationId xmlns:a16="http://schemas.microsoft.com/office/drawing/2014/main" id="{489C1885-CCBC-03A7-FFF9-0444EFBB469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8" name="Straight Connector 2517">
              <a:extLst>
                <a:ext uri="{FF2B5EF4-FFF2-40B4-BE49-F238E27FC236}">
                  <a16:creationId xmlns:a16="http://schemas.microsoft.com/office/drawing/2014/main" id="{503CEEB6-B04C-D4FC-B243-6042DABBAB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19" name="Straight Connector 2518">
              <a:extLst>
                <a:ext uri="{FF2B5EF4-FFF2-40B4-BE49-F238E27FC236}">
                  <a16:creationId xmlns:a16="http://schemas.microsoft.com/office/drawing/2014/main" id="{2A7CCA8B-101D-861C-F42A-E2C2FB20F0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20" name="Straight Connector 2519">
              <a:extLst>
                <a:ext uri="{FF2B5EF4-FFF2-40B4-BE49-F238E27FC236}">
                  <a16:creationId xmlns:a16="http://schemas.microsoft.com/office/drawing/2014/main" id="{C81E21DF-ABE8-E103-CEC9-4FD19AEE8A7A}"/>
                </a:ext>
              </a:extLst>
            </xdr:cNvPr>
            <xdr:cNvCxnSpPr/>
          </xdr:nvCxnSpPr>
          <xdr:spPr>
            <a:xfrm flipH="1" flipV="1">
              <a:off x="2755901" y="561804"/>
              <a:ext cx="0" cy="249935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514" name="Straight Connector 2513">
            <a:extLst>
              <a:ext uri="{FF2B5EF4-FFF2-40B4-BE49-F238E27FC236}">
                <a16:creationId xmlns:a16="http://schemas.microsoft.com/office/drawing/2014/main" id="{2BFA7E40-9056-6A8A-5EFB-91F08CDB9E66}"/>
              </a:ext>
            </a:extLst>
          </xdr:cNvPr>
          <xdr:cNvCxnSpPr/>
        </xdr:nvCxnSpPr>
        <xdr:spPr>
          <a:xfrm flipV="1">
            <a:off x="6147651" y="79375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2</xdr:col>
      <xdr:colOff>21771</xdr:colOff>
      <xdr:row>93</xdr:row>
      <xdr:rowOff>152979</xdr:rowOff>
    </xdr:from>
    <xdr:to>
      <xdr:col>2</xdr:col>
      <xdr:colOff>404535</xdr:colOff>
      <xdr:row>96</xdr:row>
      <xdr:rowOff>14610</xdr:rowOff>
    </xdr:to>
    <xdr:pic>
      <xdr:nvPicPr>
        <xdr:cNvPr id="2647" name="Picture 2646" descr="Gas pipeline line icon concept. Gas ...">
          <a:extLst>
            <a:ext uri="{FF2B5EF4-FFF2-40B4-BE49-F238E27FC236}">
              <a16:creationId xmlns:a16="http://schemas.microsoft.com/office/drawing/2014/main" id="{C38D5925-31D9-45E8-B877-64BC146EF0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5066211" y="13320339"/>
          <a:ext cx="382764" cy="273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22</xdr:col>
      <xdr:colOff>185057</xdr:colOff>
      <xdr:row>63</xdr:row>
      <xdr:rowOff>50578</xdr:rowOff>
    </xdr:from>
    <xdr:ext cx="108857" cy="344130"/>
    <xdr:pic>
      <xdr:nvPicPr>
        <xdr:cNvPr id="2648" name="Picture 11595">
          <a:extLst>
            <a:ext uri="{FF2B5EF4-FFF2-40B4-BE49-F238E27FC236}">
              <a16:creationId xmlns:a16="http://schemas.microsoft.com/office/drawing/2014/main" id="{C33A4479-11E3-44CD-879A-D55AA95D3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00317" y="7632478"/>
          <a:ext cx="108857" cy="344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20</xdr:col>
      <xdr:colOff>35551</xdr:colOff>
      <xdr:row>58</xdr:row>
      <xdr:rowOff>157967</xdr:rowOff>
    </xdr:from>
    <xdr:ext cx="382764" cy="287082"/>
    <xdr:pic>
      <xdr:nvPicPr>
        <xdr:cNvPr id="2649" name="Picture 2648" descr="Gas pipeline line icon concept. Gas ...">
          <a:extLst>
            <a:ext uri="{FF2B5EF4-FFF2-40B4-BE49-F238E27FC236}">
              <a16:creationId xmlns:a16="http://schemas.microsoft.com/office/drawing/2014/main" id="{45620AC8-AB90-49AA-B15C-882AD1E32E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414491" y="690166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14</xdr:col>
      <xdr:colOff>24665</xdr:colOff>
      <xdr:row>71</xdr:row>
      <xdr:rowOff>157967</xdr:rowOff>
    </xdr:from>
    <xdr:ext cx="382764" cy="287082"/>
    <xdr:pic>
      <xdr:nvPicPr>
        <xdr:cNvPr id="2650" name="Picture 2649" descr="Gas pipeline line icon concept. Gas ...">
          <a:extLst>
            <a:ext uri="{FF2B5EF4-FFF2-40B4-BE49-F238E27FC236}">
              <a16:creationId xmlns:a16="http://schemas.microsoft.com/office/drawing/2014/main" id="{15CB4D49-08BF-4D8F-8421-DD349B8BEE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94645" y="910384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114</xdr:col>
      <xdr:colOff>190499</xdr:colOff>
      <xdr:row>101</xdr:row>
      <xdr:rowOff>27213</xdr:rowOff>
    </xdr:from>
    <xdr:to>
      <xdr:col>114</xdr:col>
      <xdr:colOff>247649</xdr:colOff>
      <xdr:row>103</xdr:row>
      <xdr:rowOff>146049</xdr:rowOff>
    </xdr:to>
    <xdr:sp macro="" textlink="">
      <xdr:nvSpPr>
        <xdr:cNvPr id="2651" name="Rectangle 11590" descr="Light horizontal">
          <a:extLst>
            <a:ext uri="{FF2B5EF4-FFF2-40B4-BE49-F238E27FC236}">
              <a16:creationId xmlns:a16="http://schemas.microsoft.com/office/drawing/2014/main" id="{AECEED6F-9503-4ADB-A6D2-3E3796133157}"/>
            </a:ext>
          </a:extLst>
        </xdr:cNvPr>
        <xdr:cNvSpPr>
          <a:spLocks noChangeArrowheads="1"/>
        </xdr:cNvSpPr>
      </xdr:nvSpPr>
      <xdr:spPr bwMode="auto">
        <a:xfrm>
          <a:off x="40850819" y="14550933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116</xdr:col>
      <xdr:colOff>35551</xdr:colOff>
      <xdr:row>98</xdr:row>
      <xdr:rowOff>157967</xdr:rowOff>
    </xdr:from>
    <xdr:ext cx="382764" cy="287082"/>
    <xdr:pic>
      <xdr:nvPicPr>
        <xdr:cNvPr id="2652" name="Picture 2651" descr="Gas pipeline line icon concept. Gas ...">
          <a:extLst>
            <a:ext uri="{FF2B5EF4-FFF2-40B4-BE49-F238E27FC236}">
              <a16:creationId xmlns:a16="http://schemas.microsoft.com/office/drawing/2014/main" id="{EAF96DDF-A040-46FF-B0C0-9E4CA2B5E6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884591" y="14163527"/>
          <a:ext cx="382764" cy="287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38</xdr:col>
      <xdr:colOff>48991</xdr:colOff>
      <xdr:row>130</xdr:row>
      <xdr:rowOff>59871</xdr:rowOff>
    </xdr:from>
    <xdr:to>
      <xdr:col>38</xdr:col>
      <xdr:colOff>106141</xdr:colOff>
      <xdr:row>133</xdr:row>
      <xdr:rowOff>4535</xdr:rowOff>
    </xdr:to>
    <xdr:sp macro="" textlink="">
      <xdr:nvSpPr>
        <xdr:cNvPr id="2653" name="Rectangle 11590" descr="Light horizontal">
          <a:extLst>
            <a:ext uri="{FF2B5EF4-FFF2-40B4-BE49-F238E27FC236}">
              <a16:creationId xmlns:a16="http://schemas.microsoft.com/office/drawing/2014/main" id="{80B25A2B-E23D-40BE-8B20-C312E7231FBC}"/>
            </a:ext>
          </a:extLst>
        </xdr:cNvPr>
        <xdr:cNvSpPr>
          <a:spLocks noChangeArrowheads="1"/>
        </xdr:cNvSpPr>
      </xdr:nvSpPr>
      <xdr:spPr bwMode="auto">
        <a:xfrm>
          <a:off x="16291560" y="19475631"/>
          <a:ext cx="0" cy="455204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48985</xdr:colOff>
      <xdr:row>131</xdr:row>
      <xdr:rowOff>74388</xdr:rowOff>
    </xdr:from>
    <xdr:to>
      <xdr:col>14</xdr:col>
      <xdr:colOff>266699</xdr:colOff>
      <xdr:row>134</xdr:row>
      <xdr:rowOff>16329</xdr:rowOff>
    </xdr:to>
    <xdr:sp macro="" textlink="">
      <xdr:nvSpPr>
        <xdr:cNvPr id="2654" name="Equals 2636">
          <a:extLst>
            <a:ext uri="{FF2B5EF4-FFF2-40B4-BE49-F238E27FC236}">
              <a16:creationId xmlns:a16="http://schemas.microsoft.com/office/drawing/2014/main" id="{2BC8B0B6-D370-45C0-AE32-14153C7C7BA6}"/>
            </a:ext>
          </a:extLst>
        </xdr:cNvPr>
        <xdr:cNvSpPr/>
      </xdr:nvSpPr>
      <xdr:spPr>
        <a:xfrm rot="5400000">
          <a:off x="11197771" y="19778982"/>
          <a:ext cx="460101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177800</xdr:colOff>
      <xdr:row>127</xdr:row>
      <xdr:rowOff>36284</xdr:rowOff>
    </xdr:from>
    <xdr:to>
      <xdr:col>26</xdr:col>
      <xdr:colOff>234950</xdr:colOff>
      <xdr:row>129</xdr:row>
      <xdr:rowOff>155120</xdr:rowOff>
    </xdr:to>
    <xdr:sp macro="" textlink="">
      <xdr:nvSpPr>
        <xdr:cNvPr id="2655" name="Rectangle 11590" descr="Light horizontal">
          <a:extLst>
            <a:ext uri="{FF2B5EF4-FFF2-40B4-BE49-F238E27FC236}">
              <a16:creationId xmlns:a16="http://schemas.microsoft.com/office/drawing/2014/main" id="{1618ABC9-D2C7-496C-AEF7-DDD7FED6B6CA}"/>
            </a:ext>
          </a:extLst>
        </xdr:cNvPr>
        <xdr:cNvSpPr>
          <a:spLocks noChangeArrowheads="1"/>
        </xdr:cNvSpPr>
      </xdr:nvSpPr>
      <xdr:spPr bwMode="auto">
        <a:xfrm>
          <a:off x="2113280" y="21143684"/>
          <a:ext cx="57150" cy="454116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256136</xdr:colOff>
      <xdr:row>47</xdr:row>
      <xdr:rowOff>157523</xdr:rowOff>
    </xdr:from>
    <xdr:to>
      <xdr:col>45</xdr:col>
      <xdr:colOff>330414</xdr:colOff>
      <xdr:row>50</xdr:row>
      <xdr:rowOff>59552</xdr:rowOff>
    </xdr:to>
    <xdr:sp macro="" textlink="">
      <xdr:nvSpPr>
        <xdr:cNvPr id="2656" name="Arrow: Curved Down 2655">
          <a:extLst>
            <a:ext uri="{FF2B5EF4-FFF2-40B4-BE49-F238E27FC236}">
              <a16:creationId xmlns:a16="http://schemas.microsoft.com/office/drawing/2014/main" id="{491BAB55-3F29-4D43-A96C-16E39FFF140C}"/>
            </a:ext>
          </a:extLst>
        </xdr:cNvPr>
        <xdr:cNvSpPr/>
      </xdr:nvSpPr>
      <xdr:spPr>
        <a:xfrm>
          <a:off x="16291560" y="5026703"/>
          <a:ext cx="0" cy="38970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430306</xdr:colOff>
      <xdr:row>46</xdr:row>
      <xdr:rowOff>7055</xdr:rowOff>
    </xdr:from>
    <xdr:to>
      <xdr:col>14</xdr:col>
      <xdr:colOff>22498</xdr:colOff>
      <xdr:row>49</xdr:row>
      <xdr:rowOff>0</xdr:rowOff>
    </xdr:to>
    <xdr:sp macro="" textlink="">
      <xdr:nvSpPr>
        <xdr:cNvPr id="2660" name="Isosceles Triangle 2659">
          <a:extLst>
            <a:ext uri="{FF2B5EF4-FFF2-40B4-BE49-F238E27FC236}">
              <a16:creationId xmlns:a16="http://schemas.microsoft.com/office/drawing/2014/main" id="{6C5FD8CC-5B3A-420C-A0B9-5D1383606AA1}"/>
            </a:ext>
          </a:extLst>
        </xdr:cNvPr>
        <xdr:cNvSpPr/>
      </xdr:nvSpPr>
      <xdr:spPr>
        <a:xfrm>
          <a:off x="10663966" y="4708595"/>
          <a:ext cx="628512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288640</xdr:colOff>
      <xdr:row>45</xdr:row>
      <xdr:rowOff>173181</xdr:rowOff>
    </xdr:from>
    <xdr:to>
      <xdr:col>15</xdr:col>
      <xdr:colOff>294410</xdr:colOff>
      <xdr:row>46</xdr:row>
      <xdr:rowOff>121226</xdr:rowOff>
    </xdr:to>
    <xdr:sp macro="" textlink="">
      <xdr:nvSpPr>
        <xdr:cNvPr id="2661" name="Freeform 10707">
          <a:extLst>
            <a:ext uri="{FF2B5EF4-FFF2-40B4-BE49-F238E27FC236}">
              <a16:creationId xmlns:a16="http://schemas.microsoft.com/office/drawing/2014/main" id="{90E82D94-1903-48C3-A65F-8C41559981E8}"/>
            </a:ext>
          </a:extLst>
        </xdr:cNvPr>
        <xdr:cNvSpPr>
          <a:spLocks/>
        </xdr:cNvSpPr>
      </xdr:nvSpPr>
      <xdr:spPr bwMode="auto">
        <a:xfrm>
          <a:off x="109795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32</xdr:col>
      <xdr:colOff>0</xdr:colOff>
      <xdr:row>13</xdr:row>
      <xdr:rowOff>3806</xdr:rowOff>
    </xdr:from>
    <xdr:to>
      <xdr:col>32</xdr:col>
      <xdr:colOff>0</xdr:colOff>
      <xdr:row>14</xdr:row>
      <xdr:rowOff>74612</xdr:rowOff>
    </xdr:to>
    <xdr:grpSp>
      <xdr:nvGrpSpPr>
        <xdr:cNvPr id="2662" name="Group 2661">
          <a:extLst>
            <a:ext uri="{FF2B5EF4-FFF2-40B4-BE49-F238E27FC236}">
              <a16:creationId xmlns:a16="http://schemas.microsoft.com/office/drawing/2014/main" id="{EC7CA138-7854-4C92-9397-1025C1C6D48D}"/>
            </a:ext>
          </a:extLst>
        </xdr:cNvPr>
        <xdr:cNvGrpSpPr/>
      </xdr:nvGrpSpPr>
      <xdr:grpSpPr>
        <a:xfrm>
          <a:off x="16301357" y="2806877"/>
          <a:ext cx="0" cy="288521"/>
          <a:chOff x="6143939" y="789134"/>
          <a:chExt cx="457200" cy="518966"/>
        </a:xfrm>
      </xdr:grpSpPr>
      <xdr:grpSp>
        <xdr:nvGrpSpPr>
          <xdr:cNvPr id="2663" name="Group 2662">
            <a:extLst>
              <a:ext uri="{FF2B5EF4-FFF2-40B4-BE49-F238E27FC236}">
                <a16:creationId xmlns:a16="http://schemas.microsoft.com/office/drawing/2014/main" id="{8AF4054E-A5DE-57C9-9F04-7B7013984CB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665" name="Straight Connector 2664">
              <a:extLst>
                <a:ext uri="{FF2B5EF4-FFF2-40B4-BE49-F238E27FC236}">
                  <a16:creationId xmlns:a16="http://schemas.microsoft.com/office/drawing/2014/main" id="{22B39C30-7996-CA5B-D5EF-5A19F1D9333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6" name="Straight Connector 2665">
              <a:extLst>
                <a:ext uri="{FF2B5EF4-FFF2-40B4-BE49-F238E27FC236}">
                  <a16:creationId xmlns:a16="http://schemas.microsoft.com/office/drawing/2014/main" id="{D70502C1-F052-923A-C1A3-4ACB2763A1F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7" name="Straight Connector 2666">
              <a:extLst>
                <a:ext uri="{FF2B5EF4-FFF2-40B4-BE49-F238E27FC236}">
                  <a16:creationId xmlns:a16="http://schemas.microsoft.com/office/drawing/2014/main" id="{DEB27513-9CF9-0148-3958-534D59C99F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8" name="Straight Connector 2667">
              <a:extLst>
                <a:ext uri="{FF2B5EF4-FFF2-40B4-BE49-F238E27FC236}">
                  <a16:creationId xmlns:a16="http://schemas.microsoft.com/office/drawing/2014/main" id="{8469553C-B2FC-7556-54F3-0AFFABCA779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69" name="Straight Connector 2668">
              <a:extLst>
                <a:ext uri="{FF2B5EF4-FFF2-40B4-BE49-F238E27FC236}">
                  <a16:creationId xmlns:a16="http://schemas.microsoft.com/office/drawing/2014/main" id="{02F2586F-F16F-DADC-D09B-8AA923D32C9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70" name="Straight Connector 2669">
              <a:extLst>
                <a:ext uri="{FF2B5EF4-FFF2-40B4-BE49-F238E27FC236}">
                  <a16:creationId xmlns:a16="http://schemas.microsoft.com/office/drawing/2014/main" id="{22B2BFAF-34CC-EC2F-2154-7AC91A3AF99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664" name="Straight Connector 2663">
            <a:extLst>
              <a:ext uri="{FF2B5EF4-FFF2-40B4-BE49-F238E27FC236}">
                <a16:creationId xmlns:a16="http://schemas.microsoft.com/office/drawing/2014/main" id="{7779EBE2-A54A-DE93-E750-62A3996B9F3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420515</xdr:colOff>
      <xdr:row>46</xdr:row>
      <xdr:rowOff>4233</xdr:rowOff>
    </xdr:from>
    <xdr:to>
      <xdr:col>16</xdr:col>
      <xdr:colOff>46570</xdr:colOff>
      <xdr:row>48</xdr:row>
      <xdr:rowOff>173567</xdr:rowOff>
    </xdr:to>
    <xdr:sp macro="" textlink="">
      <xdr:nvSpPr>
        <xdr:cNvPr id="2671" name="Isosceles Triangle 2670">
          <a:extLst>
            <a:ext uri="{FF2B5EF4-FFF2-40B4-BE49-F238E27FC236}">
              <a16:creationId xmlns:a16="http://schemas.microsoft.com/office/drawing/2014/main" id="{A59A5A72-A548-4ECF-BC6D-A898CB26CDEC}"/>
            </a:ext>
          </a:extLst>
        </xdr:cNvPr>
        <xdr:cNvSpPr/>
      </xdr:nvSpPr>
      <xdr:spPr>
        <a:xfrm>
          <a:off x="11690495" y="4705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420515</xdr:colOff>
      <xdr:row>46</xdr:row>
      <xdr:rowOff>13304</xdr:rowOff>
    </xdr:from>
    <xdr:to>
      <xdr:col>16</xdr:col>
      <xdr:colOff>46569</xdr:colOff>
      <xdr:row>49</xdr:row>
      <xdr:rowOff>1210</xdr:rowOff>
    </xdr:to>
    <xdr:sp macro="" textlink="">
      <xdr:nvSpPr>
        <xdr:cNvPr id="2672" name="Isosceles Triangle 2671">
          <a:extLst>
            <a:ext uri="{FF2B5EF4-FFF2-40B4-BE49-F238E27FC236}">
              <a16:creationId xmlns:a16="http://schemas.microsoft.com/office/drawing/2014/main" id="{8A882C54-D958-4E93-AA6B-1B1A174EBABC}"/>
            </a:ext>
          </a:extLst>
        </xdr:cNvPr>
        <xdr:cNvSpPr/>
      </xdr:nvSpPr>
      <xdr:spPr>
        <a:xfrm>
          <a:off x="11690495" y="471484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288640</xdr:colOff>
      <xdr:row>45</xdr:row>
      <xdr:rowOff>173181</xdr:rowOff>
    </xdr:from>
    <xdr:to>
      <xdr:col>17</xdr:col>
      <xdr:colOff>294410</xdr:colOff>
      <xdr:row>46</xdr:row>
      <xdr:rowOff>121226</xdr:rowOff>
    </xdr:to>
    <xdr:sp macro="" textlink="">
      <xdr:nvSpPr>
        <xdr:cNvPr id="2673" name="Freeform 10707">
          <a:extLst>
            <a:ext uri="{FF2B5EF4-FFF2-40B4-BE49-F238E27FC236}">
              <a16:creationId xmlns:a16="http://schemas.microsoft.com/office/drawing/2014/main" id="{A6BDCC0A-5AB2-4516-AF23-5D087406C478}"/>
            </a:ext>
          </a:extLst>
        </xdr:cNvPr>
        <xdr:cNvSpPr>
          <a:spLocks/>
        </xdr:cNvSpPr>
      </xdr:nvSpPr>
      <xdr:spPr bwMode="auto">
        <a:xfrm>
          <a:off x="120158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16</xdr:col>
      <xdr:colOff>417692</xdr:colOff>
      <xdr:row>46</xdr:row>
      <xdr:rowOff>6557</xdr:rowOff>
    </xdr:from>
    <xdr:to>
      <xdr:col>18</xdr:col>
      <xdr:colOff>43746</xdr:colOff>
      <xdr:row>48</xdr:row>
      <xdr:rowOff>169831</xdr:rowOff>
    </xdr:to>
    <xdr:sp macro="" textlink="">
      <xdr:nvSpPr>
        <xdr:cNvPr id="2674" name="Isosceles Triangle 2673">
          <a:extLst>
            <a:ext uri="{FF2B5EF4-FFF2-40B4-BE49-F238E27FC236}">
              <a16:creationId xmlns:a16="http://schemas.microsoft.com/office/drawing/2014/main" id="{65E5BDE4-F6D8-44C3-8106-06BFC15FA5F5}"/>
            </a:ext>
          </a:extLst>
        </xdr:cNvPr>
        <xdr:cNvSpPr/>
      </xdr:nvSpPr>
      <xdr:spPr>
        <a:xfrm>
          <a:off x="12723992" y="4708097"/>
          <a:ext cx="662374" cy="498554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288640</xdr:colOff>
      <xdr:row>45</xdr:row>
      <xdr:rowOff>173181</xdr:rowOff>
    </xdr:from>
    <xdr:to>
      <xdr:col>19</xdr:col>
      <xdr:colOff>294410</xdr:colOff>
      <xdr:row>46</xdr:row>
      <xdr:rowOff>121226</xdr:rowOff>
    </xdr:to>
    <xdr:sp macro="" textlink="">
      <xdr:nvSpPr>
        <xdr:cNvPr id="2675" name="Freeform 10707">
          <a:extLst>
            <a:ext uri="{FF2B5EF4-FFF2-40B4-BE49-F238E27FC236}">
              <a16:creationId xmlns:a16="http://schemas.microsoft.com/office/drawing/2014/main" id="{62DBB31B-0E22-419D-A777-4F5FCE76E2C3}"/>
            </a:ext>
          </a:extLst>
        </xdr:cNvPr>
        <xdr:cNvSpPr>
          <a:spLocks/>
        </xdr:cNvSpPr>
      </xdr:nvSpPr>
      <xdr:spPr bwMode="auto">
        <a:xfrm>
          <a:off x="130521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18</xdr:col>
      <xdr:colOff>420515</xdr:colOff>
      <xdr:row>46</xdr:row>
      <xdr:rowOff>13304</xdr:rowOff>
    </xdr:from>
    <xdr:to>
      <xdr:col>20</xdr:col>
      <xdr:colOff>46570</xdr:colOff>
      <xdr:row>49</xdr:row>
      <xdr:rowOff>1210</xdr:rowOff>
    </xdr:to>
    <xdr:sp macro="" textlink="">
      <xdr:nvSpPr>
        <xdr:cNvPr id="2676" name="Isosceles Triangle 2675">
          <a:extLst>
            <a:ext uri="{FF2B5EF4-FFF2-40B4-BE49-F238E27FC236}">
              <a16:creationId xmlns:a16="http://schemas.microsoft.com/office/drawing/2014/main" id="{4EBB3C2A-D348-48FA-88C5-B6021AB744A0}"/>
            </a:ext>
          </a:extLst>
        </xdr:cNvPr>
        <xdr:cNvSpPr/>
      </xdr:nvSpPr>
      <xdr:spPr>
        <a:xfrm>
          <a:off x="13763135" y="4714844"/>
          <a:ext cx="662375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288640</xdr:colOff>
      <xdr:row>45</xdr:row>
      <xdr:rowOff>173181</xdr:rowOff>
    </xdr:from>
    <xdr:to>
      <xdr:col>21</xdr:col>
      <xdr:colOff>294410</xdr:colOff>
      <xdr:row>46</xdr:row>
      <xdr:rowOff>121226</xdr:rowOff>
    </xdr:to>
    <xdr:sp macro="" textlink="">
      <xdr:nvSpPr>
        <xdr:cNvPr id="2677" name="Freeform 10707">
          <a:extLst>
            <a:ext uri="{FF2B5EF4-FFF2-40B4-BE49-F238E27FC236}">
              <a16:creationId xmlns:a16="http://schemas.microsoft.com/office/drawing/2014/main" id="{DED18045-210F-4C42-8977-CCDCD684E64D}"/>
            </a:ext>
          </a:extLst>
        </xdr:cNvPr>
        <xdr:cNvSpPr>
          <a:spLocks/>
        </xdr:cNvSpPr>
      </xdr:nvSpPr>
      <xdr:spPr bwMode="auto">
        <a:xfrm>
          <a:off x="1408846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20</xdr:col>
      <xdr:colOff>416278</xdr:colOff>
      <xdr:row>46</xdr:row>
      <xdr:rowOff>7056</xdr:rowOff>
    </xdr:from>
    <xdr:to>
      <xdr:col>22</xdr:col>
      <xdr:colOff>42332</xdr:colOff>
      <xdr:row>49</xdr:row>
      <xdr:rowOff>1</xdr:rowOff>
    </xdr:to>
    <xdr:sp macro="" textlink="">
      <xdr:nvSpPr>
        <xdr:cNvPr id="2678" name="Isosceles Triangle 2677">
          <a:extLst>
            <a:ext uri="{FF2B5EF4-FFF2-40B4-BE49-F238E27FC236}">
              <a16:creationId xmlns:a16="http://schemas.microsoft.com/office/drawing/2014/main" id="{5F6FC1AB-CC3C-4DD2-A528-30A0D84F001F}"/>
            </a:ext>
          </a:extLst>
        </xdr:cNvPr>
        <xdr:cNvSpPr/>
      </xdr:nvSpPr>
      <xdr:spPr>
        <a:xfrm>
          <a:off x="14326062" y="4638177"/>
          <a:ext cx="627822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21</xdr:col>
      <xdr:colOff>288640</xdr:colOff>
      <xdr:row>45</xdr:row>
      <xdr:rowOff>173181</xdr:rowOff>
    </xdr:from>
    <xdr:to>
      <xdr:col>23</xdr:col>
      <xdr:colOff>294410</xdr:colOff>
      <xdr:row>46</xdr:row>
      <xdr:rowOff>121226</xdr:rowOff>
    </xdr:to>
    <xdr:sp macro="" textlink="">
      <xdr:nvSpPr>
        <xdr:cNvPr id="2679" name="Freeform 10707">
          <a:extLst>
            <a:ext uri="{FF2B5EF4-FFF2-40B4-BE49-F238E27FC236}">
              <a16:creationId xmlns:a16="http://schemas.microsoft.com/office/drawing/2014/main" id="{0B76092B-F62D-4247-A4B3-E6B739FC0C15}"/>
            </a:ext>
          </a:extLst>
        </xdr:cNvPr>
        <xdr:cNvSpPr>
          <a:spLocks/>
        </xdr:cNvSpPr>
      </xdr:nvSpPr>
      <xdr:spPr bwMode="auto">
        <a:xfrm>
          <a:off x="151247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</xdr:col>
      <xdr:colOff>413657</xdr:colOff>
      <xdr:row>82</xdr:row>
      <xdr:rowOff>7055</xdr:rowOff>
    </xdr:from>
    <xdr:to>
      <xdr:col>4</xdr:col>
      <xdr:colOff>49392</xdr:colOff>
      <xdr:row>85</xdr:row>
      <xdr:rowOff>0</xdr:rowOff>
    </xdr:to>
    <xdr:sp macro="" textlink="">
      <xdr:nvSpPr>
        <xdr:cNvPr id="2680" name="Isosceles Triangle 2679">
          <a:extLst>
            <a:ext uri="{FF2B5EF4-FFF2-40B4-BE49-F238E27FC236}">
              <a16:creationId xmlns:a16="http://schemas.microsoft.com/office/drawing/2014/main" id="{4FB4CE30-9634-43A2-A034-F76832301E27}"/>
            </a:ext>
          </a:extLst>
        </xdr:cNvPr>
        <xdr:cNvSpPr/>
      </xdr:nvSpPr>
      <xdr:spPr>
        <a:xfrm>
          <a:off x="5458097" y="11315135"/>
          <a:ext cx="67205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4233</xdr:rowOff>
    </xdr:from>
    <xdr:to>
      <xdr:col>6</xdr:col>
      <xdr:colOff>46570</xdr:colOff>
      <xdr:row>84</xdr:row>
      <xdr:rowOff>173567</xdr:rowOff>
    </xdr:to>
    <xdr:sp macro="" textlink="">
      <xdr:nvSpPr>
        <xdr:cNvPr id="2681" name="Isosceles Triangle 2680">
          <a:extLst>
            <a:ext uri="{FF2B5EF4-FFF2-40B4-BE49-F238E27FC236}">
              <a16:creationId xmlns:a16="http://schemas.microsoft.com/office/drawing/2014/main" id="{2D1F802B-A47D-4FB4-ACEE-704E1E3BEF1A}"/>
            </a:ext>
          </a:extLst>
        </xdr:cNvPr>
        <xdr:cNvSpPr/>
      </xdr:nvSpPr>
      <xdr:spPr>
        <a:xfrm>
          <a:off x="6501275" y="113123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82</xdr:row>
      <xdr:rowOff>13304</xdr:rowOff>
    </xdr:from>
    <xdr:to>
      <xdr:col>10</xdr:col>
      <xdr:colOff>46570</xdr:colOff>
      <xdr:row>85</xdr:row>
      <xdr:rowOff>1210</xdr:rowOff>
    </xdr:to>
    <xdr:sp macro="" textlink="">
      <xdr:nvSpPr>
        <xdr:cNvPr id="2682" name="Isosceles Triangle 2681">
          <a:extLst>
            <a:ext uri="{FF2B5EF4-FFF2-40B4-BE49-F238E27FC236}">
              <a16:creationId xmlns:a16="http://schemas.microsoft.com/office/drawing/2014/main" id="{1A59ACBC-348F-4FEC-98A3-8C623C373FEF}"/>
            </a:ext>
          </a:extLst>
        </xdr:cNvPr>
        <xdr:cNvSpPr/>
      </xdr:nvSpPr>
      <xdr:spPr>
        <a:xfrm>
          <a:off x="8573915" y="11321384"/>
          <a:ext cx="66999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82</xdr:row>
      <xdr:rowOff>13304</xdr:rowOff>
    </xdr:from>
    <xdr:to>
      <xdr:col>6</xdr:col>
      <xdr:colOff>46569</xdr:colOff>
      <xdr:row>85</xdr:row>
      <xdr:rowOff>1210</xdr:rowOff>
    </xdr:to>
    <xdr:sp macro="" textlink="">
      <xdr:nvSpPr>
        <xdr:cNvPr id="2683" name="Isosceles Triangle 2682">
          <a:extLst>
            <a:ext uri="{FF2B5EF4-FFF2-40B4-BE49-F238E27FC236}">
              <a16:creationId xmlns:a16="http://schemas.microsoft.com/office/drawing/2014/main" id="{F8DC6BAD-6FBD-4DB7-A174-BEF4DFD1F15B}"/>
            </a:ext>
          </a:extLst>
        </xdr:cNvPr>
        <xdr:cNvSpPr/>
      </xdr:nvSpPr>
      <xdr:spPr>
        <a:xfrm>
          <a:off x="6501275" y="11321384"/>
          <a:ext cx="662374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82</xdr:row>
      <xdr:rowOff>15522</xdr:rowOff>
    </xdr:from>
    <xdr:to>
      <xdr:col>8</xdr:col>
      <xdr:colOff>43746</xdr:colOff>
      <xdr:row>85</xdr:row>
      <xdr:rowOff>8467</xdr:rowOff>
    </xdr:to>
    <xdr:sp macro="" textlink="">
      <xdr:nvSpPr>
        <xdr:cNvPr id="2684" name="Isosceles Triangle 2683">
          <a:extLst>
            <a:ext uri="{FF2B5EF4-FFF2-40B4-BE49-F238E27FC236}">
              <a16:creationId xmlns:a16="http://schemas.microsoft.com/office/drawing/2014/main" id="{865D562F-2B10-43EF-ABEC-093FB29AB22B}"/>
            </a:ext>
          </a:extLst>
        </xdr:cNvPr>
        <xdr:cNvSpPr/>
      </xdr:nvSpPr>
      <xdr:spPr>
        <a:xfrm>
          <a:off x="7534772" y="113236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82</xdr:row>
      <xdr:rowOff>7056</xdr:rowOff>
    </xdr:from>
    <xdr:to>
      <xdr:col>12</xdr:col>
      <xdr:colOff>42332</xdr:colOff>
      <xdr:row>85</xdr:row>
      <xdr:rowOff>1</xdr:rowOff>
    </xdr:to>
    <xdr:sp macro="" textlink="">
      <xdr:nvSpPr>
        <xdr:cNvPr id="2685" name="Isosceles Triangle 2684">
          <a:extLst>
            <a:ext uri="{FF2B5EF4-FFF2-40B4-BE49-F238E27FC236}">
              <a16:creationId xmlns:a16="http://schemas.microsoft.com/office/drawing/2014/main" id="{D7531C73-A09D-44CF-B021-64624B6D426E}"/>
            </a:ext>
          </a:extLst>
        </xdr:cNvPr>
        <xdr:cNvSpPr/>
      </xdr:nvSpPr>
      <xdr:spPr>
        <a:xfrm>
          <a:off x="961361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82</xdr:row>
      <xdr:rowOff>18345</xdr:rowOff>
    </xdr:from>
    <xdr:to>
      <xdr:col>14</xdr:col>
      <xdr:colOff>39510</xdr:colOff>
      <xdr:row>85</xdr:row>
      <xdr:rowOff>11290</xdr:rowOff>
    </xdr:to>
    <xdr:sp macro="" textlink="">
      <xdr:nvSpPr>
        <xdr:cNvPr id="2686" name="Isosceles Triangle 2685">
          <a:extLst>
            <a:ext uri="{FF2B5EF4-FFF2-40B4-BE49-F238E27FC236}">
              <a16:creationId xmlns:a16="http://schemas.microsoft.com/office/drawing/2014/main" id="{A1E92D72-9C76-43DF-9DBD-CC53736F9E5A}"/>
            </a:ext>
          </a:extLst>
        </xdr:cNvPr>
        <xdr:cNvSpPr/>
      </xdr:nvSpPr>
      <xdr:spPr>
        <a:xfrm>
          <a:off x="1064711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82</xdr:row>
      <xdr:rowOff>7056</xdr:rowOff>
    </xdr:from>
    <xdr:to>
      <xdr:col>16</xdr:col>
      <xdr:colOff>42332</xdr:colOff>
      <xdr:row>85</xdr:row>
      <xdr:rowOff>1</xdr:rowOff>
    </xdr:to>
    <xdr:sp macro="" textlink="">
      <xdr:nvSpPr>
        <xdr:cNvPr id="2687" name="Isosceles Triangle 2686">
          <a:extLst>
            <a:ext uri="{FF2B5EF4-FFF2-40B4-BE49-F238E27FC236}">
              <a16:creationId xmlns:a16="http://schemas.microsoft.com/office/drawing/2014/main" id="{2D395DD5-6006-4635-BF6B-32ACA595A5CD}"/>
            </a:ext>
          </a:extLst>
        </xdr:cNvPr>
        <xdr:cNvSpPr/>
      </xdr:nvSpPr>
      <xdr:spPr>
        <a:xfrm>
          <a:off x="11686258" y="113151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82</xdr:row>
      <xdr:rowOff>18345</xdr:rowOff>
    </xdr:from>
    <xdr:to>
      <xdr:col>18</xdr:col>
      <xdr:colOff>39510</xdr:colOff>
      <xdr:row>85</xdr:row>
      <xdr:rowOff>11290</xdr:rowOff>
    </xdr:to>
    <xdr:sp macro="" textlink="">
      <xdr:nvSpPr>
        <xdr:cNvPr id="2688" name="Isosceles Triangle 2687">
          <a:extLst>
            <a:ext uri="{FF2B5EF4-FFF2-40B4-BE49-F238E27FC236}">
              <a16:creationId xmlns:a16="http://schemas.microsoft.com/office/drawing/2014/main" id="{BBF98044-A16C-4D27-AE32-809B2BAC0EA7}"/>
            </a:ext>
          </a:extLst>
        </xdr:cNvPr>
        <xdr:cNvSpPr/>
      </xdr:nvSpPr>
      <xdr:spPr>
        <a:xfrm>
          <a:off x="12719756" y="113264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82</xdr:row>
      <xdr:rowOff>7056</xdr:rowOff>
    </xdr:from>
    <xdr:to>
      <xdr:col>20</xdr:col>
      <xdr:colOff>42332</xdr:colOff>
      <xdr:row>85</xdr:row>
      <xdr:rowOff>1</xdr:rowOff>
    </xdr:to>
    <xdr:sp macro="" textlink="">
      <xdr:nvSpPr>
        <xdr:cNvPr id="2689" name="Isosceles Triangle 2688">
          <a:extLst>
            <a:ext uri="{FF2B5EF4-FFF2-40B4-BE49-F238E27FC236}">
              <a16:creationId xmlns:a16="http://schemas.microsoft.com/office/drawing/2014/main" id="{A4BB9B6E-C117-4BC9-91B4-128384DC004C}"/>
            </a:ext>
          </a:extLst>
        </xdr:cNvPr>
        <xdr:cNvSpPr/>
      </xdr:nvSpPr>
      <xdr:spPr>
        <a:xfrm>
          <a:off x="13758898" y="113151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82</xdr:row>
      <xdr:rowOff>18345</xdr:rowOff>
    </xdr:from>
    <xdr:to>
      <xdr:col>22</xdr:col>
      <xdr:colOff>39510</xdr:colOff>
      <xdr:row>85</xdr:row>
      <xdr:rowOff>11290</xdr:rowOff>
    </xdr:to>
    <xdr:sp macro="" textlink="">
      <xdr:nvSpPr>
        <xdr:cNvPr id="2690" name="Isosceles Triangle 2689">
          <a:extLst>
            <a:ext uri="{FF2B5EF4-FFF2-40B4-BE49-F238E27FC236}">
              <a16:creationId xmlns:a16="http://schemas.microsoft.com/office/drawing/2014/main" id="{4D76CFD7-3B3B-4B3A-84A1-4AE2A540827A}"/>
            </a:ext>
          </a:extLst>
        </xdr:cNvPr>
        <xdr:cNvSpPr/>
      </xdr:nvSpPr>
      <xdr:spPr>
        <a:xfrm>
          <a:off x="14792396" y="1132642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81</xdr:row>
      <xdr:rowOff>173181</xdr:rowOff>
    </xdr:from>
    <xdr:to>
      <xdr:col>5</xdr:col>
      <xdr:colOff>294410</xdr:colOff>
      <xdr:row>82</xdr:row>
      <xdr:rowOff>121226</xdr:rowOff>
    </xdr:to>
    <xdr:sp macro="" textlink="">
      <xdr:nvSpPr>
        <xdr:cNvPr id="2691" name="Freeform 10707">
          <a:extLst>
            <a:ext uri="{FF2B5EF4-FFF2-40B4-BE49-F238E27FC236}">
              <a16:creationId xmlns:a16="http://schemas.microsoft.com/office/drawing/2014/main" id="{2C0D7E6C-65D8-4B6B-A86D-F698468C14D8}"/>
            </a:ext>
          </a:extLst>
        </xdr:cNvPr>
        <xdr:cNvSpPr>
          <a:spLocks/>
        </xdr:cNvSpPr>
      </xdr:nvSpPr>
      <xdr:spPr bwMode="auto">
        <a:xfrm>
          <a:off x="57902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81</xdr:row>
      <xdr:rowOff>173181</xdr:rowOff>
    </xdr:from>
    <xdr:to>
      <xdr:col>7</xdr:col>
      <xdr:colOff>294410</xdr:colOff>
      <xdr:row>82</xdr:row>
      <xdr:rowOff>121226</xdr:rowOff>
    </xdr:to>
    <xdr:sp macro="" textlink="">
      <xdr:nvSpPr>
        <xdr:cNvPr id="2692" name="Freeform 10707">
          <a:extLst>
            <a:ext uri="{FF2B5EF4-FFF2-40B4-BE49-F238E27FC236}">
              <a16:creationId xmlns:a16="http://schemas.microsoft.com/office/drawing/2014/main" id="{207EC92B-5B40-4D04-AF28-6973E8CCB200}"/>
            </a:ext>
          </a:extLst>
        </xdr:cNvPr>
        <xdr:cNvSpPr>
          <a:spLocks/>
        </xdr:cNvSpPr>
      </xdr:nvSpPr>
      <xdr:spPr bwMode="auto">
        <a:xfrm>
          <a:off x="68266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81</xdr:row>
      <xdr:rowOff>173181</xdr:rowOff>
    </xdr:from>
    <xdr:to>
      <xdr:col>9</xdr:col>
      <xdr:colOff>294410</xdr:colOff>
      <xdr:row>82</xdr:row>
      <xdr:rowOff>121226</xdr:rowOff>
    </xdr:to>
    <xdr:sp macro="" textlink="">
      <xdr:nvSpPr>
        <xdr:cNvPr id="2693" name="Freeform 10707">
          <a:extLst>
            <a:ext uri="{FF2B5EF4-FFF2-40B4-BE49-F238E27FC236}">
              <a16:creationId xmlns:a16="http://schemas.microsoft.com/office/drawing/2014/main" id="{4C1C172D-E486-48A4-B454-54FB3823A530}"/>
            </a:ext>
          </a:extLst>
        </xdr:cNvPr>
        <xdr:cNvSpPr>
          <a:spLocks/>
        </xdr:cNvSpPr>
      </xdr:nvSpPr>
      <xdr:spPr bwMode="auto">
        <a:xfrm>
          <a:off x="78629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81</xdr:row>
      <xdr:rowOff>173181</xdr:rowOff>
    </xdr:from>
    <xdr:to>
      <xdr:col>11</xdr:col>
      <xdr:colOff>294410</xdr:colOff>
      <xdr:row>82</xdr:row>
      <xdr:rowOff>121226</xdr:rowOff>
    </xdr:to>
    <xdr:sp macro="" textlink="">
      <xdr:nvSpPr>
        <xdr:cNvPr id="2694" name="Freeform 10707">
          <a:extLst>
            <a:ext uri="{FF2B5EF4-FFF2-40B4-BE49-F238E27FC236}">
              <a16:creationId xmlns:a16="http://schemas.microsoft.com/office/drawing/2014/main" id="{CB8D6B24-C917-488B-9CCD-0A47C8084BA3}"/>
            </a:ext>
          </a:extLst>
        </xdr:cNvPr>
        <xdr:cNvSpPr>
          <a:spLocks/>
        </xdr:cNvSpPr>
      </xdr:nvSpPr>
      <xdr:spPr bwMode="auto">
        <a:xfrm>
          <a:off x="8899240" y="113060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81</xdr:row>
      <xdr:rowOff>173181</xdr:rowOff>
    </xdr:from>
    <xdr:to>
      <xdr:col>13</xdr:col>
      <xdr:colOff>294410</xdr:colOff>
      <xdr:row>82</xdr:row>
      <xdr:rowOff>121226</xdr:rowOff>
    </xdr:to>
    <xdr:sp macro="" textlink="">
      <xdr:nvSpPr>
        <xdr:cNvPr id="2695" name="Freeform 10707">
          <a:extLst>
            <a:ext uri="{FF2B5EF4-FFF2-40B4-BE49-F238E27FC236}">
              <a16:creationId xmlns:a16="http://schemas.microsoft.com/office/drawing/2014/main" id="{66B5F8B2-87D0-4CEE-A1D8-03F485C97623}"/>
            </a:ext>
          </a:extLst>
        </xdr:cNvPr>
        <xdr:cNvSpPr>
          <a:spLocks/>
        </xdr:cNvSpPr>
      </xdr:nvSpPr>
      <xdr:spPr bwMode="auto">
        <a:xfrm>
          <a:off x="99431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81</xdr:row>
      <xdr:rowOff>173181</xdr:rowOff>
    </xdr:from>
    <xdr:to>
      <xdr:col>15</xdr:col>
      <xdr:colOff>294410</xdr:colOff>
      <xdr:row>82</xdr:row>
      <xdr:rowOff>121226</xdr:rowOff>
    </xdr:to>
    <xdr:sp macro="" textlink="">
      <xdr:nvSpPr>
        <xdr:cNvPr id="2696" name="Freeform 10707">
          <a:extLst>
            <a:ext uri="{FF2B5EF4-FFF2-40B4-BE49-F238E27FC236}">
              <a16:creationId xmlns:a16="http://schemas.microsoft.com/office/drawing/2014/main" id="{E13AC847-D416-4F32-9DD0-EB9AFBD221A5}"/>
            </a:ext>
          </a:extLst>
        </xdr:cNvPr>
        <xdr:cNvSpPr>
          <a:spLocks/>
        </xdr:cNvSpPr>
      </xdr:nvSpPr>
      <xdr:spPr bwMode="auto">
        <a:xfrm>
          <a:off x="1097950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81</xdr:row>
      <xdr:rowOff>173181</xdr:rowOff>
    </xdr:from>
    <xdr:to>
      <xdr:col>17</xdr:col>
      <xdr:colOff>294410</xdr:colOff>
      <xdr:row>82</xdr:row>
      <xdr:rowOff>121226</xdr:rowOff>
    </xdr:to>
    <xdr:sp macro="" textlink="">
      <xdr:nvSpPr>
        <xdr:cNvPr id="2697" name="Freeform 10707">
          <a:extLst>
            <a:ext uri="{FF2B5EF4-FFF2-40B4-BE49-F238E27FC236}">
              <a16:creationId xmlns:a16="http://schemas.microsoft.com/office/drawing/2014/main" id="{CA5F3B13-1112-4A84-8F0F-B0CCC40FE461}"/>
            </a:ext>
          </a:extLst>
        </xdr:cNvPr>
        <xdr:cNvSpPr>
          <a:spLocks/>
        </xdr:cNvSpPr>
      </xdr:nvSpPr>
      <xdr:spPr bwMode="auto">
        <a:xfrm>
          <a:off x="1201582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81</xdr:row>
      <xdr:rowOff>173181</xdr:rowOff>
    </xdr:from>
    <xdr:to>
      <xdr:col>19</xdr:col>
      <xdr:colOff>294410</xdr:colOff>
      <xdr:row>82</xdr:row>
      <xdr:rowOff>121226</xdr:rowOff>
    </xdr:to>
    <xdr:sp macro="" textlink="">
      <xdr:nvSpPr>
        <xdr:cNvPr id="2698" name="Freeform 10707">
          <a:extLst>
            <a:ext uri="{FF2B5EF4-FFF2-40B4-BE49-F238E27FC236}">
              <a16:creationId xmlns:a16="http://schemas.microsoft.com/office/drawing/2014/main" id="{C14329C0-D151-4DF9-BB8A-CF2DDF25E81A}"/>
            </a:ext>
          </a:extLst>
        </xdr:cNvPr>
        <xdr:cNvSpPr>
          <a:spLocks/>
        </xdr:cNvSpPr>
      </xdr:nvSpPr>
      <xdr:spPr bwMode="auto">
        <a:xfrm>
          <a:off x="1305214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81</xdr:row>
      <xdr:rowOff>173181</xdr:rowOff>
    </xdr:from>
    <xdr:to>
      <xdr:col>21</xdr:col>
      <xdr:colOff>294410</xdr:colOff>
      <xdr:row>82</xdr:row>
      <xdr:rowOff>121226</xdr:rowOff>
    </xdr:to>
    <xdr:sp macro="" textlink="">
      <xdr:nvSpPr>
        <xdr:cNvPr id="2699" name="Freeform 10707">
          <a:extLst>
            <a:ext uri="{FF2B5EF4-FFF2-40B4-BE49-F238E27FC236}">
              <a16:creationId xmlns:a16="http://schemas.microsoft.com/office/drawing/2014/main" id="{744A68B1-E386-4A09-9467-E9CB11708C66}"/>
            </a:ext>
          </a:extLst>
        </xdr:cNvPr>
        <xdr:cNvSpPr>
          <a:spLocks/>
        </xdr:cNvSpPr>
      </xdr:nvSpPr>
      <xdr:spPr bwMode="auto">
        <a:xfrm>
          <a:off x="1408846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81</xdr:row>
      <xdr:rowOff>173181</xdr:rowOff>
    </xdr:from>
    <xdr:to>
      <xdr:col>23</xdr:col>
      <xdr:colOff>294410</xdr:colOff>
      <xdr:row>82</xdr:row>
      <xdr:rowOff>121226</xdr:rowOff>
    </xdr:to>
    <xdr:sp macro="" textlink="">
      <xdr:nvSpPr>
        <xdr:cNvPr id="2700" name="Freeform 10707">
          <a:extLst>
            <a:ext uri="{FF2B5EF4-FFF2-40B4-BE49-F238E27FC236}">
              <a16:creationId xmlns:a16="http://schemas.microsoft.com/office/drawing/2014/main" id="{567F711E-2255-4B2E-80CE-F97695E1B87C}"/>
            </a:ext>
          </a:extLst>
        </xdr:cNvPr>
        <xdr:cNvSpPr>
          <a:spLocks/>
        </xdr:cNvSpPr>
      </xdr:nvSpPr>
      <xdr:spPr bwMode="auto">
        <a:xfrm>
          <a:off x="15124780" y="113060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34</xdr:col>
      <xdr:colOff>179614</xdr:colOff>
      <xdr:row>83</xdr:row>
      <xdr:rowOff>125184</xdr:rowOff>
    </xdr:from>
    <xdr:to>
      <xdr:col>34</xdr:col>
      <xdr:colOff>236764</xdr:colOff>
      <xdr:row>86</xdr:row>
      <xdr:rowOff>80734</xdr:rowOff>
    </xdr:to>
    <xdr:sp macro="" textlink="">
      <xdr:nvSpPr>
        <xdr:cNvPr id="2701" name="Rectangle 11590" descr="Light horizontal">
          <a:extLst>
            <a:ext uri="{FF2B5EF4-FFF2-40B4-BE49-F238E27FC236}">
              <a16:creationId xmlns:a16="http://schemas.microsoft.com/office/drawing/2014/main" id="{3FA9DCB9-117C-46E8-AC66-BAF5064C1A0D}"/>
            </a:ext>
          </a:extLst>
        </xdr:cNvPr>
        <xdr:cNvSpPr>
          <a:spLocks noChangeArrowheads="1"/>
        </xdr:cNvSpPr>
      </xdr:nvSpPr>
      <xdr:spPr bwMode="auto">
        <a:xfrm>
          <a:off x="16291560" y="11600904"/>
          <a:ext cx="0" cy="466090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261257</xdr:colOff>
      <xdr:row>80</xdr:row>
      <xdr:rowOff>108855</xdr:rowOff>
    </xdr:from>
    <xdr:to>
      <xdr:col>37</xdr:col>
      <xdr:colOff>87086</xdr:colOff>
      <xdr:row>81</xdr:row>
      <xdr:rowOff>150475</xdr:rowOff>
    </xdr:to>
    <xdr:sp macro="" textlink="">
      <xdr:nvSpPr>
        <xdr:cNvPr id="2702" name="Arrow: Curved Down 2701">
          <a:extLst>
            <a:ext uri="{FF2B5EF4-FFF2-40B4-BE49-F238E27FC236}">
              <a16:creationId xmlns:a16="http://schemas.microsoft.com/office/drawing/2014/main" id="{EC4FD434-A384-4EF1-B16F-882B333B2A8C}"/>
            </a:ext>
          </a:extLst>
        </xdr:cNvPr>
        <xdr:cNvSpPr/>
      </xdr:nvSpPr>
      <xdr:spPr>
        <a:xfrm>
          <a:off x="16291560" y="11081655"/>
          <a:ext cx="0" cy="209260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108</xdr:col>
      <xdr:colOff>54429</xdr:colOff>
      <xdr:row>95</xdr:row>
      <xdr:rowOff>10885</xdr:rowOff>
    </xdr:from>
    <xdr:to>
      <xdr:col>113</xdr:col>
      <xdr:colOff>315686</xdr:colOff>
      <xdr:row>96</xdr:row>
      <xdr:rowOff>128704</xdr:rowOff>
    </xdr:to>
    <xdr:sp macro="" textlink="">
      <xdr:nvSpPr>
        <xdr:cNvPr id="2703" name="Arrow: Curved Down 2702">
          <a:extLst>
            <a:ext uri="{FF2B5EF4-FFF2-40B4-BE49-F238E27FC236}">
              <a16:creationId xmlns:a16="http://schemas.microsoft.com/office/drawing/2014/main" id="{B555555B-DFFA-4AA1-8391-F02E3629815D}"/>
            </a:ext>
          </a:extLst>
        </xdr:cNvPr>
        <xdr:cNvSpPr/>
      </xdr:nvSpPr>
      <xdr:spPr>
        <a:xfrm>
          <a:off x="37148589" y="13513525"/>
          <a:ext cx="3233057" cy="285459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288640</xdr:colOff>
      <xdr:row>33</xdr:row>
      <xdr:rowOff>173181</xdr:rowOff>
    </xdr:from>
    <xdr:to>
      <xdr:col>25</xdr:col>
      <xdr:colOff>294410</xdr:colOff>
      <xdr:row>34</xdr:row>
      <xdr:rowOff>121226</xdr:rowOff>
    </xdr:to>
    <xdr:sp macro="" textlink="">
      <xdr:nvSpPr>
        <xdr:cNvPr id="2711" name="Freeform 10707">
          <a:extLst>
            <a:ext uri="{FF2B5EF4-FFF2-40B4-BE49-F238E27FC236}">
              <a16:creationId xmlns:a16="http://schemas.microsoft.com/office/drawing/2014/main" id="{0ACE2214-75CB-4295-9BCA-2062050B2AE8}"/>
            </a:ext>
          </a:extLst>
        </xdr:cNvPr>
        <xdr:cNvSpPr>
          <a:spLocks/>
        </xdr:cNvSpPr>
      </xdr:nvSpPr>
      <xdr:spPr bwMode="auto">
        <a:xfrm>
          <a:off x="60868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33</xdr:row>
      <xdr:rowOff>173181</xdr:rowOff>
    </xdr:from>
    <xdr:to>
      <xdr:col>27</xdr:col>
      <xdr:colOff>294410</xdr:colOff>
      <xdr:row>34</xdr:row>
      <xdr:rowOff>121226</xdr:rowOff>
    </xdr:to>
    <xdr:sp macro="" textlink="">
      <xdr:nvSpPr>
        <xdr:cNvPr id="2712" name="Freeform 10707">
          <a:extLst>
            <a:ext uri="{FF2B5EF4-FFF2-40B4-BE49-F238E27FC236}">
              <a16:creationId xmlns:a16="http://schemas.microsoft.com/office/drawing/2014/main" id="{0AF359FB-7D80-4962-905E-E5D52F59FC14}"/>
            </a:ext>
          </a:extLst>
        </xdr:cNvPr>
        <xdr:cNvSpPr>
          <a:spLocks/>
        </xdr:cNvSpPr>
      </xdr:nvSpPr>
      <xdr:spPr bwMode="auto">
        <a:xfrm>
          <a:off x="164500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33</xdr:row>
      <xdr:rowOff>173181</xdr:rowOff>
    </xdr:from>
    <xdr:to>
      <xdr:col>29</xdr:col>
      <xdr:colOff>294410</xdr:colOff>
      <xdr:row>34</xdr:row>
      <xdr:rowOff>121226</xdr:rowOff>
    </xdr:to>
    <xdr:sp macro="" textlink="">
      <xdr:nvSpPr>
        <xdr:cNvPr id="2713" name="Freeform 10707">
          <a:extLst>
            <a:ext uri="{FF2B5EF4-FFF2-40B4-BE49-F238E27FC236}">
              <a16:creationId xmlns:a16="http://schemas.microsoft.com/office/drawing/2014/main" id="{4A84C7C2-D5D3-47EA-954D-FF923D71C992}"/>
            </a:ext>
          </a:extLst>
        </xdr:cNvPr>
        <xdr:cNvSpPr>
          <a:spLocks/>
        </xdr:cNvSpPr>
      </xdr:nvSpPr>
      <xdr:spPr bwMode="auto">
        <a:xfrm>
          <a:off x="268132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33</xdr:row>
      <xdr:rowOff>173181</xdr:rowOff>
    </xdr:from>
    <xdr:to>
      <xdr:col>31</xdr:col>
      <xdr:colOff>294410</xdr:colOff>
      <xdr:row>34</xdr:row>
      <xdr:rowOff>121226</xdr:rowOff>
    </xdr:to>
    <xdr:sp macro="" textlink="">
      <xdr:nvSpPr>
        <xdr:cNvPr id="2714" name="Freeform 10707">
          <a:extLst>
            <a:ext uri="{FF2B5EF4-FFF2-40B4-BE49-F238E27FC236}">
              <a16:creationId xmlns:a16="http://schemas.microsoft.com/office/drawing/2014/main" id="{EC24BBC9-8111-4128-A04E-DDEFB4463D93}"/>
            </a:ext>
          </a:extLst>
        </xdr:cNvPr>
        <xdr:cNvSpPr>
          <a:spLocks/>
        </xdr:cNvSpPr>
      </xdr:nvSpPr>
      <xdr:spPr bwMode="auto">
        <a:xfrm>
          <a:off x="3717640" y="4699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22</xdr:col>
      <xdr:colOff>328546</xdr:colOff>
      <xdr:row>103</xdr:row>
      <xdr:rowOff>159455</xdr:rowOff>
    </xdr:from>
    <xdr:to>
      <xdr:col>24</xdr:col>
      <xdr:colOff>64493</xdr:colOff>
      <xdr:row>106</xdr:row>
      <xdr:rowOff>152400</xdr:rowOff>
    </xdr:to>
    <xdr:sp macro="" textlink="">
      <xdr:nvSpPr>
        <xdr:cNvPr id="2715" name="Isosceles Triangle 2714">
          <a:extLst>
            <a:ext uri="{FF2B5EF4-FFF2-40B4-BE49-F238E27FC236}">
              <a16:creationId xmlns:a16="http://schemas.microsoft.com/office/drawing/2014/main" id="{FE8F1EB4-CBF4-4B06-B784-EFDC27C74AD8}"/>
            </a:ext>
          </a:extLst>
        </xdr:cNvPr>
        <xdr:cNvSpPr/>
      </xdr:nvSpPr>
      <xdr:spPr>
        <a:xfrm>
          <a:off x="11202921" y="19145955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447409</xdr:colOff>
      <xdr:row>104</xdr:row>
      <xdr:rowOff>4233</xdr:rowOff>
    </xdr:from>
    <xdr:to>
      <xdr:col>26</xdr:col>
      <xdr:colOff>73463</xdr:colOff>
      <xdr:row>106</xdr:row>
      <xdr:rowOff>165947</xdr:rowOff>
    </xdr:to>
    <xdr:sp macro="" textlink="">
      <xdr:nvSpPr>
        <xdr:cNvPr id="2716" name="Isosceles Triangle 2715">
          <a:extLst>
            <a:ext uri="{FF2B5EF4-FFF2-40B4-BE49-F238E27FC236}">
              <a16:creationId xmlns:a16="http://schemas.microsoft.com/office/drawing/2014/main" id="{0BF445E2-576C-48F4-A819-CE986F453AE4}"/>
            </a:ext>
          </a:extLst>
        </xdr:cNvPr>
        <xdr:cNvSpPr/>
      </xdr:nvSpPr>
      <xdr:spPr>
        <a:xfrm>
          <a:off x="1346569" y="1689015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443172</xdr:colOff>
      <xdr:row>115</xdr:row>
      <xdr:rowOff>7056</xdr:rowOff>
    </xdr:from>
    <xdr:to>
      <xdr:col>2</xdr:col>
      <xdr:colOff>69226</xdr:colOff>
      <xdr:row>118</xdr:row>
      <xdr:rowOff>1</xdr:rowOff>
    </xdr:to>
    <xdr:sp macro="" textlink="">
      <xdr:nvSpPr>
        <xdr:cNvPr id="2717" name="Isosceles Triangle 2716">
          <a:extLst>
            <a:ext uri="{FF2B5EF4-FFF2-40B4-BE49-F238E27FC236}">
              <a16:creationId xmlns:a16="http://schemas.microsoft.com/office/drawing/2014/main" id="{34AA0A4A-59E0-41DC-859E-360D676A8789}"/>
            </a:ext>
          </a:extLst>
        </xdr:cNvPr>
        <xdr:cNvSpPr/>
      </xdr:nvSpPr>
      <xdr:spPr>
        <a:xfrm>
          <a:off x="445129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375237</xdr:colOff>
      <xdr:row>115</xdr:row>
      <xdr:rowOff>18345</xdr:rowOff>
    </xdr:from>
    <xdr:to>
      <xdr:col>4</xdr:col>
      <xdr:colOff>66404</xdr:colOff>
      <xdr:row>118</xdr:row>
      <xdr:rowOff>11290</xdr:rowOff>
    </xdr:to>
    <xdr:sp macro="" textlink="">
      <xdr:nvSpPr>
        <xdr:cNvPr id="2718" name="Isosceles Triangle 2717">
          <a:extLst>
            <a:ext uri="{FF2B5EF4-FFF2-40B4-BE49-F238E27FC236}">
              <a16:creationId xmlns:a16="http://schemas.microsoft.com/office/drawing/2014/main" id="{8A46A2AE-82A6-446C-8CA5-FC9209C4D913}"/>
            </a:ext>
          </a:extLst>
        </xdr:cNvPr>
        <xdr:cNvSpPr/>
      </xdr:nvSpPr>
      <xdr:spPr>
        <a:xfrm>
          <a:off x="5419677" y="1690426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443172</xdr:colOff>
      <xdr:row>115</xdr:row>
      <xdr:rowOff>7056</xdr:rowOff>
    </xdr:from>
    <xdr:to>
      <xdr:col>6</xdr:col>
      <xdr:colOff>69226</xdr:colOff>
      <xdr:row>118</xdr:row>
      <xdr:rowOff>1</xdr:rowOff>
    </xdr:to>
    <xdr:sp macro="" textlink="">
      <xdr:nvSpPr>
        <xdr:cNvPr id="2719" name="Isosceles Triangle 2718">
          <a:extLst>
            <a:ext uri="{FF2B5EF4-FFF2-40B4-BE49-F238E27FC236}">
              <a16:creationId xmlns:a16="http://schemas.microsoft.com/office/drawing/2014/main" id="{E8A44272-3CCE-44C3-B5BC-7BCFE972E96D}"/>
            </a:ext>
          </a:extLst>
        </xdr:cNvPr>
        <xdr:cNvSpPr/>
      </xdr:nvSpPr>
      <xdr:spPr>
        <a:xfrm>
          <a:off x="6523932" y="168929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115</xdr:row>
      <xdr:rowOff>7056</xdr:rowOff>
    </xdr:from>
    <xdr:to>
      <xdr:col>10</xdr:col>
      <xdr:colOff>69226</xdr:colOff>
      <xdr:row>118</xdr:row>
      <xdr:rowOff>1</xdr:rowOff>
    </xdr:to>
    <xdr:sp macro="" textlink="">
      <xdr:nvSpPr>
        <xdr:cNvPr id="2720" name="Isosceles Triangle 2719">
          <a:extLst>
            <a:ext uri="{FF2B5EF4-FFF2-40B4-BE49-F238E27FC236}">
              <a16:creationId xmlns:a16="http://schemas.microsoft.com/office/drawing/2014/main" id="{B9B490B4-76E4-428D-ADAF-2941C5DAEBD3}"/>
            </a:ext>
          </a:extLst>
        </xdr:cNvPr>
        <xdr:cNvSpPr/>
      </xdr:nvSpPr>
      <xdr:spPr>
        <a:xfrm>
          <a:off x="8596572" y="1689297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403412</xdr:colOff>
      <xdr:row>115</xdr:row>
      <xdr:rowOff>8964</xdr:rowOff>
    </xdr:from>
    <xdr:to>
      <xdr:col>8</xdr:col>
      <xdr:colOff>29467</xdr:colOff>
      <xdr:row>118</xdr:row>
      <xdr:rowOff>1909</xdr:rowOff>
    </xdr:to>
    <xdr:sp macro="" textlink="">
      <xdr:nvSpPr>
        <xdr:cNvPr id="2721" name="Isosceles Triangle 2720">
          <a:extLst>
            <a:ext uri="{FF2B5EF4-FFF2-40B4-BE49-F238E27FC236}">
              <a16:creationId xmlns:a16="http://schemas.microsoft.com/office/drawing/2014/main" id="{E9E2695F-3C19-4045-9A9D-5CF669ABCA8F}"/>
            </a:ext>
          </a:extLst>
        </xdr:cNvPr>
        <xdr:cNvSpPr/>
      </xdr:nvSpPr>
      <xdr:spPr>
        <a:xfrm>
          <a:off x="7520492" y="1689488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288640</xdr:colOff>
      <xdr:row>57</xdr:row>
      <xdr:rowOff>173181</xdr:rowOff>
    </xdr:from>
    <xdr:to>
      <xdr:col>31</xdr:col>
      <xdr:colOff>294410</xdr:colOff>
      <xdr:row>58</xdr:row>
      <xdr:rowOff>121226</xdr:rowOff>
    </xdr:to>
    <xdr:sp macro="" textlink="">
      <xdr:nvSpPr>
        <xdr:cNvPr id="2722" name="Freeform 10707">
          <a:extLst>
            <a:ext uri="{FF2B5EF4-FFF2-40B4-BE49-F238E27FC236}">
              <a16:creationId xmlns:a16="http://schemas.microsoft.com/office/drawing/2014/main" id="{47061650-D55F-4357-975E-389C8E95651E}"/>
            </a:ext>
          </a:extLst>
        </xdr:cNvPr>
        <xdr:cNvSpPr>
          <a:spLocks/>
        </xdr:cNvSpPr>
      </xdr:nvSpPr>
      <xdr:spPr bwMode="auto">
        <a:xfrm>
          <a:off x="371764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70</xdr:row>
      <xdr:rowOff>173181</xdr:rowOff>
    </xdr:from>
    <xdr:to>
      <xdr:col>3</xdr:col>
      <xdr:colOff>294410</xdr:colOff>
      <xdr:row>71</xdr:row>
      <xdr:rowOff>121226</xdr:rowOff>
    </xdr:to>
    <xdr:sp macro="" textlink="">
      <xdr:nvSpPr>
        <xdr:cNvPr id="2723" name="Freeform 10707">
          <a:extLst>
            <a:ext uri="{FF2B5EF4-FFF2-40B4-BE49-F238E27FC236}">
              <a16:creationId xmlns:a16="http://schemas.microsoft.com/office/drawing/2014/main" id="{108F33CE-2B8C-426B-8652-6280E72A85FE}"/>
            </a:ext>
          </a:extLst>
        </xdr:cNvPr>
        <xdr:cNvSpPr>
          <a:spLocks/>
        </xdr:cNvSpPr>
      </xdr:nvSpPr>
      <xdr:spPr bwMode="auto">
        <a:xfrm>
          <a:off x="475396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70</xdr:row>
      <xdr:rowOff>173181</xdr:rowOff>
    </xdr:from>
    <xdr:to>
      <xdr:col>5</xdr:col>
      <xdr:colOff>294410</xdr:colOff>
      <xdr:row>71</xdr:row>
      <xdr:rowOff>121226</xdr:rowOff>
    </xdr:to>
    <xdr:sp macro="" textlink="">
      <xdr:nvSpPr>
        <xdr:cNvPr id="2724" name="Freeform 10707">
          <a:extLst>
            <a:ext uri="{FF2B5EF4-FFF2-40B4-BE49-F238E27FC236}">
              <a16:creationId xmlns:a16="http://schemas.microsoft.com/office/drawing/2014/main" id="{A83EC280-917C-4D93-95BB-03012B63AFDD}"/>
            </a:ext>
          </a:extLst>
        </xdr:cNvPr>
        <xdr:cNvSpPr>
          <a:spLocks/>
        </xdr:cNvSpPr>
      </xdr:nvSpPr>
      <xdr:spPr bwMode="auto">
        <a:xfrm>
          <a:off x="57902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70</xdr:row>
      <xdr:rowOff>173181</xdr:rowOff>
    </xdr:from>
    <xdr:to>
      <xdr:col>7</xdr:col>
      <xdr:colOff>294410</xdr:colOff>
      <xdr:row>71</xdr:row>
      <xdr:rowOff>121226</xdr:rowOff>
    </xdr:to>
    <xdr:sp macro="" textlink="">
      <xdr:nvSpPr>
        <xdr:cNvPr id="2725" name="Freeform 10707">
          <a:extLst>
            <a:ext uri="{FF2B5EF4-FFF2-40B4-BE49-F238E27FC236}">
              <a16:creationId xmlns:a16="http://schemas.microsoft.com/office/drawing/2014/main" id="{5732DFB6-08B1-418A-8D4C-BA3725A34D92}"/>
            </a:ext>
          </a:extLst>
        </xdr:cNvPr>
        <xdr:cNvSpPr>
          <a:spLocks/>
        </xdr:cNvSpPr>
      </xdr:nvSpPr>
      <xdr:spPr bwMode="auto">
        <a:xfrm>
          <a:off x="682660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70</xdr:row>
      <xdr:rowOff>173181</xdr:rowOff>
    </xdr:from>
    <xdr:to>
      <xdr:col>9</xdr:col>
      <xdr:colOff>294410</xdr:colOff>
      <xdr:row>71</xdr:row>
      <xdr:rowOff>121226</xdr:rowOff>
    </xdr:to>
    <xdr:sp macro="" textlink="">
      <xdr:nvSpPr>
        <xdr:cNvPr id="2726" name="Freeform 10707">
          <a:extLst>
            <a:ext uri="{FF2B5EF4-FFF2-40B4-BE49-F238E27FC236}">
              <a16:creationId xmlns:a16="http://schemas.microsoft.com/office/drawing/2014/main" id="{51C88DFD-FB0F-44C4-B93E-FBF7F932AE70}"/>
            </a:ext>
          </a:extLst>
        </xdr:cNvPr>
        <xdr:cNvSpPr>
          <a:spLocks/>
        </xdr:cNvSpPr>
      </xdr:nvSpPr>
      <xdr:spPr bwMode="auto">
        <a:xfrm>
          <a:off x="786292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70</xdr:row>
      <xdr:rowOff>173181</xdr:rowOff>
    </xdr:from>
    <xdr:to>
      <xdr:col>11</xdr:col>
      <xdr:colOff>294410</xdr:colOff>
      <xdr:row>71</xdr:row>
      <xdr:rowOff>121226</xdr:rowOff>
    </xdr:to>
    <xdr:sp macro="" textlink="">
      <xdr:nvSpPr>
        <xdr:cNvPr id="2727" name="Freeform 10707">
          <a:extLst>
            <a:ext uri="{FF2B5EF4-FFF2-40B4-BE49-F238E27FC236}">
              <a16:creationId xmlns:a16="http://schemas.microsoft.com/office/drawing/2014/main" id="{AA866090-B4DE-4AAB-BD65-A14A310D4152}"/>
            </a:ext>
          </a:extLst>
        </xdr:cNvPr>
        <xdr:cNvSpPr>
          <a:spLocks/>
        </xdr:cNvSpPr>
      </xdr:nvSpPr>
      <xdr:spPr bwMode="auto">
        <a:xfrm>
          <a:off x="8899240" y="89438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70</xdr:row>
      <xdr:rowOff>173181</xdr:rowOff>
    </xdr:from>
    <xdr:to>
      <xdr:col>13</xdr:col>
      <xdr:colOff>294410</xdr:colOff>
      <xdr:row>71</xdr:row>
      <xdr:rowOff>121226</xdr:rowOff>
    </xdr:to>
    <xdr:sp macro="" textlink="">
      <xdr:nvSpPr>
        <xdr:cNvPr id="2728" name="Freeform 10707">
          <a:extLst>
            <a:ext uri="{FF2B5EF4-FFF2-40B4-BE49-F238E27FC236}">
              <a16:creationId xmlns:a16="http://schemas.microsoft.com/office/drawing/2014/main" id="{6E44D1F7-739F-4C9E-8729-136BBCE1FC61}"/>
            </a:ext>
          </a:extLst>
        </xdr:cNvPr>
        <xdr:cNvSpPr>
          <a:spLocks/>
        </xdr:cNvSpPr>
      </xdr:nvSpPr>
      <xdr:spPr bwMode="auto">
        <a:xfrm>
          <a:off x="9943180" y="89438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30</xdr:col>
      <xdr:colOff>38100</xdr:colOff>
      <xdr:row>38</xdr:row>
      <xdr:rowOff>152400</xdr:rowOff>
    </xdr:from>
    <xdr:to>
      <xdr:col>30</xdr:col>
      <xdr:colOff>276269</xdr:colOff>
      <xdr:row>40</xdr:row>
      <xdr:rowOff>304849</xdr:rowOff>
    </xdr:to>
    <xdr:grpSp>
      <xdr:nvGrpSpPr>
        <xdr:cNvPr id="2729" name="Group 2728">
          <a:extLst>
            <a:ext uri="{FF2B5EF4-FFF2-40B4-BE49-F238E27FC236}">
              <a16:creationId xmlns:a16="http://schemas.microsoft.com/office/drawing/2014/main" id="{68152574-0BC9-424E-90F2-78A1AF67DF16}"/>
            </a:ext>
          </a:extLst>
        </xdr:cNvPr>
        <xdr:cNvGrpSpPr/>
      </xdr:nvGrpSpPr>
      <xdr:grpSpPr>
        <a:xfrm>
          <a:off x="14815457" y="7663543"/>
          <a:ext cx="238169" cy="479020"/>
          <a:chOff x="6143939" y="789134"/>
          <a:chExt cx="457200" cy="518966"/>
        </a:xfrm>
      </xdr:grpSpPr>
      <xdr:grpSp>
        <xdr:nvGrpSpPr>
          <xdr:cNvPr id="2730" name="Group 2729">
            <a:extLst>
              <a:ext uri="{FF2B5EF4-FFF2-40B4-BE49-F238E27FC236}">
                <a16:creationId xmlns:a16="http://schemas.microsoft.com/office/drawing/2014/main" id="{C47ABA6B-9C58-310F-2718-07D9392A1BA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32" name="Straight Connector 2731">
              <a:extLst>
                <a:ext uri="{FF2B5EF4-FFF2-40B4-BE49-F238E27FC236}">
                  <a16:creationId xmlns:a16="http://schemas.microsoft.com/office/drawing/2014/main" id="{429C030F-69DF-93E8-2E15-75A844A0F8A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3" name="Straight Connector 2732">
              <a:extLst>
                <a:ext uri="{FF2B5EF4-FFF2-40B4-BE49-F238E27FC236}">
                  <a16:creationId xmlns:a16="http://schemas.microsoft.com/office/drawing/2014/main" id="{4000C5B5-90B0-B67B-776F-47CB71133A1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4" name="Straight Connector 2733">
              <a:extLst>
                <a:ext uri="{FF2B5EF4-FFF2-40B4-BE49-F238E27FC236}">
                  <a16:creationId xmlns:a16="http://schemas.microsoft.com/office/drawing/2014/main" id="{25BED0B5-9D11-8449-FED3-33F9F8EEF9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5" name="Straight Connector 2734">
              <a:extLst>
                <a:ext uri="{FF2B5EF4-FFF2-40B4-BE49-F238E27FC236}">
                  <a16:creationId xmlns:a16="http://schemas.microsoft.com/office/drawing/2014/main" id="{C4301B0C-F562-E275-119A-02CA7FB393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6" name="Straight Connector 2735">
              <a:extLst>
                <a:ext uri="{FF2B5EF4-FFF2-40B4-BE49-F238E27FC236}">
                  <a16:creationId xmlns:a16="http://schemas.microsoft.com/office/drawing/2014/main" id="{9E1A5A6D-3781-5ACC-DE67-DC69E23E27A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37" name="Straight Connector 2736">
              <a:extLst>
                <a:ext uri="{FF2B5EF4-FFF2-40B4-BE49-F238E27FC236}">
                  <a16:creationId xmlns:a16="http://schemas.microsoft.com/office/drawing/2014/main" id="{EA2BF87B-D4C0-9876-9C33-57550C4D20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31" name="Straight Connector 2730">
            <a:extLst>
              <a:ext uri="{FF2B5EF4-FFF2-40B4-BE49-F238E27FC236}">
                <a16:creationId xmlns:a16="http://schemas.microsoft.com/office/drawing/2014/main" id="{083A1D6A-E0CF-3FD1-68DC-ED0BC4FCBC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0</xdr:colOff>
      <xdr:row>50</xdr:row>
      <xdr:rowOff>82114</xdr:rowOff>
    </xdr:from>
    <xdr:to>
      <xdr:col>4</xdr:col>
      <xdr:colOff>238169</xdr:colOff>
      <xdr:row>52</xdr:row>
      <xdr:rowOff>82163</xdr:rowOff>
    </xdr:to>
    <xdr:grpSp>
      <xdr:nvGrpSpPr>
        <xdr:cNvPr id="2738" name="Group 2737">
          <a:extLst>
            <a:ext uri="{FF2B5EF4-FFF2-40B4-BE49-F238E27FC236}">
              <a16:creationId xmlns:a16="http://schemas.microsoft.com/office/drawing/2014/main" id="{E8E96192-AA6C-49CB-AAE1-6D8354EED74D}"/>
            </a:ext>
          </a:extLst>
        </xdr:cNvPr>
        <xdr:cNvGrpSpPr/>
      </xdr:nvGrpSpPr>
      <xdr:grpSpPr>
        <a:xfrm>
          <a:off x="1850571" y="9702364"/>
          <a:ext cx="238169" cy="353835"/>
          <a:chOff x="6143939" y="789134"/>
          <a:chExt cx="457200" cy="518966"/>
        </a:xfrm>
      </xdr:grpSpPr>
      <xdr:grpSp>
        <xdr:nvGrpSpPr>
          <xdr:cNvPr id="2739" name="Group 2738">
            <a:extLst>
              <a:ext uri="{FF2B5EF4-FFF2-40B4-BE49-F238E27FC236}">
                <a16:creationId xmlns:a16="http://schemas.microsoft.com/office/drawing/2014/main" id="{2E5B05A5-7677-736C-F50F-9BE02B239E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41" name="Straight Connector 2740">
              <a:extLst>
                <a:ext uri="{FF2B5EF4-FFF2-40B4-BE49-F238E27FC236}">
                  <a16:creationId xmlns:a16="http://schemas.microsoft.com/office/drawing/2014/main" id="{E1234A6F-2B35-13F1-B29E-3F14B54C9AD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2" name="Straight Connector 2741">
              <a:extLst>
                <a:ext uri="{FF2B5EF4-FFF2-40B4-BE49-F238E27FC236}">
                  <a16:creationId xmlns:a16="http://schemas.microsoft.com/office/drawing/2014/main" id="{A3A5606A-0670-87E3-2371-C8DFD6A9AC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3" name="Straight Connector 2742">
              <a:extLst>
                <a:ext uri="{FF2B5EF4-FFF2-40B4-BE49-F238E27FC236}">
                  <a16:creationId xmlns:a16="http://schemas.microsoft.com/office/drawing/2014/main" id="{6E75DBBA-07CD-5AE3-D0C1-97D2E3AAE06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4" name="Straight Connector 2743">
              <a:extLst>
                <a:ext uri="{FF2B5EF4-FFF2-40B4-BE49-F238E27FC236}">
                  <a16:creationId xmlns:a16="http://schemas.microsoft.com/office/drawing/2014/main" id="{55D4AF27-64DC-EB59-2F32-827B15B9B8E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5" name="Straight Connector 2744">
              <a:extLst>
                <a:ext uri="{FF2B5EF4-FFF2-40B4-BE49-F238E27FC236}">
                  <a16:creationId xmlns:a16="http://schemas.microsoft.com/office/drawing/2014/main" id="{ACC39B5E-E45F-98C8-43E7-5BAF8C6323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46" name="Straight Connector 2745">
              <a:extLst>
                <a:ext uri="{FF2B5EF4-FFF2-40B4-BE49-F238E27FC236}">
                  <a16:creationId xmlns:a16="http://schemas.microsoft.com/office/drawing/2014/main" id="{1A630BE3-5250-BD1D-1CCB-60F34F82FF7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0" name="Straight Connector 2739">
            <a:extLst>
              <a:ext uri="{FF2B5EF4-FFF2-40B4-BE49-F238E27FC236}">
                <a16:creationId xmlns:a16="http://schemas.microsoft.com/office/drawing/2014/main" id="{47E58E1A-155F-91F5-7E1A-B294F328219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51</xdr:row>
      <xdr:rowOff>0</xdr:rowOff>
    </xdr:from>
    <xdr:to>
      <xdr:col>6</xdr:col>
      <xdr:colOff>238169</xdr:colOff>
      <xdr:row>53</xdr:row>
      <xdr:rowOff>49</xdr:rowOff>
    </xdr:to>
    <xdr:grpSp>
      <xdr:nvGrpSpPr>
        <xdr:cNvPr id="2747" name="Group 2746">
          <a:extLst>
            <a:ext uri="{FF2B5EF4-FFF2-40B4-BE49-F238E27FC236}">
              <a16:creationId xmlns:a16="http://schemas.microsoft.com/office/drawing/2014/main" id="{ADA293C6-DE7B-41AB-97D8-8CB24F7B423D}"/>
            </a:ext>
          </a:extLst>
        </xdr:cNvPr>
        <xdr:cNvGrpSpPr/>
      </xdr:nvGrpSpPr>
      <xdr:grpSpPr>
        <a:xfrm>
          <a:off x="2843893" y="9797143"/>
          <a:ext cx="238169" cy="353835"/>
          <a:chOff x="6143939" y="789134"/>
          <a:chExt cx="457200" cy="518966"/>
        </a:xfrm>
      </xdr:grpSpPr>
      <xdr:grpSp>
        <xdr:nvGrpSpPr>
          <xdr:cNvPr id="2748" name="Group 2747">
            <a:extLst>
              <a:ext uri="{FF2B5EF4-FFF2-40B4-BE49-F238E27FC236}">
                <a16:creationId xmlns:a16="http://schemas.microsoft.com/office/drawing/2014/main" id="{A9A8B0F5-86EC-79F9-4E30-FFBA752D696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0" name="Straight Connector 2749">
              <a:extLst>
                <a:ext uri="{FF2B5EF4-FFF2-40B4-BE49-F238E27FC236}">
                  <a16:creationId xmlns:a16="http://schemas.microsoft.com/office/drawing/2014/main" id="{DA746DB3-D3C6-3956-D396-C460DAE77E8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1" name="Straight Connector 2750">
              <a:extLst>
                <a:ext uri="{FF2B5EF4-FFF2-40B4-BE49-F238E27FC236}">
                  <a16:creationId xmlns:a16="http://schemas.microsoft.com/office/drawing/2014/main" id="{CF912903-14A7-1C48-319B-3A8C3CC549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2" name="Straight Connector 2751">
              <a:extLst>
                <a:ext uri="{FF2B5EF4-FFF2-40B4-BE49-F238E27FC236}">
                  <a16:creationId xmlns:a16="http://schemas.microsoft.com/office/drawing/2014/main" id="{CD921D3B-6F2E-15DF-1CF5-DAC30525A1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3" name="Straight Connector 2752">
              <a:extLst>
                <a:ext uri="{FF2B5EF4-FFF2-40B4-BE49-F238E27FC236}">
                  <a16:creationId xmlns:a16="http://schemas.microsoft.com/office/drawing/2014/main" id="{5F5FAC13-E1E8-3DAB-16C1-629352570BD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4" name="Straight Connector 2753">
              <a:extLst>
                <a:ext uri="{FF2B5EF4-FFF2-40B4-BE49-F238E27FC236}">
                  <a16:creationId xmlns:a16="http://schemas.microsoft.com/office/drawing/2014/main" id="{2B5B001C-DD15-1FF1-F5C7-1060BEE74F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55" name="Straight Connector 2754">
              <a:extLst>
                <a:ext uri="{FF2B5EF4-FFF2-40B4-BE49-F238E27FC236}">
                  <a16:creationId xmlns:a16="http://schemas.microsoft.com/office/drawing/2014/main" id="{5FF9AF82-B017-F438-D0C5-2B25703A184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49" name="Straight Connector 2748">
            <a:extLst>
              <a:ext uri="{FF2B5EF4-FFF2-40B4-BE49-F238E27FC236}">
                <a16:creationId xmlns:a16="http://schemas.microsoft.com/office/drawing/2014/main" id="{6163147D-BB1F-05A6-5C93-0169222AB38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51</xdr:row>
      <xdr:rowOff>0</xdr:rowOff>
    </xdr:from>
    <xdr:to>
      <xdr:col>8</xdr:col>
      <xdr:colOff>238169</xdr:colOff>
      <xdr:row>53</xdr:row>
      <xdr:rowOff>49</xdr:rowOff>
    </xdr:to>
    <xdr:grpSp>
      <xdr:nvGrpSpPr>
        <xdr:cNvPr id="2756" name="Group 2755">
          <a:extLst>
            <a:ext uri="{FF2B5EF4-FFF2-40B4-BE49-F238E27FC236}">
              <a16:creationId xmlns:a16="http://schemas.microsoft.com/office/drawing/2014/main" id="{3C8246F9-0096-48DA-AEBE-96593E572550}"/>
            </a:ext>
          </a:extLst>
        </xdr:cNvPr>
        <xdr:cNvGrpSpPr/>
      </xdr:nvGrpSpPr>
      <xdr:grpSpPr>
        <a:xfrm>
          <a:off x="3837214" y="9797143"/>
          <a:ext cx="238169" cy="353835"/>
          <a:chOff x="6143939" y="789134"/>
          <a:chExt cx="457200" cy="518966"/>
        </a:xfrm>
      </xdr:grpSpPr>
      <xdr:grpSp>
        <xdr:nvGrpSpPr>
          <xdr:cNvPr id="2757" name="Group 2756">
            <a:extLst>
              <a:ext uri="{FF2B5EF4-FFF2-40B4-BE49-F238E27FC236}">
                <a16:creationId xmlns:a16="http://schemas.microsoft.com/office/drawing/2014/main" id="{15630523-37FB-039B-7DF0-0DAAC7EB5D1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59" name="Straight Connector 2758">
              <a:extLst>
                <a:ext uri="{FF2B5EF4-FFF2-40B4-BE49-F238E27FC236}">
                  <a16:creationId xmlns:a16="http://schemas.microsoft.com/office/drawing/2014/main" id="{0CF6BD17-7028-B255-32CA-AED96AF1A5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0" name="Straight Connector 2759">
              <a:extLst>
                <a:ext uri="{FF2B5EF4-FFF2-40B4-BE49-F238E27FC236}">
                  <a16:creationId xmlns:a16="http://schemas.microsoft.com/office/drawing/2014/main" id="{CAE7FE25-4FA4-DC5A-532B-F918D4E5D7B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1" name="Straight Connector 2760">
              <a:extLst>
                <a:ext uri="{FF2B5EF4-FFF2-40B4-BE49-F238E27FC236}">
                  <a16:creationId xmlns:a16="http://schemas.microsoft.com/office/drawing/2014/main" id="{F2F644FD-9CB6-B616-1E14-295DB8E75A33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2" name="Straight Connector 2761">
              <a:extLst>
                <a:ext uri="{FF2B5EF4-FFF2-40B4-BE49-F238E27FC236}">
                  <a16:creationId xmlns:a16="http://schemas.microsoft.com/office/drawing/2014/main" id="{A6622CC2-F441-C43D-DB62-D292B6A9C3F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3" name="Straight Connector 2762">
              <a:extLst>
                <a:ext uri="{FF2B5EF4-FFF2-40B4-BE49-F238E27FC236}">
                  <a16:creationId xmlns:a16="http://schemas.microsoft.com/office/drawing/2014/main" id="{CC4869DB-A438-6125-6AC1-D113E39933A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4" name="Straight Connector 2763">
              <a:extLst>
                <a:ext uri="{FF2B5EF4-FFF2-40B4-BE49-F238E27FC236}">
                  <a16:creationId xmlns:a16="http://schemas.microsoft.com/office/drawing/2014/main" id="{D7F6B942-007C-4AB7-C60D-2FF92E9041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58" name="Straight Connector 2757">
            <a:extLst>
              <a:ext uri="{FF2B5EF4-FFF2-40B4-BE49-F238E27FC236}">
                <a16:creationId xmlns:a16="http://schemas.microsoft.com/office/drawing/2014/main" id="{4E5E6BC7-419E-AF92-C001-D26D8F4B01C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51</xdr:row>
      <xdr:rowOff>0</xdr:rowOff>
    </xdr:from>
    <xdr:to>
      <xdr:col>10</xdr:col>
      <xdr:colOff>238169</xdr:colOff>
      <xdr:row>53</xdr:row>
      <xdr:rowOff>49</xdr:rowOff>
    </xdr:to>
    <xdr:grpSp>
      <xdr:nvGrpSpPr>
        <xdr:cNvPr id="2765" name="Group 2764">
          <a:extLst>
            <a:ext uri="{FF2B5EF4-FFF2-40B4-BE49-F238E27FC236}">
              <a16:creationId xmlns:a16="http://schemas.microsoft.com/office/drawing/2014/main" id="{5641FCBA-982D-484A-BCD4-2237FE267EFB}"/>
            </a:ext>
          </a:extLst>
        </xdr:cNvPr>
        <xdr:cNvGrpSpPr/>
      </xdr:nvGrpSpPr>
      <xdr:grpSpPr>
        <a:xfrm>
          <a:off x="4830536" y="9797143"/>
          <a:ext cx="238169" cy="353835"/>
          <a:chOff x="6143939" y="789134"/>
          <a:chExt cx="457200" cy="518966"/>
        </a:xfrm>
      </xdr:grpSpPr>
      <xdr:grpSp>
        <xdr:nvGrpSpPr>
          <xdr:cNvPr id="2766" name="Group 2765">
            <a:extLst>
              <a:ext uri="{FF2B5EF4-FFF2-40B4-BE49-F238E27FC236}">
                <a16:creationId xmlns:a16="http://schemas.microsoft.com/office/drawing/2014/main" id="{7033F961-DF50-AB8E-B890-9E53821C101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68" name="Straight Connector 2767">
              <a:extLst>
                <a:ext uri="{FF2B5EF4-FFF2-40B4-BE49-F238E27FC236}">
                  <a16:creationId xmlns:a16="http://schemas.microsoft.com/office/drawing/2014/main" id="{B18AB457-7943-D37A-A2C6-15C8ADB6C4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69" name="Straight Connector 2768">
              <a:extLst>
                <a:ext uri="{FF2B5EF4-FFF2-40B4-BE49-F238E27FC236}">
                  <a16:creationId xmlns:a16="http://schemas.microsoft.com/office/drawing/2014/main" id="{127F47A7-2C2D-5D4F-8B14-CD3D25218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0" name="Straight Connector 2769">
              <a:extLst>
                <a:ext uri="{FF2B5EF4-FFF2-40B4-BE49-F238E27FC236}">
                  <a16:creationId xmlns:a16="http://schemas.microsoft.com/office/drawing/2014/main" id="{5DCB4100-BD95-FD91-0516-E561D1D869B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1" name="Straight Connector 2770">
              <a:extLst>
                <a:ext uri="{FF2B5EF4-FFF2-40B4-BE49-F238E27FC236}">
                  <a16:creationId xmlns:a16="http://schemas.microsoft.com/office/drawing/2014/main" id="{8F26CC18-33CC-E761-F861-82EA2449359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2" name="Straight Connector 2771">
              <a:extLst>
                <a:ext uri="{FF2B5EF4-FFF2-40B4-BE49-F238E27FC236}">
                  <a16:creationId xmlns:a16="http://schemas.microsoft.com/office/drawing/2014/main" id="{B36F0AED-1A5B-068D-0A9A-A8D4FFAE22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3" name="Straight Connector 2772">
              <a:extLst>
                <a:ext uri="{FF2B5EF4-FFF2-40B4-BE49-F238E27FC236}">
                  <a16:creationId xmlns:a16="http://schemas.microsoft.com/office/drawing/2014/main" id="{EE5C557B-BAAF-EF87-7DD5-08268CC97F8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67" name="Straight Connector 2766">
            <a:extLst>
              <a:ext uri="{FF2B5EF4-FFF2-40B4-BE49-F238E27FC236}">
                <a16:creationId xmlns:a16="http://schemas.microsoft.com/office/drawing/2014/main" id="{3F80250C-CE1F-D15E-1B8C-E6CC8A76B5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51</xdr:row>
      <xdr:rowOff>0</xdr:rowOff>
    </xdr:from>
    <xdr:to>
      <xdr:col>18</xdr:col>
      <xdr:colOff>238169</xdr:colOff>
      <xdr:row>53</xdr:row>
      <xdr:rowOff>49</xdr:rowOff>
    </xdr:to>
    <xdr:grpSp>
      <xdr:nvGrpSpPr>
        <xdr:cNvPr id="2774" name="Group 2773">
          <a:extLst>
            <a:ext uri="{FF2B5EF4-FFF2-40B4-BE49-F238E27FC236}">
              <a16:creationId xmlns:a16="http://schemas.microsoft.com/office/drawing/2014/main" id="{B366E27F-05D1-481A-99F3-D76983E4FCE9}"/>
            </a:ext>
          </a:extLst>
        </xdr:cNvPr>
        <xdr:cNvGrpSpPr/>
      </xdr:nvGrpSpPr>
      <xdr:grpSpPr>
        <a:xfrm>
          <a:off x="8817429" y="9797143"/>
          <a:ext cx="238169" cy="353835"/>
          <a:chOff x="6143939" y="789134"/>
          <a:chExt cx="457200" cy="518966"/>
        </a:xfrm>
      </xdr:grpSpPr>
      <xdr:grpSp>
        <xdr:nvGrpSpPr>
          <xdr:cNvPr id="2775" name="Group 2774">
            <a:extLst>
              <a:ext uri="{FF2B5EF4-FFF2-40B4-BE49-F238E27FC236}">
                <a16:creationId xmlns:a16="http://schemas.microsoft.com/office/drawing/2014/main" id="{92EEC0B6-03A3-2241-6C07-E4D533F1E17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77" name="Straight Connector 2776">
              <a:extLst>
                <a:ext uri="{FF2B5EF4-FFF2-40B4-BE49-F238E27FC236}">
                  <a16:creationId xmlns:a16="http://schemas.microsoft.com/office/drawing/2014/main" id="{5DA12014-5118-FD7D-C355-4CB2A84256A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8" name="Straight Connector 2777">
              <a:extLst>
                <a:ext uri="{FF2B5EF4-FFF2-40B4-BE49-F238E27FC236}">
                  <a16:creationId xmlns:a16="http://schemas.microsoft.com/office/drawing/2014/main" id="{C7108D19-D0FB-DBE2-990F-562CF9B220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79" name="Straight Connector 2778">
              <a:extLst>
                <a:ext uri="{FF2B5EF4-FFF2-40B4-BE49-F238E27FC236}">
                  <a16:creationId xmlns:a16="http://schemas.microsoft.com/office/drawing/2014/main" id="{7B291F0D-6D0E-1D74-CF7B-C1D7E71DEAC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0" name="Straight Connector 2779">
              <a:extLst>
                <a:ext uri="{FF2B5EF4-FFF2-40B4-BE49-F238E27FC236}">
                  <a16:creationId xmlns:a16="http://schemas.microsoft.com/office/drawing/2014/main" id="{812A5AB7-7670-3B14-2545-FED54ACDB2B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1" name="Straight Connector 2780">
              <a:extLst>
                <a:ext uri="{FF2B5EF4-FFF2-40B4-BE49-F238E27FC236}">
                  <a16:creationId xmlns:a16="http://schemas.microsoft.com/office/drawing/2014/main" id="{728BE936-59B4-9BC8-04AC-0A82B1EF5AD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2" name="Straight Connector 2781">
              <a:extLst>
                <a:ext uri="{FF2B5EF4-FFF2-40B4-BE49-F238E27FC236}">
                  <a16:creationId xmlns:a16="http://schemas.microsoft.com/office/drawing/2014/main" id="{D4D5AC91-26B7-4F8F-009B-B1DC95CA57A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76" name="Straight Connector 2775">
            <a:extLst>
              <a:ext uri="{FF2B5EF4-FFF2-40B4-BE49-F238E27FC236}">
                <a16:creationId xmlns:a16="http://schemas.microsoft.com/office/drawing/2014/main" id="{5D471344-82C0-0BE5-7E38-61EF3034319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238169</xdr:colOff>
      <xdr:row>53</xdr:row>
      <xdr:rowOff>49</xdr:rowOff>
    </xdr:to>
    <xdr:grpSp>
      <xdr:nvGrpSpPr>
        <xdr:cNvPr id="2783" name="Group 2782">
          <a:extLst>
            <a:ext uri="{FF2B5EF4-FFF2-40B4-BE49-F238E27FC236}">
              <a16:creationId xmlns:a16="http://schemas.microsoft.com/office/drawing/2014/main" id="{3E0DA076-9512-44B3-BEFF-F60B3944A736}"/>
            </a:ext>
          </a:extLst>
        </xdr:cNvPr>
        <xdr:cNvGrpSpPr/>
      </xdr:nvGrpSpPr>
      <xdr:grpSpPr>
        <a:xfrm>
          <a:off x="11797393" y="9797143"/>
          <a:ext cx="238169" cy="353835"/>
          <a:chOff x="6143939" y="789134"/>
          <a:chExt cx="457200" cy="518966"/>
        </a:xfrm>
      </xdr:grpSpPr>
      <xdr:grpSp>
        <xdr:nvGrpSpPr>
          <xdr:cNvPr id="2784" name="Group 2783">
            <a:extLst>
              <a:ext uri="{FF2B5EF4-FFF2-40B4-BE49-F238E27FC236}">
                <a16:creationId xmlns:a16="http://schemas.microsoft.com/office/drawing/2014/main" id="{23115317-672F-162D-6767-CB346F3794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86" name="Straight Connector 2785">
              <a:extLst>
                <a:ext uri="{FF2B5EF4-FFF2-40B4-BE49-F238E27FC236}">
                  <a16:creationId xmlns:a16="http://schemas.microsoft.com/office/drawing/2014/main" id="{38FA2F66-28FB-65F4-D477-033DD831CC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7" name="Straight Connector 2786">
              <a:extLst>
                <a:ext uri="{FF2B5EF4-FFF2-40B4-BE49-F238E27FC236}">
                  <a16:creationId xmlns:a16="http://schemas.microsoft.com/office/drawing/2014/main" id="{E19133FD-879E-034F-0709-BB92240CD59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8" name="Straight Connector 2787">
              <a:extLst>
                <a:ext uri="{FF2B5EF4-FFF2-40B4-BE49-F238E27FC236}">
                  <a16:creationId xmlns:a16="http://schemas.microsoft.com/office/drawing/2014/main" id="{F207E457-7CD3-D156-61B6-A68CB9B1DB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89" name="Straight Connector 2788">
              <a:extLst>
                <a:ext uri="{FF2B5EF4-FFF2-40B4-BE49-F238E27FC236}">
                  <a16:creationId xmlns:a16="http://schemas.microsoft.com/office/drawing/2014/main" id="{F917F96B-B5C3-3624-988A-AE575294AEE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0" name="Straight Connector 2789">
              <a:extLst>
                <a:ext uri="{FF2B5EF4-FFF2-40B4-BE49-F238E27FC236}">
                  <a16:creationId xmlns:a16="http://schemas.microsoft.com/office/drawing/2014/main" id="{24A84C5C-A6C2-FB45-ED30-74F439F8C71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1" name="Straight Connector 2790">
              <a:extLst>
                <a:ext uri="{FF2B5EF4-FFF2-40B4-BE49-F238E27FC236}">
                  <a16:creationId xmlns:a16="http://schemas.microsoft.com/office/drawing/2014/main" id="{700640E7-FA7C-A4B3-D0CC-ED75EAF9D48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39BAF821-521E-162F-485C-98630C027CB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51</xdr:row>
      <xdr:rowOff>0</xdr:rowOff>
    </xdr:from>
    <xdr:to>
      <xdr:col>26</xdr:col>
      <xdr:colOff>238169</xdr:colOff>
      <xdr:row>53</xdr:row>
      <xdr:rowOff>49</xdr:rowOff>
    </xdr:to>
    <xdr:grpSp>
      <xdr:nvGrpSpPr>
        <xdr:cNvPr id="2792" name="Group 2791">
          <a:extLst>
            <a:ext uri="{FF2B5EF4-FFF2-40B4-BE49-F238E27FC236}">
              <a16:creationId xmlns:a16="http://schemas.microsoft.com/office/drawing/2014/main" id="{9B4F00B6-754B-4DAB-8AC1-0159176676A7}"/>
            </a:ext>
          </a:extLst>
        </xdr:cNvPr>
        <xdr:cNvGrpSpPr/>
      </xdr:nvGrpSpPr>
      <xdr:grpSpPr>
        <a:xfrm>
          <a:off x="12790714" y="9797143"/>
          <a:ext cx="238169" cy="353835"/>
          <a:chOff x="6143939" y="789134"/>
          <a:chExt cx="457200" cy="518966"/>
        </a:xfrm>
      </xdr:grpSpPr>
      <xdr:grpSp>
        <xdr:nvGrpSpPr>
          <xdr:cNvPr id="2793" name="Group 2792">
            <a:extLst>
              <a:ext uri="{FF2B5EF4-FFF2-40B4-BE49-F238E27FC236}">
                <a16:creationId xmlns:a16="http://schemas.microsoft.com/office/drawing/2014/main" id="{CAAC3BD8-BBE5-2C8A-98CF-7B0F07B9A63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795" name="Straight Connector 2794">
              <a:extLst>
                <a:ext uri="{FF2B5EF4-FFF2-40B4-BE49-F238E27FC236}">
                  <a16:creationId xmlns:a16="http://schemas.microsoft.com/office/drawing/2014/main" id="{CB840CCA-E8DE-B21E-6E70-7896D9A8148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6" name="Straight Connector 2795">
              <a:extLst>
                <a:ext uri="{FF2B5EF4-FFF2-40B4-BE49-F238E27FC236}">
                  <a16:creationId xmlns:a16="http://schemas.microsoft.com/office/drawing/2014/main" id="{F9937161-A492-1871-DC3C-60540B1AB8B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7" name="Straight Connector 2796">
              <a:extLst>
                <a:ext uri="{FF2B5EF4-FFF2-40B4-BE49-F238E27FC236}">
                  <a16:creationId xmlns:a16="http://schemas.microsoft.com/office/drawing/2014/main" id="{0508404F-6B8A-319A-832C-8FBA1CCBC5D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8" name="Straight Connector 2797">
              <a:extLst>
                <a:ext uri="{FF2B5EF4-FFF2-40B4-BE49-F238E27FC236}">
                  <a16:creationId xmlns:a16="http://schemas.microsoft.com/office/drawing/2014/main" id="{18F8BAF3-8FF8-0FD0-6830-B476013788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99" name="Straight Connector 2798">
              <a:extLst>
                <a:ext uri="{FF2B5EF4-FFF2-40B4-BE49-F238E27FC236}">
                  <a16:creationId xmlns:a16="http://schemas.microsoft.com/office/drawing/2014/main" id="{239F518A-81FD-D396-C203-A5AC655F513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0" name="Straight Connector 2799">
              <a:extLst>
                <a:ext uri="{FF2B5EF4-FFF2-40B4-BE49-F238E27FC236}">
                  <a16:creationId xmlns:a16="http://schemas.microsoft.com/office/drawing/2014/main" id="{FFBA114B-AF84-7085-4200-72C65BDE13F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794" name="Straight Connector 2793">
            <a:extLst>
              <a:ext uri="{FF2B5EF4-FFF2-40B4-BE49-F238E27FC236}">
                <a16:creationId xmlns:a16="http://schemas.microsoft.com/office/drawing/2014/main" id="{01CE33F9-7188-6733-D096-E9E064D9E1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76</xdr:row>
      <xdr:rowOff>0</xdr:rowOff>
    </xdr:from>
    <xdr:to>
      <xdr:col>28</xdr:col>
      <xdr:colOff>238169</xdr:colOff>
      <xdr:row>78</xdr:row>
      <xdr:rowOff>49</xdr:rowOff>
    </xdr:to>
    <xdr:grpSp>
      <xdr:nvGrpSpPr>
        <xdr:cNvPr id="2801" name="Group 2800">
          <a:extLst>
            <a:ext uri="{FF2B5EF4-FFF2-40B4-BE49-F238E27FC236}">
              <a16:creationId xmlns:a16="http://schemas.microsoft.com/office/drawing/2014/main" id="{89C217B4-601C-47E7-B025-D679311309A5}"/>
            </a:ext>
          </a:extLst>
        </xdr:cNvPr>
        <xdr:cNvGrpSpPr/>
      </xdr:nvGrpSpPr>
      <xdr:grpSpPr>
        <a:xfrm>
          <a:off x="13784036" y="14219464"/>
          <a:ext cx="238169" cy="353835"/>
          <a:chOff x="6143939" y="789134"/>
          <a:chExt cx="457200" cy="518966"/>
        </a:xfrm>
      </xdr:grpSpPr>
      <xdr:grpSp>
        <xdr:nvGrpSpPr>
          <xdr:cNvPr id="2802" name="Group 2801">
            <a:extLst>
              <a:ext uri="{FF2B5EF4-FFF2-40B4-BE49-F238E27FC236}">
                <a16:creationId xmlns:a16="http://schemas.microsoft.com/office/drawing/2014/main" id="{21B30AF4-F6EF-45D1-E0C1-CA2D524EB3E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04" name="Straight Connector 2803">
              <a:extLst>
                <a:ext uri="{FF2B5EF4-FFF2-40B4-BE49-F238E27FC236}">
                  <a16:creationId xmlns:a16="http://schemas.microsoft.com/office/drawing/2014/main" id="{830341DF-4741-699C-6F19-079CB8AF15A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5" name="Straight Connector 2804">
              <a:extLst>
                <a:ext uri="{FF2B5EF4-FFF2-40B4-BE49-F238E27FC236}">
                  <a16:creationId xmlns:a16="http://schemas.microsoft.com/office/drawing/2014/main" id="{6D367210-EDC6-A166-E676-E94996534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6" name="Straight Connector 2805">
              <a:extLst>
                <a:ext uri="{FF2B5EF4-FFF2-40B4-BE49-F238E27FC236}">
                  <a16:creationId xmlns:a16="http://schemas.microsoft.com/office/drawing/2014/main" id="{B6C24861-2149-F7A2-C0C2-0E04AFEA0E2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7" name="Straight Connector 2806">
              <a:extLst>
                <a:ext uri="{FF2B5EF4-FFF2-40B4-BE49-F238E27FC236}">
                  <a16:creationId xmlns:a16="http://schemas.microsoft.com/office/drawing/2014/main" id="{99AB1ED4-9E67-3C37-A205-C8401728ED0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8" name="Straight Connector 2807">
              <a:extLst>
                <a:ext uri="{FF2B5EF4-FFF2-40B4-BE49-F238E27FC236}">
                  <a16:creationId xmlns:a16="http://schemas.microsoft.com/office/drawing/2014/main" id="{BD624EF6-A5C9-BBBE-70B3-DB36F6498EB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09" name="Straight Connector 2808">
              <a:extLst>
                <a:ext uri="{FF2B5EF4-FFF2-40B4-BE49-F238E27FC236}">
                  <a16:creationId xmlns:a16="http://schemas.microsoft.com/office/drawing/2014/main" id="{0F688A67-11BC-2571-DFD6-97A7CD85157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03" name="Straight Connector 2802">
            <a:extLst>
              <a:ext uri="{FF2B5EF4-FFF2-40B4-BE49-F238E27FC236}">
                <a16:creationId xmlns:a16="http://schemas.microsoft.com/office/drawing/2014/main" id="{2E6B1E19-6840-3917-24FB-18A7FBD939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21772</xdr:colOff>
      <xdr:row>98</xdr:row>
      <xdr:rowOff>0</xdr:rowOff>
    </xdr:from>
    <xdr:to>
      <xdr:col>12</xdr:col>
      <xdr:colOff>259941</xdr:colOff>
      <xdr:row>100</xdr:row>
      <xdr:rowOff>50</xdr:rowOff>
    </xdr:to>
    <xdr:grpSp>
      <xdr:nvGrpSpPr>
        <xdr:cNvPr id="2810" name="Group 2809">
          <a:extLst>
            <a:ext uri="{FF2B5EF4-FFF2-40B4-BE49-F238E27FC236}">
              <a16:creationId xmlns:a16="http://schemas.microsoft.com/office/drawing/2014/main" id="{A2651DC8-69D5-4F61-8A94-F36386E6F862}"/>
            </a:ext>
          </a:extLst>
        </xdr:cNvPr>
        <xdr:cNvGrpSpPr/>
      </xdr:nvGrpSpPr>
      <xdr:grpSpPr>
        <a:xfrm>
          <a:off x="5845629" y="18111107"/>
          <a:ext cx="238169" cy="353836"/>
          <a:chOff x="6143939" y="789134"/>
          <a:chExt cx="457200" cy="518966"/>
        </a:xfrm>
      </xdr:grpSpPr>
      <xdr:grpSp>
        <xdr:nvGrpSpPr>
          <xdr:cNvPr id="2811" name="Group 2810">
            <a:extLst>
              <a:ext uri="{FF2B5EF4-FFF2-40B4-BE49-F238E27FC236}">
                <a16:creationId xmlns:a16="http://schemas.microsoft.com/office/drawing/2014/main" id="{568FDB61-9CCE-5724-FC86-B78C78413ED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13" name="Straight Connector 2812">
              <a:extLst>
                <a:ext uri="{FF2B5EF4-FFF2-40B4-BE49-F238E27FC236}">
                  <a16:creationId xmlns:a16="http://schemas.microsoft.com/office/drawing/2014/main" id="{7179C9DC-8689-17D3-F9F8-216BC00152B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4" name="Straight Connector 2813">
              <a:extLst>
                <a:ext uri="{FF2B5EF4-FFF2-40B4-BE49-F238E27FC236}">
                  <a16:creationId xmlns:a16="http://schemas.microsoft.com/office/drawing/2014/main" id="{601D5386-AAF4-2FEA-F08B-5FA36DBD913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5" name="Straight Connector 2814">
              <a:extLst>
                <a:ext uri="{FF2B5EF4-FFF2-40B4-BE49-F238E27FC236}">
                  <a16:creationId xmlns:a16="http://schemas.microsoft.com/office/drawing/2014/main" id="{31CD6A63-CE14-4F69-E8C4-D8E00AD1DD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6" name="Straight Connector 2815">
              <a:extLst>
                <a:ext uri="{FF2B5EF4-FFF2-40B4-BE49-F238E27FC236}">
                  <a16:creationId xmlns:a16="http://schemas.microsoft.com/office/drawing/2014/main" id="{8520F9EC-E03F-3C9B-7231-3C9D23E8CF0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7" name="Straight Connector 2816">
              <a:extLst>
                <a:ext uri="{FF2B5EF4-FFF2-40B4-BE49-F238E27FC236}">
                  <a16:creationId xmlns:a16="http://schemas.microsoft.com/office/drawing/2014/main" id="{D356AF9F-2146-A2E3-2794-D026732A6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18" name="Straight Connector 2817">
              <a:extLst>
                <a:ext uri="{FF2B5EF4-FFF2-40B4-BE49-F238E27FC236}">
                  <a16:creationId xmlns:a16="http://schemas.microsoft.com/office/drawing/2014/main" id="{923A61BD-831D-8DD2-68B4-EB3CD1F015B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12" name="Straight Connector 2811">
            <a:extLst>
              <a:ext uri="{FF2B5EF4-FFF2-40B4-BE49-F238E27FC236}">
                <a16:creationId xmlns:a16="http://schemas.microsoft.com/office/drawing/2014/main" id="{1F58A200-6706-6722-3EA2-B0AFCF5E596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98</xdr:row>
      <xdr:rowOff>0</xdr:rowOff>
    </xdr:from>
    <xdr:to>
      <xdr:col>16</xdr:col>
      <xdr:colOff>238169</xdr:colOff>
      <xdr:row>100</xdr:row>
      <xdr:rowOff>50</xdr:rowOff>
    </xdr:to>
    <xdr:grpSp>
      <xdr:nvGrpSpPr>
        <xdr:cNvPr id="2819" name="Group 2818">
          <a:extLst>
            <a:ext uri="{FF2B5EF4-FFF2-40B4-BE49-F238E27FC236}">
              <a16:creationId xmlns:a16="http://schemas.microsoft.com/office/drawing/2014/main" id="{C17F4273-7EB8-4C27-8BD6-F5320AD2D105}"/>
            </a:ext>
          </a:extLst>
        </xdr:cNvPr>
        <xdr:cNvGrpSpPr/>
      </xdr:nvGrpSpPr>
      <xdr:grpSpPr>
        <a:xfrm>
          <a:off x="7810500" y="18111107"/>
          <a:ext cx="238169" cy="353836"/>
          <a:chOff x="6143939" y="789134"/>
          <a:chExt cx="457200" cy="518966"/>
        </a:xfrm>
      </xdr:grpSpPr>
      <xdr:grpSp>
        <xdr:nvGrpSpPr>
          <xdr:cNvPr id="2820" name="Group 2819">
            <a:extLst>
              <a:ext uri="{FF2B5EF4-FFF2-40B4-BE49-F238E27FC236}">
                <a16:creationId xmlns:a16="http://schemas.microsoft.com/office/drawing/2014/main" id="{EAFC7AA4-75B6-2851-8BCD-82AD40F83C9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22" name="Straight Connector 2821">
              <a:extLst>
                <a:ext uri="{FF2B5EF4-FFF2-40B4-BE49-F238E27FC236}">
                  <a16:creationId xmlns:a16="http://schemas.microsoft.com/office/drawing/2014/main" id="{D4E03033-FDD5-2F05-60D7-59ADA7A4E8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3" name="Straight Connector 2822">
              <a:extLst>
                <a:ext uri="{FF2B5EF4-FFF2-40B4-BE49-F238E27FC236}">
                  <a16:creationId xmlns:a16="http://schemas.microsoft.com/office/drawing/2014/main" id="{764CE3A1-59E1-F1C7-1B3B-F8D4B6D228F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4" name="Straight Connector 2823">
              <a:extLst>
                <a:ext uri="{FF2B5EF4-FFF2-40B4-BE49-F238E27FC236}">
                  <a16:creationId xmlns:a16="http://schemas.microsoft.com/office/drawing/2014/main" id="{3E5DFC91-70CC-96E3-362D-904B99C6835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5" name="Straight Connector 2824">
              <a:extLst>
                <a:ext uri="{FF2B5EF4-FFF2-40B4-BE49-F238E27FC236}">
                  <a16:creationId xmlns:a16="http://schemas.microsoft.com/office/drawing/2014/main" id="{A2563B78-3589-B811-47D7-F5D2EF93E46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6" name="Straight Connector 2825">
              <a:extLst>
                <a:ext uri="{FF2B5EF4-FFF2-40B4-BE49-F238E27FC236}">
                  <a16:creationId xmlns:a16="http://schemas.microsoft.com/office/drawing/2014/main" id="{8B056D02-3952-1195-29DA-978B22ACA7F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27" name="Straight Connector 2826">
              <a:extLst>
                <a:ext uri="{FF2B5EF4-FFF2-40B4-BE49-F238E27FC236}">
                  <a16:creationId xmlns:a16="http://schemas.microsoft.com/office/drawing/2014/main" id="{BCAB60FE-779A-EB72-FC3D-86D90C815BB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21" name="Straight Connector 2820">
            <a:extLst>
              <a:ext uri="{FF2B5EF4-FFF2-40B4-BE49-F238E27FC236}">
                <a16:creationId xmlns:a16="http://schemas.microsoft.com/office/drawing/2014/main" id="{FC13BD37-D423-A8DC-E09F-E9F64DDAA1A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11909</xdr:colOff>
      <xdr:row>108</xdr:row>
      <xdr:rowOff>127627</xdr:rowOff>
    </xdr:from>
    <xdr:to>
      <xdr:col>16</xdr:col>
      <xdr:colOff>250078</xdr:colOff>
      <xdr:row>110</xdr:row>
      <xdr:rowOff>128629</xdr:rowOff>
    </xdr:to>
    <xdr:grpSp>
      <xdr:nvGrpSpPr>
        <xdr:cNvPr id="2828" name="Group 2827">
          <a:extLst>
            <a:ext uri="{FF2B5EF4-FFF2-40B4-BE49-F238E27FC236}">
              <a16:creationId xmlns:a16="http://schemas.microsoft.com/office/drawing/2014/main" id="{B7336077-E186-41C5-A21E-5D96E8721B92}"/>
            </a:ext>
          </a:extLst>
        </xdr:cNvPr>
        <xdr:cNvGrpSpPr/>
      </xdr:nvGrpSpPr>
      <xdr:grpSpPr>
        <a:xfrm>
          <a:off x="7822409" y="20007663"/>
          <a:ext cx="238169" cy="354787"/>
          <a:chOff x="6143939" y="789134"/>
          <a:chExt cx="457200" cy="518966"/>
        </a:xfrm>
      </xdr:grpSpPr>
      <xdr:grpSp>
        <xdr:nvGrpSpPr>
          <xdr:cNvPr id="2829" name="Group 2828">
            <a:extLst>
              <a:ext uri="{FF2B5EF4-FFF2-40B4-BE49-F238E27FC236}">
                <a16:creationId xmlns:a16="http://schemas.microsoft.com/office/drawing/2014/main" id="{9CC78BF0-64C3-85BD-2D42-CFE04D9F5E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31" name="Straight Connector 2830">
              <a:extLst>
                <a:ext uri="{FF2B5EF4-FFF2-40B4-BE49-F238E27FC236}">
                  <a16:creationId xmlns:a16="http://schemas.microsoft.com/office/drawing/2014/main" id="{1F5A9C72-2171-F762-829E-54E9A82ECD0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2" name="Straight Connector 2831">
              <a:extLst>
                <a:ext uri="{FF2B5EF4-FFF2-40B4-BE49-F238E27FC236}">
                  <a16:creationId xmlns:a16="http://schemas.microsoft.com/office/drawing/2014/main" id="{8B2160DA-FD42-CC9F-7113-EA827E218F1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3" name="Straight Connector 2832">
              <a:extLst>
                <a:ext uri="{FF2B5EF4-FFF2-40B4-BE49-F238E27FC236}">
                  <a16:creationId xmlns:a16="http://schemas.microsoft.com/office/drawing/2014/main" id="{B5F6C185-881D-8B77-8280-AC735930325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4" name="Straight Connector 2833">
              <a:extLst>
                <a:ext uri="{FF2B5EF4-FFF2-40B4-BE49-F238E27FC236}">
                  <a16:creationId xmlns:a16="http://schemas.microsoft.com/office/drawing/2014/main" id="{A1025155-7044-98A5-5AC2-6C02F214BB0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5" name="Straight Connector 2834">
              <a:extLst>
                <a:ext uri="{FF2B5EF4-FFF2-40B4-BE49-F238E27FC236}">
                  <a16:creationId xmlns:a16="http://schemas.microsoft.com/office/drawing/2014/main" id="{A52C5EEB-4180-445E-A9EC-C69FFA80000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36" name="Straight Connector 2835">
              <a:extLst>
                <a:ext uri="{FF2B5EF4-FFF2-40B4-BE49-F238E27FC236}">
                  <a16:creationId xmlns:a16="http://schemas.microsoft.com/office/drawing/2014/main" id="{7B025723-A1C5-806B-8EFD-B0CEB2619FC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0" name="Straight Connector 2829">
            <a:extLst>
              <a:ext uri="{FF2B5EF4-FFF2-40B4-BE49-F238E27FC236}">
                <a16:creationId xmlns:a16="http://schemas.microsoft.com/office/drawing/2014/main" id="{2674A8F1-359B-C7C6-A0FF-1BC08C6F1F9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98</xdr:row>
      <xdr:rowOff>0</xdr:rowOff>
    </xdr:from>
    <xdr:to>
      <xdr:col>20</xdr:col>
      <xdr:colOff>238169</xdr:colOff>
      <xdr:row>100</xdr:row>
      <xdr:rowOff>50</xdr:rowOff>
    </xdr:to>
    <xdr:grpSp>
      <xdr:nvGrpSpPr>
        <xdr:cNvPr id="2837" name="Group 2836">
          <a:extLst>
            <a:ext uri="{FF2B5EF4-FFF2-40B4-BE49-F238E27FC236}">
              <a16:creationId xmlns:a16="http://schemas.microsoft.com/office/drawing/2014/main" id="{4914E907-165A-4D00-9CBF-1FAD412837BD}"/>
            </a:ext>
          </a:extLst>
        </xdr:cNvPr>
        <xdr:cNvGrpSpPr/>
      </xdr:nvGrpSpPr>
      <xdr:grpSpPr>
        <a:xfrm>
          <a:off x="9810750" y="18111107"/>
          <a:ext cx="238169" cy="353836"/>
          <a:chOff x="6143939" y="789134"/>
          <a:chExt cx="457200" cy="518966"/>
        </a:xfrm>
      </xdr:grpSpPr>
      <xdr:grpSp>
        <xdr:nvGrpSpPr>
          <xdr:cNvPr id="2838" name="Group 2837">
            <a:extLst>
              <a:ext uri="{FF2B5EF4-FFF2-40B4-BE49-F238E27FC236}">
                <a16:creationId xmlns:a16="http://schemas.microsoft.com/office/drawing/2014/main" id="{A7DF8A6C-7BD1-B0E2-6695-616D7947EDD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0" name="Straight Connector 2839">
              <a:extLst>
                <a:ext uri="{FF2B5EF4-FFF2-40B4-BE49-F238E27FC236}">
                  <a16:creationId xmlns:a16="http://schemas.microsoft.com/office/drawing/2014/main" id="{4B4D7A9E-1FCF-BD07-591E-39F69613C75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1" name="Straight Connector 2840">
              <a:extLst>
                <a:ext uri="{FF2B5EF4-FFF2-40B4-BE49-F238E27FC236}">
                  <a16:creationId xmlns:a16="http://schemas.microsoft.com/office/drawing/2014/main" id="{BDD35CD3-1B94-8389-C871-96883DBD306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2" name="Straight Connector 2841">
              <a:extLst>
                <a:ext uri="{FF2B5EF4-FFF2-40B4-BE49-F238E27FC236}">
                  <a16:creationId xmlns:a16="http://schemas.microsoft.com/office/drawing/2014/main" id="{2361C51A-0DAF-6EF2-7124-97BA168900F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3" name="Straight Connector 2842">
              <a:extLst>
                <a:ext uri="{FF2B5EF4-FFF2-40B4-BE49-F238E27FC236}">
                  <a16:creationId xmlns:a16="http://schemas.microsoft.com/office/drawing/2014/main" id="{12C27679-282B-5195-93FD-19054EAD337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4" name="Straight Connector 2843">
              <a:extLst>
                <a:ext uri="{FF2B5EF4-FFF2-40B4-BE49-F238E27FC236}">
                  <a16:creationId xmlns:a16="http://schemas.microsoft.com/office/drawing/2014/main" id="{EF1F3991-F26C-60F1-7294-E81B3F47EDE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45" name="Straight Connector 2844">
              <a:extLst>
                <a:ext uri="{FF2B5EF4-FFF2-40B4-BE49-F238E27FC236}">
                  <a16:creationId xmlns:a16="http://schemas.microsoft.com/office/drawing/2014/main" id="{91884468-C51C-58A6-5343-D5891055783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39" name="Straight Connector 2838">
            <a:extLst>
              <a:ext uri="{FF2B5EF4-FFF2-40B4-BE49-F238E27FC236}">
                <a16:creationId xmlns:a16="http://schemas.microsoft.com/office/drawing/2014/main" id="{0F091116-454B-9F4F-D3A8-ED4BD510400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98</xdr:row>
      <xdr:rowOff>0</xdr:rowOff>
    </xdr:from>
    <xdr:to>
      <xdr:col>22</xdr:col>
      <xdr:colOff>238169</xdr:colOff>
      <xdr:row>100</xdr:row>
      <xdr:rowOff>50</xdr:rowOff>
    </xdr:to>
    <xdr:grpSp>
      <xdr:nvGrpSpPr>
        <xdr:cNvPr id="2846" name="Group 2845">
          <a:extLst>
            <a:ext uri="{FF2B5EF4-FFF2-40B4-BE49-F238E27FC236}">
              <a16:creationId xmlns:a16="http://schemas.microsoft.com/office/drawing/2014/main" id="{09FF5984-92BC-4A1F-80E2-DE732AFBFAED}"/>
            </a:ext>
          </a:extLst>
        </xdr:cNvPr>
        <xdr:cNvGrpSpPr/>
      </xdr:nvGrpSpPr>
      <xdr:grpSpPr>
        <a:xfrm>
          <a:off x="10804071" y="18111107"/>
          <a:ext cx="238169" cy="353836"/>
          <a:chOff x="6143939" y="789134"/>
          <a:chExt cx="457200" cy="518966"/>
        </a:xfrm>
      </xdr:grpSpPr>
      <xdr:grpSp>
        <xdr:nvGrpSpPr>
          <xdr:cNvPr id="2847" name="Group 2846">
            <a:extLst>
              <a:ext uri="{FF2B5EF4-FFF2-40B4-BE49-F238E27FC236}">
                <a16:creationId xmlns:a16="http://schemas.microsoft.com/office/drawing/2014/main" id="{D6D03FA3-1EDD-0E27-B57F-EFDD2781882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49" name="Straight Connector 2848">
              <a:extLst>
                <a:ext uri="{FF2B5EF4-FFF2-40B4-BE49-F238E27FC236}">
                  <a16:creationId xmlns:a16="http://schemas.microsoft.com/office/drawing/2014/main" id="{4C1E6546-2A63-54F7-D70F-B69D987F85F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0" name="Straight Connector 2849">
              <a:extLst>
                <a:ext uri="{FF2B5EF4-FFF2-40B4-BE49-F238E27FC236}">
                  <a16:creationId xmlns:a16="http://schemas.microsoft.com/office/drawing/2014/main" id="{1D1F045C-1446-4449-B72B-38278E934B0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1" name="Straight Connector 2850">
              <a:extLst>
                <a:ext uri="{FF2B5EF4-FFF2-40B4-BE49-F238E27FC236}">
                  <a16:creationId xmlns:a16="http://schemas.microsoft.com/office/drawing/2014/main" id="{D0A42803-35D5-3E3E-103D-7A44AB62579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2" name="Straight Connector 2851">
              <a:extLst>
                <a:ext uri="{FF2B5EF4-FFF2-40B4-BE49-F238E27FC236}">
                  <a16:creationId xmlns:a16="http://schemas.microsoft.com/office/drawing/2014/main" id="{C3773D8C-D776-2E74-B0C5-6BD587CAE37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3" name="Straight Connector 2852">
              <a:extLst>
                <a:ext uri="{FF2B5EF4-FFF2-40B4-BE49-F238E27FC236}">
                  <a16:creationId xmlns:a16="http://schemas.microsoft.com/office/drawing/2014/main" id="{B531D066-3159-25CC-D548-26CA4A0F9F4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4" name="Straight Connector 2853">
              <a:extLst>
                <a:ext uri="{FF2B5EF4-FFF2-40B4-BE49-F238E27FC236}">
                  <a16:creationId xmlns:a16="http://schemas.microsoft.com/office/drawing/2014/main" id="{3568CE9A-3C34-17B3-624B-DC32B5E512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43423B23-4370-6F46-DA49-08C462BFC12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0</xdr:colOff>
      <xdr:row>98</xdr:row>
      <xdr:rowOff>0</xdr:rowOff>
    </xdr:from>
    <xdr:to>
      <xdr:col>24</xdr:col>
      <xdr:colOff>238169</xdr:colOff>
      <xdr:row>100</xdr:row>
      <xdr:rowOff>50</xdr:rowOff>
    </xdr:to>
    <xdr:grpSp>
      <xdr:nvGrpSpPr>
        <xdr:cNvPr id="2855" name="Group 2854">
          <a:extLst>
            <a:ext uri="{FF2B5EF4-FFF2-40B4-BE49-F238E27FC236}">
              <a16:creationId xmlns:a16="http://schemas.microsoft.com/office/drawing/2014/main" id="{CFB82D38-906A-4614-8A64-0859C55EACBE}"/>
            </a:ext>
          </a:extLst>
        </xdr:cNvPr>
        <xdr:cNvGrpSpPr/>
      </xdr:nvGrpSpPr>
      <xdr:grpSpPr>
        <a:xfrm>
          <a:off x="11797393" y="18111107"/>
          <a:ext cx="238169" cy="353836"/>
          <a:chOff x="6143939" y="789134"/>
          <a:chExt cx="457200" cy="518966"/>
        </a:xfrm>
      </xdr:grpSpPr>
      <xdr:grpSp>
        <xdr:nvGrpSpPr>
          <xdr:cNvPr id="2856" name="Group 2855">
            <a:extLst>
              <a:ext uri="{FF2B5EF4-FFF2-40B4-BE49-F238E27FC236}">
                <a16:creationId xmlns:a16="http://schemas.microsoft.com/office/drawing/2014/main" id="{330C6097-6CF0-2C0B-4FCE-2A9C42D3FE2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58" name="Straight Connector 2857">
              <a:extLst>
                <a:ext uri="{FF2B5EF4-FFF2-40B4-BE49-F238E27FC236}">
                  <a16:creationId xmlns:a16="http://schemas.microsoft.com/office/drawing/2014/main" id="{30BA8ED6-B6F8-FF1C-EEA7-771AD048001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59" name="Straight Connector 2858">
              <a:extLst>
                <a:ext uri="{FF2B5EF4-FFF2-40B4-BE49-F238E27FC236}">
                  <a16:creationId xmlns:a16="http://schemas.microsoft.com/office/drawing/2014/main" id="{5045AFDD-5D06-E57C-23C3-78BA479E7C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0" name="Straight Connector 2859">
              <a:extLst>
                <a:ext uri="{FF2B5EF4-FFF2-40B4-BE49-F238E27FC236}">
                  <a16:creationId xmlns:a16="http://schemas.microsoft.com/office/drawing/2014/main" id="{E78186AC-2FF7-672E-600F-D18C12B19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1" name="Straight Connector 2860">
              <a:extLst>
                <a:ext uri="{FF2B5EF4-FFF2-40B4-BE49-F238E27FC236}">
                  <a16:creationId xmlns:a16="http://schemas.microsoft.com/office/drawing/2014/main" id="{4CBA31AE-5DD1-D612-9F3D-0A5485CE651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2" name="Straight Connector 2861">
              <a:extLst>
                <a:ext uri="{FF2B5EF4-FFF2-40B4-BE49-F238E27FC236}">
                  <a16:creationId xmlns:a16="http://schemas.microsoft.com/office/drawing/2014/main" id="{0E7EE59E-91E5-0AA6-88E1-AF013229E9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3" name="Straight Connector 2862">
              <a:extLst>
                <a:ext uri="{FF2B5EF4-FFF2-40B4-BE49-F238E27FC236}">
                  <a16:creationId xmlns:a16="http://schemas.microsoft.com/office/drawing/2014/main" id="{FF96C4A3-296B-34FB-739E-E887F18B4CA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57" name="Straight Connector 2856">
            <a:extLst>
              <a:ext uri="{FF2B5EF4-FFF2-40B4-BE49-F238E27FC236}">
                <a16:creationId xmlns:a16="http://schemas.microsoft.com/office/drawing/2014/main" id="{648D7536-EF8B-CD42-A515-5928CEEEA8A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98</xdr:row>
      <xdr:rowOff>0</xdr:rowOff>
    </xdr:from>
    <xdr:to>
      <xdr:col>26</xdr:col>
      <xdr:colOff>238169</xdr:colOff>
      <xdr:row>100</xdr:row>
      <xdr:rowOff>50</xdr:rowOff>
    </xdr:to>
    <xdr:grpSp>
      <xdr:nvGrpSpPr>
        <xdr:cNvPr id="2864" name="Group 2863">
          <a:extLst>
            <a:ext uri="{FF2B5EF4-FFF2-40B4-BE49-F238E27FC236}">
              <a16:creationId xmlns:a16="http://schemas.microsoft.com/office/drawing/2014/main" id="{694C4B9C-A362-4BEB-81DE-B54A3F4779A5}"/>
            </a:ext>
          </a:extLst>
        </xdr:cNvPr>
        <xdr:cNvGrpSpPr/>
      </xdr:nvGrpSpPr>
      <xdr:grpSpPr>
        <a:xfrm>
          <a:off x="12790714" y="18111107"/>
          <a:ext cx="238169" cy="353836"/>
          <a:chOff x="6143939" y="789134"/>
          <a:chExt cx="457200" cy="518966"/>
        </a:xfrm>
      </xdr:grpSpPr>
      <xdr:grpSp>
        <xdr:nvGrpSpPr>
          <xdr:cNvPr id="2865" name="Group 2864">
            <a:extLst>
              <a:ext uri="{FF2B5EF4-FFF2-40B4-BE49-F238E27FC236}">
                <a16:creationId xmlns:a16="http://schemas.microsoft.com/office/drawing/2014/main" id="{B3958593-BA76-6D1B-21A3-D5603DF06DD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67" name="Straight Connector 2866">
              <a:extLst>
                <a:ext uri="{FF2B5EF4-FFF2-40B4-BE49-F238E27FC236}">
                  <a16:creationId xmlns:a16="http://schemas.microsoft.com/office/drawing/2014/main" id="{CE9498C3-3AE5-B883-7F6C-32ABD011638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8" name="Straight Connector 2867">
              <a:extLst>
                <a:ext uri="{FF2B5EF4-FFF2-40B4-BE49-F238E27FC236}">
                  <a16:creationId xmlns:a16="http://schemas.microsoft.com/office/drawing/2014/main" id="{41FF3CDC-EF78-6FEA-EF69-C774B9B084F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69" name="Straight Connector 2868">
              <a:extLst>
                <a:ext uri="{FF2B5EF4-FFF2-40B4-BE49-F238E27FC236}">
                  <a16:creationId xmlns:a16="http://schemas.microsoft.com/office/drawing/2014/main" id="{19ED8456-5B7C-659B-9A0A-C068F9583FB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0" name="Straight Connector 2869">
              <a:extLst>
                <a:ext uri="{FF2B5EF4-FFF2-40B4-BE49-F238E27FC236}">
                  <a16:creationId xmlns:a16="http://schemas.microsoft.com/office/drawing/2014/main" id="{14BF3036-5942-CC5B-B211-7B69469557B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1" name="Straight Connector 2870">
              <a:extLst>
                <a:ext uri="{FF2B5EF4-FFF2-40B4-BE49-F238E27FC236}">
                  <a16:creationId xmlns:a16="http://schemas.microsoft.com/office/drawing/2014/main" id="{4E004C63-91C0-6B8E-E5AF-1D8F4BB3A3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2" name="Straight Connector 2871">
              <a:extLst>
                <a:ext uri="{FF2B5EF4-FFF2-40B4-BE49-F238E27FC236}">
                  <a16:creationId xmlns:a16="http://schemas.microsoft.com/office/drawing/2014/main" id="{B82B6038-6BD3-4551-B99F-002DFBC1BB7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66" name="Straight Connector 2865">
            <a:extLst>
              <a:ext uri="{FF2B5EF4-FFF2-40B4-BE49-F238E27FC236}">
                <a16:creationId xmlns:a16="http://schemas.microsoft.com/office/drawing/2014/main" id="{D3FEDE4F-E07D-121C-0834-E881F0DA8AA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2267</xdr:colOff>
      <xdr:row>98</xdr:row>
      <xdr:rowOff>21772</xdr:rowOff>
    </xdr:from>
    <xdr:to>
      <xdr:col>28</xdr:col>
      <xdr:colOff>238168</xdr:colOff>
      <xdr:row>100</xdr:row>
      <xdr:rowOff>7670</xdr:rowOff>
    </xdr:to>
    <xdr:grpSp>
      <xdr:nvGrpSpPr>
        <xdr:cNvPr id="2873" name="Group 2872">
          <a:extLst>
            <a:ext uri="{FF2B5EF4-FFF2-40B4-BE49-F238E27FC236}">
              <a16:creationId xmlns:a16="http://schemas.microsoft.com/office/drawing/2014/main" id="{3A77551F-748D-4DF1-B5AC-15FC2F6A8918}"/>
            </a:ext>
          </a:extLst>
        </xdr:cNvPr>
        <xdr:cNvGrpSpPr/>
      </xdr:nvGrpSpPr>
      <xdr:grpSpPr>
        <a:xfrm>
          <a:off x="13786303" y="18132879"/>
          <a:ext cx="235901" cy="339684"/>
          <a:chOff x="6143939" y="789134"/>
          <a:chExt cx="457200" cy="518966"/>
        </a:xfrm>
      </xdr:grpSpPr>
      <xdr:grpSp>
        <xdr:nvGrpSpPr>
          <xdr:cNvPr id="2874" name="Group 2873">
            <a:extLst>
              <a:ext uri="{FF2B5EF4-FFF2-40B4-BE49-F238E27FC236}">
                <a16:creationId xmlns:a16="http://schemas.microsoft.com/office/drawing/2014/main" id="{62F3312C-2980-8318-B4D4-23D2527F989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876" name="Straight Connector 2875">
              <a:extLst>
                <a:ext uri="{FF2B5EF4-FFF2-40B4-BE49-F238E27FC236}">
                  <a16:creationId xmlns:a16="http://schemas.microsoft.com/office/drawing/2014/main" id="{0233E500-81DC-3270-394A-A201AD1E2FC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7" name="Straight Connector 2876">
              <a:extLst>
                <a:ext uri="{FF2B5EF4-FFF2-40B4-BE49-F238E27FC236}">
                  <a16:creationId xmlns:a16="http://schemas.microsoft.com/office/drawing/2014/main" id="{5869CAB2-FF22-635C-B00C-F6DE3C88ED81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8" name="Straight Connector 2877">
              <a:extLst>
                <a:ext uri="{FF2B5EF4-FFF2-40B4-BE49-F238E27FC236}">
                  <a16:creationId xmlns:a16="http://schemas.microsoft.com/office/drawing/2014/main" id="{2A32F044-CE61-3DDA-E8E0-F0B1DC9B34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79" name="Straight Connector 2878">
              <a:extLst>
                <a:ext uri="{FF2B5EF4-FFF2-40B4-BE49-F238E27FC236}">
                  <a16:creationId xmlns:a16="http://schemas.microsoft.com/office/drawing/2014/main" id="{838EB40F-8397-49F1-1564-87B1B7BA13E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0" name="Straight Connector 2879">
              <a:extLst>
                <a:ext uri="{FF2B5EF4-FFF2-40B4-BE49-F238E27FC236}">
                  <a16:creationId xmlns:a16="http://schemas.microsoft.com/office/drawing/2014/main" id="{EC58174A-6BBC-53E7-E1A0-840A7B5EFD9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81" name="Straight Connector 2880">
              <a:extLst>
                <a:ext uri="{FF2B5EF4-FFF2-40B4-BE49-F238E27FC236}">
                  <a16:creationId xmlns:a16="http://schemas.microsoft.com/office/drawing/2014/main" id="{8320CB92-67CA-D9A1-C40F-446F94342FA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875" name="Straight Connector 2874">
            <a:extLst>
              <a:ext uri="{FF2B5EF4-FFF2-40B4-BE49-F238E27FC236}">
                <a16:creationId xmlns:a16="http://schemas.microsoft.com/office/drawing/2014/main" id="{DDDF88DA-154B-FAAF-F4FF-F02420D3B45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4</xdr:col>
      <xdr:colOff>54428</xdr:colOff>
      <xdr:row>94</xdr:row>
      <xdr:rowOff>21771</xdr:rowOff>
    </xdr:from>
    <xdr:to>
      <xdr:col>5</xdr:col>
      <xdr:colOff>3276</xdr:colOff>
      <xdr:row>96</xdr:row>
      <xdr:rowOff>31447</xdr:rowOff>
    </xdr:to>
    <xdr:pic>
      <xdr:nvPicPr>
        <xdr:cNvPr id="2882" name="Picture 2881" descr="Gas pipeline line icon concept. Gas ...">
          <a:extLst>
            <a:ext uri="{FF2B5EF4-FFF2-40B4-BE49-F238E27FC236}">
              <a16:creationId xmlns:a16="http://schemas.microsoft.com/office/drawing/2014/main" id="{CB3B32D1-6650-4022-8665-6088CDBA15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6135188" y="13356771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175837</xdr:colOff>
      <xdr:row>91</xdr:row>
      <xdr:rowOff>99784</xdr:rowOff>
    </xdr:from>
    <xdr:to>
      <xdr:col>8</xdr:col>
      <xdr:colOff>325692</xdr:colOff>
      <xdr:row>97</xdr:row>
      <xdr:rowOff>14540</xdr:rowOff>
    </xdr:to>
    <xdr:pic>
      <xdr:nvPicPr>
        <xdr:cNvPr id="2883" name="Picture 2882">
          <a:extLst>
            <a:ext uri="{FF2B5EF4-FFF2-40B4-BE49-F238E27FC236}">
              <a16:creationId xmlns:a16="http://schemas.microsoft.com/office/drawing/2014/main" id="{A6DEB2B9-6D82-47B8-9AE3-BB72B1751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163637" y="16711384"/>
          <a:ext cx="149855" cy="90535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105</xdr:row>
      <xdr:rowOff>0</xdr:rowOff>
    </xdr:from>
    <xdr:to>
      <xdr:col>14</xdr:col>
      <xdr:colOff>382764</xdr:colOff>
      <xdr:row>107</xdr:row>
      <xdr:rowOff>9680</xdr:rowOff>
    </xdr:to>
    <xdr:pic>
      <xdr:nvPicPr>
        <xdr:cNvPr id="2884" name="Picture 2883" descr="Gas pipeline line icon concept. Gas ...">
          <a:extLst>
            <a:ext uri="{FF2B5EF4-FFF2-40B4-BE49-F238E27FC236}">
              <a16:creationId xmlns:a16="http://schemas.microsoft.com/office/drawing/2014/main" id="{17D8CFA2-0B5E-4DF2-AFB2-D71790EEB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105</xdr:row>
      <xdr:rowOff>0</xdr:rowOff>
    </xdr:from>
    <xdr:to>
      <xdr:col>28</xdr:col>
      <xdr:colOff>382764</xdr:colOff>
      <xdr:row>107</xdr:row>
      <xdr:rowOff>9680</xdr:rowOff>
    </xdr:to>
    <xdr:pic>
      <xdr:nvPicPr>
        <xdr:cNvPr id="2885" name="Picture 2884" descr="Gas pipeline line icon concept. Gas ...">
          <a:extLst>
            <a:ext uri="{FF2B5EF4-FFF2-40B4-BE49-F238E27FC236}">
              <a16:creationId xmlns:a16="http://schemas.microsoft.com/office/drawing/2014/main" id="{ED562F83-1819-43B4-A1D5-BFE4EABF47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1705356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43542</xdr:colOff>
      <xdr:row>116</xdr:row>
      <xdr:rowOff>32658</xdr:rowOff>
    </xdr:from>
    <xdr:to>
      <xdr:col>28</xdr:col>
      <xdr:colOff>426306</xdr:colOff>
      <xdr:row>118</xdr:row>
      <xdr:rowOff>42335</xdr:rowOff>
    </xdr:to>
    <xdr:pic>
      <xdr:nvPicPr>
        <xdr:cNvPr id="2886" name="Picture 2885" descr="Gas pipeline line icon concept. Gas ...">
          <a:extLst>
            <a:ext uri="{FF2B5EF4-FFF2-40B4-BE49-F238E27FC236}">
              <a16:creationId xmlns:a16="http://schemas.microsoft.com/office/drawing/2014/main" id="{9C8E8140-D12A-466F-BB08-EF01937CC1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15342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76200</xdr:colOff>
      <xdr:row>116</xdr:row>
      <xdr:rowOff>32658</xdr:rowOff>
    </xdr:from>
    <xdr:to>
      <xdr:col>31</xdr:col>
      <xdr:colOff>6034</xdr:colOff>
      <xdr:row>118</xdr:row>
      <xdr:rowOff>42335</xdr:rowOff>
    </xdr:to>
    <xdr:pic>
      <xdr:nvPicPr>
        <xdr:cNvPr id="2887" name="Picture 2886" descr="Gas pipeline line icon concept. Gas ...">
          <a:extLst>
            <a:ext uri="{FF2B5EF4-FFF2-40B4-BE49-F238E27FC236}">
              <a16:creationId xmlns:a16="http://schemas.microsoft.com/office/drawing/2014/main" id="{FD3BBF21-C397-47C6-B02D-A01284EAF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084320" y="18945498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130628</xdr:colOff>
      <xdr:row>131</xdr:row>
      <xdr:rowOff>32658</xdr:rowOff>
    </xdr:from>
    <xdr:ext cx="172171" cy="544286"/>
    <xdr:pic>
      <xdr:nvPicPr>
        <xdr:cNvPr id="2888" name="Picture 11595">
          <a:extLst>
            <a:ext uri="{FF2B5EF4-FFF2-40B4-BE49-F238E27FC236}">
              <a16:creationId xmlns:a16="http://schemas.microsoft.com/office/drawing/2014/main" id="{8088FBE3-408B-493F-BB3A-80072F03D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1388" y="19616058"/>
          <a:ext cx="172171" cy="544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16</xdr:col>
      <xdr:colOff>0</xdr:colOff>
      <xdr:row>127</xdr:row>
      <xdr:rowOff>0</xdr:rowOff>
    </xdr:from>
    <xdr:to>
      <xdr:col>16</xdr:col>
      <xdr:colOff>382764</xdr:colOff>
      <xdr:row>129</xdr:row>
      <xdr:rowOff>9677</xdr:rowOff>
    </xdr:to>
    <xdr:pic>
      <xdr:nvPicPr>
        <xdr:cNvPr id="2889" name="Picture 2888" descr="Gas pipeline line icon concept. Gas ...">
          <a:extLst>
            <a:ext uri="{FF2B5EF4-FFF2-40B4-BE49-F238E27FC236}">
              <a16:creationId xmlns:a16="http://schemas.microsoft.com/office/drawing/2014/main" id="{668C080F-A32F-4047-88F1-D893D257191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2306300" y="1891284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174171</xdr:colOff>
      <xdr:row>131</xdr:row>
      <xdr:rowOff>76200</xdr:rowOff>
    </xdr:from>
    <xdr:ext cx="108857" cy="550604"/>
    <xdr:pic>
      <xdr:nvPicPr>
        <xdr:cNvPr id="2890" name="Picture 11595">
          <a:extLst>
            <a:ext uri="{FF2B5EF4-FFF2-40B4-BE49-F238E27FC236}">
              <a16:creationId xmlns:a16="http://schemas.microsoft.com/office/drawing/2014/main" id="{5B40F2E0-000D-4B7E-A3E9-C22374E66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80471" y="1965960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141515</xdr:colOff>
      <xdr:row>131</xdr:row>
      <xdr:rowOff>43543</xdr:rowOff>
    </xdr:from>
    <xdr:ext cx="108857" cy="550604"/>
    <xdr:pic>
      <xdr:nvPicPr>
        <xdr:cNvPr id="2891" name="Picture 11595">
          <a:extLst>
            <a:ext uri="{FF2B5EF4-FFF2-40B4-BE49-F238E27FC236}">
              <a16:creationId xmlns:a16="http://schemas.microsoft.com/office/drawing/2014/main" id="{C3E962CD-FF25-471E-90CE-D300C9ACD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84135" y="19626943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152400</xdr:colOff>
      <xdr:row>131</xdr:row>
      <xdr:rowOff>54428</xdr:rowOff>
    </xdr:from>
    <xdr:ext cx="108857" cy="550604"/>
    <xdr:pic>
      <xdr:nvPicPr>
        <xdr:cNvPr id="2892" name="Picture 11595">
          <a:extLst>
            <a:ext uri="{FF2B5EF4-FFF2-40B4-BE49-F238E27FC236}">
              <a16:creationId xmlns:a16="http://schemas.microsoft.com/office/drawing/2014/main" id="{9290A4B5-FF33-4AD7-9F3B-D907DA65B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67660" y="19637828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26</xdr:col>
      <xdr:colOff>152400</xdr:colOff>
      <xdr:row>131</xdr:row>
      <xdr:rowOff>32657</xdr:rowOff>
    </xdr:from>
    <xdr:ext cx="108857" cy="550604"/>
    <xdr:pic>
      <xdr:nvPicPr>
        <xdr:cNvPr id="2893" name="Picture 11595">
          <a:extLst>
            <a:ext uri="{FF2B5EF4-FFF2-40B4-BE49-F238E27FC236}">
              <a16:creationId xmlns:a16="http://schemas.microsoft.com/office/drawing/2014/main" id="{E9C442CD-EDAB-403E-8749-2E68B9225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7880" y="21810617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14</xdr:col>
      <xdr:colOff>0</xdr:colOff>
      <xdr:row>140</xdr:row>
      <xdr:rowOff>0</xdr:rowOff>
    </xdr:from>
    <xdr:to>
      <xdr:col>14</xdr:col>
      <xdr:colOff>382764</xdr:colOff>
      <xdr:row>142</xdr:row>
      <xdr:rowOff>9677</xdr:rowOff>
    </xdr:to>
    <xdr:pic>
      <xdr:nvPicPr>
        <xdr:cNvPr id="2894" name="Picture 2893" descr="Gas pipeline line icon concept. Gas ...">
          <a:extLst>
            <a:ext uri="{FF2B5EF4-FFF2-40B4-BE49-F238E27FC236}">
              <a16:creationId xmlns:a16="http://schemas.microsoft.com/office/drawing/2014/main" id="{832DFAB0-A9D4-47EA-847D-34809079FD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26998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0</xdr:colOff>
      <xdr:row>140</xdr:row>
      <xdr:rowOff>0</xdr:rowOff>
    </xdr:from>
    <xdr:to>
      <xdr:col>20</xdr:col>
      <xdr:colOff>382764</xdr:colOff>
      <xdr:row>142</xdr:row>
      <xdr:rowOff>9677</xdr:rowOff>
    </xdr:to>
    <xdr:pic>
      <xdr:nvPicPr>
        <xdr:cNvPr id="2895" name="Picture 2894" descr="Gas pipeline line icon concept. Gas ...">
          <a:extLst>
            <a:ext uri="{FF2B5EF4-FFF2-40B4-BE49-F238E27FC236}">
              <a16:creationId xmlns:a16="http://schemas.microsoft.com/office/drawing/2014/main" id="{E1EE20F3-B0B6-4742-9546-167F512DB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21107400"/>
          <a:ext cx="382764" cy="268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118656</xdr:colOff>
      <xdr:row>39</xdr:row>
      <xdr:rowOff>90351</xdr:rowOff>
    </xdr:from>
    <xdr:to>
      <xdr:col>26</xdr:col>
      <xdr:colOff>271854</xdr:colOff>
      <xdr:row>42</xdr:row>
      <xdr:rowOff>9709</xdr:rowOff>
    </xdr:to>
    <xdr:pic>
      <xdr:nvPicPr>
        <xdr:cNvPr id="2896" name="Picture 2895">
          <a:extLst>
            <a:ext uri="{FF2B5EF4-FFF2-40B4-BE49-F238E27FC236}">
              <a16:creationId xmlns:a16="http://schemas.microsoft.com/office/drawing/2014/main" id="{A0CC66F4-CB44-4080-B664-4B9587E63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54136" y="5614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130629</xdr:colOff>
      <xdr:row>51</xdr:row>
      <xdr:rowOff>43543</xdr:rowOff>
    </xdr:from>
    <xdr:to>
      <xdr:col>2</xdr:col>
      <xdr:colOff>283827</xdr:colOff>
      <xdr:row>54</xdr:row>
      <xdr:rowOff>74026</xdr:rowOff>
    </xdr:to>
    <xdr:pic>
      <xdr:nvPicPr>
        <xdr:cNvPr id="2897" name="Picture 2896">
          <a:extLst>
            <a:ext uri="{FF2B5EF4-FFF2-40B4-BE49-F238E27FC236}">
              <a16:creationId xmlns:a16="http://schemas.microsoft.com/office/drawing/2014/main" id="{3F50F70E-767A-4BD1-AECC-F08FFF78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5069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185057</xdr:colOff>
      <xdr:row>51</xdr:row>
      <xdr:rowOff>54429</xdr:rowOff>
    </xdr:from>
    <xdr:to>
      <xdr:col>6</xdr:col>
      <xdr:colOff>338255</xdr:colOff>
      <xdr:row>54</xdr:row>
      <xdr:rowOff>84912</xdr:rowOff>
    </xdr:to>
    <xdr:pic>
      <xdr:nvPicPr>
        <xdr:cNvPr id="2898" name="Picture 2897">
          <a:extLst>
            <a:ext uri="{FF2B5EF4-FFF2-40B4-BE49-F238E27FC236}">
              <a16:creationId xmlns:a16="http://schemas.microsoft.com/office/drawing/2014/main" id="{7A84F693-A529-43AA-8C19-C6A5D1B51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02137" y="5578929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239486</xdr:colOff>
      <xdr:row>51</xdr:row>
      <xdr:rowOff>43543</xdr:rowOff>
    </xdr:from>
    <xdr:to>
      <xdr:col>10</xdr:col>
      <xdr:colOff>392684</xdr:colOff>
      <xdr:row>54</xdr:row>
      <xdr:rowOff>74026</xdr:rowOff>
    </xdr:to>
    <xdr:pic>
      <xdr:nvPicPr>
        <xdr:cNvPr id="2899" name="Picture 2898">
          <a:extLst>
            <a:ext uri="{FF2B5EF4-FFF2-40B4-BE49-F238E27FC236}">
              <a16:creationId xmlns:a16="http://schemas.microsoft.com/office/drawing/2014/main" id="{EFBF98E8-E865-455A-B922-B84504BFB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36826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51</xdr:row>
      <xdr:rowOff>0</xdr:rowOff>
    </xdr:from>
    <xdr:to>
      <xdr:col>12</xdr:col>
      <xdr:colOff>316484</xdr:colOff>
      <xdr:row>54</xdr:row>
      <xdr:rowOff>30483</xdr:rowOff>
    </xdr:to>
    <xdr:pic>
      <xdr:nvPicPr>
        <xdr:cNvPr id="2900" name="Picture 2899">
          <a:extLst>
            <a:ext uri="{FF2B5EF4-FFF2-40B4-BE49-F238E27FC236}">
              <a16:creationId xmlns:a16="http://schemas.microsoft.com/office/drawing/2014/main" id="{5E271492-7446-4A2A-8EC6-C83BE4444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552450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14</xdr:col>
      <xdr:colOff>130628</xdr:colOff>
      <xdr:row>50</xdr:row>
      <xdr:rowOff>152400</xdr:rowOff>
    </xdr:from>
    <xdr:to>
      <xdr:col>14</xdr:col>
      <xdr:colOff>283826</xdr:colOff>
      <xdr:row>54</xdr:row>
      <xdr:rowOff>34836</xdr:rowOff>
    </xdr:to>
    <xdr:pic>
      <xdr:nvPicPr>
        <xdr:cNvPr id="2901" name="Picture 2900">
          <a:extLst>
            <a:ext uri="{FF2B5EF4-FFF2-40B4-BE49-F238E27FC236}">
              <a16:creationId xmlns:a16="http://schemas.microsoft.com/office/drawing/2014/main" id="{0E2CBE72-8263-4F47-9784-2A5188754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400608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217714</xdr:colOff>
      <xdr:row>51</xdr:row>
      <xdr:rowOff>43543</xdr:rowOff>
    </xdr:from>
    <xdr:to>
      <xdr:col>18</xdr:col>
      <xdr:colOff>370912</xdr:colOff>
      <xdr:row>54</xdr:row>
      <xdr:rowOff>74026</xdr:rowOff>
    </xdr:to>
    <xdr:pic>
      <xdr:nvPicPr>
        <xdr:cNvPr id="2902" name="Picture 2901">
          <a:extLst>
            <a:ext uri="{FF2B5EF4-FFF2-40B4-BE49-F238E27FC236}">
              <a16:creationId xmlns:a16="http://schemas.microsoft.com/office/drawing/2014/main" id="{2C2443DA-BB0D-4BDF-87E7-5811EC3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60334" y="55680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152400</xdr:colOff>
      <xdr:row>50</xdr:row>
      <xdr:rowOff>152400</xdr:rowOff>
    </xdr:from>
    <xdr:to>
      <xdr:col>20</xdr:col>
      <xdr:colOff>305598</xdr:colOff>
      <xdr:row>54</xdr:row>
      <xdr:rowOff>34836</xdr:rowOff>
    </xdr:to>
    <xdr:pic>
      <xdr:nvPicPr>
        <xdr:cNvPr id="2903" name="Picture 2902">
          <a:extLst>
            <a:ext uri="{FF2B5EF4-FFF2-40B4-BE49-F238E27FC236}">
              <a16:creationId xmlns:a16="http://schemas.microsoft.com/office/drawing/2014/main" id="{D2C404F4-62C6-4ACA-84F2-77BB4AC8D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31340" y="5509260"/>
          <a:ext cx="153198" cy="423455"/>
        </a:xfrm>
        <a:prstGeom prst="rect">
          <a:avLst/>
        </a:prstGeom>
      </xdr:spPr>
    </xdr:pic>
    <xdr:clientData/>
  </xdr:twoCellAnchor>
  <xdr:twoCellAnchor editAs="oneCell">
    <xdr:from>
      <xdr:col>10</xdr:col>
      <xdr:colOff>141514</xdr:colOff>
      <xdr:row>63</xdr:row>
      <xdr:rowOff>10886</xdr:rowOff>
    </xdr:from>
    <xdr:to>
      <xdr:col>10</xdr:col>
      <xdr:colOff>294712</xdr:colOff>
      <xdr:row>66</xdr:row>
      <xdr:rowOff>41364</xdr:rowOff>
    </xdr:to>
    <xdr:pic>
      <xdr:nvPicPr>
        <xdr:cNvPr id="2904" name="Picture 2903">
          <a:extLst>
            <a:ext uri="{FF2B5EF4-FFF2-40B4-BE49-F238E27FC236}">
              <a16:creationId xmlns:a16="http://schemas.microsoft.com/office/drawing/2014/main" id="{9E2C4015-EBB5-4467-AE09-074BA132D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38854" y="759278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163286</xdr:colOff>
      <xdr:row>63</xdr:row>
      <xdr:rowOff>10885</xdr:rowOff>
    </xdr:from>
    <xdr:to>
      <xdr:col>12</xdr:col>
      <xdr:colOff>316484</xdr:colOff>
      <xdr:row>66</xdr:row>
      <xdr:rowOff>41363</xdr:rowOff>
    </xdr:to>
    <xdr:pic>
      <xdr:nvPicPr>
        <xdr:cNvPr id="2905" name="Picture 2904">
          <a:extLst>
            <a:ext uri="{FF2B5EF4-FFF2-40B4-BE49-F238E27FC236}">
              <a16:creationId xmlns:a16="http://schemas.microsoft.com/office/drawing/2014/main" id="{44A243DB-23E0-4D95-83BF-5E18F9E3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96946" y="7592785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228601</xdr:colOff>
      <xdr:row>63</xdr:row>
      <xdr:rowOff>119743</xdr:rowOff>
    </xdr:from>
    <xdr:to>
      <xdr:col>18</xdr:col>
      <xdr:colOff>381799</xdr:colOff>
      <xdr:row>67</xdr:row>
      <xdr:rowOff>21770</xdr:rowOff>
    </xdr:to>
    <xdr:pic>
      <xdr:nvPicPr>
        <xdr:cNvPr id="2906" name="Picture 2905">
          <a:extLst>
            <a:ext uri="{FF2B5EF4-FFF2-40B4-BE49-F238E27FC236}">
              <a16:creationId xmlns:a16="http://schemas.microsoft.com/office/drawing/2014/main" id="{669ACF81-D4CB-4FDE-9B5B-B132CB8C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71221" y="7701643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24</xdr:col>
      <xdr:colOff>108857</xdr:colOff>
      <xdr:row>63</xdr:row>
      <xdr:rowOff>32657</xdr:rowOff>
    </xdr:from>
    <xdr:to>
      <xdr:col>24</xdr:col>
      <xdr:colOff>262055</xdr:colOff>
      <xdr:row>66</xdr:row>
      <xdr:rowOff>63139</xdr:rowOff>
    </xdr:to>
    <xdr:pic>
      <xdr:nvPicPr>
        <xdr:cNvPr id="2907" name="Picture 2906">
          <a:extLst>
            <a:ext uri="{FF2B5EF4-FFF2-40B4-BE49-F238E27FC236}">
              <a16:creationId xmlns:a16="http://schemas.microsoft.com/office/drawing/2014/main" id="{85A3CDEB-6B5B-4766-BCA0-E0004446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8017" y="9816737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63</xdr:row>
      <xdr:rowOff>21771</xdr:rowOff>
    </xdr:from>
    <xdr:to>
      <xdr:col>26</xdr:col>
      <xdr:colOff>283827</xdr:colOff>
      <xdr:row>66</xdr:row>
      <xdr:rowOff>52253</xdr:rowOff>
    </xdr:to>
    <xdr:pic>
      <xdr:nvPicPr>
        <xdr:cNvPr id="2908" name="Picture 2907">
          <a:extLst>
            <a:ext uri="{FF2B5EF4-FFF2-40B4-BE49-F238E27FC236}">
              <a16:creationId xmlns:a16="http://schemas.microsoft.com/office/drawing/2014/main" id="{AE121C91-EF03-44AA-8983-E6CAF5CC1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980585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119743</xdr:colOff>
      <xdr:row>76</xdr:row>
      <xdr:rowOff>0</xdr:rowOff>
    </xdr:from>
    <xdr:to>
      <xdr:col>12</xdr:col>
      <xdr:colOff>272941</xdr:colOff>
      <xdr:row>79</xdr:row>
      <xdr:rowOff>30482</xdr:rowOff>
    </xdr:to>
    <xdr:pic>
      <xdr:nvPicPr>
        <xdr:cNvPr id="2909" name="Picture 2908">
          <a:extLst>
            <a:ext uri="{FF2B5EF4-FFF2-40B4-BE49-F238E27FC236}">
              <a16:creationId xmlns:a16="http://schemas.microsoft.com/office/drawing/2014/main" id="{34E6D0D1-3E1F-4A22-BA29-3311F3476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53403" y="978408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152400</xdr:colOff>
      <xdr:row>76</xdr:row>
      <xdr:rowOff>0</xdr:rowOff>
    </xdr:from>
    <xdr:to>
      <xdr:col>24</xdr:col>
      <xdr:colOff>305598</xdr:colOff>
      <xdr:row>79</xdr:row>
      <xdr:rowOff>33743</xdr:rowOff>
    </xdr:to>
    <xdr:pic>
      <xdr:nvPicPr>
        <xdr:cNvPr id="2910" name="Picture 2909">
          <a:extLst>
            <a:ext uri="{FF2B5EF4-FFF2-40B4-BE49-F238E27FC236}">
              <a16:creationId xmlns:a16="http://schemas.microsoft.com/office/drawing/2014/main" id="{F3CA122B-8700-4B37-AECF-8371244D1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51560" y="12161520"/>
          <a:ext cx="153198" cy="422365"/>
        </a:xfrm>
        <a:prstGeom prst="rect">
          <a:avLst/>
        </a:prstGeom>
      </xdr:spPr>
    </xdr:pic>
    <xdr:clientData/>
  </xdr:twoCellAnchor>
  <xdr:twoCellAnchor editAs="oneCell">
    <xdr:from>
      <xdr:col>26</xdr:col>
      <xdr:colOff>130629</xdr:colOff>
      <xdr:row>75</xdr:row>
      <xdr:rowOff>163286</xdr:rowOff>
    </xdr:from>
    <xdr:to>
      <xdr:col>26</xdr:col>
      <xdr:colOff>283827</xdr:colOff>
      <xdr:row>79</xdr:row>
      <xdr:rowOff>38099</xdr:rowOff>
    </xdr:to>
    <xdr:pic>
      <xdr:nvPicPr>
        <xdr:cNvPr id="2911" name="Picture 2910">
          <a:extLst>
            <a:ext uri="{FF2B5EF4-FFF2-40B4-BE49-F238E27FC236}">
              <a16:creationId xmlns:a16="http://schemas.microsoft.com/office/drawing/2014/main" id="{13593E28-A42A-462E-BCB1-4F1262897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66109" y="12149546"/>
          <a:ext cx="153198" cy="423454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163286</xdr:colOff>
      <xdr:row>109</xdr:row>
      <xdr:rowOff>21771</xdr:rowOff>
    </xdr:from>
    <xdr:to>
      <xdr:col>8</xdr:col>
      <xdr:colOff>316484</xdr:colOff>
      <xdr:row>112</xdr:row>
      <xdr:rowOff>52251</xdr:rowOff>
    </xdr:to>
    <xdr:pic>
      <xdr:nvPicPr>
        <xdr:cNvPr id="2912" name="Picture 2911">
          <a:extLst>
            <a:ext uri="{FF2B5EF4-FFF2-40B4-BE49-F238E27FC236}">
              <a16:creationId xmlns:a16="http://schemas.microsoft.com/office/drawing/2014/main" id="{48AA8175-95A0-4746-B04A-6F609256E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16686" y="1588661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16</xdr:col>
      <xdr:colOff>141514</xdr:colOff>
      <xdr:row>109</xdr:row>
      <xdr:rowOff>0</xdr:rowOff>
    </xdr:from>
    <xdr:to>
      <xdr:col>16</xdr:col>
      <xdr:colOff>294712</xdr:colOff>
      <xdr:row>112</xdr:row>
      <xdr:rowOff>30480</xdr:rowOff>
    </xdr:to>
    <xdr:pic>
      <xdr:nvPicPr>
        <xdr:cNvPr id="2913" name="Picture 2912">
          <a:extLst>
            <a:ext uri="{FF2B5EF4-FFF2-40B4-BE49-F238E27FC236}">
              <a16:creationId xmlns:a16="http://schemas.microsoft.com/office/drawing/2014/main" id="{ADAE73DB-31EC-4832-8962-45E5BC8A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7814" y="1586484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105</xdr:row>
      <xdr:rowOff>0</xdr:rowOff>
    </xdr:from>
    <xdr:to>
      <xdr:col>20</xdr:col>
      <xdr:colOff>382764</xdr:colOff>
      <xdr:row>107</xdr:row>
      <xdr:rowOff>9680</xdr:rowOff>
    </xdr:to>
    <xdr:pic>
      <xdr:nvPicPr>
        <xdr:cNvPr id="2914" name="Picture 2913" descr="Gas pipeline line icon concept. Gas ...">
          <a:extLst>
            <a:ext uri="{FF2B5EF4-FFF2-40B4-BE49-F238E27FC236}">
              <a16:creationId xmlns:a16="http://schemas.microsoft.com/office/drawing/2014/main" id="{4C3ACB23-90AD-482C-ADF0-93626B79F1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378940" y="15194280"/>
          <a:ext cx="382764" cy="268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26</xdr:col>
      <xdr:colOff>65315</xdr:colOff>
      <xdr:row>109</xdr:row>
      <xdr:rowOff>21771</xdr:rowOff>
    </xdr:from>
    <xdr:to>
      <xdr:col>26</xdr:col>
      <xdr:colOff>283029</xdr:colOff>
      <xdr:row>111</xdr:row>
      <xdr:rowOff>137884</xdr:rowOff>
    </xdr:to>
    <xdr:sp macro="" textlink="">
      <xdr:nvSpPr>
        <xdr:cNvPr id="2915" name="Equals 2636">
          <a:extLst>
            <a:ext uri="{FF2B5EF4-FFF2-40B4-BE49-F238E27FC236}">
              <a16:creationId xmlns:a16="http://schemas.microsoft.com/office/drawing/2014/main" id="{25F98956-6BDB-49FF-9810-8DB54A842B99}"/>
            </a:ext>
          </a:extLst>
        </xdr:cNvPr>
        <xdr:cNvSpPr/>
      </xdr:nvSpPr>
      <xdr:spPr>
        <a:xfrm rot="5400000">
          <a:off x="1880145" y="17866541"/>
          <a:ext cx="459013" cy="217714"/>
        </a:xfrm>
        <a:prstGeom prst="mathEqual">
          <a:avLst>
            <a:gd name="adj1" fmla="val 12156"/>
            <a:gd name="adj2" fmla="val 25396"/>
          </a:avLst>
        </a:prstGeom>
        <a:solidFill>
          <a:schemeClr val="tx1">
            <a:lumMod val="50000"/>
            <a:lumOff val="5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26</xdr:col>
      <xdr:colOff>283029</xdr:colOff>
      <xdr:row>109</xdr:row>
      <xdr:rowOff>54428</xdr:rowOff>
    </xdr:from>
    <xdr:to>
      <xdr:col>27</xdr:col>
      <xdr:colOff>2311</xdr:colOff>
      <xdr:row>112</xdr:row>
      <xdr:rowOff>84907</xdr:rowOff>
    </xdr:to>
    <xdr:pic>
      <xdr:nvPicPr>
        <xdr:cNvPr id="2916" name="Picture 2915">
          <a:extLst>
            <a:ext uri="{FF2B5EF4-FFF2-40B4-BE49-F238E27FC236}">
              <a16:creationId xmlns:a16="http://schemas.microsoft.com/office/drawing/2014/main" id="{95601C04-9FC7-42BC-A305-DD1ED99C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18509" y="17778548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120</xdr:row>
      <xdr:rowOff>0</xdr:rowOff>
    </xdr:from>
    <xdr:to>
      <xdr:col>2</xdr:col>
      <xdr:colOff>305598</xdr:colOff>
      <xdr:row>123</xdr:row>
      <xdr:rowOff>30479</xdr:rowOff>
    </xdr:to>
    <xdr:pic>
      <xdr:nvPicPr>
        <xdr:cNvPr id="2917" name="Picture 2916">
          <a:extLst>
            <a:ext uri="{FF2B5EF4-FFF2-40B4-BE49-F238E27FC236}">
              <a16:creationId xmlns:a16="http://schemas.microsoft.com/office/drawing/2014/main" id="{BB325969-E612-459D-832A-F8FE54A20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96840" y="17724120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18</xdr:col>
      <xdr:colOff>130628</xdr:colOff>
      <xdr:row>120</xdr:row>
      <xdr:rowOff>21772</xdr:rowOff>
    </xdr:from>
    <xdr:to>
      <xdr:col>18</xdr:col>
      <xdr:colOff>283826</xdr:colOff>
      <xdr:row>123</xdr:row>
      <xdr:rowOff>52251</xdr:rowOff>
    </xdr:to>
    <xdr:pic>
      <xdr:nvPicPr>
        <xdr:cNvPr id="2918" name="Picture 2917">
          <a:extLst>
            <a:ext uri="{FF2B5EF4-FFF2-40B4-BE49-F238E27FC236}">
              <a16:creationId xmlns:a16="http://schemas.microsoft.com/office/drawing/2014/main" id="{BD645A9B-F38D-4D20-8931-B7737C38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73248" y="1774589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20</xdr:col>
      <xdr:colOff>163286</xdr:colOff>
      <xdr:row>120</xdr:row>
      <xdr:rowOff>10886</xdr:rowOff>
    </xdr:from>
    <xdr:to>
      <xdr:col>20</xdr:col>
      <xdr:colOff>316484</xdr:colOff>
      <xdr:row>123</xdr:row>
      <xdr:rowOff>41365</xdr:rowOff>
    </xdr:to>
    <xdr:pic>
      <xdr:nvPicPr>
        <xdr:cNvPr id="2919" name="Picture 2918">
          <a:extLst>
            <a:ext uri="{FF2B5EF4-FFF2-40B4-BE49-F238E27FC236}">
              <a16:creationId xmlns:a16="http://schemas.microsoft.com/office/drawing/2014/main" id="{8918F775-30BF-4B04-B1F3-8EAD9DEF7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542226" y="1773500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6</xdr:col>
      <xdr:colOff>141514</xdr:colOff>
      <xdr:row>131</xdr:row>
      <xdr:rowOff>43542</xdr:rowOff>
    </xdr:from>
    <xdr:to>
      <xdr:col>6</xdr:col>
      <xdr:colOff>294712</xdr:colOff>
      <xdr:row>134</xdr:row>
      <xdr:rowOff>74022</xdr:rowOff>
    </xdr:to>
    <xdr:pic>
      <xdr:nvPicPr>
        <xdr:cNvPr id="2920" name="Picture 2919">
          <a:extLst>
            <a:ext uri="{FF2B5EF4-FFF2-40B4-BE49-F238E27FC236}">
              <a16:creationId xmlns:a16="http://schemas.microsoft.com/office/drawing/2014/main" id="{D9F3C08E-9944-4C6D-85F1-E0238CC3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258594" y="19626942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141514</xdr:colOff>
      <xdr:row>131</xdr:row>
      <xdr:rowOff>43543</xdr:rowOff>
    </xdr:from>
    <xdr:to>
      <xdr:col>8</xdr:col>
      <xdr:colOff>294712</xdr:colOff>
      <xdr:row>134</xdr:row>
      <xdr:rowOff>74023</xdr:rowOff>
    </xdr:to>
    <xdr:pic>
      <xdr:nvPicPr>
        <xdr:cNvPr id="2921" name="Picture 2920">
          <a:extLst>
            <a:ext uri="{FF2B5EF4-FFF2-40B4-BE49-F238E27FC236}">
              <a16:creationId xmlns:a16="http://schemas.microsoft.com/office/drawing/2014/main" id="{2B9FC49F-130D-4B6A-BFFC-E61EA1291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94914" y="19626943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22</xdr:col>
      <xdr:colOff>250371</xdr:colOff>
      <xdr:row>131</xdr:row>
      <xdr:rowOff>97972</xdr:rowOff>
    </xdr:from>
    <xdr:to>
      <xdr:col>22</xdr:col>
      <xdr:colOff>403569</xdr:colOff>
      <xdr:row>135</xdr:row>
      <xdr:rowOff>1</xdr:rowOff>
    </xdr:to>
    <xdr:pic>
      <xdr:nvPicPr>
        <xdr:cNvPr id="2922" name="Picture 2921">
          <a:extLst>
            <a:ext uri="{FF2B5EF4-FFF2-40B4-BE49-F238E27FC236}">
              <a16:creationId xmlns:a16="http://schemas.microsoft.com/office/drawing/2014/main" id="{E16EFF72-DD6C-4B8A-905F-C5B6EBEF1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520351" y="19681372"/>
          <a:ext cx="153198" cy="420188"/>
        </a:xfrm>
        <a:prstGeom prst="rect">
          <a:avLst/>
        </a:prstGeom>
      </xdr:spPr>
    </xdr:pic>
    <xdr:clientData/>
  </xdr:twoCellAnchor>
  <xdr:twoCellAnchor editAs="oneCell">
    <xdr:from>
      <xdr:col>30</xdr:col>
      <xdr:colOff>119743</xdr:colOff>
      <xdr:row>131</xdr:row>
      <xdr:rowOff>10886</xdr:rowOff>
    </xdr:from>
    <xdr:to>
      <xdr:col>30</xdr:col>
      <xdr:colOff>272941</xdr:colOff>
      <xdr:row>134</xdr:row>
      <xdr:rowOff>41366</xdr:rowOff>
    </xdr:to>
    <xdr:pic>
      <xdr:nvPicPr>
        <xdr:cNvPr id="2923" name="Picture 2922">
          <a:extLst>
            <a:ext uri="{FF2B5EF4-FFF2-40B4-BE49-F238E27FC236}">
              <a16:creationId xmlns:a16="http://schemas.microsoft.com/office/drawing/2014/main" id="{42B4B999-2971-42DE-99C3-14BE3B9B1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27863" y="21788846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10</xdr:col>
      <xdr:colOff>130628</xdr:colOff>
      <xdr:row>144</xdr:row>
      <xdr:rowOff>21771</xdr:rowOff>
    </xdr:from>
    <xdr:to>
      <xdr:col>10</xdr:col>
      <xdr:colOff>283826</xdr:colOff>
      <xdr:row>147</xdr:row>
      <xdr:rowOff>64308</xdr:rowOff>
    </xdr:to>
    <xdr:pic>
      <xdr:nvPicPr>
        <xdr:cNvPr id="2924" name="Picture 2923">
          <a:extLst>
            <a:ext uri="{FF2B5EF4-FFF2-40B4-BE49-F238E27FC236}">
              <a16:creationId xmlns:a16="http://schemas.microsoft.com/office/drawing/2014/main" id="{34C40D36-7D06-46A7-A3A0-CBD64A123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27968" y="21799731"/>
          <a:ext cx="153198" cy="4191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195943</xdr:colOff>
      <xdr:row>144</xdr:row>
      <xdr:rowOff>32657</xdr:rowOff>
    </xdr:from>
    <xdr:to>
      <xdr:col>24</xdr:col>
      <xdr:colOff>349141</xdr:colOff>
      <xdr:row>146</xdr:row>
      <xdr:rowOff>0</xdr:rowOff>
    </xdr:to>
    <xdr:pic>
      <xdr:nvPicPr>
        <xdr:cNvPr id="2925" name="Picture 2924">
          <a:extLst>
            <a:ext uri="{FF2B5EF4-FFF2-40B4-BE49-F238E27FC236}">
              <a16:creationId xmlns:a16="http://schemas.microsoft.com/office/drawing/2014/main" id="{4ACC6247-380E-450E-B1F6-FFC295716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5103" y="23669897"/>
          <a:ext cx="153198" cy="419100"/>
        </a:xfrm>
        <a:prstGeom prst="rect">
          <a:avLst/>
        </a:prstGeom>
      </xdr:spPr>
    </xdr:pic>
    <xdr:clientData/>
  </xdr:twoCellAnchor>
  <xdr:twoCellAnchor>
    <xdr:from>
      <xdr:col>30</xdr:col>
      <xdr:colOff>0</xdr:colOff>
      <xdr:row>98</xdr:row>
      <xdr:rowOff>0</xdr:rowOff>
    </xdr:from>
    <xdr:to>
      <xdr:col>30</xdr:col>
      <xdr:colOff>238169</xdr:colOff>
      <xdr:row>100</xdr:row>
      <xdr:rowOff>50</xdr:rowOff>
    </xdr:to>
    <xdr:grpSp>
      <xdr:nvGrpSpPr>
        <xdr:cNvPr id="2926" name="Group 2925">
          <a:extLst>
            <a:ext uri="{FF2B5EF4-FFF2-40B4-BE49-F238E27FC236}">
              <a16:creationId xmlns:a16="http://schemas.microsoft.com/office/drawing/2014/main" id="{940F7079-2CD3-487B-99BA-0B74319AA228}"/>
            </a:ext>
          </a:extLst>
        </xdr:cNvPr>
        <xdr:cNvGrpSpPr/>
      </xdr:nvGrpSpPr>
      <xdr:grpSpPr>
        <a:xfrm>
          <a:off x="14777357" y="18111107"/>
          <a:ext cx="238169" cy="353836"/>
          <a:chOff x="6143939" y="789134"/>
          <a:chExt cx="457200" cy="518966"/>
        </a:xfrm>
      </xdr:grpSpPr>
      <xdr:grpSp>
        <xdr:nvGrpSpPr>
          <xdr:cNvPr id="2927" name="Group 2926">
            <a:extLst>
              <a:ext uri="{FF2B5EF4-FFF2-40B4-BE49-F238E27FC236}">
                <a16:creationId xmlns:a16="http://schemas.microsoft.com/office/drawing/2014/main" id="{CA6DF1C1-03E7-8929-1814-5E1455002A5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29" name="Straight Connector 2928">
              <a:extLst>
                <a:ext uri="{FF2B5EF4-FFF2-40B4-BE49-F238E27FC236}">
                  <a16:creationId xmlns:a16="http://schemas.microsoft.com/office/drawing/2014/main" id="{FAC3CEA6-5869-2CB9-F3E2-C8156DB9A14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0" name="Straight Connector 2929">
              <a:extLst>
                <a:ext uri="{FF2B5EF4-FFF2-40B4-BE49-F238E27FC236}">
                  <a16:creationId xmlns:a16="http://schemas.microsoft.com/office/drawing/2014/main" id="{741E9781-675D-7B9C-81AD-FA731A2799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1" name="Straight Connector 2930">
              <a:extLst>
                <a:ext uri="{FF2B5EF4-FFF2-40B4-BE49-F238E27FC236}">
                  <a16:creationId xmlns:a16="http://schemas.microsoft.com/office/drawing/2014/main" id="{EBA75C2E-F034-7D45-350A-FDF33260DA9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2" name="Straight Connector 2931">
              <a:extLst>
                <a:ext uri="{FF2B5EF4-FFF2-40B4-BE49-F238E27FC236}">
                  <a16:creationId xmlns:a16="http://schemas.microsoft.com/office/drawing/2014/main" id="{62C53A00-7CC1-E0A9-5DDE-F36C61B5FF8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3" name="Straight Connector 2932">
              <a:extLst>
                <a:ext uri="{FF2B5EF4-FFF2-40B4-BE49-F238E27FC236}">
                  <a16:creationId xmlns:a16="http://schemas.microsoft.com/office/drawing/2014/main" id="{7A1BD11F-B143-521C-8BB9-80DAEFB69EB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4" name="Straight Connector 2933">
              <a:extLst>
                <a:ext uri="{FF2B5EF4-FFF2-40B4-BE49-F238E27FC236}">
                  <a16:creationId xmlns:a16="http://schemas.microsoft.com/office/drawing/2014/main" id="{1833AA37-18AE-9641-2FF3-74B4BB23E3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28" name="Straight Connector 2927">
            <a:extLst>
              <a:ext uri="{FF2B5EF4-FFF2-40B4-BE49-F238E27FC236}">
                <a16:creationId xmlns:a16="http://schemas.microsoft.com/office/drawing/2014/main" id="{35542E2B-61A9-4790-D122-1F9C3C5801E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0</xdr:colOff>
      <xdr:row>63</xdr:row>
      <xdr:rowOff>0</xdr:rowOff>
    </xdr:from>
    <xdr:to>
      <xdr:col>14</xdr:col>
      <xdr:colOff>238169</xdr:colOff>
      <xdr:row>65</xdr:row>
      <xdr:rowOff>49</xdr:rowOff>
    </xdr:to>
    <xdr:grpSp>
      <xdr:nvGrpSpPr>
        <xdr:cNvPr id="2935" name="Group 2934">
          <a:extLst>
            <a:ext uri="{FF2B5EF4-FFF2-40B4-BE49-F238E27FC236}">
              <a16:creationId xmlns:a16="http://schemas.microsoft.com/office/drawing/2014/main" id="{0764C1A8-7690-4714-B0EC-8D13DE633040}"/>
            </a:ext>
          </a:extLst>
        </xdr:cNvPr>
        <xdr:cNvGrpSpPr/>
      </xdr:nvGrpSpPr>
      <xdr:grpSpPr>
        <a:xfrm>
          <a:off x="6817179" y="11919857"/>
          <a:ext cx="238169" cy="353835"/>
          <a:chOff x="6143939" y="789134"/>
          <a:chExt cx="457200" cy="518966"/>
        </a:xfrm>
      </xdr:grpSpPr>
      <xdr:grpSp>
        <xdr:nvGrpSpPr>
          <xdr:cNvPr id="2936" name="Group 2935">
            <a:extLst>
              <a:ext uri="{FF2B5EF4-FFF2-40B4-BE49-F238E27FC236}">
                <a16:creationId xmlns:a16="http://schemas.microsoft.com/office/drawing/2014/main" id="{29CC32A9-F2DD-B081-E117-76FEBD27DE6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38" name="Straight Connector 2937">
              <a:extLst>
                <a:ext uri="{FF2B5EF4-FFF2-40B4-BE49-F238E27FC236}">
                  <a16:creationId xmlns:a16="http://schemas.microsoft.com/office/drawing/2014/main" id="{E514A6C9-86E1-F350-AEC5-9013D2C58AF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39" name="Straight Connector 2938">
              <a:extLst>
                <a:ext uri="{FF2B5EF4-FFF2-40B4-BE49-F238E27FC236}">
                  <a16:creationId xmlns:a16="http://schemas.microsoft.com/office/drawing/2014/main" id="{FCE2DE09-5AB1-691C-3E4F-C55FE749D7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0" name="Straight Connector 2939">
              <a:extLst>
                <a:ext uri="{FF2B5EF4-FFF2-40B4-BE49-F238E27FC236}">
                  <a16:creationId xmlns:a16="http://schemas.microsoft.com/office/drawing/2014/main" id="{3BF24524-22A6-D3CA-0067-8C4254427A9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1" name="Straight Connector 2940">
              <a:extLst>
                <a:ext uri="{FF2B5EF4-FFF2-40B4-BE49-F238E27FC236}">
                  <a16:creationId xmlns:a16="http://schemas.microsoft.com/office/drawing/2014/main" id="{E3F1AB80-3B06-5C4F-F907-D83B58265FF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2" name="Straight Connector 2941">
              <a:extLst>
                <a:ext uri="{FF2B5EF4-FFF2-40B4-BE49-F238E27FC236}">
                  <a16:creationId xmlns:a16="http://schemas.microsoft.com/office/drawing/2014/main" id="{82E42DEF-243D-F033-96FE-DDA54EAB2F1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3" name="Straight Connector 2942">
              <a:extLst>
                <a:ext uri="{FF2B5EF4-FFF2-40B4-BE49-F238E27FC236}">
                  <a16:creationId xmlns:a16="http://schemas.microsoft.com/office/drawing/2014/main" id="{84A9FE68-2870-4E5A-6369-AEDC3CD1148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37" name="Straight Connector 2936">
            <a:extLst>
              <a:ext uri="{FF2B5EF4-FFF2-40B4-BE49-F238E27FC236}">
                <a16:creationId xmlns:a16="http://schemas.microsoft.com/office/drawing/2014/main" id="{4A2621CD-935E-8F22-4AB7-3B2073A29A0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63</xdr:row>
      <xdr:rowOff>0</xdr:rowOff>
    </xdr:from>
    <xdr:to>
      <xdr:col>16</xdr:col>
      <xdr:colOff>238169</xdr:colOff>
      <xdr:row>65</xdr:row>
      <xdr:rowOff>49</xdr:rowOff>
    </xdr:to>
    <xdr:grpSp>
      <xdr:nvGrpSpPr>
        <xdr:cNvPr id="2944" name="Group 2943">
          <a:extLst>
            <a:ext uri="{FF2B5EF4-FFF2-40B4-BE49-F238E27FC236}">
              <a16:creationId xmlns:a16="http://schemas.microsoft.com/office/drawing/2014/main" id="{411BEAC8-25AE-40E8-A2E4-42EBAFB916B6}"/>
            </a:ext>
          </a:extLst>
        </xdr:cNvPr>
        <xdr:cNvGrpSpPr/>
      </xdr:nvGrpSpPr>
      <xdr:grpSpPr>
        <a:xfrm>
          <a:off x="7810500" y="11919857"/>
          <a:ext cx="238169" cy="353835"/>
          <a:chOff x="6143939" y="789134"/>
          <a:chExt cx="457200" cy="518966"/>
        </a:xfrm>
      </xdr:grpSpPr>
      <xdr:grpSp>
        <xdr:nvGrpSpPr>
          <xdr:cNvPr id="2945" name="Group 2944">
            <a:extLst>
              <a:ext uri="{FF2B5EF4-FFF2-40B4-BE49-F238E27FC236}">
                <a16:creationId xmlns:a16="http://schemas.microsoft.com/office/drawing/2014/main" id="{3A202C53-BA9D-5063-3888-D070061C98E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47" name="Straight Connector 2946">
              <a:extLst>
                <a:ext uri="{FF2B5EF4-FFF2-40B4-BE49-F238E27FC236}">
                  <a16:creationId xmlns:a16="http://schemas.microsoft.com/office/drawing/2014/main" id="{7FD1D48D-08F7-F586-A3F2-AE9F855E83C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8" name="Straight Connector 2947">
              <a:extLst>
                <a:ext uri="{FF2B5EF4-FFF2-40B4-BE49-F238E27FC236}">
                  <a16:creationId xmlns:a16="http://schemas.microsoft.com/office/drawing/2014/main" id="{3487729F-72C1-19A4-4B3B-7B79E89A657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49" name="Straight Connector 2948">
              <a:extLst>
                <a:ext uri="{FF2B5EF4-FFF2-40B4-BE49-F238E27FC236}">
                  <a16:creationId xmlns:a16="http://schemas.microsoft.com/office/drawing/2014/main" id="{82D2ECE8-3494-5141-5620-CA2E8E86194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0" name="Straight Connector 2949">
              <a:extLst>
                <a:ext uri="{FF2B5EF4-FFF2-40B4-BE49-F238E27FC236}">
                  <a16:creationId xmlns:a16="http://schemas.microsoft.com/office/drawing/2014/main" id="{4ACA2E66-4613-1E21-0503-59108554D6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1" name="Straight Connector 2950">
              <a:extLst>
                <a:ext uri="{FF2B5EF4-FFF2-40B4-BE49-F238E27FC236}">
                  <a16:creationId xmlns:a16="http://schemas.microsoft.com/office/drawing/2014/main" id="{2B697CFC-7DC9-0421-0FAC-934D469F9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2" name="Straight Connector 2951">
              <a:extLst>
                <a:ext uri="{FF2B5EF4-FFF2-40B4-BE49-F238E27FC236}">
                  <a16:creationId xmlns:a16="http://schemas.microsoft.com/office/drawing/2014/main" id="{0BABD9B3-5E2C-9EFC-8677-712D5FB6B7A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C41A1096-B372-B0F2-899F-B0E4D1733B7B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0</xdr:colOff>
      <xdr:row>63</xdr:row>
      <xdr:rowOff>0</xdr:rowOff>
    </xdr:from>
    <xdr:to>
      <xdr:col>18</xdr:col>
      <xdr:colOff>238169</xdr:colOff>
      <xdr:row>65</xdr:row>
      <xdr:rowOff>49</xdr:rowOff>
    </xdr:to>
    <xdr:grpSp>
      <xdr:nvGrpSpPr>
        <xdr:cNvPr id="2953" name="Group 2952">
          <a:extLst>
            <a:ext uri="{FF2B5EF4-FFF2-40B4-BE49-F238E27FC236}">
              <a16:creationId xmlns:a16="http://schemas.microsoft.com/office/drawing/2014/main" id="{A3222294-D5D0-424E-B82C-CAA788DE4B31}"/>
            </a:ext>
          </a:extLst>
        </xdr:cNvPr>
        <xdr:cNvGrpSpPr/>
      </xdr:nvGrpSpPr>
      <xdr:grpSpPr>
        <a:xfrm>
          <a:off x="8817429" y="11919857"/>
          <a:ext cx="238169" cy="353835"/>
          <a:chOff x="6143939" y="789134"/>
          <a:chExt cx="457200" cy="518966"/>
        </a:xfrm>
      </xdr:grpSpPr>
      <xdr:grpSp>
        <xdr:nvGrpSpPr>
          <xdr:cNvPr id="2954" name="Group 2953">
            <a:extLst>
              <a:ext uri="{FF2B5EF4-FFF2-40B4-BE49-F238E27FC236}">
                <a16:creationId xmlns:a16="http://schemas.microsoft.com/office/drawing/2014/main" id="{BF68D05F-6A9D-ED35-3D3F-9C903BC3BB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956" name="Straight Connector 2955">
              <a:extLst>
                <a:ext uri="{FF2B5EF4-FFF2-40B4-BE49-F238E27FC236}">
                  <a16:creationId xmlns:a16="http://schemas.microsoft.com/office/drawing/2014/main" id="{F9AD627A-87A9-51CF-1DA6-375DE51FEF7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7" name="Straight Connector 2956">
              <a:extLst>
                <a:ext uri="{FF2B5EF4-FFF2-40B4-BE49-F238E27FC236}">
                  <a16:creationId xmlns:a16="http://schemas.microsoft.com/office/drawing/2014/main" id="{651159A6-C3F2-58A3-7101-85E37EB30FB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8" name="Straight Connector 2957">
              <a:extLst>
                <a:ext uri="{FF2B5EF4-FFF2-40B4-BE49-F238E27FC236}">
                  <a16:creationId xmlns:a16="http://schemas.microsoft.com/office/drawing/2014/main" id="{4F7F8453-71AB-0B31-56F5-19C16E4FE9C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59" name="Straight Connector 2958">
              <a:extLst>
                <a:ext uri="{FF2B5EF4-FFF2-40B4-BE49-F238E27FC236}">
                  <a16:creationId xmlns:a16="http://schemas.microsoft.com/office/drawing/2014/main" id="{CA6B99F5-F91C-B4A5-04DC-783478215D4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0" name="Straight Connector 2959">
              <a:extLst>
                <a:ext uri="{FF2B5EF4-FFF2-40B4-BE49-F238E27FC236}">
                  <a16:creationId xmlns:a16="http://schemas.microsoft.com/office/drawing/2014/main" id="{E829C24F-D39A-1A1C-225D-2F3BB7A04BB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961" name="Straight Connector 2960">
              <a:extLst>
                <a:ext uri="{FF2B5EF4-FFF2-40B4-BE49-F238E27FC236}">
                  <a16:creationId xmlns:a16="http://schemas.microsoft.com/office/drawing/2014/main" id="{0D3954A0-7651-9A34-B02C-03F9E94E42C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955" name="Straight Connector 2954">
            <a:extLst>
              <a:ext uri="{FF2B5EF4-FFF2-40B4-BE49-F238E27FC236}">
                <a16:creationId xmlns:a16="http://schemas.microsoft.com/office/drawing/2014/main" id="{151D0093-CB7A-587D-C22F-F833E63C9DB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162</xdr:row>
      <xdr:rowOff>4233</xdr:rowOff>
    </xdr:from>
    <xdr:to>
      <xdr:col>4</xdr:col>
      <xdr:colOff>46570</xdr:colOff>
      <xdr:row>164</xdr:row>
      <xdr:rowOff>173567</xdr:rowOff>
    </xdr:to>
    <xdr:sp macro="" textlink="">
      <xdr:nvSpPr>
        <xdr:cNvPr id="2962" name="Isosceles Triangle 2961">
          <a:extLst>
            <a:ext uri="{FF2B5EF4-FFF2-40B4-BE49-F238E27FC236}">
              <a16:creationId xmlns:a16="http://schemas.microsoft.com/office/drawing/2014/main" id="{A756A253-E603-4520-A233-4A8FED26E89D}"/>
            </a:ext>
          </a:extLst>
        </xdr:cNvPr>
        <xdr:cNvSpPr/>
      </xdr:nvSpPr>
      <xdr:spPr>
        <a:xfrm>
          <a:off x="1319675" y="2465493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162</xdr:row>
      <xdr:rowOff>15522</xdr:rowOff>
    </xdr:from>
    <xdr:to>
      <xdr:col>6</xdr:col>
      <xdr:colOff>43746</xdr:colOff>
      <xdr:row>165</xdr:row>
      <xdr:rowOff>8467</xdr:rowOff>
    </xdr:to>
    <xdr:sp macro="" textlink="">
      <xdr:nvSpPr>
        <xdr:cNvPr id="2964" name="Isosceles Triangle 2963">
          <a:extLst>
            <a:ext uri="{FF2B5EF4-FFF2-40B4-BE49-F238E27FC236}">
              <a16:creationId xmlns:a16="http://schemas.microsoft.com/office/drawing/2014/main" id="{DE6C3A33-DFE7-4C82-8090-1FB64ECE6335}"/>
            </a:ext>
          </a:extLst>
        </xdr:cNvPr>
        <xdr:cNvSpPr/>
      </xdr:nvSpPr>
      <xdr:spPr>
        <a:xfrm>
          <a:off x="2353172" y="246662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172</xdr:row>
      <xdr:rowOff>159859</xdr:rowOff>
    </xdr:from>
    <xdr:to>
      <xdr:col>2</xdr:col>
      <xdr:colOff>17739</xdr:colOff>
      <xdr:row>175</xdr:row>
      <xdr:rowOff>152804</xdr:rowOff>
    </xdr:to>
    <xdr:sp macro="" textlink="">
      <xdr:nvSpPr>
        <xdr:cNvPr id="2972" name="Isosceles Triangle 2971">
          <a:extLst>
            <a:ext uri="{FF2B5EF4-FFF2-40B4-BE49-F238E27FC236}">
              <a16:creationId xmlns:a16="http://schemas.microsoft.com/office/drawing/2014/main" id="{8C79B682-F309-4452-A951-F8C2B71F4C9B}"/>
            </a:ext>
          </a:extLst>
        </xdr:cNvPr>
        <xdr:cNvSpPr/>
      </xdr:nvSpPr>
      <xdr:spPr>
        <a:xfrm>
          <a:off x="300245" y="264869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173</xdr:row>
      <xdr:rowOff>7056</xdr:rowOff>
    </xdr:from>
    <xdr:to>
      <xdr:col>4</xdr:col>
      <xdr:colOff>42332</xdr:colOff>
      <xdr:row>176</xdr:row>
      <xdr:rowOff>1</xdr:rowOff>
    </xdr:to>
    <xdr:sp macro="" textlink="">
      <xdr:nvSpPr>
        <xdr:cNvPr id="2973" name="Isosceles Triangle 2972">
          <a:extLst>
            <a:ext uri="{FF2B5EF4-FFF2-40B4-BE49-F238E27FC236}">
              <a16:creationId xmlns:a16="http://schemas.microsoft.com/office/drawing/2014/main" id="{9E270D11-388F-4F54-B354-46F9970D8EAB}"/>
            </a:ext>
          </a:extLst>
        </xdr:cNvPr>
        <xdr:cNvSpPr/>
      </xdr:nvSpPr>
      <xdr:spPr>
        <a:xfrm>
          <a:off x="131543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173</xdr:row>
      <xdr:rowOff>18345</xdr:rowOff>
    </xdr:from>
    <xdr:to>
      <xdr:col>6</xdr:col>
      <xdr:colOff>39510</xdr:colOff>
      <xdr:row>176</xdr:row>
      <xdr:rowOff>11290</xdr:rowOff>
    </xdr:to>
    <xdr:sp macro="" textlink="">
      <xdr:nvSpPr>
        <xdr:cNvPr id="2974" name="Isosceles Triangle 2973">
          <a:extLst>
            <a:ext uri="{FF2B5EF4-FFF2-40B4-BE49-F238E27FC236}">
              <a16:creationId xmlns:a16="http://schemas.microsoft.com/office/drawing/2014/main" id="{CC906412-FB3D-44B2-A158-240F2636341D}"/>
            </a:ext>
          </a:extLst>
        </xdr:cNvPr>
        <xdr:cNvSpPr/>
      </xdr:nvSpPr>
      <xdr:spPr>
        <a:xfrm>
          <a:off x="2348936" y="2651308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173</xdr:row>
      <xdr:rowOff>7056</xdr:rowOff>
    </xdr:from>
    <xdr:to>
      <xdr:col>8</xdr:col>
      <xdr:colOff>42332</xdr:colOff>
      <xdr:row>176</xdr:row>
      <xdr:rowOff>1</xdr:rowOff>
    </xdr:to>
    <xdr:sp macro="" textlink="">
      <xdr:nvSpPr>
        <xdr:cNvPr id="2975" name="Isosceles Triangle 2974">
          <a:extLst>
            <a:ext uri="{FF2B5EF4-FFF2-40B4-BE49-F238E27FC236}">
              <a16:creationId xmlns:a16="http://schemas.microsoft.com/office/drawing/2014/main" id="{2D420D6C-1FAB-4D91-B310-4C1385E10B9C}"/>
            </a:ext>
          </a:extLst>
        </xdr:cNvPr>
        <xdr:cNvSpPr/>
      </xdr:nvSpPr>
      <xdr:spPr>
        <a:xfrm>
          <a:off x="3388078" y="265017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173</xdr:row>
      <xdr:rowOff>18345</xdr:rowOff>
    </xdr:from>
    <xdr:to>
      <xdr:col>10</xdr:col>
      <xdr:colOff>39510</xdr:colOff>
      <xdr:row>176</xdr:row>
      <xdr:rowOff>11290</xdr:rowOff>
    </xdr:to>
    <xdr:sp macro="" textlink="">
      <xdr:nvSpPr>
        <xdr:cNvPr id="2976" name="Isosceles Triangle 2975">
          <a:extLst>
            <a:ext uri="{FF2B5EF4-FFF2-40B4-BE49-F238E27FC236}">
              <a16:creationId xmlns:a16="http://schemas.microsoft.com/office/drawing/2014/main" id="{C93D8464-CF8D-450C-9331-3F3B35732765}"/>
            </a:ext>
          </a:extLst>
        </xdr:cNvPr>
        <xdr:cNvSpPr/>
      </xdr:nvSpPr>
      <xdr:spPr>
        <a:xfrm>
          <a:off x="442157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173</xdr:row>
      <xdr:rowOff>7055</xdr:rowOff>
    </xdr:from>
    <xdr:to>
      <xdr:col>12</xdr:col>
      <xdr:colOff>49392</xdr:colOff>
      <xdr:row>176</xdr:row>
      <xdr:rowOff>0</xdr:rowOff>
    </xdr:to>
    <xdr:sp macro="" textlink="">
      <xdr:nvSpPr>
        <xdr:cNvPr id="2977" name="Isosceles Triangle 2976">
          <a:extLst>
            <a:ext uri="{FF2B5EF4-FFF2-40B4-BE49-F238E27FC236}">
              <a16:creationId xmlns:a16="http://schemas.microsoft.com/office/drawing/2014/main" id="{00491642-797F-434F-9E7E-E643B4E2945D}"/>
            </a:ext>
          </a:extLst>
        </xdr:cNvPr>
        <xdr:cNvSpPr/>
      </xdr:nvSpPr>
      <xdr:spPr>
        <a:xfrm>
          <a:off x="5458097" y="265017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4233</xdr:rowOff>
    </xdr:from>
    <xdr:to>
      <xdr:col>14</xdr:col>
      <xdr:colOff>46570</xdr:colOff>
      <xdr:row>175</xdr:row>
      <xdr:rowOff>173567</xdr:rowOff>
    </xdr:to>
    <xdr:sp macro="" textlink="">
      <xdr:nvSpPr>
        <xdr:cNvPr id="2978" name="Isosceles Triangle 2977">
          <a:extLst>
            <a:ext uri="{FF2B5EF4-FFF2-40B4-BE49-F238E27FC236}">
              <a16:creationId xmlns:a16="http://schemas.microsoft.com/office/drawing/2014/main" id="{EB66AD55-AC60-418B-9FFA-9DC1DDEF97E6}"/>
            </a:ext>
          </a:extLst>
        </xdr:cNvPr>
        <xdr:cNvSpPr/>
      </xdr:nvSpPr>
      <xdr:spPr>
        <a:xfrm>
          <a:off x="6501275" y="264989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173</xdr:row>
      <xdr:rowOff>13304</xdr:rowOff>
    </xdr:from>
    <xdr:to>
      <xdr:col>18</xdr:col>
      <xdr:colOff>46570</xdr:colOff>
      <xdr:row>176</xdr:row>
      <xdr:rowOff>1209</xdr:rowOff>
    </xdr:to>
    <xdr:sp macro="" textlink="">
      <xdr:nvSpPr>
        <xdr:cNvPr id="2979" name="Isosceles Triangle 2978">
          <a:extLst>
            <a:ext uri="{FF2B5EF4-FFF2-40B4-BE49-F238E27FC236}">
              <a16:creationId xmlns:a16="http://schemas.microsoft.com/office/drawing/2014/main" id="{4F35F4BE-F9C6-4884-928A-13FB11346879}"/>
            </a:ext>
          </a:extLst>
        </xdr:cNvPr>
        <xdr:cNvSpPr/>
      </xdr:nvSpPr>
      <xdr:spPr>
        <a:xfrm>
          <a:off x="8573915" y="265080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173</xdr:row>
      <xdr:rowOff>13304</xdr:rowOff>
    </xdr:from>
    <xdr:to>
      <xdr:col>14</xdr:col>
      <xdr:colOff>46569</xdr:colOff>
      <xdr:row>176</xdr:row>
      <xdr:rowOff>1209</xdr:rowOff>
    </xdr:to>
    <xdr:sp macro="" textlink="">
      <xdr:nvSpPr>
        <xdr:cNvPr id="2980" name="Isosceles Triangle 2979">
          <a:extLst>
            <a:ext uri="{FF2B5EF4-FFF2-40B4-BE49-F238E27FC236}">
              <a16:creationId xmlns:a16="http://schemas.microsoft.com/office/drawing/2014/main" id="{83E08308-A71B-4AE9-9A76-9845D7FF61A9}"/>
            </a:ext>
          </a:extLst>
        </xdr:cNvPr>
        <xdr:cNvSpPr/>
      </xdr:nvSpPr>
      <xdr:spPr>
        <a:xfrm>
          <a:off x="6501275" y="265080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173</xdr:row>
      <xdr:rowOff>15522</xdr:rowOff>
    </xdr:from>
    <xdr:to>
      <xdr:col>16</xdr:col>
      <xdr:colOff>43746</xdr:colOff>
      <xdr:row>176</xdr:row>
      <xdr:rowOff>8467</xdr:rowOff>
    </xdr:to>
    <xdr:sp macro="" textlink="">
      <xdr:nvSpPr>
        <xdr:cNvPr id="2981" name="Isosceles Triangle 2980">
          <a:extLst>
            <a:ext uri="{FF2B5EF4-FFF2-40B4-BE49-F238E27FC236}">
              <a16:creationId xmlns:a16="http://schemas.microsoft.com/office/drawing/2014/main" id="{9049C172-D51E-4A8E-8134-01F00C1F5ABE}"/>
            </a:ext>
          </a:extLst>
        </xdr:cNvPr>
        <xdr:cNvSpPr/>
      </xdr:nvSpPr>
      <xdr:spPr>
        <a:xfrm>
          <a:off x="7534772" y="265102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173</xdr:row>
      <xdr:rowOff>7056</xdr:rowOff>
    </xdr:from>
    <xdr:to>
      <xdr:col>20</xdr:col>
      <xdr:colOff>42332</xdr:colOff>
      <xdr:row>176</xdr:row>
      <xdr:rowOff>1</xdr:rowOff>
    </xdr:to>
    <xdr:sp macro="" textlink="">
      <xdr:nvSpPr>
        <xdr:cNvPr id="2982" name="Isosceles Triangle 2981">
          <a:extLst>
            <a:ext uri="{FF2B5EF4-FFF2-40B4-BE49-F238E27FC236}">
              <a16:creationId xmlns:a16="http://schemas.microsoft.com/office/drawing/2014/main" id="{8B8B1022-BE1F-4984-8901-E87EE8FA56F7}"/>
            </a:ext>
          </a:extLst>
        </xdr:cNvPr>
        <xdr:cNvSpPr/>
      </xdr:nvSpPr>
      <xdr:spPr>
        <a:xfrm>
          <a:off x="961361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173</xdr:row>
      <xdr:rowOff>18345</xdr:rowOff>
    </xdr:from>
    <xdr:to>
      <xdr:col>22</xdr:col>
      <xdr:colOff>39510</xdr:colOff>
      <xdr:row>176</xdr:row>
      <xdr:rowOff>11290</xdr:rowOff>
    </xdr:to>
    <xdr:sp macro="" textlink="">
      <xdr:nvSpPr>
        <xdr:cNvPr id="2983" name="Isosceles Triangle 2982">
          <a:extLst>
            <a:ext uri="{FF2B5EF4-FFF2-40B4-BE49-F238E27FC236}">
              <a16:creationId xmlns:a16="http://schemas.microsoft.com/office/drawing/2014/main" id="{7A2EB06E-72D4-4E57-918F-1DECDBF5B7E3}"/>
            </a:ext>
          </a:extLst>
        </xdr:cNvPr>
        <xdr:cNvSpPr/>
      </xdr:nvSpPr>
      <xdr:spPr>
        <a:xfrm>
          <a:off x="10647116" y="265130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173</xdr:row>
      <xdr:rowOff>7056</xdr:rowOff>
    </xdr:from>
    <xdr:to>
      <xdr:col>24</xdr:col>
      <xdr:colOff>42332</xdr:colOff>
      <xdr:row>176</xdr:row>
      <xdr:rowOff>1</xdr:rowOff>
    </xdr:to>
    <xdr:sp macro="" textlink="">
      <xdr:nvSpPr>
        <xdr:cNvPr id="2984" name="Isosceles Triangle 2983">
          <a:extLst>
            <a:ext uri="{FF2B5EF4-FFF2-40B4-BE49-F238E27FC236}">
              <a16:creationId xmlns:a16="http://schemas.microsoft.com/office/drawing/2014/main" id="{C284590F-EA97-45CF-8CB0-F3FF8C0229AC}"/>
            </a:ext>
          </a:extLst>
        </xdr:cNvPr>
        <xdr:cNvSpPr/>
      </xdr:nvSpPr>
      <xdr:spPr>
        <a:xfrm>
          <a:off x="1168625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173</xdr:row>
      <xdr:rowOff>18345</xdr:rowOff>
    </xdr:from>
    <xdr:to>
      <xdr:col>26</xdr:col>
      <xdr:colOff>39510</xdr:colOff>
      <xdr:row>176</xdr:row>
      <xdr:rowOff>11290</xdr:rowOff>
    </xdr:to>
    <xdr:sp macro="" textlink="">
      <xdr:nvSpPr>
        <xdr:cNvPr id="2985" name="Isosceles Triangle 2984">
          <a:extLst>
            <a:ext uri="{FF2B5EF4-FFF2-40B4-BE49-F238E27FC236}">
              <a16:creationId xmlns:a16="http://schemas.microsoft.com/office/drawing/2014/main" id="{D02A77F4-2FBB-461D-8BA3-DA0884819AC4}"/>
            </a:ext>
          </a:extLst>
        </xdr:cNvPr>
        <xdr:cNvSpPr/>
      </xdr:nvSpPr>
      <xdr:spPr>
        <a:xfrm>
          <a:off x="1271975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173</xdr:row>
      <xdr:rowOff>7056</xdr:rowOff>
    </xdr:from>
    <xdr:to>
      <xdr:col>28</xdr:col>
      <xdr:colOff>42332</xdr:colOff>
      <xdr:row>176</xdr:row>
      <xdr:rowOff>1</xdr:rowOff>
    </xdr:to>
    <xdr:sp macro="" textlink="">
      <xdr:nvSpPr>
        <xdr:cNvPr id="2986" name="Isosceles Triangle 2985">
          <a:extLst>
            <a:ext uri="{FF2B5EF4-FFF2-40B4-BE49-F238E27FC236}">
              <a16:creationId xmlns:a16="http://schemas.microsoft.com/office/drawing/2014/main" id="{DAA2C6C5-7B33-4721-BC72-38310FD00B6F}"/>
            </a:ext>
          </a:extLst>
        </xdr:cNvPr>
        <xdr:cNvSpPr/>
      </xdr:nvSpPr>
      <xdr:spPr>
        <a:xfrm>
          <a:off x="13758898" y="265017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173</xdr:row>
      <xdr:rowOff>18345</xdr:rowOff>
    </xdr:from>
    <xdr:to>
      <xdr:col>30</xdr:col>
      <xdr:colOff>39510</xdr:colOff>
      <xdr:row>176</xdr:row>
      <xdr:rowOff>11290</xdr:rowOff>
    </xdr:to>
    <xdr:sp macro="" textlink="">
      <xdr:nvSpPr>
        <xdr:cNvPr id="2987" name="Isosceles Triangle 2986">
          <a:extLst>
            <a:ext uri="{FF2B5EF4-FFF2-40B4-BE49-F238E27FC236}">
              <a16:creationId xmlns:a16="http://schemas.microsoft.com/office/drawing/2014/main" id="{A73F2696-F4C2-4764-9E2E-0F5F812D4EEA}"/>
            </a:ext>
          </a:extLst>
        </xdr:cNvPr>
        <xdr:cNvSpPr/>
      </xdr:nvSpPr>
      <xdr:spPr>
        <a:xfrm>
          <a:off x="14792396" y="265130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161</xdr:row>
      <xdr:rowOff>173181</xdr:rowOff>
    </xdr:from>
    <xdr:to>
      <xdr:col>3</xdr:col>
      <xdr:colOff>294410</xdr:colOff>
      <xdr:row>162</xdr:row>
      <xdr:rowOff>121226</xdr:rowOff>
    </xdr:to>
    <xdr:sp macro="" textlink="">
      <xdr:nvSpPr>
        <xdr:cNvPr id="2988" name="Freeform 10707">
          <a:extLst>
            <a:ext uri="{FF2B5EF4-FFF2-40B4-BE49-F238E27FC236}">
              <a16:creationId xmlns:a16="http://schemas.microsoft.com/office/drawing/2014/main" id="{3172E78D-D0F5-4667-8F95-DE8C33DA62B3}"/>
            </a:ext>
          </a:extLst>
        </xdr:cNvPr>
        <xdr:cNvSpPr>
          <a:spLocks/>
        </xdr:cNvSpPr>
      </xdr:nvSpPr>
      <xdr:spPr bwMode="auto">
        <a:xfrm>
          <a:off x="60868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161</xdr:row>
      <xdr:rowOff>173181</xdr:rowOff>
    </xdr:from>
    <xdr:to>
      <xdr:col>5</xdr:col>
      <xdr:colOff>294410</xdr:colOff>
      <xdr:row>162</xdr:row>
      <xdr:rowOff>121226</xdr:rowOff>
    </xdr:to>
    <xdr:sp macro="" textlink="">
      <xdr:nvSpPr>
        <xdr:cNvPr id="2989" name="Freeform 10707">
          <a:extLst>
            <a:ext uri="{FF2B5EF4-FFF2-40B4-BE49-F238E27FC236}">
              <a16:creationId xmlns:a16="http://schemas.microsoft.com/office/drawing/2014/main" id="{C9FC2AF0-223C-4FF9-93DC-D66B38CEBDDB}"/>
            </a:ext>
          </a:extLst>
        </xdr:cNvPr>
        <xdr:cNvSpPr>
          <a:spLocks/>
        </xdr:cNvSpPr>
      </xdr:nvSpPr>
      <xdr:spPr bwMode="auto">
        <a:xfrm>
          <a:off x="164500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161</xdr:row>
      <xdr:rowOff>173181</xdr:rowOff>
    </xdr:from>
    <xdr:to>
      <xdr:col>7</xdr:col>
      <xdr:colOff>294410</xdr:colOff>
      <xdr:row>162</xdr:row>
      <xdr:rowOff>121226</xdr:rowOff>
    </xdr:to>
    <xdr:sp macro="" textlink="">
      <xdr:nvSpPr>
        <xdr:cNvPr id="2990" name="Freeform 10707">
          <a:extLst>
            <a:ext uri="{FF2B5EF4-FFF2-40B4-BE49-F238E27FC236}">
              <a16:creationId xmlns:a16="http://schemas.microsoft.com/office/drawing/2014/main" id="{082A75B0-4DD6-4640-9D66-827DAA506D20}"/>
            </a:ext>
          </a:extLst>
        </xdr:cNvPr>
        <xdr:cNvSpPr>
          <a:spLocks/>
        </xdr:cNvSpPr>
      </xdr:nvSpPr>
      <xdr:spPr bwMode="auto">
        <a:xfrm>
          <a:off x="2681320" y="246486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172</xdr:row>
      <xdr:rowOff>173181</xdr:rowOff>
    </xdr:from>
    <xdr:to>
      <xdr:col>3</xdr:col>
      <xdr:colOff>294410</xdr:colOff>
      <xdr:row>173</xdr:row>
      <xdr:rowOff>121226</xdr:rowOff>
    </xdr:to>
    <xdr:sp macro="" textlink="">
      <xdr:nvSpPr>
        <xdr:cNvPr id="3003" name="Freeform 10707">
          <a:extLst>
            <a:ext uri="{FF2B5EF4-FFF2-40B4-BE49-F238E27FC236}">
              <a16:creationId xmlns:a16="http://schemas.microsoft.com/office/drawing/2014/main" id="{88BA8194-ADE0-475B-8411-007CCFB1B29F}"/>
            </a:ext>
          </a:extLst>
        </xdr:cNvPr>
        <xdr:cNvSpPr>
          <a:spLocks/>
        </xdr:cNvSpPr>
      </xdr:nvSpPr>
      <xdr:spPr bwMode="auto">
        <a:xfrm>
          <a:off x="6086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004" name="Freeform 10707">
          <a:extLst>
            <a:ext uri="{FF2B5EF4-FFF2-40B4-BE49-F238E27FC236}">
              <a16:creationId xmlns:a16="http://schemas.microsoft.com/office/drawing/2014/main" id="{F1451B3C-2878-40AC-B2A5-7A85C1F67FAD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005" name="Freeform 10707">
          <a:extLst>
            <a:ext uri="{FF2B5EF4-FFF2-40B4-BE49-F238E27FC236}">
              <a16:creationId xmlns:a16="http://schemas.microsoft.com/office/drawing/2014/main" id="{0E420671-84B0-43E7-AE0F-5F2CE3A1101A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006" name="Freeform 10707">
          <a:extLst>
            <a:ext uri="{FF2B5EF4-FFF2-40B4-BE49-F238E27FC236}">
              <a16:creationId xmlns:a16="http://schemas.microsoft.com/office/drawing/2014/main" id="{5B50AB59-5577-4359-82F5-982E0EA9F019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007" name="Freeform 10707">
          <a:extLst>
            <a:ext uri="{FF2B5EF4-FFF2-40B4-BE49-F238E27FC236}">
              <a16:creationId xmlns:a16="http://schemas.microsoft.com/office/drawing/2014/main" id="{1B47F917-A5DF-43CF-B3F3-8C71021C067E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008" name="Freeform 10707">
          <a:extLst>
            <a:ext uri="{FF2B5EF4-FFF2-40B4-BE49-F238E27FC236}">
              <a16:creationId xmlns:a16="http://schemas.microsoft.com/office/drawing/2014/main" id="{CF4492FD-6B6A-4E13-B2DE-D843D639BC74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009" name="Freeform 10707">
          <a:extLst>
            <a:ext uri="{FF2B5EF4-FFF2-40B4-BE49-F238E27FC236}">
              <a16:creationId xmlns:a16="http://schemas.microsoft.com/office/drawing/2014/main" id="{3484590C-0E51-4F02-9FCA-30EF613FDA2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172</xdr:row>
      <xdr:rowOff>173181</xdr:rowOff>
    </xdr:from>
    <xdr:to>
      <xdr:col>17</xdr:col>
      <xdr:colOff>294410</xdr:colOff>
      <xdr:row>173</xdr:row>
      <xdr:rowOff>121226</xdr:rowOff>
    </xdr:to>
    <xdr:sp macro="" textlink="">
      <xdr:nvSpPr>
        <xdr:cNvPr id="3010" name="Freeform 10707">
          <a:extLst>
            <a:ext uri="{FF2B5EF4-FFF2-40B4-BE49-F238E27FC236}">
              <a16:creationId xmlns:a16="http://schemas.microsoft.com/office/drawing/2014/main" id="{1274F432-FA61-42AC-BAFE-586E32997E19}"/>
            </a:ext>
          </a:extLst>
        </xdr:cNvPr>
        <xdr:cNvSpPr>
          <a:spLocks/>
        </xdr:cNvSpPr>
      </xdr:nvSpPr>
      <xdr:spPr bwMode="auto">
        <a:xfrm>
          <a:off x="78629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011" name="Freeform 10707">
          <a:extLst>
            <a:ext uri="{FF2B5EF4-FFF2-40B4-BE49-F238E27FC236}">
              <a16:creationId xmlns:a16="http://schemas.microsoft.com/office/drawing/2014/main" id="{7E541271-A4E5-450B-B91C-1E22DAEBA7A9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012" name="Freeform 10707">
          <a:extLst>
            <a:ext uri="{FF2B5EF4-FFF2-40B4-BE49-F238E27FC236}">
              <a16:creationId xmlns:a16="http://schemas.microsoft.com/office/drawing/2014/main" id="{6B401C4A-DD3D-40A9-8141-89CB46676D3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013" name="Freeform 10707">
          <a:extLst>
            <a:ext uri="{FF2B5EF4-FFF2-40B4-BE49-F238E27FC236}">
              <a16:creationId xmlns:a16="http://schemas.microsoft.com/office/drawing/2014/main" id="{71AC92A8-A23D-4F88-A3E2-976CB0EFF632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014" name="Freeform 10707">
          <a:extLst>
            <a:ext uri="{FF2B5EF4-FFF2-40B4-BE49-F238E27FC236}">
              <a16:creationId xmlns:a16="http://schemas.microsoft.com/office/drawing/2014/main" id="{5096B7FB-7D7B-4444-BC8A-C9D0CE9613C1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015" name="Freeform 10707">
          <a:extLst>
            <a:ext uri="{FF2B5EF4-FFF2-40B4-BE49-F238E27FC236}">
              <a16:creationId xmlns:a16="http://schemas.microsoft.com/office/drawing/2014/main" id="{F95337AD-B3DA-480E-AC97-EAF523740118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016" name="Freeform 10707">
          <a:extLst>
            <a:ext uri="{FF2B5EF4-FFF2-40B4-BE49-F238E27FC236}">
              <a16:creationId xmlns:a16="http://schemas.microsoft.com/office/drawing/2014/main" id="{3890B4E9-BC58-49A4-BF30-E2D21C24D829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172</xdr:row>
      <xdr:rowOff>173181</xdr:rowOff>
    </xdr:from>
    <xdr:to>
      <xdr:col>31</xdr:col>
      <xdr:colOff>294410</xdr:colOff>
      <xdr:row>173</xdr:row>
      <xdr:rowOff>121226</xdr:rowOff>
    </xdr:to>
    <xdr:sp macro="" textlink="">
      <xdr:nvSpPr>
        <xdr:cNvPr id="3017" name="Freeform 10707">
          <a:extLst>
            <a:ext uri="{FF2B5EF4-FFF2-40B4-BE49-F238E27FC236}">
              <a16:creationId xmlns:a16="http://schemas.microsoft.com/office/drawing/2014/main" id="{C446310C-BEA5-4223-A449-E0C0598F8B80}"/>
            </a:ext>
          </a:extLst>
        </xdr:cNvPr>
        <xdr:cNvSpPr>
          <a:spLocks/>
        </xdr:cNvSpPr>
      </xdr:nvSpPr>
      <xdr:spPr bwMode="auto">
        <a:xfrm>
          <a:off x="151247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161</xdr:row>
      <xdr:rowOff>159455</xdr:rowOff>
    </xdr:from>
    <xdr:to>
      <xdr:col>2</xdr:col>
      <xdr:colOff>32743</xdr:colOff>
      <xdr:row>164</xdr:row>
      <xdr:rowOff>152400</xdr:rowOff>
    </xdr:to>
    <xdr:sp macro="" textlink="">
      <xdr:nvSpPr>
        <xdr:cNvPr id="3018" name="Isosceles Triangle 3017">
          <a:extLst>
            <a:ext uri="{FF2B5EF4-FFF2-40B4-BE49-F238E27FC236}">
              <a16:creationId xmlns:a16="http://schemas.microsoft.com/office/drawing/2014/main" id="{917D18AB-A1F1-4C97-BE7E-4325C57EBD5C}"/>
            </a:ext>
          </a:extLst>
        </xdr:cNvPr>
        <xdr:cNvSpPr/>
      </xdr:nvSpPr>
      <xdr:spPr>
        <a:xfrm>
          <a:off x="10615546" y="29258330"/>
          <a:ext cx="736072" cy="51682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162</xdr:row>
      <xdr:rowOff>4233</xdr:rowOff>
    </xdr:from>
    <xdr:to>
      <xdr:col>4</xdr:col>
      <xdr:colOff>73463</xdr:colOff>
      <xdr:row>164</xdr:row>
      <xdr:rowOff>165947</xdr:rowOff>
    </xdr:to>
    <xdr:sp macro="" textlink="">
      <xdr:nvSpPr>
        <xdr:cNvPr id="3019" name="Isosceles Triangle 3018">
          <a:extLst>
            <a:ext uri="{FF2B5EF4-FFF2-40B4-BE49-F238E27FC236}">
              <a16:creationId xmlns:a16="http://schemas.microsoft.com/office/drawing/2014/main" id="{49B8371E-2960-4DDF-9D96-7C1C4B28A7CF}"/>
            </a:ext>
          </a:extLst>
        </xdr:cNvPr>
        <xdr:cNvSpPr/>
      </xdr:nvSpPr>
      <xdr:spPr>
        <a:xfrm>
          <a:off x="1346569" y="2465493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184</xdr:row>
      <xdr:rowOff>4233</xdr:rowOff>
    </xdr:from>
    <xdr:to>
      <xdr:col>4</xdr:col>
      <xdr:colOff>46570</xdr:colOff>
      <xdr:row>186</xdr:row>
      <xdr:rowOff>173567</xdr:rowOff>
    </xdr:to>
    <xdr:sp macro="" textlink="">
      <xdr:nvSpPr>
        <xdr:cNvPr id="3025" name="Isosceles Triangle 3024">
          <a:extLst>
            <a:ext uri="{FF2B5EF4-FFF2-40B4-BE49-F238E27FC236}">
              <a16:creationId xmlns:a16="http://schemas.microsoft.com/office/drawing/2014/main" id="{E73564C6-FA21-4BEF-8AB3-BD7F4EBA3CE9}"/>
            </a:ext>
          </a:extLst>
        </xdr:cNvPr>
        <xdr:cNvSpPr/>
      </xdr:nvSpPr>
      <xdr:spPr>
        <a:xfrm>
          <a:off x="1319675" y="28343013"/>
          <a:ext cx="662375" cy="496994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184</xdr:row>
      <xdr:rowOff>13304</xdr:rowOff>
    </xdr:from>
    <xdr:to>
      <xdr:col>8</xdr:col>
      <xdr:colOff>46570</xdr:colOff>
      <xdr:row>187</xdr:row>
      <xdr:rowOff>1209</xdr:rowOff>
    </xdr:to>
    <xdr:sp macro="" textlink="">
      <xdr:nvSpPr>
        <xdr:cNvPr id="3026" name="Isosceles Triangle 3025">
          <a:extLst>
            <a:ext uri="{FF2B5EF4-FFF2-40B4-BE49-F238E27FC236}">
              <a16:creationId xmlns:a16="http://schemas.microsoft.com/office/drawing/2014/main" id="{D50D3172-87C6-4C00-B839-C50C67020E4B}"/>
            </a:ext>
          </a:extLst>
        </xdr:cNvPr>
        <xdr:cNvSpPr/>
      </xdr:nvSpPr>
      <xdr:spPr>
        <a:xfrm>
          <a:off x="3392315" y="2835208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184</xdr:row>
      <xdr:rowOff>15522</xdr:rowOff>
    </xdr:from>
    <xdr:to>
      <xdr:col>6</xdr:col>
      <xdr:colOff>43746</xdr:colOff>
      <xdr:row>187</xdr:row>
      <xdr:rowOff>8467</xdr:rowOff>
    </xdr:to>
    <xdr:sp macro="" textlink="">
      <xdr:nvSpPr>
        <xdr:cNvPr id="3027" name="Isosceles Triangle 3026">
          <a:extLst>
            <a:ext uri="{FF2B5EF4-FFF2-40B4-BE49-F238E27FC236}">
              <a16:creationId xmlns:a16="http://schemas.microsoft.com/office/drawing/2014/main" id="{3C9D3E67-9F21-4955-A6BD-054BAF75103E}"/>
            </a:ext>
          </a:extLst>
        </xdr:cNvPr>
        <xdr:cNvSpPr/>
      </xdr:nvSpPr>
      <xdr:spPr>
        <a:xfrm>
          <a:off x="2353172" y="2835430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184</xdr:row>
      <xdr:rowOff>18345</xdr:rowOff>
    </xdr:from>
    <xdr:to>
      <xdr:col>20</xdr:col>
      <xdr:colOff>39510</xdr:colOff>
      <xdr:row>187</xdr:row>
      <xdr:rowOff>11290</xdr:rowOff>
    </xdr:to>
    <xdr:sp macro="" textlink="">
      <xdr:nvSpPr>
        <xdr:cNvPr id="3028" name="Isosceles Triangle 3027">
          <a:extLst>
            <a:ext uri="{FF2B5EF4-FFF2-40B4-BE49-F238E27FC236}">
              <a16:creationId xmlns:a16="http://schemas.microsoft.com/office/drawing/2014/main" id="{B7F9D0C6-BAC1-48F6-8BF4-220260D9534E}"/>
            </a:ext>
          </a:extLst>
        </xdr:cNvPr>
        <xdr:cNvSpPr/>
      </xdr:nvSpPr>
      <xdr:spPr>
        <a:xfrm>
          <a:off x="9610796" y="2835712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421340</xdr:colOff>
      <xdr:row>184</xdr:row>
      <xdr:rowOff>16020</xdr:rowOff>
    </xdr:from>
    <xdr:to>
      <xdr:col>22</xdr:col>
      <xdr:colOff>31461</xdr:colOff>
      <xdr:row>186</xdr:row>
      <xdr:rowOff>161365</xdr:rowOff>
    </xdr:to>
    <xdr:sp macro="" textlink="">
      <xdr:nvSpPr>
        <xdr:cNvPr id="3029" name="Isosceles Triangle 3028">
          <a:extLst>
            <a:ext uri="{FF2B5EF4-FFF2-40B4-BE49-F238E27FC236}">
              <a16:creationId xmlns:a16="http://schemas.microsoft.com/office/drawing/2014/main" id="{AB64050E-0019-44AE-A9F0-AEEB039F1627}"/>
            </a:ext>
          </a:extLst>
        </xdr:cNvPr>
        <xdr:cNvSpPr/>
      </xdr:nvSpPr>
      <xdr:spPr>
        <a:xfrm>
          <a:off x="10655000" y="28354800"/>
          <a:ext cx="646441" cy="4806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4233</xdr:rowOff>
    </xdr:from>
    <xdr:to>
      <xdr:col>24</xdr:col>
      <xdr:colOff>46570</xdr:colOff>
      <xdr:row>186</xdr:row>
      <xdr:rowOff>173567</xdr:rowOff>
    </xdr:to>
    <xdr:sp macro="" textlink="">
      <xdr:nvSpPr>
        <xdr:cNvPr id="3030" name="Isosceles Triangle 3029">
          <a:extLst>
            <a:ext uri="{FF2B5EF4-FFF2-40B4-BE49-F238E27FC236}">
              <a16:creationId xmlns:a16="http://schemas.microsoft.com/office/drawing/2014/main" id="{CCDB0B83-2CB6-4BE1-912D-D5CFA666BDD2}"/>
            </a:ext>
          </a:extLst>
        </xdr:cNvPr>
        <xdr:cNvSpPr/>
      </xdr:nvSpPr>
      <xdr:spPr>
        <a:xfrm>
          <a:off x="11690495" y="2834301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184</xdr:row>
      <xdr:rowOff>13304</xdr:rowOff>
    </xdr:from>
    <xdr:to>
      <xdr:col>28</xdr:col>
      <xdr:colOff>46570</xdr:colOff>
      <xdr:row>187</xdr:row>
      <xdr:rowOff>1210</xdr:rowOff>
    </xdr:to>
    <xdr:sp macro="" textlink="">
      <xdr:nvSpPr>
        <xdr:cNvPr id="3031" name="Isosceles Triangle 3030">
          <a:extLst>
            <a:ext uri="{FF2B5EF4-FFF2-40B4-BE49-F238E27FC236}">
              <a16:creationId xmlns:a16="http://schemas.microsoft.com/office/drawing/2014/main" id="{E290D676-ABC3-4AAD-94FB-F9E315970A5F}"/>
            </a:ext>
          </a:extLst>
        </xdr:cNvPr>
        <xdr:cNvSpPr/>
      </xdr:nvSpPr>
      <xdr:spPr>
        <a:xfrm>
          <a:off x="13763135" y="2835208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184</xdr:row>
      <xdr:rowOff>13304</xdr:rowOff>
    </xdr:from>
    <xdr:to>
      <xdr:col>24</xdr:col>
      <xdr:colOff>46569</xdr:colOff>
      <xdr:row>187</xdr:row>
      <xdr:rowOff>1210</xdr:rowOff>
    </xdr:to>
    <xdr:sp macro="" textlink="">
      <xdr:nvSpPr>
        <xdr:cNvPr id="3032" name="Isosceles Triangle 3031">
          <a:extLst>
            <a:ext uri="{FF2B5EF4-FFF2-40B4-BE49-F238E27FC236}">
              <a16:creationId xmlns:a16="http://schemas.microsoft.com/office/drawing/2014/main" id="{D43316AB-4E5B-49CB-99B0-066E208ADD07}"/>
            </a:ext>
          </a:extLst>
        </xdr:cNvPr>
        <xdr:cNvSpPr/>
      </xdr:nvSpPr>
      <xdr:spPr>
        <a:xfrm>
          <a:off x="11690495" y="2835208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184</xdr:row>
      <xdr:rowOff>15522</xdr:rowOff>
    </xdr:from>
    <xdr:to>
      <xdr:col>26</xdr:col>
      <xdr:colOff>43746</xdr:colOff>
      <xdr:row>187</xdr:row>
      <xdr:rowOff>8467</xdr:rowOff>
    </xdr:to>
    <xdr:sp macro="" textlink="">
      <xdr:nvSpPr>
        <xdr:cNvPr id="3033" name="Isosceles Triangle 3032">
          <a:extLst>
            <a:ext uri="{FF2B5EF4-FFF2-40B4-BE49-F238E27FC236}">
              <a16:creationId xmlns:a16="http://schemas.microsoft.com/office/drawing/2014/main" id="{B95A1ABF-02FA-49CE-9058-72D5678FB883}"/>
            </a:ext>
          </a:extLst>
        </xdr:cNvPr>
        <xdr:cNvSpPr/>
      </xdr:nvSpPr>
      <xdr:spPr>
        <a:xfrm>
          <a:off x="12723992" y="2835430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184</xdr:row>
      <xdr:rowOff>7056</xdr:rowOff>
    </xdr:from>
    <xdr:to>
      <xdr:col>30</xdr:col>
      <xdr:colOff>42332</xdr:colOff>
      <xdr:row>187</xdr:row>
      <xdr:rowOff>1</xdr:rowOff>
    </xdr:to>
    <xdr:sp macro="" textlink="">
      <xdr:nvSpPr>
        <xdr:cNvPr id="3034" name="Isosceles Triangle 3033">
          <a:extLst>
            <a:ext uri="{FF2B5EF4-FFF2-40B4-BE49-F238E27FC236}">
              <a16:creationId xmlns:a16="http://schemas.microsoft.com/office/drawing/2014/main" id="{DC0ACE62-87D1-48E3-93EE-0A3427F91700}"/>
            </a:ext>
          </a:extLst>
        </xdr:cNvPr>
        <xdr:cNvSpPr/>
      </xdr:nvSpPr>
      <xdr:spPr>
        <a:xfrm>
          <a:off x="14795218" y="2834583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194</xdr:row>
      <xdr:rowOff>159859</xdr:rowOff>
    </xdr:from>
    <xdr:to>
      <xdr:col>2</xdr:col>
      <xdr:colOff>17739</xdr:colOff>
      <xdr:row>197</xdr:row>
      <xdr:rowOff>152804</xdr:rowOff>
    </xdr:to>
    <xdr:sp macro="" textlink="">
      <xdr:nvSpPr>
        <xdr:cNvPr id="3035" name="Isosceles Triangle 3034">
          <a:extLst>
            <a:ext uri="{FF2B5EF4-FFF2-40B4-BE49-F238E27FC236}">
              <a16:creationId xmlns:a16="http://schemas.microsoft.com/office/drawing/2014/main" id="{0DAAD39B-BDDA-4324-906A-2A42157E3A2F}"/>
            </a:ext>
          </a:extLst>
        </xdr:cNvPr>
        <xdr:cNvSpPr/>
      </xdr:nvSpPr>
      <xdr:spPr>
        <a:xfrm>
          <a:off x="300245" y="3017503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195</xdr:row>
      <xdr:rowOff>7056</xdr:rowOff>
    </xdr:from>
    <xdr:to>
      <xdr:col>4</xdr:col>
      <xdr:colOff>42332</xdr:colOff>
      <xdr:row>198</xdr:row>
      <xdr:rowOff>1</xdr:rowOff>
    </xdr:to>
    <xdr:sp macro="" textlink="">
      <xdr:nvSpPr>
        <xdr:cNvPr id="3036" name="Isosceles Triangle 3035">
          <a:extLst>
            <a:ext uri="{FF2B5EF4-FFF2-40B4-BE49-F238E27FC236}">
              <a16:creationId xmlns:a16="http://schemas.microsoft.com/office/drawing/2014/main" id="{197C7C8A-DCF1-471B-9C8F-7EF99FD07A56}"/>
            </a:ext>
          </a:extLst>
        </xdr:cNvPr>
        <xdr:cNvSpPr/>
      </xdr:nvSpPr>
      <xdr:spPr>
        <a:xfrm>
          <a:off x="131543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195</xdr:row>
      <xdr:rowOff>18345</xdr:rowOff>
    </xdr:from>
    <xdr:to>
      <xdr:col>6</xdr:col>
      <xdr:colOff>39510</xdr:colOff>
      <xdr:row>198</xdr:row>
      <xdr:rowOff>11290</xdr:rowOff>
    </xdr:to>
    <xdr:sp macro="" textlink="">
      <xdr:nvSpPr>
        <xdr:cNvPr id="3037" name="Isosceles Triangle 3036">
          <a:extLst>
            <a:ext uri="{FF2B5EF4-FFF2-40B4-BE49-F238E27FC236}">
              <a16:creationId xmlns:a16="http://schemas.microsoft.com/office/drawing/2014/main" id="{A2076B08-DB64-4AD3-AEEA-ADA7F3735B9F}"/>
            </a:ext>
          </a:extLst>
        </xdr:cNvPr>
        <xdr:cNvSpPr/>
      </xdr:nvSpPr>
      <xdr:spPr>
        <a:xfrm>
          <a:off x="2348936" y="3020116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195</xdr:row>
      <xdr:rowOff>7056</xdr:rowOff>
    </xdr:from>
    <xdr:to>
      <xdr:col>8</xdr:col>
      <xdr:colOff>42332</xdr:colOff>
      <xdr:row>198</xdr:row>
      <xdr:rowOff>1</xdr:rowOff>
    </xdr:to>
    <xdr:sp macro="" textlink="">
      <xdr:nvSpPr>
        <xdr:cNvPr id="3038" name="Isosceles Triangle 3037">
          <a:extLst>
            <a:ext uri="{FF2B5EF4-FFF2-40B4-BE49-F238E27FC236}">
              <a16:creationId xmlns:a16="http://schemas.microsoft.com/office/drawing/2014/main" id="{25F03AAC-44B4-4CA1-9FF1-1AAC7F68F4C9}"/>
            </a:ext>
          </a:extLst>
        </xdr:cNvPr>
        <xdr:cNvSpPr/>
      </xdr:nvSpPr>
      <xdr:spPr>
        <a:xfrm>
          <a:off x="3388078" y="3018987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195</xdr:row>
      <xdr:rowOff>18345</xdr:rowOff>
    </xdr:from>
    <xdr:to>
      <xdr:col>10</xdr:col>
      <xdr:colOff>39510</xdr:colOff>
      <xdr:row>198</xdr:row>
      <xdr:rowOff>11290</xdr:rowOff>
    </xdr:to>
    <xdr:sp macro="" textlink="">
      <xdr:nvSpPr>
        <xdr:cNvPr id="3039" name="Isosceles Triangle 3038">
          <a:extLst>
            <a:ext uri="{FF2B5EF4-FFF2-40B4-BE49-F238E27FC236}">
              <a16:creationId xmlns:a16="http://schemas.microsoft.com/office/drawing/2014/main" id="{2D5AD8C6-CF8C-441B-A323-A22B1BBDC622}"/>
            </a:ext>
          </a:extLst>
        </xdr:cNvPr>
        <xdr:cNvSpPr/>
      </xdr:nvSpPr>
      <xdr:spPr>
        <a:xfrm>
          <a:off x="4421576" y="3020116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195</xdr:row>
      <xdr:rowOff>7055</xdr:rowOff>
    </xdr:from>
    <xdr:to>
      <xdr:col>12</xdr:col>
      <xdr:colOff>49392</xdr:colOff>
      <xdr:row>198</xdr:row>
      <xdr:rowOff>0</xdr:rowOff>
    </xdr:to>
    <xdr:sp macro="" textlink="">
      <xdr:nvSpPr>
        <xdr:cNvPr id="3040" name="Isosceles Triangle 3039">
          <a:extLst>
            <a:ext uri="{FF2B5EF4-FFF2-40B4-BE49-F238E27FC236}">
              <a16:creationId xmlns:a16="http://schemas.microsoft.com/office/drawing/2014/main" id="{222AEE9A-64A2-4E7A-A006-E57C84867C66}"/>
            </a:ext>
          </a:extLst>
        </xdr:cNvPr>
        <xdr:cNvSpPr/>
      </xdr:nvSpPr>
      <xdr:spPr>
        <a:xfrm>
          <a:off x="5458097" y="3018987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4233</xdr:rowOff>
    </xdr:from>
    <xdr:to>
      <xdr:col>14</xdr:col>
      <xdr:colOff>46570</xdr:colOff>
      <xdr:row>197</xdr:row>
      <xdr:rowOff>173567</xdr:rowOff>
    </xdr:to>
    <xdr:sp macro="" textlink="">
      <xdr:nvSpPr>
        <xdr:cNvPr id="3041" name="Isosceles Triangle 3040">
          <a:extLst>
            <a:ext uri="{FF2B5EF4-FFF2-40B4-BE49-F238E27FC236}">
              <a16:creationId xmlns:a16="http://schemas.microsoft.com/office/drawing/2014/main" id="{4FD6F031-FECE-44C5-B2EF-23A67EA9411E}"/>
            </a:ext>
          </a:extLst>
        </xdr:cNvPr>
        <xdr:cNvSpPr/>
      </xdr:nvSpPr>
      <xdr:spPr>
        <a:xfrm>
          <a:off x="6501275" y="3018705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195</xdr:row>
      <xdr:rowOff>13304</xdr:rowOff>
    </xdr:from>
    <xdr:to>
      <xdr:col>18</xdr:col>
      <xdr:colOff>46570</xdr:colOff>
      <xdr:row>198</xdr:row>
      <xdr:rowOff>1209</xdr:rowOff>
    </xdr:to>
    <xdr:sp macro="" textlink="">
      <xdr:nvSpPr>
        <xdr:cNvPr id="3042" name="Isosceles Triangle 3041">
          <a:extLst>
            <a:ext uri="{FF2B5EF4-FFF2-40B4-BE49-F238E27FC236}">
              <a16:creationId xmlns:a16="http://schemas.microsoft.com/office/drawing/2014/main" id="{B477F7F1-C35B-4084-9B9A-4CB1A82E5CFA}"/>
            </a:ext>
          </a:extLst>
        </xdr:cNvPr>
        <xdr:cNvSpPr/>
      </xdr:nvSpPr>
      <xdr:spPr>
        <a:xfrm>
          <a:off x="8573915" y="3019612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195</xdr:row>
      <xdr:rowOff>13304</xdr:rowOff>
    </xdr:from>
    <xdr:to>
      <xdr:col>14</xdr:col>
      <xdr:colOff>46569</xdr:colOff>
      <xdr:row>198</xdr:row>
      <xdr:rowOff>1209</xdr:rowOff>
    </xdr:to>
    <xdr:sp macro="" textlink="">
      <xdr:nvSpPr>
        <xdr:cNvPr id="3043" name="Isosceles Triangle 3042">
          <a:extLst>
            <a:ext uri="{FF2B5EF4-FFF2-40B4-BE49-F238E27FC236}">
              <a16:creationId xmlns:a16="http://schemas.microsoft.com/office/drawing/2014/main" id="{76A45667-2D82-4888-BAB8-8FE9450ECC6B}"/>
            </a:ext>
          </a:extLst>
        </xdr:cNvPr>
        <xdr:cNvSpPr/>
      </xdr:nvSpPr>
      <xdr:spPr>
        <a:xfrm>
          <a:off x="6501275" y="3019612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195</xdr:row>
      <xdr:rowOff>15522</xdr:rowOff>
    </xdr:from>
    <xdr:to>
      <xdr:col>16</xdr:col>
      <xdr:colOff>43746</xdr:colOff>
      <xdr:row>198</xdr:row>
      <xdr:rowOff>8467</xdr:rowOff>
    </xdr:to>
    <xdr:sp macro="" textlink="">
      <xdr:nvSpPr>
        <xdr:cNvPr id="3044" name="Isosceles Triangle 3043">
          <a:extLst>
            <a:ext uri="{FF2B5EF4-FFF2-40B4-BE49-F238E27FC236}">
              <a16:creationId xmlns:a16="http://schemas.microsoft.com/office/drawing/2014/main" id="{4F3B736B-A058-463E-9293-6EF60B3F3AB6}"/>
            </a:ext>
          </a:extLst>
        </xdr:cNvPr>
        <xdr:cNvSpPr/>
      </xdr:nvSpPr>
      <xdr:spPr>
        <a:xfrm>
          <a:off x="7534772" y="3019834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195</xdr:row>
      <xdr:rowOff>7056</xdr:rowOff>
    </xdr:from>
    <xdr:to>
      <xdr:col>20</xdr:col>
      <xdr:colOff>42332</xdr:colOff>
      <xdr:row>198</xdr:row>
      <xdr:rowOff>1</xdr:rowOff>
    </xdr:to>
    <xdr:sp macro="" textlink="">
      <xdr:nvSpPr>
        <xdr:cNvPr id="3045" name="Isosceles Triangle 3044">
          <a:extLst>
            <a:ext uri="{FF2B5EF4-FFF2-40B4-BE49-F238E27FC236}">
              <a16:creationId xmlns:a16="http://schemas.microsoft.com/office/drawing/2014/main" id="{CE062CF7-78BE-4DC1-81C9-59076E5E41FC}"/>
            </a:ext>
          </a:extLst>
        </xdr:cNvPr>
        <xdr:cNvSpPr/>
      </xdr:nvSpPr>
      <xdr:spPr>
        <a:xfrm>
          <a:off x="961361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195</xdr:row>
      <xdr:rowOff>18345</xdr:rowOff>
    </xdr:from>
    <xdr:to>
      <xdr:col>22</xdr:col>
      <xdr:colOff>39510</xdr:colOff>
      <xdr:row>198</xdr:row>
      <xdr:rowOff>11290</xdr:rowOff>
    </xdr:to>
    <xdr:sp macro="" textlink="">
      <xdr:nvSpPr>
        <xdr:cNvPr id="3046" name="Isosceles Triangle 3045">
          <a:extLst>
            <a:ext uri="{FF2B5EF4-FFF2-40B4-BE49-F238E27FC236}">
              <a16:creationId xmlns:a16="http://schemas.microsoft.com/office/drawing/2014/main" id="{DDDD90C5-E62C-4133-B807-67D580FCC51C}"/>
            </a:ext>
          </a:extLst>
        </xdr:cNvPr>
        <xdr:cNvSpPr/>
      </xdr:nvSpPr>
      <xdr:spPr>
        <a:xfrm>
          <a:off x="10647116" y="3020116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195</xdr:row>
      <xdr:rowOff>7056</xdr:rowOff>
    </xdr:from>
    <xdr:to>
      <xdr:col>24</xdr:col>
      <xdr:colOff>42332</xdr:colOff>
      <xdr:row>198</xdr:row>
      <xdr:rowOff>1</xdr:rowOff>
    </xdr:to>
    <xdr:sp macro="" textlink="">
      <xdr:nvSpPr>
        <xdr:cNvPr id="3047" name="Isosceles Triangle 3046">
          <a:extLst>
            <a:ext uri="{FF2B5EF4-FFF2-40B4-BE49-F238E27FC236}">
              <a16:creationId xmlns:a16="http://schemas.microsoft.com/office/drawing/2014/main" id="{16605299-B21E-4520-A5F0-A35F0F7BE51F}"/>
            </a:ext>
          </a:extLst>
        </xdr:cNvPr>
        <xdr:cNvSpPr/>
      </xdr:nvSpPr>
      <xdr:spPr>
        <a:xfrm>
          <a:off x="11686258" y="30189876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195</xdr:row>
      <xdr:rowOff>18345</xdr:rowOff>
    </xdr:from>
    <xdr:to>
      <xdr:col>26</xdr:col>
      <xdr:colOff>39510</xdr:colOff>
      <xdr:row>198</xdr:row>
      <xdr:rowOff>11290</xdr:rowOff>
    </xdr:to>
    <xdr:sp macro="" textlink="">
      <xdr:nvSpPr>
        <xdr:cNvPr id="3048" name="Isosceles Triangle 3047">
          <a:extLst>
            <a:ext uri="{FF2B5EF4-FFF2-40B4-BE49-F238E27FC236}">
              <a16:creationId xmlns:a16="http://schemas.microsoft.com/office/drawing/2014/main" id="{2D800BCB-B858-4075-9E78-59BED8179A1D}"/>
            </a:ext>
          </a:extLst>
        </xdr:cNvPr>
        <xdr:cNvSpPr/>
      </xdr:nvSpPr>
      <xdr:spPr>
        <a:xfrm>
          <a:off x="1271975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195</xdr:row>
      <xdr:rowOff>7056</xdr:rowOff>
    </xdr:from>
    <xdr:to>
      <xdr:col>28</xdr:col>
      <xdr:colOff>42332</xdr:colOff>
      <xdr:row>198</xdr:row>
      <xdr:rowOff>1</xdr:rowOff>
    </xdr:to>
    <xdr:sp macro="" textlink="">
      <xdr:nvSpPr>
        <xdr:cNvPr id="3049" name="Isosceles Triangle 3048">
          <a:extLst>
            <a:ext uri="{FF2B5EF4-FFF2-40B4-BE49-F238E27FC236}">
              <a16:creationId xmlns:a16="http://schemas.microsoft.com/office/drawing/2014/main" id="{AB3D682E-880E-49FF-80DE-007F473C41C4}"/>
            </a:ext>
          </a:extLst>
        </xdr:cNvPr>
        <xdr:cNvSpPr/>
      </xdr:nvSpPr>
      <xdr:spPr>
        <a:xfrm>
          <a:off x="13758898" y="3018987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195</xdr:row>
      <xdr:rowOff>18345</xdr:rowOff>
    </xdr:from>
    <xdr:to>
      <xdr:col>30</xdr:col>
      <xdr:colOff>39510</xdr:colOff>
      <xdr:row>198</xdr:row>
      <xdr:rowOff>11290</xdr:rowOff>
    </xdr:to>
    <xdr:sp macro="" textlink="">
      <xdr:nvSpPr>
        <xdr:cNvPr id="3050" name="Isosceles Triangle 3049">
          <a:extLst>
            <a:ext uri="{FF2B5EF4-FFF2-40B4-BE49-F238E27FC236}">
              <a16:creationId xmlns:a16="http://schemas.microsoft.com/office/drawing/2014/main" id="{E951AA49-66D4-4D75-B29F-160E613C9DF7}"/>
            </a:ext>
          </a:extLst>
        </xdr:cNvPr>
        <xdr:cNvSpPr/>
      </xdr:nvSpPr>
      <xdr:spPr>
        <a:xfrm>
          <a:off x="14792396" y="30201165"/>
          <a:ext cx="662374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183</xdr:row>
      <xdr:rowOff>173181</xdr:rowOff>
    </xdr:from>
    <xdr:to>
      <xdr:col>3</xdr:col>
      <xdr:colOff>294410</xdr:colOff>
      <xdr:row>184</xdr:row>
      <xdr:rowOff>121226</xdr:rowOff>
    </xdr:to>
    <xdr:sp macro="" textlink="">
      <xdr:nvSpPr>
        <xdr:cNvPr id="3051" name="Freeform 10707">
          <a:extLst>
            <a:ext uri="{FF2B5EF4-FFF2-40B4-BE49-F238E27FC236}">
              <a16:creationId xmlns:a16="http://schemas.microsoft.com/office/drawing/2014/main" id="{7CA6D7CD-C644-4426-9F0A-17877ACA1ED7}"/>
            </a:ext>
          </a:extLst>
        </xdr:cNvPr>
        <xdr:cNvSpPr>
          <a:spLocks/>
        </xdr:cNvSpPr>
      </xdr:nvSpPr>
      <xdr:spPr bwMode="auto">
        <a:xfrm>
          <a:off x="6086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183</xdr:row>
      <xdr:rowOff>173181</xdr:rowOff>
    </xdr:from>
    <xdr:to>
      <xdr:col>5</xdr:col>
      <xdr:colOff>294410</xdr:colOff>
      <xdr:row>184</xdr:row>
      <xdr:rowOff>121226</xdr:rowOff>
    </xdr:to>
    <xdr:sp macro="" textlink="">
      <xdr:nvSpPr>
        <xdr:cNvPr id="3052" name="Freeform 10707">
          <a:extLst>
            <a:ext uri="{FF2B5EF4-FFF2-40B4-BE49-F238E27FC236}">
              <a16:creationId xmlns:a16="http://schemas.microsoft.com/office/drawing/2014/main" id="{60471030-29D1-4C27-9BFD-D92CFBAFD505}"/>
            </a:ext>
          </a:extLst>
        </xdr:cNvPr>
        <xdr:cNvSpPr>
          <a:spLocks/>
        </xdr:cNvSpPr>
      </xdr:nvSpPr>
      <xdr:spPr bwMode="auto">
        <a:xfrm>
          <a:off x="16450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183</xdr:row>
      <xdr:rowOff>173181</xdr:rowOff>
    </xdr:from>
    <xdr:to>
      <xdr:col>7</xdr:col>
      <xdr:colOff>294410</xdr:colOff>
      <xdr:row>184</xdr:row>
      <xdr:rowOff>121226</xdr:rowOff>
    </xdr:to>
    <xdr:sp macro="" textlink="">
      <xdr:nvSpPr>
        <xdr:cNvPr id="3053" name="Freeform 10707">
          <a:extLst>
            <a:ext uri="{FF2B5EF4-FFF2-40B4-BE49-F238E27FC236}">
              <a16:creationId xmlns:a16="http://schemas.microsoft.com/office/drawing/2014/main" id="{8A0CE8B0-F58A-4AB2-92BE-91B79FC97A48}"/>
            </a:ext>
          </a:extLst>
        </xdr:cNvPr>
        <xdr:cNvSpPr>
          <a:spLocks/>
        </xdr:cNvSpPr>
      </xdr:nvSpPr>
      <xdr:spPr bwMode="auto">
        <a:xfrm>
          <a:off x="26813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183</xdr:row>
      <xdr:rowOff>173181</xdr:rowOff>
    </xdr:from>
    <xdr:to>
      <xdr:col>9</xdr:col>
      <xdr:colOff>294410</xdr:colOff>
      <xdr:row>184</xdr:row>
      <xdr:rowOff>121226</xdr:rowOff>
    </xdr:to>
    <xdr:sp macro="" textlink="">
      <xdr:nvSpPr>
        <xdr:cNvPr id="3054" name="Freeform 10707">
          <a:extLst>
            <a:ext uri="{FF2B5EF4-FFF2-40B4-BE49-F238E27FC236}">
              <a16:creationId xmlns:a16="http://schemas.microsoft.com/office/drawing/2014/main" id="{EE0A33F9-194F-431E-9F46-516E9377DD22}"/>
            </a:ext>
          </a:extLst>
        </xdr:cNvPr>
        <xdr:cNvSpPr>
          <a:spLocks/>
        </xdr:cNvSpPr>
      </xdr:nvSpPr>
      <xdr:spPr bwMode="auto">
        <a:xfrm>
          <a:off x="37176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055" name="Freeform 10707">
          <a:extLst>
            <a:ext uri="{FF2B5EF4-FFF2-40B4-BE49-F238E27FC236}">
              <a16:creationId xmlns:a16="http://schemas.microsoft.com/office/drawing/2014/main" id="{0C713604-C2F7-4D1F-9DE6-65061A128697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056" name="Freeform 10707">
          <a:extLst>
            <a:ext uri="{FF2B5EF4-FFF2-40B4-BE49-F238E27FC236}">
              <a16:creationId xmlns:a16="http://schemas.microsoft.com/office/drawing/2014/main" id="{12BE5A3E-3059-492B-9510-0FE3BD683B1B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057" name="Freeform 10707">
          <a:extLst>
            <a:ext uri="{FF2B5EF4-FFF2-40B4-BE49-F238E27FC236}">
              <a16:creationId xmlns:a16="http://schemas.microsoft.com/office/drawing/2014/main" id="{F755E4B2-4D23-48F0-B240-2D35AF8AC83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058" name="Freeform 10707">
          <a:extLst>
            <a:ext uri="{FF2B5EF4-FFF2-40B4-BE49-F238E27FC236}">
              <a16:creationId xmlns:a16="http://schemas.microsoft.com/office/drawing/2014/main" id="{07E002F9-ED12-40CD-8FF8-9FFE1F7DDB92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183</xdr:row>
      <xdr:rowOff>173181</xdr:rowOff>
    </xdr:from>
    <xdr:to>
      <xdr:col>19</xdr:col>
      <xdr:colOff>294410</xdr:colOff>
      <xdr:row>184</xdr:row>
      <xdr:rowOff>121226</xdr:rowOff>
    </xdr:to>
    <xdr:sp macro="" textlink="">
      <xdr:nvSpPr>
        <xdr:cNvPr id="3059" name="Freeform 10707">
          <a:extLst>
            <a:ext uri="{FF2B5EF4-FFF2-40B4-BE49-F238E27FC236}">
              <a16:creationId xmlns:a16="http://schemas.microsoft.com/office/drawing/2014/main" id="{0C114529-7586-4F2D-AA01-6B2E08A6F851}"/>
            </a:ext>
          </a:extLst>
        </xdr:cNvPr>
        <xdr:cNvSpPr>
          <a:spLocks/>
        </xdr:cNvSpPr>
      </xdr:nvSpPr>
      <xdr:spPr bwMode="auto">
        <a:xfrm>
          <a:off x="8899240" y="2833670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060" name="Freeform 10707">
          <a:extLst>
            <a:ext uri="{FF2B5EF4-FFF2-40B4-BE49-F238E27FC236}">
              <a16:creationId xmlns:a16="http://schemas.microsoft.com/office/drawing/2014/main" id="{E7783F5E-27CB-449D-83B3-FD942F9B17C6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061" name="Freeform 10707">
          <a:extLst>
            <a:ext uri="{FF2B5EF4-FFF2-40B4-BE49-F238E27FC236}">
              <a16:creationId xmlns:a16="http://schemas.microsoft.com/office/drawing/2014/main" id="{85B5F1D2-4FC0-46C6-8F13-75D745A9FEF5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062" name="Freeform 10707">
          <a:extLst>
            <a:ext uri="{FF2B5EF4-FFF2-40B4-BE49-F238E27FC236}">
              <a16:creationId xmlns:a16="http://schemas.microsoft.com/office/drawing/2014/main" id="{5160E667-B3A0-452C-AA40-3D74F515A73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063" name="Freeform 10707">
          <a:extLst>
            <a:ext uri="{FF2B5EF4-FFF2-40B4-BE49-F238E27FC236}">
              <a16:creationId xmlns:a16="http://schemas.microsoft.com/office/drawing/2014/main" id="{11D7BF67-AFF2-496E-9C65-EA50DD30EEE5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064" name="Freeform 10707">
          <a:extLst>
            <a:ext uri="{FF2B5EF4-FFF2-40B4-BE49-F238E27FC236}">
              <a16:creationId xmlns:a16="http://schemas.microsoft.com/office/drawing/2014/main" id="{8CC9B0A5-65C9-4D8A-B75D-968EBA052C0A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183</xdr:row>
      <xdr:rowOff>173181</xdr:rowOff>
    </xdr:from>
    <xdr:to>
      <xdr:col>31</xdr:col>
      <xdr:colOff>294410</xdr:colOff>
      <xdr:row>184</xdr:row>
      <xdr:rowOff>121226</xdr:rowOff>
    </xdr:to>
    <xdr:sp macro="" textlink="">
      <xdr:nvSpPr>
        <xdr:cNvPr id="3065" name="Freeform 10707">
          <a:extLst>
            <a:ext uri="{FF2B5EF4-FFF2-40B4-BE49-F238E27FC236}">
              <a16:creationId xmlns:a16="http://schemas.microsoft.com/office/drawing/2014/main" id="{DA5C3668-AFBF-4286-B00B-60A00DA4A0CA}"/>
            </a:ext>
          </a:extLst>
        </xdr:cNvPr>
        <xdr:cNvSpPr>
          <a:spLocks/>
        </xdr:cNvSpPr>
      </xdr:nvSpPr>
      <xdr:spPr bwMode="auto">
        <a:xfrm>
          <a:off x="151247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194</xdr:row>
      <xdr:rowOff>173181</xdr:rowOff>
    </xdr:from>
    <xdr:to>
      <xdr:col>3</xdr:col>
      <xdr:colOff>294410</xdr:colOff>
      <xdr:row>195</xdr:row>
      <xdr:rowOff>121226</xdr:rowOff>
    </xdr:to>
    <xdr:sp macro="" textlink="">
      <xdr:nvSpPr>
        <xdr:cNvPr id="3066" name="Freeform 10707">
          <a:extLst>
            <a:ext uri="{FF2B5EF4-FFF2-40B4-BE49-F238E27FC236}">
              <a16:creationId xmlns:a16="http://schemas.microsoft.com/office/drawing/2014/main" id="{BA32F8B3-71BF-4BA8-89D3-E8420335A69C}"/>
            </a:ext>
          </a:extLst>
        </xdr:cNvPr>
        <xdr:cNvSpPr>
          <a:spLocks/>
        </xdr:cNvSpPr>
      </xdr:nvSpPr>
      <xdr:spPr bwMode="auto">
        <a:xfrm>
          <a:off x="6086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067" name="Freeform 10707">
          <a:extLst>
            <a:ext uri="{FF2B5EF4-FFF2-40B4-BE49-F238E27FC236}">
              <a16:creationId xmlns:a16="http://schemas.microsoft.com/office/drawing/2014/main" id="{622D69FE-A784-416C-A630-DB3372A6C7BE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068" name="Freeform 10707">
          <a:extLst>
            <a:ext uri="{FF2B5EF4-FFF2-40B4-BE49-F238E27FC236}">
              <a16:creationId xmlns:a16="http://schemas.microsoft.com/office/drawing/2014/main" id="{83CEE325-3C64-41D7-BB76-C276CA3FFF04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069" name="Freeform 10707">
          <a:extLst>
            <a:ext uri="{FF2B5EF4-FFF2-40B4-BE49-F238E27FC236}">
              <a16:creationId xmlns:a16="http://schemas.microsoft.com/office/drawing/2014/main" id="{AEDCD015-73B6-423F-B49D-53777A9750DA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070" name="Freeform 10707">
          <a:extLst>
            <a:ext uri="{FF2B5EF4-FFF2-40B4-BE49-F238E27FC236}">
              <a16:creationId xmlns:a16="http://schemas.microsoft.com/office/drawing/2014/main" id="{FF637E8E-FF54-417C-9954-6EF792CC0AC5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071" name="Freeform 10707">
          <a:extLst>
            <a:ext uri="{FF2B5EF4-FFF2-40B4-BE49-F238E27FC236}">
              <a16:creationId xmlns:a16="http://schemas.microsoft.com/office/drawing/2014/main" id="{5F3CF95F-0A69-4E1F-9B23-C4E501C2FE9D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072" name="Freeform 10707">
          <a:extLst>
            <a:ext uri="{FF2B5EF4-FFF2-40B4-BE49-F238E27FC236}">
              <a16:creationId xmlns:a16="http://schemas.microsoft.com/office/drawing/2014/main" id="{03CCB601-8F00-4672-B514-9F6DC124EF4E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073" name="Freeform 10707">
          <a:extLst>
            <a:ext uri="{FF2B5EF4-FFF2-40B4-BE49-F238E27FC236}">
              <a16:creationId xmlns:a16="http://schemas.microsoft.com/office/drawing/2014/main" id="{33DCC5E5-5E86-43F9-9BD3-A0FE30825FC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074" name="Freeform 10707">
          <a:extLst>
            <a:ext uri="{FF2B5EF4-FFF2-40B4-BE49-F238E27FC236}">
              <a16:creationId xmlns:a16="http://schemas.microsoft.com/office/drawing/2014/main" id="{A6CBA9F2-57B8-480A-AC4C-110170E31617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075" name="Freeform 10707">
          <a:extLst>
            <a:ext uri="{FF2B5EF4-FFF2-40B4-BE49-F238E27FC236}">
              <a16:creationId xmlns:a16="http://schemas.microsoft.com/office/drawing/2014/main" id="{AA811733-3029-40DE-A141-5B905856C945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076" name="Freeform 10707">
          <a:extLst>
            <a:ext uri="{FF2B5EF4-FFF2-40B4-BE49-F238E27FC236}">
              <a16:creationId xmlns:a16="http://schemas.microsoft.com/office/drawing/2014/main" id="{767AC943-853E-486F-97DE-B52995D1A0E5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077" name="Freeform 10707">
          <a:extLst>
            <a:ext uri="{FF2B5EF4-FFF2-40B4-BE49-F238E27FC236}">
              <a16:creationId xmlns:a16="http://schemas.microsoft.com/office/drawing/2014/main" id="{C6772AC3-BC3B-4518-A2DF-A5703FBB7BC7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078" name="Freeform 10707">
          <a:extLst>
            <a:ext uri="{FF2B5EF4-FFF2-40B4-BE49-F238E27FC236}">
              <a16:creationId xmlns:a16="http://schemas.microsoft.com/office/drawing/2014/main" id="{DDC6A792-0F72-4890-B97D-C6D303BE12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079" name="Freeform 10707">
          <a:extLst>
            <a:ext uri="{FF2B5EF4-FFF2-40B4-BE49-F238E27FC236}">
              <a16:creationId xmlns:a16="http://schemas.microsoft.com/office/drawing/2014/main" id="{AA0711FE-8430-4313-BFED-AF3B03EF7538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194</xdr:row>
      <xdr:rowOff>173181</xdr:rowOff>
    </xdr:from>
    <xdr:to>
      <xdr:col>31</xdr:col>
      <xdr:colOff>294410</xdr:colOff>
      <xdr:row>195</xdr:row>
      <xdr:rowOff>121226</xdr:rowOff>
    </xdr:to>
    <xdr:sp macro="" textlink="">
      <xdr:nvSpPr>
        <xdr:cNvPr id="3080" name="Freeform 10707">
          <a:extLst>
            <a:ext uri="{FF2B5EF4-FFF2-40B4-BE49-F238E27FC236}">
              <a16:creationId xmlns:a16="http://schemas.microsoft.com/office/drawing/2014/main" id="{3174CC36-20F3-4F53-AF61-DC4BFF7775A8}"/>
            </a:ext>
          </a:extLst>
        </xdr:cNvPr>
        <xdr:cNvSpPr>
          <a:spLocks/>
        </xdr:cNvSpPr>
      </xdr:nvSpPr>
      <xdr:spPr bwMode="auto">
        <a:xfrm>
          <a:off x="151247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183</xdr:row>
      <xdr:rowOff>159455</xdr:rowOff>
    </xdr:from>
    <xdr:to>
      <xdr:col>2</xdr:col>
      <xdr:colOff>32743</xdr:colOff>
      <xdr:row>186</xdr:row>
      <xdr:rowOff>152400</xdr:rowOff>
    </xdr:to>
    <xdr:sp macro="" textlink="">
      <xdr:nvSpPr>
        <xdr:cNvPr id="3081" name="Isosceles Triangle 3080">
          <a:extLst>
            <a:ext uri="{FF2B5EF4-FFF2-40B4-BE49-F238E27FC236}">
              <a16:creationId xmlns:a16="http://schemas.microsoft.com/office/drawing/2014/main" id="{342E7AF2-7E92-49E3-82AC-4D63171C83A0}"/>
            </a:ext>
          </a:extLst>
        </xdr:cNvPr>
        <xdr:cNvSpPr/>
      </xdr:nvSpPr>
      <xdr:spPr>
        <a:xfrm>
          <a:off x="296796" y="2833059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184</xdr:row>
      <xdr:rowOff>4233</xdr:rowOff>
    </xdr:from>
    <xdr:to>
      <xdr:col>4</xdr:col>
      <xdr:colOff>73463</xdr:colOff>
      <xdr:row>186</xdr:row>
      <xdr:rowOff>165947</xdr:rowOff>
    </xdr:to>
    <xdr:sp macro="" textlink="">
      <xdr:nvSpPr>
        <xdr:cNvPr id="3082" name="Isosceles Triangle 3081">
          <a:extLst>
            <a:ext uri="{FF2B5EF4-FFF2-40B4-BE49-F238E27FC236}">
              <a16:creationId xmlns:a16="http://schemas.microsoft.com/office/drawing/2014/main" id="{416510A9-7568-4B43-A716-780E961A35BD}"/>
            </a:ext>
          </a:extLst>
        </xdr:cNvPr>
        <xdr:cNvSpPr/>
      </xdr:nvSpPr>
      <xdr:spPr>
        <a:xfrm>
          <a:off x="1346569" y="28343013"/>
          <a:ext cx="662374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419359</xdr:colOff>
      <xdr:row>184</xdr:row>
      <xdr:rowOff>7056</xdr:rowOff>
    </xdr:from>
    <xdr:to>
      <xdr:col>10</xdr:col>
      <xdr:colOff>45413</xdr:colOff>
      <xdr:row>187</xdr:row>
      <xdr:rowOff>1</xdr:rowOff>
    </xdr:to>
    <xdr:sp macro="" textlink="">
      <xdr:nvSpPr>
        <xdr:cNvPr id="3083" name="Isosceles Triangle 3082">
          <a:extLst>
            <a:ext uri="{FF2B5EF4-FFF2-40B4-BE49-F238E27FC236}">
              <a16:creationId xmlns:a16="http://schemas.microsoft.com/office/drawing/2014/main" id="{5A0CCA6D-925C-4A42-A063-5AC2DB06B975}"/>
            </a:ext>
          </a:extLst>
        </xdr:cNvPr>
        <xdr:cNvSpPr/>
      </xdr:nvSpPr>
      <xdr:spPr>
        <a:xfrm>
          <a:off x="4427479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184</xdr:row>
      <xdr:rowOff>18345</xdr:rowOff>
    </xdr:from>
    <xdr:to>
      <xdr:col>12</xdr:col>
      <xdr:colOff>66404</xdr:colOff>
      <xdr:row>187</xdr:row>
      <xdr:rowOff>11290</xdr:rowOff>
    </xdr:to>
    <xdr:sp macro="" textlink="">
      <xdr:nvSpPr>
        <xdr:cNvPr id="3084" name="Isosceles Triangle 3083">
          <a:extLst>
            <a:ext uri="{FF2B5EF4-FFF2-40B4-BE49-F238E27FC236}">
              <a16:creationId xmlns:a16="http://schemas.microsoft.com/office/drawing/2014/main" id="{2FBBD90F-1FF0-423F-906C-C759ABE1D5C4}"/>
            </a:ext>
          </a:extLst>
        </xdr:cNvPr>
        <xdr:cNvSpPr/>
      </xdr:nvSpPr>
      <xdr:spPr>
        <a:xfrm>
          <a:off x="5419677" y="2835712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184</xdr:row>
      <xdr:rowOff>7056</xdr:rowOff>
    </xdr:from>
    <xdr:to>
      <xdr:col>14</xdr:col>
      <xdr:colOff>69226</xdr:colOff>
      <xdr:row>187</xdr:row>
      <xdr:rowOff>1</xdr:rowOff>
    </xdr:to>
    <xdr:sp macro="" textlink="">
      <xdr:nvSpPr>
        <xdr:cNvPr id="3085" name="Isosceles Triangle 3084">
          <a:extLst>
            <a:ext uri="{FF2B5EF4-FFF2-40B4-BE49-F238E27FC236}">
              <a16:creationId xmlns:a16="http://schemas.microsoft.com/office/drawing/2014/main" id="{3495C4E1-91BD-4408-AC7F-2190D7170C03}"/>
            </a:ext>
          </a:extLst>
        </xdr:cNvPr>
        <xdr:cNvSpPr/>
      </xdr:nvSpPr>
      <xdr:spPr>
        <a:xfrm>
          <a:off x="6523932" y="2834583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184</xdr:row>
      <xdr:rowOff>7056</xdr:rowOff>
    </xdr:from>
    <xdr:to>
      <xdr:col>18</xdr:col>
      <xdr:colOff>69226</xdr:colOff>
      <xdr:row>187</xdr:row>
      <xdr:rowOff>1</xdr:rowOff>
    </xdr:to>
    <xdr:sp macro="" textlink="">
      <xdr:nvSpPr>
        <xdr:cNvPr id="3086" name="Isosceles Triangle 3085">
          <a:extLst>
            <a:ext uri="{FF2B5EF4-FFF2-40B4-BE49-F238E27FC236}">
              <a16:creationId xmlns:a16="http://schemas.microsoft.com/office/drawing/2014/main" id="{9FC060EE-6EB3-4AC7-90D3-2D5A4BCF2C92}"/>
            </a:ext>
          </a:extLst>
        </xdr:cNvPr>
        <xdr:cNvSpPr/>
      </xdr:nvSpPr>
      <xdr:spPr>
        <a:xfrm>
          <a:off x="8596572" y="2834583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184</xdr:row>
      <xdr:rowOff>8964</xdr:rowOff>
    </xdr:from>
    <xdr:to>
      <xdr:col>16</xdr:col>
      <xdr:colOff>29467</xdr:colOff>
      <xdr:row>187</xdr:row>
      <xdr:rowOff>1909</xdr:rowOff>
    </xdr:to>
    <xdr:sp macro="" textlink="">
      <xdr:nvSpPr>
        <xdr:cNvPr id="3087" name="Isosceles Triangle 3086">
          <a:extLst>
            <a:ext uri="{FF2B5EF4-FFF2-40B4-BE49-F238E27FC236}">
              <a16:creationId xmlns:a16="http://schemas.microsoft.com/office/drawing/2014/main" id="{024ED437-9DE4-4095-9A0B-1EC83DBB1BCC}"/>
            </a:ext>
          </a:extLst>
        </xdr:cNvPr>
        <xdr:cNvSpPr/>
      </xdr:nvSpPr>
      <xdr:spPr>
        <a:xfrm>
          <a:off x="7520492" y="2834774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0</xdr:colOff>
      <xdr:row>185</xdr:row>
      <xdr:rowOff>0</xdr:rowOff>
    </xdr:from>
    <xdr:ext cx="382764" cy="264403"/>
    <xdr:pic>
      <xdr:nvPicPr>
        <xdr:cNvPr id="3088" name="Picture 3087" descr="Gas pipeline line icon concept. Gas ...">
          <a:extLst>
            <a:ext uri="{FF2B5EF4-FFF2-40B4-BE49-F238E27FC236}">
              <a16:creationId xmlns:a16="http://schemas.microsoft.com/office/drawing/2014/main" id="{41CFF5A0-D21E-4E21-A5B2-8EBC846645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2971800" y="28506420"/>
          <a:ext cx="382764" cy="2644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210</xdr:row>
      <xdr:rowOff>9343</xdr:rowOff>
    </xdr:to>
    <xdr:sp macro="" textlink="">
      <xdr:nvSpPr>
        <xdr:cNvPr id="3089" name="Isosceles Triangle 3088">
          <a:extLst>
            <a:ext uri="{FF2B5EF4-FFF2-40B4-BE49-F238E27FC236}">
              <a16:creationId xmlns:a16="http://schemas.microsoft.com/office/drawing/2014/main" id="{2933E5F8-0B43-4D58-8655-3039F1A7039A}"/>
            </a:ext>
          </a:extLst>
        </xdr:cNvPr>
        <xdr:cNvSpPr/>
      </xdr:nvSpPr>
      <xdr:spPr>
        <a:xfrm>
          <a:off x="1290903" y="31387466"/>
          <a:ext cx="627822" cy="49778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090" name="Isosceles Triangle 3089">
          <a:extLst>
            <a:ext uri="{FF2B5EF4-FFF2-40B4-BE49-F238E27FC236}">
              <a16:creationId xmlns:a16="http://schemas.microsoft.com/office/drawing/2014/main" id="{FE3322C5-57EC-4D99-BC9E-27858A7678C2}"/>
            </a:ext>
          </a:extLst>
        </xdr:cNvPr>
        <xdr:cNvSpPr/>
      </xdr:nvSpPr>
      <xdr:spPr>
        <a:xfrm>
          <a:off x="3392315" y="32207804"/>
          <a:ext cx="66237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091" name="Isosceles Triangle 3090">
          <a:extLst>
            <a:ext uri="{FF2B5EF4-FFF2-40B4-BE49-F238E27FC236}">
              <a16:creationId xmlns:a16="http://schemas.microsoft.com/office/drawing/2014/main" id="{320BC31A-5D0F-45FF-B5B3-A7196030249D}"/>
            </a:ext>
          </a:extLst>
        </xdr:cNvPr>
        <xdr:cNvSpPr/>
      </xdr:nvSpPr>
      <xdr:spPr>
        <a:xfrm>
          <a:off x="2353172" y="3221002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092" name="Isosceles Triangle 3091">
          <a:extLst>
            <a:ext uri="{FF2B5EF4-FFF2-40B4-BE49-F238E27FC236}">
              <a16:creationId xmlns:a16="http://schemas.microsoft.com/office/drawing/2014/main" id="{434778CD-A93D-4BBE-999D-9EBC8E9756F0}"/>
            </a:ext>
          </a:extLst>
        </xdr:cNvPr>
        <xdr:cNvSpPr/>
      </xdr:nvSpPr>
      <xdr:spPr>
        <a:xfrm>
          <a:off x="9610796" y="3221284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207</xdr:row>
      <xdr:rowOff>7055</xdr:rowOff>
    </xdr:from>
    <xdr:to>
      <xdr:col>22</xdr:col>
      <xdr:colOff>49392</xdr:colOff>
      <xdr:row>210</xdr:row>
      <xdr:rowOff>0</xdr:rowOff>
    </xdr:to>
    <xdr:sp macro="" textlink="">
      <xdr:nvSpPr>
        <xdr:cNvPr id="3093" name="Isosceles Triangle 3092">
          <a:extLst>
            <a:ext uri="{FF2B5EF4-FFF2-40B4-BE49-F238E27FC236}">
              <a16:creationId xmlns:a16="http://schemas.microsoft.com/office/drawing/2014/main" id="{02B17FB0-17A2-4EFD-AEDF-62524388F305}"/>
            </a:ext>
          </a:extLst>
        </xdr:cNvPr>
        <xdr:cNvSpPr/>
      </xdr:nvSpPr>
      <xdr:spPr>
        <a:xfrm>
          <a:off x="10592248" y="32201555"/>
          <a:ext cx="72712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4233</xdr:rowOff>
    </xdr:from>
    <xdr:to>
      <xdr:col>24</xdr:col>
      <xdr:colOff>46570</xdr:colOff>
      <xdr:row>209</xdr:row>
      <xdr:rowOff>173567</xdr:rowOff>
    </xdr:to>
    <xdr:sp macro="" textlink="">
      <xdr:nvSpPr>
        <xdr:cNvPr id="3094" name="Isosceles Triangle 3093">
          <a:extLst>
            <a:ext uri="{FF2B5EF4-FFF2-40B4-BE49-F238E27FC236}">
              <a16:creationId xmlns:a16="http://schemas.microsoft.com/office/drawing/2014/main" id="{5B5F0887-725B-43C9-AB04-6E30ADCB9FFD}"/>
            </a:ext>
          </a:extLst>
        </xdr:cNvPr>
        <xdr:cNvSpPr/>
      </xdr:nvSpPr>
      <xdr:spPr>
        <a:xfrm>
          <a:off x="11690495" y="3219873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207</xdr:row>
      <xdr:rowOff>13304</xdr:rowOff>
    </xdr:from>
    <xdr:to>
      <xdr:col>28</xdr:col>
      <xdr:colOff>46570</xdr:colOff>
      <xdr:row>210</xdr:row>
      <xdr:rowOff>1210</xdr:rowOff>
    </xdr:to>
    <xdr:sp macro="" textlink="">
      <xdr:nvSpPr>
        <xdr:cNvPr id="3095" name="Isosceles Triangle 3094">
          <a:extLst>
            <a:ext uri="{FF2B5EF4-FFF2-40B4-BE49-F238E27FC236}">
              <a16:creationId xmlns:a16="http://schemas.microsoft.com/office/drawing/2014/main" id="{DD7D25B9-A5FC-4424-9273-82F736C63A57}"/>
            </a:ext>
          </a:extLst>
        </xdr:cNvPr>
        <xdr:cNvSpPr/>
      </xdr:nvSpPr>
      <xdr:spPr>
        <a:xfrm>
          <a:off x="13763135" y="32207804"/>
          <a:ext cx="662375" cy="49082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207</xdr:row>
      <xdr:rowOff>13304</xdr:rowOff>
    </xdr:from>
    <xdr:to>
      <xdr:col>24</xdr:col>
      <xdr:colOff>46569</xdr:colOff>
      <xdr:row>210</xdr:row>
      <xdr:rowOff>1210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56615E9D-F311-423D-977A-1BBE42BECEFF}"/>
            </a:ext>
          </a:extLst>
        </xdr:cNvPr>
        <xdr:cNvSpPr/>
      </xdr:nvSpPr>
      <xdr:spPr>
        <a:xfrm>
          <a:off x="11690495" y="32207804"/>
          <a:ext cx="662374" cy="4908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207</xdr:row>
      <xdr:rowOff>15522</xdr:rowOff>
    </xdr:from>
    <xdr:to>
      <xdr:col>26</xdr:col>
      <xdr:colOff>43746</xdr:colOff>
      <xdr:row>210</xdr:row>
      <xdr:rowOff>8467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D27CF724-9885-4355-BA5B-B31E08441C8B}"/>
            </a:ext>
          </a:extLst>
        </xdr:cNvPr>
        <xdr:cNvSpPr/>
      </xdr:nvSpPr>
      <xdr:spPr>
        <a:xfrm>
          <a:off x="12723992" y="32210022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207</xdr:row>
      <xdr:rowOff>7056</xdr:rowOff>
    </xdr:from>
    <xdr:to>
      <xdr:col>30</xdr:col>
      <xdr:colOff>42332</xdr:colOff>
      <xdr:row>210</xdr:row>
      <xdr:rowOff>1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0D0E4890-FFEE-4C1E-9730-4409E3AECF2D}"/>
            </a:ext>
          </a:extLst>
        </xdr:cNvPr>
        <xdr:cNvSpPr/>
      </xdr:nvSpPr>
      <xdr:spPr>
        <a:xfrm>
          <a:off x="14795218" y="3220155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217</xdr:row>
      <xdr:rowOff>159859</xdr:rowOff>
    </xdr:from>
    <xdr:to>
      <xdr:col>2</xdr:col>
      <xdr:colOff>17739</xdr:colOff>
      <xdr:row>220</xdr:row>
      <xdr:rowOff>152804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0AF52D25-CA85-44EA-944C-F0503E146F0D}"/>
            </a:ext>
          </a:extLst>
        </xdr:cNvPr>
        <xdr:cNvSpPr/>
      </xdr:nvSpPr>
      <xdr:spPr>
        <a:xfrm>
          <a:off x="300245" y="34030759"/>
          <a:ext cx="6166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218</xdr:row>
      <xdr:rowOff>7056</xdr:rowOff>
    </xdr:from>
    <xdr:to>
      <xdr:col>4</xdr:col>
      <xdr:colOff>42332</xdr:colOff>
      <xdr:row>221</xdr:row>
      <xdr:rowOff>1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E36043A1-FEC6-4C74-B30B-F81E000FF32B}"/>
            </a:ext>
          </a:extLst>
        </xdr:cNvPr>
        <xdr:cNvSpPr/>
      </xdr:nvSpPr>
      <xdr:spPr>
        <a:xfrm>
          <a:off x="131543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218</xdr:row>
      <xdr:rowOff>18345</xdr:rowOff>
    </xdr:from>
    <xdr:to>
      <xdr:col>6</xdr:col>
      <xdr:colOff>39510</xdr:colOff>
      <xdr:row>221</xdr:row>
      <xdr:rowOff>11290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B2018720-60E9-4439-9B81-B1228D723739}"/>
            </a:ext>
          </a:extLst>
        </xdr:cNvPr>
        <xdr:cNvSpPr/>
      </xdr:nvSpPr>
      <xdr:spPr>
        <a:xfrm>
          <a:off x="2348936" y="34056885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218</xdr:row>
      <xdr:rowOff>7056</xdr:rowOff>
    </xdr:from>
    <xdr:to>
      <xdr:col>8</xdr:col>
      <xdr:colOff>42332</xdr:colOff>
      <xdr:row>221</xdr:row>
      <xdr:rowOff>1</xdr:rowOff>
    </xdr:to>
    <xdr:sp macro="" textlink="">
      <xdr:nvSpPr>
        <xdr:cNvPr id="3102" name="Isosceles Triangle 3101">
          <a:extLst>
            <a:ext uri="{FF2B5EF4-FFF2-40B4-BE49-F238E27FC236}">
              <a16:creationId xmlns:a16="http://schemas.microsoft.com/office/drawing/2014/main" id="{A710CE29-E4E2-4C61-902A-041253DB88F5}"/>
            </a:ext>
          </a:extLst>
        </xdr:cNvPr>
        <xdr:cNvSpPr/>
      </xdr:nvSpPr>
      <xdr:spPr>
        <a:xfrm>
          <a:off x="3388078" y="3404559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218</xdr:row>
      <xdr:rowOff>18345</xdr:rowOff>
    </xdr:from>
    <xdr:to>
      <xdr:col>10</xdr:col>
      <xdr:colOff>39510</xdr:colOff>
      <xdr:row>221</xdr:row>
      <xdr:rowOff>11290</xdr:rowOff>
    </xdr:to>
    <xdr:sp macro="" textlink="">
      <xdr:nvSpPr>
        <xdr:cNvPr id="3103" name="Isosceles Triangle 3102">
          <a:extLst>
            <a:ext uri="{FF2B5EF4-FFF2-40B4-BE49-F238E27FC236}">
              <a16:creationId xmlns:a16="http://schemas.microsoft.com/office/drawing/2014/main" id="{BED6D006-73A9-4199-9E90-04873559A073}"/>
            </a:ext>
          </a:extLst>
        </xdr:cNvPr>
        <xdr:cNvSpPr/>
      </xdr:nvSpPr>
      <xdr:spPr>
        <a:xfrm>
          <a:off x="442157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218</xdr:row>
      <xdr:rowOff>7055</xdr:rowOff>
    </xdr:from>
    <xdr:to>
      <xdr:col>12</xdr:col>
      <xdr:colOff>49392</xdr:colOff>
      <xdr:row>221</xdr:row>
      <xdr:rowOff>0</xdr:rowOff>
    </xdr:to>
    <xdr:sp macro="" textlink="">
      <xdr:nvSpPr>
        <xdr:cNvPr id="3104" name="Isosceles Triangle 3103">
          <a:extLst>
            <a:ext uri="{FF2B5EF4-FFF2-40B4-BE49-F238E27FC236}">
              <a16:creationId xmlns:a16="http://schemas.microsoft.com/office/drawing/2014/main" id="{8C3A7B1E-F9F3-4F9E-8BB9-8A3B5F7398A8}"/>
            </a:ext>
          </a:extLst>
        </xdr:cNvPr>
        <xdr:cNvSpPr/>
      </xdr:nvSpPr>
      <xdr:spPr>
        <a:xfrm>
          <a:off x="5458097" y="34045595"/>
          <a:ext cx="672055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4233</xdr:rowOff>
    </xdr:from>
    <xdr:to>
      <xdr:col>14</xdr:col>
      <xdr:colOff>46570</xdr:colOff>
      <xdr:row>220</xdr:row>
      <xdr:rowOff>173567</xdr:rowOff>
    </xdr:to>
    <xdr:sp macro="" textlink="">
      <xdr:nvSpPr>
        <xdr:cNvPr id="3105" name="Isosceles Triangle 3104">
          <a:extLst>
            <a:ext uri="{FF2B5EF4-FFF2-40B4-BE49-F238E27FC236}">
              <a16:creationId xmlns:a16="http://schemas.microsoft.com/office/drawing/2014/main" id="{99F27D00-FAAE-4B23-9EE3-84AA11907950}"/>
            </a:ext>
          </a:extLst>
        </xdr:cNvPr>
        <xdr:cNvSpPr/>
      </xdr:nvSpPr>
      <xdr:spPr>
        <a:xfrm>
          <a:off x="6501275" y="34042773"/>
          <a:ext cx="66237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218</xdr:row>
      <xdr:rowOff>13304</xdr:rowOff>
    </xdr:from>
    <xdr:to>
      <xdr:col>18</xdr:col>
      <xdr:colOff>46570</xdr:colOff>
      <xdr:row>221</xdr:row>
      <xdr:rowOff>1209</xdr:rowOff>
    </xdr:to>
    <xdr:sp macro="" textlink="">
      <xdr:nvSpPr>
        <xdr:cNvPr id="3106" name="Isosceles Triangle 3105">
          <a:extLst>
            <a:ext uri="{FF2B5EF4-FFF2-40B4-BE49-F238E27FC236}">
              <a16:creationId xmlns:a16="http://schemas.microsoft.com/office/drawing/2014/main" id="{68EA236F-DB7B-442A-B525-D3C4DCE26A02}"/>
            </a:ext>
          </a:extLst>
        </xdr:cNvPr>
        <xdr:cNvSpPr/>
      </xdr:nvSpPr>
      <xdr:spPr>
        <a:xfrm>
          <a:off x="8573915" y="34051844"/>
          <a:ext cx="66999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218</xdr:row>
      <xdr:rowOff>13304</xdr:rowOff>
    </xdr:from>
    <xdr:to>
      <xdr:col>14</xdr:col>
      <xdr:colOff>46569</xdr:colOff>
      <xdr:row>221</xdr:row>
      <xdr:rowOff>1209</xdr:rowOff>
    </xdr:to>
    <xdr:sp macro="" textlink="">
      <xdr:nvSpPr>
        <xdr:cNvPr id="3107" name="Isosceles Triangle 3106">
          <a:extLst>
            <a:ext uri="{FF2B5EF4-FFF2-40B4-BE49-F238E27FC236}">
              <a16:creationId xmlns:a16="http://schemas.microsoft.com/office/drawing/2014/main" id="{786484FC-C746-4580-A8FF-535E89B6E74F}"/>
            </a:ext>
          </a:extLst>
        </xdr:cNvPr>
        <xdr:cNvSpPr/>
      </xdr:nvSpPr>
      <xdr:spPr>
        <a:xfrm>
          <a:off x="6501275" y="34051844"/>
          <a:ext cx="66237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218</xdr:row>
      <xdr:rowOff>15522</xdr:rowOff>
    </xdr:from>
    <xdr:to>
      <xdr:col>16</xdr:col>
      <xdr:colOff>43746</xdr:colOff>
      <xdr:row>221</xdr:row>
      <xdr:rowOff>8467</xdr:rowOff>
    </xdr:to>
    <xdr:sp macro="" textlink="">
      <xdr:nvSpPr>
        <xdr:cNvPr id="3108" name="Isosceles Triangle 3107">
          <a:extLst>
            <a:ext uri="{FF2B5EF4-FFF2-40B4-BE49-F238E27FC236}">
              <a16:creationId xmlns:a16="http://schemas.microsoft.com/office/drawing/2014/main" id="{AD942BAB-7919-4EA4-ACE0-0927759683B7}"/>
            </a:ext>
          </a:extLst>
        </xdr:cNvPr>
        <xdr:cNvSpPr/>
      </xdr:nvSpPr>
      <xdr:spPr>
        <a:xfrm>
          <a:off x="7534772" y="34054062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218</xdr:row>
      <xdr:rowOff>7056</xdr:rowOff>
    </xdr:from>
    <xdr:to>
      <xdr:col>20</xdr:col>
      <xdr:colOff>42332</xdr:colOff>
      <xdr:row>221</xdr:row>
      <xdr:rowOff>1</xdr:rowOff>
    </xdr:to>
    <xdr:sp macro="" textlink="">
      <xdr:nvSpPr>
        <xdr:cNvPr id="3109" name="Isosceles Triangle 3108">
          <a:extLst>
            <a:ext uri="{FF2B5EF4-FFF2-40B4-BE49-F238E27FC236}">
              <a16:creationId xmlns:a16="http://schemas.microsoft.com/office/drawing/2014/main" id="{A924FFE7-1501-44D0-8E6D-F8FF4C553B34}"/>
            </a:ext>
          </a:extLst>
        </xdr:cNvPr>
        <xdr:cNvSpPr/>
      </xdr:nvSpPr>
      <xdr:spPr>
        <a:xfrm>
          <a:off x="961361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218</xdr:row>
      <xdr:rowOff>18345</xdr:rowOff>
    </xdr:from>
    <xdr:to>
      <xdr:col>22</xdr:col>
      <xdr:colOff>39510</xdr:colOff>
      <xdr:row>221</xdr:row>
      <xdr:rowOff>11290</xdr:rowOff>
    </xdr:to>
    <xdr:sp macro="" textlink="">
      <xdr:nvSpPr>
        <xdr:cNvPr id="3110" name="Isosceles Triangle 3109">
          <a:extLst>
            <a:ext uri="{FF2B5EF4-FFF2-40B4-BE49-F238E27FC236}">
              <a16:creationId xmlns:a16="http://schemas.microsoft.com/office/drawing/2014/main" id="{74197870-4019-400E-B68E-A2301167D4C5}"/>
            </a:ext>
          </a:extLst>
        </xdr:cNvPr>
        <xdr:cNvSpPr/>
      </xdr:nvSpPr>
      <xdr:spPr>
        <a:xfrm>
          <a:off x="10647116" y="34056885"/>
          <a:ext cx="662374" cy="495865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416278</xdr:colOff>
      <xdr:row>218</xdr:row>
      <xdr:rowOff>7056</xdr:rowOff>
    </xdr:from>
    <xdr:to>
      <xdr:col>24</xdr:col>
      <xdr:colOff>42332</xdr:colOff>
      <xdr:row>221</xdr:row>
      <xdr:rowOff>1</xdr:rowOff>
    </xdr:to>
    <xdr:sp macro="" textlink="">
      <xdr:nvSpPr>
        <xdr:cNvPr id="3111" name="Isosceles Triangle 3110">
          <a:extLst>
            <a:ext uri="{FF2B5EF4-FFF2-40B4-BE49-F238E27FC236}">
              <a16:creationId xmlns:a16="http://schemas.microsoft.com/office/drawing/2014/main" id="{D73DF416-DC59-4282-ADA9-76DEED7871D7}"/>
            </a:ext>
          </a:extLst>
        </xdr:cNvPr>
        <xdr:cNvSpPr/>
      </xdr:nvSpPr>
      <xdr:spPr>
        <a:xfrm>
          <a:off x="1168625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413456</xdr:colOff>
      <xdr:row>218</xdr:row>
      <xdr:rowOff>18345</xdr:rowOff>
    </xdr:from>
    <xdr:to>
      <xdr:col>26</xdr:col>
      <xdr:colOff>39510</xdr:colOff>
      <xdr:row>221</xdr:row>
      <xdr:rowOff>11290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6BE0708A-3094-4027-BC04-2051E7E40B75}"/>
            </a:ext>
          </a:extLst>
        </xdr:cNvPr>
        <xdr:cNvSpPr/>
      </xdr:nvSpPr>
      <xdr:spPr>
        <a:xfrm>
          <a:off x="1271975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416278</xdr:colOff>
      <xdr:row>218</xdr:row>
      <xdr:rowOff>7056</xdr:rowOff>
    </xdr:from>
    <xdr:to>
      <xdr:col>28</xdr:col>
      <xdr:colOff>42332</xdr:colOff>
      <xdr:row>221</xdr:row>
      <xdr:rowOff>1</xdr:rowOff>
    </xdr:to>
    <xdr:sp macro="" textlink="">
      <xdr:nvSpPr>
        <xdr:cNvPr id="3113" name="Isosceles Triangle 3112">
          <a:extLst>
            <a:ext uri="{FF2B5EF4-FFF2-40B4-BE49-F238E27FC236}">
              <a16:creationId xmlns:a16="http://schemas.microsoft.com/office/drawing/2014/main" id="{0B07F1CB-F513-4C99-A5BC-C28E629BB933}"/>
            </a:ext>
          </a:extLst>
        </xdr:cNvPr>
        <xdr:cNvSpPr/>
      </xdr:nvSpPr>
      <xdr:spPr>
        <a:xfrm>
          <a:off x="13758898" y="34045596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413456</xdr:colOff>
      <xdr:row>218</xdr:row>
      <xdr:rowOff>18345</xdr:rowOff>
    </xdr:from>
    <xdr:to>
      <xdr:col>30</xdr:col>
      <xdr:colOff>39510</xdr:colOff>
      <xdr:row>221</xdr:row>
      <xdr:rowOff>11290</xdr:rowOff>
    </xdr:to>
    <xdr:sp macro="" textlink="">
      <xdr:nvSpPr>
        <xdr:cNvPr id="3114" name="Isosceles Triangle 3113">
          <a:extLst>
            <a:ext uri="{FF2B5EF4-FFF2-40B4-BE49-F238E27FC236}">
              <a16:creationId xmlns:a16="http://schemas.microsoft.com/office/drawing/2014/main" id="{B63FE06F-EB7C-4D28-8CCF-B41B1DD46D2E}"/>
            </a:ext>
          </a:extLst>
        </xdr:cNvPr>
        <xdr:cNvSpPr/>
      </xdr:nvSpPr>
      <xdr:spPr>
        <a:xfrm>
          <a:off x="14792396" y="34056885"/>
          <a:ext cx="66237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206</xdr:row>
      <xdr:rowOff>173181</xdr:rowOff>
    </xdr:from>
    <xdr:to>
      <xdr:col>3</xdr:col>
      <xdr:colOff>294410</xdr:colOff>
      <xdr:row>207</xdr:row>
      <xdr:rowOff>121226</xdr:rowOff>
    </xdr:to>
    <xdr:sp macro="" textlink="">
      <xdr:nvSpPr>
        <xdr:cNvPr id="3115" name="Freeform 10707">
          <a:extLst>
            <a:ext uri="{FF2B5EF4-FFF2-40B4-BE49-F238E27FC236}">
              <a16:creationId xmlns:a16="http://schemas.microsoft.com/office/drawing/2014/main" id="{B8690CE3-A781-4D32-A28C-17923ABE5F15}"/>
            </a:ext>
          </a:extLst>
        </xdr:cNvPr>
        <xdr:cNvSpPr>
          <a:spLocks/>
        </xdr:cNvSpPr>
      </xdr:nvSpPr>
      <xdr:spPr bwMode="auto">
        <a:xfrm>
          <a:off x="6086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16" name="Freeform 10707">
          <a:extLst>
            <a:ext uri="{FF2B5EF4-FFF2-40B4-BE49-F238E27FC236}">
              <a16:creationId xmlns:a16="http://schemas.microsoft.com/office/drawing/2014/main" id="{1F525804-EBD0-4435-9F74-E589449D1D37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17" name="Freeform 10707">
          <a:extLst>
            <a:ext uri="{FF2B5EF4-FFF2-40B4-BE49-F238E27FC236}">
              <a16:creationId xmlns:a16="http://schemas.microsoft.com/office/drawing/2014/main" id="{E95B0D64-6041-4CAD-9608-C54EE501A35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18" name="Freeform 10707">
          <a:extLst>
            <a:ext uri="{FF2B5EF4-FFF2-40B4-BE49-F238E27FC236}">
              <a16:creationId xmlns:a16="http://schemas.microsoft.com/office/drawing/2014/main" id="{4CCFB275-6DA5-458E-9AA3-563F24E9EADD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19" name="Freeform 10707">
          <a:extLst>
            <a:ext uri="{FF2B5EF4-FFF2-40B4-BE49-F238E27FC236}">
              <a16:creationId xmlns:a16="http://schemas.microsoft.com/office/drawing/2014/main" id="{2327F8BF-2631-4CC4-B659-C8658A94EA06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206</xdr:row>
      <xdr:rowOff>173181</xdr:rowOff>
    </xdr:from>
    <xdr:to>
      <xdr:col>13</xdr:col>
      <xdr:colOff>294410</xdr:colOff>
      <xdr:row>207</xdr:row>
      <xdr:rowOff>121226</xdr:rowOff>
    </xdr:to>
    <xdr:sp macro="" textlink="">
      <xdr:nvSpPr>
        <xdr:cNvPr id="3120" name="Freeform 10707">
          <a:extLst>
            <a:ext uri="{FF2B5EF4-FFF2-40B4-BE49-F238E27FC236}">
              <a16:creationId xmlns:a16="http://schemas.microsoft.com/office/drawing/2014/main" id="{08FE01B8-AF82-4871-99EA-582D446E0FA9}"/>
            </a:ext>
          </a:extLst>
        </xdr:cNvPr>
        <xdr:cNvSpPr>
          <a:spLocks/>
        </xdr:cNvSpPr>
      </xdr:nvSpPr>
      <xdr:spPr bwMode="auto">
        <a:xfrm>
          <a:off x="57902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21" name="Freeform 10707">
          <a:extLst>
            <a:ext uri="{FF2B5EF4-FFF2-40B4-BE49-F238E27FC236}">
              <a16:creationId xmlns:a16="http://schemas.microsoft.com/office/drawing/2014/main" id="{0A85AF8D-C086-4B6A-9415-8E0E1A3B3A0D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22" name="Freeform 10707">
          <a:extLst>
            <a:ext uri="{FF2B5EF4-FFF2-40B4-BE49-F238E27FC236}">
              <a16:creationId xmlns:a16="http://schemas.microsoft.com/office/drawing/2014/main" id="{0FE7355F-EA5E-436B-AEDE-B73FD948CC71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23" name="Freeform 10707">
          <a:extLst>
            <a:ext uri="{FF2B5EF4-FFF2-40B4-BE49-F238E27FC236}">
              <a16:creationId xmlns:a16="http://schemas.microsoft.com/office/drawing/2014/main" id="{BFC5517B-9FCD-4C63-BBE7-33FED46977EF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124" name="Freeform 10707">
          <a:extLst>
            <a:ext uri="{FF2B5EF4-FFF2-40B4-BE49-F238E27FC236}">
              <a16:creationId xmlns:a16="http://schemas.microsoft.com/office/drawing/2014/main" id="{4CADDFD5-DD08-4D09-B32A-4B6E1EABD6C2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125" name="Freeform 10707">
          <a:extLst>
            <a:ext uri="{FF2B5EF4-FFF2-40B4-BE49-F238E27FC236}">
              <a16:creationId xmlns:a16="http://schemas.microsoft.com/office/drawing/2014/main" id="{27AF57B7-99A3-4731-BAF9-45CB1C8F1B56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126" name="Freeform 10707">
          <a:extLst>
            <a:ext uri="{FF2B5EF4-FFF2-40B4-BE49-F238E27FC236}">
              <a16:creationId xmlns:a16="http://schemas.microsoft.com/office/drawing/2014/main" id="{6C995F3A-D514-4478-A966-76F546915DA3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206</xdr:row>
      <xdr:rowOff>173181</xdr:rowOff>
    </xdr:from>
    <xdr:to>
      <xdr:col>27</xdr:col>
      <xdr:colOff>294410</xdr:colOff>
      <xdr:row>207</xdr:row>
      <xdr:rowOff>121226</xdr:rowOff>
    </xdr:to>
    <xdr:sp macro="" textlink="">
      <xdr:nvSpPr>
        <xdr:cNvPr id="3127" name="Freeform 10707">
          <a:extLst>
            <a:ext uri="{FF2B5EF4-FFF2-40B4-BE49-F238E27FC236}">
              <a16:creationId xmlns:a16="http://schemas.microsoft.com/office/drawing/2014/main" id="{86BFFA19-34A1-4CE9-88A0-E0CDEFDD7C1E}"/>
            </a:ext>
          </a:extLst>
        </xdr:cNvPr>
        <xdr:cNvSpPr>
          <a:spLocks/>
        </xdr:cNvSpPr>
      </xdr:nvSpPr>
      <xdr:spPr bwMode="auto">
        <a:xfrm>
          <a:off x="130521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206</xdr:row>
      <xdr:rowOff>173181</xdr:rowOff>
    </xdr:from>
    <xdr:to>
      <xdr:col>29</xdr:col>
      <xdr:colOff>294410</xdr:colOff>
      <xdr:row>207</xdr:row>
      <xdr:rowOff>121226</xdr:rowOff>
    </xdr:to>
    <xdr:sp macro="" textlink="">
      <xdr:nvSpPr>
        <xdr:cNvPr id="3128" name="Freeform 10707">
          <a:extLst>
            <a:ext uri="{FF2B5EF4-FFF2-40B4-BE49-F238E27FC236}">
              <a16:creationId xmlns:a16="http://schemas.microsoft.com/office/drawing/2014/main" id="{23B5E9CB-8108-472D-BDC4-236EE08A143A}"/>
            </a:ext>
          </a:extLst>
        </xdr:cNvPr>
        <xdr:cNvSpPr>
          <a:spLocks/>
        </xdr:cNvSpPr>
      </xdr:nvSpPr>
      <xdr:spPr bwMode="auto">
        <a:xfrm>
          <a:off x="140884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206</xdr:row>
      <xdr:rowOff>173181</xdr:rowOff>
    </xdr:from>
    <xdr:to>
      <xdr:col>31</xdr:col>
      <xdr:colOff>294410</xdr:colOff>
      <xdr:row>207</xdr:row>
      <xdr:rowOff>121226</xdr:rowOff>
    </xdr:to>
    <xdr:sp macro="" textlink="">
      <xdr:nvSpPr>
        <xdr:cNvPr id="3129" name="Freeform 10707">
          <a:extLst>
            <a:ext uri="{FF2B5EF4-FFF2-40B4-BE49-F238E27FC236}">
              <a16:creationId xmlns:a16="http://schemas.microsoft.com/office/drawing/2014/main" id="{1552B9C5-46B8-49FA-AEE1-6BE46766768A}"/>
            </a:ext>
          </a:extLst>
        </xdr:cNvPr>
        <xdr:cNvSpPr>
          <a:spLocks/>
        </xdr:cNvSpPr>
      </xdr:nvSpPr>
      <xdr:spPr bwMode="auto">
        <a:xfrm>
          <a:off x="151247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217</xdr:row>
      <xdr:rowOff>173181</xdr:rowOff>
    </xdr:from>
    <xdr:to>
      <xdr:col>3</xdr:col>
      <xdr:colOff>294410</xdr:colOff>
      <xdr:row>218</xdr:row>
      <xdr:rowOff>121226</xdr:rowOff>
    </xdr:to>
    <xdr:sp macro="" textlink="">
      <xdr:nvSpPr>
        <xdr:cNvPr id="3130" name="Freeform 10707">
          <a:extLst>
            <a:ext uri="{FF2B5EF4-FFF2-40B4-BE49-F238E27FC236}">
              <a16:creationId xmlns:a16="http://schemas.microsoft.com/office/drawing/2014/main" id="{241EA124-88BE-410C-85BC-AC75A816BA9C}"/>
            </a:ext>
          </a:extLst>
        </xdr:cNvPr>
        <xdr:cNvSpPr>
          <a:spLocks/>
        </xdr:cNvSpPr>
      </xdr:nvSpPr>
      <xdr:spPr bwMode="auto">
        <a:xfrm>
          <a:off x="6086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217</xdr:row>
      <xdr:rowOff>173181</xdr:rowOff>
    </xdr:from>
    <xdr:to>
      <xdr:col>5</xdr:col>
      <xdr:colOff>294410</xdr:colOff>
      <xdr:row>218</xdr:row>
      <xdr:rowOff>121226</xdr:rowOff>
    </xdr:to>
    <xdr:sp macro="" textlink="">
      <xdr:nvSpPr>
        <xdr:cNvPr id="3131" name="Freeform 10707">
          <a:extLst>
            <a:ext uri="{FF2B5EF4-FFF2-40B4-BE49-F238E27FC236}">
              <a16:creationId xmlns:a16="http://schemas.microsoft.com/office/drawing/2014/main" id="{4AA36A7E-BC99-4E16-815C-6F999BB0EEAA}"/>
            </a:ext>
          </a:extLst>
        </xdr:cNvPr>
        <xdr:cNvSpPr>
          <a:spLocks/>
        </xdr:cNvSpPr>
      </xdr:nvSpPr>
      <xdr:spPr bwMode="auto">
        <a:xfrm>
          <a:off x="16450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217</xdr:row>
      <xdr:rowOff>173181</xdr:rowOff>
    </xdr:from>
    <xdr:to>
      <xdr:col>7</xdr:col>
      <xdr:colOff>294410</xdr:colOff>
      <xdr:row>218</xdr:row>
      <xdr:rowOff>121226</xdr:rowOff>
    </xdr:to>
    <xdr:sp macro="" textlink="">
      <xdr:nvSpPr>
        <xdr:cNvPr id="3132" name="Freeform 10707">
          <a:extLst>
            <a:ext uri="{FF2B5EF4-FFF2-40B4-BE49-F238E27FC236}">
              <a16:creationId xmlns:a16="http://schemas.microsoft.com/office/drawing/2014/main" id="{249606FD-3FED-45E5-9869-16E64815B1D3}"/>
            </a:ext>
          </a:extLst>
        </xdr:cNvPr>
        <xdr:cNvSpPr>
          <a:spLocks/>
        </xdr:cNvSpPr>
      </xdr:nvSpPr>
      <xdr:spPr bwMode="auto">
        <a:xfrm>
          <a:off x="26813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217</xdr:row>
      <xdr:rowOff>173181</xdr:rowOff>
    </xdr:from>
    <xdr:to>
      <xdr:col>9</xdr:col>
      <xdr:colOff>294410</xdr:colOff>
      <xdr:row>218</xdr:row>
      <xdr:rowOff>121226</xdr:rowOff>
    </xdr:to>
    <xdr:sp macro="" textlink="">
      <xdr:nvSpPr>
        <xdr:cNvPr id="3133" name="Freeform 10707">
          <a:extLst>
            <a:ext uri="{FF2B5EF4-FFF2-40B4-BE49-F238E27FC236}">
              <a16:creationId xmlns:a16="http://schemas.microsoft.com/office/drawing/2014/main" id="{B7C2CC48-74EE-41C2-8415-BFCAB53D05A3}"/>
            </a:ext>
          </a:extLst>
        </xdr:cNvPr>
        <xdr:cNvSpPr>
          <a:spLocks/>
        </xdr:cNvSpPr>
      </xdr:nvSpPr>
      <xdr:spPr bwMode="auto">
        <a:xfrm>
          <a:off x="37176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217</xdr:row>
      <xdr:rowOff>173181</xdr:rowOff>
    </xdr:from>
    <xdr:to>
      <xdr:col>11</xdr:col>
      <xdr:colOff>294410</xdr:colOff>
      <xdr:row>218</xdr:row>
      <xdr:rowOff>121226</xdr:rowOff>
    </xdr:to>
    <xdr:sp macro="" textlink="">
      <xdr:nvSpPr>
        <xdr:cNvPr id="3134" name="Freeform 10707">
          <a:extLst>
            <a:ext uri="{FF2B5EF4-FFF2-40B4-BE49-F238E27FC236}">
              <a16:creationId xmlns:a16="http://schemas.microsoft.com/office/drawing/2014/main" id="{14BF1D60-D404-497E-A75F-E669874D40CB}"/>
            </a:ext>
          </a:extLst>
        </xdr:cNvPr>
        <xdr:cNvSpPr>
          <a:spLocks/>
        </xdr:cNvSpPr>
      </xdr:nvSpPr>
      <xdr:spPr bwMode="auto">
        <a:xfrm>
          <a:off x="47539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217</xdr:row>
      <xdr:rowOff>173181</xdr:rowOff>
    </xdr:from>
    <xdr:to>
      <xdr:col>13</xdr:col>
      <xdr:colOff>294410</xdr:colOff>
      <xdr:row>218</xdr:row>
      <xdr:rowOff>121226</xdr:rowOff>
    </xdr:to>
    <xdr:sp macro="" textlink="">
      <xdr:nvSpPr>
        <xdr:cNvPr id="3135" name="Freeform 10707">
          <a:extLst>
            <a:ext uri="{FF2B5EF4-FFF2-40B4-BE49-F238E27FC236}">
              <a16:creationId xmlns:a16="http://schemas.microsoft.com/office/drawing/2014/main" id="{28F54776-D411-46D0-BFB3-BA49429638FE}"/>
            </a:ext>
          </a:extLst>
        </xdr:cNvPr>
        <xdr:cNvSpPr>
          <a:spLocks/>
        </xdr:cNvSpPr>
      </xdr:nvSpPr>
      <xdr:spPr bwMode="auto">
        <a:xfrm>
          <a:off x="57902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217</xdr:row>
      <xdr:rowOff>173181</xdr:rowOff>
    </xdr:from>
    <xdr:to>
      <xdr:col>15</xdr:col>
      <xdr:colOff>294410</xdr:colOff>
      <xdr:row>218</xdr:row>
      <xdr:rowOff>121226</xdr:rowOff>
    </xdr:to>
    <xdr:sp macro="" textlink="">
      <xdr:nvSpPr>
        <xdr:cNvPr id="3136" name="Freeform 10707">
          <a:extLst>
            <a:ext uri="{FF2B5EF4-FFF2-40B4-BE49-F238E27FC236}">
              <a16:creationId xmlns:a16="http://schemas.microsoft.com/office/drawing/2014/main" id="{D3353355-279F-4415-9DAC-AC1886000EFD}"/>
            </a:ext>
          </a:extLst>
        </xdr:cNvPr>
        <xdr:cNvSpPr>
          <a:spLocks/>
        </xdr:cNvSpPr>
      </xdr:nvSpPr>
      <xdr:spPr bwMode="auto">
        <a:xfrm>
          <a:off x="68266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217</xdr:row>
      <xdr:rowOff>173181</xdr:rowOff>
    </xdr:from>
    <xdr:to>
      <xdr:col>17</xdr:col>
      <xdr:colOff>294410</xdr:colOff>
      <xdr:row>218</xdr:row>
      <xdr:rowOff>121226</xdr:rowOff>
    </xdr:to>
    <xdr:sp macro="" textlink="">
      <xdr:nvSpPr>
        <xdr:cNvPr id="3137" name="Freeform 10707">
          <a:extLst>
            <a:ext uri="{FF2B5EF4-FFF2-40B4-BE49-F238E27FC236}">
              <a16:creationId xmlns:a16="http://schemas.microsoft.com/office/drawing/2014/main" id="{DF403D4F-1326-4621-93EF-AD242AC67002}"/>
            </a:ext>
          </a:extLst>
        </xdr:cNvPr>
        <xdr:cNvSpPr>
          <a:spLocks/>
        </xdr:cNvSpPr>
      </xdr:nvSpPr>
      <xdr:spPr bwMode="auto">
        <a:xfrm>
          <a:off x="78629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217</xdr:row>
      <xdr:rowOff>173181</xdr:rowOff>
    </xdr:from>
    <xdr:to>
      <xdr:col>19</xdr:col>
      <xdr:colOff>294410</xdr:colOff>
      <xdr:row>218</xdr:row>
      <xdr:rowOff>121226</xdr:rowOff>
    </xdr:to>
    <xdr:sp macro="" textlink="">
      <xdr:nvSpPr>
        <xdr:cNvPr id="3138" name="Freeform 10707">
          <a:extLst>
            <a:ext uri="{FF2B5EF4-FFF2-40B4-BE49-F238E27FC236}">
              <a16:creationId xmlns:a16="http://schemas.microsoft.com/office/drawing/2014/main" id="{6F81FE1E-171B-4325-A660-6A7BD9D55DE6}"/>
            </a:ext>
          </a:extLst>
        </xdr:cNvPr>
        <xdr:cNvSpPr>
          <a:spLocks/>
        </xdr:cNvSpPr>
      </xdr:nvSpPr>
      <xdr:spPr bwMode="auto">
        <a:xfrm>
          <a:off x="8899240" y="340364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217</xdr:row>
      <xdr:rowOff>173181</xdr:rowOff>
    </xdr:from>
    <xdr:to>
      <xdr:col>21</xdr:col>
      <xdr:colOff>294410</xdr:colOff>
      <xdr:row>218</xdr:row>
      <xdr:rowOff>121226</xdr:rowOff>
    </xdr:to>
    <xdr:sp macro="" textlink="">
      <xdr:nvSpPr>
        <xdr:cNvPr id="3139" name="Freeform 10707">
          <a:extLst>
            <a:ext uri="{FF2B5EF4-FFF2-40B4-BE49-F238E27FC236}">
              <a16:creationId xmlns:a16="http://schemas.microsoft.com/office/drawing/2014/main" id="{D6B789BA-DCF2-4074-ADFF-ED4E5FAF2288}"/>
            </a:ext>
          </a:extLst>
        </xdr:cNvPr>
        <xdr:cNvSpPr>
          <a:spLocks/>
        </xdr:cNvSpPr>
      </xdr:nvSpPr>
      <xdr:spPr bwMode="auto">
        <a:xfrm>
          <a:off x="99431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217</xdr:row>
      <xdr:rowOff>173181</xdr:rowOff>
    </xdr:from>
    <xdr:to>
      <xdr:col>23</xdr:col>
      <xdr:colOff>294410</xdr:colOff>
      <xdr:row>218</xdr:row>
      <xdr:rowOff>121226</xdr:rowOff>
    </xdr:to>
    <xdr:sp macro="" textlink="">
      <xdr:nvSpPr>
        <xdr:cNvPr id="3140" name="Freeform 10707">
          <a:extLst>
            <a:ext uri="{FF2B5EF4-FFF2-40B4-BE49-F238E27FC236}">
              <a16:creationId xmlns:a16="http://schemas.microsoft.com/office/drawing/2014/main" id="{E271F491-1D45-4BE2-9E73-11345C941931}"/>
            </a:ext>
          </a:extLst>
        </xdr:cNvPr>
        <xdr:cNvSpPr>
          <a:spLocks/>
        </xdr:cNvSpPr>
      </xdr:nvSpPr>
      <xdr:spPr bwMode="auto">
        <a:xfrm>
          <a:off x="1097950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217</xdr:row>
      <xdr:rowOff>173181</xdr:rowOff>
    </xdr:from>
    <xdr:to>
      <xdr:col>25</xdr:col>
      <xdr:colOff>294410</xdr:colOff>
      <xdr:row>218</xdr:row>
      <xdr:rowOff>121226</xdr:rowOff>
    </xdr:to>
    <xdr:sp macro="" textlink="">
      <xdr:nvSpPr>
        <xdr:cNvPr id="3141" name="Freeform 10707">
          <a:extLst>
            <a:ext uri="{FF2B5EF4-FFF2-40B4-BE49-F238E27FC236}">
              <a16:creationId xmlns:a16="http://schemas.microsoft.com/office/drawing/2014/main" id="{E32173FF-AC56-473C-ABFB-100D46A5A870}"/>
            </a:ext>
          </a:extLst>
        </xdr:cNvPr>
        <xdr:cNvSpPr>
          <a:spLocks/>
        </xdr:cNvSpPr>
      </xdr:nvSpPr>
      <xdr:spPr bwMode="auto">
        <a:xfrm>
          <a:off x="1201582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217</xdr:row>
      <xdr:rowOff>173181</xdr:rowOff>
    </xdr:from>
    <xdr:to>
      <xdr:col>27</xdr:col>
      <xdr:colOff>294410</xdr:colOff>
      <xdr:row>218</xdr:row>
      <xdr:rowOff>121226</xdr:rowOff>
    </xdr:to>
    <xdr:sp macro="" textlink="">
      <xdr:nvSpPr>
        <xdr:cNvPr id="3142" name="Freeform 10707">
          <a:extLst>
            <a:ext uri="{FF2B5EF4-FFF2-40B4-BE49-F238E27FC236}">
              <a16:creationId xmlns:a16="http://schemas.microsoft.com/office/drawing/2014/main" id="{A88ADC7D-D239-4181-96B3-032BB87D1E4A}"/>
            </a:ext>
          </a:extLst>
        </xdr:cNvPr>
        <xdr:cNvSpPr>
          <a:spLocks/>
        </xdr:cNvSpPr>
      </xdr:nvSpPr>
      <xdr:spPr bwMode="auto">
        <a:xfrm>
          <a:off x="1305214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217</xdr:row>
      <xdr:rowOff>173181</xdr:rowOff>
    </xdr:from>
    <xdr:to>
      <xdr:col>29</xdr:col>
      <xdr:colOff>294410</xdr:colOff>
      <xdr:row>218</xdr:row>
      <xdr:rowOff>121226</xdr:rowOff>
    </xdr:to>
    <xdr:sp macro="" textlink="">
      <xdr:nvSpPr>
        <xdr:cNvPr id="3143" name="Freeform 10707">
          <a:extLst>
            <a:ext uri="{FF2B5EF4-FFF2-40B4-BE49-F238E27FC236}">
              <a16:creationId xmlns:a16="http://schemas.microsoft.com/office/drawing/2014/main" id="{AE990CBB-B948-43EC-BF00-80E81B545DBB}"/>
            </a:ext>
          </a:extLst>
        </xdr:cNvPr>
        <xdr:cNvSpPr>
          <a:spLocks/>
        </xdr:cNvSpPr>
      </xdr:nvSpPr>
      <xdr:spPr bwMode="auto">
        <a:xfrm>
          <a:off x="1408846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217</xdr:row>
      <xdr:rowOff>173181</xdr:rowOff>
    </xdr:from>
    <xdr:to>
      <xdr:col>31</xdr:col>
      <xdr:colOff>294410</xdr:colOff>
      <xdr:row>218</xdr:row>
      <xdr:rowOff>121226</xdr:rowOff>
    </xdr:to>
    <xdr:sp macro="" textlink="">
      <xdr:nvSpPr>
        <xdr:cNvPr id="3144" name="Freeform 10707">
          <a:extLst>
            <a:ext uri="{FF2B5EF4-FFF2-40B4-BE49-F238E27FC236}">
              <a16:creationId xmlns:a16="http://schemas.microsoft.com/office/drawing/2014/main" id="{19FB17CD-3FB1-4419-A575-D74378AB53D6}"/>
            </a:ext>
          </a:extLst>
        </xdr:cNvPr>
        <xdr:cNvSpPr>
          <a:spLocks/>
        </xdr:cNvSpPr>
      </xdr:nvSpPr>
      <xdr:spPr bwMode="auto">
        <a:xfrm>
          <a:off x="15124780" y="340364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206</xdr:row>
      <xdr:rowOff>159455</xdr:rowOff>
    </xdr:from>
    <xdr:to>
      <xdr:col>2</xdr:col>
      <xdr:colOff>32743</xdr:colOff>
      <xdr:row>209</xdr:row>
      <xdr:rowOff>152400</xdr:rowOff>
    </xdr:to>
    <xdr:sp macro="" textlink="">
      <xdr:nvSpPr>
        <xdr:cNvPr id="3145" name="Isosceles Triangle 3144">
          <a:extLst>
            <a:ext uri="{FF2B5EF4-FFF2-40B4-BE49-F238E27FC236}">
              <a16:creationId xmlns:a16="http://schemas.microsoft.com/office/drawing/2014/main" id="{7BE7EAFD-AF02-40E2-BDB6-B35CD5275457}"/>
            </a:ext>
          </a:extLst>
        </xdr:cNvPr>
        <xdr:cNvSpPr/>
      </xdr:nvSpPr>
      <xdr:spPr>
        <a:xfrm>
          <a:off x="296796" y="32186315"/>
          <a:ext cx="63510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207</xdr:row>
      <xdr:rowOff>7056</xdr:rowOff>
    </xdr:from>
    <xdr:to>
      <xdr:col>10</xdr:col>
      <xdr:colOff>69226</xdr:colOff>
      <xdr:row>210</xdr:row>
      <xdr:rowOff>1</xdr:rowOff>
    </xdr:to>
    <xdr:sp macro="" textlink="">
      <xdr:nvSpPr>
        <xdr:cNvPr id="3147" name="Isosceles Triangle 3146">
          <a:extLst>
            <a:ext uri="{FF2B5EF4-FFF2-40B4-BE49-F238E27FC236}">
              <a16:creationId xmlns:a16="http://schemas.microsoft.com/office/drawing/2014/main" id="{A67C0C22-2868-44BF-B3B0-A56D04AB70F5}"/>
            </a:ext>
          </a:extLst>
        </xdr:cNvPr>
        <xdr:cNvSpPr/>
      </xdr:nvSpPr>
      <xdr:spPr>
        <a:xfrm>
          <a:off x="4451292" y="32201556"/>
          <a:ext cx="66237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207</xdr:row>
      <xdr:rowOff>18345</xdr:rowOff>
    </xdr:from>
    <xdr:to>
      <xdr:col>12</xdr:col>
      <xdr:colOff>66404</xdr:colOff>
      <xdr:row>210</xdr:row>
      <xdr:rowOff>11290</xdr:rowOff>
    </xdr:to>
    <xdr:sp macro="" textlink="">
      <xdr:nvSpPr>
        <xdr:cNvPr id="3148" name="Isosceles Triangle 3147">
          <a:extLst>
            <a:ext uri="{FF2B5EF4-FFF2-40B4-BE49-F238E27FC236}">
              <a16:creationId xmlns:a16="http://schemas.microsoft.com/office/drawing/2014/main" id="{E8E2826C-41A2-41B0-AAE7-38E150B4D413}"/>
            </a:ext>
          </a:extLst>
        </xdr:cNvPr>
        <xdr:cNvSpPr/>
      </xdr:nvSpPr>
      <xdr:spPr>
        <a:xfrm>
          <a:off x="5419677" y="32212845"/>
          <a:ext cx="72748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421400</xdr:colOff>
      <xdr:row>207</xdr:row>
      <xdr:rowOff>7056</xdr:rowOff>
    </xdr:from>
    <xdr:to>
      <xdr:col>14</xdr:col>
      <xdr:colOff>47454</xdr:colOff>
      <xdr:row>210</xdr:row>
      <xdr:rowOff>1</xdr:rowOff>
    </xdr:to>
    <xdr:sp macro="" textlink="">
      <xdr:nvSpPr>
        <xdr:cNvPr id="3149" name="Isosceles Triangle 3148">
          <a:extLst>
            <a:ext uri="{FF2B5EF4-FFF2-40B4-BE49-F238E27FC236}">
              <a16:creationId xmlns:a16="http://schemas.microsoft.com/office/drawing/2014/main" id="{FC9B1D3E-AB5E-400D-859C-12CA3290BC2E}"/>
            </a:ext>
          </a:extLst>
        </xdr:cNvPr>
        <xdr:cNvSpPr/>
      </xdr:nvSpPr>
      <xdr:spPr>
        <a:xfrm>
          <a:off x="6430314" y="35538027"/>
          <a:ext cx="649311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207</xdr:row>
      <xdr:rowOff>7056</xdr:rowOff>
    </xdr:from>
    <xdr:to>
      <xdr:col>18</xdr:col>
      <xdr:colOff>69226</xdr:colOff>
      <xdr:row>210</xdr:row>
      <xdr:rowOff>1</xdr:rowOff>
    </xdr:to>
    <xdr:sp macro="" textlink="">
      <xdr:nvSpPr>
        <xdr:cNvPr id="3150" name="Isosceles Triangle 3149">
          <a:extLst>
            <a:ext uri="{FF2B5EF4-FFF2-40B4-BE49-F238E27FC236}">
              <a16:creationId xmlns:a16="http://schemas.microsoft.com/office/drawing/2014/main" id="{AB69911E-093B-4706-BA98-87DD95D474EA}"/>
            </a:ext>
          </a:extLst>
        </xdr:cNvPr>
        <xdr:cNvSpPr/>
      </xdr:nvSpPr>
      <xdr:spPr>
        <a:xfrm>
          <a:off x="8596572" y="32201556"/>
          <a:ext cx="66999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207</xdr:row>
      <xdr:rowOff>8964</xdr:rowOff>
    </xdr:from>
    <xdr:to>
      <xdr:col>16</xdr:col>
      <xdr:colOff>29467</xdr:colOff>
      <xdr:row>210</xdr:row>
      <xdr:rowOff>1909</xdr:rowOff>
    </xdr:to>
    <xdr:sp macro="" textlink="">
      <xdr:nvSpPr>
        <xdr:cNvPr id="3151" name="Isosceles Triangle 3150">
          <a:extLst>
            <a:ext uri="{FF2B5EF4-FFF2-40B4-BE49-F238E27FC236}">
              <a16:creationId xmlns:a16="http://schemas.microsoft.com/office/drawing/2014/main" id="{A3C07D5F-18A9-46F4-968D-6BDD11CA74B7}"/>
            </a:ext>
          </a:extLst>
        </xdr:cNvPr>
        <xdr:cNvSpPr/>
      </xdr:nvSpPr>
      <xdr:spPr>
        <a:xfrm>
          <a:off x="7520492" y="32203464"/>
          <a:ext cx="66237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288640</xdr:colOff>
      <xdr:row>172</xdr:row>
      <xdr:rowOff>173181</xdr:rowOff>
    </xdr:from>
    <xdr:to>
      <xdr:col>5</xdr:col>
      <xdr:colOff>294410</xdr:colOff>
      <xdr:row>173</xdr:row>
      <xdr:rowOff>121226</xdr:rowOff>
    </xdr:to>
    <xdr:sp macro="" textlink="">
      <xdr:nvSpPr>
        <xdr:cNvPr id="3159" name="Freeform 10707">
          <a:extLst>
            <a:ext uri="{FF2B5EF4-FFF2-40B4-BE49-F238E27FC236}">
              <a16:creationId xmlns:a16="http://schemas.microsoft.com/office/drawing/2014/main" id="{8253E702-5F76-4EED-8F62-028A5C257ADC}"/>
            </a:ext>
          </a:extLst>
        </xdr:cNvPr>
        <xdr:cNvSpPr>
          <a:spLocks/>
        </xdr:cNvSpPr>
      </xdr:nvSpPr>
      <xdr:spPr bwMode="auto">
        <a:xfrm>
          <a:off x="16450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172</xdr:row>
      <xdr:rowOff>173181</xdr:rowOff>
    </xdr:from>
    <xdr:to>
      <xdr:col>7</xdr:col>
      <xdr:colOff>294410</xdr:colOff>
      <xdr:row>173</xdr:row>
      <xdr:rowOff>121226</xdr:rowOff>
    </xdr:to>
    <xdr:sp macro="" textlink="">
      <xdr:nvSpPr>
        <xdr:cNvPr id="3160" name="Freeform 10707">
          <a:extLst>
            <a:ext uri="{FF2B5EF4-FFF2-40B4-BE49-F238E27FC236}">
              <a16:creationId xmlns:a16="http://schemas.microsoft.com/office/drawing/2014/main" id="{60FBEDE6-4EF0-4D4C-8DFF-5A869CBF0715}"/>
            </a:ext>
          </a:extLst>
        </xdr:cNvPr>
        <xdr:cNvSpPr>
          <a:spLocks/>
        </xdr:cNvSpPr>
      </xdr:nvSpPr>
      <xdr:spPr bwMode="auto">
        <a:xfrm>
          <a:off x="26813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172</xdr:row>
      <xdr:rowOff>173181</xdr:rowOff>
    </xdr:from>
    <xdr:to>
      <xdr:col>9</xdr:col>
      <xdr:colOff>294410</xdr:colOff>
      <xdr:row>173</xdr:row>
      <xdr:rowOff>121226</xdr:rowOff>
    </xdr:to>
    <xdr:sp macro="" textlink="">
      <xdr:nvSpPr>
        <xdr:cNvPr id="3161" name="Freeform 10707">
          <a:extLst>
            <a:ext uri="{FF2B5EF4-FFF2-40B4-BE49-F238E27FC236}">
              <a16:creationId xmlns:a16="http://schemas.microsoft.com/office/drawing/2014/main" id="{2B7EEDD0-77E1-4CC8-8262-961D08C24462}"/>
            </a:ext>
          </a:extLst>
        </xdr:cNvPr>
        <xdr:cNvSpPr>
          <a:spLocks/>
        </xdr:cNvSpPr>
      </xdr:nvSpPr>
      <xdr:spPr bwMode="auto">
        <a:xfrm>
          <a:off x="37176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172</xdr:row>
      <xdr:rowOff>173181</xdr:rowOff>
    </xdr:from>
    <xdr:to>
      <xdr:col>11</xdr:col>
      <xdr:colOff>294410</xdr:colOff>
      <xdr:row>173</xdr:row>
      <xdr:rowOff>121226</xdr:rowOff>
    </xdr:to>
    <xdr:sp macro="" textlink="">
      <xdr:nvSpPr>
        <xdr:cNvPr id="3162" name="Freeform 10707">
          <a:extLst>
            <a:ext uri="{FF2B5EF4-FFF2-40B4-BE49-F238E27FC236}">
              <a16:creationId xmlns:a16="http://schemas.microsoft.com/office/drawing/2014/main" id="{BF3D5F26-FC15-4C64-842B-53D8145F93E4}"/>
            </a:ext>
          </a:extLst>
        </xdr:cNvPr>
        <xdr:cNvSpPr>
          <a:spLocks/>
        </xdr:cNvSpPr>
      </xdr:nvSpPr>
      <xdr:spPr bwMode="auto">
        <a:xfrm>
          <a:off x="47539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172</xdr:row>
      <xdr:rowOff>173181</xdr:rowOff>
    </xdr:from>
    <xdr:to>
      <xdr:col>13</xdr:col>
      <xdr:colOff>294410</xdr:colOff>
      <xdr:row>173</xdr:row>
      <xdr:rowOff>121226</xdr:rowOff>
    </xdr:to>
    <xdr:sp macro="" textlink="">
      <xdr:nvSpPr>
        <xdr:cNvPr id="3163" name="Freeform 10707">
          <a:extLst>
            <a:ext uri="{FF2B5EF4-FFF2-40B4-BE49-F238E27FC236}">
              <a16:creationId xmlns:a16="http://schemas.microsoft.com/office/drawing/2014/main" id="{E901E849-4078-42BB-A034-6DEAC0AA945F}"/>
            </a:ext>
          </a:extLst>
        </xdr:cNvPr>
        <xdr:cNvSpPr>
          <a:spLocks/>
        </xdr:cNvSpPr>
      </xdr:nvSpPr>
      <xdr:spPr bwMode="auto">
        <a:xfrm>
          <a:off x="57902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172</xdr:row>
      <xdr:rowOff>173181</xdr:rowOff>
    </xdr:from>
    <xdr:to>
      <xdr:col>15</xdr:col>
      <xdr:colOff>294410</xdr:colOff>
      <xdr:row>173</xdr:row>
      <xdr:rowOff>121226</xdr:rowOff>
    </xdr:to>
    <xdr:sp macro="" textlink="">
      <xdr:nvSpPr>
        <xdr:cNvPr id="3164" name="Freeform 10707">
          <a:extLst>
            <a:ext uri="{FF2B5EF4-FFF2-40B4-BE49-F238E27FC236}">
              <a16:creationId xmlns:a16="http://schemas.microsoft.com/office/drawing/2014/main" id="{1B0C460E-052C-427A-8B3C-17E2886EEA84}"/>
            </a:ext>
          </a:extLst>
        </xdr:cNvPr>
        <xdr:cNvSpPr>
          <a:spLocks/>
        </xdr:cNvSpPr>
      </xdr:nvSpPr>
      <xdr:spPr bwMode="auto">
        <a:xfrm>
          <a:off x="68266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172</xdr:row>
      <xdr:rowOff>173181</xdr:rowOff>
    </xdr:from>
    <xdr:to>
      <xdr:col>19</xdr:col>
      <xdr:colOff>294410</xdr:colOff>
      <xdr:row>173</xdr:row>
      <xdr:rowOff>121226</xdr:rowOff>
    </xdr:to>
    <xdr:sp macro="" textlink="">
      <xdr:nvSpPr>
        <xdr:cNvPr id="3165" name="Freeform 10707">
          <a:extLst>
            <a:ext uri="{FF2B5EF4-FFF2-40B4-BE49-F238E27FC236}">
              <a16:creationId xmlns:a16="http://schemas.microsoft.com/office/drawing/2014/main" id="{95B4AD38-BFC6-4EB5-88FD-0D0514893EE2}"/>
            </a:ext>
          </a:extLst>
        </xdr:cNvPr>
        <xdr:cNvSpPr>
          <a:spLocks/>
        </xdr:cNvSpPr>
      </xdr:nvSpPr>
      <xdr:spPr bwMode="auto">
        <a:xfrm>
          <a:off x="8899240" y="2649266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172</xdr:row>
      <xdr:rowOff>173181</xdr:rowOff>
    </xdr:from>
    <xdr:to>
      <xdr:col>21</xdr:col>
      <xdr:colOff>294410</xdr:colOff>
      <xdr:row>173</xdr:row>
      <xdr:rowOff>121226</xdr:rowOff>
    </xdr:to>
    <xdr:sp macro="" textlink="">
      <xdr:nvSpPr>
        <xdr:cNvPr id="3166" name="Freeform 10707">
          <a:extLst>
            <a:ext uri="{FF2B5EF4-FFF2-40B4-BE49-F238E27FC236}">
              <a16:creationId xmlns:a16="http://schemas.microsoft.com/office/drawing/2014/main" id="{B0090511-4D8A-446B-9B4F-DD436AEEAF0D}"/>
            </a:ext>
          </a:extLst>
        </xdr:cNvPr>
        <xdr:cNvSpPr>
          <a:spLocks/>
        </xdr:cNvSpPr>
      </xdr:nvSpPr>
      <xdr:spPr bwMode="auto">
        <a:xfrm>
          <a:off x="994318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172</xdr:row>
      <xdr:rowOff>173181</xdr:rowOff>
    </xdr:from>
    <xdr:to>
      <xdr:col>23</xdr:col>
      <xdr:colOff>294410</xdr:colOff>
      <xdr:row>173</xdr:row>
      <xdr:rowOff>121226</xdr:rowOff>
    </xdr:to>
    <xdr:sp macro="" textlink="">
      <xdr:nvSpPr>
        <xdr:cNvPr id="3167" name="Freeform 10707">
          <a:extLst>
            <a:ext uri="{FF2B5EF4-FFF2-40B4-BE49-F238E27FC236}">
              <a16:creationId xmlns:a16="http://schemas.microsoft.com/office/drawing/2014/main" id="{983073A2-2D18-4F16-B3B0-9672F565DEE9}"/>
            </a:ext>
          </a:extLst>
        </xdr:cNvPr>
        <xdr:cNvSpPr>
          <a:spLocks/>
        </xdr:cNvSpPr>
      </xdr:nvSpPr>
      <xdr:spPr bwMode="auto">
        <a:xfrm>
          <a:off x="1097950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172</xdr:row>
      <xdr:rowOff>173181</xdr:rowOff>
    </xdr:from>
    <xdr:to>
      <xdr:col>25</xdr:col>
      <xdr:colOff>294410</xdr:colOff>
      <xdr:row>173</xdr:row>
      <xdr:rowOff>121226</xdr:rowOff>
    </xdr:to>
    <xdr:sp macro="" textlink="">
      <xdr:nvSpPr>
        <xdr:cNvPr id="3168" name="Freeform 10707">
          <a:extLst>
            <a:ext uri="{FF2B5EF4-FFF2-40B4-BE49-F238E27FC236}">
              <a16:creationId xmlns:a16="http://schemas.microsoft.com/office/drawing/2014/main" id="{39631902-C1B2-4517-B2AA-5A1666A28E55}"/>
            </a:ext>
          </a:extLst>
        </xdr:cNvPr>
        <xdr:cNvSpPr>
          <a:spLocks/>
        </xdr:cNvSpPr>
      </xdr:nvSpPr>
      <xdr:spPr bwMode="auto">
        <a:xfrm>
          <a:off x="1201582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172</xdr:row>
      <xdr:rowOff>173181</xdr:rowOff>
    </xdr:from>
    <xdr:to>
      <xdr:col>27</xdr:col>
      <xdr:colOff>294410</xdr:colOff>
      <xdr:row>173</xdr:row>
      <xdr:rowOff>121226</xdr:rowOff>
    </xdr:to>
    <xdr:sp macro="" textlink="">
      <xdr:nvSpPr>
        <xdr:cNvPr id="3169" name="Freeform 10707">
          <a:extLst>
            <a:ext uri="{FF2B5EF4-FFF2-40B4-BE49-F238E27FC236}">
              <a16:creationId xmlns:a16="http://schemas.microsoft.com/office/drawing/2014/main" id="{3CCCFE52-526E-44B2-9E15-D7E9B2E1A1F9}"/>
            </a:ext>
          </a:extLst>
        </xdr:cNvPr>
        <xdr:cNvSpPr>
          <a:spLocks/>
        </xdr:cNvSpPr>
      </xdr:nvSpPr>
      <xdr:spPr bwMode="auto">
        <a:xfrm>
          <a:off x="1305214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172</xdr:row>
      <xdr:rowOff>173181</xdr:rowOff>
    </xdr:from>
    <xdr:to>
      <xdr:col>29</xdr:col>
      <xdr:colOff>294410</xdr:colOff>
      <xdr:row>173</xdr:row>
      <xdr:rowOff>121226</xdr:rowOff>
    </xdr:to>
    <xdr:sp macro="" textlink="">
      <xdr:nvSpPr>
        <xdr:cNvPr id="3170" name="Freeform 10707">
          <a:extLst>
            <a:ext uri="{FF2B5EF4-FFF2-40B4-BE49-F238E27FC236}">
              <a16:creationId xmlns:a16="http://schemas.microsoft.com/office/drawing/2014/main" id="{C78AA6EF-E0AF-425C-A876-5762581B8CC4}"/>
            </a:ext>
          </a:extLst>
        </xdr:cNvPr>
        <xdr:cNvSpPr>
          <a:spLocks/>
        </xdr:cNvSpPr>
      </xdr:nvSpPr>
      <xdr:spPr bwMode="auto">
        <a:xfrm>
          <a:off x="14088460" y="2649266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183</xdr:row>
      <xdr:rowOff>173181</xdr:rowOff>
    </xdr:from>
    <xdr:to>
      <xdr:col>11</xdr:col>
      <xdr:colOff>294410</xdr:colOff>
      <xdr:row>184</xdr:row>
      <xdr:rowOff>121226</xdr:rowOff>
    </xdr:to>
    <xdr:sp macro="" textlink="">
      <xdr:nvSpPr>
        <xdr:cNvPr id="3171" name="Freeform 10707">
          <a:extLst>
            <a:ext uri="{FF2B5EF4-FFF2-40B4-BE49-F238E27FC236}">
              <a16:creationId xmlns:a16="http://schemas.microsoft.com/office/drawing/2014/main" id="{F8DBC153-11B4-40FC-85AE-88522BBAA3BD}"/>
            </a:ext>
          </a:extLst>
        </xdr:cNvPr>
        <xdr:cNvSpPr>
          <a:spLocks/>
        </xdr:cNvSpPr>
      </xdr:nvSpPr>
      <xdr:spPr bwMode="auto">
        <a:xfrm>
          <a:off x="47539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183</xdr:row>
      <xdr:rowOff>173181</xdr:rowOff>
    </xdr:from>
    <xdr:to>
      <xdr:col>13</xdr:col>
      <xdr:colOff>294410</xdr:colOff>
      <xdr:row>184</xdr:row>
      <xdr:rowOff>121226</xdr:rowOff>
    </xdr:to>
    <xdr:sp macro="" textlink="">
      <xdr:nvSpPr>
        <xdr:cNvPr id="3172" name="Freeform 10707">
          <a:extLst>
            <a:ext uri="{FF2B5EF4-FFF2-40B4-BE49-F238E27FC236}">
              <a16:creationId xmlns:a16="http://schemas.microsoft.com/office/drawing/2014/main" id="{3931B09E-4410-4A64-A4EC-5D1F63EABA83}"/>
            </a:ext>
          </a:extLst>
        </xdr:cNvPr>
        <xdr:cNvSpPr>
          <a:spLocks/>
        </xdr:cNvSpPr>
      </xdr:nvSpPr>
      <xdr:spPr bwMode="auto">
        <a:xfrm>
          <a:off x="57902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183</xdr:row>
      <xdr:rowOff>173181</xdr:rowOff>
    </xdr:from>
    <xdr:to>
      <xdr:col>15</xdr:col>
      <xdr:colOff>294410</xdr:colOff>
      <xdr:row>184</xdr:row>
      <xdr:rowOff>121226</xdr:rowOff>
    </xdr:to>
    <xdr:sp macro="" textlink="">
      <xdr:nvSpPr>
        <xdr:cNvPr id="3173" name="Freeform 10707">
          <a:extLst>
            <a:ext uri="{FF2B5EF4-FFF2-40B4-BE49-F238E27FC236}">
              <a16:creationId xmlns:a16="http://schemas.microsoft.com/office/drawing/2014/main" id="{26B6A072-B25C-4FCD-A892-03C04B5E8152}"/>
            </a:ext>
          </a:extLst>
        </xdr:cNvPr>
        <xdr:cNvSpPr>
          <a:spLocks/>
        </xdr:cNvSpPr>
      </xdr:nvSpPr>
      <xdr:spPr bwMode="auto">
        <a:xfrm>
          <a:off x="68266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183</xdr:row>
      <xdr:rowOff>173181</xdr:rowOff>
    </xdr:from>
    <xdr:to>
      <xdr:col>17</xdr:col>
      <xdr:colOff>294410</xdr:colOff>
      <xdr:row>184</xdr:row>
      <xdr:rowOff>121226</xdr:rowOff>
    </xdr:to>
    <xdr:sp macro="" textlink="">
      <xdr:nvSpPr>
        <xdr:cNvPr id="3174" name="Freeform 10707">
          <a:extLst>
            <a:ext uri="{FF2B5EF4-FFF2-40B4-BE49-F238E27FC236}">
              <a16:creationId xmlns:a16="http://schemas.microsoft.com/office/drawing/2014/main" id="{B36475F4-E7A7-40DE-A9F2-00DBE08A9CE5}"/>
            </a:ext>
          </a:extLst>
        </xdr:cNvPr>
        <xdr:cNvSpPr>
          <a:spLocks/>
        </xdr:cNvSpPr>
      </xdr:nvSpPr>
      <xdr:spPr bwMode="auto">
        <a:xfrm>
          <a:off x="78629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183</xdr:row>
      <xdr:rowOff>173181</xdr:rowOff>
    </xdr:from>
    <xdr:to>
      <xdr:col>21</xdr:col>
      <xdr:colOff>294410</xdr:colOff>
      <xdr:row>184</xdr:row>
      <xdr:rowOff>121226</xdr:rowOff>
    </xdr:to>
    <xdr:sp macro="" textlink="">
      <xdr:nvSpPr>
        <xdr:cNvPr id="3175" name="Freeform 10707">
          <a:extLst>
            <a:ext uri="{FF2B5EF4-FFF2-40B4-BE49-F238E27FC236}">
              <a16:creationId xmlns:a16="http://schemas.microsoft.com/office/drawing/2014/main" id="{14605006-3F92-4AC3-AE45-57920B6FBA0F}"/>
            </a:ext>
          </a:extLst>
        </xdr:cNvPr>
        <xdr:cNvSpPr>
          <a:spLocks/>
        </xdr:cNvSpPr>
      </xdr:nvSpPr>
      <xdr:spPr bwMode="auto">
        <a:xfrm>
          <a:off x="994318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183</xdr:row>
      <xdr:rowOff>173181</xdr:rowOff>
    </xdr:from>
    <xdr:to>
      <xdr:col>23</xdr:col>
      <xdr:colOff>294410</xdr:colOff>
      <xdr:row>184</xdr:row>
      <xdr:rowOff>121226</xdr:rowOff>
    </xdr:to>
    <xdr:sp macro="" textlink="">
      <xdr:nvSpPr>
        <xdr:cNvPr id="3176" name="Freeform 10707">
          <a:extLst>
            <a:ext uri="{FF2B5EF4-FFF2-40B4-BE49-F238E27FC236}">
              <a16:creationId xmlns:a16="http://schemas.microsoft.com/office/drawing/2014/main" id="{380686EB-ECCC-4C2F-B4C9-DE0DC2070913}"/>
            </a:ext>
          </a:extLst>
        </xdr:cNvPr>
        <xdr:cNvSpPr>
          <a:spLocks/>
        </xdr:cNvSpPr>
      </xdr:nvSpPr>
      <xdr:spPr bwMode="auto">
        <a:xfrm>
          <a:off x="1097950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183</xdr:row>
      <xdr:rowOff>173181</xdr:rowOff>
    </xdr:from>
    <xdr:to>
      <xdr:col>25</xdr:col>
      <xdr:colOff>294410</xdr:colOff>
      <xdr:row>184</xdr:row>
      <xdr:rowOff>121226</xdr:rowOff>
    </xdr:to>
    <xdr:sp macro="" textlink="">
      <xdr:nvSpPr>
        <xdr:cNvPr id="3177" name="Freeform 10707">
          <a:extLst>
            <a:ext uri="{FF2B5EF4-FFF2-40B4-BE49-F238E27FC236}">
              <a16:creationId xmlns:a16="http://schemas.microsoft.com/office/drawing/2014/main" id="{D345874B-56C5-40AA-B57D-DB57CC73C0BF}"/>
            </a:ext>
          </a:extLst>
        </xdr:cNvPr>
        <xdr:cNvSpPr>
          <a:spLocks/>
        </xdr:cNvSpPr>
      </xdr:nvSpPr>
      <xdr:spPr bwMode="auto">
        <a:xfrm>
          <a:off x="1201582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183</xdr:row>
      <xdr:rowOff>173181</xdr:rowOff>
    </xdr:from>
    <xdr:to>
      <xdr:col>27</xdr:col>
      <xdr:colOff>294410</xdr:colOff>
      <xdr:row>184</xdr:row>
      <xdr:rowOff>121226</xdr:rowOff>
    </xdr:to>
    <xdr:sp macro="" textlink="">
      <xdr:nvSpPr>
        <xdr:cNvPr id="3178" name="Freeform 10707">
          <a:extLst>
            <a:ext uri="{FF2B5EF4-FFF2-40B4-BE49-F238E27FC236}">
              <a16:creationId xmlns:a16="http://schemas.microsoft.com/office/drawing/2014/main" id="{F431DD13-BCAC-4CEF-A2F2-548E6E3AB87E}"/>
            </a:ext>
          </a:extLst>
        </xdr:cNvPr>
        <xdr:cNvSpPr>
          <a:spLocks/>
        </xdr:cNvSpPr>
      </xdr:nvSpPr>
      <xdr:spPr bwMode="auto">
        <a:xfrm>
          <a:off x="1305214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183</xdr:row>
      <xdr:rowOff>173181</xdr:rowOff>
    </xdr:from>
    <xdr:to>
      <xdr:col>29</xdr:col>
      <xdr:colOff>294410</xdr:colOff>
      <xdr:row>184</xdr:row>
      <xdr:rowOff>121226</xdr:rowOff>
    </xdr:to>
    <xdr:sp macro="" textlink="">
      <xdr:nvSpPr>
        <xdr:cNvPr id="3179" name="Freeform 10707">
          <a:extLst>
            <a:ext uri="{FF2B5EF4-FFF2-40B4-BE49-F238E27FC236}">
              <a16:creationId xmlns:a16="http://schemas.microsoft.com/office/drawing/2014/main" id="{8E874A90-3FCF-4D4C-824F-6343630B25AE}"/>
            </a:ext>
          </a:extLst>
        </xdr:cNvPr>
        <xdr:cNvSpPr>
          <a:spLocks/>
        </xdr:cNvSpPr>
      </xdr:nvSpPr>
      <xdr:spPr bwMode="auto">
        <a:xfrm>
          <a:off x="14088460" y="2833670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194</xdr:row>
      <xdr:rowOff>173181</xdr:rowOff>
    </xdr:from>
    <xdr:to>
      <xdr:col>5</xdr:col>
      <xdr:colOff>294410</xdr:colOff>
      <xdr:row>195</xdr:row>
      <xdr:rowOff>121226</xdr:rowOff>
    </xdr:to>
    <xdr:sp macro="" textlink="">
      <xdr:nvSpPr>
        <xdr:cNvPr id="3180" name="Freeform 10707">
          <a:extLst>
            <a:ext uri="{FF2B5EF4-FFF2-40B4-BE49-F238E27FC236}">
              <a16:creationId xmlns:a16="http://schemas.microsoft.com/office/drawing/2014/main" id="{7FFA5419-8AEB-4750-95A6-7A7D94805B0A}"/>
            </a:ext>
          </a:extLst>
        </xdr:cNvPr>
        <xdr:cNvSpPr>
          <a:spLocks/>
        </xdr:cNvSpPr>
      </xdr:nvSpPr>
      <xdr:spPr bwMode="auto">
        <a:xfrm>
          <a:off x="16450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194</xdr:row>
      <xdr:rowOff>173181</xdr:rowOff>
    </xdr:from>
    <xdr:to>
      <xdr:col>7</xdr:col>
      <xdr:colOff>294410</xdr:colOff>
      <xdr:row>195</xdr:row>
      <xdr:rowOff>121226</xdr:rowOff>
    </xdr:to>
    <xdr:sp macro="" textlink="">
      <xdr:nvSpPr>
        <xdr:cNvPr id="3181" name="Freeform 10707">
          <a:extLst>
            <a:ext uri="{FF2B5EF4-FFF2-40B4-BE49-F238E27FC236}">
              <a16:creationId xmlns:a16="http://schemas.microsoft.com/office/drawing/2014/main" id="{28B0E993-8D89-4556-B0C7-C0C9027AE872}"/>
            </a:ext>
          </a:extLst>
        </xdr:cNvPr>
        <xdr:cNvSpPr>
          <a:spLocks/>
        </xdr:cNvSpPr>
      </xdr:nvSpPr>
      <xdr:spPr bwMode="auto">
        <a:xfrm>
          <a:off x="26813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194</xdr:row>
      <xdr:rowOff>173181</xdr:rowOff>
    </xdr:from>
    <xdr:to>
      <xdr:col>9</xdr:col>
      <xdr:colOff>294410</xdr:colOff>
      <xdr:row>195</xdr:row>
      <xdr:rowOff>121226</xdr:rowOff>
    </xdr:to>
    <xdr:sp macro="" textlink="">
      <xdr:nvSpPr>
        <xdr:cNvPr id="3182" name="Freeform 10707">
          <a:extLst>
            <a:ext uri="{FF2B5EF4-FFF2-40B4-BE49-F238E27FC236}">
              <a16:creationId xmlns:a16="http://schemas.microsoft.com/office/drawing/2014/main" id="{E7BCF9E2-AB02-4598-98E2-87BB59BBA17F}"/>
            </a:ext>
          </a:extLst>
        </xdr:cNvPr>
        <xdr:cNvSpPr>
          <a:spLocks/>
        </xdr:cNvSpPr>
      </xdr:nvSpPr>
      <xdr:spPr bwMode="auto">
        <a:xfrm>
          <a:off x="37176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194</xdr:row>
      <xdr:rowOff>173181</xdr:rowOff>
    </xdr:from>
    <xdr:to>
      <xdr:col>11</xdr:col>
      <xdr:colOff>294410</xdr:colOff>
      <xdr:row>195</xdr:row>
      <xdr:rowOff>121226</xdr:rowOff>
    </xdr:to>
    <xdr:sp macro="" textlink="">
      <xdr:nvSpPr>
        <xdr:cNvPr id="3183" name="Freeform 10707">
          <a:extLst>
            <a:ext uri="{FF2B5EF4-FFF2-40B4-BE49-F238E27FC236}">
              <a16:creationId xmlns:a16="http://schemas.microsoft.com/office/drawing/2014/main" id="{76395A57-5794-4C22-901B-648EEC52DE22}"/>
            </a:ext>
          </a:extLst>
        </xdr:cNvPr>
        <xdr:cNvSpPr>
          <a:spLocks/>
        </xdr:cNvSpPr>
      </xdr:nvSpPr>
      <xdr:spPr bwMode="auto">
        <a:xfrm>
          <a:off x="47539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194</xdr:row>
      <xdr:rowOff>173181</xdr:rowOff>
    </xdr:from>
    <xdr:to>
      <xdr:col>13</xdr:col>
      <xdr:colOff>294410</xdr:colOff>
      <xdr:row>195</xdr:row>
      <xdr:rowOff>121226</xdr:rowOff>
    </xdr:to>
    <xdr:sp macro="" textlink="">
      <xdr:nvSpPr>
        <xdr:cNvPr id="3184" name="Freeform 10707">
          <a:extLst>
            <a:ext uri="{FF2B5EF4-FFF2-40B4-BE49-F238E27FC236}">
              <a16:creationId xmlns:a16="http://schemas.microsoft.com/office/drawing/2014/main" id="{6EBBD84F-C4CF-4DC3-8EAE-F73F633A6E78}"/>
            </a:ext>
          </a:extLst>
        </xdr:cNvPr>
        <xdr:cNvSpPr>
          <a:spLocks/>
        </xdr:cNvSpPr>
      </xdr:nvSpPr>
      <xdr:spPr bwMode="auto">
        <a:xfrm>
          <a:off x="57902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194</xdr:row>
      <xdr:rowOff>173181</xdr:rowOff>
    </xdr:from>
    <xdr:to>
      <xdr:col>15</xdr:col>
      <xdr:colOff>294410</xdr:colOff>
      <xdr:row>195</xdr:row>
      <xdr:rowOff>121226</xdr:rowOff>
    </xdr:to>
    <xdr:sp macro="" textlink="">
      <xdr:nvSpPr>
        <xdr:cNvPr id="3185" name="Freeform 10707">
          <a:extLst>
            <a:ext uri="{FF2B5EF4-FFF2-40B4-BE49-F238E27FC236}">
              <a16:creationId xmlns:a16="http://schemas.microsoft.com/office/drawing/2014/main" id="{B69B761E-CC66-4E0D-9884-924BFD2690EF}"/>
            </a:ext>
          </a:extLst>
        </xdr:cNvPr>
        <xdr:cNvSpPr>
          <a:spLocks/>
        </xdr:cNvSpPr>
      </xdr:nvSpPr>
      <xdr:spPr bwMode="auto">
        <a:xfrm>
          <a:off x="68266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194</xdr:row>
      <xdr:rowOff>173181</xdr:rowOff>
    </xdr:from>
    <xdr:to>
      <xdr:col>17</xdr:col>
      <xdr:colOff>294410</xdr:colOff>
      <xdr:row>195</xdr:row>
      <xdr:rowOff>121226</xdr:rowOff>
    </xdr:to>
    <xdr:sp macro="" textlink="">
      <xdr:nvSpPr>
        <xdr:cNvPr id="3186" name="Freeform 10707">
          <a:extLst>
            <a:ext uri="{FF2B5EF4-FFF2-40B4-BE49-F238E27FC236}">
              <a16:creationId xmlns:a16="http://schemas.microsoft.com/office/drawing/2014/main" id="{F0AE0D6C-3AEA-4F1C-A564-B9E4AB5AB2B8}"/>
            </a:ext>
          </a:extLst>
        </xdr:cNvPr>
        <xdr:cNvSpPr>
          <a:spLocks/>
        </xdr:cNvSpPr>
      </xdr:nvSpPr>
      <xdr:spPr bwMode="auto">
        <a:xfrm>
          <a:off x="78629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194</xdr:row>
      <xdr:rowOff>173181</xdr:rowOff>
    </xdr:from>
    <xdr:to>
      <xdr:col>19</xdr:col>
      <xdr:colOff>294410</xdr:colOff>
      <xdr:row>195</xdr:row>
      <xdr:rowOff>121226</xdr:rowOff>
    </xdr:to>
    <xdr:sp macro="" textlink="">
      <xdr:nvSpPr>
        <xdr:cNvPr id="3187" name="Freeform 10707">
          <a:extLst>
            <a:ext uri="{FF2B5EF4-FFF2-40B4-BE49-F238E27FC236}">
              <a16:creationId xmlns:a16="http://schemas.microsoft.com/office/drawing/2014/main" id="{1ADEA200-7E44-4259-B12D-983F119B453D}"/>
            </a:ext>
          </a:extLst>
        </xdr:cNvPr>
        <xdr:cNvSpPr>
          <a:spLocks/>
        </xdr:cNvSpPr>
      </xdr:nvSpPr>
      <xdr:spPr bwMode="auto">
        <a:xfrm>
          <a:off x="8899240" y="3018074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194</xdr:row>
      <xdr:rowOff>173181</xdr:rowOff>
    </xdr:from>
    <xdr:to>
      <xdr:col>21</xdr:col>
      <xdr:colOff>294410</xdr:colOff>
      <xdr:row>195</xdr:row>
      <xdr:rowOff>121226</xdr:rowOff>
    </xdr:to>
    <xdr:sp macro="" textlink="">
      <xdr:nvSpPr>
        <xdr:cNvPr id="3188" name="Freeform 10707">
          <a:extLst>
            <a:ext uri="{FF2B5EF4-FFF2-40B4-BE49-F238E27FC236}">
              <a16:creationId xmlns:a16="http://schemas.microsoft.com/office/drawing/2014/main" id="{D15D3F06-A1ED-4EFA-826D-3B4380D4EC66}"/>
            </a:ext>
          </a:extLst>
        </xdr:cNvPr>
        <xdr:cNvSpPr>
          <a:spLocks/>
        </xdr:cNvSpPr>
      </xdr:nvSpPr>
      <xdr:spPr bwMode="auto">
        <a:xfrm>
          <a:off x="994318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194</xdr:row>
      <xdr:rowOff>173181</xdr:rowOff>
    </xdr:from>
    <xdr:to>
      <xdr:col>23</xdr:col>
      <xdr:colOff>294410</xdr:colOff>
      <xdr:row>195</xdr:row>
      <xdr:rowOff>121226</xdr:rowOff>
    </xdr:to>
    <xdr:sp macro="" textlink="">
      <xdr:nvSpPr>
        <xdr:cNvPr id="3189" name="Freeform 10707">
          <a:extLst>
            <a:ext uri="{FF2B5EF4-FFF2-40B4-BE49-F238E27FC236}">
              <a16:creationId xmlns:a16="http://schemas.microsoft.com/office/drawing/2014/main" id="{682CAA3B-ED1D-43E8-BC5E-36FF66690A0A}"/>
            </a:ext>
          </a:extLst>
        </xdr:cNvPr>
        <xdr:cNvSpPr>
          <a:spLocks/>
        </xdr:cNvSpPr>
      </xdr:nvSpPr>
      <xdr:spPr bwMode="auto">
        <a:xfrm>
          <a:off x="1097950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194</xdr:row>
      <xdr:rowOff>173181</xdr:rowOff>
    </xdr:from>
    <xdr:to>
      <xdr:col>25</xdr:col>
      <xdr:colOff>294410</xdr:colOff>
      <xdr:row>195</xdr:row>
      <xdr:rowOff>121226</xdr:rowOff>
    </xdr:to>
    <xdr:sp macro="" textlink="">
      <xdr:nvSpPr>
        <xdr:cNvPr id="3190" name="Freeform 10707">
          <a:extLst>
            <a:ext uri="{FF2B5EF4-FFF2-40B4-BE49-F238E27FC236}">
              <a16:creationId xmlns:a16="http://schemas.microsoft.com/office/drawing/2014/main" id="{24C2AE89-0F1E-48D4-8AC8-EA95EDF3A8E3}"/>
            </a:ext>
          </a:extLst>
        </xdr:cNvPr>
        <xdr:cNvSpPr>
          <a:spLocks/>
        </xdr:cNvSpPr>
      </xdr:nvSpPr>
      <xdr:spPr bwMode="auto">
        <a:xfrm>
          <a:off x="1201582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194</xdr:row>
      <xdr:rowOff>173181</xdr:rowOff>
    </xdr:from>
    <xdr:to>
      <xdr:col>27</xdr:col>
      <xdr:colOff>294410</xdr:colOff>
      <xdr:row>195</xdr:row>
      <xdr:rowOff>121226</xdr:rowOff>
    </xdr:to>
    <xdr:sp macro="" textlink="">
      <xdr:nvSpPr>
        <xdr:cNvPr id="3191" name="Freeform 10707">
          <a:extLst>
            <a:ext uri="{FF2B5EF4-FFF2-40B4-BE49-F238E27FC236}">
              <a16:creationId xmlns:a16="http://schemas.microsoft.com/office/drawing/2014/main" id="{297D646C-70BD-44F1-944F-88FFDDA0B987}"/>
            </a:ext>
          </a:extLst>
        </xdr:cNvPr>
        <xdr:cNvSpPr>
          <a:spLocks/>
        </xdr:cNvSpPr>
      </xdr:nvSpPr>
      <xdr:spPr bwMode="auto">
        <a:xfrm>
          <a:off x="1305214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194</xdr:row>
      <xdr:rowOff>173181</xdr:rowOff>
    </xdr:from>
    <xdr:to>
      <xdr:col>29</xdr:col>
      <xdr:colOff>294410</xdr:colOff>
      <xdr:row>195</xdr:row>
      <xdr:rowOff>121226</xdr:rowOff>
    </xdr:to>
    <xdr:sp macro="" textlink="">
      <xdr:nvSpPr>
        <xdr:cNvPr id="3192" name="Freeform 10707">
          <a:extLst>
            <a:ext uri="{FF2B5EF4-FFF2-40B4-BE49-F238E27FC236}">
              <a16:creationId xmlns:a16="http://schemas.microsoft.com/office/drawing/2014/main" id="{E565A9A2-8CF7-4F0A-9016-8B05D251DF84}"/>
            </a:ext>
          </a:extLst>
        </xdr:cNvPr>
        <xdr:cNvSpPr>
          <a:spLocks/>
        </xdr:cNvSpPr>
      </xdr:nvSpPr>
      <xdr:spPr bwMode="auto">
        <a:xfrm>
          <a:off x="14088460" y="3018074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206</xdr:row>
      <xdr:rowOff>173181</xdr:rowOff>
    </xdr:from>
    <xdr:to>
      <xdr:col>5</xdr:col>
      <xdr:colOff>294410</xdr:colOff>
      <xdr:row>207</xdr:row>
      <xdr:rowOff>121226</xdr:rowOff>
    </xdr:to>
    <xdr:sp macro="" textlink="">
      <xdr:nvSpPr>
        <xdr:cNvPr id="3193" name="Freeform 10707">
          <a:extLst>
            <a:ext uri="{FF2B5EF4-FFF2-40B4-BE49-F238E27FC236}">
              <a16:creationId xmlns:a16="http://schemas.microsoft.com/office/drawing/2014/main" id="{23D39AB0-DFB3-4FAD-BAED-019897E54B8A}"/>
            </a:ext>
          </a:extLst>
        </xdr:cNvPr>
        <xdr:cNvSpPr>
          <a:spLocks/>
        </xdr:cNvSpPr>
      </xdr:nvSpPr>
      <xdr:spPr bwMode="auto">
        <a:xfrm>
          <a:off x="16450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206</xdr:row>
      <xdr:rowOff>173181</xdr:rowOff>
    </xdr:from>
    <xdr:to>
      <xdr:col>7</xdr:col>
      <xdr:colOff>294410</xdr:colOff>
      <xdr:row>207</xdr:row>
      <xdr:rowOff>121226</xdr:rowOff>
    </xdr:to>
    <xdr:sp macro="" textlink="">
      <xdr:nvSpPr>
        <xdr:cNvPr id="3194" name="Freeform 10707">
          <a:extLst>
            <a:ext uri="{FF2B5EF4-FFF2-40B4-BE49-F238E27FC236}">
              <a16:creationId xmlns:a16="http://schemas.microsoft.com/office/drawing/2014/main" id="{F7848596-13B9-4502-8EA1-5B58793A11AE}"/>
            </a:ext>
          </a:extLst>
        </xdr:cNvPr>
        <xdr:cNvSpPr>
          <a:spLocks/>
        </xdr:cNvSpPr>
      </xdr:nvSpPr>
      <xdr:spPr bwMode="auto">
        <a:xfrm>
          <a:off x="26813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206</xdr:row>
      <xdr:rowOff>173181</xdr:rowOff>
    </xdr:from>
    <xdr:to>
      <xdr:col>9</xdr:col>
      <xdr:colOff>294410</xdr:colOff>
      <xdr:row>207</xdr:row>
      <xdr:rowOff>121226</xdr:rowOff>
    </xdr:to>
    <xdr:sp macro="" textlink="">
      <xdr:nvSpPr>
        <xdr:cNvPr id="3195" name="Freeform 10707">
          <a:extLst>
            <a:ext uri="{FF2B5EF4-FFF2-40B4-BE49-F238E27FC236}">
              <a16:creationId xmlns:a16="http://schemas.microsoft.com/office/drawing/2014/main" id="{DEF77000-C57B-48BD-A98B-A8DEE0ADC3DA}"/>
            </a:ext>
          </a:extLst>
        </xdr:cNvPr>
        <xdr:cNvSpPr>
          <a:spLocks/>
        </xdr:cNvSpPr>
      </xdr:nvSpPr>
      <xdr:spPr bwMode="auto">
        <a:xfrm>
          <a:off x="371764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206</xdr:row>
      <xdr:rowOff>173181</xdr:rowOff>
    </xdr:from>
    <xdr:to>
      <xdr:col>11</xdr:col>
      <xdr:colOff>294410</xdr:colOff>
      <xdr:row>207</xdr:row>
      <xdr:rowOff>121226</xdr:rowOff>
    </xdr:to>
    <xdr:sp macro="" textlink="">
      <xdr:nvSpPr>
        <xdr:cNvPr id="3196" name="Freeform 10707">
          <a:extLst>
            <a:ext uri="{FF2B5EF4-FFF2-40B4-BE49-F238E27FC236}">
              <a16:creationId xmlns:a16="http://schemas.microsoft.com/office/drawing/2014/main" id="{02EDE2FC-F884-455C-9A41-07E6188B2EDD}"/>
            </a:ext>
          </a:extLst>
        </xdr:cNvPr>
        <xdr:cNvSpPr>
          <a:spLocks/>
        </xdr:cNvSpPr>
      </xdr:nvSpPr>
      <xdr:spPr bwMode="auto">
        <a:xfrm>
          <a:off x="475396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206</xdr:row>
      <xdr:rowOff>173181</xdr:rowOff>
    </xdr:from>
    <xdr:to>
      <xdr:col>15</xdr:col>
      <xdr:colOff>294410</xdr:colOff>
      <xdr:row>207</xdr:row>
      <xdr:rowOff>121226</xdr:rowOff>
    </xdr:to>
    <xdr:sp macro="" textlink="">
      <xdr:nvSpPr>
        <xdr:cNvPr id="3197" name="Freeform 10707">
          <a:extLst>
            <a:ext uri="{FF2B5EF4-FFF2-40B4-BE49-F238E27FC236}">
              <a16:creationId xmlns:a16="http://schemas.microsoft.com/office/drawing/2014/main" id="{711A2114-1E35-404B-B90D-995ED6D20B90}"/>
            </a:ext>
          </a:extLst>
        </xdr:cNvPr>
        <xdr:cNvSpPr>
          <a:spLocks/>
        </xdr:cNvSpPr>
      </xdr:nvSpPr>
      <xdr:spPr bwMode="auto">
        <a:xfrm>
          <a:off x="68266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206</xdr:row>
      <xdr:rowOff>173181</xdr:rowOff>
    </xdr:from>
    <xdr:to>
      <xdr:col>17</xdr:col>
      <xdr:colOff>294410</xdr:colOff>
      <xdr:row>207</xdr:row>
      <xdr:rowOff>121226</xdr:rowOff>
    </xdr:to>
    <xdr:sp macro="" textlink="">
      <xdr:nvSpPr>
        <xdr:cNvPr id="3198" name="Freeform 10707">
          <a:extLst>
            <a:ext uri="{FF2B5EF4-FFF2-40B4-BE49-F238E27FC236}">
              <a16:creationId xmlns:a16="http://schemas.microsoft.com/office/drawing/2014/main" id="{E3F75C19-2E06-45FC-A90F-04E8CECEF340}"/>
            </a:ext>
          </a:extLst>
        </xdr:cNvPr>
        <xdr:cNvSpPr>
          <a:spLocks/>
        </xdr:cNvSpPr>
      </xdr:nvSpPr>
      <xdr:spPr bwMode="auto">
        <a:xfrm>
          <a:off x="78629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206</xdr:row>
      <xdr:rowOff>173181</xdr:rowOff>
    </xdr:from>
    <xdr:to>
      <xdr:col>19</xdr:col>
      <xdr:colOff>294410</xdr:colOff>
      <xdr:row>207</xdr:row>
      <xdr:rowOff>121226</xdr:rowOff>
    </xdr:to>
    <xdr:sp macro="" textlink="">
      <xdr:nvSpPr>
        <xdr:cNvPr id="3199" name="Freeform 10707">
          <a:extLst>
            <a:ext uri="{FF2B5EF4-FFF2-40B4-BE49-F238E27FC236}">
              <a16:creationId xmlns:a16="http://schemas.microsoft.com/office/drawing/2014/main" id="{7EB1AD23-236F-41F4-86E5-F603A39CE844}"/>
            </a:ext>
          </a:extLst>
        </xdr:cNvPr>
        <xdr:cNvSpPr>
          <a:spLocks/>
        </xdr:cNvSpPr>
      </xdr:nvSpPr>
      <xdr:spPr bwMode="auto">
        <a:xfrm>
          <a:off x="8899240" y="32192421"/>
          <a:ext cx="104971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206</xdr:row>
      <xdr:rowOff>173181</xdr:rowOff>
    </xdr:from>
    <xdr:to>
      <xdr:col>21</xdr:col>
      <xdr:colOff>294410</xdr:colOff>
      <xdr:row>207</xdr:row>
      <xdr:rowOff>121226</xdr:rowOff>
    </xdr:to>
    <xdr:sp macro="" textlink="">
      <xdr:nvSpPr>
        <xdr:cNvPr id="3200" name="Freeform 10707">
          <a:extLst>
            <a:ext uri="{FF2B5EF4-FFF2-40B4-BE49-F238E27FC236}">
              <a16:creationId xmlns:a16="http://schemas.microsoft.com/office/drawing/2014/main" id="{FF145438-9C0B-45F1-BA79-0BA50369E968}"/>
            </a:ext>
          </a:extLst>
        </xdr:cNvPr>
        <xdr:cNvSpPr>
          <a:spLocks/>
        </xdr:cNvSpPr>
      </xdr:nvSpPr>
      <xdr:spPr bwMode="auto">
        <a:xfrm>
          <a:off x="994318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206</xdr:row>
      <xdr:rowOff>173181</xdr:rowOff>
    </xdr:from>
    <xdr:to>
      <xdr:col>23</xdr:col>
      <xdr:colOff>294410</xdr:colOff>
      <xdr:row>207</xdr:row>
      <xdr:rowOff>121226</xdr:rowOff>
    </xdr:to>
    <xdr:sp macro="" textlink="">
      <xdr:nvSpPr>
        <xdr:cNvPr id="3201" name="Freeform 10707">
          <a:extLst>
            <a:ext uri="{FF2B5EF4-FFF2-40B4-BE49-F238E27FC236}">
              <a16:creationId xmlns:a16="http://schemas.microsoft.com/office/drawing/2014/main" id="{138A1CEB-57AC-4E1F-B01A-A9F8D9A9E2EE}"/>
            </a:ext>
          </a:extLst>
        </xdr:cNvPr>
        <xdr:cNvSpPr>
          <a:spLocks/>
        </xdr:cNvSpPr>
      </xdr:nvSpPr>
      <xdr:spPr bwMode="auto">
        <a:xfrm>
          <a:off x="1097950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206</xdr:row>
      <xdr:rowOff>173181</xdr:rowOff>
    </xdr:from>
    <xdr:to>
      <xdr:col>25</xdr:col>
      <xdr:colOff>294410</xdr:colOff>
      <xdr:row>207</xdr:row>
      <xdr:rowOff>121226</xdr:rowOff>
    </xdr:to>
    <xdr:sp macro="" textlink="">
      <xdr:nvSpPr>
        <xdr:cNvPr id="3202" name="Freeform 10707">
          <a:extLst>
            <a:ext uri="{FF2B5EF4-FFF2-40B4-BE49-F238E27FC236}">
              <a16:creationId xmlns:a16="http://schemas.microsoft.com/office/drawing/2014/main" id="{A9D0B618-6EBD-40FA-9647-EF208DD6C095}"/>
            </a:ext>
          </a:extLst>
        </xdr:cNvPr>
        <xdr:cNvSpPr>
          <a:spLocks/>
        </xdr:cNvSpPr>
      </xdr:nvSpPr>
      <xdr:spPr bwMode="auto">
        <a:xfrm>
          <a:off x="12015820" y="32192421"/>
          <a:ext cx="1042090" cy="123305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238169</xdr:colOff>
      <xdr:row>65</xdr:row>
      <xdr:rowOff>49</xdr:rowOff>
    </xdr:to>
    <xdr:grpSp>
      <xdr:nvGrpSpPr>
        <xdr:cNvPr id="3203" name="Group 3202">
          <a:extLst>
            <a:ext uri="{FF2B5EF4-FFF2-40B4-BE49-F238E27FC236}">
              <a16:creationId xmlns:a16="http://schemas.microsoft.com/office/drawing/2014/main" id="{284BA262-755C-41B9-AD5E-327D329C1284}"/>
            </a:ext>
          </a:extLst>
        </xdr:cNvPr>
        <xdr:cNvGrpSpPr/>
      </xdr:nvGrpSpPr>
      <xdr:grpSpPr>
        <a:xfrm>
          <a:off x="3837214" y="11919857"/>
          <a:ext cx="238169" cy="353835"/>
          <a:chOff x="6143939" y="789134"/>
          <a:chExt cx="457200" cy="518966"/>
        </a:xfrm>
      </xdr:grpSpPr>
      <xdr:grpSp>
        <xdr:nvGrpSpPr>
          <xdr:cNvPr id="3204" name="Group 3203">
            <a:extLst>
              <a:ext uri="{FF2B5EF4-FFF2-40B4-BE49-F238E27FC236}">
                <a16:creationId xmlns:a16="http://schemas.microsoft.com/office/drawing/2014/main" id="{1A5DB0C2-7C4B-4031-734E-BB04EB7EC75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06" name="Straight Connector 3205">
              <a:extLst>
                <a:ext uri="{FF2B5EF4-FFF2-40B4-BE49-F238E27FC236}">
                  <a16:creationId xmlns:a16="http://schemas.microsoft.com/office/drawing/2014/main" id="{43A5232A-B8BE-B717-AFAB-43A22FD06F9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7" name="Straight Connector 3206">
              <a:extLst>
                <a:ext uri="{FF2B5EF4-FFF2-40B4-BE49-F238E27FC236}">
                  <a16:creationId xmlns:a16="http://schemas.microsoft.com/office/drawing/2014/main" id="{1C2F7519-4872-0CA4-3652-FEC357DAE9A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8" name="Straight Connector 3207">
              <a:extLst>
                <a:ext uri="{FF2B5EF4-FFF2-40B4-BE49-F238E27FC236}">
                  <a16:creationId xmlns:a16="http://schemas.microsoft.com/office/drawing/2014/main" id="{081B09CD-EB04-7083-859F-A8FEE14E773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09" name="Straight Connector 3208">
              <a:extLst>
                <a:ext uri="{FF2B5EF4-FFF2-40B4-BE49-F238E27FC236}">
                  <a16:creationId xmlns:a16="http://schemas.microsoft.com/office/drawing/2014/main" id="{FF1D1502-FAAF-9D37-9013-E10182BE29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0" name="Straight Connector 3209">
              <a:extLst>
                <a:ext uri="{FF2B5EF4-FFF2-40B4-BE49-F238E27FC236}">
                  <a16:creationId xmlns:a16="http://schemas.microsoft.com/office/drawing/2014/main" id="{079BB72D-E807-6398-B983-1FFA369257B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1" name="Straight Connector 3210">
              <a:extLst>
                <a:ext uri="{FF2B5EF4-FFF2-40B4-BE49-F238E27FC236}">
                  <a16:creationId xmlns:a16="http://schemas.microsoft.com/office/drawing/2014/main" id="{440203CC-D479-211B-B510-7BCCCD8726C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05" name="Straight Connector 3204">
            <a:extLst>
              <a:ext uri="{FF2B5EF4-FFF2-40B4-BE49-F238E27FC236}">
                <a16:creationId xmlns:a16="http://schemas.microsoft.com/office/drawing/2014/main" id="{9E748175-EA94-8FE9-6C23-128EB1966A9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63</xdr:row>
      <xdr:rowOff>0</xdr:rowOff>
    </xdr:from>
    <xdr:to>
      <xdr:col>30</xdr:col>
      <xdr:colOff>238169</xdr:colOff>
      <xdr:row>65</xdr:row>
      <xdr:rowOff>48</xdr:rowOff>
    </xdr:to>
    <xdr:grpSp>
      <xdr:nvGrpSpPr>
        <xdr:cNvPr id="3212" name="Group 3211">
          <a:extLst>
            <a:ext uri="{FF2B5EF4-FFF2-40B4-BE49-F238E27FC236}">
              <a16:creationId xmlns:a16="http://schemas.microsoft.com/office/drawing/2014/main" id="{14F27DD8-BB6F-4EDE-9578-8B36B71702A1}"/>
            </a:ext>
          </a:extLst>
        </xdr:cNvPr>
        <xdr:cNvGrpSpPr/>
      </xdr:nvGrpSpPr>
      <xdr:grpSpPr>
        <a:xfrm>
          <a:off x="14777357" y="11919857"/>
          <a:ext cx="238169" cy="353834"/>
          <a:chOff x="6143939" y="789134"/>
          <a:chExt cx="457200" cy="518966"/>
        </a:xfrm>
      </xdr:grpSpPr>
      <xdr:grpSp>
        <xdr:nvGrpSpPr>
          <xdr:cNvPr id="3213" name="Group 3212">
            <a:extLst>
              <a:ext uri="{FF2B5EF4-FFF2-40B4-BE49-F238E27FC236}">
                <a16:creationId xmlns:a16="http://schemas.microsoft.com/office/drawing/2014/main" id="{4FB085FD-2F5E-4FB0-F23D-C84A0BF0B8E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15" name="Straight Connector 3214">
              <a:extLst>
                <a:ext uri="{FF2B5EF4-FFF2-40B4-BE49-F238E27FC236}">
                  <a16:creationId xmlns:a16="http://schemas.microsoft.com/office/drawing/2014/main" id="{D7FA41B7-2C82-F607-BEC1-C231CE41BC3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6" name="Straight Connector 3215">
              <a:extLst>
                <a:ext uri="{FF2B5EF4-FFF2-40B4-BE49-F238E27FC236}">
                  <a16:creationId xmlns:a16="http://schemas.microsoft.com/office/drawing/2014/main" id="{D487FC27-5CA0-B904-55A8-EEF7EADC716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7" name="Straight Connector 3216">
              <a:extLst>
                <a:ext uri="{FF2B5EF4-FFF2-40B4-BE49-F238E27FC236}">
                  <a16:creationId xmlns:a16="http://schemas.microsoft.com/office/drawing/2014/main" id="{D575DB8F-AEAC-7E58-11E1-FB388C9D95A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8" name="Straight Connector 3217">
              <a:extLst>
                <a:ext uri="{FF2B5EF4-FFF2-40B4-BE49-F238E27FC236}">
                  <a16:creationId xmlns:a16="http://schemas.microsoft.com/office/drawing/2014/main" id="{00C46040-5192-F371-581D-2425396A8FC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19" name="Straight Connector 3218">
              <a:extLst>
                <a:ext uri="{FF2B5EF4-FFF2-40B4-BE49-F238E27FC236}">
                  <a16:creationId xmlns:a16="http://schemas.microsoft.com/office/drawing/2014/main" id="{BA871AD6-814F-FD7B-E459-36911A9892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0" name="Straight Connector 3219">
              <a:extLst>
                <a:ext uri="{FF2B5EF4-FFF2-40B4-BE49-F238E27FC236}">
                  <a16:creationId xmlns:a16="http://schemas.microsoft.com/office/drawing/2014/main" id="{B28B9ABB-59E1-5358-0EFD-4C9277B7BF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14" name="Straight Connector 3213">
            <a:extLst>
              <a:ext uri="{FF2B5EF4-FFF2-40B4-BE49-F238E27FC236}">
                <a16:creationId xmlns:a16="http://schemas.microsoft.com/office/drawing/2014/main" id="{97C498D1-68C3-F1B9-C948-5C436F789F6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238169</xdr:colOff>
      <xdr:row>65</xdr:row>
      <xdr:rowOff>49</xdr:rowOff>
    </xdr:to>
    <xdr:grpSp>
      <xdr:nvGrpSpPr>
        <xdr:cNvPr id="3221" name="Group 3220">
          <a:extLst>
            <a:ext uri="{FF2B5EF4-FFF2-40B4-BE49-F238E27FC236}">
              <a16:creationId xmlns:a16="http://schemas.microsoft.com/office/drawing/2014/main" id="{26B215D4-FAFE-4399-BE75-BB1CBF24FC5E}"/>
            </a:ext>
          </a:extLst>
        </xdr:cNvPr>
        <xdr:cNvGrpSpPr/>
      </xdr:nvGrpSpPr>
      <xdr:grpSpPr>
        <a:xfrm>
          <a:off x="857250" y="11919857"/>
          <a:ext cx="238169" cy="353835"/>
          <a:chOff x="6143939" y="789134"/>
          <a:chExt cx="457200" cy="518966"/>
        </a:xfrm>
      </xdr:grpSpPr>
      <xdr:grpSp>
        <xdr:nvGrpSpPr>
          <xdr:cNvPr id="3222" name="Group 3221">
            <a:extLst>
              <a:ext uri="{FF2B5EF4-FFF2-40B4-BE49-F238E27FC236}">
                <a16:creationId xmlns:a16="http://schemas.microsoft.com/office/drawing/2014/main" id="{5C931889-D652-9697-5CFF-7B43918582A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24" name="Straight Connector 3223">
              <a:extLst>
                <a:ext uri="{FF2B5EF4-FFF2-40B4-BE49-F238E27FC236}">
                  <a16:creationId xmlns:a16="http://schemas.microsoft.com/office/drawing/2014/main" id="{46E552BF-2624-785D-F85E-27E67136878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5" name="Straight Connector 3224">
              <a:extLst>
                <a:ext uri="{FF2B5EF4-FFF2-40B4-BE49-F238E27FC236}">
                  <a16:creationId xmlns:a16="http://schemas.microsoft.com/office/drawing/2014/main" id="{FFA9D621-D2B8-E79E-0C07-3C98E6A1D0C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6" name="Straight Connector 3225">
              <a:extLst>
                <a:ext uri="{FF2B5EF4-FFF2-40B4-BE49-F238E27FC236}">
                  <a16:creationId xmlns:a16="http://schemas.microsoft.com/office/drawing/2014/main" id="{D9907214-37EA-E352-7861-3A3957341D07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7" name="Straight Connector 3226">
              <a:extLst>
                <a:ext uri="{FF2B5EF4-FFF2-40B4-BE49-F238E27FC236}">
                  <a16:creationId xmlns:a16="http://schemas.microsoft.com/office/drawing/2014/main" id="{B43EDC57-A90C-55AC-5A20-4BD92323CD0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8" name="Straight Connector 3227">
              <a:extLst>
                <a:ext uri="{FF2B5EF4-FFF2-40B4-BE49-F238E27FC236}">
                  <a16:creationId xmlns:a16="http://schemas.microsoft.com/office/drawing/2014/main" id="{AB4EF594-6394-3617-29AD-E897B22EA8C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29" name="Straight Connector 3228">
              <a:extLst>
                <a:ext uri="{FF2B5EF4-FFF2-40B4-BE49-F238E27FC236}">
                  <a16:creationId xmlns:a16="http://schemas.microsoft.com/office/drawing/2014/main" id="{C3B59638-6FAB-BAB2-1E85-8F9F13067BC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23" name="Straight Connector 3222">
            <a:extLst>
              <a:ext uri="{FF2B5EF4-FFF2-40B4-BE49-F238E27FC236}">
                <a16:creationId xmlns:a16="http://schemas.microsoft.com/office/drawing/2014/main" id="{AB0BA709-563C-0DB8-9622-87B3F31E259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0</xdr:colOff>
      <xdr:row>50</xdr:row>
      <xdr:rowOff>0</xdr:rowOff>
    </xdr:from>
    <xdr:to>
      <xdr:col>2</xdr:col>
      <xdr:colOff>238169</xdr:colOff>
      <xdr:row>52</xdr:row>
      <xdr:rowOff>48</xdr:rowOff>
    </xdr:to>
    <xdr:grpSp>
      <xdr:nvGrpSpPr>
        <xdr:cNvPr id="3230" name="Group 3229">
          <a:extLst>
            <a:ext uri="{FF2B5EF4-FFF2-40B4-BE49-F238E27FC236}">
              <a16:creationId xmlns:a16="http://schemas.microsoft.com/office/drawing/2014/main" id="{74A68D3A-1063-40EE-9C57-4849C5931025}"/>
            </a:ext>
          </a:extLst>
        </xdr:cNvPr>
        <xdr:cNvGrpSpPr/>
      </xdr:nvGrpSpPr>
      <xdr:grpSpPr>
        <a:xfrm>
          <a:off x="857250" y="9620250"/>
          <a:ext cx="238169" cy="353834"/>
          <a:chOff x="6143939" y="789134"/>
          <a:chExt cx="457200" cy="518966"/>
        </a:xfrm>
      </xdr:grpSpPr>
      <xdr:grpSp>
        <xdr:nvGrpSpPr>
          <xdr:cNvPr id="3231" name="Group 3230">
            <a:extLst>
              <a:ext uri="{FF2B5EF4-FFF2-40B4-BE49-F238E27FC236}">
                <a16:creationId xmlns:a16="http://schemas.microsoft.com/office/drawing/2014/main" id="{C0B6B479-E9C9-4CEF-84D8-C475E44E847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33" name="Straight Connector 3232">
              <a:extLst>
                <a:ext uri="{FF2B5EF4-FFF2-40B4-BE49-F238E27FC236}">
                  <a16:creationId xmlns:a16="http://schemas.microsoft.com/office/drawing/2014/main" id="{D8878917-5C63-316D-7174-87641DA1561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4" name="Straight Connector 3233">
              <a:extLst>
                <a:ext uri="{FF2B5EF4-FFF2-40B4-BE49-F238E27FC236}">
                  <a16:creationId xmlns:a16="http://schemas.microsoft.com/office/drawing/2014/main" id="{C1B86179-5BC0-5A54-0010-45E34CA8007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5" name="Straight Connector 3234">
              <a:extLst>
                <a:ext uri="{FF2B5EF4-FFF2-40B4-BE49-F238E27FC236}">
                  <a16:creationId xmlns:a16="http://schemas.microsoft.com/office/drawing/2014/main" id="{C68C6ED5-F345-5778-E32B-715DB34FD5C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6" name="Straight Connector 3235">
              <a:extLst>
                <a:ext uri="{FF2B5EF4-FFF2-40B4-BE49-F238E27FC236}">
                  <a16:creationId xmlns:a16="http://schemas.microsoft.com/office/drawing/2014/main" id="{192F554A-C2EF-FC30-0A27-35E0A80BC9C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7" name="Straight Connector 3236">
              <a:extLst>
                <a:ext uri="{FF2B5EF4-FFF2-40B4-BE49-F238E27FC236}">
                  <a16:creationId xmlns:a16="http://schemas.microsoft.com/office/drawing/2014/main" id="{1A8AF04D-E1B7-A4A9-9E0A-1918596638A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38" name="Straight Connector 3237">
              <a:extLst>
                <a:ext uri="{FF2B5EF4-FFF2-40B4-BE49-F238E27FC236}">
                  <a16:creationId xmlns:a16="http://schemas.microsoft.com/office/drawing/2014/main" id="{3829D3A0-BF63-E3C3-4806-4B4CCAEF724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32" name="Straight Connector 3231">
            <a:extLst>
              <a:ext uri="{FF2B5EF4-FFF2-40B4-BE49-F238E27FC236}">
                <a16:creationId xmlns:a16="http://schemas.microsoft.com/office/drawing/2014/main" id="{8B90C363-1B72-DB33-6B57-0DDB2B698D17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63</xdr:row>
      <xdr:rowOff>0</xdr:rowOff>
    </xdr:from>
    <xdr:to>
      <xdr:col>22</xdr:col>
      <xdr:colOff>238169</xdr:colOff>
      <xdr:row>65</xdr:row>
      <xdr:rowOff>49</xdr:rowOff>
    </xdr:to>
    <xdr:grpSp>
      <xdr:nvGrpSpPr>
        <xdr:cNvPr id="3239" name="Group 3238">
          <a:extLst>
            <a:ext uri="{FF2B5EF4-FFF2-40B4-BE49-F238E27FC236}">
              <a16:creationId xmlns:a16="http://schemas.microsoft.com/office/drawing/2014/main" id="{7315FEEB-5C94-444D-8748-40467A4AA7A2}"/>
            </a:ext>
          </a:extLst>
        </xdr:cNvPr>
        <xdr:cNvGrpSpPr/>
      </xdr:nvGrpSpPr>
      <xdr:grpSpPr>
        <a:xfrm>
          <a:off x="10804071" y="11919857"/>
          <a:ext cx="238169" cy="353835"/>
          <a:chOff x="6143939" y="789134"/>
          <a:chExt cx="457200" cy="518966"/>
        </a:xfrm>
      </xdr:grpSpPr>
      <xdr:grpSp>
        <xdr:nvGrpSpPr>
          <xdr:cNvPr id="3240" name="Group 3239">
            <a:extLst>
              <a:ext uri="{FF2B5EF4-FFF2-40B4-BE49-F238E27FC236}">
                <a16:creationId xmlns:a16="http://schemas.microsoft.com/office/drawing/2014/main" id="{573953E0-6A3C-5C66-8DC5-1906FAF063C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42" name="Straight Connector 3241">
              <a:extLst>
                <a:ext uri="{FF2B5EF4-FFF2-40B4-BE49-F238E27FC236}">
                  <a16:creationId xmlns:a16="http://schemas.microsoft.com/office/drawing/2014/main" id="{654AA3BF-1761-8217-7739-31F75539D30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3" name="Straight Connector 3242">
              <a:extLst>
                <a:ext uri="{FF2B5EF4-FFF2-40B4-BE49-F238E27FC236}">
                  <a16:creationId xmlns:a16="http://schemas.microsoft.com/office/drawing/2014/main" id="{6885F500-4BED-CEFA-F3BB-C5A34E15BCA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4" name="Straight Connector 3243">
              <a:extLst>
                <a:ext uri="{FF2B5EF4-FFF2-40B4-BE49-F238E27FC236}">
                  <a16:creationId xmlns:a16="http://schemas.microsoft.com/office/drawing/2014/main" id="{22EA9B40-181F-8C17-143F-C3AFE35D5C7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5" name="Straight Connector 3244">
              <a:extLst>
                <a:ext uri="{FF2B5EF4-FFF2-40B4-BE49-F238E27FC236}">
                  <a16:creationId xmlns:a16="http://schemas.microsoft.com/office/drawing/2014/main" id="{84C54958-324B-02C5-DCBE-BE30E9446D1E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6" name="Straight Connector 3245">
              <a:extLst>
                <a:ext uri="{FF2B5EF4-FFF2-40B4-BE49-F238E27FC236}">
                  <a16:creationId xmlns:a16="http://schemas.microsoft.com/office/drawing/2014/main" id="{959F1B41-4568-65F5-0139-A2F293F0AB2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47" name="Straight Connector 3246">
              <a:extLst>
                <a:ext uri="{FF2B5EF4-FFF2-40B4-BE49-F238E27FC236}">
                  <a16:creationId xmlns:a16="http://schemas.microsoft.com/office/drawing/2014/main" id="{394B6803-136E-7CFF-02E7-36763559097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41" name="Straight Connector 3240">
            <a:extLst>
              <a:ext uri="{FF2B5EF4-FFF2-40B4-BE49-F238E27FC236}">
                <a16:creationId xmlns:a16="http://schemas.microsoft.com/office/drawing/2014/main" id="{BAFE222A-011D-8029-CE26-6477AD93FE0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6332</xdr:colOff>
      <xdr:row>51</xdr:row>
      <xdr:rowOff>29051</xdr:rowOff>
    </xdr:from>
    <xdr:to>
      <xdr:col>14</xdr:col>
      <xdr:colOff>244501</xdr:colOff>
      <xdr:row>53</xdr:row>
      <xdr:rowOff>22432</xdr:rowOff>
    </xdr:to>
    <xdr:grpSp>
      <xdr:nvGrpSpPr>
        <xdr:cNvPr id="3248" name="Group 3247">
          <a:extLst>
            <a:ext uri="{FF2B5EF4-FFF2-40B4-BE49-F238E27FC236}">
              <a16:creationId xmlns:a16="http://schemas.microsoft.com/office/drawing/2014/main" id="{1698EA92-A3F8-4EB3-A995-F6F09A334EDC}"/>
            </a:ext>
          </a:extLst>
        </xdr:cNvPr>
        <xdr:cNvGrpSpPr/>
      </xdr:nvGrpSpPr>
      <xdr:grpSpPr>
        <a:xfrm>
          <a:off x="6823511" y="9826194"/>
          <a:ext cx="238169" cy="347167"/>
          <a:chOff x="6143939" y="789134"/>
          <a:chExt cx="457200" cy="518966"/>
        </a:xfrm>
      </xdr:grpSpPr>
      <xdr:grpSp>
        <xdr:nvGrpSpPr>
          <xdr:cNvPr id="3249" name="Group 3248">
            <a:extLst>
              <a:ext uri="{FF2B5EF4-FFF2-40B4-BE49-F238E27FC236}">
                <a16:creationId xmlns:a16="http://schemas.microsoft.com/office/drawing/2014/main" id="{0102DDDB-5C5C-6F11-4BD9-284213A1893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51" name="Straight Connector 3250">
              <a:extLst>
                <a:ext uri="{FF2B5EF4-FFF2-40B4-BE49-F238E27FC236}">
                  <a16:creationId xmlns:a16="http://schemas.microsoft.com/office/drawing/2014/main" id="{57A4F5D3-A99D-488D-5641-25464094FDE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2" name="Straight Connector 3251">
              <a:extLst>
                <a:ext uri="{FF2B5EF4-FFF2-40B4-BE49-F238E27FC236}">
                  <a16:creationId xmlns:a16="http://schemas.microsoft.com/office/drawing/2014/main" id="{50A6878F-67C0-550B-E982-6B35595DD42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3" name="Straight Connector 3252">
              <a:extLst>
                <a:ext uri="{FF2B5EF4-FFF2-40B4-BE49-F238E27FC236}">
                  <a16:creationId xmlns:a16="http://schemas.microsoft.com/office/drawing/2014/main" id="{41F704B2-BDAB-7891-5F41-0AC1D166268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4" name="Straight Connector 3253">
              <a:extLst>
                <a:ext uri="{FF2B5EF4-FFF2-40B4-BE49-F238E27FC236}">
                  <a16:creationId xmlns:a16="http://schemas.microsoft.com/office/drawing/2014/main" id="{F27B5577-30D8-162D-B47C-B42B40E4082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5" name="Straight Connector 3254">
              <a:extLst>
                <a:ext uri="{FF2B5EF4-FFF2-40B4-BE49-F238E27FC236}">
                  <a16:creationId xmlns:a16="http://schemas.microsoft.com/office/drawing/2014/main" id="{95B75C22-5155-6890-575D-B2F0A40D665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56" name="Straight Connector 3255">
              <a:extLst>
                <a:ext uri="{FF2B5EF4-FFF2-40B4-BE49-F238E27FC236}">
                  <a16:creationId xmlns:a16="http://schemas.microsoft.com/office/drawing/2014/main" id="{56DA077D-FAA9-A171-846E-C1472AF90A5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0" name="Straight Connector 3249">
            <a:extLst>
              <a:ext uri="{FF2B5EF4-FFF2-40B4-BE49-F238E27FC236}">
                <a16:creationId xmlns:a16="http://schemas.microsoft.com/office/drawing/2014/main" id="{6A1B5AC5-595C-6195-54C0-16A62536601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8</xdr:colOff>
      <xdr:row>75</xdr:row>
      <xdr:rowOff>153547</xdr:rowOff>
    </xdr:from>
    <xdr:to>
      <xdr:col>24</xdr:col>
      <xdr:colOff>238177</xdr:colOff>
      <xdr:row>77</xdr:row>
      <xdr:rowOff>146929</xdr:rowOff>
    </xdr:to>
    <xdr:grpSp>
      <xdr:nvGrpSpPr>
        <xdr:cNvPr id="3257" name="Group 3256">
          <a:extLst>
            <a:ext uri="{FF2B5EF4-FFF2-40B4-BE49-F238E27FC236}">
              <a16:creationId xmlns:a16="http://schemas.microsoft.com/office/drawing/2014/main" id="{0F124C34-C353-407D-BA9C-81B547CA3100}"/>
            </a:ext>
          </a:extLst>
        </xdr:cNvPr>
        <xdr:cNvGrpSpPr/>
      </xdr:nvGrpSpPr>
      <xdr:grpSpPr>
        <a:xfrm>
          <a:off x="11797401" y="14196118"/>
          <a:ext cx="238169" cy="347168"/>
          <a:chOff x="6143939" y="789134"/>
          <a:chExt cx="457200" cy="518966"/>
        </a:xfrm>
      </xdr:grpSpPr>
      <xdr:grpSp>
        <xdr:nvGrpSpPr>
          <xdr:cNvPr id="3258" name="Group 3257">
            <a:extLst>
              <a:ext uri="{FF2B5EF4-FFF2-40B4-BE49-F238E27FC236}">
                <a16:creationId xmlns:a16="http://schemas.microsoft.com/office/drawing/2014/main" id="{F72D8628-A338-108B-BB0D-AC671F5D87B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0" name="Straight Connector 3259">
              <a:extLst>
                <a:ext uri="{FF2B5EF4-FFF2-40B4-BE49-F238E27FC236}">
                  <a16:creationId xmlns:a16="http://schemas.microsoft.com/office/drawing/2014/main" id="{1D02441C-CC5E-FCF1-B147-0E3F82C4A19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1" name="Straight Connector 3260">
              <a:extLst>
                <a:ext uri="{FF2B5EF4-FFF2-40B4-BE49-F238E27FC236}">
                  <a16:creationId xmlns:a16="http://schemas.microsoft.com/office/drawing/2014/main" id="{3D12D6A1-AFCB-325D-F053-B0D19AF5BAB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2" name="Straight Connector 3261">
              <a:extLst>
                <a:ext uri="{FF2B5EF4-FFF2-40B4-BE49-F238E27FC236}">
                  <a16:creationId xmlns:a16="http://schemas.microsoft.com/office/drawing/2014/main" id="{5A7BDB94-3A32-6780-954D-6BB8E847343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3" name="Straight Connector 3262">
              <a:extLst>
                <a:ext uri="{FF2B5EF4-FFF2-40B4-BE49-F238E27FC236}">
                  <a16:creationId xmlns:a16="http://schemas.microsoft.com/office/drawing/2014/main" id="{B98A18DC-AD88-6311-4C67-B6F13017CF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4" name="Straight Connector 3263">
              <a:extLst>
                <a:ext uri="{FF2B5EF4-FFF2-40B4-BE49-F238E27FC236}">
                  <a16:creationId xmlns:a16="http://schemas.microsoft.com/office/drawing/2014/main" id="{A8A61AA9-CAFA-6DFA-0147-7D42B609C34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65" name="Straight Connector 3264">
              <a:extLst>
                <a:ext uri="{FF2B5EF4-FFF2-40B4-BE49-F238E27FC236}">
                  <a16:creationId xmlns:a16="http://schemas.microsoft.com/office/drawing/2014/main" id="{6FAE4FB6-D678-91CA-5978-599897A29AA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59" name="Straight Connector 3258">
            <a:extLst>
              <a:ext uri="{FF2B5EF4-FFF2-40B4-BE49-F238E27FC236}">
                <a16:creationId xmlns:a16="http://schemas.microsoft.com/office/drawing/2014/main" id="{C8253606-DEF9-96B8-5E62-5D89715B3AF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0</xdr:colOff>
      <xdr:row>199</xdr:row>
      <xdr:rowOff>0</xdr:rowOff>
    </xdr:from>
    <xdr:to>
      <xdr:col>30</xdr:col>
      <xdr:colOff>238169</xdr:colOff>
      <xdr:row>201</xdr:row>
      <xdr:rowOff>49</xdr:rowOff>
    </xdr:to>
    <xdr:grpSp>
      <xdr:nvGrpSpPr>
        <xdr:cNvPr id="3266" name="Group 3265">
          <a:extLst>
            <a:ext uri="{FF2B5EF4-FFF2-40B4-BE49-F238E27FC236}">
              <a16:creationId xmlns:a16="http://schemas.microsoft.com/office/drawing/2014/main" id="{7DCB81EE-9ED8-40B7-9A55-4AD728F4798B}"/>
            </a:ext>
          </a:extLst>
        </xdr:cNvPr>
        <xdr:cNvGrpSpPr/>
      </xdr:nvGrpSpPr>
      <xdr:grpSpPr>
        <a:xfrm>
          <a:off x="14777357" y="35841214"/>
          <a:ext cx="238169" cy="353835"/>
          <a:chOff x="6143939" y="789134"/>
          <a:chExt cx="457200" cy="518966"/>
        </a:xfrm>
      </xdr:grpSpPr>
      <xdr:grpSp>
        <xdr:nvGrpSpPr>
          <xdr:cNvPr id="3267" name="Group 3266">
            <a:extLst>
              <a:ext uri="{FF2B5EF4-FFF2-40B4-BE49-F238E27FC236}">
                <a16:creationId xmlns:a16="http://schemas.microsoft.com/office/drawing/2014/main" id="{EC810E2C-C81F-B2D6-8ADB-6B7EED4C03E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69" name="Straight Connector 3268">
              <a:extLst>
                <a:ext uri="{FF2B5EF4-FFF2-40B4-BE49-F238E27FC236}">
                  <a16:creationId xmlns:a16="http://schemas.microsoft.com/office/drawing/2014/main" id="{8A263D7F-A7D1-274B-D8F9-8F06CFBAFE9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0" name="Straight Connector 3269">
              <a:extLst>
                <a:ext uri="{FF2B5EF4-FFF2-40B4-BE49-F238E27FC236}">
                  <a16:creationId xmlns:a16="http://schemas.microsoft.com/office/drawing/2014/main" id="{56274FFD-4CD4-7CED-4787-24339EB5677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1" name="Straight Connector 3270">
              <a:extLst>
                <a:ext uri="{FF2B5EF4-FFF2-40B4-BE49-F238E27FC236}">
                  <a16:creationId xmlns:a16="http://schemas.microsoft.com/office/drawing/2014/main" id="{77616639-97A3-6460-5E23-9387FDE277E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2" name="Straight Connector 3271">
              <a:extLst>
                <a:ext uri="{FF2B5EF4-FFF2-40B4-BE49-F238E27FC236}">
                  <a16:creationId xmlns:a16="http://schemas.microsoft.com/office/drawing/2014/main" id="{B4DDEA13-F3A7-A05C-4C9D-492D329600A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3" name="Straight Connector 3272">
              <a:extLst>
                <a:ext uri="{FF2B5EF4-FFF2-40B4-BE49-F238E27FC236}">
                  <a16:creationId xmlns:a16="http://schemas.microsoft.com/office/drawing/2014/main" id="{FFDC707A-2A1A-1B3D-D44E-FD8FE455CA3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4" name="Straight Connector 3273">
              <a:extLst>
                <a:ext uri="{FF2B5EF4-FFF2-40B4-BE49-F238E27FC236}">
                  <a16:creationId xmlns:a16="http://schemas.microsoft.com/office/drawing/2014/main" id="{32128C73-711F-203A-7CA6-0E5F6961079D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68" name="Straight Connector 3267">
            <a:extLst>
              <a:ext uri="{FF2B5EF4-FFF2-40B4-BE49-F238E27FC236}">
                <a16:creationId xmlns:a16="http://schemas.microsoft.com/office/drawing/2014/main" id="{918B804A-00EE-E3D1-9493-5618E594D9E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0</xdr:colOff>
      <xdr:row>62</xdr:row>
      <xdr:rowOff>127635</xdr:rowOff>
    </xdr:from>
    <xdr:to>
      <xdr:col>26</xdr:col>
      <xdr:colOff>238169</xdr:colOff>
      <xdr:row>65</xdr:row>
      <xdr:rowOff>1954</xdr:rowOff>
    </xdr:to>
    <xdr:grpSp>
      <xdr:nvGrpSpPr>
        <xdr:cNvPr id="3275" name="Group 3274">
          <a:extLst>
            <a:ext uri="{FF2B5EF4-FFF2-40B4-BE49-F238E27FC236}">
              <a16:creationId xmlns:a16="http://schemas.microsoft.com/office/drawing/2014/main" id="{9173E28B-C887-444B-8545-74857BD5FA5F}"/>
            </a:ext>
          </a:extLst>
        </xdr:cNvPr>
        <xdr:cNvGrpSpPr/>
      </xdr:nvGrpSpPr>
      <xdr:grpSpPr>
        <a:xfrm>
          <a:off x="12790714" y="11870599"/>
          <a:ext cx="238169" cy="404998"/>
          <a:chOff x="6143939" y="789134"/>
          <a:chExt cx="457200" cy="518966"/>
        </a:xfrm>
      </xdr:grpSpPr>
      <xdr:grpSp>
        <xdr:nvGrpSpPr>
          <xdr:cNvPr id="3276" name="Group 3275">
            <a:extLst>
              <a:ext uri="{FF2B5EF4-FFF2-40B4-BE49-F238E27FC236}">
                <a16:creationId xmlns:a16="http://schemas.microsoft.com/office/drawing/2014/main" id="{598DEDBD-5578-A988-ABBA-39FD04C0BA9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78" name="Straight Connector 3277">
              <a:extLst>
                <a:ext uri="{FF2B5EF4-FFF2-40B4-BE49-F238E27FC236}">
                  <a16:creationId xmlns:a16="http://schemas.microsoft.com/office/drawing/2014/main" id="{7DC3DF10-7973-59A7-B0C5-B5F637AD19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79" name="Straight Connector 3278">
              <a:extLst>
                <a:ext uri="{FF2B5EF4-FFF2-40B4-BE49-F238E27FC236}">
                  <a16:creationId xmlns:a16="http://schemas.microsoft.com/office/drawing/2014/main" id="{A90EF5C1-6360-DEE3-4A07-B69AE61EEA5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0" name="Straight Connector 3279">
              <a:extLst>
                <a:ext uri="{FF2B5EF4-FFF2-40B4-BE49-F238E27FC236}">
                  <a16:creationId xmlns:a16="http://schemas.microsoft.com/office/drawing/2014/main" id="{7304AE9A-4E37-95A2-C186-0F1F8C3E856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1" name="Straight Connector 3280">
              <a:extLst>
                <a:ext uri="{FF2B5EF4-FFF2-40B4-BE49-F238E27FC236}">
                  <a16:creationId xmlns:a16="http://schemas.microsoft.com/office/drawing/2014/main" id="{1B5E4124-F9ED-8313-E4C4-5C4CD78CBA3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2" name="Straight Connector 3281">
              <a:extLst>
                <a:ext uri="{FF2B5EF4-FFF2-40B4-BE49-F238E27FC236}">
                  <a16:creationId xmlns:a16="http://schemas.microsoft.com/office/drawing/2014/main" id="{6648C4B6-F046-3DBE-1D6C-60F75798BBF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3" name="Straight Connector 3282">
              <a:extLst>
                <a:ext uri="{FF2B5EF4-FFF2-40B4-BE49-F238E27FC236}">
                  <a16:creationId xmlns:a16="http://schemas.microsoft.com/office/drawing/2014/main" id="{E50BDF2A-2359-EB88-49DB-25CA80DD0085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77" name="Straight Connector 3276">
            <a:extLst>
              <a:ext uri="{FF2B5EF4-FFF2-40B4-BE49-F238E27FC236}">
                <a16:creationId xmlns:a16="http://schemas.microsoft.com/office/drawing/2014/main" id="{CA2F76D5-7323-DD9D-DA9F-078DD360A39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0</xdr:colOff>
      <xdr:row>75</xdr:row>
      <xdr:rowOff>0</xdr:rowOff>
    </xdr:from>
    <xdr:to>
      <xdr:col>8</xdr:col>
      <xdr:colOff>238169</xdr:colOff>
      <xdr:row>77</xdr:row>
      <xdr:rowOff>49</xdr:rowOff>
    </xdr:to>
    <xdr:grpSp>
      <xdr:nvGrpSpPr>
        <xdr:cNvPr id="3284" name="Group 3283">
          <a:extLst>
            <a:ext uri="{FF2B5EF4-FFF2-40B4-BE49-F238E27FC236}">
              <a16:creationId xmlns:a16="http://schemas.microsoft.com/office/drawing/2014/main" id="{DF448254-2BC7-446D-B8DE-2AC2821B22DF}"/>
            </a:ext>
          </a:extLst>
        </xdr:cNvPr>
        <xdr:cNvGrpSpPr/>
      </xdr:nvGrpSpPr>
      <xdr:grpSpPr>
        <a:xfrm>
          <a:off x="3837214" y="14042571"/>
          <a:ext cx="238169" cy="353835"/>
          <a:chOff x="6143939" y="789134"/>
          <a:chExt cx="457200" cy="518966"/>
        </a:xfrm>
      </xdr:grpSpPr>
      <xdr:grpSp>
        <xdr:nvGrpSpPr>
          <xdr:cNvPr id="3285" name="Group 3284">
            <a:extLst>
              <a:ext uri="{FF2B5EF4-FFF2-40B4-BE49-F238E27FC236}">
                <a16:creationId xmlns:a16="http://schemas.microsoft.com/office/drawing/2014/main" id="{D64E1BBA-429B-5C60-33C0-F347D8BA08A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87" name="Straight Connector 3286">
              <a:extLst>
                <a:ext uri="{FF2B5EF4-FFF2-40B4-BE49-F238E27FC236}">
                  <a16:creationId xmlns:a16="http://schemas.microsoft.com/office/drawing/2014/main" id="{A558160B-94CA-2BF7-C686-E6F07D4F3A0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8" name="Straight Connector 3287">
              <a:extLst>
                <a:ext uri="{FF2B5EF4-FFF2-40B4-BE49-F238E27FC236}">
                  <a16:creationId xmlns:a16="http://schemas.microsoft.com/office/drawing/2014/main" id="{1DF0F273-86FA-004E-5144-3C860C71BF2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89" name="Straight Connector 3288">
              <a:extLst>
                <a:ext uri="{FF2B5EF4-FFF2-40B4-BE49-F238E27FC236}">
                  <a16:creationId xmlns:a16="http://schemas.microsoft.com/office/drawing/2014/main" id="{4EEB50FF-B8B0-084E-2967-81BDC205611C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0" name="Straight Connector 3289">
              <a:extLst>
                <a:ext uri="{FF2B5EF4-FFF2-40B4-BE49-F238E27FC236}">
                  <a16:creationId xmlns:a16="http://schemas.microsoft.com/office/drawing/2014/main" id="{B86ED325-9261-FF17-CEA5-0130F8F2E5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1" name="Straight Connector 3290">
              <a:extLst>
                <a:ext uri="{FF2B5EF4-FFF2-40B4-BE49-F238E27FC236}">
                  <a16:creationId xmlns:a16="http://schemas.microsoft.com/office/drawing/2014/main" id="{8C1A9614-6982-2F1D-FCD0-081BCFC07F5C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2" name="Straight Connector 3291">
              <a:extLst>
                <a:ext uri="{FF2B5EF4-FFF2-40B4-BE49-F238E27FC236}">
                  <a16:creationId xmlns:a16="http://schemas.microsoft.com/office/drawing/2014/main" id="{1A898255-0144-A013-19D0-D1B15F46CB2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6AEBBDF0-DA67-4C8F-3E4C-5CBB5984FC3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0</xdr:colOff>
      <xdr:row>50</xdr:row>
      <xdr:rowOff>107154</xdr:rowOff>
    </xdr:from>
    <xdr:to>
      <xdr:col>20</xdr:col>
      <xdr:colOff>238169</xdr:colOff>
      <xdr:row>52</xdr:row>
      <xdr:rowOff>100535</xdr:rowOff>
    </xdr:to>
    <xdr:grpSp>
      <xdr:nvGrpSpPr>
        <xdr:cNvPr id="3293" name="Group 3292">
          <a:extLst>
            <a:ext uri="{FF2B5EF4-FFF2-40B4-BE49-F238E27FC236}">
              <a16:creationId xmlns:a16="http://schemas.microsoft.com/office/drawing/2014/main" id="{600E2C4D-889E-40C4-9A91-D0CB0279BCBD}"/>
            </a:ext>
          </a:extLst>
        </xdr:cNvPr>
        <xdr:cNvGrpSpPr/>
      </xdr:nvGrpSpPr>
      <xdr:grpSpPr>
        <a:xfrm>
          <a:off x="9810750" y="9727404"/>
          <a:ext cx="238169" cy="347167"/>
          <a:chOff x="6143939" y="789134"/>
          <a:chExt cx="457200" cy="518966"/>
        </a:xfrm>
      </xdr:grpSpPr>
      <xdr:grpSp>
        <xdr:nvGrpSpPr>
          <xdr:cNvPr id="3294" name="Group 3293">
            <a:extLst>
              <a:ext uri="{FF2B5EF4-FFF2-40B4-BE49-F238E27FC236}">
                <a16:creationId xmlns:a16="http://schemas.microsoft.com/office/drawing/2014/main" id="{E85C16B4-386D-D5AD-B96E-D44223A7AC0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96" name="Straight Connector 3295">
              <a:extLst>
                <a:ext uri="{FF2B5EF4-FFF2-40B4-BE49-F238E27FC236}">
                  <a16:creationId xmlns:a16="http://schemas.microsoft.com/office/drawing/2014/main" id="{520CC407-3A34-165C-651F-E3FF2F5DCD2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7" name="Straight Connector 3296">
              <a:extLst>
                <a:ext uri="{FF2B5EF4-FFF2-40B4-BE49-F238E27FC236}">
                  <a16:creationId xmlns:a16="http://schemas.microsoft.com/office/drawing/2014/main" id="{945E90F8-00A5-CC35-DE76-602748F82D72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8" name="Straight Connector 3297">
              <a:extLst>
                <a:ext uri="{FF2B5EF4-FFF2-40B4-BE49-F238E27FC236}">
                  <a16:creationId xmlns:a16="http://schemas.microsoft.com/office/drawing/2014/main" id="{75B93988-808E-CC3C-3EFD-94676B95F11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299" name="Straight Connector 3298">
              <a:extLst>
                <a:ext uri="{FF2B5EF4-FFF2-40B4-BE49-F238E27FC236}">
                  <a16:creationId xmlns:a16="http://schemas.microsoft.com/office/drawing/2014/main" id="{1CFACD1C-A313-AA3C-4940-BD86BF7EA10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0" name="Straight Connector 3299">
              <a:extLst>
                <a:ext uri="{FF2B5EF4-FFF2-40B4-BE49-F238E27FC236}">
                  <a16:creationId xmlns:a16="http://schemas.microsoft.com/office/drawing/2014/main" id="{433A42AC-F0FC-A910-FA6C-82152F2EEE0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1" name="Straight Connector 3300">
              <a:extLst>
                <a:ext uri="{FF2B5EF4-FFF2-40B4-BE49-F238E27FC236}">
                  <a16:creationId xmlns:a16="http://schemas.microsoft.com/office/drawing/2014/main" id="{7D35E0E0-7293-0210-F594-7B58EC9B67D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295" name="Straight Connector 3294">
            <a:extLst>
              <a:ext uri="{FF2B5EF4-FFF2-40B4-BE49-F238E27FC236}">
                <a16:creationId xmlns:a16="http://schemas.microsoft.com/office/drawing/2014/main" id="{D1BFEAC1-1174-73CF-EE9F-FF1F2BA0DBB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51</xdr:row>
      <xdr:rowOff>156420</xdr:rowOff>
    </xdr:from>
    <xdr:to>
      <xdr:col>28</xdr:col>
      <xdr:colOff>238169</xdr:colOff>
      <xdr:row>53</xdr:row>
      <xdr:rowOff>149801</xdr:rowOff>
    </xdr:to>
    <xdr:grpSp>
      <xdr:nvGrpSpPr>
        <xdr:cNvPr id="3302" name="Group 3301">
          <a:extLst>
            <a:ext uri="{FF2B5EF4-FFF2-40B4-BE49-F238E27FC236}">
              <a16:creationId xmlns:a16="http://schemas.microsoft.com/office/drawing/2014/main" id="{B9B379B8-1A84-4FB9-97BC-05530858BBD3}"/>
            </a:ext>
          </a:extLst>
        </xdr:cNvPr>
        <xdr:cNvGrpSpPr/>
      </xdr:nvGrpSpPr>
      <xdr:grpSpPr>
        <a:xfrm>
          <a:off x="13784036" y="9953563"/>
          <a:ext cx="238169" cy="347167"/>
          <a:chOff x="6143939" y="789134"/>
          <a:chExt cx="457200" cy="518966"/>
        </a:xfrm>
      </xdr:grpSpPr>
      <xdr:grpSp>
        <xdr:nvGrpSpPr>
          <xdr:cNvPr id="3303" name="Group 3302">
            <a:extLst>
              <a:ext uri="{FF2B5EF4-FFF2-40B4-BE49-F238E27FC236}">
                <a16:creationId xmlns:a16="http://schemas.microsoft.com/office/drawing/2014/main" id="{E4CFDFD9-4A22-50C8-9044-E5C7186F7C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05" name="Straight Connector 3304">
              <a:extLst>
                <a:ext uri="{FF2B5EF4-FFF2-40B4-BE49-F238E27FC236}">
                  <a16:creationId xmlns:a16="http://schemas.microsoft.com/office/drawing/2014/main" id="{26263E06-05DD-B0FA-9DE5-48EBD7F73F7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6" name="Straight Connector 3305">
              <a:extLst>
                <a:ext uri="{FF2B5EF4-FFF2-40B4-BE49-F238E27FC236}">
                  <a16:creationId xmlns:a16="http://schemas.microsoft.com/office/drawing/2014/main" id="{B5C2F94A-C0F9-2CA4-549A-6341E1DE8F3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7" name="Straight Connector 3306">
              <a:extLst>
                <a:ext uri="{FF2B5EF4-FFF2-40B4-BE49-F238E27FC236}">
                  <a16:creationId xmlns:a16="http://schemas.microsoft.com/office/drawing/2014/main" id="{2727A58E-9620-AF75-2A2C-7DEC02FC751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8" name="Straight Connector 3307">
              <a:extLst>
                <a:ext uri="{FF2B5EF4-FFF2-40B4-BE49-F238E27FC236}">
                  <a16:creationId xmlns:a16="http://schemas.microsoft.com/office/drawing/2014/main" id="{5D284F4B-2302-6477-7EE7-2EDCF80081C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09" name="Straight Connector 3308">
              <a:extLst>
                <a:ext uri="{FF2B5EF4-FFF2-40B4-BE49-F238E27FC236}">
                  <a16:creationId xmlns:a16="http://schemas.microsoft.com/office/drawing/2014/main" id="{EE5A3FC2-D78C-4E53-7A9B-A744F005614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0" name="Straight Connector 3309">
              <a:extLst>
                <a:ext uri="{FF2B5EF4-FFF2-40B4-BE49-F238E27FC236}">
                  <a16:creationId xmlns:a16="http://schemas.microsoft.com/office/drawing/2014/main" id="{FAE11EDB-8D00-0C0F-FDDF-AFF0DC8E259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04" name="Straight Connector 3303">
            <a:extLst>
              <a:ext uri="{FF2B5EF4-FFF2-40B4-BE49-F238E27FC236}">
                <a16:creationId xmlns:a16="http://schemas.microsoft.com/office/drawing/2014/main" id="{0DC246C7-6EA1-CC72-4647-CE888036B6B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63</xdr:row>
      <xdr:rowOff>35717</xdr:rowOff>
    </xdr:from>
    <xdr:to>
      <xdr:col>28</xdr:col>
      <xdr:colOff>238169</xdr:colOff>
      <xdr:row>65</xdr:row>
      <xdr:rowOff>29098</xdr:rowOff>
    </xdr:to>
    <xdr:grpSp>
      <xdr:nvGrpSpPr>
        <xdr:cNvPr id="3311" name="Group 3310">
          <a:extLst>
            <a:ext uri="{FF2B5EF4-FFF2-40B4-BE49-F238E27FC236}">
              <a16:creationId xmlns:a16="http://schemas.microsoft.com/office/drawing/2014/main" id="{AAB832D9-4E3C-4456-B3E6-36615F035095}"/>
            </a:ext>
          </a:extLst>
        </xdr:cNvPr>
        <xdr:cNvGrpSpPr/>
      </xdr:nvGrpSpPr>
      <xdr:grpSpPr>
        <a:xfrm>
          <a:off x="13784036" y="11955574"/>
          <a:ext cx="238169" cy="347167"/>
          <a:chOff x="6143939" y="789134"/>
          <a:chExt cx="457200" cy="518966"/>
        </a:xfrm>
      </xdr:grpSpPr>
      <xdr:grpSp>
        <xdr:nvGrpSpPr>
          <xdr:cNvPr id="3312" name="Group 3311">
            <a:extLst>
              <a:ext uri="{FF2B5EF4-FFF2-40B4-BE49-F238E27FC236}">
                <a16:creationId xmlns:a16="http://schemas.microsoft.com/office/drawing/2014/main" id="{AC8D48A4-C64B-4CC1-E640-28ABDDF3B8F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14" name="Straight Connector 3313">
              <a:extLst>
                <a:ext uri="{FF2B5EF4-FFF2-40B4-BE49-F238E27FC236}">
                  <a16:creationId xmlns:a16="http://schemas.microsoft.com/office/drawing/2014/main" id="{956DDD04-922F-14A0-3F8B-BFE7560CD21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5" name="Straight Connector 3314">
              <a:extLst>
                <a:ext uri="{FF2B5EF4-FFF2-40B4-BE49-F238E27FC236}">
                  <a16:creationId xmlns:a16="http://schemas.microsoft.com/office/drawing/2014/main" id="{50ACAEE9-FF1B-AF78-4F15-1FA6B2F6FEE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6" name="Straight Connector 3315">
              <a:extLst>
                <a:ext uri="{FF2B5EF4-FFF2-40B4-BE49-F238E27FC236}">
                  <a16:creationId xmlns:a16="http://schemas.microsoft.com/office/drawing/2014/main" id="{1E5F0E37-40EC-5A63-8C46-15E8FBBE9AD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7" name="Straight Connector 3316">
              <a:extLst>
                <a:ext uri="{FF2B5EF4-FFF2-40B4-BE49-F238E27FC236}">
                  <a16:creationId xmlns:a16="http://schemas.microsoft.com/office/drawing/2014/main" id="{B328B206-0F43-2B63-A26E-86FF718CB13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8" name="Straight Connector 3317">
              <a:extLst>
                <a:ext uri="{FF2B5EF4-FFF2-40B4-BE49-F238E27FC236}">
                  <a16:creationId xmlns:a16="http://schemas.microsoft.com/office/drawing/2014/main" id="{F4F37D52-2B03-22E4-3B32-3605DEBCC0D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19" name="Straight Connector 3318">
              <a:extLst>
                <a:ext uri="{FF2B5EF4-FFF2-40B4-BE49-F238E27FC236}">
                  <a16:creationId xmlns:a16="http://schemas.microsoft.com/office/drawing/2014/main" id="{B1ABC5A4-E7A7-6AB5-FDC3-6E7783157E18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13" name="Straight Connector 3312">
            <a:extLst>
              <a:ext uri="{FF2B5EF4-FFF2-40B4-BE49-F238E27FC236}">
                <a16:creationId xmlns:a16="http://schemas.microsoft.com/office/drawing/2014/main" id="{C9BEC24D-8D52-C1BC-DB0F-A92A06BA2D78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404813</xdr:colOff>
      <xdr:row>46</xdr:row>
      <xdr:rowOff>11909</xdr:rowOff>
    </xdr:from>
    <xdr:to>
      <xdr:col>20</xdr:col>
      <xdr:colOff>30868</xdr:colOff>
      <xdr:row>49</xdr:row>
      <xdr:rowOff>14556</xdr:rowOff>
    </xdr:to>
    <xdr:sp macro="" textlink="">
      <xdr:nvSpPr>
        <xdr:cNvPr id="3320" name="Isosceles Triangle 3319">
          <a:extLst>
            <a:ext uri="{FF2B5EF4-FFF2-40B4-BE49-F238E27FC236}">
              <a16:creationId xmlns:a16="http://schemas.microsoft.com/office/drawing/2014/main" id="{8C55DF57-F933-4984-9765-D3050BF360F4}"/>
            </a:ext>
          </a:extLst>
        </xdr:cNvPr>
        <xdr:cNvSpPr/>
      </xdr:nvSpPr>
      <xdr:spPr>
        <a:xfrm>
          <a:off x="13747433" y="4713449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75</xdr:row>
      <xdr:rowOff>23812</xdr:rowOff>
    </xdr:from>
    <xdr:to>
      <xdr:col>18</xdr:col>
      <xdr:colOff>238169</xdr:colOff>
      <xdr:row>77</xdr:row>
      <xdr:rowOff>17193</xdr:rowOff>
    </xdr:to>
    <xdr:grpSp>
      <xdr:nvGrpSpPr>
        <xdr:cNvPr id="3321" name="Group 3320">
          <a:extLst>
            <a:ext uri="{FF2B5EF4-FFF2-40B4-BE49-F238E27FC236}">
              <a16:creationId xmlns:a16="http://schemas.microsoft.com/office/drawing/2014/main" id="{50D3F11A-CB91-401B-BB84-25D7850EFE4F}"/>
            </a:ext>
          </a:extLst>
        </xdr:cNvPr>
        <xdr:cNvGrpSpPr/>
      </xdr:nvGrpSpPr>
      <xdr:grpSpPr>
        <a:xfrm>
          <a:off x="8817429" y="14066383"/>
          <a:ext cx="238169" cy="347167"/>
          <a:chOff x="6143939" y="789134"/>
          <a:chExt cx="457200" cy="518966"/>
        </a:xfrm>
      </xdr:grpSpPr>
      <xdr:grpSp>
        <xdr:nvGrpSpPr>
          <xdr:cNvPr id="3322" name="Group 3321">
            <a:extLst>
              <a:ext uri="{FF2B5EF4-FFF2-40B4-BE49-F238E27FC236}">
                <a16:creationId xmlns:a16="http://schemas.microsoft.com/office/drawing/2014/main" id="{87FB97E9-B818-7BCE-648D-513DA70E884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24" name="Straight Connector 3323">
              <a:extLst>
                <a:ext uri="{FF2B5EF4-FFF2-40B4-BE49-F238E27FC236}">
                  <a16:creationId xmlns:a16="http://schemas.microsoft.com/office/drawing/2014/main" id="{384951D2-2FB5-2535-327F-681BC1C6265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5" name="Straight Connector 3324">
              <a:extLst>
                <a:ext uri="{FF2B5EF4-FFF2-40B4-BE49-F238E27FC236}">
                  <a16:creationId xmlns:a16="http://schemas.microsoft.com/office/drawing/2014/main" id="{62AECC0C-15D8-2E99-ACB4-B6E0A7A04AB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6" name="Straight Connector 3325">
              <a:extLst>
                <a:ext uri="{FF2B5EF4-FFF2-40B4-BE49-F238E27FC236}">
                  <a16:creationId xmlns:a16="http://schemas.microsoft.com/office/drawing/2014/main" id="{262ABBAB-0C91-F8F0-F5F7-C4930F76DB8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7" name="Straight Connector 3326">
              <a:extLst>
                <a:ext uri="{FF2B5EF4-FFF2-40B4-BE49-F238E27FC236}">
                  <a16:creationId xmlns:a16="http://schemas.microsoft.com/office/drawing/2014/main" id="{632EE6F2-037C-DB83-F477-B074A7791A8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8" name="Straight Connector 3327">
              <a:extLst>
                <a:ext uri="{FF2B5EF4-FFF2-40B4-BE49-F238E27FC236}">
                  <a16:creationId xmlns:a16="http://schemas.microsoft.com/office/drawing/2014/main" id="{47340ECB-4466-4A73-8DDD-9B87CC788CE1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29" name="Straight Connector 3328">
              <a:extLst>
                <a:ext uri="{FF2B5EF4-FFF2-40B4-BE49-F238E27FC236}">
                  <a16:creationId xmlns:a16="http://schemas.microsoft.com/office/drawing/2014/main" id="{22B2E927-E48A-FCDD-6306-343FCB91F4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23" name="Straight Connector 3322">
            <a:extLst>
              <a:ext uri="{FF2B5EF4-FFF2-40B4-BE49-F238E27FC236}">
                <a16:creationId xmlns:a16="http://schemas.microsoft.com/office/drawing/2014/main" id="{E66D7D21-59AB-28E3-0883-DFC4D15C3F2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369096</xdr:colOff>
      <xdr:row>57</xdr:row>
      <xdr:rowOff>154785</xdr:rowOff>
    </xdr:from>
    <xdr:to>
      <xdr:col>3</xdr:col>
      <xdr:colOff>554744</xdr:colOff>
      <xdr:row>60</xdr:row>
      <xdr:rowOff>157432</xdr:rowOff>
    </xdr:to>
    <xdr:sp macro="" textlink="">
      <xdr:nvSpPr>
        <xdr:cNvPr id="3330" name="Isosceles Triangle 3329">
          <a:extLst>
            <a:ext uri="{FF2B5EF4-FFF2-40B4-BE49-F238E27FC236}">
              <a16:creationId xmlns:a16="http://schemas.microsoft.com/office/drawing/2014/main" id="{4704AA2A-C80A-41B6-A1F6-383D43CB91BB}"/>
            </a:ext>
          </a:extLst>
        </xdr:cNvPr>
        <xdr:cNvSpPr/>
      </xdr:nvSpPr>
      <xdr:spPr>
        <a:xfrm>
          <a:off x="5413536" y="6723225"/>
          <a:ext cx="642848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414338</xdr:colOff>
      <xdr:row>46</xdr:row>
      <xdr:rowOff>9531</xdr:rowOff>
    </xdr:from>
    <xdr:to>
      <xdr:col>20</xdr:col>
      <xdr:colOff>40393</xdr:colOff>
      <xdr:row>49</xdr:row>
      <xdr:rowOff>12178</xdr:rowOff>
    </xdr:to>
    <xdr:sp macro="" textlink="">
      <xdr:nvSpPr>
        <xdr:cNvPr id="3331" name="Isosceles Triangle 3330">
          <a:extLst>
            <a:ext uri="{FF2B5EF4-FFF2-40B4-BE49-F238E27FC236}">
              <a16:creationId xmlns:a16="http://schemas.microsoft.com/office/drawing/2014/main" id="{2CCA08CD-8864-4154-BE2E-F6E7F7A7FBDD}"/>
            </a:ext>
          </a:extLst>
        </xdr:cNvPr>
        <xdr:cNvSpPr/>
      </xdr:nvSpPr>
      <xdr:spPr>
        <a:xfrm>
          <a:off x="13756958" y="4711071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0</xdr:colOff>
      <xdr:row>75</xdr:row>
      <xdr:rowOff>95248</xdr:rowOff>
    </xdr:from>
    <xdr:to>
      <xdr:col>10</xdr:col>
      <xdr:colOff>238169</xdr:colOff>
      <xdr:row>77</xdr:row>
      <xdr:rowOff>88629</xdr:rowOff>
    </xdr:to>
    <xdr:grpSp>
      <xdr:nvGrpSpPr>
        <xdr:cNvPr id="3332" name="Group 3331">
          <a:extLst>
            <a:ext uri="{FF2B5EF4-FFF2-40B4-BE49-F238E27FC236}">
              <a16:creationId xmlns:a16="http://schemas.microsoft.com/office/drawing/2014/main" id="{C4497C40-5879-4841-AD4D-C300D2060942}"/>
            </a:ext>
          </a:extLst>
        </xdr:cNvPr>
        <xdr:cNvGrpSpPr/>
      </xdr:nvGrpSpPr>
      <xdr:grpSpPr>
        <a:xfrm>
          <a:off x="4830536" y="14137819"/>
          <a:ext cx="238169" cy="347167"/>
          <a:chOff x="6143939" y="789134"/>
          <a:chExt cx="457200" cy="518966"/>
        </a:xfrm>
      </xdr:grpSpPr>
      <xdr:grpSp>
        <xdr:nvGrpSpPr>
          <xdr:cNvPr id="3333" name="Group 3332">
            <a:extLst>
              <a:ext uri="{FF2B5EF4-FFF2-40B4-BE49-F238E27FC236}">
                <a16:creationId xmlns:a16="http://schemas.microsoft.com/office/drawing/2014/main" id="{74E441CF-7610-5C71-7EE2-BB809BE6832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35" name="Straight Connector 3334">
              <a:extLst>
                <a:ext uri="{FF2B5EF4-FFF2-40B4-BE49-F238E27FC236}">
                  <a16:creationId xmlns:a16="http://schemas.microsoft.com/office/drawing/2014/main" id="{8C9ABBB3-859B-814C-369A-7877AC0D30C4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6" name="Straight Connector 3335">
              <a:extLst>
                <a:ext uri="{FF2B5EF4-FFF2-40B4-BE49-F238E27FC236}">
                  <a16:creationId xmlns:a16="http://schemas.microsoft.com/office/drawing/2014/main" id="{ED3C7097-4EB6-6C83-503B-B99209ED6F3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7" name="Straight Connector 3336">
              <a:extLst>
                <a:ext uri="{FF2B5EF4-FFF2-40B4-BE49-F238E27FC236}">
                  <a16:creationId xmlns:a16="http://schemas.microsoft.com/office/drawing/2014/main" id="{C2E4813F-4512-41C2-BA46-68C6A4122BA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8" name="Straight Connector 3337">
              <a:extLst>
                <a:ext uri="{FF2B5EF4-FFF2-40B4-BE49-F238E27FC236}">
                  <a16:creationId xmlns:a16="http://schemas.microsoft.com/office/drawing/2014/main" id="{756777F2-5A17-D288-D963-11B2D991555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39" name="Straight Connector 3338">
              <a:extLst>
                <a:ext uri="{FF2B5EF4-FFF2-40B4-BE49-F238E27FC236}">
                  <a16:creationId xmlns:a16="http://schemas.microsoft.com/office/drawing/2014/main" id="{4702D561-3B47-82E6-9904-58E9EAD662BE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0" name="Straight Connector 3339">
              <a:extLst>
                <a:ext uri="{FF2B5EF4-FFF2-40B4-BE49-F238E27FC236}">
                  <a16:creationId xmlns:a16="http://schemas.microsoft.com/office/drawing/2014/main" id="{68849D3B-161D-7171-AE2F-33C8A44218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34" name="Straight Connector 3333">
            <a:extLst>
              <a:ext uri="{FF2B5EF4-FFF2-40B4-BE49-F238E27FC236}">
                <a16:creationId xmlns:a16="http://schemas.microsoft.com/office/drawing/2014/main" id="{D2525BC8-D0C4-7E6C-CFBF-CFFC8A51E62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0</xdr:colOff>
      <xdr:row>177</xdr:row>
      <xdr:rowOff>119060</xdr:rowOff>
    </xdr:from>
    <xdr:to>
      <xdr:col>6</xdr:col>
      <xdr:colOff>238169</xdr:colOff>
      <xdr:row>179</xdr:row>
      <xdr:rowOff>112441</xdr:rowOff>
    </xdr:to>
    <xdr:grpSp>
      <xdr:nvGrpSpPr>
        <xdr:cNvPr id="3341" name="Group 3340">
          <a:extLst>
            <a:ext uri="{FF2B5EF4-FFF2-40B4-BE49-F238E27FC236}">
              <a16:creationId xmlns:a16="http://schemas.microsoft.com/office/drawing/2014/main" id="{49D17694-B1D1-4874-8D40-06C9675E3173}"/>
            </a:ext>
          </a:extLst>
        </xdr:cNvPr>
        <xdr:cNvGrpSpPr/>
      </xdr:nvGrpSpPr>
      <xdr:grpSpPr>
        <a:xfrm>
          <a:off x="2843893" y="32068631"/>
          <a:ext cx="238169" cy="347167"/>
          <a:chOff x="6143939" y="789134"/>
          <a:chExt cx="457200" cy="518966"/>
        </a:xfrm>
      </xdr:grpSpPr>
      <xdr:grpSp>
        <xdr:nvGrpSpPr>
          <xdr:cNvPr id="3342" name="Group 3341">
            <a:extLst>
              <a:ext uri="{FF2B5EF4-FFF2-40B4-BE49-F238E27FC236}">
                <a16:creationId xmlns:a16="http://schemas.microsoft.com/office/drawing/2014/main" id="{859FD1C1-CF3C-C646-6249-08BFA89B789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44" name="Straight Connector 3343">
              <a:extLst>
                <a:ext uri="{FF2B5EF4-FFF2-40B4-BE49-F238E27FC236}">
                  <a16:creationId xmlns:a16="http://schemas.microsoft.com/office/drawing/2014/main" id="{8567DA34-5B4F-3CB2-D9C4-BD943756EF0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5" name="Straight Connector 3344">
              <a:extLst>
                <a:ext uri="{FF2B5EF4-FFF2-40B4-BE49-F238E27FC236}">
                  <a16:creationId xmlns:a16="http://schemas.microsoft.com/office/drawing/2014/main" id="{99952B3A-3A80-50A1-11E9-384E6DF0C70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6" name="Straight Connector 3345">
              <a:extLst>
                <a:ext uri="{FF2B5EF4-FFF2-40B4-BE49-F238E27FC236}">
                  <a16:creationId xmlns:a16="http://schemas.microsoft.com/office/drawing/2014/main" id="{DEB7B617-F964-8F4A-7233-B10400E211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7" name="Straight Connector 3346">
              <a:extLst>
                <a:ext uri="{FF2B5EF4-FFF2-40B4-BE49-F238E27FC236}">
                  <a16:creationId xmlns:a16="http://schemas.microsoft.com/office/drawing/2014/main" id="{7C79243F-CFA9-C2B2-9858-327E0DCBF5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8" name="Straight Connector 3347">
              <a:extLst>
                <a:ext uri="{FF2B5EF4-FFF2-40B4-BE49-F238E27FC236}">
                  <a16:creationId xmlns:a16="http://schemas.microsoft.com/office/drawing/2014/main" id="{794C2847-0B82-8EB3-A274-FCAAEDFF3D3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49" name="Straight Connector 3348">
              <a:extLst>
                <a:ext uri="{FF2B5EF4-FFF2-40B4-BE49-F238E27FC236}">
                  <a16:creationId xmlns:a16="http://schemas.microsoft.com/office/drawing/2014/main" id="{D20E3DDA-B391-A606-6E02-49E743E111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43" name="Straight Connector 3342">
            <a:extLst>
              <a:ext uri="{FF2B5EF4-FFF2-40B4-BE49-F238E27FC236}">
                <a16:creationId xmlns:a16="http://schemas.microsoft.com/office/drawing/2014/main" id="{AF524D76-F471-5064-ABE4-121F581D06D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389510</xdr:colOff>
      <xdr:row>57</xdr:row>
      <xdr:rowOff>140501</xdr:rowOff>
    </xdr:from>
    <xdr:to>
      <xdr:col>4</xdr:col>
      <xdr:colOff>15564</xdr:colOff>
      <xdr:row>60</xdr:row>
      <xdr:rowOff>143148</xdr:rowOff>
    </xdr:to>
    <xdr:sp macro="" textlink="">
      <xdr:nvSpPr>
        <xdr:cNvPr id="3350" name="Isosceles Triangle 3349">
          <a:extLst>
            <a:ext uri="{FF2B5EF4-FFF2-40B4-BE49-F238E27FC236}">
              <a16:creationId xmlns:a16="http://schemas.microsoft.com/office/drawing/2014/main" id="{2084B287-493A-4E01-A73F-747BF18619AB}"/>
            </a:ext>
          </a:extLst>
        </xdr:cNvPr>
        <xdr:cNvSpPr/>
      </xdr:nvSpPr>
      <xdr:spPr>
        <a:xfrm>
          <a:off x="1282139" y="10993558"/>
          <a:ext cx="649311" cy="503390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411994</xdr:colOff>
      <xdr:row>46</xdr:row>
      <xdr:rowOff>26106</xdr:rowOff>
    </xdr:from>
    <xdr:to>
      <xdr:col>2</xdr:col>
      <xdr:colOff>38049</xdr:colOff>
      <xdr:row>49</xdr:row>
      <xdr:rowOff>28753</xdr:rowOff>
    </xdr:to>
    <xdr:sp macro="" textlink="">
      <xdr:nvSpPr>
        <xdr:cNvPr id="3351" name="Isosceles Triangle 3350">
          <a:extLst>
            <a:ext uri="{FF2B5EF4-FFF2-40B4-BE49-F238E27FC236}">
              <a16:creationId xmlns:a16="http://schemas.microsoft.com/office/drawing/2014/main" id="{97387E03-E921-46EA-8590-0C3639CAB531}"/>
            </a:ext>
          </a:extLst>
        </xdr:cNvPr>
        <xdr:cNvSpPr/>
      </xdr:nvSpPr>
      <xdr:spPr>
        <a:xfrm>
          <a:off x="4420114" y="4727646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404813</xdr:colOff>
      <xdr:row>45</xdr:row>
      <xdr:rowOff>154785</xdr:rowOff>
    </xdr:from>
    <xdr:to>
      <xdr:col>30</xdr:col>
      <xdr:colOff>30868</xdr:colOff>
      <xdr:row>48</xdr:row>
      <xdr:rowOff>157432</xdr:rowOff>
    </xdr:to>
    <xdr:sp macro="" textlink="">
      <xdr:nvSpPr>
        <xdr:cNvPr id="3352" name="Isosceles Triangle 3351">
          <a:extLst>
            <a:ext uri="{FF2B5EF4-FFF2-40B4-BE49-F238E27FC236}">
              <a16:creationId xmlns:a16="http://schemas.microsoft.com/office/drawing/2014/main" id="{846B0BCD-9AAD-44BD-BEA8-5F64F8F08B9B}"/>
            </a:ext>
          </a:extLst>
        </xdr:cNvPr>
        <xdr:cNvSpPr/>
      </xdr:nvSpPr>
      <xdr:spPr>
        <a:xfrm>
          <a:off x="3376613" y="6723225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416720</xdr:colOff>
      <xdr:row>93</xdr:row>
      <xdr:rowOff>2</xdr:rowOff>
    </xdr:from>
    <xdr:to>
      <xdr:col>26</xdr:col>
      <xdr:colOff>42774</xdr:colOff>
      <xdr:row>96</xdr:row>
      <xdr:rowOff>2649</xdr:rowOff>
    </xdr:to>
    <xdr:sp macro="" textlink="">
      <xdr:nvSpPr>
        <xdr:cNvPr id="3353" name="Isosceles Triangle 3352">
          <a:extLst>
            <a:ext uri="{FF2B5EF4-FFF2-40B4-BE49-F238E27FC236}">
              <a16:creationId xmlns:a16="http://schemas.microsoft.com/office/drawing/2014/main" id="{96EA1D44-76F7-471A-9580-B6DACA356655}"/>
            </a:ext>
          </a:extLst>
        </xdr:cNvPr>
        <xdr:cNvSpPr/>
      </xdr:nvSpPr>
      <xdr:spPr>
        <a:xfrm>
          <a:off x="1315880" y="15026642"/>
          <a:ext cx="662374" cy="505567"/>
        </a:xfrm>
        <a:prstGeom prst="triangle">
          <a:avLst/>
        </a:prstGeom>
        <a:solidFill>
          <a:schemeClr val="bg1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57</xdr:row>
      <xdr:rowOff>154783</xdr:rowOff>
    </xdr:from>
    <xdr:to>
      <xdr:col>14</xdr:col>
      <xdr:colOff>54680</xdr:colOff>
      <xdr:row>60</xdr:row>
      <xdr:rowOff>157430</xdr:rowOff>
    </xdr:to>
    <xdr:sp macro="" textlink="">
      <xdr:nvSpPr>
        <xdr:cNvPr id="3354" name="Isosceles Triangle 3353">
          <a:extLst>
            <a:ext uri="{FF2B5EF4-FFF2-40B4-BE49-F238E27FC236}">
              <a16:creationId xmlns:a16="http://schemas.microsoft.com/office/drawing/2014/main" id="{6944FE91-B43E-4543-93DE-9C533994C66C}"/>
            </a:ext>
          </a:extLst>
        </xdr:cNvPr>
        <xdr:cNvSpPr/>
      </xdr:nvSpPr>
      <xdr:spPr>
        <a:xfrm>
          <a:off x="10662285" y="6723223"/>
          <a:ext cx="662375" cy="51318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404813</xdr:colOff>
      <xdr:row>58</xdr:row>
      <xdr:rowOff>2</xdr:rowOff>
    </xdr:from>
    <xdr:to>
      <xdr:col>28</xdr:col>
      <xdr:colOff>30868</xdr:colOff>
      <xdr:row>61</xdr:row>
      <xdr:rowOff>2649</xdr:rowOff>
    </xdr:to>
    <xdr:sp macro="" textlink="">
      <xdr:nvSpPr>
        <xdr:cNvPr id="3355" name="Isosceles Triangle 3354">
          <a:extLst>
            <a:ext uri="{FF2B5EF4-FFF2-40B4-BE49-F238E27FC236}">
              <a16:creationId xmlns:a16="http://schemas.microsoft.com/office/drawing/2014/main" id="{64A68AA0-DBF5-4ED0-B256-158D998F9055}"/>
            </a:ext>
          </a:extLst>
        </xdr:cNvPr>
        <xdr:cNvSpPr/>
      </xdr:nvSpPr>
      <xdr:spPr>
        <a:xfrm>
          <a:off x="2340293" y="8945882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199</xdr:row>
      <xdr:rowOff>35718</xdr:rowOff>
    </xdr:from>
    <xdr:to>
      <xdr:col>18</xdr:col>
      <xdr:colOff>238169</xdr:colOff>
      <xdr:row>201</xdr:row>
      <xdr:rowOff>29099</xdr:rowOff>
    </xdr:to>
    <xdr:grpSp>
      <xdr:nvGrpSpPr>
        <xdr:cNvPr id="3356" name="Group 3355">
          <a:extLst>
            <a:ext uri="{FF2B5EF4-FFF2-40B4-BE49-F238E27FC236}">
              <a16:creationId xmlns:a16="http://schemas.microsoft.com/office/drawing/2014/main" id="{DBE7A03D-2893-4A1D-A3EB-716D45CE1A9E}"/>
            </a:ext>
          </a:extLst>
        </xdr:cNvPr>
        <xdr:cNvGrpSpPr/>
      </xdr:nvGrpSpPr>
      <xdr:grpSpPr>
        <a:xfrm>
          <a:off x="8817429" y="35876932"/>
          <a:ext cx="238169" cy="347167"/>
          <a:chOff x="6143939" y="789134"/>
          <a:chExt cx="457200" cy="518966"/>
        </a:xfrm>
      </xdr:grpSpPr>
      <xdr:grpSp>
        <xdr:nvGrpSpPr>
          <xdr:cNvPr id="3357" name="Group 3356">
            <a:extLst>
              <a:ext uri="{FF2B5EF4-FFF2-40B4-BE49-F238E27FC236}">
                <a16:creationId xmlns:a16="http://schemas.microsoft.com/office/drawing/2014/main" id="{B737A2BE-8E9E-9472-8DE3-950FE0FBECB1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59" name="Straight Connector 3358">
              <a:extLst>
                <a:ext uri="{FF2B5EF4-FFF2-40B4-BE49-F238E27FC236}">
                  <a16:creationId xmlns:a16="http://schemas.microsoft.com/office/drawing/2014/main" id="{DF147D6E-599E-B23C-13B2-E58F47ED8BD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0" name="Straight Connector 3359">
              <a:extLst>
                <a:ext uri="{FF2B5EF4-FFF2-40B4-BE49-F238E27FC236}">
                  <a16:creationId xmlns:a16="http://schemas.microsoft.com/office/drawing/2014/main" id="{361CCC03-2DC6-1C13-22D7-EC4AE3E8D00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1" name="Straight Connector 3360">
              <a:extLst>
                <a:ext uri="{FF2B5EF4-FFF2-40B4-BE49-F238E27FC236}">
                  <a16:creationId xmlns:a16="http://schemas.microsoft.com/office/drawing/2014/main" id="{4E7DEF30-A285-3D75-80C0-B26B3723110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2" name="Straight Connector 3361">
              <a:extLst>
                <a:ext uri="{FF2B5EF4-FFF2-40B4-BE49-F238E27FC236}">
                  <a16:creationId xmlns:a16="http://schemas.microsoft.com/office/drawing/2014/main" id="{6F5FD928-5119-A963-AC70-28548877426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3" name="Straight Connector 3362">
              <a:extLst>
                <a:ext uri="{FF2B5EF4-FFF2-40B4-BE49-F238E27FC236}">
                  <a16:creationId xmlns:a16="http://schemas.microsoft.com/office/drawing/2014/main" id="{5395960D-3752-A358-7575-EA91F81D45E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4" name="Straight Connector 3363">
              <a:extLst>
                <a:ext uri="{FF2B5EF4-FFF2-40B4-BE49-F238E27FC236}">
                  <a16:creationId xmlns:a16="http://schemas.microsoft.com/office/drawing/2014/main" id="{90957C00-9F2C-F751-F652-73C49536C6E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58" name="Straight Connector 3357">
            <a:extLst>
              <a:ext uri="{FF2B5EF4-FFF2-40B4-BE49-F238E27FC236}">
                <a16:creationId xmlns:a16="http://schemas.microsoft.com/office/drawing/2014/main" id="{9F83E2F6-2074-D267-8611-619E5AB7BC5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0</xdr:colOff>
      <xdr:row>199</xdr:row>
      <xdr:rowOff>47624</xdr:rowOff>
    </xdr:from>
    <xdr:to>
      <xdr:col>28</xdr:col>
      <xdr:colOff>238169</xdr:colOff>
      <xdr:row>201</xdr:row>
      <xdr:rowOff>41005</xdr:rowOff>
    </xdr:to>
    <xdr:grpSp>
      <xdr:nvGrpSpPr>
        <xdr:cNvPr id="3365" name="Group 3364">
          <a:extLst>
            <a:ext uri="{FF2B5EF4-FFF2-40B4-BE49-F238E27FC236}">
              <a16:creationId xmlns:a16="http://schemas.microsoft.com/office/drawing/2014/main" id="{EA982CCF-2766-4B10-96AC-E036E702594F}"/>
            </a:ext>
          </a:extLst>
        </xdr:cNvPr>
        <xdr:cNvGrpSpPr/>
      </xdr:nvGrpSpPr>
      <xdr:grpSpPr>
        <a:xfrm>
          <a:off x="13784036" y="35888838"/>
          <a:ext cx="238169" cy="347167"/>
          <a:chOff x="6143939" y="789134"/>
          <a:chExt cx="457200" cy="518966"/>
        </a:xfrm>
      </xdr:grpSpPr>
      <xdr:grpSp>
        <xdr:nvGrpSpPr>
          <xdr:cNvPr id="3366" name="Group 3365">
            <a:extLst>
              <a:ext uri="{FF2B5EF4-FFF2-40B4-BE49-F238E27FC236}">
                <a16:creationId xmlns:a16="http://schemas.microsoft.com/office/drawing/2014/main" id="{BBD3881D-CD78-0939-D7AC-240F0096D3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68" name="Straight Connector 3367">
              <a:extLst>
                <a:ext uri="{FF2B5EF4-FFF2-40B4-BE49-F238E27FC236}">
                  <a16:creationId xmlns:a16="http://schemas.microsoft.com/office/drawing/2014/main" id="{439C8888-FB32-3924-D675-7119E0E99CDA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69" name="Straight Connector 3368">
              <a:extLst>
                <a:ext uri="{FF2B5EF4-FFF2-40B4-BE49-F238E27FC236}">
                  <a16:creationId xmlns:a16="http://schemas.microsoft.com/office/drawing/2014/main" id="{FC9E8E0B-9C50-1C78-2707-4E6943CAB1D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0" name="Straight Connector 3369">
              <a:extLst>
                <a:ext uri="{FF2B5EF4-FFF2-40B4-BE49-F238E27FC236}">
                  <a16:creationId xmlns:a16="http://schemas.microsoft.com/office/drawing/2014/main" id="{6A47149C-69B8-1589-B3DB-A765E570B9CB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1" name="Straight Connector 3370">
              <a:extLst>
                <a:ext uri="{FF2B5EF4-FFF2-40B4-BE49-F238E27FC236}">
                  <a16:creationId xmlns:a16="http://schemas.microsoft.com/office/drawing/2014/main" id="{64994784-B453-AD36-8F15-F32D746F92F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2" name="Straight Connector 3371">
              <a:extLst>
                <a:ext uri="{FF2B5EF4-FFF2-40B4-BE49-F238E27FC236}">
                  <a16:creationId xmlns:a16="http://schemas.microsoft.com/office/drawing/2014/main" id="{EA5F1F58-A70F-E27F-9D9D-D75E1547296B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73" name="Straight Connector 3372">
              <a:extLst>
                <a:ext uri="{FF2B5EF4-FFF2-40B4-BE49-F238E27FC236}">
                  <a16:creationId xmlns:a16="http://schemas.microsoft.com/office/drawing/2014/main" id="{A914708D-9951-7579-EF6E-616624DD309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67" name="Straight Connector 3366">
            <a:extLst>
              <a:ext uri="{FF2B5EF4-FFF2-40B4-BE49-F238E27FC236}">
                <a16:creationId xmlns:a16="http://schemas.microsoft.com/office/drawing/2014/main" id="{539F3342-2A0B-F4D3-D01B-3D60BF2C214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409615</xdr:colOff>
      <xdr:row>46</xdr:row>
      <xdr:rowOff>11820</xdr:rowOff>
    </xdr:from>
    <xdr:to>
      <xdr:col>2</xdr:col>
      <xdr:colOff>35670</xdr:colOff>
      <xdr:row>49</xdr:row>
      <xdr:rowOff>14467</xdr:rowOff>
    </xdr:to>
    <xdr:sp macro="" textlink="">
      <xdr:nvSpPr>
        <xdr:cNvPr id="3374" name="Isosceles Triangle 3373">
          <a:extLst>
            <a:ext uri="{FF2B5EF4-FFF2-40B4-BE49-F238E27FC236}">
              <a16:creationId xmlns:a16="http://schemas.microsoft.com/office/drawing/2014/main" id="{44992FB4-39BB-459E-AE83-816254DCF18F}"/>
            </a:ext>
          </a:extLst>
        </xdr:cNvPr>
        <xdr:cNvSpPr/>
      </xdr:nvSpPr>
      <xdr:spPr>
        <a:xfrm>
          <a:off x="4417735" y="4713360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414341</xdr:colOff>
      <xdr:row>45</xdr:row>
      <xdr:rowOff>164313</xdr:rowOff>
    </xdr:from>
    <xdr:to>
      <xdr:col>30</xdr:col>
      <xdr:colOff>40396</xdr:colOff>
      <xdr:row>49</xdr:row>
      <xdr:rowOff>272</xdr:rowOff>
    </xdr:to>
    <xdr:sp macro="" textlink="">
      <xdr:nvSpPr>
        <xdr:cNvPr id="3375" name="Isosceles Triangle 3374">
          <a:extLst>
            <a:ext uri="{FF2B5EF4-FFF2-40B4-BE49-F238E27FC236}">
              <a16:creationId xmlns:a16="http://schemas.microsoft.com/office/drawing/2014/main" id="{CF537150-CA96-48F7-A74B-4D3679971E68}"/>
            </a:ext>
          </a:extLst>
        </xdr:cNvPr>
        <xdr:cNvSpPr/>
      </xdr:nvSpPr>
      <xdr:spPr>
        <a:xfrm>
          <a:off x="3386141" y="6732753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414326</xdr:colOff>
      <xdr:row>58</xdr:row>
      <xdr:rowOff>9530</xdr:rowOff>
    </xdr:from>
    <xdr:to>
      <xdr:col>20</xdr:col>
      <xdr:colOff>40381</xdr:colOff>
      <xdr:row>61</xdr:row>
      <xdr:rowOff>12176</xdr:rowOff>
    </xdr:to>
    <xdr:sp macro="" textlink="">
      <xdr:nvSpPr>
        <xdr:cNvPr id="3376" name="Isosceles Triangle 3375">
          <a:extLst>
            <a:ext uri="{FF2B5EF4-FFF2-40B4-BE49-F238E27FC236}">
              <a16:creationId xmlns:a16="http://schemas.microsoft.com/office/drawing/2014/main" id="{6CD72521-1276-4EFC-8DF0-389C09506639}"/>
            </a:ext>
          </a:extLst>
        </xdr:cNvPr>
        <xdr:cNvSpPr/>
      </xdr:nvSpPr>
      <xdr:spPr>
        <a:xfrm>
          <a:off x="13756946" y="6753230"/>
          <a:ext cx="662375" cy="505566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407241</xdr:colOff>
      <xdr:row>58</xdr:row>
      <xdr:rowOff>9427</xdr:rowOff>
    </xdr:from>
    <xdr:to>
      <xdr:col>28</xdr:col>
      <xdr:colOff>33296</xdr:colOff>
      <xdr:row>61</xdr:row>
      <xdr:rowOff>12074</xdr:rowOff>
    </xdr:to>
    <xdr:sp macro="" textlink="">
      <xdr:nvSpPr>
        <xdr:cNvPr id="3377" name="Isosceles Triangle 3376">
          <a:extLst>
            <a:ext uri="{FF2B5EF4-FFF2-40B4-BE49-F238E27FC236}">
              <a16:creationId xmlns:a16="http://schemas.microsoft.com/office/drawing/2014/main" id="{C2CEF02C-D170-4FEC-8433-63B6D3B11CCD}"/>
            </a:ext>
          </a:extLst>
        </xdr:cNvPr>
        <xdr:cNvSpPr/>
      </xdr:nvSpPr>
      <xdr:spPr>
        <a:xfrm>
          <a:off x="2342721" y="8955307"/>
          <a:ext cx="662375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12</xdr:col>
      <xdr:colOff>426248</xdr:colOff>
      <xdr:row>57</xdr:row>
      <xdr:rowOff>152399</xdr:rowOff>
    </xdr:from>
    <xdr:to>
      <xdr:col>14</xdr:col>
      <xdr:colOff>52303</xdr:colOff>
      <xdr:row>60</xdr:row>
      <xdr:rowOff>155046</xdr:rowOff>
    </xdr:to>
    <xdr:sp macro="" textlink="">
      <xdr:nvSpPr>
        <xdr:cNvPr id="3378" name="Isosceles Triangle 3377">
          <a:extLst>
            <a:ext uri="{FF2B5EF4-FFF2-40B4-BE49-F238E27FC236}">
              <a16:creationId xmlns:a16="http://schemas.microsoft.com/office/drawing/2014/main" id="{56EB3B38-18B8-4CDB-99BF-93DAF80815B4}"/>
            </a:ext>
          </a:extLst>
        </xdr:cNvPr>
        <xdr:cNvSpPr/>
      </xdr:nvSpPr>
      <xdr:spPr>
        <a:xfrm>
          <a:off x="10659908" y="6720839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18</xdr:col>
      <xdr:colOff>411948</xdr:colOff>
      <xdr:row>57</xdr:row>
      <xdr:rowOff>161933</xdr:rowOff>
    </xdr:from>
    <xdr:to>
      <xdr:col>20</xdr:col>
      <xdr:colOff>38003</xdr:colOff>
      <xdr:row>60</xdr:row>
      <xdr:rowOff>164580</xdr:rowOff>
    </xdr:to>
    <xdr:sp macro="" textlink="">
      <xdr:nvSpPr>
        <xdr:cNvPr id="3379" name="Isosceles Triangle 3378">
          <a:extLst>
            <a:ext uri="{FF2B5EF4-FFF2-40B4-BE49-F238E27FC236}">
              <a16:creationId xmlns:a16="http://schemas.microsoft.com/office/drawing/2014/main" id="{5A2BB9A4-DAAD-4F91-8532-432F584BE39C}"/>
            </a:ext>
          </a:extLst>
        </xdr:cNvPr>
        <xdr:cNvSpPr/>
      </xdr:nvSpPr>
      <xdr:spPr>
        <a:xfrm>
          <a:off x="13754568" y="6730373"/>
          <a:ext cx="662375" cy="51318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416759</xdr:colOff>
      <xdr:row>57</xdr:row>
      <xdr:rowOff>149925</xdr:rowOff>
    </xdr:from>
    <xdr:to>
      <xdr:col>30</xdr:col>
      <xdr:colOff>42814</xdr:colOff>
      <xdr:row>60</xdr:row>
      <xdr:rowOff>152571</xdr:rowOff>
    </xdr:to>
    <xdr:sp macro="" textlink="">
      <xdr:nvSpPr>
        <xdr:cNvPr id="3380" name="Isosceles Triangle 3379">
          <a:extLst>
            <a:ext uri="{FF2B5EF4-FFF2-40B4-BE49-F238E27FC236}">
              <a16:creationId xmlns:a16="http://schemas.microsoft.com/office/drawing/2014/main" id="{9D5075EC-2BE6-4BA8-BB18-18F2005A135D}"/>
            </a:ext>
          </a:extLst>
        </xdr:cNvPr>
        <xdr:cNvSpPr/>
      </xdr:nvSpPr>
      <xdr:spPr>
        <a:xfrm>
          <a:off x="3388559" y="8928165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20</xdr:col>
      <xdr:colOff>402418</xdr:colOff>
      <xdr:row>57</xdr:row>
      <xdr:rowOff>164311</xdr:rowOff>
    </xdr:from>
    <xdr:to>
      <xdr:col>22</xdr:col>
      <xdr:colOff>28473</xdr:colOff>
      <xdr:row>61</xdr:row>
      <xdr:rowOff>270</xdr:rowOff>
    </xdr:to>
    <xdr:sp macro="" textlink="">
      <xdr:nvSpPr>
        <xdr:cNvPr id="3381" name="Isosceles Triangle 3380">
          <a:extLst>
            <a:ext uri="{FF2B5EF4-FFF2-40B4-BE49-F238E27FC236}">
              <a16:creationId xmlns:a16="http://schemas.microsoft.com/office/drawing/2014/main" id="{9467C612-EAC1-495B-A09C-0B1715CEA0B5}"/>
            </a:ext>
          </a:extLst>
        </xdr:cNvPr>
        <xdr:cNvSpPr/>
      </xdr:nvSpPr>
      <xdr:spPr>
        <a:xfrm>
          <a:off x="14781358" y="6732751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28</xdr:col>
      <xdr:colOff>416737</xdr:colOff>
      <xdr:row>34</xdr:row>
      <xdr:rowOff>3</xdr:rowOff>
    </xdr:from>
    <xdr:to>
      <xdr:col>30</xdr:col>
      <xdr:colOff>42792</xdr:colOff>
      <xdr:row>37</xdr:row>
      <xdr:rowOff>2650</xdr:rowOff>
    </xdr:to>
    <xdr:sp macro="" textlink="">
      <xdr:nvSpPr>
        <xdr:cNvPr id="3382" name="Isosceles Triangle 3381">
          <a:extLst>
            <a:ext uri="{FF2B5EF4-FFF2-40B4-BE49-F238E27FC236}">
              <a16:creationId xmlns:a16="http://schemas.microsoft.com/office/drawing/2014/main" id="{CA19BCD4-851F-4112-9ACA-D306081F3776}"/>
            </a:ext>
          </a:extLst>
        </xdr:cNvPr>
        <xdr:cNvSpPr/>
      </xdr:nvSpPr>
      <xdr:spPr>
        <a:xfrm>
          <a:off x="3388537" y="4701543"/>
          <a:ext cx="662375" cy="505567"/>
        </a:xfrm>
        <a:prstGeom prst="triangle">
          <a:avLst/>
        </a:prstGeom>
        <a:solidFill>
          <a:srgbClr val="FFFF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16</xdr:col>
      <xdr:colOff>0</xdr:colOff>
      <xdr:row>75</xdr:row>
      <xdr:rowOff>35718</xdr:rowOff>
    </xdr:from>
    <xdr:to>
      <xdr:col>16</xdr:col>
      <xdr:colOff>238169</xdr:colOff>
      <xdr:row>77</xdr:row>
      <xdr:rowOff>29099</xdr:rowOff>
    </xdr:to>
    <xdr:grpSp>
      <xdr:nvGrpSpPr>
        <xdr:cNvPr id="3383" name="Group 3382">
          <a:extLst>
            <a:ext uri="{FF2B5EF4-FFF2-40B4-BE49-F238E27FC236}">
              <a16:creationId xmlns:a16="http://schemas.microsoft.com/office/drawing/2014/main" id="{9ADD1A55-FA1D-49CB-A2A1-D40207B0F30B}"/>
            </a:ext>
          </a:extLst>
        </xdr:cNvPr>
        <xdr:cNvGrpSpPr/>
      </xdr:nvGrpSpPr>
      <xdr:grpSpPr>
        <a:xfrm>
          <a:off x="7810500" y="14078289"/>
          <a:ext cx="238169" cy="347167"/>
          <a:chOff x="6143939" y="789134"/>
          <a:chExt cx="457200" cy="518966"/>
        </a:xfrm>
      </xdr:grpSpPr>
      <xdr:grpSp>
        <xdr:nvGrpSpPr>
          <xdr:cNvPr id="3384" name="Group 3383">
            <a:extLst>
              <a:ext uri="{FF2B5EF4-FFF2-40B4-BE49-F238E27FC236}">
                <a16:creationId xmlns:a16="http://schemas.microsoft.com/office/drawing/2014/main" id="{56678A00-A370-96C7-94A7-3B29CC02FAA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86" name="Straight Connector 3385">
              <a:extLst>
                <a:ext uri="{FF2B5EF4-FFF2-40B4-BE49-F238E27FC236}">
                  <a16:creationId xmlns:a16="http://schemas.microsoft.com/office/drawing/2014/main" id="{A366E9AF-2BF5-CE07-C0CE-75D877CB858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7" name="Straight Connector 3386">
              <a:extLst>
                <a:ext uri="{FF2B5EF4-FFF2-40B4-BE49-F238E27FC236}">
                  <a16:creationId xmlns:a16="http://schemas.microsoft.com/office/drawing/2014/main" id="{AB04432D-0543-0282-C86F-EC288B3919A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8" name="Straight Connector 3387">
              <a:extLst>
                <a:ext uri="{FF2B5EF4-FFF2-40B4-BE49-F238E27FC236}">
                  <a16:creationId xmlns:a16="http://schemas.microsoft.com/office/drawing/2014/main" id="{427656F4-F0D4-1A4A-C1BD-EEB92E7FAC0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89" name="Straight Connector 3388">
              <a:extLst>
                <a:ext uri="{FF2B5EF4-FFF2-40B4-BE49-F238E27FC236}">
                  <a16:creationId xmlns:a16="http://schemas.microsoft.com/office/drawing/2014/main" id="{D2CDB024-E7BD-F63A-537A-FB0DD456603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0" name="Straight Connector 3389">
              <a:extLst>
                <a:ext uri="{FF2B5EF4-FFF2-40B4-BE49-F238E27FC236}">
                  <a16:creationId xmlns:a16="http://schemas.microsoft.com/office/drawing/2014/main" id="{8B3EEDF6-9FD3-B120-9F3F-FD2923EB5E1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1" name="Straight Connector 3390">
              <a:extLst>
                <a:ext uri="{FF2B5EF4-FFF2-40B4-BE49-F238E27FC236}">
                  <a16:creationId xmlns:a16="http://schemas.microsoft.com/office/drawing/2014/main" id="{CCC68EC4-FB81-66DB-67B4-1525BD0C966A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85" name="Straight Connector 3384">
            <a:extLst>
              <a:ext uri="{FF2B5EF4-FFF2-40B4-BE49-F238E27FC236}">
                <a16:creationId xmlns:a16="http://schemas.microsoft.com/office/drawing/2014/main" id="{424E5CA3-57B0-268C-6CA3-B204E5AD696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0</xdr:colOff>
      <xdr:row>63</xdr:row>
      <xdr:rowOff>11902</xdr:rowOff>
    </xdr:from>
    <xdr:to>
      <xdr:col>10</xdr:col>
      <xdr:colOff>238169</xdr:colOff>
      <xdr:row>65</xdr:row>
      <xdr:rowOff>5283</xdr:rowOff>
    </xdr:to>
    <xdr:grpSp>
      <xdr:nvGrpSpPr>
        <xdr:cNvPr id="3392" name="Group 3391">
          <a:extLst>
            <a:ext uri="{FF2B5EF4-FFF2-40B4-BE49-F238E27FC236}">
              <a16:creationId xmlns:a16="http://schemas.microsoft.com/office/drawing/2014/main" id="{4C09747E-93AB-47CD-915B-33B879543842}"/>
            </a:ext>
          </a:extLst>
        </xdr:cNvPr>
        <xdr:cNvGrpSpPr/>
      </xdr:nvGrpSpPr>
      <xdr:grpSpPr>
        <a:xfrm>
          <a:off x="4830536" y="11931759"/>
          <a:ext cx="238169" cy="347167"/>
          <a:chOff x="6143939" y="789134"/>
          <a:chExt cx="457200" cy="518966"/>
        </a:xfrm>
      </xdr:grpSpPr>
      <xdr:grpSp>
        <xdr:nvGrpSpPr>
          <xdr:cNvPr id="3393" name="Group 3392">
            <a:extLst>
              <a:ext uri="{FF2B5EF4-FFF2-40B4-BE49-F238E27FC236}">
                <a16:creationId xmlns:a16="http://schemas.microsoft.com/office/drawing/2014/main" id="{F48735A5-530D-3424-73B8-0D3DF4E78BE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395" name="Straight Connector 3394">
              <a:extLst>
                <a:ext uri="{FF2B5EF4-FFF2-40B4-BE49-F238E27FC236}">
                  <a16:creationId xmlns:a16="http://schemas.microsoft.com/office/drawing/2014/main" id="{ED08D970-DB6C-DBE4-3221-ECA6AD16E04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6" name="Straight Connector 3395">
              <a:extLst>
                <a:ext uri="{FF2B5EF4-FFF2-40B4-BE49-F238E27FC236}">
                  <a16:creationId xmlns:a16="http://schemas.microsoft.com/office/drawing/2014/main" id="{5855BDCC-2E25-978F-E922-D05886076DB5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7" name="Straight Connector 3396">
              <a:extLst>
                <a:ext uri="{FF2B5EF4-FFF2-40B4-BE49-F238E27FC236}">
                  <a16:creationId xmlns:a16="http://schemas.microsoft.com/office/drawing/2014/main" id="{BD45322C-20E2-1DB7-0480-E629228FF63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8" name="Straight Connector 3397">
              <a:extLst>
                <a:ext uri="{FF2B5EF4-FFF2-40B4-BE49-F238E27FC236}">
                  <a16:creationId xmlns:a16="http://schemas.microsoft.com/office/drawing/2014/main" id="{F1B67902-90ED-938F-CF50-02AEB91D00C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99" name="Straight Connector 3398">
              <a:extLst>
                <a:ext uri="{FF2B5EF4-FFF2-40B4-BE49-F238E27FC236}">
                  <a16:creationId xmlns:a16="http://schemas.microsoft.com/office/drawing/2014/main" id="{11E0AE7F-12B4-A460-7729-EC2576CCB6E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0" name="Straight Connector 3399">
              <a:extLst>
                <a:ext uri="{FF2B5EF4-FFF2-40B4-BE49-F238E27FC236}">
                  <a16:creationId xmlns:a16="http://schemas.microsoft.com/office/drawing/2014/main" id="{C96D9692-ECA4-72E7-0123-081752BEA141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394" name="Straight Connector 3393">
            <a:extLst>
              <a:ext uri="{FF2B5EF4-FFF2-40B4-BE49-F238E27FC236}">
                <a16:creationId xmlns:a16="http://schemas.microsoft.com/office/drawing/2014/main" id="{646454D5-5BDB-F5A5-E3C9-2560609B835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414359</xdr:colOff>
      <xdr:row>33</xdr:row>
      <xdr:rowOff>164313</xdr:rowOff>
    </xdr:from>
    <xdr:to>
      <xdr:col>30</xdr:col>
      <xdr:colOff>40414</xdr:colOff>
      <xdr:row>37</xdr:row>
      <xdr:rowOff>272</xdr:rowOff>
    </xdr:to>
    <xdr:sp macro="" textlink="">
      <xdr:nvSpPr>
        <xdr:cNvPr id="3401" name="Isosceles Triangle 3400">
          <a:extLst>
            <a:ext uri="{FF2B5EF4-FFF2-40B4-BE49-F238E27FC236}">
              <a16:creationId xmlns:a16="http://schemas.microsoft.com/office/drawing/2014/main" id="{D4B7F8F6-029D-42E9-8EE8-3BCF9064BDC5}"/>
            </a:ext>
          </a:extLst>
        </xdr:cNvPr>
        <xdr:cNvSpPr/>
      </xdr:nvSpPr>
      <xdr:spPr>
        <a:xfrm>
          <a:off x="3386159" y="4698213"/>
          <a:ext cx="662375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254000</xdr:colOff>
      <xdr:row>58</xdr:row>
      <xdr:rowOff>2</xdr:rowOff>
    </xdr:from>
    <xdr:to>
      <xdr:col>2</xdr:col>
      <xdr:colOff>14994</xdr:colOff>
      <xdr:row>61</xdr:row>
      <xdr:rowOff>2648</xdr:rowOff>
    </xdr:to>
    <xdr:sp macro="" textlink="">
      <xdr:nvSpPr>
        <xdr:cNvPr id="3402" name="Isosceles Triangle 3401">
          <a:extLst>
            <a:ext uri="{FF2B5EF4-FFF2-40B4-BE49-F238E27FC236}">
              <a16:creationId xmlns:a16="http://schemas.microsoft.com/office/drawing/2014/main" id="{EBBE9488-C9A9-4CE7-8E11-87159831317E}"/>
            </a:ext>
          </a:extLst>
        </xdr:cNvPr>
        <xdr:cNvSpPr/>
      </xdr:nvSpPr>
      <xdr:spPr>
        <a:xfrm>
          <a:off x="254000" y="10604502"/>
          <a:ext cx="618244" cy="526521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75</xdr:row>
      <xdr:rowOff>47624</xdr:rowOff>
    </xdr:from>
    <xdr:to>
      <xdr:col>2</xdr:col>
      <xdr:colOff>238169</xdr:colOff>
      <xdr:row>77</xdr:row>
      <xdr:rowOff>41005</xdr:rowOff>
    </xdr:to>
    <xdr:grpSp>
      <xdr:nvGrpSpPr>
        <xdr:cNvPr id="3403" name="Group 3402">
          <a:extLst>
            <a:ext uri="{FF2B5EF4-FFF2-40B4-BE49-F238E27FC236}">
              <a16:creationId xmlns:a16="http://schemas.microsoft.com/office/drawing/2014/main" id="{D030AD4B-A2B9-4F08-9734-9CFF3DF5ED74}"/>
            </a:ext>
          </a:extLst>
        </xdr:cNvPr>
        <xdr:cNvGrpSpPr/>
      </xdr:nvGrpSpPr>
      <xdr:grpSpPr>
        <a:xfrm>
          <a:off x="857250" y="14090195"/>
          <a:ext cx="238169" cy="347167"/>
          <a:chOff x="6143939" y="789134"/>
          <a:chExt cx="457200" cy="518966"/>
        </a:xfrm>
      </xdr:grpSpPr>
      <xdr:grpSp>
        <xdr:nvGrpSpPr>
          <xdr:cNvPr id="3404" name="Group 3403">
            <a:extLst>
              <a:ext uri="{FF2B5EF4-FFF2-40B4-BE49-F238E27FC236}">
                <a16:creationId xmlns:a16="http://schemas.microsoft.com/office/drawing/2014/main" id="{4574E69F-93C8-AD8C-6610-3919994BC45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06" name="Straight Connector 3405">
              <a:extLst>
                <a:ext uri="{FF2B5EF4-FFF2-40B4-BE49-F238E27FC236}">
                  <a16:creationId xmlns:a16="http://schemas.microsoft.com/office/drawing/2014/main" id="{58890540-189A-FA1F-59D5-24415E6E3B93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7" name="Straight Connector 3406">
              <a:extLst>
                <a:ext uri="{FF2B5EF4-FFF2-40B4-BE49-F238E27FC236}">
                  <a16:creationId xmlns:a16="http://schemas.microsoft.com/office/drawing/2014/main" id="{BF76C990-72C1-5DD0-A10F-A5577464187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8" name="Straight Connector 3407">
              <a:extLst>
                <a:ext uri="{FF2B5EF4-FFF2-40B4-BE49-F238E27FC236}">
                  <a16:creationId xmlns:a16="http://schemas.microsoft.com/office/drawing/2014/main" id="{6B706F78-BBD1-4719-EA30-79B74FFDD984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09" name="Straight Connector 3408">
              <a:extLst>
                <a:ext uri="{FF2B5EF4-FFF2-40B4-BE49-F238E27FC236}">
                  <a16:creationId xmlns:a16="http://schemas.microsoft.com/office/drawing/2014/main" id="{E90AD5F4-910D-BC1A-03C1-F34AEF22295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0" name="Straight Connector 3409">
              <a:extLst>
                <a:ext uri="{FF2B5EF4-FFF2-40B4-BE49-F238E27FC236}">
                  <a16:creationId xmlns:a16="http://schemas.microsoft.com/office/drawing/2014/main" id="{8B6676BC-445C-237D-009D-85B481C80422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1" name="Straight Connector 3410">
              <a:extLst>
                <a:ext uri="{FF2B5EF4-FFF2-40B4-BE49-F238E27FC236}">
                  <a16:creationId xmlns:a16="http://schemas.microsoft.com/office/drawing/2014/main" id="{199BCBE2-DC88-301A-7F4C-B63862547C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B3470610-32C0-CBDD-CDEE-58924066FB6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0</xdr:colOff>
      <xdr:row>75</xdr:row>
      <xdr:rowOff>83342</xdr:rowOff>
    </xdr:from>
    <xdr:to>
      <xdr:col>12</xdr:col>
      <xdr:colOff>238169</xdr:colOff>
      <xdr:row>77</xdr:row>
      <xdr:rowOff>76723</xdr:rowOff>
    </xdr:to>
    <xdr:grpSp>
      <xdr:nvGrpSpPr>
        <xdr:cNvPr id="3412" name="Group 3411">
          <a:extLst>
            <a:ext uri="{FF2B5EF4-FFF2-40B4-BE49-F238E27FC236}">
              <a16:creationId xmlns:a16="http://schemas.microsoft.com/office/drawing/2014/main" id="{DE6F216A-0DF7-4FD8-8DB4-A8E5186E0AD5}"/>
            </a:ext>
          </a:extLst>
        </xdr:cNvPr>
        <xdr:cNvGrpSpPr/>
      </xdr:nvGrpSpPr>
      <xdr:grpSpPr>
        <a:xfrm>
          <a:off x="5823857" y="14125913"/>
          <a:ext cx="238169" cy="347167"/>
          <a:chOff x="6143939" y="789134"/>
          <a:chExt cx="457200" cy="518966"/>
        </a:xfrm>
      </xdr:grpSpPr>
      <xdr:grpSp>
        <xdr:nvGrpSpPr>
          <xdr:cNvPr id="3413" name="Group 3412">
            <a:extLst>
              <a:ext uri="{FF2B5EF4-FFF2-40B4-BE49-F238E27FC236}">
                <a16:creationId xmlns:a16="http://schemas.microsoft.com/office/drawing/2014/main" id="{E87B7546-6719-CEE5-2F83-C06357F2539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15" name="Straight Connector 3414">
              <a:extLst>
                <a:ext uri="{FF2B5EF4-FFF2-40B4-BE49-F238E27FC236}">
                  <a16:creationId xmlns:a16="http://schemas.microsoft.com/office/drawing/2014/main" id="{9C279D89-D905-40D3-9B62-91E63715337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6" name="Straight Connector 3415">
              <a:extLst>
                <a:ext uri="{FF2B5EF4-FFF2-40B4-BE49-F238E27FC236}">
                  <a16:creationId xmlns:a16="http://schemas.microsoft.com/office/drawing/2014/main" id="{4FC0FA16-4D09-31B3-5D2B-345028DE0A8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7" name="Straight Connector 3416">
              <a:extLst>
                <a:ext uri="{FF2B5EF4-FFF2-40B4-BE49-F238E27FC236}">
                  <a16:creationId xmlns:a16="http://schemas.microsoft.com/office/drawing/2014/main" id="{1B2BC0C1-E2DD-3AD8-20D5-07CF7348859A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8" name="Straight Connector 3417">
              <a:extLst>
                <a:ext uri="{FF2B5EF4-FFF2-40B4-BE49-F238E27FC236}">
                  <a16:creationId xmlns:a16="http://schemas.microsoft.com/office/drawing/2014/main" id="{A15F8FC2-4DC3-EC51-C2EF-4645015500D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19" name="Straight Connector 3418">
              <a:extLst>
                <a:ext uri="{FF2B5EF4-FFF2-40B4-BE49-F238E27FC236}">
                  <a16:creationId xmlns:a16="http://schemas.microsoft.com/office/drawing/2014/main" id="{2CA4DA91-F090-3D14-F649-7E02D3DCF9F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0" name="Straight Connector 3419">
              <a:extLst>
                <a:ext uri="{FF2B5EF4-FFF2-40B4-BE49-F238E27FC236}">
                  <a16:creationId xmlns:a16="http://schemas.microsoft.com/office/drawing/2014/main" id="{CBFF9CC1-06EF-CDE4-859F-59765213B08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14" name="Straight Connector 3413">
            <a:extLst>
              <a:ext uri="{FF2B5EF4-FFF2-40B4-BE49-F238E27FC236}">
                <a16:creationId xmlns:a16="http://schemas.microsoft.com/office/drawing/2014/main" id="{E3CAAB07-E89F-E921-5DF0-6D466F3DB75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0</xdr:colOff>
      <xdr:row>75</xdr:row>
      <xdr:rowOff>59530</xdr:rowOff>
    </xdr:from>
    <xdr:to>
      <xdr:col>22</xdr:col>
      <xdr:colOff>238169</xdr:colOff>
      <xdr:row>77</xdr:row>
      <xdr:rowOff>52911</xdr:rowOff>
    </xdr:to>
    <xdr:grpSp>
      <xdr:nvGrpSpPr>
        <xdr:cNvPr id="3421" name="Group 3420">
          <a:extLst>
            <a:ext uri="{FF2B5EF4-FFF2-40B4-BE49-F238E27FC236}">
              <a16:creationId xmlns:a16="http://schemas.microsoft.com/office/drawing/2014/main" id="{8C314BB2-0EE6-49C1-966D-CDB75E8AD90F}"/>
            </a:ext>
          </a:extLst>
        </xdr:cNvPr>
        <xdr:cNvGrpSpPr/>
      </xdr:nvGrpSpPr>
      <xdr:grpSpPr>
        <a:xfrm>
          <a:off x="10804071" y="14102101"/>
          <a:ext cx="238169" cy="347167"/>
          <a:chOff x="6143939" y="789134"/>
          <a:chExt cx="457200" cy="518966"/>
        </a:xfrm>
      </xdr:grpSpPr>
      <xdr:grpSp>
        <xdr:nvGrpSpPr>
          <xdr:cNvPr id="3422" name="Group 3421">
            <a:extLst>
              <a:ext uri="{FF2B5EF4-FFF2-40B4-BE49-F238E27FC236}">
                <a16:creationId xmlns:a16="http://schemas.microsoft.com/office/drawing/2014/main" id="{DFFED985-4604-8C32-C9F6-69FDEEDBC9F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24" name="Straight Connector 3423">
              <a:extLst>
                <a:ext uri="{FF2B5EF4-FFF2-40B4-BE49-F238E27FC236}">
                  <a16:creationId xmlns:a16="http://schemas.microsoft.com/office/drawing/2014/main" id="{DE5B4179-78FD-7428-5883-4C7003AFA1A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5" name="Straight Connector 3424">
              <a:extLst>
                <a:ext uri="{FF2B5EF4-FFF2-40B4-BE49-F238E27FC236}">
                  <a16:creationId xmlns:a16="http://schemas.microsoft.com/office/drawing/2014/main" id="{9347B323-F9EE-A9D5-240C-CDCAFFC91AE7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6" name="Straight Connector 3425">
              <a:extLst>
                <a:ext uri="{FF2B5EF4-FFF2-40B4-BE49-F238E27FC236}">
                  <a16:creationId xmlns:a16="http://schemas.microsoft.com/office/drawing/2014/main" id="{8577EA79-94B0-D467-0BDE-D926E8395C6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7" name="Straight Connector 3426">
              <a:extLst>
                <a:ext uri="{FF2B5EF4-FFF2-40B4-BE49-F238E27FC236}">
                  <a16:creationId xmlns:a16="http://schemas.microsoft.com/office/drawing/2014/main" id="{9A5F8EB1-CC22-30CF-6F36-170B5809CC2D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8" name="Straight Connector 3427">
              <a:extLst>
                <a:ext uri="{FF2B5EF4-FFF2-40B4-BE49-F238E27FC236}">
                  <a16:creationId xmlns:a16="http://schemas.microsoft.com/office/drawing/2014/main" id="{4B42DF27-B9B1-5E07-54BB-08F496BA1B7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29" name="Straight Connector 3428">
              <a:extLst>
                <a:ext uri="{FF2B5EF4-FFF2-40B4-BE49-F238E27FC236}">
                  <a16:creationId xmlns:a16="http://schemas.microsoft.com/office/drawing/2014/main" id="{A7F85EA9-8F2E-0B95-3065-BBA88AEE89D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23" name="Straight Connector 3422">
            <a:extLst>
              <a:ext uri="{FF2B5EF4-FFF2-40B4-BE49-F238E27FC236}">
                <a16:creationId xmlns:a16="http://schemas.microsoft.com/office/drawing/2014/main" id="{A4C08A06-D365-156D-613E-1DE9F3871005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24</xdr:col>
      <xdr:colOff>416720</xdr:colOff>
      <xdr:row>71</xdr:row>
      <xdr:rowOff>3</xdr:rowOff>
    </xdr:from>
    <xdr:to>
      <xdr:col>26</xdr:col>
      <xdr:colOff>42774</xdr:colOff>
      <xdr:row>74</xdr:row>
      <xdr:rowOff>2650</xdr:rowOff>
    </xdr:to>
    <xdr:sp macro="" textlink="">
      <xdr:nvSpPr>
        <xdr:cNvPr id="3430" name="Isosceles Triangle 3429">
          <a:extLst>
            <a:ext uri="{FF2B5EF4-FFF2-40B4-BE49-F238E27FC236}">
              <a16:creationId xmlns:a16="http://schemas.microsoft.com/office/drawing/2014/main" id="{920084A7-E697-4CBA-8303-800B44F39BA6}"/>
            </a:ext>
          </a:extLst>
        </xdr:cNvPr>
        <xdr:cNvSpPr/>
      </xdr:nvSpPr>
      <xdr:spPr>
        <a:xfrm>
          <a:off x="1315880" y="11308083"/>
          <a:ext cx="662374" cy="505567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414310</xdr:colOff>
      <xdr:row>57</xdr:row>
      <xdr:rowOff>164327</xdr:rowOff>
    </xdr:from>
    <xdr:to>
      <xdr:col>12</xdr:col>
      <xdr:colOff>40365</xdr:colOff>
      <xdr:row>61</xdr:row>
      <xdr:rowOff>286</xdr:rowOff>
    </xdr:to>
    <xdr:sp macro="" textlink="">
      <xdr:nvSpPr>
        <xdr:cNvPr id="3431" name="Isosceles Triangle 3430">
          <a:extLst>
            <a:ext uri="{FF2B5EF4-FFF2-40B4-BE49-F238E27FC236}">
              <a16:creationId xmlns:a16="http://schemas.microsoft.com/office/drawing/2014/main" id="{26CBB08C-01EE-4C3A-991F-D7B3E201B5F5}"/>
            </a:ext>
          </a:extLst>
        </xdr:cNvPr>
        <xdr:cNvSpPr/>
      </xdr:nvSpPr>
      <xdr:spPr>
        <a:xfrm>
          <a:off x="9611650" y="6732767"/>
          <a:ext cx="662375" cy="51413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24</xdr:col>
      <xdr:colOff>0</xdr:colOff>
      <xdr:row>199</xdr:row>
      <xdr:rowOff>0</xdr:rowOff>
    </xdr:from>
    <xdr:to>
      <xdr:col>24</xdr:col>
      <xdr:colOff>238169</xdr:colOff>
      <xdr:row>201</xdr:row>
      <xdr:rowOff>49</xdr:rowOff>
    </xdr:to>
    <xdr:grpSp>
      <xdr:nvGrpSpPr>
        <xdr:cNvPr id="3432" name="Group 3431">
          <a:extLst>
            <a:ext uri="{FF2B5EF4-FFF2-40B4-BE49-F238E27FC236}">
              <a16:creationId xmlns:a16="http://schemas.microsoft.com/office/drawing/2014/main" id="{71B7A6CA-E744-4FC9-BF1E-BE7092B4C64B}"/>
            </a:ext>
          </a:extLst>
        </xdr:cNvPr>
        <xdr:cNvGrpSpPr/>
      </xdr:nvGrpSpPr>
      <xdr:grpSpPr>
        <a:xfrm>
          <a:off x="11797393" y="35841214"/>
          <a:ext cx="238169" cy="353835"/>
          <a:chOff x="6143939" y="789134"/>
          <a:chExt cx="457200" cy="518966"/>
        </a:xfrm>
      </xdr:grpSpPr>
      <xdr:grpSp>
        <xdr:nvGrpSpPr>
          <xdr:cNvPr id="3433" name="Group 3432">
            <a:extLst>
              <a:ext uri="{FF2B5EF4-FFF2-40B4-BE49-F238E27FC236}">
                <a16:creationId xmlns:a16="http://schemas.microsoft.com/office/drawing/2014/main" id="{0E55A4F2-3E8A-76B4-20AB-901A5F86641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35" name="Straight Connector 3434">
              <a:extLst>
                <a:ext uri="{FF2B5EF4-FFF2-40B4-BE49-F238E27FC236}">
                  <a16:creationId xmlns:a16="http://schemas.microsoft.com/office/drawing/2014/main" id="{58957EAB-CFA0-7731-FB84-5FAFF1F5744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6" name="Straight Connector 3435">
              <a:extLst>
                <a:ext uri="{FF2B5EF4-FFF2-40B4-BE49-F238E27FC236}">
                  <a16:creationId xmlns:a16="http://schemas.microsoft.com/office/drawing/2014/main" id="{012567B3-683D-2484-38FE-6A3E4A78753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7" name="Straight Connector 3436">
              <a:extLst>
                <a:ext uri="{FF2B5EF4-FFF2-40B4-BE49-F238E27FC236}">
                  <a16:creationId xmlns:a16="http://schemas.microsoft.com/office/drawing/2014/main" id="{E2AE1D95-C23E-2FF0-9F35-359C519A6A3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8" name="Straight Connector 3437">
              <a:extLst>
                <a:ext uri="{FF2B5EF4-FFF2-40B4-BE49-F238E27FC236}">
                  <a16:creationId xmlns:a16="http://schemas.microsoft.com/office/drawing/2014/main" id="{96B5FE09-2FDF-B5CA-052D-FC114A2A509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39" name="Straight Connector 3438">
              <a:extLst>
                <a:ext uri="{FF2B5EF4-FFF2-40B4-BE49-F238E27FC236}">
                  <a16:creationId xmlns:a16="http://schemas.microsoft.com/office/drawing/2014/main" id="{8B4BFE44-56F2-F116-9F88-46BFED648B5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0" name="Straight Connector 3439">
              <a:extLst>
                <a:ext uri="{FF2B5EF4-FFF2-40B4-BE49-F238E27FC236}">
                  <a16:creationId xmlns:a16="http://schemas.microsoft.com/office/drawing/2014/main" id="{3491DFBF-1653-9E4D-C76A-83F4325D286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34" name="Straight Connector 3433">
            <a:extLst>
              <a:ext uri="{FF2B5EF4-FFF2-40B4-BE49-F238E27FC236}">
                <a16:creationId xmlns:a16="http://schemas.microsoft.com/office/drawing/2014/main" id="{A1623DDF-801C-8D4B-98C8-B32302D897AF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0</xdr:colOff>
      <xdr:row>211</xdr:row>
      <xdr:rowOff>47624</xdr:rowOff>
    </xdr:from>
    <xdr:to>
      <xdr:col>16</xdr:col>
      <xdr:colOff>238169</xdr:colOff>
      <xdr:row>213</xdr:row>
      <xdr:rowOff>41005</xdr:rowOff>
    </xdr:to>
    <xdr:grpSp>
      <xdr:nvGrpSpPr>
        <xdr:cNvPr id="3441" name="Group 3440">
          <a:extLst>
            <a:ext uri="{FF2B5EF4-FFF2-40B4-BE49-F238E27FC236}">
              <a16:creationId xmlns:a16="http://schemas.microsoft.com/office/drawing/2014/main" id="{B94F57C2-D9F9-40CA-8D8F-216708437133}"/>
            </a:ext>
          </a:extLst>
        </xdr:cNvPr>
        <xdr:cNvGrpSpPr/>
      </xdr:nvGrpSpPr>
      <xdr:grpSpPr>
        <a:xfrm>
          <a:off x="7810500" y="38011553"/>
          <a:ext cx="238169" cy="347166"/>
          <a:chOff x="6143939" y="789134"/>
          <a:chExt cx="457200" cy="518966"/>
        </a:xfrm>
      </xdr:grpSpPr>
      <xdr:grpSp>
        <xdr:nvGrpSpPr>
          <xdr:cNvPr id="3442" name="Group 3441">
            <a:extLst>
              <a:ext uri="{FF2B5EF4-FFF2-40B4-BE49-F238E27FC236}">
                <a16:creationId xmlns:a16="http://schemas.microsoft.com/office/drawing/2014/main" id="{1B9A7408-0A26-5B11-312B-24DF4DE0DDAD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44" name="Straight Connector 3443">
              <a:extLst>
                <a:ext uri="{FF2B5EF4-FFF2-40B4-BE49-F238E27FC236}">
                  <a16:creationId xmlns:a16="http://schemas.microsoft.com/office/drawing/2014/main" id="{E42543A5-875B-B74A-523F-15CF72CD539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5" name="Straight Connector 3444">
              <a:extLst>
                <a:ext uri="{FF2B5EF4-FFF2-40B4-BE49-F238E27FC236}">
                  <a16:creationId xmlns:a16="http://schemas.microsoft.com/office/drawing/2014/main" id="{EACC0FFE-01A9-7C23-1C59-EFCC2899E61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6" name="Straight Connector 3445">
              <a:extLst>
                <a:ext uri="{FF2B5EF4-FFF2-40B4-BE49-F238E27FC236}">
                  <a16:creationId xmlns:a16="http://schemas.microsoft.com/office/drawing/2014/main" id="{950E2AA5-A40E-50E3-9ECE-748CF648775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7" name="Straight Connector 3446">
              <a:extLst>
                <a:ext uri="{FF2B5EF4-FFF2-40B4-BE49-F238E27FC236}">
                  <a16:creationId xmlns:a16="http://schemas.microsoft.com/office/drawing/2014/main" id="{B41F12EF-C71E-8D02-3D76-932A01EF2FE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8" name="Straight Connector 3447">
              <a:extLst>
                <a:ext uri="{FF2B5EF4-FFF2-40B4-BE49-F238E27FC236}">
                  <a16:creationId xmlns:a16="http://schemas.microsoft.com/office/drawing/2014/main" id="{CD936A4F-7383-5FC4-5151-9CFECBD9526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49" name="Straight Connector 3448">
              <a:extLst>
                <a:ext uri="{FF2B5EF4-FFF2-40B4-BE49-F238E27FC236}">
                  <a16:creationId xmlns:a16="http://schemas.microsoft.com/office/drawing/2014/main" id="{E3E11209-4810-29D0-E2FD-BBAE660B5B4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43" name="Straight Connector 3442">
            <a:extLst>
              <a:ext uri="{FF2B5EF4-FFF2-40B4-BE49-F238E27FC236}">
                <a16:creationId xmlns:a16="http://schemas.microsoft.com/office/drawing/2014/main" id="{20984BED-9280-58CE-202E-A451EBA21C1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20</xdr:col>
      <xdr:colOff>9531</xdr:colOff>
      <xdr:row>75</xdr:row>
      <xdr:rowOff>80964</xdr:rowOff>
    </xdr:from>
    <xdr:to>
      <xdr:col>20</xdr:col>
      <xdr:colOff>247700</xdr:colOff>
      <xdr:row>77</xdr:row>
      <xdr:rowOff>74345</xdr:rowOff>
    </xdr:to>
    <xdr:grpSp>
      <xdr:nvGrpSpPr>
        <xdr:cNvPr id="3450" name="Group 3449">
          <a:extLst>
            <a:ext uri="{FF2B5EF4-FFF2-40B4-BE49-F238E27FC236}">
              <a16:creationId xmlns:a16="http://schemas.microsoft.com/office/drawing/2014/main" id="{48E7A3B8-39AD-4C31-94C9-16AC19DE4F6F}"/>
            </a:ext>
          </a:extLst>
        </xdr:cNvPr>
        <xdr:cNvGrpSpPr/>
      </xdr:nvGrpSpPr>
      <xdr:grpSpPr>
        <a:xfrm>
          <a:off x="9820281" y="14123535"/>
          <a:ext cx="238169" cy="347167"/>
          <a:chOff x="6143939" y="789134"/>
          <a:chExt cx="457200" cy="518966"/>
        </a:xfrm>
      </xdr:grpSpPr>
      <xdr:grpSp>
        <xdr:nvGrpSpPr>
          <xdr:cNvPr id="3451" name="Group 3450">
            <a:extLst>
              <a:ext uri="{FF2B5EF4-FFF2-40B4-BE49-F238E27FC236}">
                <a16:creationId xmlns:a16="http://schemas.microsoft.com/office/drawing/2014/main" id="{3FB084E2-38DA-5166-9B41-C217BB4E1049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53" name="Straight Connector 3452">
              <a:extLst>
                <a:ext uri="{FF2B5EF4-FFF2-40B4-BE49-F238E27FC236}">
                  <a16:creationId xmlns:a16="http://schemas.microsoft.com/office/drawing/2014/main" id="{AB733A25-2B38-F653-5733-57C242D708F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4" name="Straight Connector 3453">
              <a:extLst>
                <a:ext uri="{FF2B5EF4-FFF2-40B4-BE49-F238E27FC236}">
                  <a16:creationId xmlns:a16="http://schemas.microsoft.com/office/drawing/2014/main" id="{0F426442-D4AF-F081-8510-D6FA6606C92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5" name="Straight Connector 3454">
              <a:extLst>
                <a:ext uri="{FF2B5EF4-FFF2-40B4-BE49-F238E27FC236}">
                  <a16:creationId xmlns:a16="http://schemas.microsoft.com/office/drawing/2014/main" id="{EAF60CED-8571-57DC-8B6D-5EC52161F3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6" name="Straight Connector 3455">
              <a:extLst>
                <a:ext uri="{FF2B5EF4-FFF2-40B4-BE49-F238E27FC236}">
                  <a16:creationId xmlns:a16="http://schemas.microsoft.com/office/drawing/2014/main" id="{92EEC4C4-D99A-85D1-34D3-93F8CB80010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7" name="Straight Connector 3456">
              <a:extLst>
                <a:ext uri="{FF2B5EF4-FFF2-40B4-BE49-F238E27FC236}">
                  <a16:creationId xmlns:a16="http://schemas.microsoft.com/office/drawing/2014/main" id="{455BA04F-9C7C-FEF7-E313-7D206EE8FC4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58" name="Straight Connector 3457">
              <a:extLst>
                <a:ext uri="{FF2B5EF4-FFF2-40B4-BE49-F238E27FC236}">
                  <a16:creationId xmlns:a16="http://schemas.microsoft.com/office/drawing/2014/main" id="{862BE145-96FC-94F6-7310-F7926F5BCDA2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52" name="Straight Connector 3451">
            <a:extLst>
              <a:ext uri="{FF2B5EF4-FFF2-40B4-BE49-F238E27FC236}">
                <a16:creationId xmlns:a16="http://schemas.microsoft.com/office/drawing/2014/main" id="{B6674DCF-E8C3-AFC5-EEE7-E0C2B1EEE57D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416719</xdr:colOff>
      <xdr:row>58</xdr:row>
      <xdr:rowOff>11910</xdr:rowOff>
    </xdr:from>
    <xdr:to>
      <xdr:col>8</xdr:col>
      <xdr:colOff>42774</xdr:colOff>
      <xdr:row>61</xdr:row>
      <xdr:rowOff>14556</xdr:rowOff>
    </xdr:to>
    <xdr:sp macro="" textlink="">
      <xdr:nvSpPr>
        <xdr:cNvPr id="3459" name="Isosceles Triangle 3458">
          <a:extLst>
            <a:ext uri="{FF2B5EF4-FFF2-40B4-BE49-F238E27FC236}">
              <a16:creationId xmlns:a16="http://schemas.microsoft.com/office/drawing/2014/main" id="{7AD7D56A-1FEF-4889-8E34-B2A2A201DE99}"/>
            </a:ext>
          </a:extLst>
        </xdr:cNvPr>
        <xdr:cNvSpPr/>
      </xdr:nvSpPr>
      <xdr:spPr>
        <a:xfrm>
          <a:off x="7533799" y="6755610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26</xdr:col>
      <xdr:colOff>400053</xdr:colOff>
      <xdr:row>46</xdr:row>
      <xdr:rowOff>7151</xdr:rowOff>
    </xdr:from>
    <xdr:to>
      <xdr:col>28</xdr:col>
      <xdr:colOff>26108</xdr:colOff>
      <xdr:row>49</xdr:row>
      <xdr:rowOff>9797</xdr:rowOff>
    </xdr:to>
    <xdr:sp macro="" textlink="">
      <xdr:nvSpPr>
        <xdr:cNvPr id="3460" name="Isosceles Triangle 3459">
          <a:extLst>
            <a:ext uri="{FF2B5EF4-FFF2-40B4-BE49-F238E27FC236}">
              <a16:creationId xmlns:a16="http://schemas.microsoft.com/office/drawing/2014/main" id="{2226FA86-2C51-4DFC-A5F7-F6A1BCF64F50}"/>
            </a:ext>
          </a:extLst>
        </xdr:cNvPr>
        <xdr:cNvSpPr/>
      </xdr:nvSpPr>
      <xdr:spPr>
        <a:xfrm>
          <a:off x="2335533" y="6750851"/>
          <a:ext cx="662375" cy="505566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404813</xdr:colOff>
      <xdr:row>207</xdr:row>
      <xdr:rowOff>23815</xdr:rowOff>
    </xdr:from>
    <xdr:to>
      <xdr:col>16</xdr:col>
      <xdr:colOff>30868</xdr:colOff>
      <xdr:row>210</xdr:row>
      <xdr:rowOff>16760</xdr:rowOff>
    </xdr:to>
    <xdr:sp macro="" textlink="">
      <xdr:nvSpPr>
        <xdr:cNvPr id="3461" name="Isosceles Triangle 3460">
          <a:extLst>
            <a:ext uri="{FF2B5EF4-FFF2-40B4-BE49-F238E27FC236}">
              <a16:creationId xmlns:a16="http://schemas.microsoft.com/office/drawing/2014/main" id="{AFAD55FF-5A6E-4AAC-9F63-78D4145F63CE}"/>
            </a:ext>
          </a:extLst>
        </xdr:cNvPr>
        <xdr:cNvSpPr/>
      </xdr:nvSpPr>
      <xdr:spPr>
        <a:xfrm>
          <a:off x="7521893" y="32218315"/>
          <a:ext cx="662375" cy="495865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9496</xdr:colOff>
      <xdr:row>108</xdr:row>
      <xdr:rowOff>116685</xdr:rowOff>
    </xdr:from>
    <xdr:to>
      <xdr:col>14</xdr:col>
      <xdr:colOff>247665</xdr:colOff>
      <xdr:row>110</xdr:row>
      <xdr:rowOff>110068</xdr:rowOff>
    </xdr:to>
    <xdr:grpSp>
      <xdr:nvGrpSpPr>
        <xdr:cNvPr id="3462" name="Group 3461">
          <a:extLst>
            <a:ext uri="{FF2B5EF4-FFF2-40B4-BE49-F238E27FC236}">
              <a16:creationId xmlns:a16="http://schemas.microsoft.com/office/drawing/2014/main" id="{E0E6CBDB-FA67-4CB7-AFB3-8AD4E654FF91}"/>
            </a:ext>
          </a:extLst>
        </xdr:cNvPr>
        <xdr:cNvGrpSpPr/>
      </xdr:nvGrpSpPr>
      <xdr:grpSpPr>
        <a:xfrm>
          <a:off x="6826675" y="19996721"/>
          <a:ext cx="238169" cy="347168"/>
          <a:chOff x="6143939" y="789134"/>
          <a:chExt cx="457200" cy="518966"/>
        </a:xfrm>
      </xdr:grpSpPr>
      <xdr:grpSp>
        <xdr:nvGrpSpPr>
          <xdr:cNvPr id="3463" name="Group 3462">
            <a:extLst>
              <a:ext uri="{FF2B5EF4-FFF2-40B4-BE49-F238E27FC236}">
                <a16:creationId xmlns:a16="http://schemas.microsoft.com/office/drawing/2014/main" id="{DDF23888-3BAE-D31C-64DD-55E1A10249C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65" name="Straight Connector 3464">
              <a:extLst>
                <a:ext uri="{FF2B5EF4-FFF2-40B4-BE49-F238E27FC236}">
                  <a16:creationId xmlns:a16="http://schemas.microsoft.com/office/drawing/2014/main" id="{D8924B85-082A-882F-01DB-7F21B1096B5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6" name="Straight Connector 3465">
              <a:extLst>
                <a:ext uri="{FF2B5EF4-FFF2-40B4-BE49-F238E27FC236}">
                  <a16:creationId xmlns:a16="http://schemas.microsoft.com/office/drawing/2014/main" id="{A7797041-EA68-A16D-F69B-F83FCB62B35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7" name="Straight Connector 3466">
              <a:extLst>
                <a:ext uri="{FF2B5EF4-FFF2-40B4-BE49-F238E27FC236}">
                  <a16:creationId xmlns:a16="http://schemas.microsoft.com/office/drawing/2014/main" id="{5FBE8428-D8A4-76A5-24C2-585165C81DC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8" name="Straight Connector 3467">
              <a:extLst>
                <a:ext uri="{FF2B5EF4-FFF2-40B4-BE49-F238E27FC236}">
                  <a16:creationId xmlns:a16="http://schemas.microsoft.com/office/drawing/2014/main" id="{F05E87DE-810E-DA37-377F-2A6B784A330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69" name="Straight Connector 3468">
              <a:extLst>
                <a:ext uri="{FF2B5EF4-FFF2-40B4-BE49-F238E27FC236}">
                  <a16:creationId xmlns:a16="http://schemas.microsoft.com/office/drawing/2014/main" id="{13CB4864-7D63-8732-E25A-B6F8CFEB0E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0" name="Straight Connector 3469">
              <a:extLst>
                <a:ext uri="{FF2B5EF4-FFF2-40B4-BE49-F238E27FC236}">
                  <a16:creationId xmlns:a16="http://schemas.microsoft.com/office/drawing/2014/main" id="{34048BAC-80AA-EFB8-8172-1E7CDADCE92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84F5E916-FC7D-5E9C-7B9E-F453D8DCB16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426239</xdr:colOff>
      <xdr:row>70</xdr:row>
      <xdr:rowOff>164303</xdr:rowOff>
    </xdr:from>
    <xdr:to>
      <xdr:col>10</xdr:col>
      <xdr:colOff>40387</xdr:colOff>
      <xdr:row>74</xdr:row>
      <xdr:rowOff>262</xdr:rowOff>
    </xdr:to>
    <xdr:sp macro="" textlink="">
      <xdr:nvSpPr>
        <xdr:cNvPr id="3471" name="Isosceles Triangle 3470">
          <a:extLst>
            <a:ext uri="{FF2B5EF4-FFF2-40B4-BE49-F238E27FC236}">
              <a16:creationId xmlns:a16="http://schemas.microsoft.com/office/drawing/2014/main" id="{A431589E-FA0C-48F1-AFF6-EED64149FEFE}"/>
            </a:ext>
          </a:extLst>
        </xdr:cNvPr>
        <xdr:cNvSpPr/>
      </xdr:nvSpPr>
      <xdr:spPr>
        <a:xfrm>
          <a:off x="8579639" y="8942543"/>
          <a:ext cx="658088" cy="506519"/>
        </a:xfrm>
        <a:prstGeom prst="triangle">
          <a:avLst/>
        </a:prstGeom>
        <a:solidFill>
          <a:srgbClr val="FF0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10</xdr:col>
      <xdr:colOff>11088</xdr:colOff>
      <xdr:row>109</xdr:row>
      <xdr:rowOff>958</xdr:rowOff>
    </xdr:from>
    <xdr:to>
      <xdr:col>10</xdr:col>
      <xdr:colOff>233382</xdr:colOff>
      <xdr:row>111</xdr:row>
      <xdr:rowOff>1961</xdr:rowOff>
    </xdr:to>
    <xdr:grpSp>
      <xdr:nvGrpSpPr>
        <xdr:cNvPr id="3472" name="Group 3471">
          <a:extLst>
            <a:ext uri="{FF2B5EF4-FFF2-40B4-BE49-F238E27FC236}">
              <a16:creationId xmlns:a16="http://schemas.microsoft.com/office/drawing/2014/main" id="{122AEFDF-679F-466D-B8AB-9E52D0106E9F}"/>
            </a:ext>
          </a:extLst>
        </xdr:cNvPr>
        <xdr:cNvGrpSpPr/>
      </xdr:nvGrpSpPr>
      <xdr:grpSpPr>
        <a:xfrm>
          <a:off x="4841624" y="20057887"/>
          <a:ext cx="222294" cy="354788"/>
          <a:chOff x="6143939" y="789134"/>
          <a:chExt cx="457200" cy="518966"/>
        </a:xfrm>
      </xdr:grpSpPr>
      <xdr:grpSp>
        <xdr:nvGrpSpPr>
          <xdr:cNvPr id="3473" name="Group 3472">
            <a:extLst>
              <a:ext uri="{FF2B5EF4-FFF2-40B4-BE49-F238E27FC236}">
                <a16:creationId xmlns:a16="http://schemas.microsoft.com/office/drawing/2014/main" id="{C077FBCE-4C59-4776-D6C5-A7B5116F1D34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75" name="Straight Connector 3474">
              <a:extLst>
                <a:ext uri="{FF2B5EF4-FFF2-40B4-BE49-F238E27FC236}">
                  <a16:creationId xmlns:a16="http://schemas.microsoft.com/office/drawing/2014/main" id="{513539C5-F564-8795-EEF6-36A41D24BC81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6" name="Straight Connector 3475">
              <a:extLst>
                <a:ext uri="{FF2B5EF4-FFF2-40B4-BE49-F238E27FC236}">
                  <a16:creationId xmlns:a16="http://schemas.microsoft.com/office/drawing/2014/main" id="{6DF851D1-9E36-714B-C1FD-3B41E309E8E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7" name="Straight Connector 3476">
              <a:extLst>
                <a:ext uri="{FF2B5EF4-FFF2-40B4-BE49-F238E27FC236}">
                  <a16:creationId xmlns:a16="http://schemas.microsoft.com/office/drawing/2014/main" id="{BD3C76D8-3DE5-D600-697F-06F8F98107C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8" name="Straight Connector 3477">
              <a:extLst>
                <a:ext uri="{FF2B5EF4-FFF2-40B4-BE49-F238E27FC236}">
                  <a16:creationId xmlns:a16="http://schemas.microsoft.com/office/drawing/2014/main" id="{7C61D059-EE28-A580-E940-FAC26BE22D3B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79" name="Straight Connector 3478">
              <a:extLst>
                <a:ext uri="{FF2B5EF4-FFF2-40B4-BE49-F238E27FC236}">
                  <a16:creationId xmlns:a16="http://schemas.microsoft.com/office/drawing/2014/main" id="{678335C1-41B9-0107-CDA8-36768E00FA6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0" name="Straight Connector 3479">
              <a:extLst>
                <a:ext uri="{FF2B5EF4-FFF2-40B4-BE49-F238E27FC236}">
                  <a16:creationId xmlns:a16="http://schemas.microsoft.com/office/drawing/2014/main" id="{6BD10878-DA2C-116A-8172-F495D27F97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74" name="Straight Connector 3473">
            <a:extLst>
              <a:ext uri="{FF2B5EF4-FFF2-40B4-BE49-F238E27FC236}">
                <a16:creationId xmlns:a16="http://schemas.microsoft.com/office/drawing/2014/main" id="{914A49DE-3529-A073-05ED-68CE9E88969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21019</xdr:colOff>
      <xdr:row>75</xdr:row>
      <xdr:rowOff>52224</xdr:rowOff>
    </xdr:from>
    <xdr:to>
      <xdr:col>4</xdr:col>
      <xdr:colOff>259188</xdr:colOff>
      <xdr:row>77</xdr:row>
      <xdr:rowOff>45605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72531CE-9458-4E24-BF4F-D8A26172B6D2}"/>
            </a:ext>
          </a:extLst>
        </xdr:cNvPr>
        <xdr:cNvGrpSpPr/>
      </xdr:nvGrpSpPr>
      <xdr:grpSpPr>
        <a:xfrm>
          <a:off x="1871590" y="14094795"/>
          <a:ext cx="238169" cy="347167"/>
          <a:chOff x="6143939" y="789134"/>
          <a:chExt cx="457200" cy="518966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F6CC91A4-FF89-087A-A23D-F6F97FC6555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" name="Straight Connector 4">
              <a:extLst>
                <a:ext uri="{FF2B5EF4-FFF2-40B4-BE49-F238E27FC236}">
                  <a16:creationId xmlns:a16="http://schemas.microsoft.com/office/drawing/2014/main" id="{AB166371-4330-1B94-1440-B0F89FC18969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" name="Straight Connector 5">
              <a:extLst>
                <a:ext uri="{FF2B5EF4-FFF2-40B4-BE49-F238E27FC236}">
                  <a16:creationId xmlns:a16="http://schemas.microsoft.com/office/drawing/2014/main" id="{F8EA61D0-2BDF-CEEA-23F6-7C88044D5040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7" name="Straight Connector 6">
              <a:extLst>
                <a:ext uri="{FF2B5EF4-FFF2-40B4-BE49-F238E27FC236}">
                  <a16:creationId xmlns:a16="http://schemas.microsoft.com/office/drawing/2014/main" id="{37702889-4E6F-31BF-A91D-1AE56B020CF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8" name="Straight Connector 7">
              <a:extLst>
                <a:ext uri="{FF2B5EF4-FFF2-40B4-BE49-F238E27FC236}">
                  <a16:creationId xmlns:a16="http://schemas.microsoft.com/office/drawing/2014/main" id="{A437BEA1-BCBE-D37D-482A-72B7026B461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9" name="Straight Connector 8">
              <a:extLst>
                <a:ext uri="{FF2B5EF4-FFF2-40B4-BE49-F238E27FC236}">
                  <a16:creationId xmlns:a16="http://schemas.microsoft.com/office/drawing/2014/main" id="{C3B83A51-D785-090E-830F-F42ABC22930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F86D7A79-CFD2-24E2-0E04-987D64BC5454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5203226-1BDC-100A-3328-5E77DE5027B0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551131</xdr:colOff>
      <xdr:row>75</xdr:row>
      <xdr:rowOff>56825</xdr:rowOff>
    </xdr:from>
    <xdr:to>
      <xdr:col>6</xdr:col>
      <xdr:colOff>230938</xdr:colOff>
      <xdr:row>77</xdr:row>
      <xdr:rowOff>50206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4195292C-512B-4BE0-9EE8-9F04E1A2362F}"/>
            </a:ext>
          </a:extLst>
        </xdr:cNvPr>
        <xdr:cNvGrpSpPr/>
      </xdr:nvGrpSpPr>
      <xdr:grpSpPr>
        <a:xfrm>
          <a:off x="2837131" y="14099396"/>
          <a:ext cx="237700" cy="347167"/>
          <a:chOff x="6143939" y="789134"/>
          <a:chExt cx="457200" cy="518966"/>
        </a:xfrm>
      </xdr:grpSpPr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7CCE27F9-8549-AC9F-B1F5-4AF8677597A7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14" name="Straight Connector 13">
              <a:extLst>
                <a:ext uri="{FF2B5EF4-FFF2-40B4-BE49-F238E27FC236}">
                  <a16:creationId xmlns:a16="http://schemas.microsoft.com/office/drawing/2014/main" id="{12EBE684-63EC-CF4B-3BF7-745B30C84EB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5" name="Straight Connector 14">
              <a:extLst>
                <a:ext uri="{FF2B5EF4-FFF2-40B4-BE49-F238E27FC236}">
                  <a16:creationId xmlns:a16="http://schemas.microsoft.com/office/drawing/2014/main" id="{D5D8345B-0FC2-E222-E3DA-BE60956C3A8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Straight Connector 15">
              <a:extLst>
                <a:ext uri="{FF2B5EF4-FFF2-40B4-BE49-F238E27FC236}">
                  <a16:creationId xmlns:a16="http://schemas.microsoft.com/office/drawing/2014/main" id="{BCBAB1C6-688A-1C67-2E13-58DA0DF53359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Straight Connector 16">
              <a:extLst>
                <a:ext uri="{FF2B5EF4-FFF2-40B4-BE49-F238E27FC236}">
                  <a16:creationId xmlns:a16="http://schemas.microsoft.com/office/drawing/2014/main" id="{84D1DD29-A91C-7A8A-6644-A549A62FD644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8" name="Straight Connector 17">
              <a:extLst>
                <a:ext uri="{FF2B5EF4-FFF2-40B4-BE49-F238E27FC236}">
                  <a16:creationId xmlns:a16="http://schemas.microsoft.com/office/drawing/2014/main" id="{D55E14C5-1325-CDD2-60FD-88C8894E961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9" name="Straight Connector 18">
              <a:extLst>
                <a:ext uri="{FF2B5EF4-FFF2-40B4-BE49-F238E27FC236}">
                  <a16:creationId xmlns:a16="http://schemas.microsoft.com/office/drawing/2014/main" id="{10088F6D-204F-9FE0-DB9F-E06BA5AA33E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13" name="Straight Connector 12">
            <a:extLst>
              <a:ext uri="{FF2B5EF4-FFF2-40B4-BE49-F238E27FC236}">
                <a16:creationId xmlns:a16="http://schemas.microsoft.com/office/drawing/2014/main" id="{0DE78F0C-0A58-66D1-C6ED-5221862F74C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21023</xdr:colOff>
      <xdr:row>38</xdr:row>
      <xdr:rowOff>152402</xdr:rowOff>
    </xdr:from>
    <xdr:to>
      <xdr:col>28</xdr:col>
      <xdr:colOff>259192</xdr:colOff>
      <xdr:row>40</xdr:row>
      <xdr:rowOff>152451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D21983C-ED97-49B0-A45B-1B38B3CDD62C}"/>
            </a:ext>
          </a:extLst>
        </xdr:cNvPr>
        <xdr:cNvGrpSpPr/>
      </xdr:nvGrpSpPr>
      <xdr:grpSpPr>
        <a:xfrm>
          <a:off x="13805059" y="7663545"/>
          <a:ext cx="238169" cy="326620"/>
          <a:chOff x="6143939" y="789134"/>
          <a:chExt cx="457200" cy="518966"/>
        </a:xfrm>
      </xdr:grpSpPr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B6F9E29F-2234-7FAE-2D0A-5F7B6F5571B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3" name="Straight Connector 22">
              <a:extLst>
                <a:ext uri="{FF2B5EF4-FFF2-40B4-BE49-F238E27FC236}">
                  <a16:creationId xmlns:a16="http://schemas.microsoft.com/office/drawing/2014/main" id="{58FE80C4-F4A8-263A-2BBC-0F06532880E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4" name="Straight Connector 23">
              <a:extLst>
                <a:ext uri="{FF2B5EF4-FFF2-40B4-BE49-F238E27FC236}">
                  <a16:creationId xmlns:a16="http://schemas.microsoft.com/office/drawing/2014/main" id="{6B15999C-15A6-B859-A590-024F7119CA06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5" name="Straight Connector 24">
              <a:extLst>
                <a:ext uri="{FF2B5EF4-FFF2-40B4-BE49-F238E27FC236}">
                  <a16:creationId xmlns:a16="http://schemas.microsoft.com/office/drawing/2014/main" id="{4B2EA0A8-7328-3A21-5A78-787EE8709EB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6" name="Straight Connector 25">
              <a:extLst>
                <a:ext uri="{FF2B5EF4-FFF2-40B4-BE49-F238E27FC236}">
                  <a16:creationId xmlns:a16="http://schemas.microsoft.com/office/drawing/2014/main" id="{34B214F2-7507-7C60-7FDA-720904C9B8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7" name="Straight Connector 26">
              <a:extLst>
                <a:ext uri="{FF2B5EF4-FFF2-40B4-BE49-F238E27FC236}">
                  <a16:creationId xmlns:a16="http://schemas.microsoft.com/office/drawing/2014/main" id="{3F7B45EB-FD57-3045-6D51-5330C28EE9DF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8" name="Straight Connector 27">
              <a:extLst>
                <a:ext uri="{FF2B5EF4-FFF2-40B4-BE49-F238E27FC236}">
                  <a16:creationId xmlns:a16="http://schemas.microsoft.com/office/drawing/2014/main" id="{D8F8EB79-0453-D22C-EF8F-10EF62435F3E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2" name="Straight Connector 21">
            <a:extLst>
              <a:ext uri="{FF2B5EF4-FFF2-40B4-BE49-F238E27FC236}">
                <a16:creationId xmlns:a16="http://schemas.microsoft.com/office/drawing/2014/main" id="{A94F943E-31CA-D93B-0444-283EF893EDB4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546537</xdr:colOff>
      <xdr:row>50</xdr:row>
      <xdr:rowOff>119560</xdr:rowOff>
    </xdr:from>
    <xdr:to>
      <xdr:col>12</xdr:col>
      <xdr:colOff>226343</xdr:colOff>
      <xdr:row>52</xdr:row>
      <xdr:rowOff>119609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DBD5AB15-85C0-4DAB-99DE-7FA660297E30}"/>
            </a:ext>
          </a:extLst>
        </xdr:cNvPr>
        <xdr:cNvGrpSpPr/>
      </xdr:nvGrpSpPr>
      <xdr:grpSpPr>
        <a:xfrm>
          <a:off x="5812501" y="9739810"/>
          <a:ext cx="237699" cy="353835"/>
          <a:chOff x="6143939" y="789134"/>
          <a:chExt cx="457200" cy="518966"/>
        </a:xfrm>
      </xdr:grpSpPr>
      <xdr:grpSp>
        <xdr:nvGrpSpPr>
          <xdr:cNvPr id="30" name="Group 29">
            <a:extLst>
              <a:ext uri="{FF2B5EF4-FFF2-40B4-BE49-F238E27FC236}">
                <a16:creationId xmlns:a16="http://schemas.microsoft.com/office/drawing/2014/main" id="{E5682516-A976-664A-928B-D826AA3D801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2" name="Straight Connector 31">
              <a:extLst>
                <a:ext uri="{FF2B5EF4-FFF2-40B4-BE49-F238E27FC236}">
                  <a16:creationId xmlns:a16="http://schemas.microsoft.com/office/drawing/2014/main" id="{0AAC010A-14B6-BB7B-514D-E1018CE8BC5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3" name="Straight Connector 32">
              <a:extLst>
                <a:ext uri="{FF2B5EF4-FFF2-40B4-BE49-F238E27FC236}">
                  <a16:creationId xmlns:a16="http://schemas.microsoft.com/office/drawing/2014/main" id="{5032977B-9CED-BA1E-8548-58B09972A04E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" name="Straight Connector 33">
              <a:extLst>
                <a:ext uri="{FF2B5EF4-FFF2-40B4-BE49-F238E27FC236}">
                  <a16:creationId xmlns:a16="http://schemas.microsoft.com/office/drawing/2014/main" id="{9BD5A8AE-C567-800D-DED4-69AAF50C3A58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" name="Straight Connector 34">
              <a:extLst>
                <a:ext uri="{FF2B5EF4-FFF2-40B4-BE49-F238E27FC236}">
                  <a16:creationId xmlns:a16="http://schemas.microsoft.com/office/drawing/2014/main" id="{69E888F3-3E84-1E0B-3B5B-7EC873D76A6C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6" name="Straight Connector 35">
              <a:extLst>
                <a:ext uri="{FF2B5EF4-FFF2-40B4-BE49-F238E27FC236}">
                  <a16:creationId xmlns:a16="http://schemas.microsoft.com/office/drawing/2014/main" id="{36D923DF-5B8F-C965-D4D5-92217DBD551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7" name="Straight Connector 36">
              <a:extLst>
                <a:ext uri="{FF2B5EF4-FFF2-40B4-BE49-F238E27FC236}">
                  <a16:creationId xmlns:a16="http://schemas.microsoft.com/office/drawing/2014/main" id="{55222FF3-6A5A-FEC5-A814-DA89AFF4B06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1" name="Straight Connector 30">
            <a:extLst>
              <a:ext uri="{FF2B5EF4-FFF2-40B4-BE49-F238E27FC236}">
                <a16:creationId xmlns:a16="http://schemas.microsoft.com/office/drawing/2014/main" id="{1F23074F-9473-F07A-7566-D74D02D3BCB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21028</xdr:colOff>
      <xdr:row>75</xdr:row>
      <xdr:rowOff>158147</xdr:rowOff>
    </xdr:from>
    <xdr:to>
      <xdr:col>26</xdr:col>
      <xdr:colOff>259197</xdr:colOff>
      <xdr:row>77</xdr:row>
      <xdr:rowOff>151529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9E05036-D06C-4BBD-AD79-0ED8C079BC61}"/>
            </a:ext>
          </a:extLst>
        </xdr:cNvPr>
        <xdr:cNvGrpSpPr/>
      </xdr:nvGrpSpPr>
      <xdr:grpSpPr>
        <a:xfrm>
          <a:off x="12811742" y="14200718"/>
          <a:ext cx="238169" cy="347168"/>
          <a:chOff x="6143939" y="789134"/>
          <a:chExt cx="457200" cy="518966"/>
        </a:xfrm>
      </xdr:grpSpPr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BD1EB466-F987-23F0-842A-C852D11809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41" name="Straight Connector 40">
              <a:extLst>
                <a:ext uri="{FF2B5EF4-FFF2-40B4-BE49-F238E27FC236}">
                  <a16:creationId xmlns:a16="http://schemas.microsoft.com/office/drawing/2014/main" id="{C7EC218E-9E34-0184-28EE-AF10E492FE56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7FAA676C-8FB5-F007-02CC-C4F8E685DE68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AA5EC106-4119-343A-CB78-0D6F8B72C8C0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E37F57E2-4950-4A95-3304-E97453C366D6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5" name="Straight Connector 44">
              <a:extLst>
                <a:ext uri="{FF2B5EF4-FFF2-40B4-BE49-F238E27FC236}">
                  <a16:creationId xmlns:a16="http://schemas.microsoft.com/office/drawing/2014/main" id="{2DC7F00A-0762-31D0-E2A1-506023409A24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46" name="Straight Connector 45">
              <a:extLst>
                <a:ext uri="{FF2B5EF4-FFF2-40B4-BE49-F238E27FC236}">
                  <a16:creationId xmlns:a16="http://schemas.microsoft.com/office/drawing/2014/main" id="{B1DCAF89-4C47-B0B1-78D1-086D80ED223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0" name="Straight Connector 39">
            <a:extLst>
              <a:ext uri="{FF2B5EF4-FFF2-40B4-BE49-F238E27FC236}">
                <a16:creationId xmlns:a16="http://schemas.microsoft.com/office/drawing/2014/main" id="{2D91E35D-3A09-4946-FE92-12C1F9745E3E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30</xdr:col>
      <xdr:colOff>9196</xdr:colOff>
      <xdr:row>76</xdr:row>
      <xdr:rowOff>14946</xdr:rowOff>
    </xdr:from>
    <xdr:to>
      <xdr:col>30</xdr:col>
      <xdr:colOff>247365</xdr:colOff>
      <xdr:row>78</xdr:row>
      <xdr:rowOff>8327</xdr:rowOff>
    </xdr:to>
    <xdr:grpSp>
      <xdr:nvGrpSpPr>
        <xdr:cNvPr id="47" name="Group 46">
          <a:extLst>
            <a:ext uri="{FF2B5EF4-FFF2-40B4-BE49-F238E27FC236}">
              <a16:creationId xmlns:a16="http://schemas.microsoft.com/office/drawing/2014/main" id="{F39C21C5-E484-4779-A2FE-1D0E49AC8B8D}"/>
            </a:ext>
          </a:extLst>
        </xdr:cNvPr>
        <xdr:cNvGrpSpPr/>
      </xdr:nvGrpSpPr>
      <xdr:grpSpPr>
        <a:xfrm>
          <a:off x="14786553" y="14234410"/>
          <a:ext cx="238169" cy="347167"/>
          <a:chOff x="6143939" y="789134"/>
          <a:chExt cx="457200" cy="518966"/>
        </a:xfrm>
      </xdr:grpSpPr>
      <xdr:grpSp>
        <xdr:nvGrpSpPr>
          <xdr:cNvPr id="48" name="Group 47">
            <a:extLst>
              <a:ext uri="{FF2B5EF4-FFF2-40B4-BE49-F238E27FC236}">
                <a16:creationId xmlns:a16="http://schemas.microsoft.com/office/drawing/2014/main" id="{F0D3664E-6845-2787-7682-A61A0811A31F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0" name="Straight Connector 49">
              <a:extLst>
                <a:ext uri="{FF2B5EF4-FFF2-40B4-BE49-F238E27FC236}">
                  <a16:creationId xmlns:a16="http://schemas.microsoft.com/office/drawing/2014/main" id="{7DB9B45D-3713-1E2E-11E0-B0F6900E870E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1" name="Straight Connector 50">
              <a:extLst>
                <a:ext uri="{FF2B5EF4-FFF2-40B4-BE49-F238E27FC236}">
                  <a16:creationId xmlns:a16="http://schemas.microsoft.com/office/drawing/2014/main" id="{B1E9CB74-A010-C0F3-1A97-079B68F5843C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2" name="Straight Connector 51">
              <a:extLst>
                <a:ext uri="{FF2B5EF4-FFF2-40B4-BE49-F238E27FC236}">
                  <a16:creationId xmlns:a16="http://schemas.microsoft.com/office/drawing/2014/main" id="{DBFC8D07-A9B6-A98A-B8D4-E066492377B6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3" name="Straight Connector 52">
              <a:extLst>
                <a:ext uri="{FF2B5EF4-FFF2-40B4-BE49-F238E27FC236}">
                  <a16:creationId xmlns:a16="http://schemas.microsoft.com/office/drawing/2014/main" id="{8ED3D509-D871-76C6-B6F0-5AAC41287630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4" name="Straight Connector 53">
              <a:extLst>
                <a:ext uri="{FF2B5EF4-FFF2-40B4-BE49-F238E27FC236}">
                  <a16:creationId xmlns:a16="http://schemas.microsoft.com/office/drawing/2014/main" id="{51C8ED3B-39A5-4587-2ABF-C5FFBA2289C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55" name="Straight Connector 54">
              <a:extLst>
                <a:ext uri="{FF2B5EF4-FFF2-40B4-BE49-F238E27FC236}">
                  <a16:creationId xmlns:a16="http://schemas.microsoft.com/office/drawing/2014/main" id="{95893954-DEEC-08F8-DEFB-0B5F8D0AD0C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49" name="Straight Connector 48">
            <a:extLst>
              <a:ext uri="{FF2B5EF4-FFF2-40B4-BE49-F238E27FC236}">
                <a16:creationId xmlns:a16="http://schemas.microsoft.com/office/drawing/2014/main" id="{4F6BBCD4-D7C4-3317-BB7D-B730592386A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108</xdr:colOff>
      <xdr:row>86</xdr:row>
      <xdr:rowOff>134504</xdr:rowOff>
    </xdr:from>
    <xdr:to>
      <xdr:col>2</xdr:col>
      <xdr:colOff>235540</xdr:colOff>
      <xdr:row>88</xdr:row>
      <xdr:rowOff>127886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CA4B3492-A6F4-41BC-B99B-15F671FC1E9F}"/>
            </a:ext>
          </a:extLst>
        </xdr:cNvPr>
        <xdr:cNvGrpSpPr/>
      </xdr:nvGrpSpPr>
      <xdr:grpSpPr>
        <a:xfrm>
          <a:off x="857358" y="16122897"/>
          <a:ext cx="235432" cy="347168"/>
          <a:chOff x="6143939" y="789134"/>
          <a:chExt cx="457200" cy="518966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9627333E-0D48-128C-7059-8DFA0E2BD2E0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59" name="Straight Connector 58">
              <a:extLst>
                <a:ext uri="{FF2B5EF4-FFF2-40B4-BE49-F238E27FC236}">
                  <a16:creationId xmlns:a16="http://schemas.microsoft.com/office/drawing/2014/main" id="{79EC8432-415F-3CD7-D904-9529E8DF041F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0" name="Straight Connector 59">
              <a:extLst>
                <a:ext uri="{FF2B5EF4-FFF2-40B4-BE49-F238E27FC236}">
                  <a16:creationId xmlns:a16="http://schemas.microsoft.com/office/drawing/2014/main" id="{3238501E-44AF-4920-CB96-93B9D8837EC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1" name="Straight Connector 60">
              <a:extLst>
                <a:ext uri="{FF2B5EF4-FFF2-40B4-BE49-F238E27FC236}">
                  <a16:creationId xmlns:a16="http://schemas.microsoft.com/office/drawing/2014/main" id="{F61E567A-1717-433D-6152-6279633F93C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2" name="Straight Connector 61">
              <a:extLst>
                <a:ext uri="{FF2B5EF4-FFF2-40B4-BE49-F238E27FC236}">
                  <a16:creationId xmlns:a16="http://schemas.microsoft.com/office/drawing/2014/main" id="{EF333329-58E9-39D4-E554-6545D90678E5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63" name="Straight Connector 62">
              <a:extLst>
                <a:ext uri="{FF2B5EF4-FFF2-40B4-BE49-F238E27FC236}">
                  <a16:creationId xmlns:a16="http://schemas.microsoft.com/office/drawing/2014/main" id="{452599D5-52B7-1BF2-D289-5144DD56DD86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48" name="Straight Connector 2047">
              <a:extLst>
                <a:ext uri="{FF2B5EF4-FFF2-40B4-BE49-F238E27FC236}">
                  <a16:creationId xmlns:a16="http://schemas.microsoft.com/office/drawing/2014/main" id="{79DC5CBF-80AE-9037-B2BB-8BD1563AC66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58" name="Straight Connector 57">
            <a:extLst>
              <a:ext uri="{FF2B5EF4-FFF2-40B4-BE49-F238E27FC236}">
                <a16:creationId xmlns:a16="http://schemas.microsoft.com/office/drawing/2014/main" id="{90EE5D60-7940-A871-2F3F-36531D801613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18392</xdr:colOff>
      <xdr:row>87</xdr:row>
      <xdr:rowOff>7726</xdr:rowOff>
    </xdr:from>
    <xdr:to>
      <xdr:col>4</xdr:col>
      <xdr:colOff>256561</xdr:colOff>
      <xdr:row>89</xdr:row>
      <xdr:rowOff>1107</xdr:rowOff>
    </xdr:to>
    <xdr:grpSp>
      <xdr:nvGrpSpPr>
        <xdr:cNvPr id="2049" name="Group 2048">
          <a:extLst>
            <a:ext uri="{FF2B5EF4-FFF2-40B4-BE49-F238E27FC236}">
              <a16:creationId xmlns:a16="http://schemas.microsoft.com/office/drawing/2014/main" id="{67427F94-646A-4EA3-8B19-1644B0DE846C}"/>
            </a:ext>
          </a:extLst>
        </xdr:cNvPr>
        <xdr:cNvGrpSpPr/>
      </xdr:nvGrpSpPr>
      <xdr:grpSpPr>
        <a:xfrm>
          <a:off x="1868963" y="16173012"/>
          <a:ext cx="238169" cy="347166"/>
          <a:chOff x="6143939" y="789134"/>
          <a:chExt cx="457200" cy="518966"/>
        </a:xfrm>
      </xdr:grpSpPr>
      <xdr:grpSp>
        <xdr:nvGrpSpPr>
          <xdr:cNvPr id="2050" name="Group 2049">
            <a:extLst>
              <a:ext uri="{FF2B5EF4-FFF2-40B4-BE49-F238E27FC236}">
                <a16:creationId xmlns:a16="http://schemas.microsoft.com/office/drawing/2014/main" id="{915D6AD7-1B27-680D-A223-047F943F8875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52" name="Straight Connector 2051">
              <a:extLst>
                <a:ext uri="{FF2B5EF4-FFF2-40B4-BE49-F238E27FC236}">
                  <a16:creationId xmlns:a16="http://schemas.microsoft.com/office/drawing/2014/main" id="{F14B7427-3843-E0D0-3A9E-41A9F5F0F825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3" name="Straight Connector 2052">
              <a:extLst>
                <a:ext uri="{FF2B5EF4-FFF2-40B4-BE49-F238E27FC236}">
                  <a16:creationId xmlns:a16="http://schemas.microsoft.com/office/drawing/2014/main" id="{C12FB929-C359-453B-38B5-729B155648F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4" name="Straight Connector 2053">
              <a:extLst>
                <a:ext uri="{FF2B5EF4-FFF2-40B4-BE49-F238E27FC236}">
                  <a16:creationId xmlns:a16="http://schemas.microsoft.com/office/drawing/2014/main" id="{CD034B94-0476-942B-E44F-31E5D1DD0E8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5" name="Straight Connector 2054">
              <a:extLst>
                <a:ext uri="{FF2B5EF4-FFF2-40B4-BE49-F238E27FC236}">
                  <a16:creationId xmlns:a16="http://schemas.microsoft.com/office/drawing/2014/main" id="{19B734B7-3C00-1694-3632-48531243B89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6" name="Straight Connector 2055">
              <a:extLst>
                <a:ext uri="{FF2B5EF4-FFF2-40B4-BE49-F238E27FC236}">
                  <a16:creationId xmlns:a16="http://schemas.microsoft.com/office/drawing/2014/main" id="{465220BD-A2BE-D269-2079-8614F5BC98DD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57" name="Straight Connector 2056">
              <a:extLst>
                <a:ext uri="{FF2B5EF4-FFF2-40B4-BE49-F238E27FC236}">
                  <a16:creationId xmlns:a16="http://schemas.microsoft.com/office/drawing/2014/main" id="{DF1B6B3A-D41A-0F82-C2A9-8A8BE9919B5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51" name="Straight Connector 2050">
            <a:extLst>
              <a:ext uri="{FF2B5EF4-FFF2-40B4-BE49-F238E27FC236}">
                <a16:creationId xmlns:a16="http://schemas.microsoft.com/office/drawing/2014/main" id="{934CBB61-8AC8-4419-385E-F080259CA339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18</xdr:col>
      <xdr:colOff>21017</xdr:colOff>
      <xdr:row>97</xdr:row>
      <xdr:rowOff>135978</xdr:rowOff>
    </xdr:from>
    <xdr:to>
      <xdr:col>18</xdr:col>
      <xdr:colOff>259186</xdr:colOff>
      <xdr:row>99</xdr:row>
      <xdr:rowOff>136028</xdr:rowOff>
    </xdr:to>
    <xdr:grpSp>
      <xdr:nvGrpSpPr>
        <xdr:cNvPr id="2058" name="Group 2057">
          <a:extLst>
            <a:ext uri="{FF2B5EF4-FFF2-40B4-BE49-F238E27FC236}">
              <a16:creationId xmlns:a16="http://schemas.microsoft.com/office/drawing/2014/main" id="{9991B4AA-A2D0-43A1-857B-5C389E8E586D}"/>
            </a:ext>
          </a:extLst>
        </xdr:cNvPr>
        <xdr:cNvGrpSpPr/>
      </xdr:nvGrpSpPr>
      <xdr:grpSpPr>
        <a:xfrm>
          <a:off x="8838446" y="18070192"/>
          <a:ext cx="238169" cy="353836"/>
          <a:chOff x="6143939" y="789134"/>
          <a:chExt cx="457200" cy="518966"/>
        </a:xfrm>
      </xdr:grpSpPr>
      <xdr:grpSp>
        <xdr:nvGrpSpPr>
          <xdr:cNvPr id="2059" name="Group 2058">
            <a:extLst>
              <a:ext uri="{FF2B5EF4-FFF2-40B4-BE49-F238E27FC236}">
                <a16:creationId xmlns:a16="http://schemas.microsoft.com/office/drawing/2014/main" id="{2236ED94-A0BC-516B-1B2E-F760672DF8C8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61" name="Straight Connector 2060">
              <a:extLst>
                <a:ext uri="{FF2B5EF4-FFF2-40B4-BE49-F238E27FC236}">
                  <a16:creationId xmlns:a16="http://schemas.microsoft.com/office/drawing/2014/main" id="{A41433EC-0151-2A36-D819-1BC7F2C28732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2" name="Straight Connector 2061">
              <a:extLst>
                <a:ext uri="{FF2B5EF4-FFF2-40B4-BE49-F238E27FC236}">
                  <a16:creationId xmlns:a16="http://schemas.microsoft.com/office/drawing/2014/main" id="{C11E9ACD-2D72-F376-45DC-2510E5B6549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3" name="Straight Connector 2062">
              <a:extLst>
                <a:ext uri="{FF2B5EF4-FFF2-40B4-BE49-F238E27FC236}">
                  <a16:creationId xmlns:a16="http://schemas.microsoft.com/office/drawing/2014/main" id="{14AD6CFA-613B-B07D-8377-6754FBDB13F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4" name="Straight Connector 2063">
              <a:extLst>
                <a:ext uri="{FF2B5EF4-FFF2-40B4-BE49-F238E27FC236}">
                  <a16:creationId xmlns:a16="http://schemas.microsoft.com/office/drawing/2014/main" id="{C6287DA6-C14D-929F-589D-78333EF95BC8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5" name="Straight Connector 2064">
              <a:extLst>
                <a:ext uri="{FF2B5EF4-FFF2-40B4-BE49-F238E27FC236}">
                  <a16:creationId xmlns:a16="http://schemas.microsoft.com/office/drawing/2014/main" id="{85CDED00-9CCE-1CB0-2545-0F395718E43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66" name="Straight Connector 2065">
              <a:extLst>
                <a:ext uri="{FF2B5EF4-FFF2-40B4-BE49-F238E27FC236}">
                  <a16:creationId xmlns:a16="http://schemas.microsoft.com/office/drawing/2014/main" id="{60DEEAEA-A6A5-053D-DBB8-4FF9D6B32E33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0" name="Straight Connector 2059">
            <a:extLst>
              <a:ext uri="{FF2B5EF4-FFF2-40B4-BE49-F238E27FC236}">
                <a16:creationId xmlns:a16="http://schemas.microsoft.com/office/drawing/2014/main" id="{62EC2F52-D54F-EDF0-278E-1C501AD5DD42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4595</xdr:colOff>
      <xdr:row>199</xdr:row>
      <xdr:rowOff>53867</xdr:rowOff>
    </xdr:from>
    <xdr:to>
      <xdr:col>26</xdr:col>
      <xdr:colOff>242764</xdr:colOff>
      <xdr:row>201</xdr:row>
      <xdr:rowOff>53916</xdr:rowOff>
    </xdr:to>
    <xdr:grpSp>
      <xdr:nvGrpSpPr>
        <xdr:cNvPr id="2067" name="Group 2066">
          <a:extLst>
            <a:ext uri="{FF2B5EF4-FFF2-40B4-BE49-F238E27FC236}">
              <a16:creationId xmlns:a16="http://schemas.microsoft.com/office/drawing/2014/main" id="{60D1B614-356A-494A-A9A8-AA91DE705845}"/>
            </a:ext>
          </a:extLst>
        </xdr:cNvPr>
        <xdr:cNvGrpSpPr/>
      </xdr:nvGrpSpPr>
      <xdr:grpSpPr>
        <a:xfrm>
          <a:off x="12795309" y="35895081"/>
          <a:ext cx="238169" cy="353835"/>
          <a:chOff x="6143939" y="789134"/>
          <a:chExt cx="457200" cy="518966"/>
        </a:xfrm>
      </xdr:grpSpPr>
      <xdr:grpSp>
        <xdr:nvGrpSpPr>
          <xdr:cNvPr id="2068" name="Group 2067">
            <a:extLst>
              <a:ext uri="{FF2B5EF4-FFF2-40B4-BE49-F238E27FC236}">
                <a16:creationId xmlns:a16="http://schemas.microsoft.com/office/drawing/2014/main" id="{5AB6E802-1B25-343F-5146-01B2B6C98033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0" name="Straight Connector 2069">
              <a:extLst>
                <a:ext uri="{FF2B5EF4-FFF2-40B4-BE49-F238E27FC236}">
                  <a16:creationId xmlns:a16="http://schemas.microsoft.com/office/drawing/2014/main" id="{FDBB1F7B-93CA-2637-73E5-B4616CB6D43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1" name="Straight Connector 2070">
              <a:extLst>
                <a:ext uri="{FF2B5EF4-FFF2-40B4-BE49-F238E27FC236}">
                  <a16:creationId xmlns:a16="http://schemas.microsoft.com/office/drawing/2014/main" id="{6830DCC8-3ABA-C5A8-84B9-C11A76662C84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2" name="Straight Connector 2071">
              <a:extLst>
                <a:ext uri="{FF2B5EF4-FFF2-40B4-BE49-F238E27FC236}">
                  <a16:creationId xmlns:a16="http://schemas.microsoft.com/office/drawing/2014/main" id="{7EA02FD9-D812-365E-D064-B90C9B01732D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3" name="Straight Connector 2072">
              <a:extLst>
                <a:ext uri="{FF2B5EF4-FFF2-40B4-BE49-F238E27FC236}">
                  <a16:creationId xmlns:a16="http://schemas.microsoft.com/office/drawing/2014/main" id="{8A939E06-70B0-ED78-3B19-3CD3BB96614F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4" name="Straight Connector 2073">
              <a:extLst>
                <a:ext uri="{FF2B5EF4-FFF2-40B4-BE49-F238E27FC236}">
                  <a16:creationId xmlns:a16="http://schemas.microsoft.com/office/drawing/2014/main" id="{58956218-93EF-882F-F8E4-CB9D895BAE78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75" name="Straight Connector 2074">
              <a:extLst>
                <a:ext uri="{FF2B5EF4-FFF2-40B4-BE49-F238E27FC236}">
                  <a16:creationId xmlns:a16="http://schemas.microsoft.com/office/drawing/2014/main" id="{1FB6012D-9F71-2F75-EE07-F00720A23176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B3C91428-C8D6-4D9D-FC5F-4B32CB070F21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4614</xdr:colOff>
      <xdr:row>211</xdr:row>
      <xdr:rowOff>85068</xdr:rowOff>
    </xdr:from>
    <xdr:to>
      <xdr:col>6</xdr:col>
      <xdr:colOff>242783</xdr:colOff>
      <xdr:row>213</xdr:row>
      <xdr:rowOff>78449</xdr:rowOff>
    </xdr:to>
    <xdr:grpSp>
      <xdr:nvGrpSpPr>
        <xdr:cNvPr id="2076" name="Group 2075">
          <a:extLst>
            <a:ext uri="{FF2B5EF4-FFF2-40B4-BE49-F238E27FC236}">
              <a16:creationId xmlns:a16="http://schemas.microsoft.com/office/drawing/2014/main" id="{425FE0C4-DEF1-45D9-AEC8-182FBE3A91C2}"/>
            </a:ext>
          </a:extLst>
        </xdr:cNvPr>
        <xdr:cNvGrpSpPr/>
      </xdr:nvGrpSpPr>
      <xdr:grpSpPr>
        <a:xfrm>
          <a:off x="2848507" y="38048997"/>
          <a:ext cx="238169" cy="347166"/>
          <a:chOff x="6143939" y="789134"/>
          <a:chExt cx="457200" cy="518966"/>
        </a:xfrm>
      </xdr:grpSpPr>
      <xdr:grpSp>
        <xdr:nvGrpSpPr>
          <xdr:cNvPr id="2077" name="Group 2076">
            <a:extLst>
              <a:ext uri="{FF2B5EF4-FFF2-40B4-BE49-F238E27FC236}">
                <a16:creationId xmlns:a16="http://schemas.microsoft.com/office/drawing/2014/main" id="{30FE2F0D-8635-6CEF-ED73-7186D59992CE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79" name="Straight Connector 2078">
              <a:extLst>
                <a:ext uri="{FF2B5EF4-FFF2-40B4-BE49-F238E27FC236}">
                  <a16:creationId xmlns:a16="http://schemas.microsoft.com/office/drawing/2014/main" id="{D25A2AD5-6C83-B51C-B1FD-818B70035E87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0" name="Straight Connector 2079">
              <a:extLst>
                <a:ext uri="{FF2B5EF4-FFF2-40B4-BE49-F238E27FC236}">
                  <a16:creationId xmlns:a16="http://schemas.microsoft.com/office/drawing/2014/main" id="{04D2F080-25A0-BA0E-E6B8-AB5B7624055A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1" name="Straight Connector 2080">
              <a:extLst>
                <a:ext uri="{FF2B5EF4-FFF2-40B4-BE49-F238E27FC236}">
                  <a16:creationId xmlns:a16="http://schemas.microsoft.com/office/drawing/2014/main" id="{BC298FAA-7E31-E452-4A7D-CB68B8CFE6E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2" name="Straight Connector 2081">
              <a:extLst>
                <a:ext uri="{FF2B5EF4-FFF2-40B4-BE49-F238E27FC236}">
                  <a16:creationId xmlns:a16="http://schemas.microsoft.com/office/drawing/2014/main" id="{ED34B3F3-31B4-1F51-6F82-6AFFDB838DD1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3" name="Straight Connector 2082">
              <a:extLst>
                <a:ext uri="{FF2B5EF4-FFF2-40B4-BE49-F238E27FC236}">
                  <a16:creationId xmlns:a16="http://schemas.microsoft.com/office/drawing/2014/main" id="{860E0CD1-757B-81DC-F7AF-EF7E33DBA790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84" name="Straight Connector 2083">
              <a:extLst>
                <a:ext uri="{FF2B5EF4-FFF2-40B4-BE49-F238E27FC236}">
                  <a16:creationId xmlns:a16="http://schemas.microsoft.com/office/drawing/2014/main" id="{D12D507F-BB4E-C1D6-5742-174203D52F00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78" name="Straight Connector 2077">
            <a:extLst>
              <a:ext uri="{FF2B5EF4-FFF2-40B4-BE49-F238E27FC236}">
                <a16:creationId xmlns:a16="http://schemas.microsoft.com/office/drawing/2014/main" id="{1B371A5A-9A72-8E18-7481-3ADD57E7252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4605</xdr:colOff>
      <xdr:row>199</xdr:row>
      <xdr:rowOff>37445</xdr:rowOff>
    </xdr:from>
    <xdr:to>
      <xdr:col>22</xdr:col>
      <xdr:colOff>242774</xdr:colOff>
      <xdr:row>201</xdr:row>
      <xdr:rowOff>37494</xdr:rowOff>
    </xdr:to>
    <xdr:grpSp>
      <xdr:nvGrpSpPr>
        <xdr:cNvPr id="2086" name="Group 2085">
          <a:extLst>
            <a:ext uri="{FF2B5EF4-FFF2-40B4-BE49-F238E27FC236}">
              <a16:creationId xmlns:a16="http://schemas.microsoft.com/office/drawing/2014/main" id="{27406CE3-DD1F-4330-84B5-2D992B3E6899}"/>
            </a:ext>
          </a:extLst>
        </xdr:cNvPr>
        <xdr:cNvGrpSpPr/>
      </xdr:nvGrpSpPr>
      <xdr:grpSpPr>
        <a:xfrm>
          <a:off x="10808676" y="35878659"/>
          <a:ext cx="238169" cy="353835"/>
          <a:chOff x="6143939" y="789134"/>
          <a:chExt cx="457200" cy="518966"/>
        </a:xfrm>
      </xdr:grpSpPr>
      <xdr:grpSp>
        <xdr:nvGrpSpPr>
          <xdr:cNvPr id="2087" name="Group 2086">
            <a:extLst>
              <a:ext uri="{FF2B5EF4-FFF2-40B4-BE49-F238E27FC236}">
                <a16:creationId xmlns:a16="http://schemas.microsoft.com/office/drawing/2014/main" id="{52B5C389-A28B-8939-3831-5603C42FB12A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89" name="Straight Connector 2088">
              <a:extLst>
                <a:ext uri="{FF2B5EF4-FFF2-40B4-BE49-F238E27FC236}">
                  <a16:creationId xmlns:a16="http://schemas.microsoft.com/office/drawing/2014/main" id="{A55ED161-2207-850B-4791-A22D5A0837B8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0" name="Straight Connector 2089">
              <a:extLst>
                <a:ext uri="{FF2B5EF4-FFF2-40B4-BE49-F238E27FC236}">
                  <a16:creationId xmlns:a16="http://schemas.microsoft.com/office/drawing/2014/main" id="{D6034625-6F84-2F2D-C8BE-10FC85EC1D5B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1" name="Straight Connector 2090">
              <a:extLst>
                <a:ext uri="{FF2B5EF4-FFF2-40B4-BE49-F238E27FC236}">
                  <a16:creationId xmlns:a16="http://schemas.microsoft.com/office/drawing/2014/main" id="{9246940D-83E4-E2EB-217C-00D6B78AF571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2" name="Straight Connector 2091">
              <a:extLst>
                <a:ext uri="{FF2B5EF4-FFF2-40B4-BE49-F238E27FC236}">
                  <a16:creationId xmlns:a16="http://schemas.microsoft.com/office/drawing/2014/main" id="{F7637798-42B9-D91F-7F0C-81C8D572656A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3" name="Straight Connector 2092">
              <a:extLst>
                <a:ext uri="{FF2B5EF4-FFF2-40B4-BE49-F238E27FC236}">
                  <a16:creationId xmlns:a16="http://schemas.microsoft.com/office/drawing/2014/main" id="{E3C13B39-E1FE-4B82-0357-415923DD3FB5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094" name="Straight Connector 2093">
              <a:extLst>
                <a:ext uri="{FF2B5EF4-FFF2-40B4-BE49-F238E27FC236}">
                  <a16:creationId xmlns:a16="http://schemas.microsoft.com/office/drawing/2014/main" id="{44B5227B-8332-E674-A4B8-08B98B7ECB3B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88" name="Straight Connector 2087">
            <a:extLst>
              <a:ext uri="{FF2B5EF4-FFF2-40B4-BE49-F238E27FC236}">
                <a16:creationId xmlns:a16="http://schemas.microsoft.com/office/drawing/2014/main" id="{A2303FF6-538B-2322-C79C-FDC077423C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416212</xdr:colOff>
      <xdr:row>71</xdr:row>
      <xdr:rowOff>14010</xdr:rowOff>
    </xdr:from>
    <xdr:to>
      <xdr:col>6</xdr:col>
      <xdr:colOff>42266</xdr:colOff>
      <xdr:row>74</xdr:row>
      <xdr:rowOff>6955</xdr:rowOff>
    </xdr:to>
    <xdr:sp macro="" textlink="">
      <xdr:nvSpPr>
        <xdr:cNvPr id="2095" name="Isosceles Triangle 2094">
          <a:extLst>
            <a:ext uri="{FF2B5EF4-FFF2-40B4-BE49-F238E27FC236}">
              <a16:creationId xmlns:a16="http://schemas.microsoft.com/office/drawing/2014/main" id="{7E75AB1C-5C91-40D3-AF03-B04176A20AA1}"/>
            </a:ext>
          </a:extLst>
        </xdr:cNvPr>
        <xdr:cNvSpPr/>
      </xdr:nvSpPr>
      <xdr:spPr>
        <a:xfrm>
          <a:off x="6295436" y="8734312"/>
          <a:ext cx="627821" cy="485617"/>
        </a:xfrm>
        <a:prstGeom prst="triangle">
          <a:avLst/>
        </a:prstGeom>
        <a:solidFill>
          <a:srgbClr val="FF0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551154</xdr:colOff>
      <xdr:row>211</xdr:row>
      <xdr:rowOff>138935</xdr:rowOff>
    </xdr:from>
    <xdr:to>
      <xdr:col>4</xdr:col>
      <xdr:colOff>230961</xdr:colOff>
      <xdr:row>213</xdr:row>
      <xdr:rowOff>132316</xdr:rowOff>
    </xdr:to>
    <xdr:grpSp>
      <xdr:nvGrpSpPr>
        <xdr:cNvPr id="2096" name="Group 2095">
          <a:extLst>
            <a:ext uri="{FF2B5EF4-FFF2-40B4-BE49-F238E27FC236}">
              <a16:creationId xmlns:a16="http://schemas.microsoft.com/office/drawing/2014/main" id="{61C0BEAD-32DE-45F1-A01E-DCAC172816E4}"/>
            </a:ext>
          </a:extLst>
        </xdr:cNvPr>
        <xdr:cNvGrpSpPr/>
      </xdr:nvGrpSpPr>
      <xdr:grpSpPr>
        <a:xfrm>
          <a:off x="1843833" y="38102864"/>
          <a:ext cx="237699" cy="347166"/>
          <a:chOff x="6143939" y="789134"/>
          <a:chExt cx="457200" cy="518966"/>
        </a:xfrm>
      </xdr:grpSpPr>
      <xdr:grpSp>
        <xdr:nvGrpSpPr>
          <xdr:cNvPr id="2097" name="Group 2096">
            <a:extLst>
              <a:ext uri="{FF2B5EF4-FFF2-40B4-BE49-F238E27FC236}">
                <a16:creationId xmlns:a16="http://schemas.microsoft.com/office/drawing/2014/main" id="{176B0D3C-C145-84E3-2DEB-159B0914E796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099" name="Straight Connector 2098">
              <a:extLst>
                <a:ext uri="{FF2B5EF4-FFF2-40B4-BE49-F238E27FC236}">
                  <a16:creationId xmlns:a16="http://schemas.microsoft.com/office/drawing/2014/main" id="{D08FC795-CB9F-1B66-D50B-09749270E2DB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0" name="Straight Connector 2099">
              <a:extLst>
                <a:ext uri="{FF2B5EF4-FFF2-40B4-BE49-F238E27FC236}">
                  <a16:creationId xmlns:a16="http://schemas.microsoft.com/office/drawing/2014/main" id="{8A13CEEB-3C7C-C5EA-95CE-5860654AADC9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1" name="Straight Connector 2100">
              <a:extLst>
                <a:ext uri="{FF2B5EF4-FFF2-40B4-BE49-F238E27FC236}">
                  <a16:creationId xmlns:a16="http://schemas.microsoft.com/office/drawing/2014/main" id="{E9C7904C-79BF-F8BA-CA54-CAA3C1046DD5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2" name="Straight Connector 2101">
              <a:extLst>
                <a:ext uri="{FF2B5EF4-FFF2-40B4-BE49-F238E27FC236}">
                  <a16:creationId xmlns:a16="http://schemas.microsoft.com/office/drawing/2014/main" id="{7B41455A-13C1-7195-D48F-7182BE1381F9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3" name="Straight Connector 2102">
              <a:extLst>
                <a:ext uri="{FF2B5EF4-FFF2-40B4-BE49-F238E27FC236}">
                  <a16:creationId xmlns:a16="http://schemas.microsoft.com/office/drawing/2014/main" id="{0E185890-FF59-199E-51A4-CB2F85FE9F29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4" name="Straight Connector 2103">
              <a:extLst>
                <a:ext uri="{FF2B5EF4-FFF2-40B4-BE49-F238E27FC236}">
                  <a16:creationId xmlns:a16="http://schemas.microsoft.com/office/drawing/2014/main" id="{FC5987F6-EA78-59D3-E02E-36C35F61EE89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098" name="Straight Connector 2097">
            <a:extLst>
              <a:ext uri="{FF2B5EF4-FFF2-40B4-BE49-F238E27FC236}">
                <a16:creationId xmlns:a16="http://schemas.microsoft.com/office/drawing/2014/main" id="{ADAD8D32-933D-616D-AEBD-30C1FAA8F9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21016</xdr:colOff>
      <xdr:row>50</xdr:row>
      <xdr:rowOff>128178</xdr:rowOff>
    </xdr:from>
    <xdr:to>
      <xdr:col>22</xdr:col>
      <xdr:colOff>259185</xdr:colOff>
      <xdr:row>52</xdr:row>
      <xdr:rowOff>121559</xdr:rowOff>
    </xdr:to>
    <xdr:grpSp>
      <xdr:nvGrpSpPr>
        <xdr:cNvPr id="2085" name="Group 2084">
          <a:extLst>
            <a:ext uri="{FF2B5EF4-FFF2-40B4-BE49-F238E27FC236}">
              <a16:creationId xmlns:a16="http://schemas.microsoft.com/office/drawing/2014/main" id="{513F121F-7685-431F-A3C0-200B57941FA2}"/>
            </a:ext>
          </a:extLst>
        </xdr:cNvPr>
        <xdr:cNvGrpSpPr/>
      </xdr:nvGrpSpPr>
      <xdr:grpSpPr>
        <a:xfrm>
          <a:off x="10825087" y="9748428"/>
          <a:ext cx="238169" cy="347167"/>
          <a:chOff x="6143939" y="789134"/>
          <a:chExt cx="457200" cy="518966"/>
        </a:xfrm>
      </xdr:grpSpPr>
      <xdr:grpSp>
        <xdr:nvGrpSpPr>
          <xdr:cNvPr id="2105" name="Group 2104">
            <a:extLst>
              <a:ext uri="{FF2B5EF4-FFF2-40B4-BE49-F238E27FC236}">
                <a16:creationId xmlns:a16="http://schemas.microsoft.com/office/drawing/2014/main" id="{6E705BFE-D7AD-813C-6A75-F63D489BA6FC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2107" name="Straight Connector 2106">
              <a:extLst>
                <a:ext uri="{FF2B5EF4-FFF2-40B4-BE49-F238E27FC236}">
                  <a16:creationId xmlns:a16="http://schemas.microsoft.com/office/drawing/2014/main" id="{7DC3C9BD-DD8F-11A3-FEBA-F82C66FA887C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2108" name="Straight Connector 2107">
              <a:extLst>
                <a:ext uri="{FF2B5EF4-FFF2-40B4-BE49-F238E27FC236}">
                  <a16:creationId xmlns:a16="http://schemas.microsoft.com/office/drawing/2014/main" id="{CE6269FA-BF96-D025-48A3-436CBC40B65D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1" name="Straight Connector 3480">
              <a:extLst>
                <a:ext uri="{FF2B5EF4-FFF2-40B4-BE49-F238E27FC236}">
                  <a16:creationId xmlns:a16="http://schemas.microsoft.com/office/drawing/2014/main" id="{3869BE7E-D421-22AA-2D51-06CDB4160F3F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2" name="Straight Connector 3481">
              <a:extLst>
                <a:ext uri="{FF2B5EF4-FFF2-40B4-BE49-F238E27FC236}">
                  <a16:creationId xmlns:a16="http://schemas.microsoft.com/office/drawing/2014/main" id="{FC7FF315-4D63-F763-62F0-F5A9ED16020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3" name="Straight Connector 3482">
              <a:extLst>
                <a:ext uri="{FF2B5EF4-FFF2-40B4-BE49-F238E27FC236}">
                  <a16:creationId xmlns:a16="http://schemas.microsoft.com/office/drawing/2014/main" id="{4EAD72D6-E381-467B-4E32-210A0E29B147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4" name="Straight Connector 3483">
              <a:extLst>
                <a:ext uri="{FF2B5EF4-FFF2-40B4-BE49-F238E27FC236}">
                  <a16:creationId xmlns:a16="http://schemas.microsoft.com/office/drawing/2014/main" id="{AB65755F-9A73-63A6-496F-28A27406E21F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2106" name="Straight Connector 2105">
            <a:extLst>
              <a:ext uri="{FF2B5EF4-FFF2-40B4-BE49-F238E27FC236}">
                <a16:creationId xmlns:a16="http://schemas.microsoft.com/office/drawing/2014/main" id="{41ACB29A-BA21-C1B2-125F-2CAEAA4647FC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552874</xdr:colOff>
      <xdr:row>50</xdr:row>
      <xdr:rowOff>148607</xdr:rowOff>
    </xdr:from>
    <xdr:to>
      <xdr:col>16</xdr:col>
      <xdr:colOff>232681</xdr:colOff>
      <xdr:row>52</xdr:row>
      <xdr:rowOff>141988</xdr:rowOff>
    </xdr:to>
    <xdr:grpSp>
      <xdr:nvGrpSpPr>
        <xdr:cNvPr id="3485" name="Group 3484">
          <a:extLst>
            <a:ext uri="{FF2B5EF4-FFF2-40B4-BE49-F238E27FC236}">
              <a16:creationId xmlns:a16="http://schemas.microsoft.com/office/drawing/2014/main" id="{6B54A9E1-7EAD-4421-992D-121E6827D6BB}"/>
            </a:ext>
          </a:extLst>
        </xdr:cNvPr>
        <xdr:cNvGrpSpPr/>
      </xdr:nvGrpSpPr>
      <xdr:grpSpPr>
        <a:xfrm>
          <a:off x="7805481" y="9768857"/>
          <a:ext cx="237700" cy="347167"/>
          <a:chOff x="6143939" y="789134"/>
          <a:chExt cx="457200" cy="518966"/>
        </a:xfrm>
      </xdr:grpSpPr>
      <xdr:grpSp>
        <xdr:nvGrpSpPr>
          <xdr:cNvPr id="3486" name="Group 3485">
            <a:extLst>
              <a:ext uri="{FF2B5EF4-FFF2-40B4-BE49-F238E27FC236}">
                <a16:creationId xmlns:a16="http://schemas.microsoft.com/office/drawing/2014/main" id="{9CF9041C-1D19-3131-FF7E-FDEDE76C966B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88" name="Straight Connector 3487">
              <a:extLst>
                <a:ext uri="{FF2B5EF4-FFF2-40B4-BE49-F238E27FC236}">
                  <a16:creationId xmlns:a16="http://schemas.microsoft.com/office/drawing/2014/main" id="{AFBEA922-9A93-CF7A-6238-3F1265E156D0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89" name="Straight Connector 3488">
              <a:extLst>
                <a:ext uri="{FF2B5EF4-FFF2-40B4-BE49-F238E27FC236}">
                  <a16:creationId xmlns:a16="http://schemas.microsoft.com/office/drawing/2014/main" id="{6B779E67-FB6E-3B9E-761C-D748A896AB6F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0" name="Straight Connector 3489">
              <a:extLst>
                <a:ext uri="{FF2B5EF4-FFF2-40B4-BE49-F238E27FC236}">
                  <a16:creationId xmlns:a16="http://schemas.microsoft.com/office/drawing/2014/main" id="{97DC03C2-F840-849D-6BCD-33DA76192352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1" name="Straight Connector 3490">
              <a:extLst>
                <a:ext uri="{FF2B5EF4-FFF2-40B4-BE49-F238E27FC236}">
                  <a16:creationId xmlns:a16="http://schemas.microsoft.com/office/drawing/2014/main" id="{0E8CB5FC-B059-A5CD-0ACF-6DCFEB932B53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2" name="Straight Connector 3491">
              <a:extLst>
                <a:ext uri="{FF2B5EF4-FFF2-40B4-BE49-F238E27FC236}">
                  <a16:creationId xmlns:a16="http://schemas.microsoft.com/office/drawing/2014/main" id="{10EE96E0-C3D5-BC43-2B0B-DCC5668BDAA3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3" name="Straight Connector 3492">
              <a:extLst>
                <a:ext uri="{FF2B5EF4-FFF2-40B4-BE49-F238E27FC236}">
                  <a16:creationId xmlns:a16="http://schemas.microsoft.com/office/drawing/2014/main" id="{A19A93CE-0B70-F756-DB6C-F8BE7B479BDC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87" name="Straight Connector 3486">
            <a:extLst>
              <a:ext uri="{FF2B5EF4-FFF2-40B4-BE49-F238E27FC236}">
                <a16:creationId xmlns:a16="http://schemas.microsoft.com/office/drawing/2014/main" id="{90A63A8C-3606-C752-DA3B-14AD54F20EB6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13816</xdr:colOff>
      <xdr:row>211</xdr:row>
      <xdr:rowOff>138062</xdr:rowOff>
    </xdr:from>
    <xdr:to>
      <xdr:col>2</xdr:col>
      <xdr:colOff>284830</xdr:colOff>
      <xdr:row>213</xdr:row>
      <xdr:rowOff>131443</xdr:rowOff>
    </xdr:to>
    <xdr:grpSp>
      <xdr:nvGrpSpPr>
        <xdr:cNvPr id="3494" name="Group 3493">
          <a:extLst>
            <a:ext uri="{FF2B5EF4-FFF2-40B4-BE49-F238E27FC236}">
              <a16:creationId xmlns:a16="http://schemas.microsoft.com/office/drawing/2014/main" id="{FBB62803-472F-4660-BFC4-7DA5E65D5B7B}"/>
            </a:ext>
          </a:extLst>
        </xdr:cNvPr>
        <xdr:cNvGrpSpPr/>
      </xdr:nvGrpSpPr>
      <xdr:grpSpPr>
        <a:xfrm>
          <a:off x="871066" y="38101991"/>
          <a:ext cx="271014" cy="347166"/>
          <a:chOff x="6143939" y="789134"/>
          <a:chExt cx="457200" cy="518966"/>
        </a:xfrm>
      </xdr:grpSpPr>
      <xdr:grpSp>
        <xdr:nvGrpSpPr>
          <xdr:cNvPr id="3495" name="Group 3494">
            <a:extLst>
              <a:ext uri="{FF2B5EF4-FFF2-40B4-BE49-F238E27FC236}">
                <a16:creationId xmlns:a16="http://schemas.microsoft.com/office/drawing/2014/main" id="{A37C4799-CCE8-036F-D84A-A14A4D8733F2}"/>
              </a:ext>
            </a:extLst>
          </xdr:cNvPr>
          <xdr:cNvGrpSpPr/>
        </xdr:nvGrpSpPr>
        <xdr:grpSpPr>
          <a:xfrm>
            <a:off x="6143939" y="789134"/>
            <a:ext cx="457200" cy="518966"/>
            <a:chOff x="2530789" y="554184"/>
            <a:chExt cx="457200" cy="518966"/>
          </a:xfrm>
        </xdr:grpSpPr>
        <xdr:cxnSp macro="">
          <xdr:nvCxnSpPr>
            <xdr:cNvPr id="3497" name="Straight Connector 3496">
              <a:extLst>
                <a:ext uri="{FF2B5EF4-FFF2-40B4-BE49-F238E27FC236}">
                  <a16:creationId xmlns:a16="http://schemas.microsoft.com/office/drawing/2014/main" id="{13EA1D04-F103-9970-DFC9-61606DBE289D}"/>
                </a:ext>
              </a:extLst>
            </xdr:cNvPr>
            <xdr:cNvCxnSpPr/>
          </xdr:nvCxnSpPr>
          <xdr:spPr>
            <a:xfrm>
              <a:off x="2530789" y="825501"/>
              <a:ext cx="45720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8" name="Straight Connector 3497">
              <a:extLst>
                <a:ext uri="{FF2B5EF4-FFF2-40B4-BE49-F238E27FC236}">
                  <a16:creationId xmlns:a16="http://schemas.microsoft.com/office/drawing/2014/main" id="{CB67D842-64F2-7F8D-92B8-59C1DDD09D93}"/>
                </a:ext>
              </a:extLst>
            </xdr:cNvPr>
            <xdr:cNvCxnSpPr/>
          </xdr:nvCxnSpPr>
          <xdr:spPr>
            <a:xfrm>
              <a:off x="2584450" y="889000"/>
              <a:ext cx="36576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499" name="Straight Connector 3498">
              <a:extLst>
                <a:ext uri="{FF2B5EF4-FFF2-40B4-BE49-F238E27FC236}">
                  <a16:creationId xmlns:a16="http://schemas.microsoft.com/office/drawing/2014/main" id="{1789A5CC-028E-15C1-EC59-8AFD9B85511E}"/>
                </a:ext>
              </a:extLst>
            </xdr:cNvPr>
            <xdr:cNvCxnSpPr/>
          </xdr:nvCxnSpPr>
          <xdr:spPr>
            <a:xfrm>
              <a:off x="2635250" y="952500"/>
              <a:ext cx="27432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0" name="Straight Connector 3499">
              <a:extLst>
                <a:ext uri="{FF2B5EF4-FFF2-40B4-BE49-F238E27FC236}">
                  <a16:creationId xmlns:a16="http://schemas.microsoft.com/office/drawing/2014/main" id="{6F3107DC-CE06-80AB-896B-D448B86BFB22}"/>
                </a:ext>
              </a:extLst>
            </xdr:cNvPr>
            <xdr:cNvCxnSpPr/>
          </xdr:nvCxnSpPr>
          <xdr:spPr>
            <a:xfrm>
              <a:off x="2673350" y="1009650"/>
              <a:ext cx="18288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1" name="Straight Connector 3500">
              <a:extLst>
                <a:ext uri="{FF2B5EF4-FFF2-40B4-BE49-F238E27FC236}">
                  <a16:creationId xmlns:a16="http://schemas.microsoft.com/office/drawing/2014/main" id="{27C800D5-C117-2380-95AE-772B05336C0A}"/>
                </a:ext>
              </a:extLst>
            </xdr:cNvPr>
            <xdr:cNvCxnSpPr/>
          </xdr:nvCxnSpPr>
          <xdr:spPr>
            <a:xfrm>
              <a:off x="2724150" y="1073150"/>
              <a:ext cx="91440" cy="0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3502" name="Straight Connector 3501">
              <a:extLst>
                <a:ext uri="{FF2B5EF4-FFF2-40B4-BE49-F238E27FC236}">
                  <a16:creationId xmlns:a16="http://schemas.microsoft.com/office/drawing/2014/main" id="{1C03EF3F-1AB0-FC9C-09F4-6AF8F574F777}"/>
                </a:ext>
              </a:extLst>
            </xdr:cNvPr>
            <xdr:cNvCxnSpPr/>
          </xdr:nvCxnSpPr>
          <xdr:spPr>
            <a:xfrm flipH="1" flipV="1">
              <a:off x="2746689" y="554184"/>
              <a:ext cx="0" cy="249934"/>
            </a:xfrm>
            <a:prstGeom prst="line">
              <a:avLst/>
            </a:prstGeom>
            <a:ln w="28575">
              <a:solidFill>
                <a:sysClr val="windowText" lastClr="000000"/>
              </a:solidFill>
            </a:ln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cxnSp macro="">
        <xdr:nvCxnSpPr>
          <xdr:cNvPr id="3496" name="Straight Connector 3495">
            <a:extLst>
              <a:ext uri="{FF2B5EF4-FFF2-40B4-BE49-F238E27FC236}">
                <a16:creationId xmlns:a16="http://schemas.microsoft.com/office/drawing/2014/main" id="{3BC77F64-74D5-0F77-1F86-BEEE7D66564A}"/>
              </a:ext>
            </a:extLst>
          </xdr:cNvPr>
          <xdr:cNvCxnSpPr/>
        </xdr:nvCxnSpPr>
        <xdr:spPr>
          <a:xfrm flipV="1">
            <a:off x="6147651" y="801370"/>
            <a:ext cx="224444" cy="232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2</xdr:col>
      <xdr:colOff>420515</xdr:colOff>
      <xdr:row>23</xdr:row>
      <xdr:rowOff>4233</xdr:rowOff>
    </xdr:from>
    <xdr:to>
      <xdr:col>4</xdr:col>
      <xdr:colOff>46570</xdr:colOff>
      <xdr:row>25</xdr:row>
      <xdr:rowOff>173567</xdr:rowOff>
    </xdr:to>
    <xdr:sp macro="" textlink="">
      <xdr:nvSpPr>
        <xdr:cNvPr id="3643" name="Isosceles Triangle 3642">
          <a:extLst>
            <a:ext uri="{FF2B5EF4-FFF2-40B4-BE49-F238E27FC236}">
              <a16:creationId xmlns:a16="http://schemas.microsoft.com/office/drawing/2014/main" id="{3B815026-7AF6-4067-836D-AF15B4717C83}"/>
            </a:ext>
          </a:extLst>
        </xdr:cNvPr>
        <xdr:cNvSpPr/>
      </xdr:nvSpPr>
      <xdr:spPr>
        <a:xfrm>
          <a:off x="1340451" y="24109810"/>
          <a:ext cx="684388" cy="51125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23</xdr:row>
      <xdr:rowOff>13304</xdr:rowOff>
    </xdr:from>
    <xdr:to>
      <xdr:col>8</xdr:col>
      <xdr:colOff>46570</xdr:colOff>
      <xdr:row>26</xdr:row>
      <xdr:rowOff>1209</xdr:rowOff>
    </xdr:to>
    <xdr:sp macro="" textlink="">
      <xdr:nvSpPr>
        <xdr:cNvPr id="3644" name="Isosceles Triangle 3643">
          <a:extLst>
            <a:ext uri="{FF2B5EF4-FFF2-40B4-BE49-F238E27FC236}">
              <a16:creationId xmlns:a16="http://schemas.microsoft.com/office/drawing/2014/main" id="{40558A78-3466-46CA-8922-AA1861BEA16D}"/>
            </a:ext>
          </a:extLst>
        </xdr:cNvPr>
        <xdr:cNvSpPr/>
      </xdr:nvSpPr>
      <xdr:spPr>
        <a:xfrm>
          <a:off x="3457118" y="24118881"/>
          <a:ext cx="684388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23</xdr:row>
      <xdr:rowOff>15522</xdr:rowOff>
    </xdr:from>
    <xdr:to>
      <xdr:col>6</xdr:col>
      <xdr:colOff>43746</xdr:colOff>
      <xdr:row>26</xdr:row>
      <xdr:rowOff>8467</xdr:rowOff>
    </xdr:to>
    <xdr:sp macro="" textlink="">
      <xdr:nvSpPr>
        <xdr:cNvPr id="3645" name="Isosceles Triangle 3644">
          <a:extLst>
            <a:ext uri="{FF2B5EF4-FFF2-40B4-BE49-F238E27FC236}">
              <a16:creationId xmlns:a16="http://schemas.microsoft.com/office/drawing/2014/main" id="{BDFC2DA7-966D-4431-AB00-13A7D540F8EF}"/>
            </a:ext>
          </a:extLst>
        </xdr:cNvPr>
        <xdr:cNvSpPr/>
      </xdr:nvSpPr>
      <xdr:spPr>
        <a:xfrm>
          <a:off x="2395961" y="24121099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23</xdr:row>
      <xdr:rowOff>18345</xdr:rowOff>
    </xdr:from>
    <xdr:to>
      <xdr:col>20</xdr:col>
      <xdr:colOff>39510</xdr:colOff>
      <xdr:row>26</xdr:row>
      <xdr:rowOff>11290</xdr:rowOff>
    </xdr:to>
    <xdr:sp macro="" textlink="">
      <xdr:nvSpPr>
        <xdr:cNvPr id="3646" name="Isosceles Triangle 3645">
          <a:extLst>
            <a:ext uri="{FF2B5EF4-FFF2-40B4-BE49-F238E27FC236}">
              <a16:creationId xmlns:a16="http://schemas.microsoft.com/office/drawing/2014/main" id="{9A0E5232-A80A-4B12-96E9-F31121876B2C}"/>
            </a:ext>
          </a:extLst>
        </xdr:cNvPr>
        <xdr:cNvSpPr/>
      </xdr:nvSpPr>
      <xdr:spPr>
        <a:xfrm>
          <a:off x="9800059" y="2412392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358588</xdr:colOff>
      <xdr:row>23</xdr:row>
      <xdr:rowOff>7055</xdr:rowOff>
    </xdr:from>
    <xdr:to>
      <xdr:col>22</xdr:col>
      <xdr:colOff>49392</xdr:colOff>
      <xdr:row>26</xdr:row>
      <xdr:rowOff>0</xdr:rowOff>
    </xdr:to>
    <xdr:sp macro="" textlink="">
      <xdr:nvSpPr>
        <xdr:cNvPr id="3647" name="Isosceles Triangle 3646">
          <a:extLst>
            <a:ext uri="{FF2B5EF4-FFF2-40B4-BE49-F238E27FC236}">
              <a16:creationId xmlns:a16="http://schemas.microsoft.com/office/drawing/2014/main" id="{AC8C0716-B0BF-4B62-A73B-C2237F2F5042}"/>
            </a:ext>
          </a:extLst>
        </xdr:cNvPr>
        <xdr:cNvSpPr/>
      </xdr:nvSpPr>
      <xdr:spPr>
        <a:xfrm>
          <a:off x="10803524" y="24112632"/>
          <a:ext cx="74913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23</xdr:row>
      <xdr:rowOff>13304</xdr:rowOff>
    </xdr:from>
    <xdr:to>
      <xdr:col>28</xdr:col>
      <xdr:colOff>46570</xdr:colOff>
      <xdr:row>26</xdr:row>
      <xdr:rowOff>1210</xdr:rowOff>
    </xdr:to>
    <xdr:sp macro="" textlink="">
      <xdr:nvSpPr>
        <xdr:cNvPr id="3649" name="Isosceles Triangle 3648">
          <a:extLst>
            <a:ext uri="{FF2B5EF4-FFF2-40B4-BE49-F238E27FC236}">
              <a16:creationId xmlns:a16="http://schemas.microsoft.com/office/drawing/2014/main" id="{DD008D8F-3016-4965-BFAA-8E8DC5831EEE}"/>
            </a:ext>
          </a:extLst>
        </xdr:cNvPr>
        <xdr:cNvSpPr/>
      </xdr:nvSpPr>
      <xdr:spPr>
        <a:xfrm>
          <a:off x="14040451" y="24118881"/>
          <a:ext cx="684388" cy="500791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23</xdr:row>
      <xdr:rowOff>13304</xdr:rowOff>
    </xdr:from>
    <xdr:to>
      <xdr:col>24</xdr:col>
      <xdr:colOff>46569</xdr:colOff>
      <xdr:row>26</xdr:row>
      <xdr:rowOff>1210</xdr:rowOff>
    </xdr:to>
    <xdr:sp macro="" textlink="">
      <xdr:nvSpPr>
        <xdr:cNvPr id="3650" name="Isosceles Triangle 3649">
          <a:extLst>
            <a:ext uri="{FF2B5EF4-FFF2-40B4-BE49-F238E27FC236}">
              <a16:creationId xmlns:a16="http://schemas.microsoft.com/office/drawing/2014/main" id="{7A6E9B7C-BFC6-4461-8C62-1F6144D6BAA6}"/>
            </a:ext>
          </a:extLst>
        </xdr:cNvPr>
        <xdr:cNvSpPr/>
      </xdr:nvSpPr>
      <xdr:spPr>
        <a:xfrm>
          <a:off x="11923784" y="24118881"/>
          <a:ext cx="684388" cy="50079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23</xdr:row>
      <xdr:rowOff>15522</xdr:rowOff>
    </xdr:from>
    <xdr:to>
      <xdr:col>26</xdr:col>
      <xdr:colOff>43746</xdr:colOff>
      <xdr:row>26</xdr:row>
      <xdr:rowOff>8467</xdr:rowOff>
    </xdr:to>
    <xdr:sp macro="" textlink="">
      <xdr:nvSpPr>
        <xdr:cNvPr id="3651" name="Isosceles Triangle 3650">
          <a:extLst>
            <a:ext uri="{FF2B5EF4-FFF2-40B4-BE49-F238E27FC236}">
              <a16:creationId xmlns:a16="http://schemas.microsoft.com/office/drawing/2014/main" id="{DA1B9349-C561-45E2-B581-80B93D3F4C31}"/>
            </a:ext>
          </a:extLst>
        </xdr:cNvPr>
        <xdr:cNvSpPr/>
      </xdr:nvSpPr>
      <xdr:spPr>
        <a:xfrm>
          <a:off x="12979295" y="24121099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23</xdr:row>
      <xdr:rowOff>7056</xdr:rowOff>
    </xdr:from>
    <xdr:to>
      <xdr:col>30</xdr:col>
      <xdr:colOff>42332</xdr:colOff>
      <xdr:row>26</xdr:row>
      <xdr:rowOff>1</xdr:rowOff>
    </xdr:to>
    <xdr:sp macro="" textlink="">
      <xdr:nvSpPr>
        <xdr:cNvPr id="3652" name="Isosceles Triangle 3651">
          <a:extLst>
            <a:ext uri="{FF2B5EF4-FFF2-40B4-BE49-F238E27FC236}">
              <a16:creationId xmlns:a16="http://schemas.microsoft.com/office/drawing/2014/main" id="{0843CE72-9540-47E3-A686-116E7C7A38A3}"/>
            </a:ext>
          </a:extLst>
        </xdr:cNvPr>
        <xdr:cNvSpPr/>
      </xdr:nvSpPr>
      <xdr:spPr>
        <a:xfrm>
          <a:off x="15094547" y="24112633"/>
          <a:ext cx="684388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300245</xdr:colOff>
      <xdr:row>33</xdr:row>
      <xdr:rowOff>159859</xdr:rowOff>
    </xdr:from>
    <xdr:to>
      <xdr:col>2</xdr:col>
      <xdr:colOff>17739</xdr:colOff>
      <xdr:row>36</xdr:row>
      <xdr:rowOff>152804</xdr:rowOff>
    </xdr:to>
    <xdr:sp macro="" textlink="">
      <xdr:nvSpPr>
        <xdr:cNvPr id="3653" name="Isosceles Triangle 3652">
          <a:extLst>
            <a:ext uri="{FF2B5EF4-FFF2-40B4-BE49-F238E27FC236}">
              <a16:creationId xmlns:a16="http://schemas.microsoft.com/office/drawing/2014/main" id="{69497C4F-1B0B-43FD-ABF6-BD4367EE1E35}"/>
            </a:ext>
          </a:extLst>
        </xdr:cNvPr>
        <xdr:cNvSpPr/>
      </xdr:nvSpPr>
      <xdr:spPr>
        <a:xfrm>
          <a:off x="300245" y="25991333"/>
          <a:ext cx="637430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416278</xdr:colOff>
      <xdr:row>34</xdr:row>
      <xdr:rowOff>7056</xdr:rowOff>
    </xdr:from>
    <xdr:to>
      <xdr:col>4</xdr:col>
      <xdr:colOff>42332</xdr:colOff>
      <xdr:row>37</xdr:row>
      <xdr:rowOff>1</xdr:rowOff>
    </xdr:to>
    <xdr:sp macro="" textlink="">
      <xdr:nvSpPr>
        <xdr:cNvPr id="3654" name="Isosceles Triangle 3653">
          <a:extLst>
            <a:ext uri="{FF2B5EF4-FFF2-40B4-BE49-F238E27FC236}">
              <a16:creationId xmlns:a16="http://schemas.microsoft.com/office/drawing/2014/main" id="{4A37DD98-DF8B-4063-B44D-83DC8654AAE2}"/>
            </a:ext>
          </a:extLst>
        </xdr:cNvPr>
        <xdr:cNvSpPr/>
      </xdr:nvSpPr>
      <xdr:spPr>
        <a:xfrm>
          <a:off x="1336214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413456</xdr:colOff>
      <xdr:row>34</xdr:row>
      <xdr:rowOff>18345</xdr:rowOff>
    </xdr:from>
    <xdr:to>
      <xdr:col>6</xdr:col>
      <xdr:colOff>39510</xdr:colOff>
      <xdr:row>37</xdr:row>
      <xdr:rowOff>11290</xdr:rowOff>
    </xdr:to>
    <xdr:sp macro="" textlink="">
      <xdr:nvSpPr>
        <xdr:cNvPr id="3655" name="Isosceles Triangle 3654">
          <a:extLst>
            <a:ext uri="{FF2B5EF4-FFF2-40B4-BE49-F238E27FC236}">
              <a16:creationId xmlns:a16="http://schemas.microsoft.com/office/drawing/2014/main" id="{87A7E971-803D-491F-A5A6-9EBC4CB42092}"/>
            </a:ext>
          </a:extLst>
        </xdr:cNvPr>
        <xdr:cNvSpPr/>
      </xdr:nvSpPr>
      <xdr:spPr>
        <a:xfrm>
          <a:off x="2391725" y="2602078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416278</xdr:colOff>
      <xdr:row>34</xdr:row>
      <xdr:rowOff>7056</xdr:rowOff>
    </xdr:from>
    <xdr:to>
      <xdr:col>8</xdr:col>
      <xdr:colOff>42332</xdr:colOff>
      <xdr:row>37</xdr:row>
      <xdr:rowOff>1</xdr:rowOff>
    </xdr:to>
    <xdr:sp macro="" textlink="">
      <xdr:nvSpPr>
        <xdr:cNvPr id="3656" name="Isosceles Triangle 3655">
          <a:extLst>
            <a:ext uri="{FF2B5EF4-FFF2-40B4-BE49-F238E27FC236}">
              <a16:creationId xmlns:a16="http://schemas.microsoft.com/office/drawing/2014/main" id="{F4502403-A57D-4EC2-9166-506BF6C4040C}"/>
            </a:ext>
          </a:extLst>
        </xdr:cNvPr>
        <xdr:cNvSpPr/>
      </xdr:nvSpPr>
      <xdr:spPr>
        <a:xfrm>
          <a:off x="3452881" y="26009492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413456</xdr:colOff>
      <xdr:row>34</xdr:row>
      <xdr:rowOff>18345</xdr:rowOff>
    </xdr:from>
    <xdr:to>
      <xdr:col>10</xdr:col>
      <xdr:colOff>39510</xdr:colOff>
      <xdr:row>37</xdr:row>
      <xdr:rowOff>11290</xdr:rowOff>
    </xdr:to>
    <xdr:sp macro="" textlink="">
      <xdr:nvSpPr>
        <xdr:cNvPr id="3657" name="Isosceles Triangle 3656">
          <a:extLst>
            <a:ext uri="{FF2B5EF4-FFF2-40B4-BE49-F238E27FC236}">
              <a16:creationId xmlns:a16="http://schemas.microsoft.com/office/drawing/2014/main" id="{0046A415-6AD2-4CBF-900D-124F4D111723}"/>
            </a:ext>
          </a:extLst>
        </xdr:cNvPr>
        <xdr:cNvSpPr/>
      </xdr:nvSpPr>
      <xdr:spPr>
        <a:xfrm>
          <a:off x="4508392" y="26020781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413657</xdr:colOff>
      <xdr:row>34</xdr:row>
      <xdr:rowOff>7055</xdr:rowOff>
    </xdr:from>
    <xdr:to>
      <xdr:col>12</xdr:col>
      <xdr:colOff>49392</xdr:colOff>
      <xdr:row>37</xdr:row>
      <xdr:rowOff>0</xdr:rowOff>
    </xdr:to>
    <xdr:sp macro="" textlink="">
      <xdr:nvSpPr>
        <xdr:cNvPr id="3658" name="Isosceles Triangle 3657">
          <a:extLst>
            <a:ext uri="{FF2B5EF4-FFF2-40B4-BE49-F238E27FC236}">
              <a16:creationId xmlns:a16="http://schemas.microsoft.com/office/drawing/2014/main" id="{8BE4D37C-AFF4-4203-B720-CF68D2B9289A}"/>
            </a:ext>
          </a:extLst>
        </xdr:cNvPr>
        <xdr:cNvSpPr/>
      </xdr:nvSpPr>
      <xdr:spPr>
        <a:xfrm>
          <a:off x="5566926" y="26009491"/>
          <a:ext cx="694069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4233</xdr:rowOff>
    </xdr:from>
    <xdr:to>
      <xdr:col>14</xdr:col>
      <xdr:colOff>46570</xdr:colOff>
      <xdr:row>36</xdr:row>
      <xdr:rowOff>173567</xdr:rowOff>
    </xdr:to>
    <xdr:sp macro="" textlink="">
      <xdr:nvSpPr>
        <xdr:cNvPr id="3659" name="Isosceles Triangle 3658">
          <a:extLst>
            <a:ext uri="{FF2B5EF4-FFF2-40B4-BE49-F238E27FC236}">
              <a16:creationId xmlns:a16="http://schemas.microsoft.com/office/drawing/2014/main" id="{E760F919-D510-44A3-B5D1-EE41C4C3AC75}"/>
            </a:ext>
          </a:extLst>
        </xdr:cNvPr>
        <xdr:cNvSpPr/>
      </xdr:nvSpPr>
      <xdr:spPr>
        <a:xfrm>
          <a:off x="6632118" y="26006669"/>
          <a:ext cx="684388" cy="511257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420515</xdr:colOff>
      <xdr:row>34</xdr:row>
      <xdr:rowOff>13304</xdr:rowOff>
    </xdr:from>
    <xdr:to>
      <xdr:col>18</xdr:col>
      <xdr:colOff>46570</xdr:colOff>
      <xdr:row>37</xdr:row>
      <xdr:rowOff>1209</xdr:rowOff>
    </xdr:to>
    <xdr:sp macro="" textlink="">
      <xdr:nvSpPr>
        <xdr:cNvPr id="3660" name="Isosceles Triangle 3659">
          <a:extLst>
            <a:ext uri="{FF2B5EF4-FFF2-40B4-BE49-F238E27FC236}">
              <a16:creationId xmlns:a16="http://schemas.microsoft.com/office/drawing/2014/main" id="{8B47A19C-1377-45F3-AF2A-EDBBFB49F2EA}"/>
            </a:ext>
          </a:extLst>
        </xdr:cNvPr>
        <xdr:cNvSpPr/>
      </xdr:nvSpPr>
      <xdr:spPr>
        <a:xfrm>
          <a:off x="8748784" y="26015740"/>
          <a:ext cx="684389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420515</xdr:colOff>
      <xdr:row>34</xdr:row>
      <xdr:rowOff>13304</xdr:rowOff>
    </xdr:from>
    <xdr:to>
      <xdr:col>14</xdr:col>
      <xdr:colOff>46569</xdr:colOff>
      <xdr:row>37</xdr:row>
      <xdr:rowOff>1209</xdr:rowOff>
    </xdr:to>
    <xdr:sp macro="" textlink="">
      <xdr:nvSpPr>
        <xdr:cNvPr id="3661" name="Isosceles Triangle 3660">
          <a:extLst>
            <a:ext uri="{FF2B5EF4-FFF2-40B4-BE49-F238E27FC236}">
              <a16:creationId xmlns:a16="http://schemas.microsoft.com/office/drawing/2014/main" id="{EA97C7B3-C361-4C78-849B-C4D7381B26A6}"/>
            </a:ext>
          </a:extLst>
        </xdr:cNvPr>
        <xdr:cNvSpPr/>
      </xdr:nvSpPr>
      <xdr:spPr>
        <a:xfrm>
          <a:off x="6632118" y="26015740"/>
          <a:ext cx="684387" cy="50079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417692</xdr:colOff>
      <xdr:row>34</xdr:row>
      <xdr:rowOff>15522</xdr:rowOff>
    </xdr:from>
    <xdr:to>
      <xdr:col>16</xdr:col>
      <xdr:colOff>43746</xdr:colOff>
      <xdr:row>37</xdr:row>
      <xdr:rowOff>8467</xdr:rowOff>
    </xdr:to>
    <xdr:sp macro="" textlink="">
      <xdr:nvSpPr>
        <xdr:cNvPr id="3662" name="Isosceles Triangle 3661">
          <a:extLst>
            <a:ext uri="{FF2B5EF4-FFF2-40B4-BE49-F238E27FC236}">
              <a16:creationId xmlns:a16="http://schemas.microsoft.com/office/drawing/2014/main" id="{A9D9D2B5-03EE-4C21-9B49-8533767B6304}"/>
            </a:ext>
          </a:extLst>
        </xdr:cNvPr>
        <xdr:cNvSpPr/>
      </xdr:nvSpPr>
      <xdr:spPr>
        <a:xfrm>
          <a:off x="7687628" y="26017958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34</xdr:row>
      <xdr:rowOff>7056</xdr:rowOff>
    </xdr:from>
    <xdr:to>
      <xdr:col>20</xdr:col>
      <xdr:colOff>42332</xdr:colOff>
      <xdr:row>37</xdr:row>
      <xdr:rowOff>1</xdr:rowOff>
    </xdr:to>
    <xdr:sp macro="" textlink="">
      <xdr:nvSpPr>
        <xdr:cNvPr id="3663" name="Isosceles Triangle 3662">
          <a:extLst>
            <a:ext uri="{FF2B5EF4-FFF2-40B4-BE49-F238E27FC236}">
              <a16:creationId xmlns:a16="http://schemas.microsoft.com/office/drawing/2014/main" id="{DB838F7C-5822-4621-B7BD-34B2E2221E07}"/>
            </a:ext>
          </a:extLst>
        </xdr:cNvPr>
        <xdr:cNvSpPr/>
      </xdr:nvSpPr>
      <xdr:spPr>
        <a:xfrm>
          <a:off x="9802881" y="26009492"/>
          <a:ext cx="684387" cy="50583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413456</xdr:colOff>
      <xdr:row>34</xdr:row>
      <xdr:rowOff>18345</xdr:rowOff>
    </xdr:from>
    <xdr:to>
      <xdr:col>22</xdr:col>
      <xdr:colOff>39510</xdr:colOff>
      <xdr:row>37</xdr:row>
      <xdr:rowOff>11290</xdr:rowOff>
    </xdr:to>
    <xdr:sp macro="" textlink="">
      <xdr:nvSpPr>
        <xdr:cNvPr id="3664" name="Isosceles Triangle 3663">
          <a:extLst>
            <a:ext uri="{FF2B5EF4-FFF2-40B4-BE49-F238E27FC236}">
              <a16:creationId xmlns:a16="http://schemas.microsoft.com/office/drawing/2014/main" id="{9A87574E-1CBE-45C0-B8F4-686DCF743A0A}"/>
            </a:ext>
          </a:extLst>
        </xdr:cNvPr>
        <xdr:cNvSpPr/>
      </xdr:nvSpPr>
      <xdr:spPr>
        <a:xfrm>
          <a:off x="10858392" y="26020781"/>
          <a:ext cx="684387" cy="505830"/>
        </a:xfrm>
        <a:prstGeom prst="triangle">
          <a:avLst/>
        </a:prstGeom>
        <a:solidFill>
          <a:schemeClr val="bg1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22</xdr:row>
      <xdr:rowOff>173181</xdr:rowOff>
    </xdr:from>
    <xdr:to>
      <xdr:col>3</xdr:col>
      <xdr:colOff>294410</xdr:colOff>
      <xdr:row>23</xdr:row>
      <xdr:rowOff>121226</xdr:rowOff>
    </xdr:to>
    <xdr:sp macro="" textlink="">
      <xdr:nvSpPr>
        <xdr:cNvPr id="3669" name="Freeform 10707">
          <a:extLst>
            <a:ext uri="{FF2B5EF4-FFF2-40B4-BE49-F238E27FC236}">
              <a16:creationId xmlns:a16="http://schemas.microsoft.com/office/drawing/2014/main" id="{11861FFB-ADCA-4C41-AD4A-380E3961BFA5}"/>
            </a:ext>
          </a:extLst>
        </xdr:cNvPr>
        <xdr:cNvSpPr>
          <a:spLocks/>
        </xdr:cNvSpPr>
      </xdr:nvSpPr>
      <xdr:spPr bwMode="auto">
        <a:xfrm>
          <a:off x="6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22</xdr:row>
      <xdr:rowOff>173181</xdr:rowOff>
    </xdr:from>
    <xdr:to>
      <xdr:col>5</xdr:col>
      <xdr:colOff>294410</xdr:colOff>
      <xdr:row>23</xdr:row>
      <xdr:rowOff>121226</xdr:rowOff>
    </xdr:to>
    <xdr:sp macro="" textlink="">
      <xdr:nvSpPr>
        <xdr:cNvPr id="3670" name="Freeform 10707">
          <a:extLst>
            <a:ext uri="{FF2B5EF4-FFF2-40B4-BE49-F238E27FC236}">
              <a16:creationId xmlns:a16="http://schemas.microsoft.com/office/drawing/2014/main" id="{858127E8-17CF-4135-A8AA-EAF803FAB684}"/>
            </a:ext>
          </a:extLst>
        </xdr:cNvPr>
        <xdr:cNvSpPr>
          <a:spLocks/>
        </xdr:cNvSpPr>
      </xdr:nvSpPr>
      <xdr:spPr bwMode="auto">
        <a:xfrm>
          <a:off x="16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22</xdr:row>
      <xdr:rowOff>173181</xdr:rowOff>
    </xdr:from>
    <xdr:to>
      <xdr:col>7</xdr:col>
      <xdr:colOff>294410</xdr:colOff>
      <xdr:row>23</xdr:row>
      <xdr:rowOff>121226</xdr:rowOff>
    </xdr:to>
    <xdr:sp macro="" textlink="">
      <xdr:nvSpPr>
        <xdr:cNvPr id="3671" name="Freeform 10707">
          <a:extLst>
            <a:ext uri="{FF2B5EF4-FFF2-40B4-BE49-F238E27FC236}">
              <a16:creationId xmlns:a16="http://schemas.microsoft.com/office/drawing/2014/main" id="{4D73D925-05E7-4715-97ED-2F3B0CFC7B22}"/>
            </a:ext>
          </a:extLst>
        </xdr:cNvPr>
        <xdr:cNvSpPr>
          <a:spLocks/>
        </xdr:cNvSpPr>
      </xdr:nvSpPr>
      <xdr:spPr bwMode="auto">
        <a:xfrm>
          <a:off x="27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22</xdr:row>
      <xdr:rowOff>173181</xdr:rowOff>
    </xdr:from>
    <xdr:to>
      <xdr:col>9</xdr:col>
      <xdr:colOff>294410</xdr:colOff>
      <xdr:row>23</xdr:row>
      <xdr:rowOff>121226</xdr:rowOff>
    </xdr:to>
    <xdr:sp macro="" textlink="">
      <xdr:nvSpPr>
        <xdr:cNvPr id="3672" name="Freeform 10707">
          <a:extLst>
            <a:ext uri="{FF2B5EF4-FFF2-40B4-BE49-F238E27FC236}">
              <a16:creationId xmlns:a16="http://schemas.microsoft.com/office/drawing/2014/main" id="{8021C3D6-E36D-4670-AF25-5C61E8BA7EAC}"/>
            </a:ext>
          </a:extLst>
        </xdr:cNvPr>
        <xdr:cNvSpPr>
          <a:spLocks/>
        </xdr:cNvSpPr>
      </xdr:nvSpPr>
      <xdr:spPr bwMode="auto">
        <a:xfrm>
          <a:off x="378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22</xdr:row>
      <xdr:rowOff>173181</xdr:rowOff>
    </xdr:from>
    <xdr:to>
      <xdr:col>11</xdr:col>
      <xdr:colOff>294410</xdr:colOff>
      <xdr:row>23</xdr:row>
      <xdr:rowOff>121226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F4EA1F82-246F-46D8-AEF3-71529F4E325E}"/>
            </a:ext>
          </a:extLst>
        </xdr:cNvPr>
        <xdr:cNvSpPr>
          <a:spLocks/>
        </xdr:cNvSpPr>
      </xdr:nvSpPr>
      <xdr:spPr bwMode="auto">
        <a:xfrm>
          <a:off x="484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22</xdr:row>
      <xdr:rowOff>173181</xdr:rowOff>
    </xdr:from>
    <xdr:to>
      <xdr:col>13</xdr:col>
      <xdr:colOff>294410</xdr:colOff>
      <xdr:row>23</xdr:row>
      <xdr:rowOff>121226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8938B8B7-EC2C-45E4-8169-F033B4EA6C37}"/>
            </a:ext>
          </a:extLst>
        </xdr:cNvPr>
        <xdr:cNvSpPr>
          <a:spLocks/>
        </xdr:cNvSpPr>
      </xdr:nvSpPr>
      <xdr:spPr bwMode="auto">
        <a:xfrm>
          <a:off x="590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22</xdr:row>
      <xdr:rowOff>173181</xdr:rowOff>
    </xdr:from>
    <xdr:to>
      <xdr:col>15</xdr:col>
      <xdr:colOff>294410</xdr:colOff>
      <xdr:row>23</xdr:row>
      <xdr:rowOff>121226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EAF9E47A-BEBE-4C38-9D49-7BC7FB920D01}"/>
            </a:ext>
          </a:extLst>
        </xdr:cNvPr>
        <xdr:cNvSpPr>
          <a:spLocks/>
        </xdr:cNvSpPr>
      </xdr:nvSpPr>
      <xdr:spPr bwMode="auto">
        <a:xfrm>
          <a:off x="696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22</xdr:row>
      <xdr:rowOff>173181</xdr:rowOff>
    </xdr:from>
    <xdr:to>
      <xdr:col>17</xdr:col>
      <xdr:colOff>294410</xdr:colOff>
      <xdr:row>23</xdr:row>
      <xdr:rowOff>121226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5BB3DEC0-6CBD-426B-85F4-D44A31439B9F}"/>
            </a:ext>
          </a:extLst>
        </xdr:cNvPr>
        <xdr:cNvSpPr>
          <a:spLocks/>
        </xdr:cNvSpPr>
      </xdr:nvSpPr>
      <xdr:spPr bwMode="auto">
        <a:xfrm>
          <a:off x="802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22</xdr:row>
      <xdr:rowOff>173181</xdr:rowOff>
    </xdr:from>
    <xdr:to>
      <xdr:col>19</xdr:col>
      <xdr:colOff>294410</xdr:colOff>
      <xdr:row>23</xdr:row>
      <xdr:rowOff>121226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04DF241D-99D1-46CD-B227-B983DC22FB36}"/>
            </a:ext>
          </a:extLst>
        </xdr:cNvPr>
        <xdr:cNvSpPr>
          <a:spLocks/>
        </xdr:cNvSpPr>
      </xdr:nvSpPr>
      <xdr:spPr bwMode="auto">
        <a:xfrm>
          <a:off x="908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22</xdr:row>
      <xdr:rowOff>173181</xdr:rowOff>
    </xdr:from>
    <xdr:to>
      <xdr:col>21</xdr:col>
      <xdr:colOff>294410</xdr:colOff>
      <xdr:row>23</xdr:row>
      <xdr:rowOff>121226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8EC03728-461C-4566-B7D2-377E9A2C8760}"/>
            </a:ext>
          </a:extLst>
        </xdr:cNvPr>
        <xdr:cNvSpPr>
          <a:spLocks/>
        </xdr:cNvSpPr>
      </xdr:nvSpPr>
      <xdr:spPr bwMode="auto">
        <a:xfrm>
          <a:off x="10139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22</xdr:row>
      <xdr:rowOff>173181</xdr:rowOff>
    </xdr:from>
    <xdr:to>
      <xdr:col>23</xdr:col>
      <xdr:colOff>294410</xdr:colOff>
      <xdr:row>23</xdr:row>
      <xdr:rowOff>121226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4499C21B-26E7-4831-91AD-515584D80564}"/>
            </a:ext>
          </a:extLst>
        </xdr:cNvPr>
        <xdr:cNvSpPr>
          <a:spLocks/>
        </xdr:cNvSpPr>
      </xdr:nvSpPr>
      <xdr:spPr bwMode="auto">
        <a:xfrm>
          <a:off x="11197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22</xdr:row>
      <xdr:rowOff>173181</xdr:rowOff>
    </xdr:from>
    <xdr:to>
      <xdr:col>25</xdr:col>
      <xdr:colOff>294410</xdr:colOff>
      <xdr:row>23</xdr:row>
      <xdr:rowOff>121226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0C55FA8A-73DA-4A00-878B-EEB5E464AACE}"/>
            </a:ext>
          </a:extLst>
        </xdr:cNvPr>
        <xdr:cNvSpPr>
          <a:spLocks/>
        </xdr:cNvSpPr>
      </xdr:nvSpPr>
      <xdr:spPr bwMode="auto">
        <a:xfrm>
          <a:off x="12255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22</xdr:row>
      <xdr:rowOff>173181</xdr:rowOff>
    </xdr:from>
    <xdr:to>
      <xdr:col>27</xdr:col>
      <xdr:colOff>294410</xdr:colOff>
      <xdr:row>23</xdr:row>
      <xdr:rowOff>121226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4CBD1D0A-0C94-4171-BAC1-CA5A16078116}"/>
            </a:ext>
          </a:extLst>
        </xdr:cNvPr>
        <xdr:cNvSpPr>
          <a:spLocks/>
        </xdr:cNvSpPr>
      </xdr:nvSpPr>
      <xdr:spPr bwMode="auto">
        <a:xfrm>
          <a:off x="13314281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22</xdr:row>
      <xdr:rowOff>173181</xdr:rowOff>
    </xdr:from>
    <xdr:to>
      <xdr:col>29</xdr:col>
      <xdr:colOff>294410</xdr:colOff>
      <xdr:row>23</xdr:row>
      <xdr:rowOff>121226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9587A7F7-A017-4DBB-975B-17A70D79FB72}"/>
            </a:ext>
          </a:extLst>
        </xdr:cNvPr>
        <xdr:cNvSpPr>
          <a:spLocks/>
        </xdr:cNvSpPr>
      </xdr:nvSpPr>
      <xdr:spPr bwMode="auto">
        <a:xfrm>
          <a:off x="14372614" y="24107796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22</xdr:row>
      <xdr:rowOff>173181</xdr:rowOff>
    </xdr:from>
    <xdr:to>
      <xdr:col>31</xdr:col>
      <xdr:colOff>294410</xdr:colOff>
      <xdr:row>23</xdr:row>
      <xdr:rowOff>121226</xdr:rowOff>
    </xdr:to>
    <xdr:sp macro="" textlink="">
      <xdr:nvSpPr>
        <xdr:cNvPr id="3683" name="Freeform 10707">
          <a:extLst>
            <a:ext uri="{FF2B5EF4-FFF2-40B4-BE49-F238E27FC236}">
              <a16:creationId xmlns:a16="http://schemas.microsoft.com/office/drawing/2014/main" id="{16C62D50-F6BE-403C-9924-002B580777A9}"/>
            </a:ext>
          </a:extLst>
        </xdr:cNvPr>
        <xdr:cNvSpPr>
          <a:spLocks/>
        </xdr:cNvSpPr>
      </xdr:nvSpPr>
      <xdr:spPr bwMode="auto">
        <a:xfrm>
          <a:off x="15430948" y="24107796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</xdr:col>
      <xdr:colOff>288640</xdr:colOff>
      <xdr:row>33</xdr:row>
      <xdr:rowOff>173181</xdr:rowOff>
    </xdr:from>
    <xdr:to>
      <xdr:col>3</xdr:col>
      <xdr:colOff>294410</xdr:colOff>
      <xdr:row>34</xdr:row>
      <xdr:rowOff>121226</xdr:rowOff>
    </xdr:to>
    <xdr:sp macro="" textlink="">
      <xdr:nvSpPr>
        <xdr:cNvPr id="3684" name="Freeform 10707">
          <a:extLst>
            <a:ext uri="{FF2B5EF4-FFF2-40B4-BE49-F238E27FC236}">
              <a16:creationId xmlns:a16="http://schemas.microsoft.com/office/drawing/2014/main" id="{C1228C54-75FB-419F-9168-4932ED61EB2E}"/>
            </a:ext>
          </a:extLst>
        </xdr:cNvPr>
        <xdr:cNvSpPr>
          <a:spLocks/>
        </xdr:cNvSpPr>
      </xdr:nvSpPr>
      <xdr:spPr bwMode="auto">
        <a:xfrm>
          <a:off x="61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33</xdr:row>
      <xdr:rowOff>173181</xdr:rowOff>
    </xdr:from>
    <xdr:to>
      <xdr:col>5</xdr:col>
      <xdr:colOff>294410</xdr:colOff>
      <xdr:row>34</xdr:row>
      <xdr:rowOff>121226</xdr:rowOff>
    </xdr:to>
    <xdr:sp macro="" textlink="">
      <xdr:nvSpPr>
        <xdr:cNvPr id="3685" name="Freeform 10707">
          <a:extLst>
            <a:ext uri="{FF2B5EF4-FFF2-40B4-BE49-F238E27FC236}">
              <a16:creationId xmlns:a16="http://schemas.microsoft.com/office/drawing/2014/main" id="{1478F592-7CB2-484C-AE43-1ECD107DCC2F}"/>
            </a:ext>
          </a:extLst>
        </xdr:cNvPr>
        <xdr:cNvSpPr>
          <a:spLocks/>
        </xdr:cNvSpPr>
      </xdr:nvSpPr>
      <xdr:spPr bwMode="auto">
        <a:xfrm>
          <a:off x="167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33</xdr:row>
      <xdr:rowOff>173181</xdr:rowOff>
    </xdr:from>
    <xdr:to>
      <xdr:col>7</xdr:col>
      <xdr:colOff>294410</xdr:colOff>
      <xdr:row>34</xdr:row>
      <xdr:rowOff>121226</xdr:rowOff>
    </xdr:to>
    <xdr:sp macro="" textlink="">
      <xdr:nvSpPr>
        <xdr:cNvPr id="3686" name="Freeform 10707">
          <a:extLst>
            <a:ext uri="{FF2B5EF4-FFF2-40B4-BE49-F238E27FC236}">
              <a16:creationId xmlns:a16="http://schemas.microsoft.com/office/drawing/2014/main" id="{573D4853-B5F1-44A6-8151-4AC963CC0018}"/>
            </a:ext>
          </a:extLst>
        </xdr:cNvPr>
        <xdr:cNvSpPr>
          <a:spLocks/>
        </xdr:cNvSpPr>
      </xdr:nvSpPr>
      <xdr:spPr bwMode="auto">
        <a:xfrm>
          <a:off x="2730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33</xdr:row>
      <xdr:rowOff>173181</xdr:rowOff>
    </xdr:from>
    <xdr:to>
      <xdr:col>9</xdr:col>
      <xdr:colOff>294410</xdr:colOff>
      <xdr:row>34</xdr:row>
      <xdr:rowOff>121226</xdr:rowOff>
    </xdr:to>
    <xdr:sp macro="" textlink="">
      <xdr:nvSpPr>
        <xdr:cNvPr id="3687" name="Freeform 10707">
          <a:extLst>
            <a:ext uri="{FF2B5EF4-FFF2-40B4-BE49-F238E27FC236}">
              <a16:creationId xmlns:a16="http://schemas.microsoft.com/office/drawing/2014/main" id="{60624567-7C40-4B8E-AA2A-F523BAD03858}"/>
            </a:ext>
          </a:extLst>
        </xdr:cNvPr>
        <xdr:cNvSpPr>
          <a:spLocks/>
        </xdr:cNvSpPr>
      </xdr:nvSpPr>
      <xdr:spPr bwMode="auto">
        <a:xfrm>
          <a:off x="378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33</xdr:row>
      <xdr:rowOff>173181</xdr:rowOff>
    </xdr:from>
    <xdr:to>
      <xdr:col>11</xdr:col>
      <xdr:colOff>294410</xdr:colOff>
      <xdr:row>34</xdr:row>
      <xdr:rowOff>121226</xdr:rowOff>
    </xdr:to>
    <xdr:sp macro="" textlink="">
      <xdr:nvSpPr>
        <xdr:cNvPr id="3688" name="Freeform 10707">
          <a:extLst>
            <a:ext uri="{FF2B5EF4-FFF2-40B4-BE49-F238E27FC236}">
              <a16:creationId xmlns:a16="http://schemas.microsoft.com/office/drawing/2014/main" id="{D9D20806-6DA1-4A15-B322-9936C32FAE33}"/>
            </a:ext>
          </a:extLst>
        </xdr:cNvPr>
        <xdr:cNvSpPr>
          <a:spLocks/>
        </xdr:cNvSpPr>
      </xdr:nvSpPr>
      <xdr:spPr bwMode="auto">
        <a:xfrm>
          <a:off x="484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33</xdr:row>
      <xdr:rowOff>173181</xdr:rowOff>
    </xdr:from>
    <xdr:to>
      <xdr:col>13</xdr:col>
      <xdr:colOff>294410</xdr:colOff>
      <xdr:row>34</xdr:row>
      <xdr:rowOff>121226</xdr:rowOff>
    </xdr:to>
    <xdr:sp macro="" textlink="">
      <xdr:nvSpPr>
        <xdr:cNvPr id="3689" name="Freeform 10707">
          <a:extLst>
            <a:ext uri="{FF2B5EF4-FFF2-40B4-BE49-F238E27FC236}">
              <a16:creationId xmlns:a16="http://schemas.microsoft.com/office/drawing/2014/main" id="{DE7CF075-7B10-41E2-A83E-550A6D25BA51}"/>
            </a:ext>
          </a:extLst>
        </xdr:cNvPr>
        <xdr:cNvSpPr>
          <a:spLocks/>
        </xdr:cNvSpPr>
      </xdr:nvSpPr>
      <xdr:spPr bwMode="auto">
        <a:xfrm>
          <a:off x="5905948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33</xdr:row>
      <xdr:rowOff>173181</xdr:rowOff>
    </xdr:from>
    <xdr:to>
      <xdr:col>15</xdr:col>
      <xdr:colOff>294410</xdr:colOff>
      <xdr:row>34</xdr:row>
      <xdr:rowOff>121226</xdr:rowOff>
    </xdr:to>
    <xdr:sp macro="" textlink="">
      <xdr:nvSpPr>
        <xdr:cNvPr id="3690" name="Freeform 10707">
          <a:extLst>
            <a:ext uri="{FF2B5EF4-FFF2-40B4-BE49-F238E27FC236}">
              <a16:creationId xmlns:a16="http://schemas.microsoft.com/office/drawing/2014/main" id="{938B588B-D63F-4150-8F95-406125C4A601}"/>
            </a:ext>
          </a:extLst>
        </xdr:cNvPr>
        <xdr:cNvSpPr>
          <a:spLocks/>
        </xdr:cNvSpPr>
      </xdr:nvSpPr>
      <xdr:spPr bwMode="auto">
        <a:xfrm>
          <a:off x="6964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33</xdr:row>
      <xdr:rowOff>173181</xdr:rowOff>
    </xdr:from>
    <xdr:to>
      <xdr:col>17</xdr:col>
      <xdr:colOff>294410</xdr:colOff>
      <xdr:row>34</xdr:row>
      <xdr:rowOff>121226</xdr:rowOff>
    </xdr:to>
    <xdr:sp macro="" textlink="">
      <xdr:nvSpPr>
        <xdr:cNvPr id="3691" name="Freeform 10707">
          <a:extLst>
            <a:ext uri="{FF2B5EF4-FFF2-40B4-BE49-F238E27FC236}">
              <a16:creationId xmlns:a16="http://schemas.microsoft.com/office/drawing/2014/main" id="{4E0D4423-55C1-4105-A27A-ACE615751D7D}"/>
            </a:ext>
          </a:extLst>
        </xdr:cNvPr>
        <xdr:cNvSpPr>
          <a:spLocks/>
        </xdr:cNvSpPr>
      </xdr:nvSpPr>
      <xdr:spPr bwMode="auto">
        <a:xfrm>
          <a:off x="8022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320390</xdr:colOff>
      <xdr:row>34</xdr:row>
      <xdr:rowOff>36656</xdr:rowOff>
    </xdr:from>
    <xdr:to>
      <xdr:col>19</xdr:col>
      <xdr:colOff>326160</xdr:colOff>
      <xdr:row>34</xdr:row>
      <xdr:rowOff>152976</xdr:rowOff>
    </xdr:to>
    <xdr:sp macro="" textlink="">
      <xdr:nvSpPr>
        <xdr:cNvPr id="3692" name="Freeform 10707">
          <a:extLst>
            <a:ext uri="{FF2B5EF4-FFF2-40B4-BE49-F238E27FC236}">
              <a16:creationId xmlns:a16="http://schemas.microsoft.com/office/drawing/2014/main" id="{62D61F13-B3D1-431C-AD03-0CC5892BFC67}"/>
            </a:ext>
          </a:extLst>
        </xdr:cNvPr>
        <xdr:cNvSpPr>
          <a:spLocks/>
        </xdr:cNvSpPr>
      </xdr:nvSpPr>
      <xdr:spPr bwMode="auto">
        <a:xfrm>
          <a:off x="8623015" y="6704156"/>
          <a:ext cx="1021770" cy="116320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33</xdr:row>
      <xdr:rowOff>173181</xdr:rowOff>
    </xdr:from>
    <xdr:to>
      <xdr:col>21</xdr:col>
      <xdr:colOff>294410</xdr:colOff>
      <xdr:row>34</xdr:row>
      <xdr:rowOff>121226</xdr:rowOff>
    </xdr:to>
    <xdr:sp macro="" textlink="">
      <xdr:nvSpPr>
        <xdr:cNvPr id="3693" name="Freeform 10707">
          <a:extLst>
            <a:ext uri="{FF2B5EF4-FFF2-40B4-BE49-F238E27FC236}">
              <a16:creationId xmlns:a16="http://schemas.microsoft.com/office/drawing/2014/main" id="{52D78C62-9046-468F-B368-29197BDEBA44}"/>
            </a:ext>
          </a:extLst>
        </xdr:cNvPr>
        <xdr:cNvSpPr>
          <a:spLocks/>
        </xdr:cNvSpPr>
      </xdr:nvSpPr>
      <xdr:spPr bwMode="auto">
        <a:xfrm>
          <a:off x="10139281" y="26004655"/>
          <a:ext cx="1064103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33</xdr:row>
      <xdr:rowOff>173181</xdr:rowOff>
    </xdr:from>
    <xdr:to>
      <xdr:col>23</xdr:col>
      <xdr:colOff>294410</xdr:colOff>
      <xdr:row>34</xdr:row>
      <xdr:rowOff>121226</xdr:rowOff>
    </xdr:to>
    <xdr:sp macro="" textlink="">
      <xdr:nvSpPr>
        <xdr:cNvPr id="3694" name="Freeform 10707">
          <a:extLst>
            <a:ext uri="{FF2B5EF4-FFF2-40B4-BE49-F238E27FC236}">
              <a16:creationId xmlns:a16="http://schemas.microsoft.com/office/drawing/2014/main" id="{AFD538A9-830F-458C-98BB-904463255698}"/>
            </a:ext>
          </a:extLst>
        </xdr:cNvPr>
        <xdr:cNvSpPr>
          <a:spLocks/>
        </xdr:cNvSpPr>
      </xdr:nvSpPr>
      <xdr:spPr bwMode="auto">
        <a:xfrm>
          <a:off x="11197614" y="26004655"/>
          <a:ext cx="1064104" cy="119007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0</xdr:col>
      <xdr:colOff>296796</xdr:colOff>
      <xdr:row>22</xdr:row>
      <xdr:rowOff>159455</xdr:rowOff>
    </xdr:from>
    <xdr:to>
      <xdr:col>2</xdr:col>
      <xdr:colOff>32743</xdr:colOff>
      <xdr:row>25</xdr:row>
      <xdr:rowOff>152400</xdr:rowOff>
    </xdr:to>
    <xdr:sp macro="" textlink="">
      <xdr:nvSpPr>
        <xdr:cNvPr id="3700" name="Isosceles Triangle 3699">
          <a:extLst>
            <a:ext uri="{FF2B5EF4-FFF2-40B4-BE49-F238E27FC236}">
              <a16:creationId xmlns:a16="http://schemas.microsoft.com/office/drawing/2014/main" id="{6CD633E8-1E49-4929-8935-9A28B1208314}"/>
            </a:ext>
          </a:extLst>
        </xdr:cNvPr>
        <xdr:cNvSpPr/>
      </xdr:nvSpPr>
      <xdr:spPr>
        <a:xfrm>
          <a:off x="296796" y="24094070"/>
          <a:ext cx="655883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447409</xdr:colOff>
      <xdr:row>23</xdr:row>
      <xdr:rowOff>4233</xdr:rowOff>
    </xdr:from>
    <xdr:to>
      <xdr:col>4</xdr:col>
      <xdr:colOff>73463</xdr:colOff>
      <xdr:row>25</xdr:row>
      <xdr:rowOff>165947</xdr:rowOff>
    </xdr:to>
    <xdr:sp macro="" textlink="">
      <xdr:nvSpPr>
        <xdr:cNvPr id="3701" name="Isosceles Triangle 3700">
          <a:extLst>
            <a:ext uri="{FF2B5EF4-FFF2-40B4-BE49-F238E27FC236}">
              <a16:creationId xmlns:a16="http://schemas.microsoft.com/office/drawing/2014/main" id="{2AD0420C-ED21-4DAD-87B1-4BB18D23B6D7}"/>
            </a:ext>
          </a:extLst>
        </xdr:cNvPr>
        <xdr:cNvSpPr/>
      </xdr:nvSpPr>
      <xdr:spPr>
        <a:xfrm>
          <a:off x="1367345" y="24109810"/>
          <a:ext cx="684387" cy="503637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443172</xdr:colOff>
      <xdr:row>23</xdr:row>
      <xdr:rowOff>7056</xdr:rowOff>
    </xdr:from>
    <xdr:to>
      <xdr:col>10</xdr:col>
      <xdr:colOff>69226</xdr:colOff>
      <xdr:row>26</xdr:row>
      <xdr:rowOff>1</xdr:rowOff>
    </xdr:to>
    <xdr:sp macro="" textlink="">
      <xdr:nvSpPr>
        <xdr:cNvPr id="3702" name="Isosceles Triangle 3701">
          <a:extLst>
            <a:ext uri="{FF2B5EF4-FFF2-40B4-BE49-F238E27FC236}">
              <a16:creationId xmlns:a16="http://schemas.microsoft.com/office/drawing/2014/main" id="{676C05C0-9BF0-4AB0-A632-DE0B1D99C4D1}"/>
            </a:ext>
          </a:extLst>
        </xdr:cNvPr>
        <xdr:cNvSpPr/>
      </xdr:nvSpPr>
      <xdr:spPr>
        <a:xfrm>
          <a:off x="4538108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375237</xdr:colOff>
      <xdr:row>23</xdr:row>
      <xdr:rowOff>18345</xdr:rowOff>
    </xdr:from>
    <xdr:to>
      <xdr:col>12</xdr:col>
      <xdr:colOff>66404</xdr:colOff>
      <xdr:row>26</xdr:row>
      <xdr:rowOff>11290</xdr:rowOff>
    </xdr:to>
    <xdr:sp macro="" textlink="">
      <xdr:nvSpPr>
        <xdr:cNvPr id="3703" name="Isosceles Triangle 3702">
          <a:extLst>
            <a:ext uri="{FF2B5EF4-FFF2-40B4-BE49-F238E27FC236}">
              <a16:creationId xmlns:a16="http://schemas.microsoft.com/office/drawing/2014/main" id="{7E0FA1A7-1D7C-42E2-9975-147D956F7B23}"/>
            </a:ext>
          </a:extLst>
        </xdr:cNvPr>
        <xdr:cNvSpPr/>
      </xdr:nvSpPr>
      <xdr:spPr>
        <a:xfrm>
          <a:off x="5528506" y="24123922"/>
          <a:ext cx="749501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443172</xdr:colOff>
      <xdr:row>23</xdr:row>
      <xdr:rowOff>7056</xdr:rowOff>
    </xdr:from>
    <xdr:to>
      <xdr:col>14</xdr:col>
      <xdr:colOff>69226</xdr:colOff>
      <xdr:row>26</xdr:row>
      <xdr:rowOff>1</xdr:rowOff>
    </xdr:to>
    <xdr:sp macro="" textlink="">
      <xdr:nvSpPr>
        <xdr:cNvPr id="3704" name="Isosceles Triangle 3703">
          <a:extLst>
            <a:ext uri="{FF2B5EF4-FFF2-40B4-BE49-F238E27FC236}">
              <a16:creationId xmlns:a16="http://schemas.microsoft.com/office/drawing/2014/main" id="{0AD01F7C-0BD1-4A38-B53B-15FA630C71FE}"/>
            </a:ext>
          </a:extLst>
        </xdr:cNvPr>
        <xdr:cNvSpPr/>
      </xdr:nvSpPr>
      <xdr:spPr>
        <a:xfrm>
          <a:off x="6654775" y="24112633"/>
          <a:ext cx="684387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443172</xdr:colOff>
      <xdr:row>23</xdr:row>
      <xdr:rowOff>7056</xdr:rowOff>
    </xdr:from>
    <xdr:to>
      <xdr:col>18</xdr:col>
      <xdr:colOff>69226</xdr:colOff>
      <xdr:row>26</xdr:row>
      <xdr:rowOff>1</xdr:rowOff>
    </xdr:to>
    <xdr:sp macro="" textlink="">
      <xdr:nvSpPr>
        <xdr:cNvPr id="3705" name="Isosceles Triangle 3704">
          <a:extLst>
            <a:ext uri="{FF2B5EF4-FFF2-40B4-BE49-F238E27FC236}">
              <a16:creationId xmlns:a16="http://schemas.microsoft.com/office/drawing/2014/main" id="{A0FBDDEE-D26E-45E7-9BC6-77901551603C}"/>
            </a:ext>
          </a:extLst>
        </xdr:cNvPr>
        <xdr:cNvSpPr/>
      </xdr:nvSpPr>
      <xdr:spPr>
        <a:xfrm>
          <a:off x="8771441" y="24112633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403412</xdr:colOff>
      <xdr:row>23</xdr:row>
      <xdr:rowOff>8964</xdr:rowOff>
    </xdr:from>
    <xdr:to>
      <xdr:col>16</xdr:col>
      <xdr:colOff>29467</xdr:colOff>
      <xdr:row>26</xdr:row>
      <xdr:rowOff>1909</xdr:rowOff>
    </xdr:to>
    <xdr:sp macro="" textlink="">
      <xdr:nvSpPr>
        <xdr:cNvPr id="3706" name="Isosceles Triangle 3705">
          <a:extLst>
            <a:ext uri="{FF2B5EF4-FFF2-40B4-BE49-F238E27FC236}">
              <a16:creationId xmlns:a16="http://schemas.microsoft.com/office/drawing/2014/main" id="{6D946FE4-DC34-4615-B102-981F1F2B3D44}"/>
            </a:ext>
          </a:extLst>
        </xdr:cNvPr>
        <xdr:cNvSpPr/>
      </xdr:nvSpPr>
      <xdr:spPr>
        <a:xfrm>
          <a:off x="7673348" y="24114541"/>
          <a:ext cx="684388" cy="505830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43542</xdr:colOff>
      <xdr:row>35</xdr:row>
      <xdr:rowOff>32658</xdr:rowOff>
    </xdr:from>
    <xdr:ext cx="382764" cy="351600"/>
    <xdr:pic>
      <xdr:nvPicPr>
        <xdr:cNvPr id="3708" name="Picture 3707" descr="Gas pipeline line icon concept. Gas ...">
          <a:extLst>
            <a:ext uri="{FF2B5EF4-FFF2-40B4-BE49-F238E27FC236}">
              <a16:creationId xmlns:a16="http://schemas.microsoft.com/office/drawing/2014/main" id="{7441A588-2F46-4060-AD63-4F7114908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3080145" y="26206055"/>
          <a:ext cx="382764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76200</xdr:colOff>
      <xdr:row>35</xdr:row>
      <xdr:rowOff>32658</xdr:rowOff>
    </xdr:from>
    <xdr:ext cx="393872" cy="351600"/>
    <xdr:pic>
      <xdr:nvPicPr>
        <xdr:cNvPr id="3709" name="Picture 3708" descr="Gas pipeline line icon concept. Gas ...">
          <a:extLst>
            <a:ext uri="{FF2B5EF4-FFF2-40B4-BE49-F238E27FC236}">
              <a16:creationId xmlns:a16="http://schemas.microsoft.com/office/drawing/2014/main" id="{6A0B91D6-B22E-4F1F-8E06-CC2C1634BE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4171136" y="26206055"/>
          <a:ext cx="393872" cy="351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22</xdr:col>
      <xdr:colOff>250371</xdr:colOff>
      <xdr:row>39</xdr:row>
      <xdr:rowOff>97972</xdr:rowOff>
    </xdr:from>
    <xdr:ext cx="153198" cy="602157"/>
    <xdr:pic>
      <xdr:nvPicPr>
        <xdr:cNvPr id="3722" name="Picture 3721">
          <a:extLst>
            <a:ext uri="{FF2B5EF4-FFF2-40B4-BE49-F238E27FC236}">
              <a16:creationId xmlns:a16="http://schemas.microsoft.com/office/drawing/2014/main" id="{E1FB7C5E-C88A-4489-8B4F-825792D10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753640" y="26955216"/>
          <a:ext cx="153198" cy="602157"/>
        </a:xfrm>
        <a:prstGeom prst="rect">
          <a:avLst/>
        </a:prstGeom>
      </xdr:spPr>
    </xdr:pic>
    <xdr:clientData/>
  </xdr:oneCellAnchor>
  <xdr:twoCellAnchor>
    <xdr:from>
      <xdr:col>0</xdr:col>
      <xdr:colOff>297373</xdr:colOff>
      <xdr:row>150</xdr:row>
      <xdr:rowOff>7055</xdr:rowOff>
    </xdr:from>
    <xdr:to>
      <xdr:col>2</xdr:col>
      <xdr:colOff>27621</xdr:colOff>
      <xdr:row>153</xdr:row>
      <xdr:rowOff>0</xdr:rowOff>
    </xdr:to>
    <xdr:sp macro="" textlink="">
      <xdr:nvSpPr>
        <xdr:cNvPr id="3723" name="Isosceles Triangle 3722">
          <a:extLst>
            <a:ext uri="{FF2B5EF4-FFF2-40B4-BE49-F238E27FC236}">
              <a16:creationId xmlns:a16="http://schemas.microsoft.com/office/drawing/2014/main" id="{F3B32834-5395-4293-8136-736A10E4D1DF}"/>
            </a:ext>
          </a:extLst>
        </xdr:cNvPr>
        <xdr:cNvSpPr/>
      </xdr:nvSpPr>
      <xdr:spPr>
        <a:xfrm>
          <a:off x="10616123" y="27454930"/>
          <a:ext cx="730373" cy="46919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4233</xdr:rowOff>
    </xdr:from>
    <xdr:to>
      <xdr:col>4</xdr:col>
      <xdr:colOff>46570</xdr:colOff>
      <xdr:row>152</xdr:row>
      <xdr:rowOff>173567</xdr:rowOff>
    </xdr:to>
    <xdr:sp macro="" textlink="">
      <xdr:nvSpPr>
        <xdr:cNvPr id="3724" name="Isosceles Triangle 3723">
          <a:extLst>
            <a:ext uri="{FF2B5EF4-FFF2-40B4-BE49-F238E27FC236}">
              <a16:creationId xmlns:a16="http://schemas.microsoft.com/office/drawing/2014/main" id="{1FD58D91-A434-4E7B-B686-3F8C96D43D76}"/>
            </a:ext>
          </a:extLst>
        </xdr:cNvPr>
        <xdr:cNvSpPr/>
      </xdr:nvSpPr>
      <xdr:spPr>
        <a:xfrm>
          <a:off x="1341265" y="25266650"/>
          <a:ext cx="684388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150</xdr:row>
      <xdr:rowOff>13304</xdr:rowOff>
    </xdr:from>
    <xdr:to>
      <xdr:col>8</xdr:col>
      <xdr:colOff>46570</xdr:colOff>
      <xdr:row>153</xdr:row>
      <xdr:rowOff>1210</xdr:rowOff>
    </xdr:to>
    <xdr:sp macro="" textlink="">
      <xdr:nvSpPr>
        <xdr:cNvPr id="3725" name="Isosceles Triangle 3724">
          <a:extLst>
            <a:ext uri="{FF2B5EF4-FFF2-40B4-BE49-F238E27FC236}">
              <a16:creationId xmlns:a16="http://schemas.microsoft.com/office/drawing/2014/main" id="{84607F87-E683-4842-A28E-BBE2D5007413}"/>
            </a:ext>
          </a:extLst>
        </xdr:cNvPr>
        <xdr:cNvSpPr/>
      </xdr:nvSpPr>
      <xdr:spPr>
        <a:xfrm>
          <a:off x="3457932" y="25275721"/>
          <a:ext cx="684388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150</xdr:row>
      <xdr:rowOff>13304</xdr:rowOff>
    </xdr:from>
    <xdr:to>
      <xdr:col>4</xdr:col>
      <xdr:colOff>46569</xdr:colOff>
      <xdr:row>153</xdr:row>
      <xdr:rowOff>1210</xdr:rowOff>
    </xdr:to>
    <xdr:sp macro="" textlink="">
      <xdr:nvSpPr>
        <xdr:cNvPr id="3726" name="Isosceles Triangle 3725">
          <a:extLst>
            <a:ext uri="{FF2B5EF4-FFF2-40B4-BE49-F238E27FC236}">
              <a16:creationId xmlns:a16="http://schemas.microsoft.com/office/drawing/2014/main" id="{7A27C70E-7A44-4785-8117-957BC1CD1551}"/>
            </a:ext>
          </a:extLst>
        </xdr:cNvPr>
        <xdr:cNvSpPr/>
      </xdr:nvSpPr>
      <xdr:spPr>
        <a:xfrm>
          <a:off x="1341265" y="25275721"/>
          <a:ext cx="684387" cy="49590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438858</xdr:colOff>
      <xdr:row>150</xdr:row>
      <xdr:rowOff>15522</xdr:rowOff>
    </xdr:from>
    <xdr:to>
      <xdr:col>6</xdr:col>
      <xdr:colOff>64912</xdr:colOff>
      <xdr:row>153</xdr:row>
      <xdr:rowOff>8467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9CFCE348-0647-4AD0-88C6-928AA4AC71D8}"/>
            </a:ext>
          </a:extLst>
        </xdr:cNvPr>
        <xdr:cNvSpPr/>
      </xdr:nvSpPr>
      <xdr:spPr>
        <a:xfrm>
          <a:off x="2417941" y="29373689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150</xdr:row>
      <xdr:rowOff>7056</xdr:rowOff>
    </xdr:from>
    <xdr:to>
      <xdr:col>10</xdr:col>
      <xdr:colOff>42332</xdr:colOff>
      <xdr:row>153</xdr:row>
      <xdr:rowOff>1</xdr:rowOff>
    </xdr:to>
    <xdr:sp macro="" textlink="">
      <xdr:nvSpPr>
        <xdr:cNvPr id="3728" name="Isosceles Triangle 3727">
          <a:extLst>
            <a:ext uri="{FF2B5EF4-FFF2-40B4-BE49-F238E27FC236}">
              <a16:creationId xmlns:a16="http://schemas.microsoft.com/office/drawing/2014/main" id="{52FF9FC6-7C50-48FF-A3FF-FBCCD51970E6}"/>
            </a:ext>
          </a:extLst>
        </xdr:cNvPr>
        <xdr:cNvSpPr/>
      </xdr:nvSpPr>
      <xdr:spPr>
        <a:xfrm>
          <a:off x="4512028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150</xdr:row>
      <xdr:rowOff>18345</xdr:rowOff>
    </xdr:from>
    <xdr:to>
      <xdr:col>12</xdr:col>
      <xdr:colOff>39510</xdr:colOff>
      <xdr:row>153</xdr:row>
      <xdr:rowOff>11290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9ABF2514-C810-4B69-97BA-D3133744561C}"/>
            </a:ext>
          </a:extLst>
        </xdr:cNvPr>
        <xdr:cNvSpPr/>
      </xdr:nvSpPr>
      <xdr:spPr>
        <a:xfrm>
          <a:off x="5567539" y="25280762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150</xdr:row>
      <xdr:rowOff>7056</xdr:rowOff>
    </xdr:from>
    <xdr:to>
      <xdr:col>14</xdr:col>
      <xdr:colOff>42332</xdr:colOff>
      <xdr:row>153</xdr:row>
      <xdr:rowOff>1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BED88928-03F7-4B30-8CF8-446E37B7631E}"/>
            </a:ext>
          </a:extLst>
        </xdr:cNvPr>
        <xdr:cNvSpPr/>
      </xdr:nvSpPr>
      <xdr:spPr>
        <a:xfrm>
          <a:off x="6628695" y="25269473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150</xdr:row>
      <xdr:rowOff>18345</xdr:rowOff>
    </xdr:from>
    <xdr:to>
      <xdr:col>16</xdr:col>
      <xdr:colOff>39510</xdr:colOff>
      <xdr:row>153</xdr:row>
      <xdr:rowOff>11290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BAFFCF4D-51BA-4DFC-BC98-4C99323FC3CF}"/>
            </a:ext>
          </a:extLst>
        </xdr:cNvPr>
        <xdr:cNvSpPr/>
      </xdr:nvSpPr>
      <xdr:spPr>
        <a:xfrm>
          <a:off x="7684206" y="25280762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150</xdr:row>
      <xdr:rowOff>7056</xdr:rowOff>
    </xdr:from>
    <xdr:to>
      <xdr:col>18</xdr:col>
      <xdr:colOff>42332</xdr:colOff>
      <xdr:row>153</xdr:row>
      <xdr:rowOff>1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5C6D5BC3-DA54-4EA2-81C3-D8FE8585140F}"/>
            </a:ext>
          </a:extLst>
        </xdr:cNvPr>
        <xdr:cNvSpPr/>
      </xdr:nvSpPr>
      <xdr:spPr>
        <a:xfrm>
          <a:off x="874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439270</xdr:colOff>
      <xdr:row>150</xdr:row>
      <xdr:rowOff>18345</xdr:rowOff>
    </xdr:from>
    <xdr:to>
      <xdr:col>20</xdr:col>
      <xdr:colOff>21579</xdr:colOff>
      <xdr:row>153</xdr:row>
      <xdr:rowOff>8965</xdr:rowOff>
    </xdr:to>
    <xdr:sp macro="" textlink="">
      <xdr:nvSpPr>
        <xdr:cNvPr id="3733" name="Isosceles Triangle 3732">
          <a:extLst>
            <a:ext uri="{FF2B5EF4-FFF2-40B4-BE49-F238E27FC236}">
              <a16:creationId xmlns:a16="http://schemas.microsoft.com/office/drawing/2014/main" id="{88FF4521-CEB1-4EF5-A5A3-ED9994936677}"/>
            </a:ext>
          </a:extLst>
        </xdr:cNvPr>
        <xdr:cNvSpPr/>
      </xdr:nvSpPr>
      <xdr:spPr>
        <a:xfrm>
          <a:off x="9826687" y="25280762"/>
          <a:ext cx="640642" cy="4986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403412</xdr:colOff>
      <xdr:row>150</xdr:row>
      <xdr:rowOff>7055</xdr:rowOff>
    </xdr:from>
    <xdr:to>
      <xdr:col>22</xdr:col>
      <xdr:colOff>49392</xdr:colOff>
      <xdr:row>153</xdr:row>
      <xdr:rowOff>0</xdr:rowOff>
    </xdr:to>
    <xdr:sp macro="" textlink="">
      <xdr:nvSpPr>
        <xdr:cNvPr id="3734" name="Isosceles Triangle 3733">
          <a:extLst>
            <a:ext uri="{FF2B5EF4-FFF2-40B4-BE49-F238E27FC236}">
              <a16:creationId xmlns:a16="http://schemas.microsoft.com/office/drawing/2014/main" id="{080DF006-4B2A-4310-A599-1E5F95D77492}"/>
            </a:ext>
          </a:extLst>
        </xdr:cNvPr>
        <xdr:cNvSpPr/>
      </xdr:nvSpPr>
      <xdr:spPr>
        <a:xfrm>
          <a:off x="10849162" y="25269472"/>
          <a:ext cx="704313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4233</xdr:rowOff>
    </xdr:from>
    <xdr:to>
      <xdr:col>24</xdr:col>
      <xdr:colOff>46570</xdr:colOff>
      <xdr:row>152</xdr:row>
      <xdr:rowOff>173567</xdr:rowOff>
    </xdr:to>
    <xdr:sp macro="" textlink="">
      <xdr:nvSpPr>
        <xdr:cNvPr id="3735" name="Isosceles Triangle 3734">
          <a:extLst>
            <a:ext uri="{FF2B5EF4-FFF2-40B4-BE49-F238E27FC236}">
              <a16:creationId xmlns:a16="http://schemas.microsoft.com/office/drawing/2014/main" id="{F9EE171F-2F29-461B-9F61-00CB490D5E34}"/>
            </a:ext>
          </a:extLst>
        </xdr:cNvPr>
        <xdr:cNvSpPr/>
      </xdr:nvSpPr>
      <xdr:spPr>
        <a:xfrm>
          <a:off x="11924598" y="25266650"/>
          <a:ext cx="684389" cy="508000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420515</xdr:colOff>
      <xdr:row>150</xdr:row>
      <xdr:rowOff>13304</xdr:rowOff>
    </xdr:from>
    <xdr:to>
      <xdr:col>28</xdr:col>
      <xdr:colOff>46570</xdr:colOff>
      <xdr:row>153</xdr:row>
      <xdr:rowOff>1209</xdr:rowOff>
    </xdr:to>
    <xdr:sp macro="" textlink="">
      <xdr:nvSpPr>
        <xdr:cNvPr id="3736" name="Isosceles Triangle 3735">
          <a:extLst>
            <a:ext uri="{FF2B5EF4-FFF2-40B4-BE49-F238E27FC236}">
              <a16:creationId xmlns:a16="http://schemas.microsoft.com/office/drawing/2014/main" id="{A0300A9F-A75E-416B-A06F-41390940951D}"/>
            </a:ext>
          </a:extLst>
        </xdr:cNvPr>
        <xdr:cNvSpPr/>
      </xdr:nvSpPr>
      <xdr:spPr>
        <a:xfrm>
          <a:off x="14041265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420515</xdr:colOff>
      <xdr:row>150</xdr:row>
      <xdr:rowOff>13304</xdr:rowOff>
    </xdr:from>
    <xdr:to>
      <xdr:col>24</xdr:col>
      <xdr:colOff>46569</xdr:colOff>
      <xdr:row>153</xdr:row>
      <xdr:rowOff>1209</xdr:rowOff>
    </xdr:to>
    <xdr:sp macro="" textlink="">
      <xdr:nvSpPr>
        <xdr:cNvPr id="3737" name="Isosceles Triangle 3736">
          <a:extLst>
            <a:ext uri="{FF2B5EF4-FFF2-40B4-BE49-F238E27FC236}">
              <a16:creationId xmlns:a16="http://schemas.microsoft.com/office/drawing/2014/main" id="{18904E24-D947-4CBB-94E7-996477C87936}"/>
            </a:ext>
          </a:extLst>
        </xdr:cNvPr>
        <xdr:cNvSpPr/>
      </xdr:nvSpPr>
      <xdr:spPr>
        <a:xfrm>
          <a:off x="11924598" y="25275721"/>
          <a:ext cx="684388" cy="4959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417692</xdr:colOff>
      <xdr:row>150</xdr:row>
      <xdr:rowOff>15522</xdr:rowOff>
    </xdr:from>
    <xdr:to>
      <xdr:col>26</xdr:col>
      <xdr:colOff>43746</xdr:colOff>
      <xdr:row>153</xdr:row>
      <xdr:rowOff>8467</xdr:rowOff>
    </xdr:to>
    <xdr:sp macro="" textlink="">
      <xdr:nvSpPr>
        <xdr:cNvPr id="3738" name="Isosceles Triangle 3737">
          <a:extLst>
            <a:ext uri="{FF2B5EF4-FFF2-40B4-BE49-F238E27FC236}">
              <a16:creationId xmlns:a16="http://schemas.microsoft.com/office/drawing/2014/main" id="{B1CF878A-6762-42A6-9DC6-F3CBFFC61A35}"/>
            </a:ext>
          </a:extLst>
        </xdr:cNvPr>
        <xdr:cNvSpPr/>
      </xdr:nvSpPr>
      <xdr:spPr>
        <a:xfrm>
          <a:off x="12980109" y="25277939"/>
          <a:ext cx="684387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28</xdr:col>
      <xdr:colOff>416278</xdr:colOff>
      <xdr:row>150</xdr:row>
      <xdr:rowOff>7056</xdr:rowOff>
    </xdr:from>
    <xdr:to>
      <xdr:col>30</xdr:col>
      <xdr:colOff>42332</xdr:colOff>
      <xdr:row>153</xdr:row>
      <xdr:rowOff>1</xdr:rowOff>
    </xdr:to>
    <xdr:sp macro="" textlink="">
      <xdr:nvSpPr>
        <xdr:cNvPr id="3739" name="Isosceles Triangle 3738">
          <a:extLst>
            <a:ext uri="{FF2B5EF4-FFF2-40B4-BE49-F238E27FC236}">
              <a16:creationId xmlns:a16="http://schemas.microsoft.com/office/drawing/2014/main" id="{F4383A27-66A8-4020-A75B-8BBA6537D75C}"/>
            </a:ext>
          </a:extLst>
        </xdr:cNvPr>
        <xdr:cNvSpPr/>
      </xdr:nvSpPr>
      <xdr:spPr>
        <a:xfrm>
          <a:off x="15095361" y="25269473"/>
          <a:ext cx="684388" cy="5009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288640</xdr:colOff>
      <xdr:row>149</xdr:row>
      <xdr:rowOff>173181</xdr:rowOff>
    </xdr:from>
    <xdr:to>
      <xdr:col>3</xdr:col>
      <xdr:colOff>294410</xdr:colOff>
      <xdr:row>150</xdr:row>
      <xdr:rowOff>121226</xdr:rowOff>
    </xdr:to>
    <xdr:sp macro="" textlink="">
      <xdr:nvSpPr>
        <xdr:cNvPr id="3740" name="Freeform 10707">
          <a:extLst>
            <a:ext uri="{FF2B5EF4-FFF2-40B4-BE49-F238E27FC236}">
              <a16:creationId xmlns:a16="http://schemas.microsoft.com/office/drawing/2014/main" id="{65E95D4A-4C8D-4EBC-AEF9-639520EF87E8}"/>
            </a:ext>
          </a:extLst>
        </xdr:cNvPr>
        <xdr:cNvSpPr>
          <a:spLocks/>
        </xdr:cNvSpPr>
      </xdr:nvSpPr>
      <xdr:spPr bwMode="auto">
        <a:xfrm>
          <a:off x="6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3</xdr:col>
      <xdr:colOff>288640</xdr:colOff>
      <xdr:row>149</xdr:row>
      <xdr:rowOff>173181</xdr:rowOff>
    </xdr:from>
    <xdr:to>
      <xdr:col>5</xdr:col>
      <xdr:colOff>294410</xdr:colOff>
      <xdr:row>150</xdr:row>
      <xdr:rowOff>121226</xdr:rowOff>
    </xdr:to>
    <xdr:sp macro="" textlink="">
      <xdr:nvSpPr>
        <xdr:cNvPr id="3741" name="Freeform 10707">
          <a:extLst>
            <a:ext uri="{FF2B5EF4-FFF2-40B4-BE49-F238E27FC236}">
              <a16:creationId xmlns:a16="http://schemas.microsoft.com/office/drawing/2014/main" id="{4FD66BF9-D916-45B5-BB7B-4E43AA869353}"/>
            </a:ext>
          </a:extLst>
        </xdr:cNvPr>
        <xdr:cNvSpPr>
          <a:spLocks/>
        </xdr:cNvSpPr>
      </xdr:nvSpPr>
      <xdr:spPr bwMode="auto">
        <a:xfrm>
          <a:off x="16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5</xdr:col>
      <xdr:colOff>288640</xdr:colOff>
      <xdr:row>149</xdr:row>
      <xdr:rowOff>173181</xdr:rowOff>
    </xdr:from>
    <xdr:to>
      <xdr:col>7</xdr:col>
      <xdr:colOff>294410</xdr:colOff>
      <xdr:row>150</xdr:row>
      <xdr:rowOff>121226</xdr:rowOff>
    </xdr:to>
    <xdr:sp macro="" textlink="">
      <xdr:nvSpPr>
        <xdr:cNvPr id="3742" name="Freeform 10707">
          <a:extLst>
            <a:ext uri="{FF2B5EF4-FFF2-40B4-BE49-F238E27FC236}">
              <a16:creationId xmlns:a16="http://schemas.microsoft.com/office/drawing/2014/main" id="{5BC7647C-BA3F-446E-919E-28D747EEED75}"/>
            </a:ext>
          </a:extLst>
        </xdr:cNvPr>
        <xdr:cNvSpPr>
          <a:spLocks/>
        </xdr:cNvSpPr>
      </xdr:nvSpPr>
      <xdr:spPr bwMode="auto">
        <a:xfrm>
          <a:off x="27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7</xdr:col>
      <xdr:colOff>288640</xdr:colOff>
      <xdr:row>149</xdr:row>
      <xdr:rowOff>173181</xdr:rowOff>
    </xdr:from>
    <xdr:to>
      <xdr:col>9</xdr:col>
      <xdr:colOff>294410</xdr:colOff>
      <xdr:row>150</xdr:row>
      <xdr:rowOff>121226</xdr:rowOff>
    </xdr:to>
    <xdr:sp macro="" textlink="">
      <xdr:nvSpPr>
        <xdr:cNvPr id="3743" name="Freeform 10707">
          <a:extLst>
            <a:ext uri="{FF2B5EF4-FFF2-40B4-BE49-F238E27FC236}">
              <a16:creationId xmlns:a16="http://schemas.microsoft.com/office/drawing/2014/main" id="{512C5786-97AB-4A03-BE65-3B02A50246CA}"/>
            </a:ext>
          </a:extLst>
        </xdr:cNvPr>
        <xdr:cNvSpPr>
          <a:spLocks/>
        </xdr:cNvSpPr>
      </xdr:nvSpPr>
      <xdr:spPr bwMode="auto">
        <a:xfrm>
          <a:off x="379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9</xdr:col>
      <xdr:colOff>288640</xdr:colOff>
      <xdr:row>149</xdr:row>
      <xdr:rowOff>173181</xdr:rowOff>
    </xdr:from>
    <xdr:to>
      <xdr:col>11</xdr:col>
      <xdr:colOff>294410</xdr:colOff>
      <xdr:row>150</xdr:row>
      <xdr:rowOff>121226</xdr:rowOff>
    </xdr:to>
    <xdr:sp macro="" textlink="">
      <xdr:nvSpPr>
        <xdr:cNvPr id="3744" name="Freeform 10707">
          <a:extLst>
            <a:ext uri="{FF2B5EF4-FFF2-40B4-BE49-F238E27FC236}">
              <a16:creationId xmlns:a16="http://schemas.microsoft.com/office/drawing/2014/main" id="{5B59BFE5-20F7-433D-9AE7-08EA7592FC4D}"/>
            </a:ext>
          </a:extLst>
        </xdr:cNvPr>
        <xdr:cNvSpPr>
          <a:spLocks/>
        </xdr:cNvSpPr>
      </xdr:nvSpPr>
      <xdr:spPr bwMode="auto">
        <a:xfrm>
          <a:off x="485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11</xdr:col>
      <xdr:colOff>288640</xdr:colOff>
      <xdr:row>149</xdr:row>
      <xdr:rowOff>173181</xdr:rowOff>
    </xdr:from>
    <xdr:to>
      <xdr:col>13</xdr:col>
      <xdr:colOff>294410</xdr:colOff>
      <xdr:row>150</xdr:row>
      <xdr:rowOff>121226</xdr:rowOff>
    </xdr:to>
    <xdr:sp macro="" textlink="">
      <xdr:nvSpPr>
        <xdr:cNvPr id="3745" name="Freeform 10707">
          <a:extLst>
            <a:ext uri="{FF2B5EF4-FFF2-40B4-BE49-F238E27FC236}">
              <a16:creationId xmlns:a16="http://schemas.microsoft.com/office/drawing/2014/main" id="{C2C36C57-AB68-4A72-8F90-40A5241793BD}"/>
            </a:ext>
          </a:extLst>
        </xdr:cNvPr>
        <xdr:cNvSpPr>
          <a:spLocks/>
        </xdr:cNvSpPr>
      </xdr:nvSpPr>
      <xdr:spPr bwMode="auto">
        <a:xfrm>
          <a:off x="590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13</xdr:col>
      <xdr:colOff>288640</xdr:colOff>
      <xdr:row>149</xdr:row>
      <xdr:rowOff>173181</xdr:rowOff>
    </xdr:from>
    <xdr:to>
      <xdr:col>15</xdr:col>
      <xdr:colOff>294410</xdr:colOff>
      <xdr:row>150</xdr:row>
      <xdr:rowOff>121226</xdr:rowOff>
    </xdr:to>
    <xdr:sp macro="" textlink="">
      <xdr:nvSpPr>
        <xdr:cNvPr id="3746" name="Freeform 10707">
          <a:extLst>
            <a:ext uri="{FF2B5EF4-FFF2-40B4-BE49-F238E27FC236}">
              <a16:creationId xmlns:a16="http://schemas.microsoft.com/office/drawing/2014/main" id="{A762E6F2-3221-4B04-A041-1C4B277842D2}"/>
            </a:ext>
          </a:extLst>
        </xdr:cNvPr>
        <xdr:cNvSpPr>
          <a:spLocks/>
        </xdr:cNvSpPr>
      </xdr:nvSpPr>
      <xdr:spPr bwMode="auto">
        <a:xfrm>
          <a:off x="696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15</xdr:col>
      <xdr:colOff>288640</xdr:colOff>
      <xdr:row>149</xdr:row>
      <xdr:rowOff>173181</xdr:rowOff>
    </xdr:from>
    <xdr:to>
      <xdr:col>17</xdr:col>
      <xdr:colOff>294410</xdr:colOff>
      <xdr:row>150</xdr:row>
      <xdr:rowOff>121226</xdr:rowOff>
    </xdr:to>
    <xdr:sp macro="" textlink="">
      <xdr:nvSpPr>
        <xdr:cNvPr id="3747" name="Freeform 10707">
          <a:extLst>
            <a:ext uri="{FF2B5EF4-FFF2-40B4-BE49-F238E27FC236}">
              <a16:creationId xmlns:a16="http://schemas.microsoft.com/office/drawing/2014/main" id="{73C008D2-630F-4F0C-B3FE-C375F9D4D1A7}"/>
            </a:ext>
          </a:extLst>
        </xdr:cNvPr>
        <xdr:cNvSpPr>
          <a:spLocks/>
        </xdr:cNvSpPr>
      </xdr:nvSpPr>
      <xdr:spPr bwMode="auto">
        <a:xfrm>
          <a:off x="802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17</xdr:col>
      <xdr:colOff>288640</xdr:colOff>
      <xdr:row>149</xdr:row>
      <xdr:rowOff>173181</xdr:rowOff>
    </xdr:from>
    <xdr:to>
      <xdr:col>19</xdr:col>
      <xdr:colOff>294410</xdr:colOff>
      <xdr:row>150</xdr:row>
      <xdr:rowOff>121226</xdr:rowOff>
    </xdr:to>
    <xdr:sp macro="" textlink="">
      <xdr:nvSpPr>
        <xdr:cNvPr id="3748" name="Freeform 10707">
          <a:extLst>
            <a:ext uri="{FF2B5EF4-FFF2-40B4-BE49-F238E27FC236}">
              <a16:creationId xmlns:a16="http://schemas.microsoft.com/office/drawing/2014/main" id="{5DD323CB-B58C-4CCF-96FD-93D8C7BAFACA}"/>
            </a:ext>
          </a:extLst>
        </xdr:cNvPr>
        <xdr:cNvSpPr>
          <a:spLocks/>
        </xdr:cNvSpPr>
      </xdr:nvSpPr>
      <xdr:spPr bwMode="auto">
        <a:xfrm>
          <a:off x="908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19</xdr:col>
      <xdr:colOff>288640</xdr:colOff>
      <xdr:row>149</xdr:row>
      <xdr:rowOff>173181</xdr:rowOff>
    </xdr:from>
    <xdr:to>
      <xdr:col>21</xdr:col>
      <xdr:colOff>294410</xdr:colOff>
      <xdr:row>150</xdr:row>
      <xdr:rowOff>121226</xdr:rowOff>
    </xdr:to>
    <xdr:sp macro="" textlink="">
      <xdr:nvSpPr>
        <xdr:cNvPr id="3749" name="Freeform 10707">
          <a:extLst>
            <a:ext uri="{FF2B5EF4-FFF2-40B4-BE49-F238E27FC236}">
              <a16:creationId xmlns:a16="http://schemas.microsoft.com/office/drawing/2014/main" id="{98A1CF4A-A2A6-48B5-BF16-5A313CBAD13E}"/>
            </a:ext>
          </a:extLst>
        </xdr:cNvPr>
        <xdr:cNvSpPr>
          <a:spLocks/>
        </xdr:cNvSpPr>
      </xdr:nvSpPr>
      <xdr:spPr bwMode="auto">
        <a:xfrm>
          <a:off x="10141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21</xdr:col>
      <xdr:colOff>288640</xdr:colOff>
      <xdr:row>149</xdr:row>
      <xdr:rowOff>173181</xdr:rowOff>
    </xdr:from>
    <xdr:to>
      <xdr:col>23</xdr:col>
      <xdr:colOff>294410</xdr:colOff>
      <xdr:row>150</xdr:row>
      <xdr:rowOff>121226</xdr:rowOff>
    </xdr:to>
    <xdr:sp macro="" textlink="">
      <xdr:nvSpPr>
        <xdr:cNvPr id="3750" name="Freeform 10707">
          <a:extLst>
            <a:ext uri="{FF2B5EF4-FFF2-40B4-BE49-F238E27FC236}">
              <a16:creationId xmlns:a16="http://schemas.microsoft.com/office/drawing/2014/main" id="{DA959E48-CCA8-4D23-A346-811A370D43D0}"/>
            </a:ext>
          </a:extLst>
        </xdr:cNvPr>
        <xdr:cNvSpPr>
          <a:spLocks/>
        </xdr:cNvSpPr>
      </xdr:nvSpPr>
      <xdr:spPr bwMode="auto">
        <a:xfrm>
          <a:off x="11200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23</xdr:col>
      <xdr:colOff>288640</xdr:colOff>
      <xdr:row>149</xdr:row>
      <xdr:rowOff>173181</xdr:rowOff>
    </xdr:from>
    <xdr:to>
      <xdr:col>25</xdr:col>
      <xdr:colOff>294410</xdr:colOff>
      <xdr:row>150</xdr:row>
      <xdr:rowOff>121226</xdr:rowOff>
    </xdr:to>
    <xdr:sp macro="" textlink="">
      <xdr:nvSpPr>
        <xdr:cNvPr id="3751" name="Freeform 10707">
          <a:extLst>
            <a:ext uri="{FF2B5EF4-FFF2-40B4-BE49-F238E27FC236}">
              <a16:creationId xmlns:a16="http://schemas.microsoft.com/office/drawing/2014/main" id="{CADA4968-03DC-4B17-A155-2DB3E1F5E230}"/>
            </a:ext>
          </a:extLst>
        </xdr:cNvPr>
        <xdr:cNvSpPr>
          <a:spLocks/>
        </xdr:cNvSpPr>
      </xdr:nvSpPr>
      <xdr:spPr bwMode="auto">
        <a:xfrm>
          <a:off x="12258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25</xdr:col>
      <xdr:colOff>288640</xdr:colOff>
      <xdr:row>149</xdr:row>
      <xdr:rowOff>173181</xdr:rowOff>
    </xdr:from>
    <xdr:to>
      <xdr:col>27</xdr:col>
      <xdr:colOff>294410</xdr:colOff>
      <xdr:row>150</xdr:row>
      <xdr:rowOff>121226</xdr:rowOff>
    </xdr:to>
    <xdr:sp macro="" textlink="">
      <xdr:nvSpPr>
        <xdr:cNvPr id="3752" name="Freeform 10707">
          <a:extLst>
            <a:ext uri="{FF2B5EF4-FFF2-40B4-BE49-F238E27FC236}">
              <a16:creationId xmlns:a16="http://schemas.microsoft.com/office/drawing/2014/main" id="{8226449F-94EA-48F8-AD9D-C89A39A0FC4D}"/>
            </a:ext>
          </a:extLst>
        </xdr:cNvPr>
        <xdr:cNvSpPr>
          <a:spLocks/>
        </xdr:cNvSpPr>
      </xdr:nvSpPr>
      <xdr:spPr bwMode="auto">
        <a:xfrm>
          <a:off x="13316723" y="25266264"/>
          <a:ext cx="1064104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27</xdr:col>
      <xdr:colOff>288640</xdr:colOff>
      <xdr:row>149</xdr:row>
      <xdr:rowOff>173181</xdr:rowOff>
    </xdr:from>
    <xdr:to>
      <xdr:col>29</xdr:col>
      <xdr:colOff>294410</xdr:colOff>
      <xdr:row>150</xdr:row>
      <xdr:rowOff>121226</xdr:rowOff>
    </xdr:to>
    <xdr:sp macro="" textlink="">
      <xdr:nvSpPr>
        <xdr:cNvPr id="3753" name="Freeform 10707">
          <a:extLst>
            <a:ext uri="{FF2B5EF4-FFF2-40B4-BE49-F238E27FC236}">
              <a16:creationId xmlns:a16="http://schemas.microsoft.com/office/drawing/2014/main" id="{93303917-0589-4312-AEE2-D35AD250EE40}"/>
            </a:ext>
          </a:extLst>
        </xdr:cNvPr>
        <xdr:cNvSpPr>
          <a:spLocks/>
        </xdr:cNvSpPr>
      </xdr:nvSpPr>
      <xdr:spPr bwMode="auto">
        <a:xfrm>
          <a:off x="14375057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29</xdr:col>
      <xdr:colOff>288640</xdr:colOff>
      <xdr:row>149</xdr:row>
      <xdr:rowOff>173181</xdr:rowOff>
    </xdr:from>
    <xdr:to>
      <xdr:col>31</xdr:col>
      <xdr:colOff>294410</xdr:colOff>
      <xdr:row>150</xdr:row>
      <xdr:rowOff>121226</xdr:rowOff>
    </xdr:to>
    <xdr:sp macro="" textlink="">
      <xdr:nvSpPr>
        <xdr:cNvPr id="3754" name="Freeform 10707">
          <a:extLst>
            <a:ext uri="{FF2B5EF4-FFF2-40B4-BE49-F238E27FC236}">
              <a16:creationId xmlns:a16="http://schemas.microsoft.com/office/drawing/2014/main" id="{5294E966-1471-4DF5-A7BF-9261E808AB88}"/>
            </a:ext>
          </a:extLst>
        </xdr:cNvPr>
        <xdr:cNvSpPr>
          <a:spLocks/>
        </xdr:cNvSpPr>
      </xdr:nvSpPr>
      <xdr:spPr bwMode="auto">
        <a:xfrm>
          <a:off x="15433390" y="25266264"/>
          <a:ext cx="1064103" cy="117379"/>
        </a:xfrm>
        <a:custGeom>
          <a:avLst/>
          <a:gdLst>
            <a:gd name="T0" fmla="*/ 0 w 121"/>
            <a:gd name="T1" fmla="*/ 2147483647 h 43"/>
            <a:gd name="T2" fmla="*/ 2147483647 w 121"/>
            <a:gd name="T3" fmla="*/ 2147483647 h 43"/>
            <a:gd name="T4" fmla="*/ 2147483647 w 121"/>
            <a:gd name="T5" fmla="*/ 2147483647 h 43"/>
            <a:gd name="T6" fmla="*/ 2147483647 w 121"/>
            <a:gd name="T7" fmla="*/ 2147483647 h 43"/>
            <a:gd name="T8" fmla="*/ 0 w 121"/>
            <a:gd name="T9" fmla="*/ 2147483647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ln w="3175">
          <a:headEnd/>
          <a:tailEnd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</xdr:sp>
    <xdr:clientData/>
  </xdr:twoCellAnchor>
  <xdr:twoCellAnchor>
    <xdr:from>
      <xdr:col>4</xdr:col>
      <xdr:colOff>177800</xdr:colOff>
      <xdr:row>151</xdr:row>
      <xdr:rowOff>36284</xdr:rowOff>
    </xdr:from>
    <xdr:to>
      <xdr:col>4</xdr:col>
      <xdr:colOff>234950</xdr:colOff>
      <xdr:row>153</xdr:row>
      <xdr:rowOff>155120</xdr:rowOff>
    </xdr:to>
    <xdr:sp macro="" textlink="">
      <xdr:nvSpPr>
        <xdr:cNvPr id="3755" name="Rectangle 11590" descr="Light horizontal">
          <a:extLst>
            <a:ext uri="{FF2B5EF4-FFF2-40B4-BE49-F238E27FC236}">
              <a16:creationId xmlns:a16="http://schemas.microsoft.com/office/drawing/2014/main" id="{477F30DE-B27F-465A-905D-5A22B4DAFF0F}"/>
            </a:ext>
          </a:extLst>
        </xdr:cNvPr>
        <xdr:cNvSpPr>
          <a:spLocks noChangeArrowheads="1"/>
        </xdr:cNvSpPr>
      </xdr:nvSpPr>
      <xdr:spPr bwMode="auto">
        <a:xfrm>
          <a:off x="2156883" y="25468034"/>
          <a:ext cx="57150" cy="457503"/>
        </a:xfrm>
        <a:prstGeom prst="rect">
          <a:avLst/>
        </a:prstGeom>
        <a:pattFill prst="lt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4</xdr:col>
      <xdr:colOff>152400</xdr:colOff>
      <xdr:row>155</xdr:row>
      <xdr:rowOff>32657</xdr:rowOff>
    </xdr:from>
    <xdr:ext cx="108857" cy="550604"/>
    <xdr:pic>
      <xdr:nvPicPr>
        <xdr:cNvPr id="3756" name="Picture 11595">
          <a:extLst>
            <a:ext uri="{FF2B5EF4-FFF2-40B4-BE49-F238E27FC236}">
              <a16:creationId xmlns:a16="http://schemas.microsoft.com/office/drawing/2014/main" id="{F3C1127F-F5CE-4EE6-A041-F90FAD3E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483" y="26141740"/>
          <a:ext cx="108857" cy="5506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22</xdr:col>
      <xdr:colOff>0</xdr:colOff>
      <xdr:row>151</xdr:row>
      <xdr:rowOff>0</xdr:rowOff>
    </xdr:from>
    <xdr:ext cx="382764" cy="348344"/>
    <xdr:pic>
      <xdr:nvPicPr>
        <xdr:cNvPr id="3757" name="Picture 3756" descr="Gas pipeline line icon concept. Gas ...">
          <a:extLst>
            <a:ext uri="{FF2B5EF4-FFF2-40B4-BE49-F238E27FC236}">
              <a16:creationId xmlns:a16="http://schemas.microsoft.com/office/drawing/2014/main" id="{390D441A-6EF9-40CF-97CC-5399D2F52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1504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151</xdr:row>
      <xdr:rowOff>0</xdr:rowOff>
    </xdr:from>
    <xdr:ext cx="382764" cy="348344"/>
    <xdr:pic>
      <xdr:nvPicPr>
        <xdr:cNvPr id="3758" name="Picture 3757" descr="Gas pipeline line icon concept. Gas ...">
          <a:extLst>
            <a:ext uri="{FF2B5EF4-FFF2-40B4-BE49-F238E27FC236}">
              <a16:creationId xmlns:a16="http://schemas.microsoft.com/office/drawing/2014/main" id="{0B9EF246-A9A5-4993-9EE1-34EEF52C2E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265" t="23107" r="14644" b="24994"/>
        <a:stretch/>
      </xdr:blipFill>
      <xdr:spPr bwMode="auto">
        <a:xfrm>
          <a:off x="14679083" y="25431750"/>
          <a:ext cx="382764" cy="348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119743</xdr:colOff>
      <xdr:row>155</xdr:row>
      <xdr:rowOff>10886</xdr:rowOff>
    </xdr:from>
    <xdr:ext cx="153198" cy="559647"/>
    <xdr:pic>
      <xdr:nvPicPr>
        <xdr:cNvPr id="3759" name="Picture 3758">
          <a:extLst>
            <a:ext uri="{FF2B5EF4-FFF2-40B4-BE49-F238E27FC236}">
              <a16:creationId xmlns:a16="http://schemas.microsoft.com/office/drawing/2014/main" id="{EE36ECDF-BC24-424F-B1C7-6924206F5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15493" y="26119969"/>
          <a:ext cx="153198" cy="559647"/>
        </a:xfrm>
        <a:prstGeom prst="rect">
          <a:avLst/>
        </a:prstGeom>
      </xdr:spPr>
    </xdr:pic>
    <xdr:clientData/>
  </xdr:oneCellAnchor>
  <xdr:oneCellAnchor>
    <xdr:from>
      <xdr:col>18</xdr:col>
      <xdr:colOff>130628</xdr:colOff>
      <xdr:row>155</xdr:row>
      <xdr:rowOff>21771</xdr:rowOff>
    </xdr:from>
    <xdr:ext cx="153198" cy="559647"/>
    <xdr:pic>
      <xdr:nvPicPr>
        <xdr:cNvPr id="3760" name="Picture 3759">
          <a:extLst>
            <a:ext uri="{FF2B5EF4-FFF2-40B4-BE49-F238E27FC236}">
              <a16:creationId xmlns:a16="http://schemas.microsoft.com/office/drawing/2014/main" id="{EBFFBC04-A869-42E4-9280-FFD3491F9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18045" y="26130854"/>
          <a:ext cx="153198" cy="559647"/>
        </a:xfrm>
        <a:prstGeom prst="rect">
          <a:avLst/>
        </a:prstGeom>
      </xdr:spPr>
    </xdr:pic>
    <xdr:clientData/>
  </xdr:oneCellAnchor>
  <xdr:oneCellAnchor>
    <xdr:from>
      <xdr:col>2</xdr:col>
      <xdr:colOff>123266</xdr:colOff>
      <xdr:row>28</xdr:row>
      <xdr:rowOff>33616</xdr:rowOff>
    </xdr:from>
    <xdr:ext cx="153198" cy="559647"/>
    <xdr:pic>
      <xdr:nvPicPr>
        <xdr:cNvPr id="3714" name="Picture 3713">
          <a:extLst>
            <a:ext uri="{FF2B5EF4-FFF2-40B4-BE49-F238E27FC236}">
              <a16:creationId xmlns:a16="http://schemas.microsoft.com/office/drawing/2014/main" id="{960EEDB8-B4EB-4F6C-BEAB-AA296B827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86119" y="5782234"/>
          <a:ext cx="153198" cy="559647"/>
        </a:xfrm>
        <a:prstGeom prst="rect">
          <a:avLst/>
        </a:prstGeom>
      </xdr:spPr>
    </xdr:pic>
    <xdr:clientData/>
  </xdr:oneCellAnchor>
  <xdr:oneCellAnchor>
    <xdr:from>
      <xdr:col>4</xdr:col>
      <xdr:colOff>156884</xdr:colOff>
      <xdr:row>28</xdr:row>
      <xdr:rowOff>44824</xdr:rowOff>
    </xdr:from>
    <xdr:ext cx="156881" cy="495950"/>
    <xdr:pic>
      <xdr:nvPicPr>
        <xdr:cNvPr id="3761" name="Picture 11595">
          <a:extLst>
            <a:ext uri="{FF2B5EF4-FFF2-40B4-BE49-F238E27FC236}">
              <a16:creationId xmlns:a16="http://schemas.microsoft.com/office/drawing/2014/main" id="{5CAB78BD-9A77-49D5-B050-B2F952C9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7060" y="5793442"/>
          <a:ext cx="156881" cy="49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145678</xdr:colOff>
      <xdr:row>28</xdr:row>
      <xdr:rowOff>0</xdr:rowOff>
    </xdr:from>
    <xdr:ext cx="153198" cy="559647"/>
    <xdr:pic>
      <xdr:nvPicPr>
        <xdr:cNvPr id="3767" name="Picture 3766">
          <a:extLst>
            <a:ext uri="{FF2B5EF4-FFF2-40B4-BE49-F238E27FC236}">
              <a16:creationId xmlns:a16="http://schemas.microsoft.com/office/drawing/2014/main" id="{765F7C8A-725F-489B-9772-FAE6476A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00502" y="5748618"/>
          <a:ext cx="153198" cy="559647"/>
        </a:xfrm>
        <a:prstGeom prst="rect">
          <a:avLst/>
        </a:prstGeom>
      </xdr:spPr>
    </xdr:pic>
    <xdr:clientData/>
  </xdr:oneCellAnchor>
  <xdr:oneCellAnchor>
    <xdr:from>
      <xdr:col>12</xdr:col>
      <xdr:colOff>156882</xdr:colOff>
      <xdr:row>28</xdr:row>
      <xdr:rowOff>11206</xdr:rowOff>
    </xdr:from>
    <xdr:ext cx="153198" cy="559647"/>
    <xdr:pic>
      <xdr:nvPicPr>
        <xdr:cNvPr id="3769" name="Picture 3768">
          <a:extLst>
            <a:ext uri="{FF2B5EF4-FFF2-40B4-BE49-F238E27FC236}">
              <a16:creationId xmlns:a16="http://schemas.microsoft.com/office/drawing/2014/main" id="{D547956A-888B-4514-83E7-CC0CAED2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06353" y="5759824"/>
          <a:ext cx="153198" cy="559647"/>
        </a:xfrm>
        <a:prstGeom prst="rect">
          <a:avLst/>
        </a:prstGeom>
      </xdr:spPr>
    </xdr:pic>
    <xdr:clientData/>
  </xdr:oneCellAnchor>
  <xdr:twoCellAnchor>
    <xdr:from>
      <xdr:col>16</xdr:col>
      <xdr:colOff>108856</xdr:colOff>
      <xdr:row>39</xdr:row>
      <xdr:rowOff>54431</xdr:rowOff>
    </xdr:from>
    <xdr:to>
      <xdr:col>16</xdr:col>
      <xdr:colOff>258535</xdr:colOff>
      <xdr:row>40</xdr:row>
      <xdr:rowOff>285753</xdr:rowOff>
    </xdr:to>
    <xdr:sp macro="" textlink="">
      <xdr:nvSpPr>
        <xdr:cNvPr id="2252" name="AutoShape 10732">
          <a:extLst>
            <a:ext uri="{FF2B5EF4-FFF2-40B4-BE49-F238E27FC236}">
              <a16:creationId xmlns:a16="http://schemas.microsoft.com/office/drawing/2014/main" id="{DA920574-546A-4361-B93F-A35279B9242E}"/>
            </a:ext>
          </a:extLst>
        </xdr:cNvPr>
        <xdr:cNvSpPr>
          <a:spLocks noChangeArrowheads="1"/>
        </xdr:cNvSpPr>
      </xdr:nvSpPr>
      <xdr:spPr bwMode="auto">
        <a:xfrm rot="5400000">
          <a:off x="7796892" y="7851324"/>
          <a:ext cx="394607" cy="149679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149677</xdr:colOff>
      <xdr:row>39</xdr:row>
      <xdr:rowOff>81642</xdr:rowOff>
    </xdr:from>
    <xdr:to>
      <xdr:col>18</xdr:col>
      <xdr:colOff>285749</xdr:colOff>
      <xdr:row>40</xdr:row>
      <xdr:rowOff>285753</xdr:rowOff>
    </xdr:to>
    <xdr:sp macro="" textlink="">
      <xdr:nvSpPr>
        <xdr:cNvPr id="2253" name="AutoShape 10732">
          <a:extLst>
            <a:ext uri="{FF2B5EF4-FFF2-40B4-BE49-F238E27FC236}">
              <a16:creationId xmlns:a16="http://schemas.microsoft.com/office/drawing/2014/main" id="{52709CC6-E449-49DB-B2CA-29ED4AB93500}"/>
            </a:ext>
          </a:extLst>
        </xdr:cNvPr>
        <xdr:cNvSpPr>
          <a:spLocks noChangeArrowheads="1"/>
        </xdr:cNvSpPr>
      </xdr:nvSpPr>
      <xdr:spPr bwMode="auto">
        <a:xfrm rot="5400000">
          <a:off x="8851444" y="7871733"/>
          <a:ext cx="367396" cy="136072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E6EADC0-B662-41D7-B6C0-1082491FA9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7E7D2D32-C0CC-470E-AC2F-592A63AC1F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F68B6B-C3A6-4F6D-A9C0-5ADD883028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B19A971-B8ED-4013-AAFF-3BF7F23017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74EDF25-65A4-4431-B442-92848A825D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356CB2C1-C948-47FD-A71B-B9A8A8111D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6BC83A8-3623-4EB3-ACF5-44AAB91C24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DA79FF1-5D7C-44E8-A3AB-8B4BCFE03C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5136716-3526-4BD8-B783-0DA1299FB7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1174C547-A18B-48A0-8DFE-8785FF50338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52F375B-3B0B-4459-AB32-5C6BB773D82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AB0722D0-3DA6-4B60-B99A-067BB9B96B9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041B3B5-3E9C-4867-8216-32300D4D01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DF13D51D-0B4B-4368-ACBB-8872687919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B383F7-180B-4A9C-8111-E96768083E0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AE41DAD7-B0D4-4506-A57D-10A151CE22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951718A-6DDC-4492-AD73-744B2B9212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451FC742-1EF8-40A7-99E8-B635C98EEB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4D30FF6A-C4EE-4B2C-99BB-BB8508C9090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30918AA-057F-49C0-88AE-9D020BAAF1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2D5BE0D6-5301-4BF6-839F-95D3566D5A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EA269354-F3FC-49C0-AE43-BA8B0B23BC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4F192DC0-0B8D-4E61-8C99-4A4229D240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6E7D1B8-E9C7-4F4D-B27C-7661208045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A2A1FFB4-F187-4E4A-846D-559579705C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11FA368D-4701-44BB-A42D-A80FA9B3355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1A49C2F-49C4-4A0B-83FD-73B49BAC99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9204E139-F590-4395-85BD-1425FDE684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17A6514-284B-4033-B00F-AFFEA5A799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6A5F89CA-8BBE-4F47-AE46-BDAF6531669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35BE07C-639F-405B-8DED-2F14CEF7E43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8955EFDD-1A20-4114-8298-A1FD784497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9666D73-E0AE-4C6E-AEE6-87BF8F93DD5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C748C90A-FF3A-443F-B335-471064551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54709CA5-E23C-4C0C-B264-F480291105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E5F8AC70-0FEA-4722-B2F3-305D2ABD9B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BE9FBB41-074D-4E49-8BD1-9F5D1B6A42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C7E24B1-95C2-487D-97C3-E68424662C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EBE11E9-1FCA-4759-9CC3-28C4242D2E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28F0F43E-3053-4A0C-BA7E-83C5D6C83E5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1D4A8A6-3FF0-4E8A-8965-CB071FE2BE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4C23988-360A-472C-ABC9-3B8E53221B1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B8136993-D05C-4D31-BE84-39F030FD9A9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C114D947-92BA-460C-8DC6-D1934DFDFB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C7BCAD2C-63EA-4FF5-BF57-9C149EB0B91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74796A68-2E89-4AA9-B8A2-54B308BC12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6D95E9AE-69DD-4F40-BE6B-19C7868D9B4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94877B2-A6E8-4B5A-9D24-BADBF8EE99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62B5955-8B51-4EEE-8F7D-736F015F9AE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A5094CCD-07D4-463A-A83F-544B5DD90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7FA1DDD-D607-4727-AEA3-BD956DE8242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8E605054-C6F4-449F-9E36-61F32F93138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56AE84AA-27D8-44F2-A3E9-3E3F1C7487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9B66F96E-B1FF-48D4-BBFA-537EBCD38F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32E3C90D-3C5A-490A-9889-3AE53140E47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5E3C119-F270-455E-8C8B-5C265A224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1FCAA7F7-46F4-49EF-A39F-F0BB0FA7D8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A94A9D50-6D9E-4F1B-9BA4-2D986AF138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21F56AD7-78E3-4399-AE3F-D4D029849CC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1217DD31-080E-45DE-923A-E3543F539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C698782-5AD8-402B-B401-6988399FE2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D08DD3CE-5E13-49B5-9006-C4D918DBD4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72CC8B39-CD07-471B-B4E8-57113F480F0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46C95A53-8350-4487-B543-13AFA7F707B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146C471A-20E6-4B1C-A01B-E15AFBAE3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58B55A47-E699-4EF2-A724-DC6C7E6EAB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1E5B7CB-6067-4167-93AC-A75CDACB022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9B4367AD-6859-4023-9B00-842CBA9025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FC911E1B-E4F8-4CCF-B742-CF415CD716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38A1E9B7-7607-4111-8890-81016B8CFF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A3C26817-A54C-4592-8E85-FD85390C2F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2A5BA2AB-FC1C-4324-944A-8AFE1D40C4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256F2366-2617-4317-9D7D-B9D418DDC7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D94EE00-EE74-4676-AB12-F8D6E534C7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A5534DF-E12D-40A7-A5DF-FB0958D8C1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87423921-891B-476B-813D-51E30A448C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BF8D4E8-9240-4835-A5FF-04EF0F82B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44476D48-F5AD-4B13-8BF5-BBBA25D9C6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ABBA003B-2D31-446A-8677-0C96AF135D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C773C9A6-E9C8-4FF1-91F9-E6D152BFFA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F7C46A93-A404-4C64-8F27-BB26D134D2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2AFF56C-861B-4C2F-92A9-E2E2FF263C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BE1271E6-D49E-402B-82F4-D9C024CD5CA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D2820903-DDC9-4D89-AB34-0498C52F8D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A0242AC0-7EA5-45C6-9B0E-19C06213C0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851D0A45-24D4-4A6C-8B82-39BCB5DF07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520F3259-1845-4309-8C2C-17F9181BEB9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9AEF1AEA-DC40-4C1D-B4BD-0D1379232A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516884FB-D03F-43AE-97DF-A0944B95A4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FCA95219-99A1-4B52-B059-D6A4ED4065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1FFB67EA-D647-4D94-B8B1-5B241C09E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D9A3FAEC-035E-4CB0-8E58-D6B69910C5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EE6AF9A4-3FF1-4F6F-A894-30BA7541713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E684CC3B-EEBF-4FEC-97CF-8CD935113E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97B47296-E73E-4D88-BB95-43E16894CA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1980FFB1-C695-44A5-978B-8719E0B4208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107893E7-BB55-4B58-8C9C-70341C99C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6ADA5A04-C091-4FCD-B6C5-5F853C2E156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0ED08F66-83D2-4C60-A807-54E30C3B4C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FD5341D2-BF0A-408C-9E79-71BFC672C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294A54A2-194A-436B-B990-6C2AE77CAD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1DA5D398-140C-4C2A-85CC-0A84D4DACBC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EBEE0D6C-E8C3-4514-A635-EEE2CBEA5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953EF2BA-2497-4E98-9D51-416201A77F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3AAD03C0-64EE-4E78-B962-EC1A2B6B7F0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744440E0-62E9-49B2-A356-3C8FF7F48A4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982648FB-82D4-4F01-B0C1-0454C6A7BC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6F8C428E-B5A6-439D-935C-82070E9E65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58A33C6A-78A8-4DCB-9D89-38B2421D4E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56301490-5E2C-4227-AC97-9B30CE6312E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A2356936-0CC2-454E-AC9E-95D387A005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3D082617-840D-4DC1-B76E-88FB5FD08F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997F4D32-9355-447F-8B03-34248344E9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367A18-1905-451A-9E90-19D4366019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F3C8F840-F9F6-48C8-8C4C-FEC8A62661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62560EBC-53FD-414C-A6AE-9E2B24D125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4F3AD172-FB8A-4010-831A-A2F8C7AC941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F31DAFE3-75DF-400A-9215-52FF0302C40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1FD0DCE-3326-4BA5-B204-36A0BD9AB9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0CE645F9-CBFA-498F-A67D-3FB2342CD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14EE51B-22F0-414C-875C-486B7F53B2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483C31C6-EBA0-44B8-AD7A-C1B1FCE22B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DF82DA51-AA74-4067-BB7E-36D6E84B2D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3C9197B-8115-405A-86B4-71BC5BB790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8BA171E9-4E36-4866-B5A1-CA2C720CCE2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E9CF382F-16FE-41BC-8B58-E142BA57881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ADE1E0B6-86D6-47CC-890B-0BBC2F0DB9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26B2DBF9-5AF7-4A0E-97A8-AD44A6D426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A46B746C-EB84-4AA1-815C-94561C2823C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D06B0DE-FAE1-4AE5-A152-10F7782B06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840EA358-D795-4DC6-929E-06A0E930FF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3EE3F684-C3CA-4BDF-ABAF-C2EDE648B86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C9157167-D4DE-4B8C-A056-4613833DA4F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E10B990A-B2D2-4E18-8304-3AE013116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B76776E3-86A9-4572-B135-BFE6F30D930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FD14B65-C486-4CBB-A007-E2B20229A8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3354A017-1FA1-4AAF-A571-B370A683CC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6E7EA459-1526-42E1-8715-50ADF413F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A9B3D72-C344-4FDB-ACE6-99C7FFB76E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BCFF6A05-01B8-4B10-B4D3-92F0DCAA99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DCEED20-8AD0-4095-87F4-B0502237CB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F62F3F3-53D8-4086-AE90-9F005E80E3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84DBA88F-9D7F-4796-B51F-72B0352255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0B618CBF-8890-42C1-AA2A-3B78AA04EF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E1B1799A-2FF1-4617-8B8A-B5C14A09D5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4E2E5920-7B8C-4BC1-937D-8C5DC1DBD6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C91D69BD-6844-4D9B-9A5D-D757CCCF3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9B42376-53D6-445D-887C-52118666B4A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9C49E1F1-C977-4241-9A1D-68A5D5D882F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5AD864AF-5FAA-4B80-81B9-2CA6326486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100BB81-692A-4D83-A686-23063E87DD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76556F7-8715-44C2-9BF1-BB52C8D6285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A3A5FB1D-3247-4773-BA22-65606435D21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BB128D02-29E8-4526-88B0-BA4973E482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65F708E3-19AA-48CB-A67F-B08519DC7B0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3A16683F-99C8-4085-A5E1-EA668E5C9E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C59B2040-781A-4E61-90AD-AF237970BDB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7F2A5ED1-0A41-4C5B-A4E0-EC237D39E9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0C08D4-00A7-4B23-9C6F-66E8A8FE41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0B85AFB-2D4C-4041-8FBD-24CD894FAAA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CBD1C88-88F0-4BB2-B6A6-1DE209ABE3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E73B49E8-D48F-447A-AF72-50D9B55E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FD6B225F-0EF8-4EFE-813E-DEA62B27247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A3276CCF-71B0-414D-B038-5F3E414B3F4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B717BF4-3D97-4659-B906-D8180D0FE5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AD917CE-886D-4DFA-B757-32742F4F35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E802DAD3-9158-4C60-8009-1F6D7FA1697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CFD5864-5B0E-4366-8B1F-3C73865C56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7D11B16D-9958-4FBF-8EB6-3CAA771C14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21890838-D444-4989-BCA2-18921737C6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938717C-58C0-4470-A2B6-91473AB5F5B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B4EE5B13-081A-4242-B43B-0AE1D35FF0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DB6BEC2F-39C7-4669-AEAD-0D2DA027BE7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62A3C8C9-3A91-490D-97A5-D642D6923AD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DAAB0762-9669-4B32-93E9-5BEEE2418D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5F4E51-74FE-4815-982A-86E7142967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5737CAB0-A14E-458A-A005-DC1C2289C7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E4603572-6416-4E40-894A-F4E4FCD344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16544971-4351-4922-8ADC-F71920C9DA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DAEF21FC-39CC-4360-BD7C-9D2A9E3B1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9DA0029E-BF8E-450D-9AEF-D4306C05CE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DA50F67C-5028-44F9-967C-82097D3B64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380DF107-C1DC-49A2-B404-0E8531ECCF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8637C51E-F518-4D34-B723-E768B4E3A2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4FD1CA5-0E70-4B3C-8300-E3F37975A0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C87A4E72-06F5-4B21-829B-560819F4C1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E2D96F61-A4D6-43F0-BDC2-33C143EDF7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3E707DC8-D382-41EF-B983-9A1286E0673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D47C076-B697-4073-A361-66F0FD02C6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76FB62D8-C98E-4D6A-B632-B4BA72434B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2AB15F76-926B-4240-9C90-0FDB4EE5C6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5F9772AB-49AF-443E-BE6F-FA655F7210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2945A78F-F1AD-4CF3-AEDE-5538433A0F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12895FB9-4690-4519-9485-789F71B68BF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8198E992-DCCC-4CC6-9E7A-214F8B5E26A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22E08CF5-4DEC-4F6B-99ED-9845B1BA4F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C2508238-7694-4F41-9529-670962A9A1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C4F13C03-0DAD-4628-A52C-2C2B09AD8A4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32A05F35-7D53-4858-8C1A-2D88D4F600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E1F64756-4244-4576-A45F-69C00370251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2042441-26C7-4605-8365-B572B05F901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88C32D9-572A-4246-B249-5432BA303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8312FB0B-AFCD-4E46-8A15-AABCE7C5F2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5CD35AFD-B0B2-4FCF-8465-3B7C713BB8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3219FAF1-FF11-47C2-AC46-B84EC0868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26E148F4-388A-4E19-AF23-48CBAC794C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DE83E2DC-1BD0-4E19-8E2E-716710EE20B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36B2722A-B63E-4C6B-9360-630428611A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005A9015-8D0A-48F3-A65B-BEB3231CE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70EAEEBC-8F89-44BE-952F-FDAD79B1EBA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9606BFA6-D4A8-4311-833C-54C2EBA291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86F99D87-E7CB-4B87-AEC9-508575D270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C6BE549A-EEED-46A0-AA78-C564A10A61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A13FD1BD-341A-49AF-9609-2F5DB7DE8DD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B0992C7-983F-4AE2-91EC-C2E3BB1C8D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7D63D64B-7BE1-4E7C-B4FC-B376AF725C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8C32BEF0-2757-4258-8862-84B9590352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B27F605C-85D6-4B85-91DB-A3257CDA68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893551F2-8CCF-42F3-8386-B9BAE3F3EA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942E8CE6-CFA3-4E87-9A1F-7798D4AF66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1D5626F6-5B70-4D44-95CA-A8CB35FECC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5C45E29F-05F0-449B-A3BC-2B5051AF85B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3E0D5809-6D02-4965-814F-4C5C790ED1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1304DB25-FED4-478E-808D-1830282696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D0A25D0-CBF4-4EEB-9995-9A6A205438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9F37C4-6DCD-48C0-A250-9A5F2AC716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E3493530-826F-41FC-A27C-67B13DCD731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A89F3CA2-E74D-4541-9F62-023A01D32EA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6C6ED8A1-56D3-4F58-A56C-3F670D5194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77439AB4-C901-452C-BEB3-A2963D0C3A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F42E7AB8-49A3-43F5-853E-1C043243C5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59E1DFFA-0EAD-4743-A6A2-C1FEF966616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CC217BE-F7E2-4530-A21E-DBCFACF20D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D26B45F7-519D-42B4-A0FE-237B6ACE99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E38D2C0C-276A-4BAE-A747-64F86708975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775BAE31-29C0-4A4B-9471-60DA0531F7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CCE8AEB4-FFBB-4560-83CC-E672F178E9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3B2B5BAC-126F-4BE9-AAEA-DC1A28DA9A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2DBC626F-9815-47A0-96F9-06302712C9D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293EA6C9-764D-4339-90C2-1781064406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1751DBF-C416-49C7-9F7B-2BD582515D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8060418F-EAC3-4F27-852A-82B8D657BA4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CBE2AF6D-ADD1-4E39-8313-9CBF65C4AB9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0C101FB-7367-413C-AEBE-FCBFDCA59B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71F2CFD7-B010-4686-9FA3-1EA972E5C0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5828792-AE19-4241-821B-6C3ACAF02A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0DC3970-0F88-4F02-B3A4-8BB60A38517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3F88544D-3F9C-485D-BDAA-E4263A895AD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0C8A0921-B85D-42CA-B8E9-6489D668C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FFE562E1-B503-4E7A-8CCE-E7A0DA0542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8091FA1D-32F2-427B-AE52-8E48D5776D7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07364DC4-F924-4A1A-BEB5-C274425969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8A7CFA97-D547-48CC-9056-9089838DC4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9AB6A5FE-1CA2-431A-9D79-FA01B8290D5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A84BEDE9-03BB-4F42-8A2A-BD1D8817FA4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B5DFF5F4-8D08-4555-9652-8E8ACB8070C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7750B771-370B-4721-B463-CB837DCB4CC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E34831E8-5460-4F99-8644-8493AB71A21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03658D2E-DD73-4366-9AD9-AB082C60AFF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66EBD27D-98FE-4BBE-9EEC-3ECC8EBD3FE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6E6B75BE-5413-49C3-B71E-175F329444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54E74042-1A73-4580-9FDA-AFF9A5E0C0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F97D1886-8B9C-44FE-96FC-29C61ED9FE8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33190201-387C-4D5F-8C1A-32AC73E33F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E7C635A7-F5E0-4F57-A4DF-AA377592B7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4836D3E2-2F4E-4191-968A-DFD51E105A5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CC716A5-07E0-48F6-9EFB-D08BAD9909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4106BA9-F0C6-4786-BE59-1CD71291D9E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999F71D-4536-4A6F-AEFB-6CD40ED62C6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7D3F443E-2206-4DC8-907F-F050445E2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BAA62686-1A17-4A69-A611-6E2329A33CF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30F03E1-184F-4639-AC66-DD6DE62875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0FC44F3-65AF-48AD-8CCE-DD0049BCD52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84225C7-FD6A-45E5-B5B3-31684607DA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AC6CD2CA-3A2D-4AC0-AA3E-B1E9F30FEC0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97B82735-8A2E-4852-801A-B3A296735C2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3F02D6E-178B-4BD8-A95A-4ABA78C3AE5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0716475D-F882-4D8C-91A2-4CCB8EC7763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5871D54-55E5-4DBD-B1A6-7C07153C473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DDC2FC7C-598C-4C75-A19B-425321AB35E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C7EB2EC-1286-4D6E-BB7F-323821A15D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C0983A60-BF96-4D77-ACAA-0C244561167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321A9234-BF11-4FC8-B704-84006D185B4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166D838E-D4CB-41B5-B894-EA5F794B70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E77091EF-1496-4393-9D80-9CC949F8F9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2E13099A-7C40-486E-833E-A463180F98B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8AFDA18-5D8F-421D-857D-DF6E8E600B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57904358-D558-43F0-A430-15E91D6C4C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0C355959-50F8-4BDE-8991-B3B700B5AC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6A48214A-AAEE-4649-A2E3-C154584DA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73F9CDBC-79BF-4139-A0B6-8C6932E03D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3F029C4A-CC1B-459C-9470-9679F33E66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464122CA-5081-4D45-A857-1D22AE165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299FC330-3BF4-4550-A750-C5E2F7A971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DAB5F9D6-F560-42F5-A3CC-FDFF2CDC02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A77BE07E-D9DC-40DD-9717-CF1F258E83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F467A41D-1E67-464B-9047-A995158E32C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F42699A0-12CF-4C64-ADB0-C4FEFC1D56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7796D5E-3B8C-493A-914E-031834F30DC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F4808AD-6873-4436-ACC3-2D0434F7F88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EA08F62E-9C9F-4AEF-986D-0C2C3D6C5B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01CE6687-20D3-4520-89BC-D955C76580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9C8B7A1D-292D-4021-B396-EA75236A9B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483CA4EB-2CE9-43CC-BF06-27D278A9AB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7477D19C-7650-4BD0-968A-28DC6913D1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97457AD-D1E3-425E-9A0E-8CE1B3013C5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4C7A5296-9B55-4534-BD77-582A002707D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D5F7C90B-1F40-4BAA-B5E4-0620EAD575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C659C84B-690D-43A7-80B1-902F282830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C96C9A7-145C-4E78-8BDD-807BFD21A8D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BDF10843-185F-4B94-A7A1-0AF440CD1C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37E00D2-99FE-4E9D-AA6C-03B40C1DDC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F58CAFCB-468A-4DF6-999B-919382892C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7B0C4C4B-30CD-4E09-A165-BB15AA6E231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7CBDD02D-65CA-4284-8EA4-441EAF8E2E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A083307-8AD5-416D-AEEE-BF2D98CD01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B31F6208-13C2-4BD3-8A06-851F033227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BD1B3D8D-5C20-43B3-9B37-C2E610350A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6977AA2D-7508-407E-8131-957C90BD533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78EEFEB0-C495-4CC0-81BA-53755AA4D0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D54114B3-0E09-43F5-A32A-EA266D43FC0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2CEED49F-8856-421F-9C9D-0383F2CAC1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305E3A8E-56F7-4AD3-BBB8-F43BDCE692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CC1E6520-FBE8-461A-937F-19BE7D102D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FC4DE981-EA26-43B7-8F2C-48F2E037C5D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9448FFA4-B5CF-4C12-AE99-E1297A8A59B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10386079-FBC8-46AE-BBDC-96A601843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4C63AF97-726B-4658-83A8-BDC639EDA14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C55B7167-3B9F-47DD-BF5C-5361C9F383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E206684-DEDC-4A21-B883-ECD242D3E2F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FE509F3E-A90B-4802-B25A-F4373A2F63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DD537807-FCF7-4FB2-B729-B564EAC853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4FDFC830-6048-4A65-A574-5C6427DDF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AE18FEEC-767F-4836-99FF-0DB12ED4BD0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5F74C52D-D1A8-4CE7-BAF2-6FDA487762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EDD245A-758D-48CD-B9E8-9F2A24DCC2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383B4737-D80D-4C2B-B0F0-902B45A2C50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DE10196F-2FEC-48F2-B903-576C7791B98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2A826C1-C63E-4BE9-84BD-63203838A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1F53E74C-BDD0-4410-A6C9-217293F51B9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8DB61FCD-D808-432C-BDA0-7E6E281F39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3125D873-B932-4E3E-8AD2-F0628C247E6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9352690-CFAE-40AD-B2E1-9584EBB761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824041E3-9C2C-45F0-8C32-E6C3745CA4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EB08E310-C085-4B72-9272-D9C9B8936A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92B5131-65E3-47E0-8F7A-2EBE868E2A9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9D2B92F3-6CA9-408C-B820-40B65ABECF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801722F2-075D-4F32-86F6-1323CE0DB0E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A07277D3-5B44-40FA-889E-E7F28CAE9F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1880A09B-8B8F-4437-95C5-46004B896BA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F0136F30-9AD5-47A9-B050-6B930B633E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848A5ACE-40A9-4924-8EA8-56D086A5A06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8085C47A-15B9-4825-A1CC-4C1FA4F411F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03C757DD-E7FD-42CA-92F9-21FFA8DDE50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4643DFCA-F8AE-4560-A3CA-9AE7FF0F0E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2DE4BA45-1DB8-4439-90D1-C1A39B70C6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F16E1C25-EE97-481C-AF7D-09A6A8FF53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C7D1CD07-2536-4275-A73D-A844EB7ED4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880466D-9254-4C7D-97D8-3F2D826726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A3130AC-CF62-4A56-8027-46A6833F0B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C296F76-5D58-45CC-93F8-93A4651D2C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079FBEE6-C6A6-4CC6-A076-FC22CE83174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AF9EF266-DD82-4A33-9105-72FBCB1C8C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C3DC6A8D-B60F-4508-9F65-B68BDB94F2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E11888D9-0168-46DD-AFE4-18A51182BB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AC12D0E4-3C9C-417B-80A7-625F4A39D4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FCEA422F-E4B3-4A6B-916A-8B2E831A70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41541D2-25CC-4E3A-B9CC-554E689F4D2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D9991C4D-EE40-402D-8037-D993D634E2F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0DA0AA96-3D37-4677-A117-C8BFF542615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F9363EFE-B654-46C1-AFCF-FE9849F76B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2E591654-A4E1-452D-9B74-47204F2DEB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153F7AC4-A600-47E8-AB34-06621737D2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E187E0E7-8325-456D-974A-FF6083A4DA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5A9F12C-F031-4C79-B39B-E7FDCF06FC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F52A6CAE-5866-438D-AE39-1C391FBFB8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EFC255C6-0E15-4C51-BF3E-21E4526E44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C087EF7-76E3-470C-B57C-CC69F9916F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7D0E47E3-4D93-4A2F-81AD-58CC454E6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62896543-602F-47B2-AE83-0325778D57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1C0B027B-7FC8-48AC-8D02-805977EEA8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280B8D19-BAF7-4CBD-A64B-0E04115687C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E1FD8389-35A2-47AE-B1B8-19D70E12398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950ACF23-8A75-4A2B-AE8D-4A682A89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487803F7-A18E-43A1-BBBC-6FCA8E17C0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1E61DB4-4039-4328-A835-DE6BED049E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B9297380-ACE8-4D24-BABD-6EDD3F3E36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C53A3623-44C0-489C-8864-3E4E367E94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13810D28-07D5-4609-96A1-06697E3A8E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26599957-C4B6-41A8-8E9F-88FDDAA8022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C8091FB-5A44-40A9-AC81-1D900D0370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1FEE2CF-6180-4F8E-9FD0-551E21D6C2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FD027677-9FD8-4EEA-B310-1CC350C2CF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28B9C935-FB7E-425F-949D-207406229C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AD955465-E158-4B3C-A182-1A08606C52A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46EDD4E2-423B-43D9-A95C-3808A94288F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801B73A2-10BF-48C3-B021-E0E94C21A65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0F5BD59-D94F-4C2A-AF1C-84DAFB7837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CD1A01A9-6BD7-49DE-BF0D-7CBFE4F66D7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67DA1027-DFFB-4344-96F2-04B862481C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7C851D07-1005-4917-BB73-91168E60D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722C774-6F8E-4B16-8880-D948539E85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56EE2564-69CE-4DD5-B95F-1C03FD04788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0E08A846-F085-476A-8FE3-6942347C088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2E343D14-31C9-4940-BBFD-690A71D74DB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CCB1E220-4657-43B9-80A1-2543FB39AA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07E56214-9BD8-4E73-97BB-8B429F8734C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62369751-44B8-4268-9578-C26EA7D9E2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DA237383-DDF7-4BB7-8089-61DFE1CECF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E5DD11E6-0DC1-4F45-998F-B58824078CA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E896DD1-833E-43E7-AD33-6B2EB3E1364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A280F59C-F30F-4653-99F2-6D8311C0AE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185ACB5A-79F9-4A34-ACB8-E6DC3767AAC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E3E0C12-DB6D-4889-A70A-A02247A1896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AABFAE3F-D397-4B69-9A7F-5E8338B30DD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DFD53087-FFCE-45A9-935F-5236ECDEDD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D31B1C3-2DF9-44DF-B959-219541A5E3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551A4D19-FD14-41F1-92FC-6DFEC22D19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2A4FC7C0-196D-43BD-8D3D-145CF46D041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38A8F6E2-65C6-4ABC-BD4D-5DD1A19E79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0B8640F-75C7-4920-B6BE-EB97B54D34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2CDB86B-EE1F-4D6F-AEB9-EA1330A5BC4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CB93BF4F-F4C7-42F0-8F93-6B7CDF2A65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6622D08-9554-4AF1-B1C1-EABE8E7E5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66FCE3B6-6366-495B-B6EE-256DDDBAA9E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63E09F8D-2820-47C1-A959-1BA2F23BA9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01CCCC8C-7A9E-4F19-B64F-BE0583794A5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6294606A-9CFF-4563-B88B-E32A0A9E82E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A51B50AD-17D1-4D64-9D66-F3B8877687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250A79FF-CDB3-49CC-B7D1-6EC577C35C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B77C5EB-C41A-43C3-B024-C683B30FD22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1CD2926-C571-4219-8C25-C9F2B0D33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952579DC-55F9-402C-9592-E7FEA5D45AF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A1C84A87-15EF-47A4-8293-28EBAC68BE4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009C8DC7-D20F-42A5-ABF5-0AF045F7D48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4661E64C-2DAD-49F8-B92E-F12D3AD4AD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9FB19147-4AF7-4AAF-BD99-DC310F23E32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26E3887-CB6A-4739-8C0A-DBCD38DFC0D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1D7DFC20-A61F-46EE-B2B7-C4AD2F90A83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C43516D2-A3AD-47A4-BC28-13A7265A316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601379FA-0E20-4B24-B9BF-C221EFC98D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946BE37D-3D4E-4407-AD56-F898F0FD5C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89178739-5409-4467-A382-6A51C38BAEA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8B92EC04-4274-4AE6-8675-D3C230D8628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A7AD6C24-3942-4FD5-BA34-AC302281CE6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53216E06-746B-4E4E-9A50-FFB60869A0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271A7C70-1EF3-45F9-9CB1-AE3D48417FF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39C5653B-3BD8-4194-A5C1-13D9940CB60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B3E71BAB-0A7F-41EC-8FA4-B1F3F3327C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0CD0D506-A483-445E-99C9-BB369380BB9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0C35363B-EEB2-4931-B1A2-D679B712E4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38F6AE5-6ADC-4877-BD8F-83D814817A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DD8AD83D-EE16-4F94-BCF8-471D3D8A03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D310688B-BE96-4B83-9B53-E916780F48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27B98BA6-2A91-4936-B30C-3ABAE6E4585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F6A9ADE-7D3A-4919-A255-C4C5D789D17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210D7CDC-F65F-4F1B-A3A0-E148F0A7D21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16304348-BBD0-44AF-A552-8F44CD9D788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EE9A9206-0A75-496D-9FEF-D77A4FF419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74216F93-C8A7-4BE8-922A-A0EB7FCE35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CED4A41-A3FB-4B2B-859D-019A8EAE663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E3FAE060-5A10-499F-AAB9-5FB5F58E56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3EE9C8DB-3DE6-4032-96DB-EE9CC39EC9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51CCB8E5-7778-429E-AFA7-5985EF660A8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27C94F04-22CE-439D-B505-09821697A90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23CECF78-16D5-42B4-A662-278174BA37D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22CA23E8-BC0C-42F9-A3D6-632651EAA44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0CD561E1-00AA-4267-B2C2-585F55A4BAA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C2043F8-89AD-4E40-BB10-D5018242F9A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10A9BDC-232C-4BF8-9025-B588A79C7F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C0084F4B-9470-40E0-9F26-A2A8481D7C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5D396FA4-A65F-448B-9CF0-75E32A0FD5D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1489A19-2766-4309-9150-31AC33AED4E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0D87B17C-96B8-4843-8C82-B1C574BE192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11286EA9-968E-45D9-90B0-FC8CC11CACB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F0DC8EE-4C15-4080-ACDE-C29EA79D16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F936C3A7-DE6D-4B10-828C-8876C9C27F5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29D50FB-4171-4C9A-AFF9-059FE306F7F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8DEF17B1-E0C8-46AB-9BF0-0D758DF038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0A5371D6-4E77-43D3-B758-BA51720D291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2037F655-224E-4CB7-A028-52805FD282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24140A6A-DD5E-465A-91CA-74C6E83069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42623024-E0A9-4FF3-98F2-1B5666051A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00964F8F-3209-4B5B-9526-8167168175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78426B-156C-4FA1-ACD3-877843D4110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C53DBAFF-C4FA-46C3-ACA7-72A0A06B7E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24F949A2-4E83-46B3-ADBA-9A70B1BACA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45A624C1-7AE5-441C-9CC1-8BFC8FBA00D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83E028A2-74D9-4FAA-B3E6-79BD8CFB21C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0AD025BC-542A-42CB-B6D3-D14DE53670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AC406330-EFDE-4F50-AFD2-505D553813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9C062B57-8F4D-419F-81E5-F5B741F46A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4A26720A-4BC0-40C1-8103-D599314313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A085812D-2B4B-4FFC-9085-403D6EB745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796A5C9-19B2-4FB4-B142-20E4797133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A3E4AEDC-64F1-433A-8FAE-BC70B28F07B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04508411-2469-4E6F-9820-2BD07F79A53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D3ADE6D-47B2-4919-92BC-3E69EEFF20A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200B334-8B34-4809-BFE3-5D09384F820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9D2C345A-264A-4297-89F2-0CEFD8959F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E6EE0DCC-CDEB-4AF3-8207-E4E4FE2AAD8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66D51D5B-761B-4F52-AC77-94BAFBD8AEB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0A54E017-850F-4D68-A0F1-EF1EBFEA3D4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135E247C-6153-47CC-8FF5-22178C511F1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CB5EEAA5-0D4B-4B41-94EA-C947486ECC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555BF74-8A36-491E-857D-D299D02364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2EF2A29-3651-4F5A-AD3B-E74BD5FC9F9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EF4CD108-62DB-421A-A312-CAA2662622A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163D7F5C-BAD2-4A10-81B3-3626370FBE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154ED983-C06A-415E-87C8-82FED9377A0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EBAE09FB-C19F-4745-8369-B4471DBFBA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868AA122-555C-483E-AD2D-F77B4F2F5A7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221F1905-42CB-4CEC-A3D3-B5C60E9A22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6101FC2B-ACB5-4EFC-B55A-81FC8BB11D6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CDEC5BE9-AFA6-40B5-B1F9-73AC639010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4698CC9E-DA42-47BC-B99F-47D6F8FDF4E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60D32AFE-8357-4A7E-B8D9-3DEAF6E2C1E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994D00F-96E2-4D6C-BF34-56A875C5D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7C5DC754-B20A-477C-90F3-912B5BFEA4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F9B07C3-8E17-4DC6-9CD4-8B6FB718FF9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D7D5A3FD-3007-4729-835A-5F76EB15494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88C9CBC-DB18-41D6-B159-ECCB78338C7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B3802FF5-0DCB-4867-972D-ADBF9594661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71E3661-F440-490A-AD50-83B3B151FDC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D1C69D2-B36F-4E81-A871-83790E5D08C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DD87285C-87D5-4FAB-9AD0-290163B6EB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196EE2A2-5440-490D-93AE-8217D39801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6B0FD31A-D5B4-470E-AC12-6988291B63F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33931AD2-45D1-4014-A416-193769011C7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E563EB1-3953-469F-8620-5B61238A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16EDC953-4EC0-4CE0-B499-9079FA1E1A0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B3542AA9-10AD-4290-87DA-EF86298B4B6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974BAE5-B628-4252-BE86-28C5753663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A50D95F-A29B-4C52-BC9C-145B58A663F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A4954995-050B-4819-822B-2BDD658DE89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05ED520-EFA9-4A46-A7B5-A340943108A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DD6C687-4F3B-48E7-9499-5CF49CDE192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0BF388E6-1287-44B2-95FD-EABE2629E3F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A6A0A5D-BDD3-4A67-B8E0-E10F5FDCDC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2631D256-F5FC-4C8C-843D-FB1206C2856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D1FEF8E-507D-49F6-88F2-75463E8643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CE3196F3-0AD6-41C8-8822-0182A4AFDE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7DA1AA4-8FB4-46F4-8E5B-09B9AB2941B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A92DE3BB-F8CF-4819-8AB4-2E9264800B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90B20A1B-5BFB-4ACB-9BB5-B0ADCFCAB83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D0BC065D-EC76-4F61-9715-9177F909FF3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7FEB806D-0FD0-4390-89D6-3D0A752BAB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5660AF30-5AC4-4710-A5C4-00FCFBE437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B6975610-AE7B-46CF-85FD-5315DE0F85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5E34BC06-9185-4545-B7FD-EFC7E8CA3FE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59ECEE2-4F35-4C13-A411-BE77AFD7C6F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84EE56E7-E01F-4010-82E9-7722EFE7E62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02E8C375-E904-48FE-9D39-F456D09625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F5265F91-682B-4A83-AF95-A7A97755307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C1F527CD-AE5F-45E1-8C27-16E9B5BBA9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E826B183-BBE2-41AB-96E7-75F073966EB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5DBA9A57-3309-47DE-91F8-9821C9FF17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67DC0A3-F502-45A5-804C-89967D9F76F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6EA93B44-BE37-4007-B064-A9B93E36376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AA6A56D1-AE64-4625-8D72-2751051F0A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6B406DFF-07C2-4651-B947-CF79F20CC36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E8FF5372-11C1-4C8E-A824-D7B8125C876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5A08699F-F06D-47BC-BA12-2DB8F1DF8D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5D2EE562-55D0-4694-875E-F915D26B77F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F633DA6-8DD8-4F55-9E51-2BE5D58EBBB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5B01C5A2-47AC-44A8-9ADC-6E11FEBE423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443B56AB-D7FF-4BC6-95E3-F725EED7449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A6BAD23-F1E9-4F39-B837-86C23C577DD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0396B7BA-0898-4A1F-96A8-24F4C59311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5B705D43-C530-4232-8629-48211E6D983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55248DC-5316-4121-87B3-C52AD57179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80077F61-AF0B-4112-9A12-90A3ADC6C17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6F7C490C-FE02-42DC-AB12-D28578E4EA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31353387-49F7-42EA-8FE2-4278FEA8699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F33D1575-D059-4AE4-A387-43F9827A3CA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C4D3E66E-2866-43C8-AFB0-B3E164B767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0A87DABF-0173-40F9-AD2D-6DAB75C61D7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14ED746-34DC-4C69-902D-29C181AC0EE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FCBB27C5-8138-4ABB-9416-24500EE468D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0C4F544D-B02D-4C8C-B473-0476E27D4D7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D507068-C7C5-4A8A-B77E-1D046DC3D5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35B847DE-15B7-48C7-B5E8-411CF0C2059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CFB95BF3-E8AF-4CF2-9656-EE3CCC7241A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517588BA-59C9-41B2-A2CC-CD51C9BAD46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95548AC-76CE-4375-9B38-A9359B4C197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BE358274-547D-4B71-9FF3-8BCCBA7268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86F49ECA-3CFB-4ADC-9218-0846D63F4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C0602229-8A4C-474E-BE23-04AE0FF2268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86F3E55C-7D82-4818-A82D-3F805AEBAA8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E18C21E9-8C82-4B18-B44E-F5DE846DFB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577302E8-327B-4A6B-A23C-9B6FBFDF7A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57B5C2D8-8867-471A-BBD7-7EF1F75F080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D59FAF44-29FD-4942-9666-0C6D0BF80FE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D0D154AB-0A1A-42B0-9C1E-40BB64FEC4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AE92046-BAEB-403A-BED7-7455E84915D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72BA72BF-AE6E-404B-A163-F392971D96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EDB4E5E4-2562-4AC4-BEED-8BFADB245AF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98FA5A73-08CF-4D93-9D0D-8D1217BE17D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DF22DAFF-EE6C-47BD-B317-835AF399554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FECBDB7A-405B-4C72-BC2E-5CEBF6BF85C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390BB5C7-15CB-44DB-9A19-EDF0E1BFC14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6021F601-F16B-4206-B1ED-71C1EE53319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EE6F1B10-E6F4-4B4E-B668-BB4A63D4964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9E375EBC-7407-4F6E-9438-001234C0F06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99D0E149-9B97-45CE-B53C-74011C285F3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BE060573-34BA-4122-AFA8-70265CA64B0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53C7EFD7-EFBA-4C96-98E8-71023F62CDE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AF9D19-F238-4279-848A-9F22F1D2458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F73AA186-2E79-4072-AD2A-115DF5C6425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5728BD06-CA83-4DA1-9E4C-199419972A5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404634DD-A90C-43D1-9556-E91783240F3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BD47558-5EA2-4B52-81A7-83DA9E287AD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5F2B56A5-D5E5-427F-99A2-EB274CA314C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43E6F71B-DE5A-4BD9-8DB0-6B8429686B2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2A0BB3C4-49FF-42C6-A002-C3B56FD368A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1E1ADA4-A05D-4D2A-BF85-F57AF5797B8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0097D516-8E30-428E-B965-E0C539CBBED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B52C0BE4-F43A-466B-90A2-B04935C35B7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A1FF215F-8942-4215-B0FC-324EC6F0BF6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877746F7-EFC7-4A52-883B-A1E98033BEF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C2AFD072-6961-48FD-B5DC-1D8BDC2B10C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F7444CBD-5AE1-4B55-BF5F-A95BFD7F513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05F46DAC-46F5-4466-A12E-51AA26281302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3C27B1D4-9EE3-42E7-89EF-5AE73FAD737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A5AF6849-3754-41F5-B138-AF2726FFE93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B1CADFA7-AB35-4737-BB0C-99CD5B797D1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EBF15805-3167-469E-97E4-E23490ADC10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83DFA89B-02A1-45B8-9F83-12FBCDF493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8C83F50A-B0F0-40FB-8090-905FD370EFE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3FAB3587-82B9-4AB4-8DA3-8F9B96833BC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33267358-6780-4905-9953-C3E9FF77A2B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F1685600-1CBD-4067-9F16-10FBD41BFCD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1B2B8952-B6E6-4AA0-AA07-2B255A8F259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451CBBFA-62A4-45FD-A7D8-FF09D39555D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131BC155-4CC2-480B-B62B-DD6572A944F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2CBDF760-A4AD-4920-A88D-E4760C9409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77122EC6-F22A-4C29-9998-C5652D15DCE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C2050929-354A-443D-83B8-C653FC814B3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1BD91588-DE3F-4259-812A-FD351D479AF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1DE5433D-BDF2-4082-85C7-4E3A345C5099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823E47D6-AEDA-4DFA-93A2-0829C8C65FF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1F3A3AC0-CE93-41F7-B7A0-0CF5915A201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111819BA-29DE-41AE-AFE8-5ED2B58ACA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D075CA82-5163-4000-BF2D-06B7B66DC93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66BB838C-E6CD-4F23-BD15-D776F1DE6AF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DB7713B1-FB63-40ED-8C4E-B13B0DFB78B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B158920B-F993-4B58-B598-AD9879EE8FC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7AF393F0-BC50-45E7-809D-0B512912F7B8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1824734F-2BA4-4D0D-AF94-242E01C92B9A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2912C098-5116-499E-8489-D1FD9673C9B6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17E1460F-9BAE-4684-BD57-98608AB1B2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ABAFF54D-ADD5-4B3D-BAC5-900CD6A995C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68A139E2-7048-418B-9780-B947DE29340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E70E9FB2-31A3-4ACF-B023-00CE9CEEB40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FCF17C54-6790-40E6-A789-1550022E219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94A6F846-0E5C-4DC2-AEAB-9DD8D1EBAC11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C70F8272-0191-4DE1-9619-C5EDC951E9B4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857EBDF8-04A5-49B0-8BF3-29FAB2D5DF6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B0D996FC-C885-4F94-9738-55503E682AA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B69B72BA-F2A7-4004-A77C-FBEE9ACD601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C63C19C7-E683-4F85-AD4C-1AD603D68E1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AFEA431-CE3E-4DEA-AB79-26680572276F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84394A-03CA-4CB8-8107-54599B26AE6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9BB530C-99D4-47DB-A051-B90EFDCC7D6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CBD0D097-A5F4-438F-AEC4-9DBFC4392C0B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76AC1B7C-4BE4-4CE1-AA31-F07C44D6B845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A910FD43-DAAB-4BFB-B87E-296E29AF7FEC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C92536D2-32F8-487A-820C-DA9AC0934E2D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C4076B32-EB47-4615-8243-2BD061A687E7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31ECF88B-D97A-4903-AE40-55D56FB72853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D4C0931A-E1D8-4091-99E8-63C72FB2B120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99F71FE-333F-48B5-A7B7-306DA5C7943E}"/>
            </a:ext>
          </a:extLst>
        </xdr:cNvPr>
        <xdr:cNvSpPr>
          <a:spLocks noChangeArrowheads="1"/>
        </xdr:cNvSpPr>
      </xdr:nvSpPr>
      <xdr:spPr bwMode="auto">
        <a:xfrm>
          <a:off x="684276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9FF045D3-A925-4C41-890C-15C15D19C5C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58B3B4CA-08BA-457B-B377-6544414C36A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2BE8BE20-D78B-4FEF-A3C6-25F77BF70A1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2C963910-4D9D-48BB-A59E-B11E0FB6FE8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8C9532BD-DA65-4866-A750-651A6F26D65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D53FDFBD-3FF6-4AAC-AD94-D538530AD68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0E98362C-AFD9-4C75-80E3-484D79B4003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ACF99003-AADB-4C99-991C-CBD27D6D7C4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5F6A57F-09D7-4C5A-BA7C-2D6EC98FE2E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7B4C8CFD-A79C-4C37-965F-F3DF5CDD1A2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603AADC0-AB0A-4F43-ADC7-BB5DAEE4BA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D04346E-5767-4ED8-9F8C-FA5B1363005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733B92CC-B85E-46D8-A9B7-187945121F5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1FDBC15-6750-45EC-9CAF-1AB2CC327A2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9541D0E7-1BF4-48F7-ACFC-33211835203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E692B68-8FC6-4E57-828B-5AF6EE466C4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56A9C2FA-2764-41DF-8777-EEB33EAFE58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F62D0183-53C0-480B-BB50-3E1B8152CA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881AB3DD-AD7F-42E6-8655-2090B2E0CF5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D7C4D9C-8B24-46EF-A7A9-8DA4A0B9C4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CACC439D-311D-43D8-B5A4-B78E802A13A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C233AF0-FED8-42CB-8872-E06F4C8A84B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BA1938FA-D651-4F2D-A220-F34EC839BB4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995C368-4119-448A-AFA5-0FC55994F0E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098D8094-4EF0-420C-9771-38FF0BE93D5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E26E62D0-A06F-4B37-8A58-3EC692C139C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2E4BB40E-41CE-40A8-ABF8-3EA50D85F7E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B4F2B2C-691B-4192-BF16-8F73752408B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38320D8F-FE6D-4269-B812-66A919E850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A8A67356-04FB-4CE5-9379-4B0C91E6EE8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EE311C7C-48F3-470C-8002-0B93DB0F93E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9F36589A-BD4E-4BB4-B778-A0C0646B0AE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5E277299-EBFA-4E2A-BF65-A30B767FACB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54C3C25B-2059-4DB6-BE1E-70901CAEFF9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1CB4B522-54E7-4D98-80C7-FD698C023D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4EAA919-C1B9-4291-9E6B-1B35AC00A12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A9703852-3CEC-4D75-894E-6FDCA25927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3C8241C7-E0AA-404A-97AC-07A7CCC0809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E3989263-3344-4EC9-8D75-B86C95AF99E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063FE35F-24B1-4B18-A4DC-EDD3EF0E649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1EF7FC42-150C-4DC3-819A-0412920F593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53E0C62D-58A7-424F-B5E8-40D88BF82E3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F3583D22-5687-44CD-96D8-9E98E86CE26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5A1C0CA-B767-4550-97AB-340C841123F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943B2A3F-755F-4F77-8C4C-4BA5B4A17D9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835AFEF8-B0C3-4F31-B13C-5EDD13D095F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DE9E10C7-3E25-4907-998B-A416F265FAC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E897A71A-C2FE-40A2-B325-CCA3FDF83FA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476AD3A0-BF72-4543-A821-F5DA3A25187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6ED8C4B2-5CE5-48BA-A63E-C2ECFC15562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2E7207A7-4010-414F-917B-BE0F38C568B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2587C0A-E735-4ACB-990F-D2486AB3355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E1EA1E7F-B18E-464A-B0A1-5BBA6B30DB6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C6F599EB-64EB-4647-8991-F504803CFDD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75931838-4E99-4885-94E5-2F528AD42D81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861C3856-A9A9-43A2-9521-325F256B4B2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9D28DE9D-5E9F-4939-90BB-FD04692267D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7F70B0C2-FFCD-43B6-8DD8-6A6BCE1806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8829256C-099F-4FFC-8043-313A855805A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ECED2D5E-D535-48A5-B2A1-C86D4D99AE3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F41786B4-7227-4198-AC86-370AD733F8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BF755BEE-0E1F-418B-9611-20A96B9099AF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8EA10557-2B8D-4FF6-924E-D5FCA7C71EC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5FA669A7-DB8E-41E6-AE91-ACA0ECB5E01E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150636CD-B3F3-4A2E-9C73-B6AB068EB97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A13DF620-6F6B-42B3-BF84-8064A9E1FB2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89631F9F-3F85-47A7-AB7D-7584FFD21C3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4917F072-81C4-4C9E-AD47-359648F52A1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5080BFB8-E246-4F47-BEDA-211B1E1B616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CBCF58F9-A20D-446D-B1EB-3122F8C5E83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781E21B8-9BD8-489E-8571-5D767E8637C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5D718E17-229C-4F9A-B3EC-B477503947A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00B8BFEF-66FC-4B1A-9035-5BF5AF0AA078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55FB4680-98A9-4115-9AAC-A6CE9400E79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364CB805-6AA0-4033-8921-C1D684A3EF97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FA397B82-5FF4-497C-BC53-FBED03FAB6F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41E6861B-CB62-41FA-9FED-6C40CB2AB53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3B54E6EB-3077-4294-B843-9B62D8D11DB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0C09D0CE-3A91-43B0-BF3F-3C1C3A06057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DE8E14B2-2B8A-40EB-ABC0-27D793B148DB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E6DD43D3-5FAF-40EF-9788-DB2C837A9425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77FA8B68-1BDE-4B0B-921E-9BB880FBFE1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31DF0AD2-F2BE-4037-93A6-88393293E71C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4A8FFAD4-9CCD-4FEE-A260-DE82F9D037C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FA7048E3-E3F0-492A-AFE7-3508CED7484D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D944E97-2E7D-490E-BBE5-E386C61CC0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22885566-A6A4-4423-B833-A83F7DDA014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E4E00276-5ECE-4094-8EBC-EAE1E3791DE3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F6DDC868-A487-4B4E-AA66-FCD4858106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671C296-3EE3-4924-86AC-A2375EC4CEC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FBDA309C-7EE4-40AD-AFE4-92C9447C5B79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B82E2E8-D99B-441E-B752-16A1FE295C5A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6E30D08-3E53-483A-8EA6-F494B8784CA2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53E2C908-D809-41AE-800E-FA389C6633D4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717EBD49-BE5B-4A5F-BA54-E88FD23FDD10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A69244E8-8DA9-46DC-AE8E-D396EB601A46}"/>
            </a:ext>
          </a:extLst>
        </xdr:cNvPr>
        <xdr:cNvSpPr>
          <a:spLocks noChangeArrowheads="1"/>
        </xdr:cNvSpPr>
      </xdr:nvSpPr>
      <xdr:spPr bwMode="auto">
        <a:xfrm>
          <a:off x="3307080" y="241935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9B1B8479-F306-42EB-92CF-CE58924A116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C34639A9-56C3-4A5F-BFEE-FD08EDE5EA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891D189A-6074-44DA-A91F-955AE9BDF5A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16882007-7801-406F-A516-2B5E62CA463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CBE99EA2-FC9A-4218-BE62-45902BEBF6E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AEB16730-1A8F-4077-A335-C0BD5228A17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8A76E09B-9893-47FA-976A-02F44808749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9A37F5A9-8562-4D09-B66B-8C07D908F1D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014F8E0E-1E29-4396-B485-281217115D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3EEEEEB4-D928-4ADB-9E8C-FF8C247AB1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01C21881-89D4-4495-BA67-D0B8D53FD5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297C8F2C-3145-4F16-84C7-B6A3DC1C3D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2FA161BE-4F41-41DB-9E63-05C9E8F6F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078F264F-2679-4393-A472-6C527652BD8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0B5D172F-CB8C-425B-B4EC-FF1CE2943D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2D5E4D8-2495-4F48-82D4-2BA42CD481C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4C4ECEFC-6ADF-4E1E-9B86-58F1340578B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092519CA-B804-4CAC-B865-8C60F68DC63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056FBFE7-601F-479B-AE32-C7A45ACC09F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DAD498B0-1862-4AE9-8454-923A3F8462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64A59FAB-5C2D-47B2-8A64-3C80BCEF749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49F53E9A-007F-47F2-A72A-FE9F694B464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1856E033-77DB-443D-84B2-1BB27E1033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5A6DA05F-409C-4BCF-BF4D-6F1CA2D98B0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F9DF51AB-AC4F-4CC3-9444-A9BFF3CE7C7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ADABE359-9D6E-4B02-8F6C-0D091FA5FD0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0A87D8FE-A67D-46B4-A630-408B3B0CFD4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E6A3D1B6-F482-4962-B859-49EC0B0E54D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90502B58-6C7D-4A83-B3E3-915531B10EC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B05498E4-0857-42BB-AEEF-DE09875C432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D53A1CA-7A11-4CF2-BB6B-85AABC1CF1A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0D001800-9B56-46A1-93E7-6C1765F3A07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FFEB0D11-BC9B-402A-8A50-F2D615B2F3E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D8DB8933-B7DE-40F7-982F-F2C6F34FEC3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95D7E3A6-82DD-4493-8FBA-3410AC96536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2A5349-CEEA-4269-97C4-FBA240EC29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8DA7ED1C-B1AF-4E41-9DB6-85353438C0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F35CF014-7EBC-4B88-B82E-43E05A1C957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243C8B0F-5D5E-4368-815B-1366145B3BE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05C0D8D0-4112-48F8-B771-601B926DC2E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0FBD5C83-6957-4F51-A5D0-FFD2D80B546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481B0BD3-DE74-4637-903C-54C655572AD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A2983058-D245-4639-8DBC-AD98F04D219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57FF64AB-744D-4EE0-859A-5537620AB0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6A73A251-2432-4171-9D4E-C3486407CF8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CC1EB226-A6CE-44B1-99E6-4717EFBA6C9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2774011-ABFC-487C-9468-7DF979FFEC4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A0348911-C756-44D9-8ECE-6941ECCC259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D2523DCD-FFD2-46D6-99E0-405086D5BA2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FC33E1AD-B54E-4C35-A948-22EECDA53C6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407F1A82-22F4-406D-AAEC-89B983DBFE8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885CA883-7D46-40BE-806A-8FF0C2AB8DCB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F81D7B7C-A25D-48A8-AA23-9EE51DA6EDA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D0448E41-FD79-4FB9-A071-4B275245DEE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0927F645-D9C7-4907-B5F3-63E472EF008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98B285BF-BC48-4195-AA59-F5D585ADCB0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3FEBBB5E-4542-4377-9E86-646ECCAB869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A80DF8CD-92D6-4349-B3A3-F70779EDDAC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13D4D4BC-DE58-42D9-9A05-A9D9F72B3C5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3A83121-6C77-4981-A8B0-4944EFBF073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01E82A85-82C8-43A2-A463-09704DBC911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273A4B9D-F809-4E91-AD65-D525A4AD3445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9CC990B5-4625-431E-8826-BAE6899251C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203F7D05-EBB1-4AE3-B4D6-8ADBEB5DBBB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479E3A74-FA15-4C28-9CF4-6C6CBEBAC5A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BC3C31AC-E151-4FAE-92C0-6669DFE89E8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8B21EDE1-FF94-4178-A9C0-73811C98701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A9B382FC-9BA5-4C9C-8355-BD35BC09301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119FDCDA-75EF-4152-8F24-CCD79207857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B3B41AEA-4A23-4461-A2EC-2B74C4F097F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E68C1A31-8B39-4827-A15C-01F99DE1E80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AEE5643F-B390-4C64-991C-2037B5D9D7C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D8CD7A9-AFF8-4175-8B80-69EA046F15F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CCB606E-18DA-4180-AE28-6F7C68F4DFAD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01C8A4F0-B97B-4E79-B085-F1FBE085A07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42F705A5-5666-447A-9BB3-105A3132E83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3149CAF6-3611-4EB1-8592-6E3115D492D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502A5E62-E2B1-44C2-97AE-D980CBF53092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4439C2AF-BC09-4B8E-92AE-93EABAA6BAFA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8C729DBB-C565-463F-A605-4E7FDDD72FD8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8F3BFEAD-711E-4F73-9ABC-B3A47C911E3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2F64EF6-9512-47C0-9FBC-F6EEA2E9200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38FD3ED4-B4FB-45EF-AF0A-40E400E691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989E42-450B-41F1-A2E7-A78741E2C02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0A870F5B-D6AB-4343-AD87-344F20F8DB10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86F41B5D-55EF-4D54-83C5-92C145F588E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9EA32F48-E94D-4758-B92E-4D9806A79401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F6E61803-5B25-402C-984F-BB9703428753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862C4B6D-886F-409D-A56E-E662B3F7F41F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C82B971-DDCB-42F6-B9B3-1D21B9955817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BFCD4EEA-BBF2-468D-90BA-C33B72FBF36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AA73432C-8051-4B26-97E0-4F0F660EFDAC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C140D728-5FB2-4C28-9C63-CCB6A6E43114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C8791B4E-61C4-46E6-A45E-EBAAEC1C4179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3DE749F5-1CC5-44DD-941D-0E09A3F59C2E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2229F97C-D850-47D6-8F98-CB0E99AE51C6}"/>
            </a:ext>
          </a:extLst>
        </xdr:cNvPr>
        <xdr:cNvSpPr>
          <a:spLocks noChangeArrowheads="1"/>
        </xdr:cNvSpPr>
      </xdr:nvSpPr>
      <xdr:spPr bwMode="auto">
        <a:xfrm>
          <a:off x="3307080" y="267538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C145D2EA-9BE5-4A84-B7E0-8606DD57923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E20E65FD-2902-4E30-86D4-C8BF7787B2B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CF6C30A-8609-4BC8-8258-41F497695DC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16145C2-D9FD-44E8-96AE-3839249A7A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281310E2-CE35-496F-A7DE-EE019F15CE6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3BFB5773-8591-4D68-ABB0-F6772EFBD62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0734D040-7ECE-4106-A387-46BBE3CC2E5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6C0DF3C9-4D1F-47C3-9E76-25D81A7206B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47F06F9F-4C80-454C-ADCD-2F002A2A79E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73964E49-7F3A-4932-A82C-013CA8F333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12020C72-69E6-484F-A126-4F9D0600015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7E09E605-06B6-4276-8D98-DEAB7B67D07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BE2D7631-7A8A-4905-8D1D-94B54FC215D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DF3AA23C-FF01-41CA-BD0F-5FCEFA0C0E9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4CC1D94A-F974-4ACF-BCFA-F4EAE7E84C3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CB37A1B2-CC0D-46D7-927A-5B9274C866E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053DFCB5-ADF7-4AFB-846B-3CC8A89F3A8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925014AB-E03F-4F0B-9A8B-83473361D7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51E54610-3502-4846-99C7-92F157AEF37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4122795D-675F-4CE8-B0CB-1E9B906EFCE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6784201F-C7E8-49F1-AF8C-6100D9239D7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03062F7B-04B2-4187-A5B6-F2CCDE5C164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16847FDE-7729-4739-9B4C-EAFB5F122C8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CE826C83-5518-43B3-BF0B-04162F0E3A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EB63E78E-DA3A-4748-BABE-F351509E2E8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9F8543F8-F7D6-4A0B-B3D6-9C2B561265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371C2284-A470-45D7-9993-D1293EDBA97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55889C13-575D-4779-BBDF-8CBD34019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5509324-C190-4E44-8EE6-23302C9F82E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4FD6152-7BE9-4486-B906-1AED91BB166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E9CB06F3-27C9-408E-8738-3FE4ED3B20E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72BC04E3-86A7-44F4-8FBA-866C5B9CEDB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7405C175-C1F6-4368-8A5B-DE5FFC66FC6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521B04F6-A042-41E8-869A-92FB7DC0985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31F139A-3D1B-41C1-A8A5-6BD737FB63D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A99FBF22-5537-485F-96B6-B263B111BDE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704ACFC3-6B74-4BC1-B953-8C03782392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A849420E-C209-4325-9C4C-576C16FF552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CC808804-ADAA-4FA7-8A6B-69A3E4BF31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F2BC76F9-15B6-45F8-A526-85A05F35D35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F54ADF4B-F2F5-4F47-836F-48B42544E9A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531AD655-FE4A-485D-983B-FF66D129ACE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3A5C0319-A0BA-4498-80BD-ACEB88E828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BE2DBF8A-7514-4096-8C4D-CB42CCE24EC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C8D37A42-6DEB-4130-A58C-3622A3CEBC0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56CAA79E-111F-402C-A6AE-45C983EA8D1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DE08B9F7-3776-4547-B4FB-62C3915EBD8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CE2A1403-5C92-43D8-80E9-94124184B5D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80F745B-3998-4634-B6FC-E861DDFB4F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95B04C09-B218-48BA-8D53-BC7449F151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0440DFF3-65C8-47E2-B4EA-A013F0BEC25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49A37B-D237-4A14-B836-62D1B32850C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67F591C4-9A48-4BE2-AF34-BF2CF73A2E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34F8D955-9252-4A74-ADC3-0C8FE185273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F7049FF6-8298-4808-9F57-650CAD3F3A3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2F1B0B36-DA95-465A-B2A6-296FCE7CCC6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A620B1AC-60D6-411E-AC3F-0119F482039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9A5FAC3-C2FF-409A-8E2C-8F66502455C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4D4897AF-0F74-4693-9ABA-709EA96E005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37356BAF-C246-4BE6-A237-83A29B58B61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60A83BE8-B1C6-40A3-9A5B-05C5A900E62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61953D5-1962-45E7-9FF4-C81CE949FFC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C39B02A5-0E43-40A9-8171-A3539D48A9D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09874239-C494-4DA7-A354-7C415A3B7B8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1BCD75FF-A354-4A36-9E29-A35110ADE13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8E6B9414-8D05-445B-8824-D9CAAA27678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30411B79-026E-43A5-9DA1-3AD42C841F6B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FE8C0893-9766-45D6-A46A-0EDB8D298BA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86E4B209-4BC0-424A-AF1A-0F672A648E6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1E74AF00-E65F-4B04-948C-2884721AFF1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D877BDB3-6AC0-4D26-A44C-FE69D34E19D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AA7BBEE5-A0C4-4BF0-A289-0813ED8A57AE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EF6FAF51-68E0-4336-BF28-F3FA53DE1CA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F5F6C86D-3EB1-45E5-8F0D-B0449550FAC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7EFB2B11-5BD0-493B-A425-3DFA06BACDE9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DBADA212-6F45-4A2B-B078-3065A369F30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96203F4A-4ED9-4E1A-9103-DB3012215FFD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934D64F-E73E-4BEA-8508-C6AD0336044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2EAA5F87-A0C9-443E-B975-B09E4CEDEED7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9AAC1B3A-6F72-4AD3-BE13-3330CEA508B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0A2AF023-9617-4DF5-A1EF-270B201BA64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FD4D3E4-AD9B-4044-95CD-0C49EAAD1782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EB7E8591-D54C-4FB6-8647-BF847372B25C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28433038-EFFF-4583-B66D-31577900A5F1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EA05A596-8589-4F9D-88B7-2AB1704BFA36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633EA39-F9FB-4371-A060-32718C619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AE2CB345-D617-4C84-AB22-B88B12023DF4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852BD1D9-DB03-4491-9932-C0B25BA9273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7B3DDE36-3195-487D-A4DB-A3A51DF5313A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85E03B2B-B18B-4F2B-BF70-5BC4CD2C846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77C14CAA-A9D7-42C4-AB43-24F3D2A0D933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30D5C870-35BF-483C-920F-ED60824BF1A0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6352E0AF-AF1F-43E8-9934-EF0083B277A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112A0985-512D-4C98-B647-A07AE37A520F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4DE1EB1E-912A-4FB4-8E1F-ADF0F53499A8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4B40E924-A804-40C7-A52D-7D20483C5B95}"/>
            </a:ext>
          </a:extLst>
        </xdr:cNvPr>
        <xdr:cNvSpPr>
          <a:spLocks noChangeArrowheads="1"/>
        </xdr:cNvSpPr>
      </xdr:nvSpPr>
      <xdr:spPr bwMode="auto">
        <a:xfrm>
          <a:off x="684276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5555071-86A5-4106-AF2C-3762EAA5A55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D2E086F5-FBD8-4F72-8221-495A1541BB3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EB1D29E4-E0EA-4CE9-A31A-05B9B70DBA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1AED1D5E-8B1D-4316-AA79-BF67785055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7F41D359-6FD9-4913-970A-966CE1391DE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F8C73362-45A6-4A1C-BEC3-7DD99917092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CFDA637C-CC22-4E76-A065-E2CAF340B7A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AC998A75-5A91-49BE-BA18-9C8AF0F7E48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B3724AA6-33D8-4929-93FE-59A797348D0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CFB46336-E72D-4B08-A0CB-551DA18ED24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5E2F6111-D4FE-4CFB-95A5-8792B27220D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3554181-19B6-4760-B78C-C01FCB04A0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927FE01A-1004-461E-B4CD-F089F5C420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173B19EF-574C-4A4C-B4ED-29BD7DCC774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B299CFE3-5B22-4B94-BD9D-5AF962D3FD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23EB232B-D88B-48F8-820C-663B86F9C76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6A2D37F8-B765-4097-A2DE-B58749D567D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55C3A7C4-4659-4DC3-B6C0-BEA822FF3A0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2FB2B937-F5B7-4386-BDF9-32E0237E21E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23AC5EC9-4DAC-45BA-99A7-23CFEBC2414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429D7595-6206-4FD8-BAE9-53E963623F7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5AE718EB-A8E4-4D9F-8900-497D00AE2C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3F3F6388-D438-442A-BF4B-FE767D1465A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0F3447BB-C88A-4F1B-8A1B-84C39320CFC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F2584071-F764-4531-A954-F0469C6CC86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6BC5EF14-E34F-4226-8C06-17E64E20240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3469493D-F206-4588-B1D3-D57B7A8A43E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3B73F202-F34D-4A1C-B324-08CAE685FC7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CBF9184-5800-4752-AAA7-4F3CD089CBA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BD1F36E2-AB0C-47AA-A09B-BFA427AC4A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4AA3E0B-7112-4EE2-84B3-E65543AB3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79484EA7-DAB0-42BE-8645-FB9DD3B9FE1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22037A1C-AB99-4A46-8223-2CBF02F56A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5D1511C-B94B-4628-9123-283ECAB791C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780B47AE-DA58-4DD8-92E4-3D9B88AF70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DB619A11-E442-45CF-A282-F13889AB7C8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FB15429E-5F01-4A9B-8694-EE3C57F1027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4A752EA6-2F1C-4B2B-9B88-790DC661F12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F7644A79-D1DF-4A79-8B06-03D0807182A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2ABF3955-295F-4EA4-826A-98C0CC98C3C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37E9629A-AB9B-43B0-97D5-2F6A847ED1B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5B9ECBA9-3E93-4B22-948E-3339D78D3C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6976798D-A7EF-41B7-8C9B-B4E07D93D6B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9C0B370A-C148-4808-BFD5-BBE765F2A83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9183FBE7-A080-4BC6-BEC4-C2A5F403DE5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A3545BFC-A0F6-4377-B35D-537AF5656E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C01EE8B6-CFEB-44FD-81D0-5D3012557B5E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D0471308-1152-4B95-9D87-A9F6D466578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93CB1991-1211-4383-B163-EE7621BD4A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0A899CE9-D8C8-4DCA-B068-BBDEB2FB64C3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ACAE011D-734D-471B-B93D-63C9C1C418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DCACFF1-59C5-4731-83A6-6920075B2A3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3DBB15C8-5472-4E60-BC53-FB722EE7D7F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0E5BF76E-F103-4FEC-B5B3-8458B74F909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16FC51D3-D7F6-4F29-B339-D98AB8C851B2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B15D1C4F-71AC-46CF-A1B2-C426946A3D4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B95E9F24-04F1-472F-BBEF-423F8BCECED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8287C012-E77C-47AC-A368-F6E543B2DE5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DDE93B8C-9086-497E-9487-1B482002F66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960DF94-D760-41D9-9499-0D6A14D4922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39CD78C-1D7F-4EC7-893E-786D666DC97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26410604-3DB8-4D8E-ADA3-64F185619C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B18A9C40-AC14-432D-BECA-A4CC2743263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93E04F7D-1E9C-4931-A126-FC6B93B0C3C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03233302-FEF5-44E1-8029-CDB8DB6B4C5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3F7CF6E5-B5A5-4501-8ED6-0219283CFCF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43B235F2-04AA-4300-9BC3-C7173274270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F4F9B0A-76F9-44FE-B6EF-848BB31E394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C51FA52C-1EE8-4C11-BFD7-6C97143C436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F8A6D6DC-DB4B-4BCE-B813-89D4F075E99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5C8F1544-5BD0-4E14-8A42-12B37E84EF2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AD3CF950-E3F7-4A56-B15A-F00CD8664CD9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DFF72BFF-442F-4A24-B2D9-E1F68D11DDF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D76A825-0788-45E1-9A43-0B712A9C86B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70070793-023F-40D3-B96E-03BFC171A4B4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EBF1C90D-FED5-4CAE-B37F-22A81B8CBD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B10A4EA9-A9CF-48D8-8D48-47F65D63956C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5176D4F6-E743-4BCF-AC15-870AD1BD5B8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C0411DD2-9C2B-43E0-A117-0B580B62362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1915AD8-8708-4A21-810C-795EDEDA535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50C489D7-171F-4EB5-AC69-8171835EC08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5C7DF87E-8C09-4A32-B142-D9745A30C711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241BD649-7C74-476D-8B6A-30C1BAFE34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A93413AC-6799-424E-B94D-07776D55888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BC49C19-0C42-4150-898B-99506823ECEA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706190F1-1DC8-46B7-BECD-6347F1F6EA4D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18A9B773-D476-4C6F-952B-0E6687ADED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CA234E43-5CEB-4C6E-8D74-25C31549C33F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D03B3154-E9DC-404E-8379-B60605030925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D7E06429-EC85-46C7-92F0-728C8978A770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F42E8CE9-6049-48B4-87EB-FEEE5E844AA8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B79901D1-835E-4EB1-8790-D540F8E47766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A063E661-BD2F-42DA-9E77-D61209FE10E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A751038-CF47-4D53-B929-6F45983C237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F20DB3A2-452F-440F-8E8E-5E76EEC35E4B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82EE20D8-E2A9-4043-A34A-970A2804CF07}"/>
            </a:ext>
          </a:extLst>
        </xdr:cNvPr>
        <xdr:cNvSpPr>
          <a:spLocks noChangeArrowheads="1"/>
        </xdr:cNvSpPr>
      </xdr:nvSpPr>
      <xdr:spPr bwMode="auto">
        <a:xfrm>
          <a:off x="3307080" y="2529078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8E84648D-6751-4D0E-B95C-C5F3226B467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E135D4BD-319F-498F-A5B7-24027CD51DF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EDFC5EE7-56D5-4BA5-AC90-C3D48EDBD10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F2681BCE-7B3F-45B4-A0C5-73823B32E04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0F7DBA56-D912-478E-A80A-7FC91920C9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858BC679-84FE-471A-948E-0347F3A01E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EF2E293-8ED1-417B-8088-F0105F23718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8145DC3-7A97-4E8F-B4E1-3DDDE811889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DD519870-9F5B-448F-9DCC-EBB73FD5637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2E89D51-E6C6-46AA-89A3-B51C96B0BC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3C262EA2-95F1-4CA5-9CF6-25B3DD9BF11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7A541591-0C6C-42CA-A418-4E44C37210B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B32A58D2-DB09-45A4-9FC9-10E59D55611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78B822E2-4306-4B5B-ABCA-4CA9A9E4DC3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429BDC1B-2390-4C91-80B7-9BC344BC8C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BEB38B7A-D23A-4BF3-B696-78436D5A7C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459C8552-11A2-4493-9861-94DB3A3DCB2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6A366F6D-2388-4EE7-9289-8F1456DEE39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CCF5EC29-EB6D-42D0-8155-9489A15AB7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479E5352-B23A-450B-8682-ACC54284E8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3F75AFBF-0ED3-4EA3-8A93-21CA039DA6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55714AED-F87F-4F72-B259-FFFF994CD5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10F86C4-0AA8-4E00-9070-3E4EB0AF3DF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AF651E9-D905-4E4C-B5CA-F7810E15F85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9FC2F68F-9434-4710-8BBF-8E3DE3501190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AA2F6FD4-BF9B-4B81-B142-4E6B8158EB0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97042540-F38A-4886-95DA-94DBFD2634AF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C14EE0CA-0EEB-45E9-9A4A-7272D185F91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2B144FAD-D8DB-4F19-931E-885202AAC8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922D3FC-2568-461E-949B-A127B75E704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BD1A3B0A-8415-4A51-BC89-A24D2B30AF7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EDA9247-431B-4D67-B2BC-C2E19AE5F10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5E45E2A6-E381-47DD-81B6-405F23EBCAC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003A6632-13C6-4AA3-A1C2-BDECF90C129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CA8A6EC-AB65-49A4-8B5C-173FF6FC66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19A0B294-5D70-4C14-8CB1-ED1BC87F3D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940883CC-F19D-4AA9-AD92-EF5592E079C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10B9A977-9DCF-4B9C-B072-30286A5BE20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D5F5537A-54EE-47C8-9326-D5E8BBA69AA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4902D97A-69D2-48E2-801A-2AD5F49598A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AEC638E6-98D1-4CEC-844A-4BB368B971E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A4746C22-BF64-4B1D-8BE7-E8BB3FF7B29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705D11A-EA11-4141-B2FE-9DEDE765D2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9603924-3AE6-49A5-98A3-BA0EC6F4539A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8927EBC7-B4B1-468A-88FF-65135204235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6493E7AF-0673-460B-9BD2-15C084FB558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8413830A-765F-44D9-BAF8-7E0B330334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2CBE6CF6-D362-45FB-94A1-5CAF3D49BE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34B0C567-3024-41CE-B0B0-32E3E646FEE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E11DD210-71E0-424E-B27E-83B5343E3D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BEEC99C7-F07E-4DA4-928C-F89B55E676D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2D5CDB3A-3715-4D3A-8723-FE1A9C9BC8A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000D43F0-EF59-4A7A-97CD-168C8A04FF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9EC25F66-C3AE-4464-8987-DC07D2E9CA4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023AAFD3-F8DD-41F6-A02D-DB7FD3E0F42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2EAD517E-6D0C-4400-905E-FCC04821A26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525D7DCB-42CB-4E70-B75D-17523F65F93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3F15615D-7DF0-41CB-906E-1C09DA05F06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2CD7075A-B37E-4D64-B210-14BC0C4A8A4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5979C2A3-4733-4E0A-B0B8-6EC2A9A24EE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90BBEF5D-B7CB-4C95-A7C7-E3BD9A1F251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E50FCAAF-1346-4D48-96B0-D8467677F80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6DE672D-B46D-471C-BB8C-291EC6C3C3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C17CA0F6-4E4E-47FF-B85B-1DE7D1BF748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C32C0BFA-1D90-4951-A81D-085DE075665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4C31C225-3628-4036-B138-620A0FD002C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060D36B0-37B4-476E-A980-C62793F21C5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C62E398-4EF7-49C9-967E-4C18CA30715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BDA4EBC0-EB12-4ED0-BE63-A8C3F636D96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4DB745AA-D6DB-457F-BE76-DCE6316E421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AD00D22F-36B5-492B-A64E-F3FEEDB47046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3B21A8A-33B0-48C1-9191-3E008CA10B0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F2A4ABA-F1DF-40AE-80DA-43891711D09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FAB69784-1B32-45CC-BF8A-0C6ED3B05E4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B2EE0432-123C-40A0-87D0-60AF79D8FE5D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0EC52E51-7FE5-430A-BCE3-D9D1C86C6F65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4A156CD2-14F6-4E01-AF76-D717A3130E6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8C68AE2A-ECDA-44D1-A953-49BAF80CA9D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D73AEDE6-6D6A-46F1-B3B3-33D9DB88C5C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2EB2615F-AB42-48DE-AC16-343EF626038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29822FA8-8AC8-4F30-8867-ED248FE059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BC04C81A-6148-46B4-BDC5-D973BF6985B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C9FCFBAC-2B3D-421A-BECE-8454F6101B57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FD9CC728-BBD0-4388-9163-69B4DB56BAFE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2C7A7715-11C1-4881-8C84-0D8710314D7B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9CD5E9B-98C9-4C80-9BBC-7F170D60D5E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70DD308-8AD9-40E9-AFF3-68374EC27A7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1388E489-AA07-4A63-87AF-91AB919C262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BA12154B-B3AE-42F8-B993-11CE9B819004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738B97DF-BA8C-4162-9B91-9BDAF71137B8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746BBE87-9CA1-43C8-A9E9-1B5ACBBFCC31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D9A818-149F-4602-9D1B-FED14D8FC70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8742529A-BEA3-4DCC-9AFA-A61A2B75D37C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26E935D0-E886-4BD9-8AB2-651BC32BEB82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FA555678-2F7E-4441-9C1E-7DD0276138F9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356877B1-DABB-4AF0-AAC7-D84EC52FC8B3}"/>
            </a:ext>
          </a:extLst>
        </xdr:cNvPr>
        <xdr:cNvSpPr>
          <a:spLocks noChangeArrowheads="1"/>
        </xdr:cNvSpPr>
      </xdr:nvSpPr>
      <xdr:spPr bwMode="auto">
        <a:xfrm>
          <a:off x="3307080" y="2748534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1010A0A9-4F6B-40FA-A9C0-0E3F066954C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CAF6B8FE-D30E-493F-9533-498C5B45E8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A9BCF8AB-741D-4561-B8DB-C384C629835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51C403FB-F2AA-4B0A-A69B-39924254C9F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CA8B412B-BBCC-45C8-9BF1-22FDCF3B712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B2478592-8EBF-4F67-A101-6C38F65C56B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3EDD9A21-E9E1-4F10-B899-1233E108F37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FBA14E9D-B439-4115-9DE8-5A74E95C696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0EF53DB7-FAAD-459B-B9E0-533D36CBCF1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7ACBAED9-081A-443D-BDA1-F7EBDDD47D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114442F4-12D9-4352-8EFE-BD9B0B49CF69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FDF79C89-7D72-406D-93CC-4EA8EBB18ED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B84E2E38-F5D8-47EF-985C-200A5DA0F28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01F10335-3BC0-4709-B5CC-2273AF59459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88BB994-AB2F-46B5-BFF2-04990D2E4DD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8D8127D5-7750-447C-A369-E6A55BE6665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9ADB74DC-CF04-4275-869F-F99A44803B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D45E761B-0DAC-44DC-BC2B-E7B6B17B7C0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0A702132-27D2-4020-A83B-F0B9A2CF151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3A755E3-F35C-488F-99EE-FD717C8C31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9C6FE372-D956-4892-80E6-44E77C4F631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906B3EA1-AAD5-49FB-8C16-AC8806C0CD2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05BC9FC6-EFF9-4035-9740-4C700FC8C23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7643F2D8-AC46-4C0F-A320-7571EADD87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08F6B27-0CA7-4A88-A8AA-FE4029B4B19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F50BFB7C-BE95-4088-89CE-8FAE991466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E7E6837F-C393-48AE-B6B3-BC8BE02E743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6274F7-62A4-42D6-9454-ED4A25C0A83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5AD9FBBA-BB61-4C9E-9220-EF29435B86E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7797B7E9-C31D-47D5-A52E-D5E27909A04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5E7EB83-C7B0-4E66-97A5-203C3ABA63A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A296BC3B-FBAF-4D64-AFA0-C9E347BD2B0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A5AF7DDA-9BCD-49C4-B71B-FA35A92606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C94BEF6E-F953-4F4A-97A8-D3CD12967A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1939D8B-5419-4F8D-AE95-47E7CAE03F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0A1F65F6-4A8F-4DE9-9747-05240E67900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BCE278F-1ADF-48B3-8EE9-E516C4AA960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C478E37C-E98C-4AD8-8C15-63F09F5E2A6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31B3BEF0-7ACF-42FA-9646-B7DDA10D222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72E1018C-D2A3-4C87-9FA7-82129C64DCA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8F3388AB-ADD0-445E-A222-A4913831800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2036BF7-EA91-4A58-AD23-1682DCD6F14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E2943699-336D-4756-868D-DCB69286F13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6D40D54D-8EAA-400A-8FA0-8436D9CFACE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E81B8656-DC42-4A26-9510-139E5399BDC1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4D1EB6C0-8278-4374-9D38-96DEDB60B9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01A5DCD4-2BF1-4360-A216-67D79A1DE7C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6C6EEEEB-B665-4323-B7F8-DB828318A67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DC0A1433-35FA-43E9-A1A2-EE002965CD3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0B9E2ACC-CAEF-403A-8304-41950847BEC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BDAD9FD0-4E9A-475D-91DA-9E68FB1200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974DBB0B-CE5D-452C-B2E9-BD8D73A485A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1A68ABD2-AB4E-431A-8CBD-3BFC015E2B2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18E86436-B7DE-4460-987C-88FD96E5794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5E33F901-250D-418A-B1D8-C3AFB811CCB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1008C0CD-E990-4BF6-BC9C-ABD48B783F9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523F58A7-C133-490C-9B3F-A2C2F923CCE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90C9F3EE-5A2F-4DD6-8FED-ABED128CB2A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ADC0183D-B0E6-4AD9-83DD-6306984E9DB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3686CAC4-6271-4014-A9CC-AFBED9424CB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D93E6A7-3A70-4F8F-82CC-D92C38B175BD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8EDDA3E0-D1F3-422D-B125-E504434BDFE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71E26FC1-36E2-4312-8182-FD41551563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B3D154A9-9EAD-4007-B425-E994945E815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1E162295-6FC3-416A-9E3B-B94BAC06949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10EB3489-C353-4448-96BE-D8FC1CC2BF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9FAA84A8-63A9-4CE7-8516-D45EE94F2880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D1085682-6408-4F4B-839B-CDBA2A4C431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F6416E90-750D-4722-ACE1-D666ACF4F4B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063F181E-845B-4387-B9D8-C06769A7EEF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9D6AEEB7-BC54-4050-953A-DF5BC7E5347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13530B3-167A-4FD4-9BF2-9779BB0474F4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A6B367A2-B6A8-4063-BF4C-92E3EC2B5C7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A67FF4BD-EBA8-4E78-8600-AB74B6694986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97AA2F9E-2285-4651-9BAA-FAB04C48300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5F8FA9D1-8E13-4729-8469-639C07E85278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DE782174-84AB-453F-9B79-B1D5C8354F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3E28371A-1EC7-49D9-A3E1-35C8F7BEDC1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90AC23F8-2A62-4FA4-AB88-783D7376A6F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E796ABAC-D51F-4514-B022-0BE2961FCD9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ABFBA8D9-B525-4C5D-BD0B-6DE96C28C6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18D3599F-DCD0-43C4-B354-2DD4FE5DBB8F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3454D5E4-5ED9-4836-A0EF-8AF2600DC05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555EF98D-6835-442D-B3A4-42AD61B9FA83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2DFE60AC-28A7-411B-B856-73963D603CD7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264C669-4A2C-4639-9691-7672D330C29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2146D91D-9DF3-4074-A8B2-6826B40675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4C23860F-5753-4F42-9089-333A99A093F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3C99398A-94BA-4D14-998B-43FAC9770FC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17346DCF-69F7-4B09-92CD-6BE56371DAD2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93649C38-AE75-4F3C-AE8C-30D5272E839C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18B98F9B-2B87-4909-BB55-CB4904C5230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F82F3FE7-7A03-4474-A2AE-7BC3748562EA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1F27F92C-E0C4-4BF1-8C86-A3CE7F885EEE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8387F477-C5EE-4DE5-9918-AECD9AE1C295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69AFE22F-60D6-4B2D-8FE7-211E802BC61B}"/>
            </a:ext>
          </a:extLst>
        </xdr:cNvPr>
        <xdr:cNvSpPr>
          <a:spLocks noChangeArrowheads="1"/>
        </xdr:cNvSpPr>
      </xdr:nvSpPr>
      <xdr:spPr bwMode="auto">
        <a:xfrm>
          <a:off x="684276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74F254C-F859-4B6C-AAA4-04B1B3A36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4A69C91F-B0D7-49A4-9B6C-DFF2104A04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6A857164-75A2-4509-8CD3-304EC33B575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ADC05A88-C8A4-4549-B6B3-C4326588A01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8537B422-C368-4F95-AAC4-45A21652F86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163ED894-A7D5-47A7-874E-C53438B1BF4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9F2B8A57-B727-4E3B-9C4F-30123DD3312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6548E212-BD60-41FC-8CDC-FFE69010074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CA682E3-2BBD-42FA-BD9D-C12364592AE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B22AF8D5-AA01-422C-95E3-70BB9034F28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0924225B-9C8B-407C-86F6-D4128B67C2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F7CDB4B5-9CA4-43CC-A888-D436245554F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46C1303A-A443-4F78-833B-2E3AF20C1E0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3B994691-FA1E-40F5-94B6-EC4AB5F20E3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F1E8DFD0-C7C2-463E-BBA0-E9E45E9D2E7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BCC57960-0614-42F1-A31B-EF8A48361DE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8D785E70-2048-4F71-85FC-A9C7061BE47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7F51EEA8-E097-4954-91F6-D421D478C2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0AA2147-0032-4B5C-9FA1-5CCEE7A1F57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397B7499-F6CC-4DEB-A896-ED883A02369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CE8EF9B-3DC7-43ED-A7A4-1703BCD0E53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9E515396-ABD0-4FD3-A901-B2A60B13E5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8D38BB9A-768E-4D58-A73C-575C0AAEE9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FC322E3-77D6-487D-BF0B-52C5157572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314C9A14-BB83-4C06-85A0-C938E8C52EF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E5C00F81-CF6A-44B7-8443-6CFDE95DEB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7FC120D9-30CA-459B-B1B1-9F08C94C69D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599592E-0436-4216-A54F-98BFFCBAF5BB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6A6BE80F-D61C-4C7E-9FB4-D4C1522D4F7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0D548C43-2258-4FB7-AE7E-EBC95365253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B4684C0C-6A92-4FF3-8B26-7755D15418A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8325861F-4886-4E53-B828-C0BBAF32DB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978569E1-5362-4E00-A039-8AF2A87F761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789F6524-105B-446B-B454-E3811B01C53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BECC283C-929C-4162-AD82-36953A4D6BD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BD4CA4-AC7D-4BE0-86EE-4386BD56B20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D7B8C1CD-071A-4132-85D8-FE101458CE0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8FD65803-F63F-41F5-8B8B-E8AE4D16B0B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9C4E0C38-7FBF-4C7B-9B11-3239A34034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086744B8-F565-424C-ACA4-EEAABC6857B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B84637D-B9E1-4811-B5D8-69D910E20EB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37D52CE6-069C-48BA-908B-F6C188C155F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89EE9066-0F45-44A6-B044-582F63C71CA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F1AD89E-B5C2-4DC7-A22F-6BE3634528A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F0FCD0B4-C474-4244-A69F-1896D24C2D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E68B8CEC-4608-47F3-B81B-20657CE5464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9049C2EE-E1FD-4E07-B793-BD503A89DE0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3ADB31-F6F6-4E2D-A331-0EC20AEE7D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5112F129-73BF-44A5-B0C2-EB111E0976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11FCE40F-515F-407F-A2B8-A385A4151C3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D7C333DC-A425-4CC5-9A8D-BAE803A6A0F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A2E6FED-0EEE-421D-87C8-AB92D69D56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0313659D-333E-48C9-A00C-5DEE5AE8900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9CCE0E5A-D7C9-4750-80E3-85E08B3AD5B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1C04727E-BBAA-47E8-BE45-A2782361C0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1AB5A99A-EB3B-44B5-ACE2-8CD4AEBFA62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6420F27-636D-4B1A-BFDC-6A159EAAF33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E176811D-0209-4668-AB5C-7FBCBAC1D0E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2646774B-5165-474C-83FA-9BDE6F5C285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BDD68324-9A9B-4E07-BF62-F8DFDF09F98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DE72F967-3054-4AA0-801B-1CF3B405782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61C0B1CE-BD33-4BA3-A74F-91D2079C7FD2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4086C4B7-F8BA-4A04-89A7-0506CEC1B7E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D7551BA4-D0CA-4E36-8E80-098F1908B3C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C7491FDD-3364-4B0E-B712-DDD4E621FA8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B5F0C1AF-559C-4605-8269-E19A1D7BAFC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D5DC44D5-E65D-4915-BB27-8C977D2CB38F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63228968-772F-46D5-A418-5325ABFACC6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4801253C-121F-4FBB-9203-1B03421FA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48E79AB2-0CE7-4EFA-BEA2-F0717503DD18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202F6CA5-4143-473A-866E-5892E45462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D1EFDE32-C35E-4DE7-9DEF-F9DB45848EF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A9671000-5E71-4F7F-9064-2C012FF9D45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30E3EE2A-DCDA-4743-BCFE-D2176C7DD22C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C0E0963-FE24-472A-AA4D-DFAD392538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C95046C-47F1-40C1-8699-CD215783A54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AEC2F776-3C9F-4DD0-B305-52BF94F985E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89D92E5-3EF2-4E45-B9AC-33F5F80732F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9FE24465-0312-456C-992F-E6FBE314CAE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930AF0-9F6D-49C4-A195-2E17DD6F957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DF0C4CF-21D9-4FDF-8DDE-AF20E9BA856E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EAB271B-D321-4906-8983-702540A21686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5E06742A-7C7F-4CEE-823E-540BDA0F74BD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D29C7F63-3133-41AD-9FB2-ED08A80DD87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F47F2BBF-4D2D-4568-ADEA-D61D9D80CE6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CB2658FC-D6FD-4CEA-B9F9-AC2729F6D981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0CA98752-A2D4-4C87-BF5C-2DD6A78B062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31B1AA3-07F9-490C-B8A0-027EA74E49D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79B85C0D-EC51-40EC-B96C-5ADA4841B690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5FE6C74E-08B3-4A8C-8C38-018E75D9FC04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8D5768A5-B42C-42DC-97C5-28C5E8A14BA9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83C489AA-E4E9-4514-83B3-0BDF6E904967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DA1356AE-23D5-40B9-841C-842F9764ECB5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863E0576-B749-4561-9631-3F993748F6C3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58CBC302-AFCB-40A3-8B16-9D8A77F45E9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CC4E61D1-8F72-4252-923E-91080DB251CA}"/>
            </a:ext>
          </a:extLst>
        </xdr:cNvPr>
        <xdr:cNvSpPr>
          <a:spLocks noChangeArrowheads="1"/>
        </xdr:cNvSpPr>
      </xdr:nvSpPr>
      <xdr:spPr bwMode="auto">
        <a:xfrm>
          <a:off x="3307080" y="2583942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B7578465-3BE9-4C25-B9F0-2FABBBD3C0C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2036154A-1DBC-42C2-A9B9-825301E7F1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AA08AE7-3792-4E2D-B65C-6FD52153A7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844A901-B618-4838-A90A-917CDFFAB49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4B176EA3-813B-4215-B4F8-03D5BF8FB28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DEA1465D-C718-44E0-9D38-AB8F6646447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54BF27-95AA-4706-B82B-E5704A53B90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3C1966B-8FC4-4C71-8E5E-DCE4B1F8923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0C1F5FD-9B46-46C3-BF56-CED3B9879CA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EB9C065C-1A2E-40A4-B07A-9625D56A4A3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C6B882F8-C410-4802-B88A-40A47D78504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EE20E45B-AF60-471A-BCF9-83F6406EA16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555C42F9-7852-4EA8-9C04-DFAB50FC61D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56A6730F-6240-4E40-82FF-2C3FF362B75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BE4F9EFC-11C4-4B36-A0B9-9A44FA7AAF1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B32928B5-0409-4EA0-AAE9-A979426BB40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A699CF47-EF69-4D8A-B789-6942768F3D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6394DF40-B250-433A-8B0B-787E7B082D8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E7420BC4-B6D0-458E-982A-087A9419CAD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AF567152-32CD-47B6-8595-8C4C0EAC7D8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62DB7A9D-28CC-46C1-A45E-69FD5CB27C9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D14F75B4-7C93-47C2-BA00-8EF7CC3D9AC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DE5D52C3-65BA-4B47-A173-1BA35B376DA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91C80F48-A073-4E3D-A7AD-D53114BCE9E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99332933-D658-4A3B-B377-29D1E32863C9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81169F85-67B4-404B-ADD4-D0FC40ECE7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9B6018A1-8752-4B3B-B80F-3B27967145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F58E701F-6A1D-493A-BE7B-6EF0BF9E3E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ADB385AC-A6DB-4880-AB24-370BDCCE63B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E2EC1D0-7619-41FC-94F1-705E051EA90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8672D7ED-9D2F-4838-A624-6B54F5C1936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5C2C683-BB3B-464F-80F8-568B83B622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2358283-6D63-42F2-B688-B6A86A1C820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FFCA9C6B-0D80-45A7-9BCB-756D18578F2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4755F8C8-DD7B-4736-BFC6-905FFF822D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BC563C2A-3D17-49F4-AA97-EEA3F9C74A1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36D2083-F33A-41D4-AEDD-F6CDB4170CC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244417A-9428-4F89-8627-EFBC7AA78FB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71448036-CFFF-44E0-955B-1D0E2FC0BB7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AECE2CA1-24DC-4E92-8AE8-9A0CBFBA04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49072F70-77E4-48A0-B31A-3C50F4784BD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9A26F45C-E29C-4C1A-B958-14717EDBEF1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A1DE9CC6-F7B0-467D-9350-B3062812341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8BF52482-74DF-4F1D-8B03-CA9169CFFA4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2AB457F-4407-4ECB-A71C-090C1262048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F998BAEC-9B9F-40BA-A298-D6E686DA706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811A83AB-0DCD-4EAC-92C5-660F3527081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1DD5E99C-2BB9-4473-B573-EB5D66225E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6AA468DE-9506-4EF8-A7E6-19F071356B7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18838B4E-124B-4B57-B1DD-393BE015984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6C2A3BEC-5928-4E7C-8E22-4B3C427596F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67351621-D588-41EC-8463-6792B391667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76347B29-077F-471A-AD88-F46953539A5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0BA30794-C732-4B4E-8983-96F63912DA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E2E96CC3-5F11-41C7-BE71-790475400A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C680032C-BA88-4C56-9C90-000109F88F6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2743496F-3317-4B85-9FAF-2E7AB4B3FB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A601632-F605-4CB5-92E4-A6811A5AAF1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A3D84F0-93F5-4954-B00C-57BE73B0BFB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E0ECFDF7-9258-496B-8AE0-65084FC972BE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0666F63E-5896-424F-B0DE-915441359D8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95A5AA85-839B-416B-AA83-D24E9F48A33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16244D69-C4F1-4DC0-81B0-1200E2CA9E7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186651B6-73EC-482D-ABC5-31E0BE5EAC0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0CACF5A-9814-4C09-89BA-6FDB1F0BD4C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846A931F-A2D4-4974-896B-05CDF30D2663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953492FE-FBE8-44F0-85B5-8A951D5EAFB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6F08F6A7-58FE-4BF9-B7DB-64C888D6509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C4676223-7BC2-4E1C-B611-F3625671E23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65791403-5F1F-48F5-85D6-20DF1D1A5555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602C794-C263-41DC-B888-0266CE5D19C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5BBC5F15-5FFB-493B-B5D9-CCDAEE1830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88DB9FD2-0EE5-4F4A-A288-DA517CDEE13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424F24CD-1127-4306-B47C-0BF2F2BE0D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635957D5-AE6F-4D0F-A319-C860B7E58241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4C214CC2-6E71-4D7D-B962-18D13962CE8F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DC9136B5-5654-451C-B725-F95F83A98FD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F174A190-B195-4AF5-9A9A-223AA0032EA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252E2055-F75A-47CC-9E65-E01A89C222F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B190F427-B807-46D9-8D4F-B1ED1E5A6940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985C857E-1B5A-4F0B-B24C-46DAB1BCF5E2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D228C8B7-B682-49DC-B938-18EC0133B97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1ED1BB6E-2C68-4C7B-B7E5-D3B8DA1B4D5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70FC1810-B642-46EB-A278-2BCB2190B5CD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57C7AA25-5BE6-40D7-B0C8-4A003F7D094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9E6D699-C1FA-4791-B32F-0ABE9D0D590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8D079C3-325F-4713-8586-F36DBD4CFCA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14DDEA0A-B436-4563-BB20-CE499CEE7C1A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D9807B24-7980-48B4-9BA2-95665EE65B3B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B4B2A2D0-186A-4800-96C2-4E9BD0894B8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683B30B0-F359-4B44-BAAF-039961FEEF67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83C9FF5F-197B-4E9D-8CAE-A0EFF588EC44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C9F92EA0-10ED-4C8B-81AB-9A0EC8CF8628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12F777B4-BDED-4CFF-94DE-4BBF0471AF5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40428998-4E61-4470-99B8-F80F96CAE136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5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1E3CE6EE-A9D2-4B05-AB4B-B2994F36F49C}"/>
            </a:ext>
          </a:extLst>
        </xdr:cNvPr>
        <xdr:cNvSpPr>
          <a:spLocks noChangeArrowheads="1"/>
        </xdr:cNvSpPr>
      </xdr:nvSpPr>
      <xdr:spPr bwMode="auto">
        <a:xfrm>
          <a:off x="330708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3"/>
  <dimension ref="A1:O20"/>
  <sheetViews>
    <sheetView zoomScale="40" zoomScaleNormal="40" workbookViewId="0">
      <selection activeCell="N17" sqref="N17:O17"/>
    </sheetView>
  </sheetViews>
  <sheetFormatPr defaultRowHeight="15"/>
  <cols>
    <col min="1" max="1" width="17.85546875" bestFit="1" customWidth="1"/>
    <col min="2" max="2" width="20.140625" customWidth="1"/>
    <col min="3" max="3" width="21.42578125" customWidth="1"/>
    <col min="4" max="4" width="24" customWidth="1"/>
    <col min="5" max="5" width="24" style="106" customWidth="1"/>
    <col min="6" max="6" width="27.42578125" style="68" customWidth="1"/>
    <col min="7" max="7" width="25" customWidth="1"/>
    <col min="8" max="8" width="29.42578125" customWidth="1"/>
    <col min="9" max="9" width="34.5703125" customWidth="1"/>
    <col min="10" max="10" width="26.5703125" customWidth="1"/>
    <col min="11" max="11" width="20.42578125" style="107" customWidth="1"/>
    <col min="12" max="12" width="19.42578125" style="68" customWidth="1"/>
    <col min="13" max="13" width="13.42578125" style="68" customWidth="1"/>
    <col min="14" max="14" width="24.42578125" customWidth="1"/>
    <col min="15" max="15" width="36.42578125" customWidth="1"/>
  </cols>
  <sheetData>
    <row r="1" spans="1:15" ht="32.1" customHeight="1" thickBot="1">
      <c r="A1" s="629"/>
      <c r="B1" s="69" t="s">
        <v>0</v>
      </c>
      <c r="C1" s="70" t="s">
        <v>1</v>
      </c>
      <c r="D1" s="71" t="s">
        <v>2</v>
      </c>
      <c r="E1" s="72"/>
      <c r="F1" s="73">
        <f ca="1">TODAY()-1</f>
        <v>46183</v>
      </c>
      <c r="G1" s="74"/>
      <c r="H1" s="75" t="s">
        <v>3</v>
      </c>
      <c r="I1" s="76" t="s">
        <v>4</v>
      </c>
      <c r="J1" s="77"/>
      <c r="K1" s="78"/>
      <c r="L1" s="79"/>
    </row>
    <row r="2" spans="1:15" ht="39" customHeight="1" thickBot="1">
      <c r="A2" s="630"/>
      <c r="B2" s="80" t="s">
        <v>5</v>
      </c>
      <c r="C2" s="632" t="s">
        <v>6</v>
      </c>
      <c r="D2" s="633"/>
      <c r="E2" s="634"/>
      <c r="F2" s="81" t="s">
        <v>7</v>
      </c>
      <c r="G2" s="82">
        <v>45363</v>
      </c>
      <c r="H2" s="83" t="s">
        <v>8</v>
      </c>
      <c r="I2" s="76" t="s">
        <v>9</v>
      </c>
      <c r="J2" s="84"/>
      <c r="K2" s="78"/>
      <c r="L2" s="79"/>
    </row>
    <row r="3" spans="1:15" ht="29.25" customHeight="1" thickBot="1">
      <c r="A3" s="630"/>
      <c r="B3" s="80" t="s">
        <v>10</v>
      </c>
      <c r="C3" s="632" t="s">
        <v>11</v>
      </c>
      <c r="D3" s="633"/>
      <c r="E3" s="634"/>
      <c r="F3" s="81" t="s">
        <v>12</v>
      </c>
      <c r="G3" s="82">
        <v>46002</v>
      </c>
      <c r="H3" s="83" t="s">
        <v>13</v>
      </c>
      <c r="I3" s="76" t="s">
        <v>14</v>
      </c>
      <c r="J3" s="84"/>
      <c r="K3" s="78"/>
      <c r="L3" s="85"/>
    </row>
    <row r="4" spans="1:15" ht="49.5" customHeight="1" thickBot="1">
      <c r="A4" s="631"/>
      <c r="B4" s="80" t="s">
        <v>15</v>
      </c>
      <c r="C4" s="635">
        <v>46153</v>
      </c>
      <c r="D4" s="635"/>
      <c r="E4" s="636"/>
      <c r="F4" s="81" t="s">
        <v>16</v>
      </c>
      <c r="G4" s="76" t="s">
        <v>17</v>
      </c>
      <c r="H4" s="83" t="s">
        <v>18</v>
      </c>
      <c r="I4" s="76" t="s">
        <v>19</v>
      </c>
      <c r="J4" s="84"/>
      <c r="K4" s="78"/>
      <c r="L4" s="85"/>
    </row>
    <row r="5" spans="1:15">
      <c r="A5" s="637" t="s">
        <v>20</v>
      </c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28" t="s">
        <v>21</v>
      </c>
      <c r="B6" s="628"/>
      <c r="C6" s="628"/>
      <c r="D6" s="628"/>
      <c r="E6" s="628"/>
      <c r="F6" s="628"/>
      <c r="G6" s="628"/>
      <c r="H6" s="628"/>
      <c r="I6" s="628"/>
      <c r="J6" s="628"/>
      <c r="K6" s="628"/>
      <c r="L6" s="628"/>
      <c r="M6"/>
    </row>
    <row r="7" spans="1:15" ht="49.5" customHeight="1">
      <c r="A7" s="86" t="s">
        <v>22</v>
      </c>
      <c r="B7" s="86" t="s">
        <v>23</v>
      </c>
      <c r="C7" s="86" t="s">
        <v>24</v>
      </c>
      <c r="D7" s="86" t="s">
        <v>25</v>
      </c>
      <c r="E7" s="87" t="s">
        <v>26</v>
      </c>
      <c r="F7" s="86" t="s">
        <v>27</v>
      </c>
      <c r="G7" s="86" t="s">
        <v>28</v>
      </c>
      <c r="H7" s="86" t="s">
        <v>29</v>
      </c>
      <c r="I7" s="86" t="s">
        <v>30</v>
      </c>
      <c r="J7" s="86" t="s">
        <v>31</v>
      </c>
      <c r="K7" s="86" t="s">
        <v>32</v>
      </c>
      <c r="L7" s="86" t="s">
        <v>33</v>
      </c>
      <c r="M7"/>
    </row>
    <row r="8" spans="1:15" ht="49.5" customHeight="1">
      <c r="A8" s="88" t="s">
        <v>34</v>
      </c>
      <c r="B8" s="89" t="s">
        <v>35</v>
      </c>
      <c r="C8" s="90">
        <v>127.854</v>
      </c>
      <c r="D8" s="90">
        <f t="shared" ref="D8:F10" si="0">C8</f>
        <v>127.854</v>
      </c>
      <c r="E8" s="90">
        <f t="shared" si="0"/>
        <v>127.854</v>
      </c>
      <c r="F8" s="90">
        <f t="shared" si="0"/>
        <v>127.854</v>
      </c>
      <c r="G8" s="90"/>
      <c r="H8" s="90"/>
      <c r="I8" s="90"/>
      <c r="J8" s="91"/>
      <c r="K8" s="92">
        <f>F8+J8</f>
        <v>127.854</v>
      </c>
      <c r="L8" s="93" t="s">
        <v>36</v>
      </c>
      <c r="M8"/>
    </row>
    <row r="9" spans="1:15" ht="49.5" customHeight="1">
      <c r="A9" s="88" t="s">
        <v>37</v>
      </c>
      <c r="B9" s="89" t="s">
        <v>35</v>
      </c>
      <c r="C9" s="90">
        <f>C8</f>
        <v>127.854</v>
      </c>
      <c r="D9" s="90">
        <f t="shared" si="0"/>
        <v>127.854</v>
      </c>
      <c r="E9" s="90">
        <f t="shared" si="0"/>
        <v>127.854</v>
      </c>
      <c r="F9" s="90">
        <f t="shared" si="0"/>
        <v>127.854</v>
      </c>
      <c r="G9" s="90"/>
      <c r="H9" s="90"/>
      <c r="I9" s="90"/>
      <c r="J9" s="91"/>
      <c r="K9" s="94">
        <f>E9+J9</f>
        <v>127.854</v>
      </c>
      <c r="L9" s="93" t="s">
        <v>36</v>
      </c>
      <c r="M9"/>
    </row>
    <row r="10" spans="1:15" ht="49.5" customHeight="1">
      <c r="A10" s="95" t="s">
        <v>21</v>
      </c>
      <c r="B10" s="89" t="s">
        <v>35</v>
      </c>
      <c r="C10" s="90">
        <f>C9</f>
        <v>127.854</v>
      </c>
      <c r="D10" s="90">
        <f t="shared" si="0"/>
        <v>127.854</v>
      </c>
      <c r="E10" s="90">
        <f t="shared" si="0"/>
        <v>127.854</v>
      </c>
      <c r="F10" s="90">
        <f t="shared" si="0"/>
        <v>127.854</v>
      </c>
      <c r="G10" s="90"/>
      <c r="H10" s="90"/>
      <c r="I10" s="96"/>
      <c r="J10" s="91"/>
      <c r="K10" s="94">
        <f>E10+J10</f>
        <v>127.854</v>
      </c>
      <c r="L10" s="93" t="s">
        <v>38</v>
      </c>
      <c r="M10"/>
    </row>
    <row r="12" spans="1:15" ht="31.5" customHeight="1">
      <c r="A12" s="625" t="s">
        <v>39</v>
      </c>
      <c r="B12" s="625"/>
      <c r="C12" s="625"/>
      <c r="D12" s="625"/>
      <c r="E12" s="625"/>
      <c r="F12" s="625"/>
      <c r="G12" s="625"/>
      <c r="H12" s="625"/>
      <c r="I12" s="625"/>
      <c r="J12" s="625"/>
      <c r="K12" s="625"/>
      <c r="L12" s="625"/>
      <c r="M12" s="625"/>
      <c r="N12" s="625"/>
      <c r="O12" s="625"/>
    </row>
    <row r="13" spans="1:15" ht="87.6" customHeight="1">
      <c r="A13" s="97" t="s">
        <v>22</v>
      </c>
      <c r="B13" s="97" t="s">
        <v>40</v>
      </c>
      <c r="C13" s="97" t="s">
        <v>41</v>
      </c>
      <c r="D13" s="97" t="s">
        <v>42</v>
      </c>
      <c r="E13" s="97" t="s">
        <v>43</v>
      </c>
      <c r="F13" s="97" t="s">
        <v>44</v>
      </c>
      <c r="G13" s="97" t="s">
        <v>45</v>
      </c>
      <c r="H13" s="97" t="s">
        <v>46</v>
      </c>
      <c r="I13" s="97" t="s">
        <v>47</v>
      </c>
      <c r="J13" s="97" t="s">
        <v>48</v>
      </c>
      <c r="K13" s="97" t="s">
        <v>49</v>
      </c>
      <c r="L13" s="97" t="s">
        <v>50</v>
      </c>
      <c r="M13" s="97" t="s">
        <v>51</v>
      </c>
      <c r="N13" s="626" t="s">
        <v>33</v>
      </c>
      <c r="O13" s="626"/>
    </row>
    <row r="14" spans="1:15" ht="50.1" customHeight="1">
      <c r="A14" s="98" t="s">
        <v>52</v>
      </c>
      <c r="B14" s="99">
        <v>28</v>
      </c>
      <c r="C14" s="99"/>
      <c r="D14" s="99">
        <f>C14</f>
        <v>0</v>
      </c>
      <c r="E14" s="99">
        <v>0</v>
      </c>
      <c r="F14" s="99">
        <v>0</v>
      </c>
      <c r="G14" s="100"/>
      <c r="H14" s="100"/>
      <c r="I14" s="99">
        <f t="shared" ref="I14:I19" si="1">C14+E14</f>
        <v>0</v>
      </c>
      <c r="J14" s="101">
        <v>28</v>
      </c>
      <c r="K14" s="102">
        <f t="shared" ref="K14:K19" si="2">B14-J14</f>
        <v>0</v>
      </c>
      <c r="L14" s="99"/>
      <c r="M14" s="99"/>
      <c r="N14" s="627" t="s">
        <v>53</v>
      </c>
      <c r="O14" s="627"/>
    </row>
    <row r="15" spans="1:15" ht="80.099999999999994" customHeight="1">
      <c r="A15" s="98" t="s">
        <v>54</v>
      </c>
      <c r="B15" s="99">
        <v>351</v>
      </c>
      <c r="C15" s="99"/>
      <c r="D15" s="99">
        <v>266</v>
      </c>
      <c r="E15" s="99">
        <v>0</v>
      </c>
      <c r="F15" s="99">
        <v>45</v>
      </c>
      <c r="G15" s="100">
        <f>'AOTL - KEC'!G11</f>
        <v>0</v>
      </c>
      <c r="H15" s="100">
        <f>'AOTL - KEC'!H11</f>
        <v>0</v>
      </c>
      <c r="I15" s="99">
        <f>C15+E15</f>
        <v>0</v>
      </c>
      <c r="J15" s="101">
        <f>D15+H15</f>
        <v>266</v>
      </c>
      <c r="K15" s="102">
        <f t="shared" si="2"/>
        <v>85</v>
      </c>
      <c r="L15" s="99">
        <f>'AOTL - KEC'!K11</f>
        <v>0</v>
      </c>
      <c r="M15" s="99">
        <f>'AOTL - KEC'!L11</f>
        <v>0</v>
      </c>
      <c r="N15" s="622"/>
      <c r="O15" s="622"/>
    </row>
    <row r="16" spans="1:15" s="105" customFormat="1" ht="23.25">
      <c r="A16" s="103" t="s">
        <v>55</v>
      </c>
      <c r="B16" s="99">
        <v>351</v>
      </c>
      <c r="C16" s="99"/>
      <c r="D16" s="99">
        <v>236</v>
      </c>
      <c r="E16" s="99">
        <v>0</v>
      </c>
      <c r="F16" s="99">
        <v>45</v>
      </c>
      <c r="G16" s="100">
        <f>'AOTL - KEC'!G13</f>
        <v>0</v>
      </c>
      <c r="H16" s="100">
        <f>'AOTL - KEC'!H13</f>
        <v>0</v>
      </c>
      <c r="I16" s="99">
        <f t="shared" si="1"/>
        <v>0</v>
      </c>
      <c r="J16" s="101">
        <f t="shared" ref="J16:J19" si="3">D16+H16</f>
        <v>236</v>
      </c>
      <c r="K16" s="102">
        <f t="shared" si="2"/>
        <v>115</v>
      </c>
      <c r="L16" s="104"/>
      <c r="M16" s="104"/>
      <c r="N16" s="622"/>
      <c r="O16" s="622"/>
    </row>
    <row r="17" spans="1:15" ht="76.5" customHeight="1">
      <c r="A17" s="98" t="s">
        <v>56</v>
      </c>
      <c r="B17" s="99">
        <v>351</v>
      </c>
      <c r="C17" s="99"/>
      <c r="D17" s="99">
        <v>123</v>
      </c>
      <c r="E17" s="99">
        <v>0</v>
      </c>
      <c r="F17" s="99">
        <v>100</v>
      </c>
      <c r="G17" s="100">
        <f>'AOTL - KEC'!G14</f>
        <v>0</v>
      </c>
      <c r="H17" s="100">
        <f>'AOTL - KEC'!H14</f>
        <v>4</v>
      </c>
      <c r="I17" s="99">
        <f t="shared" si="1"/>
        <v>0</v>
      </c>
      <c r="J17" s="101">
        <f>D17+H17</f>
        <v>127</v>
      </c>
      <c r="K17" s="102">
        <f t="shared" si="2"/>
        <v>224</v>
      </c>
      <c r="L17" s="99">
        <f>'AOTL - KEC'!K14</f>
        <v>2</v>
      </c>
      <c r="M17" s="99">
        <f>'AOTL - KEC'!L14</f>
        <v>2</v>
      </c>
      <c r="N17" s="622"/>
      <c r="O17" s="622"/>
    </row>
    <row r="18" spans="1:15" ht="38.450000000000003" customHeight="1">
      <c r="A18" s="98" t="s">
        <v>57</v>
      </c>
      <c r="B18" s="99">
        <v>351</v>
      </c>
      <c r="C18" s="99"/>
      <c r="D18" s="99">
        <v>35</v>
      </c>
      <c r="E18" s="99">
        <v>0</v>
      </c>
      <c r="F18" s="99">
        <v>45</v>
      </c>
      <c r="G18" s="100">
        <v>1</v>
      </c>
      <c r="H18" s="100">
        <f>'AOTL - KEC'!H15</f>
        <v>0</v>
      </c>
      <c r="I18" s="99">
        <f t="shared" si="1"/>
        <v>0</v>
      </c>
      <c r="J18" s="101">
        <f t="shared" si="3"/>
        <v>35</v>
      </c>
      <c r="K18" s="102">
        <f t="shared" si="2"/>
        <v>316</v>
      </c>
      <c r="L18" s="99">
        <v>2</v>
      </c>
      <c r="M18" s="99">
        <v>2</v>
      </c>
      <c r="N18" s="622"/>
      <c r="O18" s="622"/>
    </row>
    <row r="19" spans="1:15" ht="64.349999999999994" customHeight="1">
      <c r="A19" s="98" t="s">
        <v>58</v>
      </c>
      <c r="B19" s="99">
        <v>127.854</v>
      </c>
      <c r="C19" s="99"/>
      <c r="D19" s="99"/>
      <c r="E19" s="99">
        <v>0</v>
      </c>
      <c r="F19" s="99">
        <v>8.7240000000000002</v>
      </c>
      <c r="G19" s="100"/>
      <c r="H19" s="100"/>
      <c r="I19" s="99">
        <f t="shared" si="1"/>
        <v>0</v>
      </c>
      <c r="J19" s="101">
        <f t="shared" si="3"/>
        <v>0</v>
      </c>
      <c r="K19" s="102">
        <f t="shared" si="2"/>
        <v>127.854</v>
      </c>
      <c r="L19" s="99"/>
      <c r="M19" s="99"/>
      <c r="N19" s="623"/>
      <c r="O19" s="623"/>
    </row>
    <row r="20" spans="1:15" ht="24" customHeight="1">
      <c r="N20" s="624"/>
      <c r="O20" s="624"/>
    </row>
  </sheetData>
  <mergeCells count="15">
    <mergeCell ref="A6:L6"/>
    <mergeCell ref="A1:A4"/>
    <mergeCell ref="C2:E2"/>
    <mergeCell ref="C3:E3"/>
    <mergeCell ref="C4:E4"/>
    <mergeCell ref="A5:L5"/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</mergeCells>
  <pageMargins left="0.27559055118110237" right="0.31496062992125984" top="0.35433070866141736" bottom="0.39370078740157483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59D9-DE9E-4BF7-9955-77488DB0E642}">
  <sheetPr codeName="Sheet4"/>
  <dimension ref="A1:O20"/>
  <sheetViews>
    <sheetView tabSelected="1" zoomScale="50" zoomScaleNormal="50" zoomScaleSheetLayoutView="40" workbookViewId="0">
      <selection activeCell="L15" sqref="L15"/>
    </sheetView>
  </sheetViews>
  <sheetFormatPr defaultColWidth="9.140625" defaultRowHeight="15"/>
  <cols>
    <col min="1" max="1" width="23.140625" customWidth="1"/>
    <col min="2" max="2" width="20.140625" customWidth="1"/>
    <col min="3" max="3" width="21.42578125" customWidth="1"/>
    <col min="4" max="4" width="27.85546875" customWidth="1"/>
    <col min="5" max="5" width="19.5703125" style="106" customWidth="1"/>
    <col min="6" max="6" width="27.42578125" style="68" customWidth="1"/>
    <col min="7" max="7" width="25.42578125" customWidth="1"/>
    <col min="8" max="8" width="26.5703125" bestFit="1" customWidth="1"/>
    <col min="9" max="9" width="31.42578125" customWidth="1"/>
    <col min="10" max="10" width="20.5703125" customWidth="1"/>
    <col min="11" max="11" width="20.5703125" style="107" bestFit="1" customWidth="1"/>
    <col min="12" max="12" width="19.140625" style="68" customWidth="1"/>
    <col min="13" max="13" width="13.42578125" style="68" customWidth="1"/>
    <col min="14" max="14" width="24.42578125" customWidth="1"/>
    <col min="15" max="15" width="15.5703125" customWidth="1"/>
  </cols>
  <sheetData>
    <row r="1" spans="1:15" ht="21">
      <c r="A1" s="639"/>
      <c r="B1" s="280" t="s">
        <v>0</v>
      </c>
      <c r="C1" s="642" t="s">
        <v>59</v>
      </c>
      <c r="D1" s="642"/>
      <c r="E1" s="642"/>
      <c r="F1" s="280" t="s">
        <v>2</v>
      </c>
      <c r="G1" s="284">
        <v>46184</v>
      </c>
      <c r="H1" s="280" t="s">
        <v>3</v>
      </c>
      <c r="I1" s="285" t="s">
        <v>4</v>
      </c>
      <c r="J1" s="77"/>
      <c r="K1" s="78"/>
      <c r="L1" s="79"/>
    </row>
    <row r="2" spans="1:15" ht="21">
      <c r="A2" s="639"/>
      <c r="B2" s="280" t="s">
        <v>5</v>
      </c>
      <c r="C2" s="640" t="s">
        <v>60</v>
      </c>
      <c r="D2" s="640"/>
      <c r="E2" s="640"/>
      <c r="F2" s="280" t="s">
        <v>7</v>
      </c>
      <c r="G2" s="284">
        <v>45622</v>
      </c>
      <c r="H2" s="280" t="s">
        <v>8</v>
      </c>
      <c r="I2" s="285" t="s">
        <v>9</v>
      </c>
      <c r="J2" s="84"/>
      <c r="K2" s="78"/>
      <c r="L2" s="79"/>
    </row>
    <row r="3" spans="1:15" ht="21">
      <c r="A3" s="639"/>
      <c r="B3" s="280" t="s">
        <v>10</v>
      </c>
      <c r="C3" s="640" t="s">
        <v>61</v>
      </c>
      <c r="D3" s="640"/>
      <c r="E3" s="640"/>
      <c r="F3" s="280" t="s">
        <v>12</v>
      </c>
      <c r="G3" s="284">
        <v>46320</v>
      </c>
      <c r="H3" s="280" t="s">
        <v>13</v>
      </c>
      <c r="I3" s="285" t="s">
        <v>62</v>
      </c>
      <c r="J3" s="84"/>
      <c r="K3" s="78"/>
      <c r="L3" s="85"/>
    </row>
    <row r="4" spans="1:15" ht="42">
      <c r="A4" s="639"/>
      <c r="B4" s="280" t="s">
        <v>15</v>
      </c>
      <c r="C4" s="641"/>
      <c r="D4" s="641"/>
      <c r="E4" s="641"/>
      <c r="F4" s="280" t="s">
        <v>16</v>
      </c>
      <c r="G4" s="285" t="s">
        <v>63</v>
      </c>
      <c r="H4" s="280" t="s">
        <v>18</v>
      </c>
      <c r="I4" s="285" t="s">
        <v>64</v>
      </c>
      <c r="J4" s="84"/>
      <c r="K4" s="78"/>
      <c r="L4" s="85"/>
      <c r="O4" s="6"/>
    </row>
    <row r="5" spans="1:15">
      <c r="A5" s="637"/>
      <c r="B5" s="637"/>
      <c r="C5" s="637"/>
      <c r="D5" s="637"/>
      <c r="E5" s="637"/>
      <c r="F5" s="637"/>
      <c r="G5" s="637"/>
      <c r="H5" s="637"/>
      <c r="I5" s="637"/>
      <c r="J5" s="637"/>
      <c r="K5" s="637"/>
      <c r="L5" s="637"/>
      <c r="M5"/>
    </row>
    <row r="6" spans="1:15" ht="28.5">
      <c r="A6" s="638" t="s">
        <v>65</v>
      </c>
      <c r="B6" s="638"/>
      <c r="C6" s="638"/>
      <c r="D6" s="638"/>
      <c r="E6" s="638"/>
      <c r="F6" s="638"/>
      <c r="G6" s="638"/>
      <c r="H6" s="638"/>
      <c r="I6" s="638"/>
      <c r="J6" s="638"/>
      <c r="K6" s="638"/>
      <c r="L6" s="638"/>
      <c r="M6"/>
    </row>
    <row r="7" spans="1:15" ht="42">
      <c r="A7" s="280" t="s">
        <v>22</v>
      </c>
      <c r="B7" s="280" t="s">
        <v>23</v>
      </c>
      <c r="C7" s="280" t="s">
        <v>24</v>
      </c>
      <c r="D7" s="280" t="s">
        <v>25</v>
      </c>
      <c r="E7" s="281" t="s">
        <v>26</v>
      </c>
      <c r="F7" s="280" t="s">
        <v>27</v>
      </c>
      <c r="G7" s="280" t="s">
        <v>28</v>
      </c>
      <c r="H7" s="280" t="s">
        <v>29</v>
      </c>
      <c r="I7" s="280" t="s">
        <v>30</v>
      </c>
      <c r="J7" s="280" t="s">
        <v>31</v>
      </c>
      <c r="K7" s="280" t="s">
        <v>32</v>
      </c>
      <c r="L7" s="280" t="s">
        <v>33</v>
      </c>
      <c r="M7"/>
    </row>
    <row r="8" spans="1:15" ht="40.35" customHeight="1">
      <c r="A8" s="88" t="s">
        <v>34</v>
      </c>
      <c r="B8" s="89" t="s">
        <v>66</v>
      </c>
      <c r="C8" s="90">
        <v>114.51600000000001</v>
      </c>
      <c r="D8" s="90">
        <v>114.51600000000001</v>
      </c>
      <c r="E8" s="90">
        <v>114.51600000000001</v>
      </c>
      <c r="F8" s="90">
        <v>114.51600000000001</v>
      </c>
      <c r="G8" s="90">
        <f>C8-E8</f>
        <v>0</v>
      </c>
      <c r="H8" s="90">
        <f>E8-K8</f>
        <v>0</v>
      </c>
      <c r="I8" s="90">
        <f>C8-E8</f>
        <v>0</v>
      </c>
      <c r="J8" s="282">
        <v>0</v>
      </c>
      <c r="K8" s="92">
        <f>F8+J8</f>
        <v>114.51600000000001</v>
      </c>
      <c r="L8" s="93" t="s">
        <v>38</v>
      </c>
      <c r="M8"/>
    </row>
    <row r="9" spans="1:15" ht="40.35" customHeight="1">
      <c r="A9" s="88" t="s">
        <v>37</v>
      </c>
      <c r="B9" s="89" t="s">
        <v>66</v>
      </c>
      <c r="C9" s="90">
        <v>114.51600000000001</v>
      </c>
      <c r="D9" s="90">
        <v>114.51600000000001</v>
      </c>
      <c r="E9" s="90">
        <f>'Survey Anx'!E40</f>
        <v>114.31499999999998</v>
      </c>
      <c r="F9" s="90">
        <f>'Survey Anx'!F40</f>
        <v>107.49199999999998</v>
      </c>
      <c r="G9" s="90">
        <f>D9-E9</f>
        <v>0.20100000000002183</v>
      </c>
      <c r="H9" s="90">
        <f>D9-F9</f>
        <v>7.0240000000000293</v>
      </c>
      <c r="I9" s="90">
        <v>0</v>
      </c>
      <c r="J9" s="283">
        <v>0</v>
      </c>
      <c r="K9" s="282">
        <f>F9</f>
        <v>107.49199999999998</v>
      </c>
      <c r="L9" s="283"/>
      <c r="M9"/>
      <c r="O9" s="213"/>
    </row>
    <row r="10" spans="1:15" s="23" customFormat="1" ht="40.35" customHeight="1">
      <c r="A10" s="88" t="s">
        <v>21</v>
      </c>
      <c r="B10" s="89" t="s">
        <v>66</v>
      </c>
      <c r="C10" s="90">
        <v>114.51600000000001</v>
      </c>
      <c r="D10" s="90">
        <v>114.51600000000001</v>
      </c>
      <c r="E10" s="90">
        <f>'Survey Anx'!G40</f>
        <v>97.677000000000007</v>
      </c>
      <c r="F10" s="90">
        <v>90.948999999999998</v>
      </c>
      <c r="G10" s="90">
        <f>D10-F10</f>
        <v>23.567000000000007</v>
      </c>
      <c r="H10" s="90">
        <f>D10-F10</f>
        <v>23.567000000000007</v>
      </c>
      <c r="I10" s="90">
        <v>0</v>
      </c>
      <c r="J10" s="282">
        <v>0</v>
      </c>
      <c r="K10" s="282">
        <v>93.542000000000016</v>
      </c>
      <c r="L10" s="283"/>
      <c r="O10" s="157"/>
    </row>
    <row r="12" spans="1:15" ht="31.5">
      <c r="A12" s="643" t="s">
        <v>39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3"/>
      <c r="N12" s="643"/>
      <c r="O12" s="643"/>
    </row>
    <row r="13" spans="1:15" ht="93">
      <c r="A13" s="279" t="s">
        <v>22</v>
      </c>
      <c r="B13" s="279" t="s">
        <v>40</v>
      </c>
      <c r="C13" s="279" t="s">
        <v>1086</v>
      </c>
      <c r="D13" s="279" t="s">
        <v>1087</v>
      </c>
      <c r="E13" s="279" t="s">
        <v>43</v>
      </c>
      <c r="F13" s="279" t="s">
        <v>44</v>
      </c>
      <c r="G13" s="279" t="s">
        <v>45</v>
      </c>
      <c r="H13" s="279" t="s">
        <v>46</v>
      </c>
      <c r="I13" s="279" t="s">
        <v>47</v>
      </c>
      <c r="J13" s="279" t="s">
        <v>48</v>
      </c>
      <c r="K13" s="279" t="s">
        <v>49</v>
      </c>
      <c r="L13" s="279" t="s">
        <v>50</v>
      </c>
      <c r="M13" s="279" t="s">
        <v>51</v>
      </c>
      <c r="N13" s="644" t="s">
        <v>33</v>
      </c>
      <c r="O13" s="644"/>
    </row>
    <row r="14" spans="1:15" ht="40.35" customHeight="1">
      <c r="A14" s="98" t="s">
        <v>52</v>
      </c>
      <c r="B14" s="99">
        <v>30</v>
      </c>
      <c r="C14" s="99">
        <v>0</v>
      </c>
      <c r="D14" s="99">
        <v>30</v>
      </c>
      <c r="E14" s="99">
        <v>0</v>
      </c>
      <c r="F14" s="99">
        <v>0</v>
      </c>
      <c r="G14" s="100"/>
      <c r="H14" s="100"/>
      <c r="I14" s="99">
        <v>24</v>
      </c>
      <c r="J14" s="101">
        <v>30</v>
      </c>
      <c r="K14" s="102">
        <f t="shared" ref="K14:K19" si="0">B14-J14</f>
        <v>0</v>
      </c>
      <c r="L14" s="99"/>
      <c r="M14" s="99"/>
      <c r="N14" s="645"/>
      <c r="O14" s="645"/>
    </row>
    <row r="15" spans="1:15" ht="75.75" customHeight="1">
      <c r="A15" s="98" t="s">
        <v>54</v>
      </c>
      <c r="B15" s="99">
        <v>299</v>
      </c>
      <c r="C15" s="99">
        <v>16</v>
      </c>
      <c r="D15" s="99">
        <v>85</v>
      </c>
      <c r="E15" s="99">
        <v>0</v>
      </c>
      <c r="F15" s="99">
        <v>47</v>
      </c>
      <c r="G15" s="100">
        <v>1</v>
      </c>
      <c r="H15" s="100">
        <v>4</v>
      </c>
      <c r="I15" s="99">
        <v>293</v>
      </c>
      <c r="J15" s="101">
        <v>89</v>
      </c>
      <c r="K15" s="102">
        <f>B15-J15</f>
        <v>210</v>
      </c>
      <c r="L15" s="99">
        <v>5</v>
      </c>
      <c r="M15" s="99">
        <v>5</v>
      </c>
      <c r="N15" s="645" t="s">
        <v>67</v>
      </c>
      <c r="O15" s="645"/>
    </row>
    <row r="16" spans="1:15" s="105" customFormat="1" ht="40.35" customHeight="1">
      <c r="A16" s="103" t="s">
        <v>55</v>
      </c>
      <c r="B16" s="99">
        <v>299</v>
      </c>
      <c r="C16" s="99">
        <v>16</v>
      </c>
      <c r="D16" s="99">
        <v>78</v>
      </c>
      <c r="E16" s="99">
        <v>8</v>
      </c>
      <c r="F16" s="99">
        <v>47</v>
      </c>
      <c r="G16" s="100" t="s">
        <v>67</v>
      </c>
      <c r="H16" s="100"/>
      <c r="I16" s="99">
        <v>293</v>
      </c>
      <c r="J16" s="101">
        <v>82</v>
      </c>
      <c r="K16" s="102">
        <f t="shared" si="0"/>
        <v>217</v>
      </c>
      <c r="L16" s="104"/>
      <c r="M16" s="104"/>
      <c r="N16" s="645"/>
      <c r="O16" s="645"/>
    </row>
    <row r="17" spans="1:15" ht="40.35" customHeight="1">
      <c r="A17" s="98" t="s">
        <v>56</v>
      </c>
      <c r="B17" s="99">
        <v>299</v>
      </c>
      <c r="C17" s="99">
        <v>30</v>
      </c>
      <c r="D17" s="99">
        <v>40</v>
      </c>
      <c r="E17" s="99">
        <v>8</v>
      </c>
      <c r="F17" s="99">
        <v>30</v>
      </c>
      <c r="G17" s="100" t="s">
        <v>67</v>
      </c>
      <c r="H17" s="100">
        <v>4</v>
      </c>
      <c r="I17" s="99">
        <v>270</v>
      </c>
      <c r="J17" s="101">
        <v>44</v>
      </c>
      <c r="K17" s="102">
        <f>B17-J17</f>
        <v>255</v>
      </c>
      <c r="L17" s="99">
        <v>1</v>
      </c>
      <c r="M17" s="99">
        <v>1</v>
      </c>
      <c r="N17" s="645" t="s">
        <v>67</v>
      </c>
      <c r="O17" s="645"/>
    </row>
    <row r="18" spans="1:15" ht="40.35" customHeight="1">
      <c r="A18" s="98" t="s">
        <v>57</v>
      </c>
      <c r="B18" s="99">
        <v>299</v>
      </c>
      <c r="C18" s="99">
        <v>30</v>
      </c>
      <c r="D18" s="99">
        <v>13</v>
      </c>
      <c r="E18" s="99"/>
      <c r="F18" s="99">
        <v>30</v>
      </c>
      <c r="G18" s="100"/>
      <c r="H18" s="100"/>
      <c r="I18" s="99">
        <v>270</v>
      </c>
      <c r="J18" s="101">
        <v>13</v>
      </c>
      <c r="K18" s="102">
        <f>B18-J18</f>
        <v>286</v>
      </c>
      <c r="L18" s="99"/>
      <c r="M18" s="99"/>
      <c r="N18" s="622"/>
      <c r="O18" s="622"/>
    </row>
    <row r="19" spans="1:15" ht="40.35" customHeight="1">
      <c r="A19" s="98" t="s">
        <v>58</v>
      </c>
      <c r="B19" s="99">
        <v>114.51600000000001</v>
      </c>
      <c r="C19" s="99">
        <v>11</v>
      </c>
      <c r="D19" s="99">
        <v>0</v>
      </c>
      <c r="E19" s="99">
        <v>11</v>
      </c>
      <c r="F19" s="99">
        <v>0</v>
      </c>
      <c r="G19" s="100"/>
      <c r="H19" s="100"/>
      <c r="I19" s="99">
        <v>78</v>
      </c>
      <c r="J19" s="101">
        <f t="shared" ref="J19" si="1">D19+H19</f>
        <v>0</v>
      </c>
      <c r="K19" s="102">
        <f t="shared" si="0"/>
        <v>114.51600000000001</v>
      </c>
      <c r="L19" s="99"/>
      <c r="M19" s="99"/>
      <c r="N19" s="623"/>
      <c r="O19" s="623"/>
    </row>
    <row r="20" spans="1:15" ht="40.35" customHeight="1">
      <c r="N20" s="624"/>
      <c r="O20" s="624"/>
    </row>
  </sheetData>
  <mergeCells count="16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  <mergeCell ref="C1:E1"/>
  </mergeCells>
  <pageMargins left="0.7" right="0.7" top="0.75" bottom="0.75" header="0.3" footer="0.3"/>
  <pageSetup scale="23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5"/>
  <dimension ref="A1:K11"/>
  <sheetViews>
    <sheetView topLeftCell="B1" workbookViewId="0">
      <selection activeCell="A3" sqref="A3"/>
    </sheetView>
  </sheetViews>
  <sheetFormatPr defaultRowHeight="15"/>
  <cols>
    <col min="1" max="1" width="11.42578125" bestFit="1" customWidth="1"/>
    <col min="2" max="2" width="35.42578125" customWidth="1"/>
    <col min="3" max="3" width="19.5703125" bestFit="1" customWidth="1"/>
    <col min="4" max="4" width="13.5703125" bestFit="1" customWidth="1"/>
    <col min="5" max="5" width="12.140625" bestFit="1" customWidth="1"/>
    <col min="6" max="6" width="16.42578125" bestFit="1" customWidth="1"/>
    <col min="7" max="7" width="12.5703125" bestFit="1" customWidth="1"/>
    <col min="8" max="8" width="20.5703125" bestFit="1" customWidth="1"/>
    <col min="9" max="10" width="15.140625" bestFit="1" customWidth="1"/>
    <col min="11" max="11" width="27.140625" customWidth="1"/>
  </cols>
  <sheetData>
    <row r="1" spans="1:11">
      <c r="A1" s="62" t="s">
        <v>0</v>
      </c>
      <c r="B1" s="62" t="s">
        <v>5</v>
      </c>
      <c r="C1" s="62" t="s">
        <v>10</v>
      </c>
      <c r="D1" s="62" t="s">
        <v>7</v>
      </c>
      <c r="E1" s="62" t="s">
        <v>12</v>
      </c>
      <c r="F1" s="62" t="s">
        <v>16</v>
      </c>
      <c r="G1" s="62" t="s">
        <v>8</v>
      </c>
      <c r="H1" s="62" t="s">
        <v>13</v>
      </c>
      <c r="I1" s="62" t="s">
        <v>68</v>
      </c>
      <c r="J1" s="62" t="s">
        <v>69</v>
      </c>
      <c r="K1" s="62" t="s">
        <v>70</v>
      </c>
    </row>
    <row r="2" spans="1:11" ht="45">
      <c r="A2" s="51" t="s">
        <v>59</v>
      </c>
      <c r="B2" s="66" t="s">
        <v>71</v>
      </c>
      <c r="C2" s="210" t="s">
        <v>72</v>
      </c>
      <c r="D2" s="64">
        <v>45363</v>
      </c>
      <c r="E2" s="64">
        <v>46002</v>
      </c>
      <c r="F2" s="63" t="s">
        <v>63</v>
      </c>
      <c r="G2" s="63" t="s">
        <v>73</v>
      </c>
      <c r="H2" s="63" t="s">
        <v>74</v>
      </c>
      <c r="I2" s="63" t="s">
        <v>75</v>
      </c>
      <c r="J2" s="27" t="s">
        <v>76</v>
      </c>
      <c r="K2" s="140" t="s">
        <v>77</v>
      </c>
    </row>
    <row r="3" spans="1:11" ht="14.45" customHeight="1">
      <c r="C3" s="65"/>
      <c r="D3" s="65"/>
      <c r="E3" s="65"/>
      <c r="F3" s="65"/>
      <c r="G3" s="65"/>
      <c r="H3" s="65"/>
      <c r="I3" s="65"/>
      <c r="J3" s="29"/>
      <c r="K3" s="140" t="s">
        <v>78</v>
      </c>
    </row>
    <row r="4" spans="1:11">
      <c r="E4" s="61"/>
      <c r="J4" s="65"/>
      <c r="K4" s="140" t="s">
        <v>79</v>
      </c>
    </row>
    <row r="5" spans="1:11">
      <c r="K5" s="27" t="s">
        <v>80</v>
      </c>
    </row>
    <row r="6" spans="1:11">
      <c r="K6" s="27" t="s">
        <v>81</v>
      </c>
    </row>
    <row r="7" spans="1:11">
      <c r="B7" s="61"/>
      <c r="K7" s="140" t="s">
        <v>82</v>
      </c>
    </row>
    <row r="8" spans="1:11">
      <c r="K8" s="27" t="s">
        <v>83</v>
      </c>
    </row>
    <row r="9" spans="1:11">
      <c r="K9" s="27" t="s">
        <v>84</v>
      </c>
    </row>
    <row r="10" spans="1:11">
      <c r="K10" s="27" t="s">
        <v>85</v>
      </c>
    </row>
    <row r="11" spans="1:11">
      <c r="K11" s="29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22"/>
  <sheetViews>
    <sheetView zoomScale="65" zoomScaleNormal="9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C14" sqref="C14"/>
    </sheetView>
  </sheetViews>
  <sheetFormatPr defaultColWidth="9.42578125" defaultRowHeight="15.75"/>
  <cols>
    <col min="1" max="1" width="7.42578125" style="238" customWidth="1"/>
    <col min="2" max="2" width="23.42578125" style="214" bestFit="1" customWidth="1"/>
    <col min="3" max="3" width="15.42578125" style="214" bestFit="1" customWidth="1"/>
    <col min="4" max="4" width="21.42578125" style="214" customWidth="1"/>
    <col min="5" max="5" width="19.42578125" style="238" bestFit="1" customWidth="1"/>
    <col min="6" max="6" width="17" style="238" bestFit="1" customWidth="1"/>
    <col min="7" max="7" width="8.85546875" style="214" bestFit="1" customWidth="1"/>
    <col min="8" max="8" width="11.42578125" style="214" bestFit="1" customWidth="1"/>
    <col min="9" max="9" width="14.5703125" style="214" customWidth="1"/>
    <col min="10" max="10" width="10.42578125" style="214" customWidth="1"/>
    <col min="11" max="11" width="4.5703125" style="214" bestFit="1" customWidth="1"/>
    <col min="12" max="12" width="6.5703125" style="238" bestFit="1" customWidth="1"/>
    <col min="13" max="14" width="25.5703125" style="214" customWidth="1"/>
    <col min="15" max="15" width="11.5703125" style="214" bestFit="1" customWidth="1"/>
    <col min="16" max="16384" width="9.42578125" style="214"/>
  </cols>
  <sheetData>
    <row r="1" spans="1:15" ht="21" customHeight="1">
      <c r="A1" s="646" t="s">
        <v>86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252">
        <v>46184</v>
      </c>
    </row>
    <row r="2" spans="1:15" s="215" customFormat="1">
      <c r="A2" s="241" t="s">
        <v>87</v>
      </c>
      <c r="B2" s="242"/>
      <c r="C2" s="647" t="s">
        <v>72</v>
      </c>
      <c r="D2" s="647"/>
      <c r="E2" s="647"/>
      <c r="F2" s="647"/>
      <c r="G2" s="647"/>
      <c r="H2" s="647"/>
      <c r="I2" s="647"/>
      <c r="J2" s="647"/>
      <c r="K2" s="647"/>
      <c r="L2" s="647"/>
      <c r="M2" s="647"/>
    </row>
    <row r="3" spans="1:15" s="215" customFormat="1">
      <c r="A3" s="241" t="s">
        <v>88</v>
      </c>
      <c r="B3" s="242"/>
      <c r="C3" s="647" t="s">
        <v>89</v>
      </c>
      <c r="D3" s="647"/>
      <c r="E3" s="647"/>
      <c r="F3" s="647"/>
      <c r="G3" s="647"/>
      <c r="H3" s="647"/>
      <c r="I3" s="647"/>
      <c r="J3" s="647"/>
      <c r="K3" s="647"/>
      <c r="L3" s="647"/>
      <c r="M3" s="647"/>
    </row>
    <row r="4" spans="1:15" s="215" customFormat="1">
      <c r="A4" s="243" t="s">
        <v>90</v>
      </c>
      <c r="B4" s="243"/>
      <c r="C4" s="648" t="s">
        <v>91</v>
      </c>
      <c r="D4" s="648"/>
      <c r="E4" s="648"/>
      <c r="F4" s="648"/>
      <c r="G4" s="648"/>
      <c r="H4" s="648"/>
      <c r="I4" s="648"/>
      <c r="J4" s="648"/>
      <c r="K4" s="648"/>
      <c r="L4" s="648"/>
      <c r="M4" s="648"/>
      <c r="O4" s="217"/>
    </row>
    <row r="5" spans="1:15" s="215" customFormat="1" ht="63">
      <c r="A5" s="244" t="s">
        <v>92</v>
      </c>
      <c r="B5" s="244" t="s">
        <v>22</v>
      </c>
      <c r="C5" s="244" t="s">
        <v>93</v>
      </c>
      <c r="D5" s="244" t="s">
        <v>1088</v>
      </c>
      <c r="E5" s="244" t="s">
        <v>1089</v>
      </c>
      <c r="F5" s="244" t="s">
        <v>1090</v>
      </c>
      <c r="G5" s="244" t="s">
        <v>45</v>
      </c>
      <c r="H5" s="244" t="s">
        <v>94</v>
      </c>
      <c r="I5" s="244" t="s">
        <v>95</v>
      </c>
      <c r="J5" s="244" t="s">
        <v>96</v>
      </c>
      <c r="K5" s="244" t="s">
        <v>97</v>
      </c>
      <c r="L5" s="244" t="s">
        <v>98</v>
      </c>
      <c r="M5" s="244" t="s">
        <v>99</v>
      </c>
      <c r="O5" s="217"/>
    </row>
    <row r="6" spans="1:15" s="215" customFormat="1" ht="25.35" customHeight="1">
      <c r="A6" s="245">
        <v>1</v>
      </c>
      <c r="B6" s="218" t="s">
        <v>100</v>
      </c>
      <c r="C6" s="219">
        <v>114.51600000000001</v>
      </c>
      <c r="D6" s="220">
        <v>114.51600000000001</v>
      </c>
      <c r="E6" s="220">
        <v>0</v>
      </c>
      <c r="F6" s="219">
        <f>C6-D6</f>
        <v>0</v>
      </c>
      <c r="G6" s="220"/>
      <c r="H6" s="220"/>
      <c r="I6" s="221">
        <f t="shared" ref="I6:I19" si="0">D6+H6</f>
        <v>114.51600000000001</v>
      </c>
      <c r="J6" s="221">
        <f t="shared" ref="J6:J19" si="1">C6-I6</f>
        <v>0</v>
      </c>
      <c r="K6" s="220"/>
      <c r="L6" s="220"/>
      <c r="M6" s="246"/>
      <c r="N6" s="222"/>
      <c r="O6" s="217"/>
    </row>
    <row r="7" spans="1:15" s="215" customFormat="1" ht="25.35" customHeight="1">
      <c r="A7" s="245">
        <v>2</v>
      </c>
      <c r="B7" s="218" t="s">
        <v>101</v>
      </c>
      <c r="C7" s="219">
        <v>114.51600000000001</v>
      </c>
      <c r="D7" s="219">
        <f>'Survey Anx'!F40</f>
        <v>107.49199999999998</v>
      </c>
      <c r="E7" s="220">
        <v>0</v>
      </c>
      <c r="F7" s="219">
        <f t="shared" ref="F7:F9" si="2">C7-D7</f>
        <v>7.0240000000000293</v>
      </c>
      <c r="G7" s="220"/>
      <c r="H7" s="220"/>
      <c r="I7" s="221">
        <f t="shared" si="0"/>
        <v>107.49199999999998</v>
      </c>
      <c r="J7" s="221">
        <f>C7-I7</f>
        <v>7.0240000000000293</v>
      </c>
      <c r="K7" s="220"/>
      <c r="L7" s="220"/>
      <c r="M7" s="247"/>
      <c r="N7" s="222"/>
      <c r="O7" s="217"/>
    </row>
    <row r="8" spans="1:15" s="228" customFormat="1" ht="25.35" customHeight="1">
      <c r="A8" s="248">
        <v>3</v>
      </c>
      <c r="B8" s="223" t="s">
        <v>102</v>
      </c>
      <c r="C8" s="224">
        <v>114.51600000000001</v>
      </c>
      <c r="D8" s="224">
        <f>'Survey Anx'!C40-'Survey Anx'!C39</f>
        <v>107.58699999999999</v>
      </c>
      <c r="E8" s="239">
        <v>0</v>
      </c>
      <c r="F8" s="219">
        <f t="shared" si="2"/>
        <v>6.9290000000000163</v>
      </c>
      <c r="G8" s="224"/>
      <c r="H8" s="225"/>
      <c r="I8" s="226">
        <f t="shared" si="0"/>
        <v>107.58699999999999</v>
      </c>
      <c r="J8" s="226">
        <f t="shared" si="1"/>
        <v>6.9290000000000163</v>
      </c>
      <c r="K8" s="225"/>
      <c r="L8" s="225"/>
      <c r="M8" s="246"/>
      <c r="N8" s="227"/>
      <c r="O8" s="227"/>
    </row>
    <row r="9" spans="1:15" s="215" customFormat="1" ht="25.35" customHeight="1">
      <c r="A9" s="245">
        <v>4</v>
      </c>
      <c r="B9" s="218" t="s">
        <v>103</v>
      </c>
      <c r="C9" s="219">
        <v>114.51600000000001</v>
      </c>
      <c r="D9" s="219">
        <f>'Survey Anx'!I40</f>
        <v>93.542000000000016</v>
      </c>
      <c r="E9" s="220">
        <v>0</v>
      </c>
      <c r="F9" s="219">
        <f t="shared" si="2"/>
        <v>20.97399999999999</v>
      </c>
      <c r="G9" s="220"/>
      <c r="H9" s="220"/>
      <c r="I9" s="221">
        <f t="shared" si="0"/>
        <v>93.542000000000016</v>
      </c>
      <c r="J9" s="221">
        <f t="shared" si="1"/>
        <v>20.97399999999999</v>
      </c>
      <c r="K9" s="220"/>
      <c r="L9" s="220"/>
      <c r="M9" s="249"/>
      <c r="O9" s="217"/>
    </row>
    <row r="10" spans="1:15" s="215" customFormat="1" ht="25.35" customHeight="1">
      <c r="A10" s="245">
        <v>5</v>
      </c>
      <c r="B10" s="229" t="s">
        <v>104</v>
      </c>
      <c r="C10" s="220">
        <v>30</v>
      </c>
      <c r="D10" s="220">
        <v>30</v>
      </c>
      <c r="E10" s="220">
        <v>0</v>
      </c>
      <c r="F10" s="220">
        <f>C10-D10</f>
        <v>0</v>
      </c>
      <c r="G10" s="220"/>
      <c r="H10" s="220"/>
      <c r="I10" s="230">
        <v>30</v>
      </c>
      <c r="J10" s="230">
        <f t="shared" si="1"/>
        <v>0</v>
      </c>
      <c r="K10" s="220"/>
      <c r="L10" s="220"/>
      <c r="M10" s="247"/>
    </row>
    <row r="11" spans="1:15" s="215" customFormat="1" ht="25.35" customHeight="1">
      <c r="A11" s="245">
        <v>6</v>
      </c>
      <c r="B11" s="218" t="s">
        <v>105</v>
      </c>
      <c r="C11" s="220">
        <v>293</v>
      </c>
      <c r="D11" s="220">
        <v>88</v>
      </c>
      <c r="E11" s="220">
        <v>16</v>
      </c>
      <c r="F11" s="220">
        <v>34</v>
      </c>
      <c r="G11" s="220"/>
      <c r="H11" s="220"/>
      <c r="I11" s="230">
        <v>92</v>
      </c>
      <c r="J11" s="230">
        <f t="shared" si="1"/>
        <v>201</v>
      </c>
      <c r="K11" s="220"/>
      <c r="L11" s="220"/>
      <c r="M11" s="250"/>
      <c r="N11" s="217"/>
    </row>
    <row r="12" spans="1:15" s="215" customFormat="1" ht="25.35" customHeight="1">
      <c r="A12" s="245">
        <v>7</v>
      </c>
      <c r="B12" s="218" t="s">
        <v>106</v>
      </c>
      <c r="C12" s="220">
        <v>293</v>
      </c>
      <c r="D12" s="220">
        <v>85</v>
      </c>
      <c r="E12" s="220">
        <v>16</v>
      </c>
      <c r="F12" s="220">
        <v>42</v>
      </c>
      <c r="G12" s="220">
        <v>1</v>
      </c>
      <c r="H12" s="220">
        <v>4</v>
      </c>
      <c r="I12" s="230">
        <v>89</v>
      </c>
      <c r="J12" s="230">
        <f t="shared" si="1"/>
        <v>204</v>
      </c>
      <c r="K12" s="220">
        <v>5</v>
      </c>
      <c r="L12" s="220">
        <v>5</v>
      </c>
      <c r="M12" s="253"/>
    </row>
    <row r="13" spans="1:15" s="228" customFormat="1" ht="25.35" customHeight="1">
      <c r="A13" s="248">
        <v>8</v>
      </c>
      <c r="B13" s="223" t="s">
        <v>107</v>
      </c>
      <c r="C13" s="225">
        <v>293</v>
      </c>
      <c r="D13" s="225">
        <v>78</v>
      </c>
      <c r="E13" s="225">
        <v>16</v>
      </c>
      <c r="F13" s="225">
        <v>30</v>
      </c>
      <c r="G13" s="225"/>
      <c r="H13" s="220"/>
      <c r="I13" s="231">
        <v>80</v>
      </c>
      <c r="J13" s="231">
        <f t="shared" si="1"/>
        <v>213</v>
      </c>
      <c r="K13" s="225"/>
      <c r="L13" s="225"/>
      <c r="M13" s="253"/>
    </row>
    <row r="14" spans="1:15" s="215" customFormat="1" ht="25.35" customHeight="1">
      <c r="A14" s="245">
        <v>9</v>
      </c>
      <c r="B14" s="218" t="s">
        <v>108</v>
      </c>
      <c r="C14" s="220">
        <v>293</v>
      </c>
      <c r="D14" s="220">
        <v>40</v>
      </c>
      <c r="E14" s="220">
        <v>30</v>
      </c>
      <c r="F14" s="220">
        <v>18</v>
      </c>
      <c r="G14" s="220"/>
      <c r="H14" s="220">
        <v>4</v>
      </c>
      <c r="I14" s="230">
        <v>44</v>
      </c>
      <c r="J14" s="230">
        <f t="shared" si="1"/>
        <v>249</v>
      </c>
      <c r="K14" s="220">
        <v>2</v>
      </c>
      <c r="L14" s="220">
        <v>2</v>
      </c>
      <c r="M14" s="253"/>
    </row>
    <row r="15" spans="1:15" s="215" customFormat="1" ht="25.35" customHeight="1">
      <c r="A15" s="245">
        <v>10</v>
      </c>
      <c r="B15" s="218" t="s">
        <v>109</v>
      </c>
      <c r="C15" s="220">
        <v>293</v>
      </c>
      <c r="D15" s="220">
        <v>13</v>
      </c>
      <c r="E15" s="220">
        <v>30</v>
      </c>
      <c r="F15" s="220">
        <v>18</v>
      </c>
      <c r="G15" s="220"/>
      <c r="H15" s="220"/>
      <c r="I15" s="230">
        <v>13</v>
      </c>
      <c r="J15" s="230">
        <f t="shared" si="1"/>
        <v>280</v>
      </c>
      <c r="K15" s="220"/>
      <c r="L15" s="220"/>
      <c r="M15" s="247"/>
    </row>
    <row r="16" spans="1:15" s="215" customFormat="1" ht="25.35" customHeight="1">
      <c r="A16" s="245">
        <v>11</v>
      </c>
      <c r="B16" s="218" t="s">
        <v>110</v>
      </c>
      <c r="C16" s="219">
        <v>114.51600000000001</v>
      </c>
      <c r="D16" s="219">
        <v>0</v>
      </c>
      <c r="E16" s="220">
        <v>11</v>
      </c>
      <c r="F16" s="220">
        <v>0</v>
      </c>
      <c r="G16" s="220"/>
      <c r="H16" s="220"/>
      <c r="I16" s="221">
        <f t="shared" si="0"/>
        <v>0</v>
      </c>
      <c r="J16" s="221">
        <f t="shared" si="1"/>
        <v>114.51600000000001</v>
      </c>
      <c r="K16" s="219"/>
      <c r="L16" s="220"/>
      <c r="M16" s="247"/>
    </row>
    <row r="17" spans="1:15" s="215" customFormat="1" ht="25.35" customHeight="1">
      <c r="A17" s="245" t="s">
        <v>111</v>
      </c>
      <c r="B17" s="218" t="s">
        <v>112</v>
      </c>
      <c r="C17" s="219">
        <v>114.51600000000001</v>
      </c>
      <c r="D17" s="219">
        <v>0</v>
      </c>
      <c r="E17" s="220">
        <v>11</v>
      </c>
      <c r="F17" s="240">
        <v>0</v>
      </c>
      <c r="G17" s="220"/>
      <c r="H17" s="220"/>
      <c r="I17" s="221">
        <f t="shared" si="0"/>
        <v>0</v>
      </c>
      <c r="J17" s="221">
        <f t="shared" si="1"/>
        <v>114.51600000000001</v>
      </c>
      <c r="K17" s="232"/>
      <c r="L17" s="220"/>
      <c r="M17" s="247"/>
      <c r="N17" s="233"/>
      <c r="O17" s="222"/>
    </row>
    <row r="18" spans="1:15" s="215" customFormat="1" ht="25.35" customHeight="1">
      <c r="A18" s="245" t="s">
        <v>113</v>
      </c>
      <c r="B18" s="218" t="s">
        <v>114</v>
      </c>
      <c r="C18" s="219">
        <v>114.51600000000001</v>
      </c>
      <c r="D18" s="219">
        <v>0</v>
      </c>
      <c r="E18" s="220">
        <v>11</v>
      </c>
      <c r="F18" s="240">
        <v>0</v>
      </c>
      <c r="G18" s="220"/>
      <c r="H18" s="219"/>
      <c r="I18" s="221">
        <f t="shared" si="0"/>
        <v>0</v>
      </c>
      <c r="J18" s="221">
        <f t="shared" si="1"/>
        <v>114.51600000000001</v>
      </c>
      <c r="K18" s="232"/>
      <c r="L18" s="220"/>
      <c r="M18" s="247"/>
      <c r="N18" s="234"/>
      <c r="O18" s="235"/>
    </row>
    <row r="19" spans="1:15" s="215" customFormat="1" ht="25.35" customHeight="1">
      <c r="A19" s="245">
        <v>12</v>
      </c>
      <c r="B19" s="218" t="s">
        <v>115</v>
      </c>
      <c r="C19" s="219">
        <v>114.51600000000001</v>
      </c>
      <c r="D19" s="219">
        <v>0</v>
      </c>
      <c r="E19" s="220">
        <v>20</v>
      </c>
      <c r="F19" s="240">
        <v>0</v>
      </c>
      <c r="G19" s="220"/>
      <c r="H19" s="232"/>
      <c r="I19" s="221">
        <f t="shared" si="0"/>
        <v>0</v>
      </c>
      <c r="J19" s="221">
        <f t="shared" si="1"/>
        <v>114.51600000000001</v>
      </c>
      <c r="K19" s="232"/>
      <c r="L19" s="220"/>
      <c r="M19" s="251"/>
    </row>
    <row r="20" spans="1:15" s="215" customFormat="1">
      <c r="G20" s="233"/>
      <c r="H20" s="233"/>
      <c r="I20" s="233"/>
      <c r="J20" s="233"/>
      <c r="L20" s="236"/>
      <c r="M20" s="236"/>
    </row>
    <row r="21" spans="1:15" s="215" customFormat="1">
      <c r="D21" s="235"/>
      <c r="K21" s="233"/>
      <c r="L21" s="236"/>
      <c r="M21" s="237"/>
    </row>
    <row r="22" spans="1:15" s="215" customFormat="1">
      <c r="G22" s="216"/>
      <c r="L22" s="236"/>
      <c r="M22" s="236"/>
    </row>
  </sheetData>
  <mergeCells count="4">
    <mergeCell ref="A1:L1"/>
    <mergeCell ref="C2:M2"/>
    <mergeCell ref="C3:M3"/>
    <mergeCell ref="C4:M4"/>
  </mergeCells>
  <pageMargins left="0.70866141732283472" right="0.70866141732283472" top="0.74803149606299213" bottom="0.74803149606299213" header="0.31496062992125984" footer="0.31496062992125984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33"/>
  <sheetViews>
    <sheetView zoomScaleNormal="100" zoomScaleSheetLayoutView="100" workbookViewId="0">
      <selection activeCell="B22" sqref="B22:G22"/>
    </sheetView>
  </sheetViews>
  <sheetFormatPr defaultRowHeight="15"/>
  <cols>
    <col min="1" max="1" width="3.42578125" customWidth="1"/>
    <col min="2" max="2" width="11.5703125" customWidth="1"/>
    <col min="3" max="3" width="15.5703125" customWidth="1"/>
    <col min="4" max="4" width="14.42578125" customWidth="1"/>
    <col min="5" max="5" width="17.5703125" customWidth="1"/>
    <col min="6" max="6" width="15.42578125" customWidth="1"/>
    <col min="7" max="7" width="19.42578125" customWidth="1"/>
    <col min="258" max="258" width="11.5703125" customWidth="1"/>
    <col min="259" max="259" width="15.5703125" customWidth="1"/>
    <col min="260" max="260" width="14.42578125" customWidth="1"/>
    <col min="261" max="261" width="16.5703125" customWidth="1"/>
    <col min="263" max="263" width="25.5703125" customWidth="1"/>
    <col min="514" max="514" width="11.5703125" customWidth="1"/>
    <col min="515" max="515" width="15.5703125" customWidth="1"/>
    <col min="516" max="516" width="14.42578125" customWidth="1"/>
    <col min="517" max="517" width="16.5703125" customWidth="1"/>
    <col min="519" max="519" width="25.5703125" customWidth="1"/>
    <col min="770" max="770" width="11.5703125" customWidth="1"/>
    <col min="771" max="771" width="15.5703125" customWidth="1"/>
    <col min="772" max="772" width="14.42578125" customWidth="1"/>
    <col min="773" max="773" width="16.5703125" customWidth="1"/>
    <col min="775" max="775" width="25.5703125" customWidth="1"/>
    <col min="1026" max="1026" width="11.5703125" customWidth="1"/>
    <col min="1027" max="1027" width="15.5703125" customWidth="1"/>
    <col min="1028" max="1028" width="14.42578125" customWidth="1"/>
    <col min="1029" max="1029" width="16.5703125" customWidth="1"/>
    <col min="1031" max="1031" width="25.5703125" customWidth="1"/>
    <col min="1282" max="1282" width="11.5703125" customWidth="1"/>
    <col min="1283" max="1283" width="15.5703125" customWidth="1"/>
    <col min="1284" max="1284" width="14.42578125" customWidth="1"/>
    <col min="1285" max="1285" width="16.5703125" customWidth="1"/>
    <col min="1287" max="1287" width="25.5703125" customWidth="1"/>
    <col min="1538" max="1538" width="11.5703125" customWidth="1"/>
    <col min="1539" max="1539" width="15.5703125" customWidth="1"/>
    <col min="1540" max="1540" width="14.42578125" customWidth="1"/>
    <col min="1541" max="1541" width="16.5703125" customWidth="1"/>
    <col min="1543" max="1543" width="25.5703125" customWidth="1"/>
    <col min="1794" max="1794" width="11.5703125" customWidth="1"/>
    <col min="1795" max="1795" width="15.5703125" customWidth="1"/>
    <col min="1796" max="1796" width="14.42578125" customWidth="1"/>
    <col min="1797" max="1797" width="16.5703125" customWidth="1"/>
    <col min="1799" max="1799" width="25.5703125" customWidth="1"/>
    <col min="2050" max="2050" width="11.5703125" customWidth="1"/>
    <col min="2051" max="2051" width="15.5703125" customWidth="1"/>
    <col min="2052" max="2052" width="14.42578125" customWidth="1"/>
    <col min="2053" max="2053" width="16.5703125" customWidth="1"/>
    <col min="2055" max="2055" width="25.5703125" customWidth="1"/>
    <col min="2306" max="2306" width="11.5703125" customWidth="1"/>
    <col min="2307" max="2307" width="15.5703125" customWidth="1"/>
    <col min="2308" max="2308" width="14.42578125" customWidth="1"/>
    <col min="2309" max="2309" width="16.5703125" customWidth="1"/>
    <col min="2311" max="2311" width="25.5703125" customWidth="1"/>
    <col min="2562" max="2562" width="11.5703125" customWidth="1"/>
    <col min="2563" max="2563" width="15.5703125" customWidth="1"/>
    <col min="2564" max="2564" width="14.42578125" customWidth="1"/>
    <col min="2565" max="2565" width="16.5703125" customWidth="1"/>
    <col min="2567" max="2567" width="25.5703125" customWidth="1"/>
    <col min="2818" max="2818" width="11.5703125" customWidth="1"/>
    <col min="2819" max="2819" width="15.5703125" customWidth="1"/>
    <col min="2820" max="2820" width="14.42578125" customWidth="1"/>
    <col min="2821" max="2821" width="16.5703125" customWidth="1"/>
    <col min="2823" max="2823" width="25.5703125" customWidth="1"/>
    <col min="3074" max="3074" width="11.5703125" customWidth="1"/>
    <col min="3075" max="3075" width="15.5703125" customWidth="1"/>
    <col min="3076" max="3076" width="14.42578125" customWidth="1"/>
    <col min="3077" max="3077" width="16.5703125" customWidth="1"/>
    <col min="3079" max="3079" width="25.5703125" customWidth="1"/>
    <col min="3330" max="3330" width="11.5703125" customWidth="1"/>
    <col min="3331" max="3331" width="15.5703125" customWidth="1"/>
    <col min="3332" max="3332" width="14.42578125" customWidth="1"/>
    <col min="3333" max="3333" width="16.5703125" customWidth="1"/>
    <col min="3335" max="3335" width="25.5703125" customWidth="1"/>
    <col min="3586" max="3586" width="11.5703125" customWidth="1"/>
    <col min="3587" max="3587" width="15.5703125" customWidth="1"/>
    <col min="3588" max="3588" width="14.42578125" customWidth="1"/>
    <col min="3589" max="3589" width="16.5703125" customWidth="1"/>
    <col min="3591" max="3591" width="25.5703125" customWidth="1"/>
    <col min="3842" max="3842" width="11.5703125" customWidth="1"/>
    <col min="3843" max="3843" width="15.5703125" customWidth="1"/>
    <col min="3844" max="3844" width="14.42578125" customWidth="1"/>
    <col min="3845" max="3845" width="16.5703125" customWidth="1"/>
    <col min="3847" max="3847" width="25.5703125" customWidth="1"/>
    <col min="4098" max="4098" width="11.5703125" customWidth="1"/>
    <col min="4099" max="4099" width="15.5703125" customWidth="1"/>
    <col min="4100" max="4100" width="14.42578125" customWidth="1"/>
    <col min="4101" max="4101" width="16.5703125" customWidth="1"/>
    <col min="4103" max="4103" width="25.5703125" customWidth="1"/>
    <col min="4354" max="4354" width="11.5703125" customWidth="1"/>
    <col min="4355" max="4355" width="15.5703125" customWidth="1"/>
    <col min="4356" max="4356" width="14.42578125" customWidth="1"/>
    <col min="4357" max="4357" width="16.5703125" customWidth="1"/>
    <col min="4359" max="4359" width="25.5703125" customWidth="1"/>
    <col min="4610" max="4610" width="11.5703125" customWidth="1"/>
    <col min="4611" max="4611" width="15.5703125" customWidth="1"/>
    <col min="4612" max="4612" width="14.42578125" customWidth="1"/>
    <col min="4613" max="4613" width="16.5703125" customWidth="1"/>
    <col min="4615" max="4615" width="25.5703125" customWidth="1"/>
    <col min="4866" max="4866" width="11.5703125" customWidth="1"/>
    <col min="4867" max="4867" width="15.5703125" customWidth="1"/>
    <col min="4868" max="4868" width="14.42578125" customWidth="1"/>
    <col min="4869" max="4869" width="16.5703125" customWidth="1"/>
    <col min="4871" max="4871" width="25.5703125" customWidth="1"/>
    <col min="5122" max="5122" width="11.5703125" customWidth="1"/>
    <col min="5123" max="5123" width="15.5703125" customWidth="1"/>
    <col min="5124" max="5124" width="14.42578125" customWidth="1"/>
    <col min="5125" max="5125" width="16.5703125" customWidth="1"/>
    <col min="5127" max="5127" width="25.5703125" customWidth="1"/>
    <col min="5378" max="5378" width="11.5703125" customWidth="1"/>
    <col min="5379" max="5379" width="15.5703125" customWidth="1"/>
    <col min="5380" max="5380" width="14.42578125" customWidth="1"/>
    <col min="5381" max="5381" width="16.5703125" customWidth="1"/>
    <col min="5383" max="5383" width="25.5703125" customWidth="1"/>
    <col min="5634" max="5634" width="11.5703125" customWidth="1"/>
    <col min="5635" max="5635" width="15.5703125" customWidth="1"/>
    <col min="5636" max="5636" width="14.42578125" customWidth="1"/>
    <col min="5637" max="5637" width="16.5703125" customWidth="1"/>
    <col min="5639" max="5639" width="25.5703125" customWidth="1"/>
    <col min="5890" max="5890" width="11.5703125" customWidth="1"/>
    <col min="5891" max="5891" width="15.5703125" customWidth="1"/>
    <col min="5892" max="5892" width="14.42578125" customWidth="1"/>
    <col min="5893" max="5893" width="16.5703125" customWidth="1"/>
    <col min="5895" max="5895" width="25.5703125" customWidth="1"/>
    <col min="6146" max="6146" width="11.5703125" customWidth="1"/>
    <col min="6147" max="6147" width="15.5703125" customWidth="1"/>
    <col min="6148" max="6148" width="14.42578125" customWidth="1"/>
    <col min="6149" max="6149" width="16.5703125" customWidth="1"/>
    <col min="6151" max="6151" width="25.5703125" customWidth="1"/>
    <col min="6402" max="6402" width="11.5703125" customWidth="1"/>
    <col min="6403" max="6403" width="15.5703125" customWidth="1"/>
    <col min="6404" max="6404" width="14.42578125" customWidth="1"/>
    <col min="6405" max="6405" width="16.5703125" customWidth="1"/>
    <col min="6407" max="6407" width="25.5703125" customWidth="1"/>
    <col min="6658" max="6658" width="11.5703125" customWidth="1"/>
    <col min="6659" max="6659" width="15.5703125" customWidth="1"/>
    <col min="6660" max="6660" width="14.42578125" customWidth="1"/>
    <col min="6661" max="6661" width="16.5703125" customWidth="1"/>
    <col min="6663" max="6663" width="25.5703125" customWidth="1"/>
    <col min="6914" max="6914" width="11.5703125" customWidth="1"/>
    <col min="6915" max="6915" width="15.5703125" customWidth="1"/>
    <col min="6916" max="6916" width="14.42578125" customWidth="1"/>
    <col min="6917" max="6917" width="16.5703125" customWidth="1"/>
    <col min="6919" max="6919" width="25.5703125" customWidth="1"/>
    <col min="7170" max="7170" width="11.5703125" customWidth="1"/>
    <col min="7171" max="7171" width="15.5703125" customWidth="1"/>
    <col min="7172" max="7172" width="14.42578125" customWidth="1"/>
    <col min="7173" max="7173" width="16.5703125" customWidth="1"/>
    <col min="7175" max="7175" width="25.5703125" customWidth="1"/>
    <col min="7426" max="7426" width="11.5703125" customWidth="1"/>
    <col min="7427" max="7427" width="15.5703125" customWidth="1"/>
    <col min="7428" max="7428" width="14.42578125" customWidth="1"/>
    <col min="7429" max="7429" width="16.5703125" customWidth="1"/>
    <col min="7431" max="7431" width="25.5703125" customWidth="1"/>
    <col min="7682" max="7682" width="11.5703125" customWidth="1"/>
    <col min="7683" max="7683" width="15.5703125" customWidth="1"/>
    <col min="7684" max="7684" width="14.42578125" customWidth="1"/>
    <col min="7685" max="7685" width="16.5703125" customWidth="1"/>
    <col min="7687" max="7687" width="25.5703125" customWidth="1"/>
    <col min="7938" max="7938" width="11.5703125" customWidth="1"/>
    <col min="7939" max="7939" width="15.5703125" customWidth="1"/>
    <col min="7940" max="7940" width="14.42578125" customWidth="1"/>
    <col min="7941" max="7941" width="16.5703125" customWidth="1"/>
    <col min="7943" max="7943" width="25.5703125" customWidth="1"/>
    <col min="8194" max="8194" width="11.5703125" customWidth="1"/>
    <col min="8195" max="8195" width="15.5703125" customWidth="1"/>
    <col min="8196" max="8196" width="14.42578125" customWidth="1"/>
    <col min="8197" max="8197" width="16.5703125" customWidth="1"/>
    <col min="8199" max="8199" width="25.5703125" customWidth="1"/>
    <col min="8450" max="8450" width="11.5703125" customWidth="1"/>
    <col min="8451" max="8451" width="15.5703125" customWidth="1"/>
    <col min="8452" max="8452" width="14.42578125" customWidth="1"/>
    <col min="8453" max="8453" width="16.5703125" customWidth="1"/>
    <col min="8455" max="8455" width="25.5703125" customWidth="1"/>
    <col min="8706" max="8706" width="11.5703125" customWidth="1"/>
    <col min="8707" max="8707" width="15.5703125" customWidth="1"/>
    <col min="8708" max="8708" width="14.42578125" customWidth="1"/>
    <col min="8709" max="8709" width="16.5703125" customWidth="1"/>
    <col min="8711" max="8711" width="25.5703125" customWidth="1"/>
    <col min="8962" max="8962" width="11.5703125" customWidth="1"/>
    <col min="8963" max="8963" width="15.5703125" customWidth="1"/>
    <col min="8964" max="8964" width="14.42578125" customWidth="1"/>
    <col min="8965" max="8965" width="16.5703125" customWidth="1"/>
    <col min="8967" max="8967" width="25.5703125" customWidth="1"/>
    <col min="9218" max="9218" width="11.5703125" customWidth="1"/>
    <col min="9219" max="9219" width="15.5703125" customWidth="1"/>
    <col min="9220" max="9220" width="14.42578125" customWidth="1"/>
    <col min="9221" max="9221" width="16.5703125" customWidth="1"/>
    <col min="9223" max="9223" width="25.5703125" customWidth="1"/>
    <col min="9474" max="9474" width="11.5703125" customWidth="1"/>
    <col min="9475" max="9475" width="15.5703125" customWidth="1"/>
    <col min="9476" max="9476" width="14.42578125" customWidth="1"/>
    <col min="9477" max="9477" width="16.5703125" customWidth="1"/>
    <col min="9479" max="9479" width="25.5703125" customWidth="1"/>
    <col min="9730" max="9730" width="11.5703125" customWidth="1"/>
    <col min="9731" max="9731" width="15.5703125" customWidth="1"/>
    <col min="9732" max="9732" width="14.42578125" customWidth="1"/>
    <col min="9733" max="9733" width="16.5703125" customWidth="1"/>
    <col min="9735" max="9735" width="25.5703125" customWidth="1"/>
    <col min="9986" max="9986" width="11.5703125" customWidth="1"/>
    <col min="9987" max="9987" width="15.5703125" customWidth="1"/>
    <col min="9988" max="9988" width="14.42578125" customWidth="1"/>
    <col min="9989" max="9989" width="16.5703125" customWidth="1"/>
    <col min="9991" max="9991" width="25.5703125" customWidth="1"/>
    <col min="10242" max="10242" width="11.5703125" customWidth="1"/>
    <col min="10243" max="10243" width="15.5703125" customWidth="1"/>
    <col min="10244" max="10244" width="14.42578125" customWidth="1"/>
    <col min="10245" max="10245" width="16.5703125" customWidth="1"/>
    <col min="10247" max="10247" width="25.5703125" customWidth="1"/>
    <col min="10498" max="10498" width="11.5703125" customWidth="1"/>
    <col min="10499" max="10499" width="15.5703125" customWidth="1"/>
    <col min="10500" max="10500" width="14.42578125" customWidth="1"/>
    <col min="10501" max="10501" width="16.5703125" customWidth="1"/>
    <col min="10503" max="10503" width="25.5703125" customWidth="1"/>
    <col min="10754" max="10754" width="11.5703125" customWidth="1"/>
    <col min="10755" max="10755" width="15.5703125" customWidth="1"/>
    <col min="10756" max="10756" width="14.42578125" customWidth="1"/>
    <col min="10757" max="10757" width="16.5703125" customWidth="1"/>
    <col min="10759" max="10759" width="25.5703125" customWidth="1"/>
    <col min="11010" max="11010" width="11.5703125" customWidth="1"/>
    <col min="11011" max="11011" width="15.5703125" customWidth="1"/>
    <col min="11012" max="11012" width="14.42578125" customWidth="1"/>
    <col min="11013" max="11013" width="16.5703125" customWidth="1"/>
    <col min="11015" max="11015" width="25.5703125" customWidth="1"/>
    <col min="11266" max="11266" width="11.5703125" customWidth="1"/>
    <col min="11267" max="11267" width="15.5703125" customWidth="1"/>
    <col min="11268" max="11268" width="14.42578125" customWidth="1"/>
    <col min="11269" max="11269" width="16.5703125" customWidth="1"/>
    <col min="11271" max="11271" width="25.5703125" customWidth="1"/>
    <col min="11522" max="11522" width="11.5703125" customWidth="1"/>
    <col min="11523" max="11523" width="15.5703125" customWidth="1"/>
    <col min="11524" max="11524" width="14.42578125" customWidth="1"/>
    <col min="11525" max="11525" width="16.5703125" customWidth="1"/>
    <col min="11527" max="11527" width="25.5703125" customWidth="1"/>
    <col min="11778" max="11778" width="11.5703125" customWidth="1"/>
    <col min="11779" max="11779" width="15.5703125" customWidth="1"/>
    <col min="11780" max="11780" width="14.42578125" customWidth="1"/>
    <col min="11781" max="11781" width="16.5703125" customWidth="1"/>
    <col min="11783" max="11783" width="25.5703125" customWidth="1"/>
    <col min="12034" max="12034" width="11.5703125" customWidth="1"/>
    <col min="12035" max="12035" width="15.5703125" customWidth="1"/>
    <col min="12036" max="12036" width="14.42578125" customWidth="1"/>
    <col min="12037" max="12037" width="16.5703125" customWidth="1"/>
    <col min="12039" max="12039" width="25.5703125" customWidth="1"/>
    <col min="12290" max="12290" width="11.5703125" customWidth="1"/>
    <col min="12291" max="12291" width="15.5703125" customWidth="1"/>
    <col min="12292" max="12292" width="14.42578125" customWidth="1"/>
    <col min="12293" max="12293" width="16.5703125" customWidth="1"/>
    <col min="12295" max="12295" width="25.5703125" customWidth="1"/>
    <col min="12546" max="12546" width="11.5703125" customWidth="1"/>
    <col min="12547" max="12547" width="15.5703125" customWidth="1"/>
    <col min="12548" max="12548" width="14.42578125" customWidth="1"/>
    <col min="12549" max="12549" width="16.5703125" customWidth="1"/>
    <col min="12551" max="12551" width="25.5703125" customWidth="1"/>
    <col min="12802" max="12802" width="11.5703125" customWidth="1"/>
    <col min="12803" max="12803" width="15.5703125" customWidth="1"/>
    <col min="12804" max="12804" width="14.42578125" customWidth="1"/>
    <col min="12805" max="12805" width="16.5703125" customWidth="1"/>
    <col min="12807" max="12807" width="25.5703125" customWidth="1"/>
    <col min="13058" max="13058" width="11.5703125" customWidth="1"/>
    <col min="13059" max="13059" width="15.5703125" customWidth="1"/>
    <col min="13060" max="13060" width="14.42578125" customWidth="1"/>
    <col min="13061" max="13061" width="16.5703125" customWidth="1"/>
    <col min="13063" max="13063" width="25.5703125" customWidth="1"/>
    <col min="13314" max="13314" width="11.5703125" customWidth="1"/>
    <col min="13315" max="13315" width="15.5703125" customWidth="1"/>
    <col min="13316" max="13316" width="14.42578125" customWidth="1"/>
    <col min="13317" max="13317" width="16.5703125" customWidth="1"/>
    <col min="13319" max="13319" width="25.5703125" customWidth="1"/>
    <col min="13570" max="13570" width="11.5703125" customWidth="1"/>
    <col min="13571" max="13571" width="15.5703125" customWidth="1"/>
    <col min="13572" max="13572" width="14.42578125" customWidth="1"/>
    <col min="13573" max="13573" width="16.5703125" customWidth="1"/>
    <col min="13575" max="13575" width="25.5703125" customWidth="1"/>
    <col min="13826" max="13826" width="11.5703125" customWidth="1"/>
    <col min="13827" max="13827" width="15.5703125" customWidth="1"/>
    <col min="13828" max="13828" width="14.42578125" customWidth="1"/>
    <col min="13829" max="13829" width="16.5703125" customWidth="1"/>
    <col min="13831" max="13831" width="25.5703125" customWidth="1"/>
    <col min="14082" max="14082" width="11.5703125" customWidth="1"/>
    <col min="14083" max="14083" width="15.5703125" customWidth="1"/>
    <col min="14084" max="14084" width="14.42578125" customWidth="1"/>
    <col min="14085" max="14085" width="16.5703125" customWidth="1"/>
    <col min="14087" max="14087" width="25.5703125" customWidth="1"/>
    <col min="14338" max="14338" width="11.5703125" customWidth="1"/>
    <col min="14339" max="14339" width="15.5703125" customWidth="1"/>
    <col min="14340" max="14340" width="14.42578125" customWidth="1"/>
    <col min="14341" max="14341" width="16.5703125" customWidth="1"/>
    <col min="14343" max="14343" width="25.5703125" customWidth="1"/>
    <col min="14594" max="14594" width="11.5703125" customWidth="1"/>
    <col min="14595" max="14595" width="15.5703125" customWidth="1"/>
    <col min="14596" max="14596" width="14.42578125" customWidth="1"/>
    <col min="14597" max="14597" width="16.5703125" customWidth="1"/>
    <col min="14599" max="14599" width="25.5703125" customWidth="1"/>
    <col min="14850" max="14850" width="11.5703125" customWidth="1"/>
    <col min="14851" max="14851" width="15.5703125" customWidth="1"/>
    <col min="14852" max="14852" width="14.42578125" customWidth="1"/>
    <col min="14853" max="14853" width="16.5703125" customWidth="1"/>
    <col min="14855" max="14855" width="25.5703125" customWidth="1"/>
    <col min="15106" max="15106" width="11.5703125" customWidth="1"/>
    <col min="15107" max="15107" width="15.5703125" customWidth="1"/>
    <col min="15108" max="15108" width="14.42578125" customWidth="1"/>
    <col min="15109" max="15109" width="16.5703125" customWidth="1"/>
    <col min="15111" max="15111" width="25.5703125" customWidth="1"/>
    <col min="15362" max="15362" width="11.5703125" customWidth="1"/>
    <col min="15363" max="15363" width="15.5703125" customWidth="1"/>
    <col min="15364" max="15364" width="14.42578125" customWidth="1"/>
    <col min="15365" max="15365" width="16.5703125" customWidth="1"/>
    <col min="15367" max="15367" width="25.5703125" customWidth="1"/>
    <col min="15618" max="15618" width="11.5703125" customWidth="1"/>
    <col min="15619" max="15619" width="15.5703125" customWidth="1"/>
    <col min="15620" max="15620" width="14.42578125" customWidth="1"/>
    <col min="15621" max="15621" width="16.5703125" customWidth="1"/>
    <col min="15623" max="15623" width="25.5703125" customWidth="1"/>
    <col min="15874" max="15874" width="11.5703125" customWidth="1"/>
    <col min="15875" max="15875" width="15.5703125" customWidth="1"/>
    <col min="15876" max="15876" width="14.42578125" customWidth="1"/>
    <col min="15877" max="15877" width="16.5703125" customWidth="1"/>
    <col min="15879" max="15879" width="25.5703125" customWidth="1"/>
    <col min="16130" max="16130" width="11.5703125" customWidth="1"/>
    <col min="16131" max="16131" width="15.5703125" customWidth="1"/>
    <col min="16132" max="16132" width="14.42578125" customWidth="1"/>
    <col min="16133" max="16133" width="16.5703125" customWidth="1"/>
    <col min="16135" max="16135" width="25.5703125" customWidth="1"/>
  </cols>
  <sheetData>
    <row r="1" spans="2:11" ht="15.75" thickBot="1"/>
    <row r="2" spans="2:11" ht="19.5" thickBot="1">
      <c r="B2" s="649" t="s">
        <v>86</v>
      </c>
      <c r="C2" s="650"/>
      <c r="D2" s="650"/>
      <c r="E2" s="650"/>
      <c r="F2" s="650"/>
      <c r="G2" s="651"/>
    </row>
    <row r="3" spans="2:11" ht="16.5" thickBot="1">
      <c r="B3" s="652" t="s">
        <v>116</v>
      </c>
      <c r="C3" s="653"/>
      <c r="D3" s="653"/>
      <c r="E3" s="653"/>
      <c r="F3" s="653"/>
      <c r="G3" s="254">
        <f>+'AOTL - KEC'!M1</f>
        <v>46184</v>
      </c>
    </row>
    <row r="4" spans="2:11" ht="16.5" thickBot="1">
      <c r="B4" s="654" t="s">
        <v>117</v>
      </c>
      <c r="C4" s="655"/>
      <c r="D4" s="659" t="s">
        <v>89</v>
      </c>
      <c r="E4" s="660"/>
      <c r="F4" s="660"/>
      <c r="G4" s="661"/>
    </row>
    <row r="5" spans="2:11" ht="16.5" thickBot="1">
      <c r="B5" s="654" t="s">
        <v>118</v>
      </c>
      <c r="C5" s="655"/>
      <c r="D5" s="656" t="s">
        <v>119</v>
      </c>
      <c r="E5" s="657"/>
      <c r="F5" s="657"/>
      <c r="G5" s="658"/>
    </row>
    <row r="6" spans="2:11" ht="16.5" thickBot="1">
      <c r="B6" s="48"/>
      <c r="C6" s="49"/>
      <c r="D6" s="49"/>
      <c r="E6" s="49"/>
      <c r="F6" s="49"/>
      <c r="G6" s="50"/>
    </row>
    <row r="7" spans="2:11" s="18" customFormat="1" ht="15" customHeight="1" thickBot="1">
      <c r="B7" s="667" t="s">
        <v>120</v>
      </c>
      <c r="C7" s="668"/>
      <c r="D7" s="668"/>
      <c r="E7" s="668"/>
      <c r="F7" s="668"/>
      <c r="G7" s="669"/>
    </row>
    <row r="8" spans="2:11" ht="45">
      <c r="B8" s="33" t="s">
        <v>121</v>
      </c>
      <c r="C8" s="34" t="s">
        <v>122</v>
      </c>
      <c r="D8" s="34" t="s">
        <v>123</v>
      </c>
      <c r="E8" s="34" t="s">
        <v>124</v>
      </c>
      <c r="F8" s="670" t="s">
        <v>125</v>
      </c>
      <c r="G8" s="671"/>
    </row>
    <row r="9" spans="2:11" ht="15.75" thickBot="1">
      <c r="B9" s="3">
        <f>'AOTL - KEC'!C7</f>
        <v>114.51600000000001</v>
      </c>
      <c r="C9" s="4">
        <f>'AOTL - KEC'!D6</f>
        <v>114.51600000000001</v>
      </c>
      <c r="D9" s="4">
        <f>'AOTL - KEC'!F6</f>
        <v>0</v>
      </c>
      <c r="E9" s="4">
        <f>'AOTL - KEC'!I6</f>
        <v>114.51600000000001</v>
      </c>
      <c r="F9" s="662">
        <f>'AOTL - KEC'!J6</f>
        <v>0</v>
      </c>
      <c r="G9" s="663"/>
    </row>
    <row r="10" spans="2:11" ht="15.75" thickBot="1">
      <c r="B10" s="664" t="s">
        <v>126</v>
      </c>
      <c r="C10" s="665"/>
      <c r="D10" s="665"/>
      <c r="E10" s="665"/>
      <c r="F10" s="665"/>
      <c r="G10" s="666"/>
    </row>
    <row r="11" spans="2:11" ht="45">
      <c r="B11" s="1" t="s">
        <v>121</v>
      </c>
      <c r="C11" s="2" t="s">
        <v>122</v>
      </c>
      <c r="D11" s="2" t="s">
        <v>123</v>
      </c>
      <c r="E11" s="2" t="s">
        <v>124</v>
      </c>
      <c r="F11" s="670" t="s">
        <v>125</v>
      </c>
      <c r="G11" s="671"/>
    </row>
    <row r="12" spans="2:11" ht="15.75" thickBot="1">
      <c r="B12" s="20">
        <v>30</v>
      </c>
      <c r="C12" s="16">
        <v>30</v>
      </c>
      <c r="D12" s="16">
        <v>0</v>
      </c>
      <c r="E12" s="16">
        <f>C12+D12</f>
        <v>30</v>
      </c>
      <c r="F12" s="672">
        <f>B12-E12</f>
        <v>0</v>
      </c>
      <c r="G12" s="673"/>
    </row>
    <row r="13" spans="2:11" ht="15.75" thickBot="1">
      <c r="B13" s="664" t="s">
        <v>127</v>
      </c>
      <c r="C13" s="665"/>
      <c r="D13" s="665"/>
      <c r="E13" s="665"/>
      <c r="F13" s="665"/>
      <c r="G13" s="666"/>
    </row>
    <row r="14" spans="2:11" ht="45">
      <c r="B14" s="1" t="s">
        <v>121</v>
      </c>
      <c r="C14" s="2" t="s">
        <v>122</v>
      </c>
      <c r="D14" s="2" t="s">
        <v>123</v>
      </c>
      <c r="E14" s="2" t="s">
        <v>124</v>
      </c>
      <c r="F14" s="670" t="s">
        <v>125</v>
      </c>
      <c r="G14" s="671"/>
    </row>
    <row r="15" spans="2:11" ht="15.75" thickBot="1">
      <c r="B15" s="5">
        <f>'AOTL - KEC'!C7</f>
        <v>114.51600000000001</v>
      </c>
      <c r="C15" s="4">
        <f>'Survey Anx'!F40</f>
        <v>107.49199999999998</v>
      </c>
      <c r="D15" s="4">
        <f>'AOTL - KEC'!H7</f>
        <v>0</v>
      </c>
      <c r="E15" s="4">
        <f>D15+C15</f>
        <v>107.49199999999998</v>
      </c>
      <c r="F15" s="662">
        <f>B15-E15</f>
        <v>7.0240000000000293</v>
      </c>
      <c r="G15" s="663"/>
      <c r="K15" s="6"/>
    </row>
    <row r="16" spans="2:11" ht="15.75" thickBot="1">
      <c r="B16" s="664" t="s">
        <v>128</v>
      </c>
      <c r="C16" s="665"/>
      <c r="D16" s="665"/>
      <c r="E16" s="665"/>
      <c r="F16" s="665"/>
      <c r="G16" s="666"/>
    </row>
    <row r="17" spans="2:11" ht="45">
      <c r="B17" s="1" t="s">
        <v>121</v>
      </c>
      <c r="C17" s="2" t="s">
        <v>122</v>
      </c>
      <c r="D17" s="2" t="s">
        <v>123</v>
      </c>
      <c r="E17" s="2" t="s">
        <v>124</v>
      </c>
      <c r="F17" s="670" t="s">
        <v>125</v>
      </c>
      <c r="G17" s="671"/>
    </row>
    <row r="18" spans="2:11" ht="15.75" thickBot="1">
      <c r="B18" s="5">
        <f>'AOTL - KEC'!C9</f>
        <v>114.51600000000001</v>
      </c>
      <c r="C18" s="4">
        <f>'Survey Anx'!I40</f>
        <v>93.542000000000016</v>
      </c>
      <c r="D18" s="4">
        <f>'AOTL - KEC'!H9</f>
        <v>0</v>
      </c>
      <c r="E18" s="4">
        <f>C18+D18</f>
        <v>93.542000000000016</v>
      </c>
      <c r="F18" s="662">
        <f>B18-E18</f>
        <v>20.97399999999999</v>
      </c>
      <c r="G18" s="663"/>
      <c r="K18" s="13"/>
    </row>
    <row r="19" spans="2:11" ht="15.75" thickBot="1">
      <c r="B19" s="664" t="s">
        <v>129</v>
      </c>
      <c r="C19" s="665"/>
      <c r="D19" s="665"/>
      <c r="E19" s="665"/>
      <c r="F19" s="665"/>
      <c r="G19" s="666"/>
    </row>
    <row r="20" spans="2:11" ht="45">
      <c r="B20" s="7" t="s">
        <v>121</v>
      </c>
      <c r="C20" s="8" t="s">
        <v>122</v>
      </c>
      <c r="D20" s="8" t="s">
        <v>123</v>
      </c>
      <c r="E20" s="8" t="s">
        <v>124</v>
      </c>
      <c r="F20" s="670" t="s">
        <v>125</v>
      </c>
      <c r="G20" s="671"/>
      <c r="K20" s="14"/>
    </row>
    <row r="21" spans="2:11" ht="15.75" thickBot="1">
      <c r="B21" s="9">
        <f>'AOTL - KEC'!C12</f>
        <v>293</v>
      </c>
      <c r="C21" s="16">
        <v>85</v>
      </c>
      <c r="D21" s="16">
        <v>4</v>
      </c>
      <c r="E21" s="19">
        <v>89</v>
      </c>
      <c r="F21" s="672">
        <f>B21-E21</f>
        <v>204</v>
      </c>
      <c r="G21" s="673"/>
    </row>
    <row r="22" spans="2:11" ht="15.75" thickBot="1">
      <c r="B22" s="664" t="s">
        <v>130</v>
      </c>
      <c r="C22" s="665"/>
      <c r="D22" s="665"/>
      <c r="E22" s="665"/>
      <c r="F22" s="665"/>
      <c r="G22" s="666"/>
    </row>
    <row r="23" spans="2:11" ht="45">
      <c r="B23" s="7" t="s">
        <v>131</v>
      </c>
      <c r="C23" s="8" t="s">
        <v>122</v>
      </c>
      <c r="D23" s="8" t="s">
        <v>123</v>
      </c>
      <c r="E23" s="8" t="s">
        <v>124</v>
      </c>
      <c r="F23" s="670" t="s">
        <v>125</v>
      </c>
      <c r="G23" s="671"/>
    </row>
    <row r="24" spans="2:11" ht="15.75" thickBot="1">
      <c r="B24" s="3">
        <f>'AOTL - KEC'!C13</f>
        <v>293</v>
      </c>
      <c r="C24" s="16">
        <v>78</v>
      </c>
      <c r="D24" s="16">
        <v>4</v>
      </c>
      <c r="E24" s="19">
        <v>82</v>
      </c>
      <c r="F24" s="672">
        <f>B24-E24</f>
        <v>211</v>
      </c>
      <c r="G24" s="673"/>
    </row>
    <row r="25" spans="2:11" ht="15.75" thickBot="1">
      <c r="B25" s="664" t="s">
        <v>132</v>
      </c>
      <c r="C25" s="665"/>
      <c r="D25" s="665"/>
      <c r="E25" s="665"/>
      <c r="F25" s="665"/>
      <c r="G25" s="666"/>
    </row>
    <row r="26" spans="2:11" ht="45">
      <c r="B26" s="7" t="s">
        <v>131</v>
      </c>
      <c r="C26" s="8" t="s">
        <v>122</v>
      </c>
      <c r="D26" s="8" t="s">
        <v>123</v>
      </c>
      <c r="E26" s="8" t="s">
        <v>124</v>
      </c>
      <c r="F26" s="670" t="s">
        <v>125</v>
      </c>
      <c r="G26" s="671"/>
    </row>
    <row r="27" spans="2:11" ht="15.75" thickBot="1">
      <c r="B27" s="3">
        <f>'AOTL - KEC'!C14</f>
        <v>293</v>
      </c>
      <c r="C27" s="16">
        <v>40</v>
      </c>
      <c r="D27" s="16">
        <v>4</v>
      </c>
      <c r="E27" s="12">
        <v>44</v>
      </c>
      <c r="F27" s="672">
        <f>B27-E27</f>
        <v>249</v>
      </c>
      <c r="G27" s="673"/>
    </row>
    <row r="28" spans="2:11" ht="15.75" thickBot="1">
      <c r="B28" s="664" t="s">
        <v>133</v>
      </c>
      <c r="C28" s="665"/>
      <c r="D28" s="665"/>
      <c r="E28" s="665"/>
      <c r="F28" s="665"/>
      <c r="G28" s="666"/>
    </row>
    <row r="29" spans="2:11" ht="45">
      <c r="B29" s="7" t="s">
        <v>131</v>
      </c>
      <c r="C29" s="8" t="s">
        <v>122</v>
      </c>
      <c r="D29" s="8" t="s">
        <v>123</v>
      </c>
      <c r="E29" s="8" t="s">
        <v>124</v>
      </c>
      <c r="F29" s="670" t="s">
        <v>134</v>
      </c>
      <c r="G29" s="671"/>
    </row>
    <row r="30" spans="2:11" ht="15.75" thickBot="1">
      <c r="B30" s="5">
        <f>'AOTL - KEC'!C16</f>
        <v>114.51600000000001</v>
      </c>
      <c r="C30" s="21">
        <v>0</v>
      </c>
      <c r="D30" s="21">
        <v>0</v>
      </c>
      <c r="E30" s="22">
        <v>0</v>
      </c>
      <c r="F30" s="662">
        <f>B30-E30</f>
        <v>114.51600000000001</v>
      </c>
      <c r="G30" s="663"/>
    </row>
    <row r="31" spans="2:11" ht="15.75" thickBot="1">
      <c r="B31" s="664" t="s">
        <v>135</v>
      </c>
      <c r="C31" s="665"/>
      <c r="D31" s="665"/>
      <c r="E31" s="665"/>
      <c r="F31" s="665"/>
      <c r="G31" s="666"/>
    </row>
    <row r="32" spans="2:11" ht="45">
      <c r="B32" s="7" t="s">
        <v>131</v>
      </c>
      <c r="C32" s="8" t="s">
        <v>122</v>
      </c>
      <c r="D32" s="8" t="s">
        <v>123</v>
      </c>
      <c r="E32" s="8" t="s">
        <v>124</v>
      </c>
      <c r="F32" s="670" t="s">
        <v>125</v>
      </c>
      <c r="G32" s="671"/>
    </row>
    <row r="33" spans="2:7" ht="15.75" thickBot="1">
      <c r="B33" s="31">
        <f>'AOTL - KEC'!C18</f>
        <v>114.51600000000001</v>
      </c>
      <c r="C33" s="32">
        <v>0</v>
      </c>
      <c r="D33" s="32">
        <v>0</v>
      </c>
      <c r="E33" s="32">
        <v>0</v>
      </c>
      <c r="F33" s="662">
        <f>B33-E33</f>
        <v>114.51600000000001</v>
      </c>
      <c r="G33" s="663"/>
    </row>
  </sheetData>
  <mergeCells count="33"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B2:G2"/>
    <mergeCell ref="B3:F3"/>
    <mergeCell ref="B4:C4"/>
    <mergeCell ref="B5:C5"/>
    <mergeCell ref="D5:G5"/>
    <mergeCell ref="D4:G4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6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872A-F696-4208-BB30-C386C6A759C0}">
  <sheetPr codeName="Sheet6"/>
  <dimension ref="B7:B77"/>
  <sheetViews>
    <sheetView workbookViewId="0">
      <selection activeCell="G21" sqref="G21"/>
    </sheetView>
  </sheetViews>
  <sheetFormatPr defaultRowHeight="15"/>
  <sheetData>
    <row r="7" spans="2:2">
      <c r="B7" s="67" t="s">
        <v>136</v>
      </c>
    </row>
    <row r="8" spans="2:2">
      <c r="B8" s="67" t="s">
        <v>137</v>
      </c>
    </row>
    <row r="9" spans="2:2">
      <c r="B9" s="67" t="s">
        <v>138</v>
      </c>
    </row>
    <row r="10" spans="2:2">
      <c r="B10" s="67" t="s">
        <v>139</v>
      </c>
    </row>
    <row r="11" spans="2:2">
      <c r="B11" s="67" t="s">
        <v>140</v>
      </c>
    </row>
    <row r="12" spans="2:2">
      <c r="B12" s="67" t="s">
        <v>141</v>
      </c>
    </row>
    <row r="13" spans="2:2">
      <c r="B13" s="67" t="s">
        <v>142</v>
      </c>
    </row>
    <row r="14" spans="2:2">
      <c r="B14" s="67" t="s">
        <v>143</v>
      </c>
    </row>
    <row r="15" spans="2:2">
      <c r="B15" s="67" t="s">
        <v>144</v>
      </c>
    </row>
    <row r="16" spans="2:2">
      <c r="B16" s="67" t="s">
        <v>145</v>
      </c>
    </row>
    <row r="17" spans="2:2">
      <c r="B17" s="67" t="s">
        <v>146</v>
      </c>
    </row>
    <row r="18" spans="2:2">
      <c r="B18" s="67" t="s">
        <v>147</v>
      </c>
    </row>
    <row r="19" spans="2:2">
      <c r="B19" s="67" t="s">
        <v>148</v>
      </c>
    </row>
    <row r="20" spans="2:2">
      <c r="B20" s="67" t="s">
        <v>149</v>
      </c>
    </row>
    <row r="21" spans="2:2">
      <c r="B21" s="67" t="s">
        <v>150</v>
      </c>
    </row>
    <row r="22" spans="2:2">
      <c r="B22" s="67" t="s">
        <v>151</v>
      </c>
    </row>
    <row r="23" spans="2:2">
      <c r="B23" s="67" t="s">
        <v>152</v>
      </c>
    </row>
    <row r="24" spans="2:2">
      <c r="B24" s="67" t="s">
        <v>153</v>
      </c>
    </row>
    <row r="25" spans="2:2">
      <c r="B25" s="67" t="s">
        <v>154</v>
      </c>
    </row>
    <row r="26" spans="2:2">
      <c r="B26" s="67" t="s">
        <v>155</v>
      </c>
    </row>
    <row r="27" spans="2:2">
      <c r="B27" s="67" t="s">
        <v>156</v>
      </c>
    </row>
    <row r="28" spans="2:2">
      <c r="B28" s="67" t="s">
        <v>157</v>
      </c>
    </row>
    <row r="29" spans="2:2">
      <c r="B29" s="67" t="s">
        <v>158</v>
      </c>
    </row>
    <row r="30" spans="2:2">
      <c r="B30" s="67" t="s">
        <v>159</v>
      </c>
    </row>
    <row r="31" spans="2:2">
      <c r="B31" s="67" t="s">
        <v>160</v>
      </c>
    </row>
    <row r="32" spans="2:2">
      <c r="B32" s="67" t="s">
        <v>161</v>
      </c>
    </row>
    <row r="33" spans="2:2">
      <c r="B33" s="67" t="s">
        <v>162</v>
      </c>
    </row>
    <row r="34" spans="2:2">
      <c r="B34" s="67" t="s">
        <v>163</v>
      </c>
    </row>
    <row r="35" spans="2:2">
      <c r="B35" s="67" t="s">
        <v>164</v>
      </c>
    </row>
    <row r="36" spans="2:2">
      <c r="B36" s="67" t="s">
        <v>165</v>
      </c>
    </row>
    <row r="37" spans="2:2">
      <c r="B37" s="67" t="s">
        <v>166</v>
      </c>
    </row>
    <row r="38" spans="2:2">
      <c r="B38" s="67" t="s">
        <v>167</v>
      </c>
    </row>
    <row r="41" spans="2:2">
      <c r="B41" s="55" t="s">
        <v>136</v>
      </c>
    </row>
    <row r="42" spans="2:2">
      <c r="B42" s="56" t="s">
        <v>168</v>
      </c>
    </row>
    <row r="43" spans="2:2">
      <c r="B43" s="56" t="s">
        <v>137</v>
      </c>
    </row>
    <row r="44" spans="2:2">
      <c r="B44" s="55" t="s">
        <v>138</v>
      </c>
    </row>
    <row r="45" spans="2:2">
      <c r="B45" s="56" t="s">
        <v>139</v>
      </c>
    </row>
    <row r="46" spans="2:2">
      <c r="B46" s="55" t="s">
        <v>140</v>
      </c>
    </row>
    <row r="47" spans="2:2">
      <c r="B47" s="55" t="s">
        <v>141</v>
      </c>
    </row>
    <row r="48" spans="2:2">
      <c r="B48" s="55" t="s">
        <v>169</v>
      </c>
    </row>
    <row r="49" spans="2:2">
      <c r="B49" s="55" t="s">
        <v>170</v>
      </c>
    </row>
    <row r="50" spans="2:2">
      <c r="B50" s="55" t="s">
        <v>166</v>
      </c>
    </row>
    <row r="51" spans="2:2">
      <c r="B51" s="55" t="s">
        <v>142</v>
      </c>
    </row>
    <row r="52" spans="2:2">
      <c r="B52" s="55" t="s">
        <v>143</v>
      </c>
    </row>
    <row r="53" spans="2:2">
      <c r="B53" s="55" t="s">
        <v>144</v>
      </c>
    </row>
    <row r="54" spans="2:2">
      <c r="B54" s="55" t="s">
        <v>145</v>
      </c>
    </row>
    <row r="55" spans="2:2">
      <c r="B55" s="55" t="s">
        <v>146</v>
      </c>
    </row>
    <row r="56" spans="2:2">
      <c r="B56" s="55" t="s">
        <v>147</v>
      </c>
    </row>
    <row r="57" spans="2:2">
      <c r="B57" s="55" t="s">
        <v>148</v>
      </c>
    </row>
    <row r="58" spans="2:2">
      <c r="B58" s="55" t="s">
        <v>149</v>
      </c>
    </row>
    <row r="59" spans="2:2">
      <c r="B59" s="55" t="s">
        <v>150</v>
      </c>
    </row>
    <row r="60" spans="2:2">
      <c r="B60" s="55" t="s">
        <v>151</v>
      </c>
    </row>
    <row r="61" spans="2:2">
      <c r="B61" s="47" t="s">
        <v>152</v>
      </c>
    </row>
    <row r="62" spans="2:2">
      <c r="B62" s="55" t="s">
        <v>153</v>
      </c>
    </row>
    <row r="63" spans="2:2">
      <c r="B63" s="55" t="s">
        <v>154</v>
      </c>
    </row>
    <row r="64" spans="2:2">
      <c r="B64" s="55" t="s">
        <v>155</v>
      </c>
    </row>
    <row r="65" spans="2:2">
      <c r="B65" s="55" t="s">
        <v>156</v>
      </c>
    </row>
    <row r="66" spans="2:2">
      <c r="B66" s="55" t="s">
        <v>157</v>
      </c>
    </row>
    <row r="67" spans="2:2">
      <c r="B67" s="55" t="s">
        <v>158</v>
      </c>
    </row>
    <row r="68" spans="2:2">
      <c r="B68" s="35" t="s">
        <v>171</v>
      </c>
    </row>
    <row r="69" spans="2:2">
      <c r="B69" s="57" t="s">
        <v>172</v>
      </c>
    </row>
    <row r="70" spans="2:2">
      <c r="B70" s="55" t="s">
        <v>159</v>
      </c>
    </row>
    <row r="71" spans="2:2">
      <c r="B71" s="55" t="s">
        <v>160</v>
      </c>
    </row>
    <row r="72" spans="2:2">
      <c r="B72" s="55" t="s">
        <v>161</v>
      </c>
    </row>
    <row r="73" spans="2:2">
      <c r="B73" s="55" t="s">
        <v>162</v>
      </c>
    </row>
    <row r="74" spans="2:2">
      <c r="B74" s="55" t="s">
        <v>163</v>
      </c>
    </row>
    <row r="75" spans="2:2">
      <c r="B75" s="58" t="s">
        <v>164</v>
      </c>
    </row>
    <row r="76" spans="2:2">
      <c r="B76" s="55" t="s">
        <v>165</v>
      </c>
    </row>
    <row r="77" spans="2:2">
      <c r="B77" s="55" t="s">
        <v>167</v>
      </c>
    </row>
  </sheetData>
  <conditionalFormatting sqref="B1:B1048576">
    <cfRule type="duplicateValues" dxfId="231" priority="1"/>
  </conditionalFormatting>
  <conditionalFormatting sqref="B7:B38">
    <cfRule type="duplicateValues" dxfId="230" priority="10"/>
    <cfRule type="duplicateValues" dxfId="229" priority="11"/>
    <cfRule type="duplicateValues" dxfId="228" priority="12"/>
    <cfRule type="duplicateValues" dxfId="227" priority="13"/>
    <cfRule type="duplicateValues" dxfId="226" priority="14"/>
    <cfRule type="duplicateValues" dxfId="225" priority="15"/>
    <cfRule type="duplicateValues" dxfId="224" priority="16"/>
    <cfRule type="duplicateValues" dxfId="223" priority="17"/>
  </conditionalFormatting>
  <conditionalFormatting sqref="B41:B77">
    <cfRule type="duplicateValues" dxfId="222" priority="2"/>
    <cfRule type="duplicateValues" dxfId="221" priority="3"/>
    <cfRule type="duplicateValues" dxfId="220" priority="4"/>
    <cfRule type="duplicateValues" dxfId="219" priority="5"/>
    <cfRule type="duplicateValues" dxfId="218" priority="6"/>
    <cfRule type="duplicateValues" dxfId="217" priority="7"/>
    <cfRule type="duplicateValues" dxfId="216" priority="8"/>
    <cfRule type="duplicateValues" dxfId="215" priority="9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8A209-0BFA-49EC-B29C-1AC85C80E437}">
  <sheetPr codeName="Sheet7"/>
  <dimension ref="A1:D26"/>
  <sheetViews>
    <sheetView workbookViewId="0">
      <selection activeCell="D5" sqref="D5"/>
    </sheetView>
  </sheetViews>
  <sheetFormatPr defaultRowHeight="15"/>
  <sheetData>
    <row r="1" spans="1:4">
      <c r="A1" t="s">
        <v>173</v>
      </c>
    </row>
    <row r="2" spans="1:4">
      <c r="A2" s="56" t="s">
        <v>174</v>
      </c>
      <c r="D2" t="str">
        <f>_xlfn.CONCAT(A2,A3,A4,A5,A6,A7,A8,A9,A10,A11,A12,A13,A14,A15,A16,A17,A18,A19,A20,A21,A22,A23,A24,A25,A26)</f>
        <v>127/2128/0135/0139/0139/2141/1141/2145/5145/6148/3161/0166/0175/1182/0183/0183/1183/3194/0214/3214/6217/4225/3244/0244/2250/2</v>
      </c>
    </row>
    <row r="3" spans="1:4">
      <c r="A3" s="56" t="s">
        <v>168</v>
      </c>
    </row>
    <row r="4" spans="1:4">
      <c r="A4" s="56" t="s">
        <v>137</v>
      </c>
    </row>
    <row r="5" spans="1:4">
      <c r="A5" s="56" t="s">
        <v>175</v>
      </c>
      <c r="D5" t="s">
        <v>176</v>
      </c>
    </row>
    <row r="6" spans="1:4">
      <c r="A6" s="56" t="s">
        <v>139</v>
      </c>
    </row>
    <row r="7" spans="1:4">
      <c r="A7" s="56" t="s">
        <v>177</v>
      </c>
    </row>
    <row r="8" spans="1:4">
      <c r="A8" s="56" t="s">
        <v>178</v>
      </c>
    </row>
    <row r="9" spans="1:4">
      <c r="A9" s="56" t="s">
        <v>179</v>
      </c>
    </row>
    <row r="10" spans="1:4">
      <c r="A10" s="56" t="s">
        <v>180</v>
      </c>
    </row>
    <row r="11" spans="1:4">
      <c r="A11" s="56" t="s">
        <v>181</v>
      </c>
    </row>
    <row r="12" spans="1:4">
      <c r="A12" s="55" t="s">
        <v>182</v>
      </c>
    </row>
    <row r="13" spans="1:4">
      <c r="A13" s="55" t="s">
        <v>183</v>
      </c>
    </row>
    <row r="14" spans="1:4">
      <c r="A14" s="55" t="s">
        <v>184</v>
      </c>
    </row>
    <row r="15" spans="1:4">
      <c r="A15" s="55" t="s">
        <v>185</v>
      </c>
    </row>
    <row r="16" spans="1:4">
      <c r="A16" s="55" t="s">
        <v>186</v>
      </c>
    </row>
    <row r="17" spans="1:1">
      <c r="A17" s="55" t="s">
        <v>187</v>
      </c>
    </row>
    <row r="18" spans="1:1">
      <c r="A18" s="55" t="s">
        <v>148</v>
      </c>
    </row>
    <row r="19" spans="1:1">
      <c r="A19" s="55" t="s">
        <v>152</v>
      </c>
    </row>
    <row r="20" spans="1:1">
      <c r="A20" s="55" t="s">
        <v>188</v>
      </c>
    </row>
    <row r="21" spans="1:1">
      <c r="A21" s="55" t="s">
        <v>189</v>
      </c>
    </row>
    <row r="22" spans="1:1">
      <c r="A22" s="55" t="s">
        <v>190</v>
      </c>
    </row>
    <row r="23" spans="1:1">
      <c r="A23" s="55" t="s">
        <v>191</v>
      </c>
    </row>
    <row r="24" spans="1:1">
      <c r="A24" s="57" t="s">
        <v>172</v>
      </c>
    </row>
    <row r="25" spans="1:1">
      <c r="A25" s="57" t="s">
        <v>192</v>
      </c>
    </row>
    <row r="26" spans="1:1">
      <c r="A26" s="57" t="s">
        <v>193</v>
      </c>
    </row>
  </sheetData>
  <autoFilter ref="A1:A26" xr:uid="{5038A209-0BFA-49EC-B29C-1AC85C80E437}">
    <sortState xmlns:xlrd2="http://schemas.microsoft.com/office/spreadsheetml/2017/richdata2" ref="A2:A26">
      <sortCondition ref="A1:A26"/>
    </sortState>
  </autoFilter>
  <conditionalFormatting sqref="A2:A26">
    <cfRule type="duplicateValues" dxfId="214" priority="1"/>
    <cfRule type="duplicateValues" dxfId="213" priority="2"/>
    <cfRule type="duplicateValues" dxfId="212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D75-9DF1-4325-82E8-69E9981B3392}">
  <sheetPr codeName="Sheet8"/>
  <dimension ref="A2:G5"/>
  <sheetViews>
    <sheetView workbookViewId="0">
      <selection activeCell="G3" sqref="G3:G5"/>
    </sheetView>
  </sheetViews>
  <sheetFormatPr defaultRowHeight="15"/>
  <cols>
    <col min="2" max="2" width="9.42578125" bestFit="1" customWidth="1"/>
  </cols>
  <sheetData>
    <row r="2" spans="1:7">
      <c r="A2" s="44" t="s">
        <v>194</v>
      </c>
      <c r="B2" s="44" t="s">
        <v>195</v>
      </c>
      <c r="C2" s="44" t="s">
        <v>196</v>
      </c>
      <c r="D2" s="44" t="s">
        <v>197</v>
      </c>
      <c r="E2" s="44" t="s">
        <v>198</v>
      </c>
      <c r="F2" s="44" t="s">
        <v>199</v>
      </c>
      <c r="G2" s="44" t="s">
        <v>200</v>
      </c>
    </row>
    <row r="3" spans="1:7">
      <c r="A3" s="44" t="s">
        <v>201</v>
      </c>
      <c r="B3" s="29">
        <v>14</v>
      </c>
      <c r="C3" s="29">
        <v>9</v>
      </c>
      <c r="D3" s="29">
        <v>14</v>
      </c>
      <c r="E3" s="29">
        <v>4</v>
      </c>
      <c r="F3" s="29">
        <v>1</v>
      </c>
      <c r="G3" s="29"/>
    </row>
    <row r="4" spans="1:7">
      <c r="A4" s="44" t="s">
        <v>202</v>
      </c>
      <c r="B4" s="29"/>
      <c r="C4" s="29"/>
      <c r="D4" s="29"/>
      <c r="E4" s="29">
        <v>4</v>
      </c>
      <c r="F4" s="29">
        <v>17</v>
      </c>
      <c r="G4" s="29">
        <v>4</v>
      </c>
    </row>
    <row r="5" spans="1:7">
      <c r="A5" s="44" t="s">
        <v>203</v>
      </c>
      <c r="B5" s="29">
        <v>4</v>
      </c>
      <c r="C5" s="29">
        <v>7</v>
      </c>
      <c r="D5" s="29">
        <v>6</v>
      </c>
      <c r="E5" s="29">
        <v>2</v>
      </c>
      <c r="F5" s="29"/>
      <c r="G5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tabColor rgb="FF00FF00"/>
  </sheetPr>
  <dimension ref="A1:F45"/>
  <sheetViews>
    <sheetView zoomScaleNormal="100" workbookViewId="0">
      <selection activeCell="D6" sqref="D6"/>
    </sheetView>
  </sheetViews>
  <sheetFormatPr defaultColWidth="12.85546875" defaultRowHeight="15"/>
  <cols>
    <col min="1" max="1" width="12.85546875" style="422"/>
    <col min="2" max="2" width="25.28515625" style="422" bestFit="1" customWidth="1"/>
    <col min="3" max="4" width="12.85546875" style="422"/>
    <col min="5" max="5" width="30.28515625" style="422" bestFit="1" customWidth="1"/>
    <col min="6" max="16384" width="12.85546875" style="422"/>
  </cols>
  <sheetData>
    <row r="1" spans="1:6" ht="15.75">
      <c r="A1" s="571"/>
      <c r="B1" s="572"/>
      <c r="C1" s="572"/>
      <c r="D1" s="573" t="s">
        <v>2</v>
      </c>
      <c r="E1" s="574">
        <f>+'AOTL - KEC'!M1</f>
        <v>46184</v>
      </c>
    </row>
    <row r="2" spans="1:6">
      <c r="A2" s="575"/>
      <c r="E2" s="576"/>
    </row>
    <row r="3" spans="1:6" ht="15.75">
      <c r="A3" s="674" t="s">
        <v>247</v>
      </c>
      <c r="B3" s="675"/>
      <c r="C3" s="675"/>
      <c r="D3" s="675"/>
      <c r="E3" s="676"/>
    </row>
    <row r="4" spans="1:6" s="424" customFormat="1" ht="22.35" customHeight="1">
      <c r="A4" s="577" t="s">
        <v>248</v>
      </c>
      <c r="B4" s="423" t="s">
        <v>249</v>
      </c>
      <c r="C4" s="423" t="s">
        <v>250</v>
      </c>
      <c r="D4" s="423" t="s">
        <v>251</v>
      </c>
      <c r="E4" s="578" t="s">
        <v>33</v>
      </c>
    </row>
    <row r="5" spans="1:6" s="428" customFormat="1" ht="27.6" customHeight="1">
      <c r="A5" s="579">
        <v>1</v>
      </c>
      <c r="B5" s="426" t="s">
        <v>252</v>
      </c>
      <c r="C5" s="425" t="s">
        <v>253</v>
      </c>
      <c r="D5" s="427">
        <f>'Survey Anx'!C40</f>
        <v>114.31499999999998</v>
      </c>
      <c r="E5" s="580"/>
    </row>
    <row r="6" spans="1:6" s="428" customFormat="1" ht="27.6" customHeight="1">
      <c r="A6" s="579">
        <v>2</v>
      </c>
      <c r="B6" s="426" t="s">
        <v>254</v>
      </c>
      <c r="C6" s="425" t="s">
        <v>253</v>
      </c>
      <c r="D6" s="427">
        <f>'Survey Anx'!D40</f>
        <v>114.31499999999998</v>
      </c>
      <c r="E6" s="580"/>
    </row>
    <row r="7" spans="1:6" s="428" customFormat="1" ht="27.6" customHeight="1">
      <c r="A7" s="579">
        <v>3</v>
      </c>
      <c r="B7" s="426" t="s">
        <v>28</v>
      </c>
      <c r="C7" s="425" t="s">
        <v>253</v>
      </c>
      <c r="D7" s="427">
        <f>D5-D6</f>
        <v>0</v>
      </c>
      <c r="E7" s="580" t="s">
        <v>255</v>
      </c>
      <c r="F7" s="429"/>
    </row>
    <row r="8" spans="1:6" s="428" customFormat="1" ht="27.6" customHeight="1">
      <c r="A8" s="579">
        <v>4</v>
      </c>
      <c r="B8" s="426" t="s">
        <v>256</v>
      </c>
      <c r="C8" s="425" t="s">
        <v>253</v>
      </c>
      <c r="D8" s="427">
        <f>'Survey Anx'!F40</f>
        <v>107.49199999999998</v>
      </c>
      <c r="E8" s="580"/>
    </row>
    <row r="9" spans="1:6" s="428" customFormat="1" ht="27.6" customHeight="1">
      <c r="A9" s="579">
        <v>5</v>
      </c>
      <c r="B9" s="426" t="s">
        <v>29</v>
      </c>
      <c r="C9" s="425" t="s">
        <v>253</v>
      </c>
      <c r="D9" s="427">
        <v>16.838999999999999</v>
      </c>
      <c r="E9" s="580" t="s">
        <v>257</v>
      </c>
    </row>
    <row r="10" spans="1:6" s="428" customFormat="1" ht="27.6" customHeight="1">
      <c r="A10" s="579">
        <v>6</v>
      </c>
      <c r="B10" s="426" t="s">
        <v>258</v>
      </c>
      <c r="C10" s="425" t="s">
        <v>253</v>
      </c>
      <c r="D10" s="427">
        <f>'Survey Anx'!G40</f>
        <v>97.677000000000007</v>
      </c>
      <c r="E10" s="581"/>
      <c r="F10" s="430"/>
    </row>
    <row r="11" spans="1:6" s="428" customFormat="1" ht="27.6" customHeight="1">
      <c r="A11" s="579">
        <v>7</v>
      </c>
      <c r="B11" s="426" t="s">
        <v>259</v>
      </c>
      <c r="C11" s="425" t="s">
        <v>253</v>
      </c>
      <c r="D11" s="427">
        <f>'Survey Anx'!I40</f>
        <v>93.542000000000016</v>
      </c>
      <c r="E11" s="580"/>
      <c r="F11" s="429">
        <f>D10-D11</f>
        <v>4.1349999999999909</v>
      </c>
    </row>
    <row r="12" spans="1:6" s="428" customFormat="1" ht="27.6" customHeight="1">
      <c r="A12" s="579">
        <v>8</v>
      </c>
      <c r="B12" s="426" t="s">
        <v>29</v>
      </c>
      <c r="C12" s="425" t="s">
        <v>253</v>
      </c>
      <c r="D12" s="427">
        <f>D10-D11</f>
        <v>4.1349999999999909</v>
      </c>
      <c r="E12" s="580"/>
    </row>
    <row r="13" spans="1:6" s="428" customFormat="1" ht="27.6" customHeight="1" thickBot="1">
      <c r="A13" s="582">
        <v>9</v>
      </c>
      <c r="B13" s="583" t="s">
        <v>260</v>
      </c>
      <c r="C13" s="584" t="s">
        <v>253</v>
      </c>
      <c r="D13" s="585">
        <f>D8-D11</f>
        <v>13.94999999999996</v>
      </c>
      <c r="E13" s="586"/>
    </row>
    <row r="14" spans="1:6" s="428" customFormat="1" ht="22.35" customHeight="1"/>
    <row r="15" spans="1:6">
      <c r="D15" s="431"/>
      <c r="E15" s="431"/>
    </row>
    <row r="16" spans="1:6">
      <c r="D16" s="431"/>
      <c r="E16" s="431"/>
    </row>
    <row r="17" spans="4:5">
      <c r="D17" s="431"/>
      <c r="E17" s="431"/>
    </row>
    <row r="18" spans="4:5">
      <c r="D18" s="431"/>
      <c r="E18" s="431"/>
    </row>
    <row r="19" spans="4:5">
      <c r="D19" s="431"/>
      <c r="E19" s="431"/>
    </row>
    <row r="20" spans="4:5">
      <c r="D20" s="431"/>
      <c r="E20" s="431"/>
    </row>
    <row r="21" spans="4:5">
      <c r="D21" s="431"/>
      <c r="E21" s="431"/>
    </row>
    <row r="22" spans="4:5">
      <c r="D22" s="431"/>
      <c r="E22" s="431"/>
    </row>
    <row r="23" spans="4:5">
      <c r="D23" s="431"/>
      <c r="E23" s="431"/>
    </row>
    <row r="24" spans="4:5">
      <c r="D24" s="431"/>
      <c r="E24" s="431"/>
    </row>
    <row r="25" spans="4:5">
      <c r="D25" s="431"/>
      <c r="E25" s="431"/>
    </row>
    <row r="26" spans="4:5">
      <c r="D26" s="431"/>
      <c r="E26" s="431"/>
    </row>
    <row r="27" spans="4:5">
      <c r="D27" s="431"/>
      <c r="E27" s="431"/>
    </row>
    <row r="28" spans="4:5">
      <c r="D28" s="431"/>
      <c r="E28" s="431"/>
    </row>
    <row r="29" spans="4:5">
      <c r="D29" s="431"/>
      <c r="E29" s="431"/>
    </row>
    <row r="30" spans="4:5">
      <c r="D30" s="431"/>
      <c r="E30" s="431"/>
    </row>
    <row r="31" spans="4:5">
      <c r="D31" s="431"/>
      <c r="E31" s="431"/>
    </row>
    <row r="32" spans="4:5">
      <c r="D32" s="431"/>
      <c r="E32" s="431"/>
    </row>
    <row r="33" spans="4:5">
      <c r="D33" s="431"/>
      <c r="E33" s="431"/>
    </row>
    <row r="34" spans="4:5">
      <c r="D34" s="431"/>
      <c r="E34" s="431"/>
    </row>
    <row r="35" spans="4:5">
      <c r="D35" s="431"/>
      <c r="E35" s="431"/>
    </row>
    <row r="36" spans="4:5">
      <c r="D36" s="431"/>
      <c r="E36" s="431"/>
    </row>
    <row r="37" spans="4:5">
      <c r="D37" s="431"/>
      <c r="E37" s="431"/>
    </row>
    <row r="38" spans="4:5">
      <c r="D38" s="431"/>
      <c r="E38" s="431"/>
    </row>
    <row r="39" spans="4:5">
      <c r="D39" s="431"/>
      <c r="E39" s="431"/>
    </row>
    <row r="40" spans="4:5">
      <c r="D40" s="431"/>
      <c r="E40" s="431"/>
    </row>
    <row r="41" spans="4:5">
      <c r="D41" s="431"/>
      <c r="E41" s="431"/>
    </row>
    <row r="42" spans="4:5">
      <c r="D42" s="431"/>
      <c r="E42" s="431"/>
    </row>
    <row r="43" spans="4:5">
      <c r="D43" s="431"/>
      <c r="E43" s="431"/>
    </row>
    <row r="44" spans="4:5">
      <c r="D44" s="431"/>
      <c r="E44" s="431"/>
    </row>
    <row r="45" spans="4:5">
      <c r="D45" s="431"/>
      <c r="E45" s="431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15CD6-295A-45C1-BBB6-D268B9B57855}">
  <sheetPr codeName="Sheet10">
    <tabColor rgb="FF00FF00"/>
  </sheetPr>
  <dimension ref="A1:K35"/>
  <sheetViews>
    <sheetView zoomScaleNormal="100" zoomScaleSheetLayoutView="101" workbookViewId="0">
      <selection activeCell="N33" sqref="N32:N33"/>
    </sheetView>
  </sheetViews>
  <sheetFormatPr defaultColWidth="8.85546875" defaultRowHeight="15.75"/>
  <cols>
    <col min="1" max="1" width="8.85546875" style="255"/>
    <col min="2" max="2" width="14.140625" style="255" bestFit="1" customWidth="1"/>
    <col min="3" max="3" width="13.42578125" style="255" bestFit="1" customWidth="1"/>
    <col min="4" max="4" width="3.42578125" style="255" bestFit="1" customWidth="1"/>
    <col min="5" max="5" width="6.5703125" style="255" customWidth="1"/>
    <col min="6" max="6" width="33.7109375" style="255" customWidth="1"/>
    <col min="7" max="7" width="22.5703125" style="255" bestFit="1" customWidth="1"/>
    <col min="8" max="8" width="15.28515625" style="113" customWidth="1"/>
    <col min="9" max="9" width="17.5703125" style="113" customWidth="1"/>
    <col min="10" max="10" width="16.85546875" style="113" hidden="1" customWidth="1"/>
    <col min="11" max="11" width="16.85546875" style="255" hidden="1" customWidth="1"/>
    <col min="12" max="16384" width="8.85546875" style="255"/>
  </cols>
  <sheetData>
    <row r="1" spans="1:11" ht="14.85" customHeight="1">
      <c r="A1" s="677" t="s">
        <v>261</v>
      </c>
      <c r="B1" s="677"/>
      <c r="C1" s="677"/>
      <c r="D1" s="677"/>
      <c r="E1" s="677"/>
      <c r="F1" s="677"/>
      <c r="G1" s="677"/>
      <c r="H1" s="677"/>
      <c r="I1" s="432"/>
      <c r="J1" s="433"/>
    </row>
    <row r="2" spans="1:11" ht="47.25">
      <c r="A2" s="434" t="s">
        <v>248</v>
      </c>
      <c r="B2" s="434" t="s">
        <v>262</v>
      </c>
      <c r="C2" s="434" t="s">
        <v>263</v>
      </c>
      <c r="D2" s="434" t="s">
        <v>264</v>
      </c>
      <c r="E2" s="434" t="s">
        <v>265</v>
      </c>
      <c r="F2" s="434" t="s">
        <v>266</v>
      </c>
      <c r="G2" s="434" t="s">
        <v>267</v>
      </c>
      <c r="H2" s="434" t="s">
        <v>268</v>
      </c>
      <c r="I2" s="434" t="s">
        <v>33</v>
      </c>
      <c r="J2" s="434" t="s">
        <v>269</v>
      </c>
      <c r="K2" s="434" t="s">
        <v>270</v>
      </c>
    </row>
    <row r="3" spans="1:11">
      <c r="A3" s="435">
        <v>1</v>
      </c>
      <c r="B3" s="435" t="s">
        <v>271</v>
      </c>
      <c r="C3" s="436" t="s">
        <v>272</v>
      </c>
      <c r="D3" s="435"/>
      <c r="E3" s="435">
        <v>10</v>
      </c>
      <c r="F3" s="452" t="s">
        <v>208</v>
      </c>
      <c r="G3" s="453" t="s">
        <v>273</v>
      </c>
      <c r="H3" s="437">
        <v>45802</v>
      </c>
      <c r="I3" s="437"/>
      <c r="J3" s="437" t="s">
        <v>274</v>
      </c>
      <c r="K3" s="453" t="s">
        <v>275</v>
      </c>
    </row>
    <row r="4" spans="1:11">
      <c r="A4" s="435">
        <f>A3+1</f>
        <v>2</v>
      </c>
      <c r="B4" s="435" t="s">
        <v>276</v>
      </c>
      <c r="C4" s="450" t="s">
        <v>277</v>
      </c>
      <c r="D4" s="435"/>
      <c r="E4" s="435">
        <v>20</v>
      </c>
      <c r="F4" s="452" t="s">
        <v>208</v>
      </c>
      <c r="G4" s="453" t="s">
        <v>278</v>
      </c>
      <c r="H4" s="437">
        <v>46173</v>
      </c>
      <c r="I4" s="453" t="s">
        <v>279</v>
      </c>
      <c r="J4" s="440" t="s">
        <v>274</v>
      </c>
      <c r="K4" s="454" t="s">
        <v>280</v>
      </c>
    </row>
    <row r="5" spans="1:11">
      <c r="A5" s="435">
        <f t="shared" ref="A5:A34" si="0">A4+1</f>
        <v>3</v>
      </c>
      <c r="B5" s="435" t="s">
        <v>281</v>
      </c>
      <c r="C5" s="450" t="s">
        <v>282</v>
      </c>
      <c r="D5" s="435"/>
      <c r="E5" s="435">
        <v>20</v>
      </c>
      <c r="F5" s="452" t="s">
        <v>208</v>
      </c>
      <c r="G5" s="453" t="s">
        <v>283</v>
      </c>
      <c r="H5" s="437">
        <v>46173</v>
      </c>
      <c r="I5" s="601" t="s">
        <v>284</v>
      </c>
      <c r="J5" s="440" t="s">
        <v>274</v>
      </c>
      <c r="K5" s="454" t="s">
        <v>280</v>
      </c>
    </row>
    <row r="6" spans="1:11">
      <c r="A6" s="435">
        <f t="shared" si="0"/>
        <v>4</v>
      </c>
      <c r="B6" s="435" t="s">
        <v>285</v>
      </c>
      <c r="C6" s="450" t="s">
        <v>282</v>
      </c>
      <c r="D6" s="435"/>
      <c r="E6" s="435">
        <v>20</v>
      </c>
      <c r="F6" s="452" t="s">
        <v>208</v>
      </c>
      <c r="G6" s="453" t="s">
        <v>286</v>
      </c>
      <c r="H6" s="437">
        <v>46173</v>
      </c>
      <c r="I6" s="453" t="s">
        <v>287</v>
      </c>
      <c r="J6" s="440" t="s">
        <v>274</v>
      </c>
      <c r="K6" s="454" t="s">
        <v>280</v>
      </c>
    </row>
    <row r="7" spans="1:11">
      <c r="A7" s="435">
        <f t="shared" si="0"/>
        <v>5</v>
      </c>
      <c r="B7" s="435" t="s">
        <v>288</v>
      </c>
      <c r="C7" s="450" t="s">
        <v>289</v>
      </c>
      <c r="D7" s="435"/>
      <c r="E7" s="435">
        <v>20</v>
      </c>
      <c r="F7" s="452" t="s">
        <v>208</v>
      </c>
      <c r="G7" s="453" t="s">
        <v>286</v>
      </c>
      <c r="H7" s="437">
        <v>46173</v>
      </c>
      <c r="I7" s="601" t="s">
        <v>284</v>
      </c>
      <c r="J7" s="440" t="s">
        <v>274</v>
      </c>
      <c r="K7" s="454" t="s">
        <v>280</v>
      </c>
    </row>
    <row r="8" spans="1:11">
      <c r="A8" s="441">
        <f t="shared" si="0"/>
        <v>6</v>
      </c>
      <c r="B8" s="441" t="s">
        <v>290</v>
      </c>
      <c r="C8" s="442"/>
      <c r="D8" s="441"/>
      <c r="E8" s="441">
        <v>10</v>
      </c>
      <c r="F8" s="455" t="s">
        <v>208</v>
      </c>
      <c r="G8" s="456" t="s">
        <v>273</v>
      </c>
      <c r="H8" s="443">
        <v>45802</v>
      </c>
      <c r="I8" s="443" t="s">
        <v>291</v>
      </c>
      <c r="J8" s="256" t="s">
        <v>274</v>
      </c>
      <c r="K8" s="257" t="s">
        <v>275</v>
      </c>
    </row>
    <row r="9" spans="1:11">
      <c r="A9" s="444"/>
      <c r="B9" s="444" t="s">
        <v>292</v>
      </c>
      <c r="C9" s="445"/>
      <c r="D9" s="444"/>
      <c r="E9" s="444"/>
      <c r="F9" s="457"/>
      <c r="G9" s="458"/>
      <c r="H9" s="445"/>
      <c r="I9" s="446" t="s">
        <v>291</v>
      </c>
      <c r="J9" s="256" t="s">
        <v>274</v>
      </c>
      <c r="K9" s="257"/>
    </row>
    <row r="10" spans="1:11" ht="15.6" customHeight="1">
      <c r="A10" s="435">
        <f>A8+1</f>
        <v>7</v>
      </c>
      <c r="B10" s="435" t="s">
        <v>293</v>
      </c>
      <c r="C10" s="450" t="s">
        <v>294</v>
      </c>
      <c r="D10" s="436"/>
      <c r="E10" s="436">
        <v>10</v>
      </c>
      <c r="F10" s="452" t="s">
        <v>208</v>
      </c>
      <c r="G10" s="453" t="s">
        <v>278</v>
      </c>
      <c r="H10" s="437">
        <v>46160</v>
      </c>
      <c r="I10" s="436"/>
      <c r="J10" s="440" t="s">
        <v>274</v>
      </c>
      <c r="K10" s="447" t="s">
        <v>275</v>
      </c>
    </row>
    <row r="11" spans="1:11">
      <c r="A11" s="435">
        <f t="shared" si="0"/>
        <v>8</v>
      </c>
      <c r="B11" s="436" t="s">
        <v>295</v>
      </c>
      <c r="C11" s="450" t="s">
        <v>296</v>
      </c>
      <c r="D11" s="436"/>
      <c r="E11" s="436">
        <v>40</v>
      </c>
      <c r="F11" s="452" t="s">
        <v>208</v>
      </c>
      <c r="G11" s="453" t="s">
        <v>297</v>
      </c>
      <c r="H11" s="437">
        <v>46092</v>
      </c>
      <c r="I11" s="437"/>
      <c r="J11" s="437" t="s">
        <v>274</v>
      </c>
      <c r="K11" s="453" t="s">
        <v>275</v>
      </c>
    </row>
    <row r="12" spans="1:11" ht="15.6" customHeight="1">
      <c r="A12" s="435">
        <f t="shared" si="0"/>
        <v>9</v>
      </c>
      <c r="B12" s="436" t="s">
        <v>298</v>
      </c>
      <c r="C12" s="450" t="s">
        <v>299</v>
      </c>
      <c r="D12" s="436"/>
      <c r="E12" s="436">
        <v>40</v>
      </c>
      <c r="F12" s="452" t="s">
        <v>208</v>
      </c>
      <c r="G12" s="453" t="s">
        <v>297</v>
      </c>
      <c r="H12" s="437">
        <v>46160</v>
      </c>
      <c r="I12" s="436"/>
      <c r="J12" s="437" t="s">
        <v>274</v>
      </c>
      <c r="K12" s="453" t="s">
        <v>275</v>
      </c>
    </row>
    <row r="13" spans="1:11">
      <c r="A13" s="435">
        <f t="shared" si="0"/>
        <v>10</v>
      </c>
      <c r="B13" s="435" t="s">
        <v>300</v>
      </c>
      <c r="C13" s="450" t="s">
        <v>299</v>
      </c>
      <c r="D13" s="436"/>
      <c r="E13" s="436">
        <v>10</v>
      </c>
      <c r="F13" s="452" t="s">
        <v>208</v>
      </c>
      <c r="G13" s="453" t="s">
        <v>273</v>
      </c>
      <c r="H13" s="436"/>
      <c r="I13" s="436"/>
      <c r="J13" s="437" t="s">
        <v>274</v>
      </c>
      <c r="K13" s="453" t="s">
        <v>275</v>
      </c>
    </row>
    <row r="14" spans="1:11">
      <c r="A14" s="435">
        <f t="shared" si="0"/>
        <v>11</v>
      </c>
      <c r="B14" s="435" t="s">
        <v>301</v>
      </c>
      <c r="C14" s="450" t="s">
        <v>302</v>
      </c>
      <c r="D14" s="436"/>
      <c r="E14" s="436">
        <v>10</v>
      </c>
      <c r="F14" s="452" t="s">
        <v>208</v>
      </c>
      <c r="G14" s="453" t="s">
        <v>273</v>
      </c>
      <c r="H14" s="437">
        <v>45802</v>
      </c>
      <c r="I14" s="437"/>
      <c r="J14" s="437" t="s">
        <v>274</v>
      </c>
      <c r="K14" s="453" t="s">
        <v>275</v>
      </c>
    </row>
    <row r="15" spans="1:11">
      <c r="A15" s="435">
        <f t="shared" si="0"/>
        <v>12</v>
      </c>
      <c r="B15" s="435" t="s">
        <v>303</v>
      </c>
      <c r="C15" s="436" t="s">
        <v>304</v>
      </c>
      <c r="D15" s="436"/>
      <c r="E15" s="436">
        <v>10</v>
      </c>
      <c r="F15" s="452" t="s">
        <v>208</v>
      </c>
      <c r="G15" s="453" t="s">
        <v>273</v>
      </c>
      <c r="H15" s="437">
        <v>45802</v>
      </c>
      <c r="I15" s="437"/>
      <c r="J15" s="437" t="s">
        <v>274</v>
      </c>
      <c r="K15" s="453" t="s">
        <v>275</v>
      </c>
    </row>
    <row r="16" spans="1:11">
      <c r="A16" s="435">
        <f t="shared" si="0"/>
        <v>13</v>
      </c>
      <c r="B16" s="435" t="s">
        <v>305</v>
      </c>
      <c r="C16" s="436" t="s">
        <v>306</v>
      </c>
      <c r="D16" s="436"/>
      <c r="E16" s="436">
        <v>10</v>
      </c>
      <c r="F16" s="452" t="s">
        <v>208</v>
      </c>
      <c r="G16" s="453" t="s">
        <v>307</v>
      </c>
      <c r="H16" s="437">
        <v>45802</v>
      </c>
      <c r="I16" s="437"/>
      <c r="J16" s="437" t="s">
        <v>274</v>
      </c>
      <c r="K16" s="453" t="s">
        <v>275</v>
      </c>
    </row>
    <row r="17" spans="1:11">
      <c r="A17" s="435">
        <f t="shared" si="0"/>
        <v>14</v>
      </c>
      <c r="B17" s="435" t="s">
        <v>308</v>
      </c>
      <c r="C17" s="436" t="s">
        <v>309</v>
      </c>
      <c r="D17" s="436"/>
      <c r="E17" s="436">
        <v>10</v>
      </c>
      <c r="F17" s="452" t="s">
        <v>208</v>
      </c>
      <c r="G17" s="453" t="s">
        <v>310</v>
      </c>
      <c r="H17" s="437">
        <v>45802</v>
      </c>
      <c r="I17" s="437"/>
      <c r="J17" s="437" t="s">
        <v>274</v>
      </c>
      <c r="K17" s="453" t="s">
        <v>275</v>
      </c>
    </row>
    <row r="18" spans="1:11">
      <c r="A18" s="435">
        <f t="shared" si="0"/>
        <v>15</v>
      </c>
      <c r="B18" s="435" t="s">
        <v>311</v>
      </c>
      <c r="C18" s="436" t="s">
        <v>304</v>
      </c>
      <c r="D18" s="436"/>
      <c r="E18" s="436">
        <v>10</v>
      </c>
      <c r="F18" s="452" t="s">
        <v>208</v>
      </c>
      <c r="G18" s="453" t="s">
        <v>307</v>
      </c>
      <c r="H18" s="437">
        <v>45802</v>
      </c>
      <c r="I18" s="437"/>
      <c r="J18" s="437" t="s">
        <v>274</v>
      </c>
      <c r="K18" s="453" t="s">
        <v>275</v>
      </c>
    </row>
    <row r="19" spans="1:11" ht="15" customHeight="1">
      <c r="A19" s="435">
        <f t="shared" si="0"/>
        <v>16</v>
      </c>
      <c r="B19" s="435" t="s">
        <v>312</v>
      </c>
      <c r="C19" s="436" t="s">
        <v>313</v>
      </c>
      <c r="D19" s="436"/>
      <c r="E19" s="436">
        <v>10</v>
      </c>
      <c r="F19" s="452" t="s">
        <v>208</v>
      </c>
      <c r="G19" s="453" t="s">
        <v>307</v>
      </c>
      <c r="H19" s="437">
        <v>45802</v>
      </c>
      <c r="I19" s="437"/>
      <c r="J19" s="437" t="s">
        <v>274</v>
      </c>
      <c r="K19" s="453" t="s">
        <v>275</v>
      </c>
    </row>
    <row r="20" spans="1:11">
      <c r="A20" s="435">
        <f t="shared" si="0"/>
        <v>17</v>
      </c>
      <c r="B20" s="435" t="s">
        <v>314</v>
      </c>
      <c r="C20" s="436" t="s">
        <v>309</v>
      </c>
      <c r="D20" s="436"/>
      <c r="E20" s="436">
        <v>10</v>
      </c>
      <c r="F20" s="452" t="s">
        <v>208</v>
      </c>
      <c r="G20" s="453" t="s">
        <v>307</v>
      </c>
      <c r="H20" s="437">
        <v>45802</v>
      </c>
      <c r="I20" s="437"/>
      <c r="J20" s="437" t="s">
        <v>274</v>
      </c>
      <c r="K20" s="453" t="s">
        <v>275</v>
      </c>
    </row>
    <row r="21" spans="1:11">
      <c r="A21" s="435">
        <f t="shared" si="0"/>
        <v>18</v>
      </c>
      <c r="B21" s="435" t="s">
        <v>315</v>
      </c>
      <c r="C21" s="436" t="s">
        <v>309</v>
      </c>
      <c r="D21" s="436"/>
      <c r="E21" s="436">
        <v>10</v>
      </c>
      <c r="F21" s="452" t="s">
        <v>208</v>
      </c>
      <c r="G21" s="453" t="s">
        <v>307</v>
      </c>
      <c r="H21" s="437">
        <v>45802</v>
      </c>
      <c r="I21" s="437"/>
      <c r="J21" s="437" t="s">
        <v>274</v>
      </c>
      <c r="K21" s="453" t="s">
        <v>275</v>
      </c>
    </row>
    <row r="22" spans="1:11">
      <c r="A22" s="435">
        <f t="shared" si="0"/>
        <v>19</v>
      </c>
      <c r="B22" s="435" t="s">
        <v>316</v>
      </c>
      <c r="C22" s="436"/>
      <c r="D22" s="436"/>
      <c r="E22" s="436">
        <v>10</v>
      </c>
      <c r="F22" s="452" t="s">
        <v>208</v>
      </c>
      <c r="G22" s="453" t="s">
        <v>307</v>
      </c>
      <c r="H22" s="437">
        <v>45802</v>
      </c>
      <c r="I22" s="437"/>
      <c r="J22" s="437" t="s">
        <v>274</v>
      </c>
      <c r="K22" s="453" t="s">
        <v>275</v>
      </c>
    </row>
    <row r="23" spans="1:11">
      <c r="A23" s="435">
        <f t="shared" si="0"/>
        <v>20</v>
      </c>
      <c r="B23" s="435" t="s">
        <v>317</v>
      </c>
      <c r="C23" s="436"/>
      <c r="D23" s="436"/>
      <c r="E23" s="436">
        <v>10</v>
      </c>
      <c r="F23" s="452" t="s">
        <v>208</v>
      </c>
      <c r="G23" s="453" t="s">
        <v>307</v>
      </c>
      <c r="H23" s="437">
        <v>45802</v>
      </c>
      <c r="I23" s="437"/>
      <c r="J23" s="437" t="s">
        <v>274</v>
      </c>
      <c r="K23" s="453" t="s">
        <v>275</v>
      </c>
    </row>
    <row r="24" spans="1:11" ht="15.6" customHeight="1">
      <c r="A24" s="438">
        <f t="shared" si="0"/>
        <v>21</v>
      </c>
      <c r="B24" s="438" t="s">
        <v>318</v>
      </c>
      <c r="C24" s="439" t="s">
        <v>294</v>
      </c>
      <c r="D24" s="439"/>
      <c r="E24" s="439">
        <v>10</v>
      </c>
      <c r="F24" s="451" t="s">
        <v>319</v>
      </c>
      <c r="G24" s="447"/>
      <c r="H24" s="439"/>
      <c r="I24" s="439"/>
      <c r="J24" s="440" t="s">
        <v>320</v>
      </c>
      <c r="K24" s="454" t="s">
        <v>280</v>
      </c>
    </row>
    <row r="25" spans="1:11">
      <c r="A25" s="435">
        <f t="shared" si="0"/>
        <v>22</v>
      </c>
      <c r="B25" s="436" t="s">
        <v>321</v>
      </c>
      <c r="C25" s="436" t="s">
        <v>322</v>
      </c>
      <c r="D25" s="436"/>
      <c r="E25" s="436">
        <v>40</v>
      </c>
      <c r="F25" s="452" t="s">
        <v>208</v>
      </c>
      <c r="G25" s="453" t="s">
        <v>297</v>
      </c>
      <c r="H25" s="437">
        <v>46094</v>
      </c>
      <c r="I25" s="437"/>
      <c r="J25" s="437" t="s">
        <v>274</v>
      </c>
      <c r="K25" s="453" t="s">
        <v>275</v>
      </c>
    </row>
    <row r="26" spans="1:11">
      <c r="A26" s="435">
        <f t="shared" si="0"/>
        <v>23</v>
      </c>
      <c r="B26" s="435" t="s">
        <v>323</v>
      </c>
      <c r="C26" s="436" t="s">
        <v>324</v>
      </c>
      <c r="D26" s="436"/>
      <c r="E26" s="436">
        <v>40</v>
      </c>
      <c r="F26" s="452" t="s">
        <v>208</v>
      </c>
      <c r="G26" s="453" t="s">
        <v>297</v>
      </c>
      <c r="H26" s="437">
        <v>46095</v>
      </c>
      <c r="I26" s="437"/>
      <c r="J26" s="437" t="s">
        <v>274</v>
      </c>
      <c r="K26" s="453" t="s">
        <v>275</v>
      </c>
    </row>
    <row r="27" spans="1:11">
      <c r="A27" s="435">
        <f t="shared" si="0"/>
        <v>24</v>
      </c>
      <c r="B27" s="435" t="s">
        <v>325</v>
      </c>
      <c r="C27" s="436" t="s">
        <v>326</v>
      </c>
      <c r="D27" s="436"/>
      <c r="E27" s="436">
        <v>40</v>
      </c>
      <c r="F27" s="452" t="s">
        <v>208</v>
      </c>
      <c r="G27" s="453" t="s">
        <v>297</v>
      </c>
      <c r="H27" s="437">
        <v>46095</v>
      </c>
      <c r="I27" s="437"/>
      <c r="J27" s="437" t="s">
        <v>274</v>
      </c>
      <c r="K27" s="453" t="s">
        <v>275</v>
      </c>
    </row>
    <row r="28" spans="1:11">
      <c r="A28" s="438">
        <f t="shared" si="0"/>
        <v>25</v>
      </c>
      <c r="B28" s="438" t="s">
        <v>327</v>
      </c>
      <c r="C28" s="439" t="s">
        <v>328</v>
      </c>
      <c r="D28" s="439"/>
      <c r="E28" s="439">
        <v>10</v>
      </c>
      <c r="F28" s="451" t="s">
        <v>319</v>
      </c>
      <c r="G28" s="447" t="s">
        <v>307</v>
      </c>
      <c r="H28" s="439"/>
      <c r="I28" s="439"/>
      <c r="J28" s="256" t="s">
        <v>274</v>
      </c>
      <c r="K28" s="458" t="s">
        <v>280</v>
      </c>
    </row>
    <row r="29" spans="1:11">
      <c r="A29" s="438">
        <f t="shared" si="0"/>
        <v>26</v>
      </c>
      <c r="B29" s="438" t="s">
        <v>329</v>
      </c>
      <c r="C29" s="439" t="s">
        <v>330</v>
      </c>
      <c r="D29" s="439"/>
      <c r="E29" s="439">
        <v>10</v>
      </c>
      <c r="F29" s="451" t="s">
        <v>319</v>
      </c>
      <c r="G29" s="447" t="s">
        <v>283</v>
      </c>
      <c r="H29" s="439"/>
      <c r="I29" s="439"/>
      <c r="J29" s="256" t="s">
        <v>274</v>
      </c>
      <c r="K29" s="458" t="s">
        <v>280</v>
      </c>
    </row>
    <row r="30" spans="1:11">
      <c r="A30" s="448"/>
      <c r="B30" s="448" t="s">
        <v>331</v>
      </c>
      <c r="C30" s="449"/>
      <c r="D30" s="449"/>
      <c r="E30" s="449"/>
      <c r="F30" s="251"/>
      <c r="G30" s="459"/>
      <c r="H30" s="449"/>
      <c r="I30" s="459" t="s">
        <v>332</v>
      </c>
      <c r="J30" s="256"/>
      <c r="K30" s="257"/>
    </row>
    <row r="31" spans="1:11">
      <c r="A31" s="435">
        <f>A29+1</f>
        <v>27</v>
      </c>
      <c r="B31" s="435" t="s">
        <v>333</v>
      </c>
      <c r="C31" s="436" t="s">
        <v>334</v>
      </c>
      <c r="D31" s="436"/>
      <c r="E31" s="436">
        <v>10</v>
      </c>
      <c r="F31" s="452" t="s">
        <v>208</v>
      </c>
      <c r="G31" s="453" t="s">
        <v>307</v>
      </c>
      <c r="H31" s="437">
        <v>46099</v>
      </c>
      <c r="I31" s="453" t="s">
        <v>335</v>
      </c>
      <c r="J31" s="437" t="s">
        <v>274</v>
      </c>
      <c r="K31" s="453" t="s">
        <v>275</v>
      </c>
    </row>
    <row r="32" spans="1:11">
      <c r="A32" s="435">
        <f t="shared" si="0"/>
        <v>28</v>
      </c>
      <c r="B32" s="435" t="s">
        <v>336</v>
      </c>
      <c r="C32" s="436" t="s">
        <v>304</v>
      </c>
      <c r="D32" s="436"/>
      <c r="E32" s="436">
        <v>10</v>
      </c>
      <c r="F32" s="452" t="s">
        <v>208</v>
      </c>
      <c r="G32" s="453" t="s">
        <v>307</v>
      </c>
      <c r="H32" s="437">
        <v>46099</v>
      </c>
      <c r="I32" s="437"/>
      <c r="J32" s="437" t="s">
        <v>274</v>
      </c>
      <c r="K32" s="453" t="s">
        <v>275</v>
      </c>
    </row>
    <row r="33" spans="1:11">
      <c r="A33" s="435">
        <f t="shared" si="0"/>
        <v>29</v>
      </c>
      <c r="B33" s="435" t="s">
        <v>337</v>
      </c>
      <c r="C33" s="436" t="s">
        <v>334</v>
      </c>
      <c r="D33" s="436"/>
      <c r="E33" s="436">
        <v>10</v>
      </c>
      <c r="F33" s="452" t="s">
        <v>208</v>
      </c>
      <c r="G33" s="453" t="s">
        <v>307</v>
      </c>
      <c r="H33" s="437">
        <v>46099</v>
      </c>
      <c r="I33" s="437"/>
      <c r="J33" s="437" t="s">
        <v>274</v>
      </c>
      <c r="K33" s="453" t="s">
        <v>275</v>
      </c>
    </row>
    <row r="34" spans="1:11">
      <c r="A34" s="435">
        <f t="shared" si="0"/>
        <v>30</v>
      </c>
      <c r="B34" s="435" t="s">
        <v>338</v>
      </c>
      <c r="C34" s="436" t="s">
        <v>339</v>
      </c>
      <c r="D34" s="436"/>
      <c r="E34" s="436">
        <v>10</v>
      </c>
      <c r="F34" s="452" t="s">
        <v>208</v>
      </c>
      <c r="G34" s="453" t="s">
        <v>307</v>
      </c>
      <c r="H34" s="437">
        <v>46099</v>
      </c>
      <c r="I34" s="437"/>
      <c r="J34" s="437" t="s">
        <v>274</v>
      </c>
      <c r="K34" s="453" t="s">
        <v>275</v>
      </c>
    </row>
    <row r="35" spans="1:11">
      <c r="A35" s="435"/>
      <c r="B35" s="435"/>
      <c r="C35" s="436"/>
      <c r="D35" s="436"/>
      <c r="E35" s="436"/>
      <c r="F35" s="460"/>
      <c r="G35" s="453"/>
      <c r="H35" s="436"/>
      <c r="I35" s="436"/>
      <c r="J35" s="437" t="s">
        <v>274</v>
      </c>
      <c r="K35" s="453" t="s">
        <v>275</v>
      </c>
    </row>
  </sheetData>
  <autoFilter ref="A2:I35" xr:uid="{00000000-0001-0000-0200-000000000000}"/>
  <mergeCells count="1">
    <mergeCell ref="A1:H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5516-B9AE-4767-AB56-B0958135D872}">
  <sheetPr codeName="Sheet9">
    <tabColor rgb="FF00FF00"/>
    <pageSetUpPr fitToPage="1"/>
  </sheetPr>
  <dimension ref="A1:J155"/>
  <sheetViews>
    <sheetView view="pageBreakPreview" zoomScaleNormal="80" zoomScaleSheetLayoutView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I35" sqref="I35"/>
    </sheetView>
  </sheetViews>
  <sheetFormatPr defaultColWidth="9.28515625" defaultRowHeight="15.75"/>
  <cols>
    <col min="1" max="1" width="11.28515625" style="258" customWidth="1"/>
    <col min="2" max="2" width="18" style="258" customWidth="1"/>
    <col min="3" max="7" width="12.5703125" style="258" customWidth="1"/>
    <col min="8" max="8" width="11.7109375" style="258" bestFit="1" customWidth="1"/>
    <col min="9" max="11" width="12.5703125" style="258" customWidth="1"/>
    <col min="12" max="16384" width="9.28515625" style="258"/>
  </cols>
  <sheetData>
    <row r="1" spans="1:10">
      <c r="A1" s="678" t="s">
        <v>89</v>
      </c>
      <c r="B1" s="678"/>
      <c r="C1" s="678"/>
      <c r="D1" s="678"/>
      <c r="E1" s="678"/>
      <c r="F1" s="678"/>
      <c r="G1" s="678"/>
      <c r="H1" s="678"/>
      <c r="I1" s="678"/>
    </row>
    <row r="2" spans="1:10" ht="20.100000000000001" customHeight="1">
      <c r="A2" s="679" t="s">
        <v>194</v>
      </c>
      <c r="B2" s="679" t="s">
        <v>204</v>
      </c>
      <c r="C2" s="681" t="s">
        <v>205</v>
      </c>
      <c r="D2" s="679" t="s">
        <v>206</v>
      </c>
      <c r="E2" s="679"/>
      <c r="F2" s="679"/>
      <c r="G2" s="679" t="s">
        <v>21</v>
      </c>
      <c r="H2" s="679"/>
      <c r="I2" s="679"/>
    </row>
    <row r="3" spans="1:10" ht="20.100000000000001" customHeight="1">
      <c r="A3" s="679"/>
      <c r="B3" s="679"/>
      <c r="C3" s="682"/>
      <c r="D3" s="413" t="s">
        <v>38</v>
      </c>
      <c r="E3" s="413" t="s">
        <v>207</v>
      </c>
      <c r="F3" s="413" t="s">
        <v>208</v>
      </c>
      <c r="G3" s="413" t="s">
        <v>38</v>
      </c>
      <c r="H3" s="413" t="s">
        <v>207</v>
      </c>
      <c r="I3" s="413" t="s">
        <v>208</v>
      </c>
    </row>
    <row r="4" spans="1:10" ht="20.100000000000001" customHeight="1">
      <c r="A4" s="414" t="s">
        <v>209</v>
      </c>
      <c r="B4" s="414" t="s">
        <v>210</v>
      </c>
      <c r="C4" s="415">
        <v>0.62</v>
      </c>
      <c r="D4" s="415">
        <v>0.62</v>
      </c>
      <c r="E4" s="415">
        <v>0.62</v>
      </c>
      <c r="F4" s="415">
        <v>0.62</v>
      </c>
      <c r="G4" s="415">
        <v>0.62</v>
      </c>
      <c r="H4" s="415">
        <v>0.62</v>
      </c>
      <c r="I4" s="415">
        <v>0.62</v>
      </c>
    </row>
    <row r="5" spans="1:10" ht="20.100000000000001" customHeight="1">
      <c r="A5" s="414" t="s">
        <v>209</v>
      </c>
      <c r="B5" s="414" t="s">
        <v>211</v>
      </c>
      <c r="C5" s="415">
        <v>1.5720000000000001</v>
      </c>
      <c r="D5" s="415">
        <v>1.5720000000000001</v>
      </c>
      <c r="E5" s="415">
        <v>1.5720000000000001</v>
      </c>
      <c r="F5" s="415">
        <v>1.5720000000000001</v>
      </c>
      <c r="G5" s="415">
        <v>1.5720000000000001</v>
      </c>
      <c r="H5" s="415">
        <v>1.5720000000000001</v>
      </c>
      <c r="I5" s="415">
        <v>1.5720000000000001</v>
      </c>
    </row>
    <row r="6" spans="1:10" ht="20.100000000000001" customHeight="1">
      <c r="A6" s="414" t="s">
        <v>209</v>
      </c>
      <c r="B6" s="414" t="s">
        <v>212</v>
      </c>
      <c r="C6" s="415">
        <v>1.228</v>
      </c>
      <c r="D6" s="415">
        <v>1.228</v>
      </c>
      <c r="E6" s="415">
        <v>1.228</v>
      </c>
      <c r="F6" s="415">
        <v>1.228</v>
      </c>
      <c r="G6" s="415">
        <f>F6</f>
        <v>1.228</v>
      </c>
      <c r="H6" s="415">
        <f t="shared" ref="H6:I6" si="0">G6</f>
        <v>1.228</v>
      </c>
      <c r="I6" s="415">
        <f t="shared" si="0"/>
        <v>1.228</v>
      </c>
    </row>
    <row r="7" spans="1:10" ht="20.100000000000001" customHeight="1">
      <c r="A7" s="414" t="s">
        <v>209</v>
      </c>
      <c r="B7" s="414" t="s">
        <v>213</v>
      </c>
      <c r="C7" s="416">
        <v>3.9940000000000002</v>
      </c>
      <c r="D7" s="415">
        <f>C7</f>
        <v>3.9940000000000002</v>
      </c>
      <c r="E7" s="415">
        <f>D7</f>
        <v>3.9940000000000002</v>
      </c>
      <c r="F7" s="415">
        <f t="shared" ref="F7:I7" si="1">E7</f>
        <v>3.9940000000000002</v>
      </c>
      <c r="G7" s="415">
        <f t="shared" si="1"/>
        <v>3.9940000000000002</v>
      </c>
      <c r="H7" s="415">
        <f t="shared" si="1"/>
        <v>3.9940000000000002</v>
      </c>
      <c r="I7" s="415">
        <f t="shared" si="1"/>
        <v>3.9940000000000002</v>
      </c>
      <c r="J7" s="417"/>
    </row>
    <row r="8" spans="1:10" ht="20.100000000000001" customHeight="1">
      <c r="A8" s="414" t="s">
        <v>214</v>
      </c>
      <c r="B8" s="414" t="s">
        <v>215</v>
      </c>
      <c r="C8" s="416">
        <v>2.694</v>
      </c>
      <c r="D8" s="415">
        <v>2.694</v>
      </c>
      <c r="E8" s="415">
        <v>2.694</v>
      </c>
      <c r="F8" s="415">
        <v>2.694</v>
      </c>
      <c r="G8" s="415">
        <v>2.694</v>
      </c>
      <c r="H8" s="415">
        <v>2.694</v>
      </c>
      <c r="I8" s="415">
        <v>2.694</v>
      </c>
      <c r="J8" s="417"/>
    </row>
    <row r="9" spans="1:10" ht="20.100000000000001" customHeight="1">
      <c r="A9" s="414" t="s">
        <v>214</v>
      </c>
      <c r="B9" s="414" t="s">
        <v>216</v>
      </c>
      <c r="C9" s="415">
        <v>1.5549999999999999</v>
      </c>
      <c r="D9" s="415">
        <v>1.5549999999999999</v>
      </c>
      <c r="E9" s="415">
        <v>1.5549999999999999</v>
      </c>
      <c r="F9" s="415">
        <v>1.5549999999999999</v>
      </c>
      <c r="G9" s="415">
        <v>1.5549999999999999</v>
      </c>
      <c r="H9" s="415">
        <v>1.5549999999999999</v>
      </c>
      <c r="I9" s="415">
        <v>1.5549999999999999</v>
      </c>
    </row>
    <row r="10" spans="1:10" ht="20.100000000000001" customHeight="1">
      <c r="A10" s="414" t="s">
        <v>201</v>
      </c>
      <c r="B10" s="414" t="s">
        <v>217</v>
      </c>
      <c r="C10" s="415">
        <v>0.42199999999999999</v>
      </c>
      <c r="D10" s="415">
        <v>0.42199999999999999</v>
      </c>
      <c r="E10" s="415">
        <v>0.42199999999999999</v>
      </c>
      <c r="F10" s="415">
        <v>0.42199999999999999</v>
      </c>
      <c r="G10" s="415">
        <v>0.42199999999999999</v>
      </c>
      <c r="H10" s="415">
        <v>0.42199999999999999</v>
      </c>
      <c r="I10" s="415">
        <v>0.42199999999999999</v>
      </c>
    </row>
    <row r="11" spans="1:10" ht="20.100000000000001" customHeight="1">
      <c r="A11" s="414" t="s">
        <v>201</v>
      </c>
      <c r="B11" s="414" t="s">
        <v>218</v>
      </c>
      <c r="C11" s="415">
        <v>3.8809999999999998</v>
      </c>
      <c r="D11" s="415">
        <v>3.8809999999999998</v>
      </c>
      <c r="E11" s="415">
        <v>3.8809999999999998</v>
      </c>
      <c r="F11" s="415">
        <v>3.8809999999999998</v>
      </c>
      <c r="G11" s="415">
        <v>3.8809999999999998</v>
      </c>
      <c r="H11" s="415">
        <v>3.8809999999999998</v>
      </c>
      <c r="I11" s="415">
        <v>3.8809999999999998</v>
      </c>
    </row>
    <row r="12" spans="1:10" ht="20.100000000000001" customHeight="1">
      <c r="A12" s="414" t="s">
        <v>201</v>
      </c>
      <c r="B12" s="414" t="s">
        <v>219</v>
      </c>
      <c r="C12" s="415">
        <v>4.3280000000000003</v>
      </c>
      <c r="D12" s="415">
        <v>4.3280000000000003</v>
      </c>
      <c r="E12" s="415">
        <v>4.3280000000000003</v>
      </c>
      <c r="F12" s="415">
        <v>4.3280000000000003</v>
      </c>
      <c r="G12" s="415">
        <v>4.3280000000000003</v>
      </c>
      <c r="H12" s="415">
        <v>4.3280000000000003</v>
      </c>
      <c r="I12" s="415">
        <v>4.3280000000000003</v>
      </c>
    </row>
    <row r="13" spans="1:10" ht="20.100000000000001" customHeight="1">
      <c r="A13" s="414" t="s">
        <v>201</v>
      </c>
      <c r="B13" s="414" t="s">
        <v>220</v>
      </c>
      <c r="C13" s="415">
        <v>2.9</v>
      </c>
      <c r="D13" s="415">
        <v>2.9</v>
      </c>
      <c r="E13" s="415">
        <v>2.9</v>
      </c>
      <c r="F13" s="415">
        <v>2.9</v>
      </c>
      <c r="G13" s="415">
        <v>2.9</v>
      </c>
      <c r="H13" s="415">
        <v>2.9</v>
      </c>
      <c r="I13" s="415">
        <v>2.9</v>
      </c>
    </row>
    <row r="14" spans="1:10" ht="20.100000000000001" customHeight="1">
      <c r="A14" s="414" t="s">
        <v>201</v>
      </c>
      <c r="B14" s="414" t="s">
        <v>221</v>
      </c>
      <c r="C14" s="415">
        <v>3.5259999999999998</v>
      </c>
      <c r="D14" s="415">
        <v>3.5259999999999998</v>
      </c>
      <c r="E14" s="415">
        <v>3.5259999999999998</v>
      </c>
      <c r="F14" s="415">
        <v>3.5259999999999998</v>
      </c>
      <c r="G14" s="415">
        <v>3.5259999999999998</v>
      </c>
      <c r="H14" s="415">
        <v>3.5259999999999998</v>
      </c>
      <c r="I14" s="415">
        <v>3.5259999999999998</v>
      </c>
    </row>
    <row r="15" spans="1:10" ht="20.100000000000001" customHeight="1">
      <c r="A15" s="414" t="s">
        <v>201</v>
      </c>
      <c r="B15" s="414" t="s">
        <v>222</v>
      </c>
      <c r="C15" s="415">
        <v>2.3119999999999998</v>
      </c>
      <c r="D15" s="415">
        <v>2.3119999999999998</v>
      </c>
      <c r="E15" s="415">
        <v>2.3119999999999998</v>
      </c>
      <c r="F15" s="415">
        <v>2.3119999999999998</v>
      </c>
      <c r="G15" s="415">
        <v>2.3119999999999998</v>
      </c>
      <c r="H15" s="415">
        <v>2.3119999999999998</v>
      </c>
      <c r="I15" s="415">
        <v>2.3119999999999998</v>
      </c>
    </row>
    <row r="16" spans="1:10" ht="20.100000000000001" customHeight="1">
      <c r="A16" s="414" t="s">
        <v>201</v>
      </c>
      <c r="B16" s="414" t="s">
        <v>223</v>
      </c>
      <c r="C16" s="415">
        <v>4.7039999999999997</v>
      </c>
      <c r="D16" s="415">
        <v>4.7039999999999997</v>
      </c>
      <c r="E16" s="415">
        <v>4.7039999999999997</v>
      </c>
      <c r="F16" s="415">
        <v>4.7039999999999997</v>
      </c>
      <c r="G16" s="415">
        <v>4.7039999999999997</v>
      </c>
      <c r="H16" s="415">
        <v>4.7039999999999997</v>
      </c>
      <c r="I16" s="415">
        <v>4.7039999999999997</v>
      </c>
    </row>
    <row r="17" spans="1:10" ht="20.100000000000001" customHeight="1">
      <c r="A17" s="414" t="s">
        <v>201</v>
      </c>
      <c r="B17" s="414" t="s">
        <v>224</v>
      </c>
      <c r="C17" s="415">
        <v>1.5569999999999999</v>
      </c>
      <c r="D17" s="415">
        <v>1.5569999999999999</v>
      </c>
      <c r="E17" s="415">
        <v>1.5569999999999999</v>
      </c>
      <c r="F17" s="415">
        <v>1.5569999999999999</v>
      </c>
      <c r="G17" s="415">
        <v>1.5569999999999999</v>
      </c>
      <c r="H17" s="415">
        <v>1.5569999999999999</v>
      </c>
      <c r="I17" s="415">
        <v>1.5569999999999999</v>
      </c>
    </row>
    <row r="18" spans="1:10" ht="20.100000000000001" customHeight="1">
      <c r="A18" s="414" t="s">
        <v>201</v>
      </c>
      <c r="B18" s="414" t="s">
        <v>225</v>
      </c>
      <c r="C18" s="415">
        <v>1.9470000000000001</v>
      </c>
      <c r="D18" s="415">
        <v>1.9470000000000001</v>
      </c>
      <c r="E18" s="415">
        <v>1.9470000000000001</v>
      </c>
      <c r="F18" s="415">
        <v>1.9470000000000001</v>
      </c>
      <c r="G18" s="415">
        <v>1.9470000000000001</v>
      </c>
      <c r="H18" s="415">
        <v>1.9470000000000001</v>
      </c>
      <c r="I18" s="415">
        <v>1.9470000000000001</v>
      </c>
    </row>
    <row r="19" spans="1:10" ht="20.100000000000001" customHeight="1">
      <c r="A19" s="414" t="s">
        <v>201</v>
      </c>
      <c r="B19" s="414" t="s">
        <v>226</v>
      </c>
      <c r="C19" s="415">
        <v>0.40500000000000003</v>
      </c>
      <c r="D19" s="415">
        <v>0.40500000000000003</v>
      </c>
      <c r="E19" s="415">
        <v>0.40500000000000003</v>
      </c>
      <c r="F19" s="415">
        <v>0.40500000000000003</v>
      </c>
      <c r="G19" s="415">
        <v>0.40500000000000003</v>
      </c>
      <c r="H19" s="415">
        <v>0.40500000000000003</v>
      </c>
      <c r="I19" s="415">
        <v>0.40500000000000003</v>
      </c>
    </row>
    <row r="20" spans="1:10" ht="20.100000000000001" customHeight="1">
      <c r="A20" s="414" t="s">
        <v>201</v>
      </c>
      <c r="B20" s="414" t="s">
        <v>227</v>
      </c>
      <c r="C20" s="415">
        <f>5.966+2.39</f>
        <v>8.3559999999999999</v>
      </c>
      <c r="D20" s="415">
        <f t="shared" ref="D20:I20" si="2">5.966+2.39</f>
        <v>8.3559999999999999</v>
      </c>
      <c r="E20" s="415">
        <f t="shared" si="2"/>
        <v>8.3559999999999999</v>
      </c>
      <c r="F20" s="415">
        <f t="shared" si="2"/>
        <v>8.3559999999999999</v>
      </c>
      <c r="G20" s="415">
        <f t="shared" si="2"/>
        <v>8.3559999999999999</v>
      </c>
      <c r="H20" s="415">
        <f t="shared" si="2"/>
        <v>8.3559999999999999</v>
      </c>
      <c r="I20" s="415">
        <f t="shared" si="2"/>
        <v>8.3559999999999999</v>
      </c>
    </row>
    <row r="21" spans="1:10" ht="20.100000000000001" customHeight="1">
      <c r="A21" s="414" t="s">
        <v>201</v>
      </c>
      <c r="B21" s="414" t="s">
        <v>228</v>
      </c>
      <c r="C21" s="415">
        <v>0.81699999999999995</v>
      </c>
      <c r="D21" s="415">
        <v>0.81699999999999995</v>
      </c>
      <c r="E21" s="415">
        <v>0.81699999999999995</v>
      </c>
      <c r="F21" s="415">
        <v>0.81699999999999995</v>
      </c>
      <c r="G21" s="415">
        <v>0.81699999999999995</v>
      </c>
      <c r="H21" s="415">
        <v>0.81699999999999995</v>
      </c>
      <c r="I21" s="415">
        <v>0.81699999999999995</v>
      </c>
    </row>
    <row r="22" spans="1:10" ht="20.100000000000001" customHeight="1">
      <c r="A22" s="418" t="s">
        <v>201</v>
      </c>
      <c r="B22" s="414" t="s">
        <v>229</v>
      </c>
      <c r="C22" s="415">
        <v>5.2190000000000003</v>
      </c>
      <c r="D22" s="415">
        <v>5.2190000000000003</v>
      </c>
      <c r="E22" s="415">
        <v>5.2190000000000003</v>
      </c>
      <c r="F22" s="415">
        <v>5.2190000000000003</v>
      </c>
      <c r="G22" s="415">
        <v>5.2190000000000003</v>
      </c>
      <c r="H22" s="415">
        <v>5.2190000000000003</v>
      </c>
      <c r="I22" s="415">
        <v>5.2190000000000003</v>
      </c>
    </row>
    <row r="23" spans="1:10" ht="20.100000000000001" customHeight="1">
      <c r="A23" s="414" t="s">
        <v>201</v>
      </c>
      <c r="B23" s="414" t="s">
        <v>230</v>
      </c>
      <c r="C23" s="415">
        <v>7.07</v>
      </c>
      <c r="D23" s="415">
        <v>7.07</v>
      </c>
      <c r="E23" s="415">
        <v>7.07</v>
      </c>
      <c r="F23" s="415">
        <v>7.07</v>
      </c>
      <c r="G23" s="415">
        <v>7.07</v>
      </c>
      <c r="H23" s="415">
        <v>7.07</v>
      </c>
      <c r="I23" s="415">
        <v>7.07</v>
      </c>
    </row>
    <row r="24" spans="1:10" ht="20.100000000000001" customHeight="1">
      <c r="A24" s="414" t="s">
        <v>201</v>
      </c>
      <c r="B24" s="414" t="s">
        <v>231</v>
      </c>
      <c r="C24" s="415">
        <v>2.6930000000000001</v>
      </c>
      <c r="D24" s="415">
        <v>2.6930000000000001</v>
      </c>
      <c r="E24" s="415">
        <v>2.6930000000000001</v>
      </c>
      <c r="F24" s="415">
        <v>2.6930000000000001</v>
      </c>
      <c r="G24" s="415">
        <v>2.6930000000000001</v>
      </c>
      <c r="H24" s="415">
        <v>2.6930000000000001</v>
      </c>
      <c r="I24" s="415">
        <v>2.6930000000000001</v>
      </c>
    </row>
    <row r="25" spans="1:10" ht="20.100000000000001" customHeight="1">
      <c r="A25" s="419" t="s">
        <v>201</v>
      </c>
      <c r="B25" s="419" t="s">
        <v>232</v>
      </c>
      <c r="C25" s="420">
        <v>1.429</v>
      </c>
      <c r="D25" s="420">
        <f>C25</f>
        <v>1.429</v>
      </c>
      <c r="E25" s="420">
        <f>D25</f>
        <v>1.429</v>
      </c>
      <c r="F25" s="420"/>
      <c r="G25" s="420"/>
      <c r="H25" s="420"/>
      <c r="I25" s="420"/>
    </row>
    <row r="26" spans="1:10" ht="20.100000000000001" customHeight="1">
      <c r="A26" s="414" t="s">
        <v>201</v>
      </c>
      <c r="B26" s="414" t="s">
        <v>233</v>
      </c>
      <c r="C26" s="415">
        <v>5.3010000000000002</v>
      </c>
      <c r="D26" s="415">
        <f>C26</f>
        <v>5.3010000000000002</v>
      </c>
      <c r="E26" s="415">
        <f>D26</f>
        <v>5.3010000000000002</v>
      </c>
      <c r="F26" s="415">
        <f>E26</f>
        <v>5.3010000000000002</v>
      </c>
      <c r="G26" s="420"/>
      <c r="H26" s="420"/>
      <c r="I26" s="420"/>
    </row>
    <row r="27" spans="1:10" ht="20.100000000000001" customHeight="1">
      <c r="A27" s="599" t="s">
        <v>201</v>
      </c>
      <c r="B27" s="599" t="s">
        <v>234</v>
      </c>
      <c r="C27" s="600">
        <v>3.992</v>
      </c>
      <c r="D27" s="600">
        <v>3.992</v>
      </c>
      <c r="E27" s="600">
        <v>3.992</v>
      </c>
      <c r="F27" s="420"/>
      <c r="G27" s="420"/>
      <c r="H27" s="420"/>
      <c r="I27" s="420"/>
      <c r="J27" s="417"/>
    </row>
    <row r="28" spans="1:10" ht="20.100000000000001" customHeight="1">
      <c r="A28" s="414" t="s">
        <v>201</v>
      </c>
      <c r="B28" s="414" t="s">
        <v>235</v>
      </c>
      <c r="C28" s="415">
        <v>3.1419999999999999</v>
      </c>
      <c r="D28" s="415">
        <v>3.1419999999999999</v>
      </c>
      <c r="E28" s="415">
        <v>3.1419999999999999</v>
      </c>
      <c r="F28" s="415">
        <v>3.1419999999999999</v>
      </c>
      <c r="G28" s="415">
        <v>3.1419999999999999</v>
      </c>
      <c r="H28" s="415">
        <v>3.1419999999999999</v>
      </c>
      <c r="I28" s="415">
        <v>3.1419999999999999</v>
      </c>
    </row>
    <row r="29" spans="1:10" ht="20.100000000000001" customHeight="1">
      <c r="A29" s="414" t="s">
        <v>201</v>
      </c>
      <c r="B29" s="414" t="s">
        <v>236</v>
      </c>
      <c r="C29" s="415">
        <v>2.4769999999999999</v>
      </c>
      <c r="D29" s="415">
        <v>2.4769999999999999</v>
      </c>
      <c r="E29" s="415">
        <v>2.4769999999999999</v>
      </c>
      <c r="F29" s="415">
        <v>2.4769999999999999</v>
      </c>
      <c r="G29" s="415">
        <v>2.4769999999999999</v>
      </c>
      <c r="H29" s="415">
        <v>2.4769999999999999</v>
      </c>
      <c r="I29" s="415">
        <v>2.4769999999999999</v>
      </c>
    </row>
    <row r="30" spans="1:10" ht="20.100000000000001" customHeight="1">
      <c r="A30" s="414" t="s">
        <v>201</v>
      </c>
      <c r="B30" s="414" t="s">
        <v>237</v>
      </c>
      <c r="C30" s="415">
        <v>1.1279999999999999</v>
      </c>
      <c r="D30" s="415">
        <v>1.1279999999999999</v>
      </c>
      <c r="E30" s="415">
        <v>1.1279999999999999</v>
      </c>
      <c r="F30" s="415">
        <v>1.1279999999999999</v>
      </c>
      <c r="G30" s="415">
        <v>1.1279999999999999</v>
      </c>
      <c r="H30" s="415">
        <v>1.1279999999999999</v>
      </c>
      <c r="I30" s="415">
        <v>1.1279999999999999</v>
      </c>
    </row>
    <row r="31" spans="1:10" ht="20.100000000000001" customHeight="1">
      <c r="A31" s="599" t="s">
        <v>201</v>
      </c>
      <c r="B31" s="599" t="s">
        <v>238</v>
      </c>
      <c r="C31" s="600">
        <v>5.9160000000000004</v>
      </c>
      <c r="D31" s="600">
        <v>5.9160000000000004</v>
      </c>
      <c r="E31" s="600">
        <v>5.9160000000000004</v>
      </c>
      <c r="F31" s="420">
        <v>4.5140000000000002</v>
      </c>
      <c r="G31" s="420"/>
      <c r="H31" s="420"/>
      <c r="I31" s="420"/>
    </row>
    <row r="32" spans="1:10" ht="20.100000000000001" customHeight="1">
      <c r="A32" s="414" t="s">
        <v>201</v>
      </c>
      <c r="B32" s="414" t="s">
        <v>239</v>
      </c>
      <c r="C32" s="415">
        <v>0.24399999999999999</v>
      </c>
      <c r="D32" s="415">
        <v>0.24399999999999999</v>
      </c>
      <c r="E32" s="415">
        <v>0.24399999999999999</v>
      </c>
      <c r="F32" s="415">
        <v>0.24399999999999999</v>
      </c>
      <c r="G32" s="415">
        <v>0.24399999999999999</v>
      </c>
      <c r="H32" s="415">
        <v>0.24399999999999999</v>
      </c>
      <c r="I32" s="415">
        <v>0.24399999999999999</v>
      </c>
    </row>
    <row r="33" spans="1:9" ht="20.100000000000001" customHeight="1">
      <c r="A33" s="414" t="s">
        <v>201</v>
      </c>
      <c r="B33" s="414" t="s">
        <v>240</v>
      </c>
      <c r="C33" s="415">
        <v>6.5970000000000004</v>
      </c>
      <c r="D33" s="415">
        <v>6.5970000000000004</v>
      </c>
      <c r="E33" s="415">
        <v>6.5970000000000004</v>
      </c>
      <c r="F33" s="415">
        <v>6.5970000000000004</v>
      </c>
      <c r="G33" s="415">
        <v>6.5970000000000004</v>
      </c>
      <c r="H33" s="415">
        <v>6.5970000000000004</v>
      </c>
      <c r="I33" s="415">
        <v>6.5970000000000004</v>
      </c>
    </row>
    <row r="34" spans="1:9" ht="20.100000000000001" customHeight="1">
      <c r="A34" s="414" t="s">
        <v>201</v>
      </c>
      <c r="B34" s="414" t="s">
        <v>241</v>
      </c>
      <c r="C34" s="415">
        <v>0.24299999999999999</v>
      </c>
      <c r="D34" s="415">
        <v>0.24299999999999999</v>
      </c>
      <c r="E34" s="415">
        <v>0.24299999999999999</v>
      </c>
      <c r="F34" s="415">
        <v>0.24299999999999999</v>
      </c>
      <c r="G34" s="415">
        <v>0.24299999999999999</v>
      </c>
      <c r="H34" s="415">
        <v>0.24299999999999999</v>
      </c>
      <c r="I34" s="415">
        <v>0.24299999999999999</v>
      </c>
    </row>
    <row r="35" spans="1:9" ht="20.100000000000001" customHeight="1">
      <c r="A35" s="414" t="s">
        <v>201</v>
      </c>
      <c r="B35" s="414" t="s">
        <v>242</v>
      </c>
      <c r="C35" s="415">
        <v>5.0609999999999999</v>
      </c>
      <c r="D35" s="415">
        <v>5.0609999999999999</v>
      </c>
      <c r="E35" s="415">
        <v>5.0609999999999999</v>
      </c>
      <c r="F35" s="415">
        <v>5.0609999999999999</v>
      </c>
      <c r="G35" s="415">
        <v>5.0609999999999999</v>
      </c>
      <c r="H35" s="415">
        <v>5.0609999999999999</v>
      </c>
      <c r="I35" s="415">
        <v>5.0609999999999999</v>
      </c>
    </row>
    <row r="36" spans="1:9" ht="20.100000000000001" customHeight="1">
      <c r="A36" s="414" t="s">
        <v>201</v>
      </c>
      <c r="B36" s="414" t="s">
        <v>243</v>
      </c>
      <c r="C36" s="415">
        <v>4.7119999999999997</v>
      </c>
      <c r="D36" s="415">
        <v>4.7119999999999997</v>
      </c>
      <c r="E36" s="415">
        <v>4.7119999999999997</v>
      </c>
      <c r="F36" s="415">
        <v>4.7119999999999997</v>
      </c>
      <c r="G36" s="415">
        <v>4.7119999999999997</v>
      </c>
      <c r="H36" s="415">
        <v>4.7119999999999997</v>
      </c>
      <c r="I36" s="415">
        <v>4.7119999999999997</v>
      </c>
    </row>
    <row r="37" spans="1:9" ht="20.100000000000001" customHeight="1">
      <c r="A37" s="414" t="s">
        <v>201</v>
      </c>
      <c r="B37" s="414" t="s">
        <v>244</v>
      </c>
      <c r="C37" s="415">
        <v>2.794</v>
      </c>
      <c r="D37" s="415">
        <v>2.794</v>
      </c>
      <c r="E37" s="415">
        <v>2.794</v>
      </c>
      <c r="F37" s="415">
        <v>2.794</v>
      </c>
      <c r="G37" s="415">
        <v>2.794</v>
      </c>
      <c r="H37" s="415">
        <v>2.794</v>
      </c>
      <c r="I37" s="415">
        <v>2.794</v>
      </c>
    </row>
    <row r="38" spans="1:9" ht="20.100000000000001" customHeight="1">
      <c r="A38" s="414" t="s">
        <v>202</v>
      </c>
      <c r="B38" s="414" t="s">
        <v>245</v>
      </c>
      <c r="C38" s="415">
        <v>2.7509999999999999</v>
      </c>
      <c r="D38" s="415">
        <v>2.7509999999999999</v>
      </c>
      <c r="E38" s="415">
        <v>2.7509999999999999</v>
      </c>
      <c r="F38" s="415">
        <v>2.7509999999999999</v>
      </c>
      <c r="G38" s="415">
        <v>2.7509999999999999</v>
      </c>
      <c r="H38" s="415">
        <v>2.7509999999999999</v>
      </c>
      <c r="I38" s="415">
        <v>2.7509999999999999</v>
      </c>
    </row>
    <row r="39" spans="1:9" ht="20.100000000000001" customHeight="1">
      <c r="A39" s="414" t="s">
        <v>202</v>
      </c>
      <c r="B39" s="414" t="s">
        <v>246</v>
      </c>
      <c r="C39" s="415">
        <v>6.7279999999999998</v>
      </c>
      <c r="D39" s="415">
        <v>6.7279999999999998</v>
      </c>
      <c r="E39" s="415">
        <v>6.7279999999999998</v>
      </c>
      <c r="F39" s="415">
        <v>6.7279999999999998</v>
      </c>
      <c r="G39" s="415">
        <f>F39</f>
        <v>6.7279999999999998</v>
      </c>
      <c r="H39" s="415">
        <f>G39</f>
        <v>6.7279999999999998</v>
      </c>
      <c r="I39" s="415">
        <v>2.593</v>
      </c>
    </row>
    <row r="40" spans="1:9" ht="20.100000000000001" customHeight="1">
      <c r="A40" s="680"/>
      <c r="B40" s="680"/>
      <c r="C40" s="421">
        <f>SUM(C4:C39)</f>
        <v>114.31499999999998</v>
      </c>
      <c r="D40" s="421">
        <f>SUM(D4:D39)</f>
        <v>114.31499999999998</v>
      </c>
      <c r="E40" s="421">
        <f t="shared" ref="E40:F40" si="3">SUM(E4:E39)</f>
        <v>114.31499999999998</v>
      </c>
      <c r="F40" s="421">
        <f t="shared" si="3"/>
        <v>107.49199999999998</v>
      </c>
      <c r="G40" s="421">
        <f>SUM(G4:G39)</f>
        <v>97.677000000000007</v>
      </c>
      <c r="H40" s="421">
        <f>SUM(H4:H39)</f>
        <v>97.677000000000007</v>
      </c>
      <c r="I40" s="421">
        <f>SUM(I4:I39)</f>
        <v>93.542000000000016</v>
      </c>
    </row>
    <row r="41" spans="1:9" ht="20.100000000000001" customHeight="1">
      <c r="F41" s="417">
        <f>C40-F40</f>
        <v>6.8230000000000075</v>
      </c>
    </row>
    <row r="42" spans="1:9" ht="20.100000000000001" customHeight="1"/>
    <row r="43" spans="1:9" ht="20.100000000000001" customHeight="1"/>
    <row r="44" spans="1:9" ht="20.100000000000001" customHeight="1"/>
    <row r="45" spans="1:9" ht="20.100000000000001" customHeight="1"/>
    <row r="46" spans="1:9" ht="20.100000000000001" customHeight="1"/>
    <row r="47" spans="1:9" ht="20.100000000000001" customHeight="1"/>
    <row r="48" spans="1:9" ht="20.100000000000001" customHeight="1"/>
    <row r="49" s="258" customFormat="1" ht="20.100000000000001" customHeight="1"/>
    <row r="50" s="258" customFormat="1" ht="20.100000000000001" customHeight="1"/>
    <row r="51" s="258" customFormat="1" ht="20.100000000000001" customHeight="1"/>
    <row r="52" s="258" customFormat="1" ht="20.100000000000001" customHeight="1"/>
    <row r="53" s="258" customFormat="1" ht="20.100000000000001" customHeight="1"/>
    <row r="54" s="258" customFormat="1" ht="20.100000000000001" customHeight="1"/>
    <row r="55" s="258" customFormat="1" ht="20.100000000000001" customHeight="1"/>
    <row r="56" s="258" customFormat="1" ht="20.100000000000001" customHeight="1"/>
    <row r="57" s="258" customFormat="1" ht="20.100000000000001" customHeight="1"/>
    <row r="58" s="258" customFormat="1" ht="20.100000000000001" customHeight="1"/>
    <row r="59" s="258" customFormat="1" ht="20.100000000000001" customHeight="1"/>
    <row r="60" s="258" customFormat="1" ht="20.100000000000001" customHeight="1"/>
    <row r="61" s="258" customFormat="1" ht="20.100000000000001" customHeight="1"/>
    <row r="62" s="258" customFormat="1" ht="20.100000000000001" customHeight="1"/>
    <row r="63" s="258" customFormat="1" ht="20.100000000000001" customHeight="1"/>
    <row r="64" s="258" customFormat="1" ht="20.100000000000001" customHeight="1"/>
    <row r="65" s="258" customFormat="1" ht="20.100000000000001" customHeight="1"/>
    <row r="66" s="258" customFormat="1" ht="20.100000000000001" customHeight="1"/>
    <row r="67" s="258" customFormat="1" ht="20.100000000000001" customHeight="1"/>
    <row r="68" s="258" customFormat="1" ht="20.100000000000001" customHeight="1"/>
    <row r="69" s="258" customFormat="1" ht="20.100000000000001" customHeight="1"/>
    <row r="70" s="258" customFormat="1" ht="20.100000000000001" customHeight="1"/>
    <row r="71" s="258" customFormat="1" ht="20.100000000000001" customHeight="1"/>
    <row r="72" s="258" customFormat="1" ht="20.100000000000001" customHeight="1"/>
    <row r="73" s="258" customFormat="1" ht="20.100000000000001" customHeight="1"/>
    <row r="74" s="258" customFormat="1" ht="20.100000000000001" customHeight="1"/>
    <row r="75" s="258" customFormat="1" ht="20.100000000000001" customHeight="1"/>
    <row r="76" s="258" customFormat="1" ht="20.100000000000001" customHeight="1"/>
    <row r="77" s="258" customFormat="1" ht="20.100000000000001" customHeight="1"/>
    <row r="78" s="258" customFormat="1" ht="20.100000000000001" customHeight="1"/>
    <row r="79" s="258" customFormat="1" ht="20.100000000000001" customHeight="1"/>
    <row r="80" s="258" customFormat="1" ht="20.100000000000001" customHeight="1"/>
    <row r="81" s="258" customFormat="1" ht="20.100000000000001" customHeight="1"/>
    <row r="82" s="258" customFormat="1" ht="20.100000000000001" customHeight="1"/>
    <row r="83" s="258" customFormat="1" ht="20.100000000000001" customHeight="1"/>
    <row r="84" s="258" customFormat="1" ht="20.100000000000001" customHeight="1"/>
    <row r="85" s="258" customFormat="1" ht="20.100000000000001" customHeight="1"/>
    <row r="86" s="258" customFormat="1" ht="20.100000000000001" customHeight="1"/>
    <row r="87" s="258" customFormat="1" ht="20.100000000000001" customHeight="1"/>
    <row r="88" s="258" customFormat="1" ht="20.100000000000001" customHeight="1"/>
    <row r="89" s="258" customFormat="1" ht="20.100000000000001" customHeight="1"/>
    <row r="90" s="258" customFormat="1" ht="20.100000000000001" customHeight="1"/>
    <row r="91" s="258" customFormat="1" ht="20.100000000000001" customHeight="1"/>
    <row r="92" s="258" customFormat="1" ht="20.100000000000001" customHeight="1"/>
    <row r="93" s="258" customFormat="1" ht="20.100000000000001" customHeight="1"/>
    <row r="94" s="258" customFormat="1" ht="20.100000000000001" customHeight="1"/>
    <row r="95" s="258" customFormat="1" ht="20.100000000000001" customHeight="1"/>
    <row r="96" s="258" customFormat="1" ht="20.100000000000001" customHeight="1"/>
    <row r="97" s="258" customFormat="1" ht="20.100000000000001" customHeight="1"/>
    <row r="98" s="258" customFormat="1" ht="20.100000000000001" customHeight="1"/>
    <row r="99" s="258" customFormat="1" ht="20.100000000000001" customHeight="1"/>
    <row r="100" s="258" customFormat="1" ht="20.100000000000001" customHeight="1"/>
    <row r="101" s="258" customFormat="1" ht="20.100000000000001" customHeight="1"/>
    <row r="102" s="258" customFormat="1" ht="20.100000000000001" customHeight="1"/>
    <row r="103" s="258" customFormat="1" ht="20.100000000000001" customHeight="1"/>
    <row r="104" s="258" customFormat="1" ht="20.100000000000001" customHeight="1"/>
    <row r="105" s="258" customFormat="1" ht="20.100000000000001" customHeight="1"/>
    <row r="106" s="258" customFormat="1" ht="20.100000000000001" customHeight="1"/>
    <row r="107" s="258" customFormat="1" ht="20.100000000000001" customHeight="1"/>
    <row r="108" s="258" customFormat="1" ht="20.100000000000001" customHeight="1"/>
    <row r="109" s="258" customFormat="1" ht="20.100000000000001" customHeight="1"/>
    <row r="110" s="258" customFormat="1" ht="20.100000000000001" customHeight="1"/>
    <row r="111" s="258" customFormat="1" ht="20.100000000000001" customHeight="1"/>
    <row r="112" s="258" customFormat="1" ht="20.100000000000001" customHeight="1"/>
    <row r="113" s="258" customFormat="1" ht="20.100000000000001" customHeight="1"/>
    <row r="114" s="258" customFormat="1" ht="20.100000000000001" customHeight="1"/>
    <row r="115" s="258" customFormat="1" ht="20.100000000000001" customHeight="1"/>
    <row r="116" s="258" customFormat="1" ht="20.100000000000001" customHeight="1"/>
    <row r="117" s="258" customFormat="1" ht="20.100000000000001" customHeight="1"/>
    <row r="118" s="258" customFormat="1" ht="20.100000000000001" customHeight="1"/>
    <row r="119" s="258" customFormat="1" ht="20.100000000000001" customHeight="1"/>
    <row r="120" s="258" customFormat="1" ht="20.100000000000001" customHeight="1"/>
    <row r="121" s="258" customFormat="1" ht="20.100000000000001" customHeight="1"/>
    <row r="122" s="258" customFormat="1" ht="20.100000000000001" customHeight="1"/>
    <row r="123" s="258" customFormat="1" ht="20.100000000000001" customHeight="1"/>
    <row r="124" s="258" customFormat="1" ht="20.100000000000001" customHeight="1"/>
    <row r="125" s="258" customFormat="1" ht="20.100000000000001" customHeight="1"/>
    <row r="126" s="258" customFormat="1" ht="20.100000000000001" customHeight="1"/>
    <row r="127" s="258" customFormat="1" ht="20.100000000000001" customHeight="1"/>
    <row r="128" s="258" customFormat="1" ht="20.100000000000001" customHeight="1"/>
    <row r="129" s="258" customFormat="1" ht="20.100000000000001" customHeight="1"/>
    <row r="130" s="258" customFormat="1" ht="20.100000000000001" customHeight="1"/>
    <row r="131" s="258" customFormat="1" ht="20.100000000000001" customHeight="1"/>
    <row r="132" s="258" customFormat="1" ht="20.100000000000001" customHeight="1"/>
    <row r="133" s="258" customFormat="1" ht="20.100000000000001" customHeight="1"/>
    <row r="134" s="258" customFormat="1" ht="20.100000000000001" customHeight="1"/>
    <row r="135" s="258" customFormat="1" ht="20.100000000000001" customHeight="1"/>
    <row r="136" s="258" customFormat="1" ht="20.100000000000001" customHeight="1"/>
    <row r="137" s="258" customFormat="1" ht="20.100000000000001" customHeight="1"/>
    <row r="138" s="258" customFormat="1" ht="20.100000000000001" customHeight="1"/>
    <row r="139" s="258" customFormat="1" ht="20.100000000000001" customHeight="1"/>
    <row r="140" s="258" customFormat="1" ht="20.100000000000001" customHeight="1"/>
    <row r="141" s="258" customFormat="1" ht="20.100000000000001" customHeight="1"/>
    <row r="142" s="258" customFormat="1" ht="20.100000000000001" customHeight="1"/>
    <row r="143" s="258" customFormat="1" ht="20.100000000000001" customHeight="1"/>
    <row r="144" s="258" customFormat="1" ht="20.100000000000001" customHeight="1"/>
    <row r="145" spans="9:9" ht="20.100000000000001" customHeight="1"/>
    <row r="146" spans="9:9" ht="20.100000000000001" customHeight="1"/>
    <row r="147" spans="9:9" ht="20.100000000000001" customHeight="1"/>
    <row r="148" spans="9:9" ht="20.100000000000001" customHeight="1"/>
    <row r="149" spans="9:9" ht="20.100000000000001" customHeight="1"/>
    <row r="150" spans="9:9" ht="20.100000000000001" customHeight="1"/>
    <row r="151" spans="9:9" ht="20.100000000000001" customHeight="1"/>
    <row r="155" spans="9:9">
      <c r="I155" s="417"/>
    </row>
  </sheetData>
  <mergeCells count="7">
    <mergeCell ref="A1:I1"/>
    <mergeCell ref="G2:I2"/>
    <mergeCell ref="A40:B40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paperSize="9" scale="6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1">
    <tabColor rgb="FF00FF00"/>
  </sheetPr>
  <dimension ref="A1:X332"/>
  <sheetViews>
    <sheetView zoomScale="67" zoomScaleNormal="90" zoomScaleSheetLayoutView="81" workbookViewId="0">
      <pane ySplit="2" topLeftCell="A89" activePane="bottomLeft" state="frozen"/>
      <selection pane="bottomLeft" activeCell="H94" sqref="H94"/>
    </sheetView>
  </sheetViews>
  <sheetFormatPr defaultColWidth="9.42578125" defaultRowHeight="15"/>
  <cols>
    <col min="1" max="1" width="7.5703125" style="428" customWidth="1"/>
    <col min="2" max="2" width="11.28515625" style="428" customWidth="1"/>
    <col min="3" max="3" width="13.28515625" style="428" customWidth="1"/>
    <col min="4" max="4" width="11.7109375" style="428" customWidth="1"/>
    <col min="5" max="5" width="16.7109375" style="429" customWidth="1"/>
    <col min="6" max="6" width="16.5703125" style="428" customWidth="1"/>
    <col min="7" max="7" width="34.42578125" style="498" customWidth="1"/>
    <col min="8" max="8" width="16.7109375" style="465" customWidth="1"/>
    <col min="9" max="9" width="15" style="428" customWidth="1"/>
    <col min="10" max="10" width="12.85546875" style="428" customWidth="1"/>
    <col min="11" max="11" width="23.7109375" style="471" bestFit="1" customWidth="1"/>
    <col min="12" max="12" width="13" style="428" customWidth="1"/>
    <col min="13" max="13" width="20.5703125" style="428" customWidth="1"/>
    <col min="14" max="14" width="16.28515625" style="428" customWidth="1"/>
    <col min="15" max="16384" width="9.42578125" style="461"/>
  </cols>
  <sheetData>
    <row r="1" spans="1:16" s="473" customFormat="1" ht="15.75">
      <c r="A1" s="683" t="s">
        <v>340</v>
      </c>
      <c r="B1" s="684"/>
      <c r="C1" s="684"/>
      <c r="D1" s="684"/>
      <c r="E1" s="684"/>
      <c r="F1" s="684"/>
      <c r="G1" s="684"/>
      <c r="H1" s="684"/>
      <c r="I1" s="684"/>
      <c r="J1" s="684"/>
      <c r="K1" s="684"/>
      <c r="L1" s="684"/>
      <c r="M1" s="685"/>
      <c r="N1" s="485">
        <v>46184</v>
      </c>
      <c r="P1" s="473" t="s">
        <v>341</v>
      </c>
    </row>
    <row r="2" spans="1:16" s="424" customFormat="1" ht="34.5">
      <c r="A2" s="462" t="s">
        <v>248</v>
      </c>
      <c r="B2" s="462" t="s">
        <v>342</v>
      </c>
      <c r="C2" s="462" t="s">
        <v>343</v>
      </c>
      <c r="D2" s="462" t="s">
        <v>267</v>
      </c>
      <c r="E2" s="463" t="s">
        <v>344</v>
      </c>
      <c r="F2" s="462" t="s">
        <v>345</v>
      </c>
      <c r="G2" s="462" t="s">
        <v>346</v>
      </c>
      <c r="H2" s="462" t="s">
        <v>347</v>
      </c>
      <c r="I2" s="462" t="s">
        <v>348</v>
      </c>
      <c r="J2" s="462" t="s">
        <v>33</v>
      </c>
      <c r="K2" s="462" t="s">
        <v>349</v>
      </c>
      <c r="L2" s="462" t="s">
        <v>350</v>
      </c>
      <c r="M2" s="462" t="s">
        <v>351</v>
      </c>
      <c r="N2" s="462" t="s">
        <v>352</v>
      </c>
    </row>
    <row r="3" spans="1:16" ht="25.15" customHeight="1">
      <c r="A3" s="501">
        <v>1</v>
      </c>
      <c r="B3" s="501" t="s">
        <v>353</v>
      </c>
      <c r="C3" s="501" t="s">
        <v>354</v>
      </c>
      <c r="D3" s="501" t="s">
        <v>355</v>
      </c>
      <c r="E3" s="502">
        <f>3.264+35.862</f>
        <v>39.126000000000005</v>
      </c>
      <c r="F3" s="503">
        <v>45706</v>
      </c>
      <c r="G3" s="504"/>
      <c r="H3" s="501" t="s">
        <v>38</v>
      </c>
      <c r="I3" s="503">
        <v>45713</v>
      </c>
      <c r="J3" s="505"/>
      <c r="K3" s="506" t="s">
        <v>356</v>
      </c>
      <c r="L3" s="501" t="s">
        <v>357</v>
      </c>
      <c r="M3" s="503">
        <v>45715</v>
      </c>
      <c r="N3" s="501"/>
    </row>
    <row r="4" spans="1:16" ht="25.15" customHeight="1">
      <c r="A4" s="501">
        <f>A3+1</f>
        <v>2</v>
      </c>
      <c r="B4" s="501" t="s">
        <v>358</v>
      </c>
      <c r="C4" s="501" t="s">
        <v>354</v>
      </c>
      <c r="D4" s="501" t="s">
        <v>355</v>
      </c>
      <c r="E4" s="502">
        <f>3.264+35.862</f>
        <v>39.126000000000005</v>
      </c>
      <c r="F4" s="503">
        <v>45706</v>
      </c>
      <c r="G4" s="504"/>
      <c r="H4" s="501" t="s">
        <v>38</v>
      </c>
      <c r="I4" s="503">
        <v>45710</v>
      </c>
      <c r="J4" s="505"/>
      <c r="K4" s="506" t="s">
        <v>359</v>
      </c>
      <c r="L4" s="501" t="s">
        <v>357</v>
      </c>
      <c r="M4" s="503">
        <v>45717</v>
      </c>
      <c r="N4" s="501"/>
    </row>
    <row r="5" spans="1:16" ht="25.15" customHeight="1">
      <c r="A5" s="501">
        <f t="shared" ref="A5:A68" si="0">A4+1</f>
        <v>3</v>
      </c>
      <c r="B5" s="501" t="s">
        <v>360</v>
      </c>
      <c r="C5" s="501" t="s">
        <v>361</v>
      </c>
      <c r="D5" s="501" t="s">
        <v>355</v>
      </c>
      <c r="E5" s="502">
        <f>3.486+37.148</f>
        <v>40.634</v>
      </c>
      <c r="F5" s="503">
        <v>45711</v>
      </c>
      <c r="G5" s="504"/>
      <c r="H5" s="501" t="s">
        <v>38</v>
      </c>
      <c r="I5" s="503">
        <v>45715</v>
      </c>
      <c r="J5" s="505"/>
      <c r="K5" s="506" t="s">
        <v>359</v>
      </c>
      <c r="L5" s="501" t="s">
        <v>357</v>
      </c>
      <c r="M5" s="503">
        <v>45717</v>
      </c>
      <c r="N5" s="501"/>
    </row>
    <row r="6" spans="1:16" ht="25.15" customHeight="1">
      <c r="A6" s="501">
        <f t="shared" si="0"/>
        <v>4</v>
      </c>
      <c r="B6" s="501" t="s">
        <v>362</v>
      </c>
      <c r="C6" s="501" t="s">
        <v>354</v>
      </c>
      <c r="D6" s="501" t="s">
        <v>278</v>
      </c>
      <c r="E6" s="502">
        <f>5.618+57.728</f>
        <v>63.346000000000004</v>
      </c>
      <c r="F6" s="503">
        <v>45700</v>
      </c>
      <c r="G6" s="504"/>
      <c r="H6" s="501" t="s">
        <v>38</v>
      </c>
      <c r="I6" s="503">
        <v>45705</v>
      </c>
      <c r="J6" s="505"/>
      <c r="K6" s="506" t="s">
        <v>356</v>
      </c>
      <c r="L6" s="501" t="s">
        <v>357</v>
      </c>
      <c r="M6" s="503">
        <v>45720</v>
      </c>
      <c r="N6" s="501"/>
    </row>
    <row r="7" spans="1:16" ht="25.15" customHeight="1">
      <c r="A7" s="501">
        <f t="shared" si="0"/>
        <v>5</v>
      </c>
      <c r="B7" s="501" t="s">
        <v>363</v>
      </c>
      <c r="C7" s="501" t="s">
        <v>354</v>
      </c>
      <c r="D7" s="501" t="s">
        <v>355</v>
      </c>
      <c r="E7" s="502">
        <f>3.264+35.862</f>
        <v>39.126000000000005</v>
      </c>
      <c r="F7" s="503">
        <v>45742</v>
      </c>
      <c r="G7" s="504"/>
      <c r="H7" s="501" t="s">
        <v>38</v>
      </c>
      <c r="I7" s="503">
        <v>45746</v>
      </c>
      <c r="J7" s="505"/>
      <c r="K7" s="506" t="s">
        <v>356</v>
      </c>
      <c r="L7" s="501" t="s">
        <v>357</v>
      </c>
      <c r="M7" s="503">
        <v>45750</v>
      </c>
      <c r="N7" s="501"/>
    </row>
    <row r="8" spans="1:16" ht="25.15" customHeight="1">
      <c r="A8" s="501">
        <f t="shared" si="0"/>
        <v>6</v>
      </c>
      <c r="B8" s="501" t="s">
        <v>364</v>
      </c>
      <c r="C8" s="501" t="s">
        <v>361</v>
      </c>
      <c r="D8" s="501" t="s">
        <v>278</v>
      </c>
      <c r="E8" s="502">
        <f>5.951+59.68</f>
        <v>65.631</v>
      </c>
      <c r="F8" s="503">
        <v>45721</v>
      </c>
      <c r="G8" s="504"/>
      <c r="H8" s="501" t="s">
        <v>38</v>
      </c>
      <c r="I8" s="503">
        <v>45729</v>
      </c>
      <c r="J8" s="505"/>
      <c r="K8" s="506" t="s">
        <v>356</v>
      </c>
      <c r="L8" s="501" t="s">
        <v>357</v>
      </c>
      <c r="M8" s="503">
        <v>45731</v>
      </c>
      <c r="N8" s="501"/>
    </row>
    <row r="9" spans="1:16" ht="25.15" customHeight="1">
      <c r="A9" s="501">
        <f t="shared" si="0"/>
        <v>7</v>
      </c>
      <c r="B9" s="501" t="s">
        <v>365</v>
      </c>
      <c r="C9" s="501" t="s">
        <v>304</v>
      </c>
      <c r="D9" s="501" t="s">
        <v>355</v>
      </c>
      <c r="E9" s="502">
        <f>5.294+57.588</f>
        <v>62.881999999999998</v>
      </c>
      <c r="F9" s="524">
        <v>45721</v>
      </c>
      <c r="G9" s="525"/>
      <c r="H9" s="526" t="s">
        <v>38</v>
      </c>
      <c r="I9" s="524">
        <v>45728</v>
      </c>
      <c r="J9" s="527"/>
      <c r="K9" s="528" t="s">
        <v>359</v>
      </c>
      <c r="L9" s="526" t="s">
        <v>357</v>
      </c>
      <c r="M9" s="524">
        <v>45732</v>
      </c>
      <c r="N9" s="526"/>
    </row>
    <row r="10" spans="1:16" ht="25.15" customHeight="1">
      <c r="A10" s="501">
        <f t="shared" si="0"/>
        <v>8</v>
      </c>
      <c r="B10" s="501" t="s">
        <v>366</v>
      </c>
      <c r="C10" s="501" t="s">
        <v>354</v>
      </c>
      <c r="D10" s="501" t="s">
        <v>355</v>
      </c>
      <c r="E10" s="502">
        <f>3.264+35.862</f>
        <v>39.126000000000005</v>
      </c>
      <c r="F10" s="503">
        <v>45729</v>
      </c>
      <c r="G10" s="504"/>
      <c r="H10" s="501" t="s">
        <v>38</v>
      </c>
      <c r="I10" s="503">
        <v>45732</v>
      </c>
      <c r="J10" s="505"/>
      <c r="K10" s="506" t="s">
        <v>359</v>
      </c>
      <c r="L10" s="501" t="s">
        <v>357</v>
      </c>
      <c r="M10" s="503">
        <v>45733</v>
      </c>
      <c r="N10" s="501"/>
    </row>
    <row r="11" spans="1:16" ht="25.15" customHeight="1">
      <c r="A11" s="501">
        <f t="shared" si="0"/>
        <v>9</v>
      </c>
      <c r="B11" s="501" t="s">
        <v>367</v>
      </c>
      <c r="C11" s="501" t="s">
        <v>361</v>
      </c>
      <c r="D11" s="501" t="s">
        <v>355</v>
      </c>
      <c r="E11" s="502">
        <f>3.486+37.148</f>
        <v>40.634</v>
      </c>
      <c r="F11" s="503">
        <v>45737</v>
      </c>
      <c r="G11" s="507"/>
      <c r="H11" s="501" t="s">
        <v>38</v>
      </c>
      <c r="I11" s="503">
        <v>45741</v>
      </c>
      <c r="J11" s="505"/>
      <c r="K11" s="508" t="s">
        <v>356</v>
      </c>
      <c r="L11" s="501" t="s">
        <v>357</v>
      </c>
      <c r="M11" s="503">
        <v>45744</v>
      </c>
      <c r="N11" s="501"/>
    </row>
    <row r="12" spans="1:16" ht="25.15" customHeight="1">
      <c r="A12" s="501">
        <f t="shared" si="0"/>
        <v>10</v>
      </c>
      <c r="B12" s="501" t="s">
        <v>368</v>
      </c>
      <c r="C12" s="501" t="s">
        <v>354</v>
      </c>
      <c r="D12" s="501" t="s">
        <v>355</v>
      </c>
      <c r="E12" s="502">
        <f>3.264+35.862</f>
        <v>39.126000000000005</v>
      </c>
      <c r="F12" s="503">
        <v>45761</v>
      </c>
      <c r="G12" s="504"/>
      <c r="H12" s="501" t="s">
        <v>38</v>
      </c>
      <c r="I12" s="503">
        <v>45768</v>
      </c>
      <c r="J12" s="505"/>
      <c r="K12" s="506" t="s">
        <v>359</v>
      </c>
      <c r="L12" s="501" t="s">
        <v>357</v>
      </c>
      <c r="M12" s="503">
        <v>45770</v>
      </c>
      <c r="N12" s="501"/>
    </row>
    <row r="13" spans="1:16" ht="25.15" customHeight="1">
      <c r="A13" s="501">
        <f t="shared" si="0"/>
        <v>11</v>
      </c>
      <c r="B13" s="501" t="s">
        <v>369</v>
      </c>
      <c r="C13" s="501" t="s">
        <v>354</v>
      </c>
      <c r="D13" s="501" t="s">
        <v>355</v>
      </c>
      <c r="E13" s="502">
        <f>3.264+35.862</f>
        <v>39.126000000000005</v>
      </c>
      <c r="F13" s="503">
        <v>45770</v>
      </c>
      <c r="G13" s="504"/>
      <c r="H13" s="501" t="s">
        <v>38</v>
      </c>
      <c r="I13" s="503">
        <v>45775</v>
      </c>
      <c r="J13" s="505"/>
      <c r="K13" s="506" t="s">
        <v>359</v>
      </c>
      <c r="L13" s="501" t="s">
        <v>357</v>
      </c>
      <c r="M13" s="503">
        <v>45779</v>
      </c>
      <c r="N13" s="501"/>
    </row>
    <row r="14" spans="1:16" ht="25.15" customHeight="1">
      <c r="A14" s="501">
        <f t="shared" si="0"/>
        <v>12</v>
      </c>
      <c r="B14" s="501" t="s">
        <v>138</v>
      </c>
      <c r="C14" s="501" t="s">
        <v>354</v>
      </c>
      <c r="D14" s="501" t="s">
        <v>355</v>
      </c>
      <c r="E14" s="502">
        <f>3.264+35.862</f>
        <v>39.126000000000005</v>
      </c>
      <c r="F14" s="503">
        <v>45742</v>
      </c>
      <c r="G14" s="504"/>
      <c r="H14" s="501" t="s">
        <v>38</v>
      </c>
      <c r="I14" s="503">
        <v>45763</v>
      </c>
      <c r="J14" s="505"/>
      <c r="K14" s="506" t="s">
        <v>370</v>
      </c>
      <c r="L14" s="501" t="s">
        <v>357</v>
      </c>
      <c r="M14" s="503">
        <v>45783</v>
      </c>
      <c r="N14" s="501"/>
    </row>
    <row r="15" spans="1:16" ht="25.15" customHeight="1">
      <c r="A15" s="501">
        <f t="shared" si="0"/>
        <v>13</v>
      </c>
      <c r="B15" s="501" t="s">
        <v>371</v>
      </c>
      <c r="C15" s="501" t="s">
        <v>354</v>
      </c>
      <c r="D15" s="501" t="s">
        <v>355</v>
      </c>
      <c r="E15" s="502">
        <f>3.264+35.862</f>
        <v>39.126000000000005</v>
      </c>
      <c r="F15" s="503">
        <v>45761</v>
      </c>
      <c r="G15" s="504"/>
      <c r="H15" s="501" t="s">
        <v>38</v>
      </c>
      <c r="I15" s="503">
        <v>45776</v>
      </c>
      <c r="J15" s="505"/>
      <c r="K15" s="506" t="s">
        <v>370</v>
      </c>
      <c r="L15" s="501" t="s">
        <v>357</v>
      </c>
      <c r="M15" s="503">
        <v>45783</v>
      </c>
      <c r="N15" s="501"/>
    </row>
    <row r="16" spans="1:16" ht="25.15" customHeight="1">
      <c r="A16" s="501">
        <f t="shared" si="0"/>
        <v>14</v>
      </c>
      <c r="B16" s="501" t="s">
        <v>372</v>
      </c>
      <c r="C16" s="501" t="s">
        <v>306</v>
      </c>
      <c r="D16" s="501" t="s">
        <v>355</v>
      </c>
      <c r="E16" s="502">
        <f>9.059+119.368</f>
        <v>128.42699999999999</v>
      </c>
      <c r="F16" s="503">
        <v>45761</v>
      </c>
      <c r="G16" s="504"/>
      <c r="H16" s="501" t="s">
        <v>38</v>
      </c>
      <c r="I16" s="503">
        <v>45774</v>
      </c>
      <c r="J16" s="505"/>
      <c r="K16" s="506" t="s">
        <v>370</v>
      </c>
      <c r="L16" s="501" t="s">
        <v>357</v>
      </c>
      <c r="M16" s="503">
        <v>45788</v>
      </c>
      <c r="N16" s="501"/>
    </row>
    <row r="17" spans="1:14" ht="25.15" customHeight="1">
      <c r="A17" s="501">
        <f t="shared" si="0"/>
        <v>15</v>
      </c>
      <c r="B17" s="501" t="s">
        <v>373</v>
      </c>
      <c r="C17" s="501" t="s">
        <v>302</v>
      </c>
      <c r="D17" s="501" t="s">
        <v>355</v>
      </c>
      <c r="E17" s="502">
        <f>11.31+166.88</f>
        <v>178.19</v>
      </c>
      <c r="F17" s="503">
        <v>45752</v>
      </c>
      <c r="G17" s="504"/>
      <c r="H17" s="501" t="s">
        <v>38</v>
      </c>
      <c r="I17" s="503">
        <v>45768</v>
      </c>
      <c r="J17" s="505"/>
      <c r="K17" s="506" t="s">
        <v>370</v>
      </c>
      <c r="L17" s="501" t="s">
        <v>357</v>
      </c>
      <c r="M17" s="503">
        <v>45788</v>
      </c>
      <c r="N17" s="501"/>
    </row>
    <row r="18" spans="1:14" ht="25.15" customHeight="1">
      <c r="A18" s="501">
        <f t="shared" si="0"/>
        <v>16</v>
      </c>
      <c r="B18" s="501" t="s">
        <v>374</v>
      </c>
      <c r="C18" s="501" t="s">
        <v>302</v>
      </c>
      <c r="D18" s="501" t="s">
        <v>355</v>
      </c>
      <c r="E18" s="502">
        <f>11.31+166.88</f>
        <v>178.19</v>
      </c>
      <c r="F18" s="503">
        <v>45772</v>
      </c>
      <c r="G18" s="504"/>
      <c r="H18" s="501" t="s">
        <v>38</v>
      </c>
      <c r="I18" s="503">
        <v>45791</v>
      </c>
      <c r="J18" s="505"/>
      <c r="K18" s="506" t="s">
        <v>370</v>
      </c>
      <c r="L18" s="501" t="s">
        <v>357</v>
      </c>
      <c r="M18" s="503">
        <v>45791</v>
      </c>
      <c r="N18" s="501"/>
    </row>
    <row r="19" spans="1:14" ht="25.15" customHeight="1">
      <c r="A19" s="501">
        <f t="shared" si="0"/>
        <v>17</v>
      </c>
      <c r="B19" s="501" t="s">
        <v>375</v>
      </c>
      <c r="C19" s="501" t="s">
        <v>361</v>
      </c>
      <c r="D19" s="501" t="s">
        <v>355</v>
      </c>
      <c r="E19" s="502">
        <f>3.486+37.148</f>
        <v>40.634</v>
      </c>
      <c r="F19" s="503">
        <v>45790</v>
      </c>
      <c r="G19" s="504"/>
      <c r="H19" s="501" t="s">
        <v>38</v>
      </c>
      <c r="I19" s="503">
        <v>45798</v>
      </c>
      <c r="J19" s="505"/>
      <c r="K19" s="506" t="s">
        <v>359</v>
      </c>
      <c r="L19" s="501" t="s">
        <v>357</v>
      </c>
      <c r="M19" s="503">
        <v>45801</v>
      </c>
      <c r="N19" s="501"/>
    </row>
    <row r="20" spans="1:14" ht="25.15" customHeight="1">
      <c r="A20" s="501">
        <f t="shared" si="0"/>
        <v>18</v>
      </c>
      <c r="B20" s="501" t="s">
        <v>376</v>
      </c>
      <c r="C20" s="501" t="s">
        <v>377</v>
      </c>
      <c r="D20" s="501" t="s">
        <v>355</v>
      </c>
      <c r="E20" s="502">
        <f>7.224+85.068</f>
        <v>92.292000000000002</v>
      </c>
      <c r="F20" s="503">
        <v>45792</v>
      </c>
      <c r="G20" s="504"/>
      <c r="H20" s="501" t="s">
        <v>38</v>
      </c>
      <c r="I20" s="503">
        <v>45802</v>
      </c>
      <c r="J20" s="505"/>
      <c r="K20" s="506" t="s">
        <v>370</v>
      </c>
      <c r="L20" s="501" t="s">
        <v>357</v>
      </c>
      <c r="M20" s="503">
        <v>45803</v>
      </c>
      <c r="N20" s="501"/>
    </row>
    <row r="21" spans="1:14" ht="25.15" customHeight="1">
      <c r="A21" s="501">
        <f t="shared" si="0"/>
        <v>19</v>
      </c>
      <c r="B21" s="501" t="s">
        <v>378</v>
      </c>
      <c r="C21" s="501" t="s">
        <v>339</v>
      </c>
      <c r="D21" s="501" t="s">
        <v>355</v>
      </c>
      <c r="E21" s="502">
        <f>4.343+50.332</f>
        <v>54.674999999999997</v>
      </c>
      <c r="F21" s="503">
        <v>45809</v>
      </c>
      <c r="G21" s="504"/>
      <c r="H21" s="501" t="s">
        <v>38</v>
      </c>
      <c r="I21" s="503">
        <v>45875</v>
      </c>
      <c r="J21" s="505"/>
      <c r="K21" s="506" t="s">
        <v>379</v>
      </c>
      <c r="L21" s="501" t="s">
        <v>357</v>
      </c>
      <c r="M21" s="503">
        <v>45816</v>
      </c>
      <c r="N21" s="501"/>
    </row>
    <row r="22" spans="1:14" ht="25.15" customHeight="1">
      <c r="A22" s="501">
        <f t="shared" si="0"/>
        <v>20</v>
      </c>
      <c r="B22" s="501" t="s">
        <v>380</v>
      </c>
      <c r="C22" s="501" t="s">
        <v>361</v>
      </c>
      <c r="D22" s="501" t="s">
        <v>355</v>
      </c>
      <c r="E22" s="502">
        <f>3.486+37.148</f>
        <v>40.634</v>
      </c>
      <c r="F22" s="503">
        <v>45802</v>
      </c>
      <c r="G22" s="504"/>
      <c r="H22" s="501" t="s">
        <v>38</v>
      </c>
      <c r="I22" s="503">
        <v>45810</v>
      </c>
      <c r="J22" s="505"/>
      <c r="K22" s="506" t="s">
        <v>379</v>
      </c>
      <c r="L22" s="501" t="s">
        <v>357</v>
      </c>
      <c r="M22" s="503">
        <v>45818</v>
      </c>
      <c r="N22" s="501"/>
    </row>
    <row r="23" spans="1:14" ht="25.15" customHeight="1">
      <c r="A23" s="501">
        <f t="shared" si="0"/>
        <v>21</v>
      </c>
      <c r="B23" s="501" t="s">
        <v>381</v>
      </c>
      <c r="C23" s="501" t="s">
        <v>354</v>
      </c>
      <c r="D23" s="501" t="s">
        <v>355</v>
      </c>
      <c r="E23" s="502">
        <f>3.264+35.862</f>
        <v>39.126000000000005</v>
      </c>
      <c r="F23" s="503">
        <v>45807</v>
      </c>
      <c r="G23" s="504"/>
      <c r="H23" s="501" t="s">
        <v>38</v>
      </c>
      <c r="I23" s="503">
        <v>45813</v>
      </c>
      <c r="J23" s="505"/>
      <c r="K23" s="506" t="s">
        <v>379</v>
      </c>
      <c r="L23" s="501" t="s">
        <v>357</v>
      </c>
      <c r="M23" s="503">
        <v>45818</v>
      </c>
      <c r="N23" s="501"/>
    </row>
    <row r="24" spans="1:14" ht="25.15" customHeight="1">
      <c r="A24" s="501">
        <f t="shared" si="0"/>
        <v>22</v>
      </c>
      <c r="B24" s="501" t="s">
        <v>169</v>
      </c>
      <c r="C24" s="501" t="s">
        <v>304</v>
      </c>
      <c r="D24" s="501" t="s">
        <v>355</v>
      </c>
      <c r="E24" s="502">
        <f>5.294+57.588</f>
        <v>62.881999999999998</v>
      </c>
      <c r="F24" s="503">
        <v>45861</v>
      </c>
      <c r="G24" s="504"/>
      <c r="H24" s="501" t="s">
        <v>38</v>
      </c>
      <c r="I24" s="503">
        <v>45916</v>
      </c>
      <c r="J24" s="505"/>
      <c r="K24" s="506"/>
      <c r="L24" s="501" t="s">
        <v>357</v>
      </c>
      <c r="M24" s="503">
        <v>45921</v>
      </c>
      <c r="N24" s="501"/>
    </row>
    <row r="25" spans="1:14" ht="25.15" customHeight="1">
      <c r="A25" s="501">
        <f t="shared" si="0"/>
        <v>23</v>
      </c>
      <c r="B25" s="501" t="s">
        <v>382</v>
      </c>
      <c r="C25" s="501" t="s">
        <v>354</v>
      </c>
      <c r="D25" s="501" t="s">
        <v>355</v>
      </c>
      <c r="E25" s="502">
        <f>3.264+35.862</f>
        <v>39.126000000000005</v>
      </c>
      <c r="F25" s="503">
        <v>45900</v>
      </c>
      <c r="G25" s="507"/>
      <c r="H25" s="501" t="s">
        <v>38</v>
      </c>
      <c r="I25" s="503">
        <v>45918</v>
      </c>
      <c r="J25" s="505"/>
      <c r="K25" s="508" t="s">
        <v>359</v>
      </c>
      <c r="L25" s="501" t="s">
        <v>357</v>
      </c>
      <c r="M25" s="503">
        <v>45922</v>
      </c>
      <c r="N25" s="501"/>
    </row>
    <row r="26" spans="1:14" ht="25.15" customHeight="1">
      <c r="A26" s="501">
        <f t="shared" si="0"/>
        <v>24</v>
      </c>
      <c r="B26" s="501" t="s">
        <v>177</v>
      </c>
      <c r="C26" s="501" t="s">
        <v>354</v>
      </c>
      <c r="D26" s="501" t="s">
        <v>355</v>
      </c>
      <c r="E26" s="502">
        <f>3.264+35.862</f>
        <v>39.126000000000005</v>
      </c>
      <c r="F26" s="503">
        <v>45921</v>
      </c>
      <c r="G26" s="504"/>
      <c r="H26" s="501" t="s">
        <v>38</v>
      </c>
      <c r="I26" s="503">
        <v>45934</v>
      </c>
      <c r="J26" s="505"/>
      <c r="K26" s="506" t="s">
        <v>383</v>
      </c>
      <c r="L26" s="501" t="s">
        <v>357</v>
      </c>
      <c r="M26" s="503">
        <v>45938</v>
      </c>
      <c r="N26" s="501"/>
    </row>
    <row r="27" spans="1:14" ht="25.15" customHeight="1">
      <c r="A27" s="501">
        <f t="shared" si="0"/>
        <v>25</v>
      </c>
      <c r="B27" s="501" t="s">
        <v>384</v>
      </c>
      <c r="C27" s="501" t="s">
        <v>354</v>
      </c>
      <c r="D27" s="501" t="s">
        <v>355</v>
      </c>
      <c r="E27" s="502">
        <f>3.264+35.862</f>
        <v>39.126000000000005</v>
      </c>
      <c r="F27" s="503">
        <v>45919</v>
      </c>
      <c r="G27" s="504"/>
      <c r="H27" s="501" t="s">
        <v>38</v>
      </c>
      <c r="I27" s="503">
        <v>45935</v>
      </c>
      <c r="J27" s="505"/>
      <c r="K27" s="506" t="s">
        <v>385</v>
      </c>
      <c r="L27" s="501" t="s">
        <v>357</v>
      </c>
      <c r="M27" s="503">
        <v>45941</v>
      </c>
      <c r="N27" s="501"/>
    </row>
    <row r="28" spans="1:14" ht="25.15" customHeight="1">
      <c r="A28" s="501">
        <f t="shared" si="0"/>
        <v>26</v>
      </c>
      <c r="B28" s="501" t="s">
        <v>386</v>
      </c>
      <c r="C28" s="501" t="s">
        <v>361</v>
      </c>
      <c r="D28" s="501" t="s">
        <v>355</v>
      </c>
      <c r="E28" s="502">
        <f>3.486+37.148</f>
        <v>40.634</v>
      </c>
      <c r="F28" s="503">
        <v>45924</v>
      </c>
      <c r="G28" s="504"/>
      <c r="H28" s="501" t="s">
        <v>38</v>
      </c>
      <c r="I28" s="503">
        <v>45940</v>
      </c>
      <c r="J28" s="505"/>
      <c r="K28" s="506" t="s">
        <v>383</v>
      </c>
      <c r="L28" s="501" t="s">
        <v>357</v>
      </c>
      <c r="M28" s="503">
        <v>45921</v>
      </c>
      <c r="N28" s="501"/>
    </row>
    <row r="29" spans="1:14" s="520" customFormat="1" ht="25.15" customHeight="1">
      <c r="A29" s="501">
        <f t="shared" si="0"/>
        <v>27</v>
      </c>
      <c r="B29" s="521" t="s">
        <v>387</v>
      </c>
      <c r="C29" s="521" t="s">
        <v>354</v>
      </c>
      <c r="D29" s="521" t="s">
        <v>278</v>
      </c>
      <c r="E29" s="519">
        <f>5.618+57.728</f>
        <v>63.346000000000004</v>
      </c>
      <c r="F29" s="522">
        <v>45780</v>
      </c>
      <c r="G29" s="511"/>
      <c r="H29" s="521" t="s">
        <v>38</v>
      </c>
      <c r="I29" s="522">
        <v>45792</v>
      </c>
      <c r="J29" s="517"/>
      <c r="K29" s="523" t="s">
        <v>359</v>
      </c>
      <c r="L29" s="526" t="s">
        <v>388</v>
      </c>
      <c r="M29" s="526"/>
      <c r="N29" s="521"/>
    </row>
    <row r="30" spans="1:14" ht="25.15" customHeight="1">
      <c r="A30" s="501">
        <f t="shared" si="0"/>
        <v>28</v>
      </c>
      <c r="B30" s="501" t="s">
        <v>389</v>
      </c>
      <c r="C30" s="501" t="s">
        <v>354</v>
      </c>
      <c r="D30" s="501" t="s">
        <v>355</v>
      </c>
      <c r="E30" s="502">
        <f>3.264+35.862</f>
        <v>39.126000000000005</v>
      </c>
      <c r="F30" s="503">
        <v>45792</v>
      </c>
      <c r="G30" s="504"/>
      <c r="H30" s="501" t="s">
        <v>38</v>
      </c>
      <c r="I30" s="503">
        <v>45800</v>
      </c>
      <c r="J30" s="505"/>
      <c r="K30" s="506" t="s">
        <v>359</v>
      </c>
      <c r="L30" s="526" t="s">
        <v>388</v>
      </c>
      <c r="M30" s="526"/>
      <c r="N30" s="501"/>
    </row>
    <row r="31" spans="1:14" ht="25.15" customHeight="1">
      <c r="A31" s="501">
        <f t="shared" si="0"/>
        <v>29</v>
      </c>
      <c r="B31" s="501" t="s">
        <v>390</v>
      </c>
      <c r="C31" s="501" t="s">
        <v>354</v>
      </c>
      <c r="D31" s="501" t="s">
        <v>278</v>
      </c>
      <c r="E31" s="519">
        <f>5.618+57.728</f>
        <v>63.346000000000004</v>
      </c>
      <c r="F31" s="503">
        <v>45796</v>
      </c>
      <c r="G31" s="504"/>
      <c r="H31" s="501" t="s">
        <v>38</v>
      </c>
      <c r="I31" s="503">
        <v>45808</v>
      </c>
      <c r="J31" s="505"/>
      <c r="K31" s="506" t="s">
        <v>359</v>
      </c>
      <c r="L31" s="526" t="s">
        <v>388</v>
      </c>
      <c r="M31" s="526"/>
      <c r="N31" s="501"/>
    </row>
    <row r="32" spans="1:14" ht="25.15" customHeight="1">
      <c r="A32" s="501">
        <f t="shared" si="0"/>
        <v>30</v>
      </c>
      <c r="B32" s="501" t="s">
        <v>391</v>
      </c>
      <c r="C32" s="501" t="s">
        <v>354</v>
      </c>
      <c r="D32" s="501" t="s">
        <v>355</v>
      </c>
      <c r="E32" s="502">
        <f>3.264+35.862</f>
        <v>39.126000000000005</v>
      </c>
      <c r="F32" s="503">
        <v>45794</v>
      </c>
      <c r="G32" s="504"/>
      <c r="H32" s="501" t="s">
        <v>38</v>
      </c>
      <c r="I32" s="503">
        <v>45805</v>
      </c>
      <c r="J32" s="505"/>
      <c r="K32" s="506" t="s">
        <v>359</v>
      </c>
      <c r="L32" s="526" t="s">
        <v>388</v>
      </c>
      <c r="M32" s="526"/>
      <c r="N32" s="501"/>
    </row>
    <row r="33" spans="1:14" ht="25.15" customHeight="1">
      <c r="A33" s="501">
        <f t="shared" si="0"/>
        <v>31</v>
      </c>
      <c r="B33" s="501" t="s">
        <v>392</v>
      </c>
      <c r="C33" s="501" t="s">
        <v>393</v>
      </c>
      <c r="D33" s="501" t="s">
        <v>355</v>
      </c>
      <c r="E33" s="502">
        <f>5.555+59.58</f>
        <v>65.134999999999991</v>
      </c>
      <c r="F33" s="503">
        <v>45925</v>
      </c>
      <c r="G33" s="504"/>
      <c r="H33" s="501" t="s">
        <v>38</v>
      </c>
      <c r="I33" s="503">
        <v>45949</v>
      </c>
      <c r="J33" s="505"/>
      <c r="K33" s="506" t="s">
        <v>385</v>
      </c>
      <c r="L33" s="501" t="s">
        <v>357</v>
      </c>
      <c r="M33" s="503">
        <v>45969</v>
      </c>
      <c r="N33" s="501"/>
    </row>
    <row r="34" spans="1:14" ht="25.15" customHeight="1">
      <c r="A34" s="501">
        <f t="shared" si="0"/>
        <v>32</v>
      </c>
      <c r="B34" s="501" t="s">
        <v>139</v>
      </c>
      <c r="C34" s="501" t="s">
        <v>361</v>
      </c>
      <c r="D34" s="501" t="s">
        <v>355</v>
      </c>
      <c r="E34" s="502">
        <f>3.486+37.148</f>
        <v>40.634</v>
      </c>
      <c r="F34" s="503">
        <v>45945</v>
      </c>
      <c r="G34" s="504"/>
      <c r="H34" s="501" t="s">
        <v>38</v>
      </c>
      <c r="I34" s="503">
        <v>45954</v>
      </c>
      <c r="J34" s="505"/>
      <c r="K34" s="506" t="s">
        <v>383</v>
      </c>
      <c r="L34" s="501" t="s">
        <v>357</v>
      </c>
      <c r="M34" s="503">
        <v>46022</v>
      </c>
      <c r="N34" s="501"/>
    </row>
    <row r="35" spans="1:14" ht="25.15" customHeight="1">
      <c r="A35" s="501">
        <f t="shared" si="0"/>
        <v>33</v>
      </c>
      <c r="B35" s="501" t="s">
        <v>394</v>
      </c>
      <c r="C35" s="501" t="s">
        <v>354</v>
      </c>
      <c r="D35" s="501" t="s">
        <v>355</v>
      </c>
      <c r="E35" s="502">
        <f>3.264+35.862</f>
        <v>39.126000000000005</v>
      </c>
      <c r="F35" s="503">
        <v>45910</v>
      </c>
      <c r="G35" s="504"/>
      <c r="H35" s="501" t="s">
        <v>38</v>
      </c>
      <c r="I35" s="503">
        <v>45980</v>
      </c>
      <c r="J35" s="505"/>
      <c r="K35" s="506" t="s">
        <v>383</v>
      </c>
      <c r="L35" s="501" t="s">
        <v>357</v>
      </c>
      <c r="M35" s="503">
        <v>45987</v>
      </c>
      <c r="N35" s="501"/>
    </row>
    <row r="36" spans="1:14" ht="25.15" customHeight="1">
      <c r="A36" s="501">
        <f t="shared" si="0"/>
        <v>34</v>
      </c>
      <c r="B36" s="501" t="s">
        <v>137</v>
      </c>
      <c r="C36" s="501" t="s">
        <v>395</v>
      </c>
      <c r="D36" s="501" t="s">
        <v>355</v>
      </c>
      <c r="E36" s="502">
        <f>4.38+50.612</f>
        <v>54.992000000000004</v>
      </c>
      <c r="F36" s="503">
        <v>45972</v>
      </c>
      <c r="G36" s="504"/>
      <c r="H36" s="501" t="s">
        <v>38</v>
      </c>
      <c r="I36" s="503">
        <v>45985</v>
      </c>
      <c r="J36" s="505"/>
      <c r="K36" s="506" t="s">
        <v>359</v>
      </c>
      <c r="L36" s="501" t="s">
        <v>357</v>
      </c>
      <c r="M36" s="503">
        <v>45989</v>
      </c>
      <c r="N36" s="501"/>
    </row>
    <row r="37" spans="1:14" ht="25.15" customHeight="1">
      <c r="A37" s="501">
        <f t="shared" si="0"/>
        <v>35</v>
      </c>
      <c r="B37" s="501" t="s">
        <v>396</v>
      </c>
      <c r="C37" s="501" t="s">
        <v>397</v>
      </c>
      <c r="D37" s="501" t="s">
        <v>355</v>
      </c>
      <c r="E37" s="502">
        <f>4.38+50.612</f>
        <v>54.992000000000004</v>
      </c>
      <c r="F37" s="503">
        <v>45972</v>
      </c>
      <c r="G37" s="504"/>
      <c r="H37" s="501" t="s">
        <v>38</v>
      </c>
      <c r="I37" s="503">
        <v>45985</v>
      </c>
      <c r="J37" s="505"/>
      <c r="K37" s="506" t="s">
        <v>398</v>
      </c>
      <c r="L37" s="501" t="s">
        <v>357</v>
      </c>
      <c r="M37" s="503">
        <v>45988</v>
      </c>
      <c r="N37" s="501"/>
    </row>
    <row r="38" spans="1:14" ht="25.15" customHeight="1">
      <c r="A38" s="501">
        <f t="shared" si="0"/>
        <v>36</v>
      </c>
      <c r="B38" s="501" t="s">
        <v>399</v>
      </c>
      <c r="C38" s="501" t="s">
        <v>400</v>
      </c>
      <c r="D38" s="501" t="s">
        <v>355</v>
      </c>
      <c r="E38" s="502">
        <f>3.264+35.862</f>
        <v>39.126000000000005</v>
      </c>
      <c r="F38" s="503">
        <v>45979</v>
      </c>
      <c r="G38" s="504"/>
      <c r="H38" s="501" t="s">
        <v>38</v>
      </c>
      <c r="I38" s="503">
        <v>45988</v>
      </c>
      <c r="J38" s="505"/>
      <c r="K38" s="506" t="s">
        <v>383</v>
      </c>
      <c r="L38" s="501" t="s">
        <v>357</v>
      </c>
      <c r="M38" s="503">
        <v>45989</v>
      </c>
      <c r="N38" s="501"/>
    </row>
    <row r="39" spans="1:14" ht="25.15" customHeight="1">
      <c r="A39" s="501">
        <f t="shared" si="0"/>
        <v>37</v>
      </c>
      <c r="B39" s="501" t="s">
        <v>401</v>
      </c>
      <c r="C39" s="501" t="s">
        <v>361</v>
      </c>
      <c r="D39" s="501" t="s">
        <v>278</v>
      </c>
      <c r="E39" s="502">
        <f>5.951+59.68</f>
        <v>65.631</v>
      </c>
      <c r="F39" s="503">
        <v>45976</v>
      </c>
      <c r="G39" s="504"/>
      <c r="H39" s="501" t="s">
        <v>38</v>
      </c>
      <c r="I39" s="503">
        <v>45991</v>
      </c>
      <c r="J39" s="505"/>
      <c r="K39" s="506" t="s">
        <v>402</v>
      </c>
      <c r="L39" s="501" t="s">
        <v>357</v>
      </c>
      <c r="M39" s="503">
        <v>46013</v>
      </c>
      <c r="N39" s="501"/>
    </row>
    <row r="40" spans="1:14" ht="25.15" customHeight="1">
      <c r="A40" s="501">
        <f t="shared" si="0"/>
        <v>38</v>
      </c>
      <c r="B40" s="501" t="s">
        <v>178</v>
      </c>
      <c r="C40" s="501" t="s">
        <v>403</v>
      </c>
      <c r="D40" s="501" t="s">
        <v>355</v>
      </c>
      <c r="E40" s="502">
        <f>3.486+37.148</f>
        <v>40.634</v>
      </c>
      <c r="F40" s="503">
        <v>45991</v>
      </c>
      <c r="G40" s="504"/>
      <c r="H40" s="501" t="s">
        <v>38</v>
      </c>
      <c r="I40" s="503">
        <v>45998</v>
      </c>
      <c r="J40" s="505"/>
      <c r="K40" s="506" t="s">
        <v>398</v>
      </c>
      <c r="L40" s="501" t="s">
        <v>357</v>
      </c>
      <c r="M40" s="503">
        <v>46000</v>
      </c>
      <c r="N40" s="501"/>
    </row>
    <row r="41" spans="1:14" ht="25.15" customHeight="1">
      <c r="A41" s="501">
        <f t="shared" si="0"/>
        <v>39</v>
      </c>
      <c r="B41" s="501" t="s">
        <v>404</v>
      </c>
      <c r="C41" s="501" t="s">
        <v>377</v>
      </c>
      <c r="D41" s="501" t="s">
        <v>355</v>
      </c>
      <c r="E41" s="502">
        <f>7.224+85.068</f>
        <v>92.292000000000002</v>
      </c>
      <c r="F41" s="503">
        <v>45991</v>
      </c>
      <c r="G41" s="504"/>
      <c r="H41" s="501" t="s">
        <v>38</v>
      </c>
      <c r="I41" s="503">
        <v>46000</v>
      </c>
      <c r="J41" s="505"/>
      <c r="K41" s="506" t="s">
        <v>383</v>
      </c>
      <c r="L41" s="501" t="s">
        <v>357</v>
      </c>
      <c r="M41" s="503">
        <v>46000</v>
      </c>
      <c r="N41" s="501"/>
    </row>
    <row r="42" spans="1:14" ht="25.15" customHeight="1">
      <c r="A42" s="501">
        <f t="shared" si="0"/>
        <v>40</v>
      </c>
      <c r="B42" s="501" t="s">
        <v>179</v>
      </c>
      <c r="C42" s="501" t="s">
        <v>354</v>
      </c>
      <c r="D42" s="501" t="s">
        <v>355</v>
      </c>
      <c r="E42" s="502">
        <f>3.264+35.862</f>
        <v>39.126000000000005</v>
      </c>
      <c r="F42" s="503">
        <v>45976</v>
      </c>
      <c r="G42" s="504"/>
      <c r="H42" s="501" t="s">
        <v>38</v>
      </c>
      <c r="I42" s="503">
        <v>46000</v>
      </c>
      <c r="J42" s="505"/>
      <c r="K42" s="506" t="s">
        <v>405</v>
      </c>
      <c r="L42" s="501" t="s">
        <v>357</v>
      </c>
      <c r="M42" s="503">
        <v>46005</v>
      </c>
      <c r="N42" s="501"/>
    </row>
    <row r="43" spans="1:14" ht="25.15" customHeight="1">
      <c r="A43" s="501">
        <f t="shared" si="0"/>
        <v>41</v>
      </c>
      <c r="B43" s="501" t="s">
        <v>181</v>
      </c>
      <c r="C43" s="501" t="s">
        <v>354</v>
      </c>
      <c r="D43" s="501" t="s">
        <v>278</v>
      </c>
      <c r="E43" s="502">
        <f>5.618+57.728</f>
        <v>63.346000000000004</v>
      </c>
      <c r="F43" s="503">
        <v>45988</v>
      </c>
      <c r="G43" s="504"/>
      <c r="H43" s="501" t="s">
        <v>38</v>
      </c>
      <c r="I43" s="503">
        <v>46005</v>
      </c>
      <c r="J43" s="505"/>
      <c r="K43" s="508" t="s">
        <v>406</v>
      </c>
      <c r="L43" s="501" t="s">
        <v>357</v>
      </c>
      <c r="M43" s="503">
        <v>46004</v>
      </c>
      <c r="N43" s="501"/>
    </row>
    <row r="44" spans="1:14" ht="25.15" customHeight="1">
      <c r="A44" s="501">
        <f t="shared" si="0"/>
        <v>42</v>
      </c>
      <c r="B44" s="501" t="s">
        <v>407</v>
      </c>
      <c r="C44" s="501" t="s">
        <v>354</v>
      </c>
      <c r="D44" s="501" t="s">
        <v>278</v>
      </c>
      <c r="E44" s="502">
        <f>5.618+57.728</f>
        <v>63.346000000000004</v>
      </c>
      <c r="F44" s="503">
        <v>45992</v>
      </c>
      <c r="G44" s="504"/>
      <c r="H44" s="501" t="s">
        <v>38</v>
      </c>
      <c r="I44" s="503">
        <v>46014</v>
      </c>
      <c r="J44" s="505"/>
      <c r="K44" s="506" t="s">
        <v>402</v>
      </c>
      <c r="L44" s="501" t="s">
        <v>357</v>
      </c>
      <c r="M44" s="503">
        <v>46016</v>
      </c>
      <c r="N44" s="501"/>
    </row>
    <row r="45" spans="1:14" ht="25.15" customHeight="1">
      <c r="A45" s="501">
        <f t="shared" si="0"/>
        <v>43</v>
      </c>
      <c r="B45" s="501" t="s">
        <v>408</v>
      </c>
      <c r="C45" s="501" t="s">
        <v>354</v>
      </c>
      <c r="D45" s="501" t="s">
        <v>278</v>
      </c>
      <c r="E45" s="502">
        <f>5.618+57.728</f>
        <v>63.346000000000004</v>
      </c>
      <c r="F45" s="503">
        <v>45992</v>
      </c>
      <c r="G45" s="504"/>
      <c r="H45" s="501" t="s">
        <v>38</v>
      </c>
      <c r="I45" s="503">
        <v>46018</v>
      </c>
      <c r="J45" s="505"/>
      <c r="K45" s="506" t="s">
        <v>385</v>
      </c>
      <c r="L45" s="501" t="s">
        <v>357</v>
      </c>
      <c r="M45" s="503">
        <v>46019</v>
      </c>
      <c r="N45" s="501"/>
    </row>
    <row r="46" spans="1:14" ht="25.15" customHeight="1">
      <c r="A46" s="501">
        <f t="shared" si="0"/>
        <v>44</v>
      </c>
      <c r="B46" s="501" t="s">
        <v>409</v>
      </c>
      <c r="C46" s="501" t="s">
        <v>354</v>
      </c>
      <c r="D46" s="501" t="s">
        <v>278</v>
      </c>
      <c r="E46" s="502">
        <f>5.618+57.728</f>
        <v>63.346000000000004</v>
      </c>
      <c r="F46" s="503">
        <v>46001</v>
      </c>
      <c r="G46" s="504"/>
      <c r="H46" s="501" t="s">
        <v>38</v>
      </c>
      <c r="I46" s="503">
        <v>46020</v>
      </c>
      <c r="J46" s="505"/>
      <c r="K46" s="506" t="s">
        <v>398</v>
      </c>
      <c r="L46" s="501" t="s">
        <v>357</v>
      </c>
      <c r="M46" s="503">
        <v>46019</v>
      </c>
      <c r="N46" s="501"/>
    </row>
    <row r="47" spans="1:14" ht="25.15" customHeight="1">
      <c r="A47" s="501">
        <f t="shared" si="0"/>
        <v>45</v>
      </c>
      <c r="B47" s="501" t="s">
        <v>410</v>
      </c>
      <c r="C47" s="501" t="s">
        <v>354</v>
      </c>
      <c r="D47" s="501" t="s">
        <v>278</v>
      </c>
      <c r="E47" s="502">
        <f>5.618+57.728</f>
        <v>63.346000000000004</v>
      </c>
      <c r="F47" s="503">
        <v>46012</v>
      </c>
      <c r="G47" s="504"/>
      <c r="H47" s="501" t="s">
        <v>38</v>
      </c>
      <c r="I47" s="503">
        <v>46021</v>
      </c>
      <c r="J47" s="505"/>
      <c r="K47" s="508" t="s">
        <v>406</v>
      </c>
      <c r="L47" s="501" t="s">
        <v>357</v>
      </c>
      <c r="M47" s="503">
        <v>46021</v>
      </c>
      <c r="N47" s="501"/>
    </row>
    <row r="48" spans="1:14" ht="25.15" customHeight="1">
      <c r="A48" s="501">
        <f t="shared" si="0"/>
        <v>46</v>
      </c>
      <c r="B48" s="501" t="s">
        <v>141</v>
      </c>
      <c r="C48" s="501" t="s">
        <v>306</v>
      </c>
      <c r="D48" s="501" t="s">
        <v>355</v>
      </c>
      <c r="E48" s="502">
        <f>9.059+119.368</f>
        <v>128.42699999999999</v>
      </c>
      <c r="F48" s="503">
        <v>46007</v>
      </c>
      <c r="G48" s="504"/>
      <c r="H48" s="501" t="s">
        <v>38</v>
      </c>
      <c r="I48" s="503">
        <v>46021</v>
      </c>
      <c r="J48" s="505"/>
      <c r="K48" s="506" t="s">
        <v>383</v>
      </c>
      <c r="L48" s="501" t="s">
        <v>357</v>
      </c>
      <c r="M48" s="503">
        <v>46023</v>
      </c>
      <c r="N48" s="501"/>
    </row>
    <row r="49" spans="1:14" ht="25.15" customHeight="1">
      <c r="A49" s="501">
        <f t="shared" si="0"/>
        <v>47</v>
      </c>
      <c r="B49" s="501" t="s">
        <v>411</v>
      </c>
      <c r="C49" s="501" t="s">
        <v>354</v>
      </c>
      <c r="D49" s="501" t="s">
        <v>278</v>
      </c>
      <c r="E49" s="502">
        <f>5.618+57.728</f>
        <v>63.346000000000004</v>
      </c>
      <c r="F49" s="503">
        <v>46001</v>
      </c>
      <c r="G49" s="504"/>
      <c r="H49" s="501" t="s">
        <v>38</v>
      </c>
      <c r="I49" s="503">
        <v>46022</v>
      </c>
      <c r="J49" s="505"/>
      <c r="K49" s="506" t="s">
        <v>383</v>
      </c>
      <c r="L49" s="501" t="s">
        <v>357</v>
      </c>
      <c r="M49" s="503">
        <v>46023</v>
      </c>
      <c r="N49" s="501"/>
    </row>
    <row r="50" spans="1:14" ht="25.15" customHeight="1">
      <c r="A50" s="501">
        <f t="shared" si="0"/>
        <v>48</v>
      </c>
      <c r="B50" s="501" t="s">
        <v>412</v>
      </c>
      <c r="C50" s="501" t="s">
        <v>354</v>
      </c>
      <c r="D50" s="501" t="s">
        <v>278</v>
      </c>
      <c r="E50" s="502">
        <f>5.618+57.728</f>
        <v>63.346000000000004</v>
      </c>
      <c r="F50" s="503">
        <v>46012</v>
      </c>
      <c r="G50" s="504"/>
      <c r="H50" s="501" t="s">
        <v>38</v>
      </c>
      <c r="I50" s="503">
        <v>46026</v>
      </c>
      <c r="J50" s="505"/>
      <c r="K50" s="516" t="s">
        <v>413</v>
      </c>
      <c r="L50" s="501" t="s">
        <v>357</v>
      </c>
      <c r="M50" s="503">
        <v>46069</v>
      </c>
      <c r="N50" s="501"/>
    </row>
    <row r="51" spans="1:14" ht="25.15" customHeight="1">
      <c r="A51" s="501">
        <f t="shared" si="0"/>
        <v>49</v>
      </c>
      <c r="B51" s="501" t="s">
        <v>414</v>
      </c>
      <c r="C51" s="501" t="s">
        <v>400</v>
      </c>
      <c r="D51" s="501" t="s">
        <v>355</v>
      </c>
      <c r="E51" s="502">
        <v>39.125999999999998</v>
      </c>
      <c r="F51" s="503">
        <v>46023</v>
      </c>
      <c r="G51" s="504"/>
      <c r="H51" s="501" t="s">
        <v>38</v>
      </c>
      <c r="I51" s="503">
        <v>46030</v>
      </c>
      <c r="J51" s="505"/>
      <c r="K51" s="506" t="s">
        <v>398</v>
      </c>
      <c r="L51" s="501" t="s">
        <v>357</v>
      </c>
      <c r="M51" s="503">
        <v>46031</v>
      </c>
      <c r="N51" s="501"/>
    </row>
    <row r="52" spans="1:14" ht="25.15" customHeight="1">
      <c r="A52" s="501">
        <f t="shared" si="0"/>
        <v>50</v>
      </c>
      <c r="B52" s="501" t="s">
        <v>415</v>
      </c>
      <c r="C52" s="501" t="s">
        <v>304</v>
      </c>
      <c r="D52" s="501" t="s">
        <v>278</v>
      </c>
      <c r="E52" s="509">
        <f>83.272+6.633</f>
        <v>89.905000000000001</v>
      </c>
      <c r="F52" s="503">
        <v>46006</v>
      </c>
      <c r="G52" s="504"/>
      <c r="H52" s="501" t="s">
        <v>38</v>
      </c>
      <c r="I52" s="503">
        <v>46035</v>
      </c>
      <c r="J52" s="505"/>
      <c r="K52" s="508" t="s">
        <v>406</v>
      </c>
      <c r="L52" s="501" t="s">
        <v>357</v>
      </c>
      <c r="M52" s="503">
        <v>46035</v>
      </c>
      <c r="N52" s="501"/>
    </row>
    <row r="53" spans="1:14" ht="25.15" customHeight="1">
      <c r="A53" s="501">
        <f t="shared" si="0"/>
        <v>51</v>
      </c>
      <c r="B53" s="501" t="s">
        <v>416</v>
      </c>
      <c r="C53" s="501" t="s">
        <v>354</v>
      </c>
      <c r="D53" s="501" t="s">
        <v>278</v>
      </c>
      <c r="E53" s="502">
        <f>5.618+57.728</f>
        <v>63.346000000000004</v>
      </c>
      <c r="F53" s="503">
        <v>46027</v>
      </c>
      <c r="G53" s="504"/>
      <c r="H53" s="501" t="s">
        <v>38</v>
      </c>
      <c r="I53" s="503">
        <v>46035</v>
      </c>
      <c r="J53" s="505"/>
      <c r="K53" s="506" t="s">
        <v>417</v>
      </c>
      <c r="L53" s="501" t="s">
        <v>357</v>
      </c>
      <c r="M53" s="503">
        <v>46031</v>
      </c>
      <c r="N53" s="501"/>
    </row>
    <row r="54" spans="1:14" ht="25.15" customHeight="1">
      <c r="A54" s="501">
        <f t="shared" si="0"/>
        <v>52</v>
      </c>
      <c r="B54" s="501" t="s">
        <v>418</v>
      </c>
      <c r="C54" s="501" t="s">
        <v>339</v>
      </c>
      <c r="D54" s="501" t="s">
        <v>278</v>
      </c>
      <c r="E54" s="502">
        <f>72.684+7.26</f>
        <v>79.944000000000003</v>
      </c>
      <c r="F54" s="503">
        <v>46031</v>
      </c>
      <c r="G54" s="504"/>
      <c r="H54" s="501" t="s">
        <v>38</v>
      </c>
      <c r="I54" s="503">
        <v>46043</v>
      </c>
      <c r="J54" s="505"/>
      <c r="K54" s="516" t="s">
        <v>413</v>
      </c>
      <c r="L54" s="501" t="s">
        <v>357</v>
      </c>
      <c r="M54" s="503">
        <v>46045</v>
      </c>
      <c r="N54" s="501"/>
    </row>
    <row r="55" spans="1:14" ht="25.15" customHeight="1">
      <c r="A55" s="501">
        <f t="shared" si="0"/>
        <v>53</v>
      </c>
      <c r="B55" s="501" t="s">
        <v>419</v>
      </c>
      <c r="C55" s="501" t="s">
        <v>403</v>
      </c>
      <c r="D55" s="501" t="s">
        <v>420</v>
      </c>
      <c r="E55" s="502">
        <f>8.411+86.212</f>
        <v>94.623000000000005</v>
      </c>
      <c r="F55" s="503">
        <v>46038</v>
      </c>
      <c r="G55" s="504"/>
      <c r="H55" s="501" t="s">
        <v>38</v>
      </c>
      <c r="I55" s="503">
        <v>46047</v>
      </c>
      <c r="J55" s="505"/>
      <c r="K55" s="506" t="s">
        <v>417</v>
      </c>
      <c r="L55" s="501" t="s">
        <v>357</v>
      </c>
      <c r="M55" s="503">
        <v>46049</v>
      </c>
      <c r="N55" s="501"/>
    </row>
    <row r="56" spans="1:14" ht="25.15" customHeight="1">
      <c r="A56" s="501">
        <f t="shared" si="0"/>
        <v>54</v>
      </c>
      <c r="B56" s="501" t="s">
        <v>421</v>
      </c>
      <c r="C56" s="501" t="s">
        <v>400</v>
      </c>
      <c r="D56" s="501" t="s">
        <v>278</v>
      </c>
      <c r="E56" s="502">
        <f>5.618+57.728</f>
        <v>63.346000000000004</v>
      </c>
      <c r="F56" s="503">
        <v>46030</v>
      </c>
      <c r="G56" s="504"/>
      <c r="H56" s="501" t="s">
        <v>38</v>
      </c>
      <c r="I56" s="503">
        <v>46052</v>
      </c>
      <c r="J56" s="505"/>
      <c r="K56" s="506" t="s">
        <v>385</v>
      </c>
      <c r="L56" s="501" t="s">
        <v>357</v>
      </c>
      <c r="M56" s="503">
        <v>46055</v>
      </c>
      <c r="N56" s="501"/>
    </row>
    <row r="57" spans="1:14" ht="25.15" customHeight="1">
      <c r="A57" s="501">
        <f t="shared" si="0"/>
        <v>55</v>
      </c>
      <c r="B57" s="501" t="s">
        <v>422</v>
      </c>
      <c r="C57" s="501" t="s">
        <v>304</v>
      </c>
      <c r="D57" s="501" t="s">
        <v>355</v>
      </c>
      <c r="E57" s="502">
        <f>57.588+5.294</f>
        <v>62.881999999999998</v>
      </c>
      <c r="F57" s="503">
        <v>46049</v>
      </c>
      <c r="G57" s="504"/>
      <c r="H57" s="501" t="s">
        <v>38</v>
      </c>
      <c r="I57" s="503">
        <v>46055</v>
      </c>
      <c r="J57" s="505"/>
      <c r="K57" s="508" t="s">
        <v>406</v>
      </c>
      <c r="L57" s="501" t="s">
        <v>357</v>
      </c>
      <c r="M57" s="503">
        <v>45690</v>
      </c>
      <c r="N57" s="501"/>
    </row>
    <row r="58" spans="1:14" ht="25.15" customHeight="1">
      <c r="A58" s="501">
        <f t="shared" si="0"/>
        <v>56</v>
      </c>
      <c r="B58" s="501" t="s">
        <v>423</v>
      </c>
      <c r="C58" s="501" t="s">
        <v>306</v>
      </c>
      <c r="D58" s="501" t="s">
        <v>424</v>
      </c>
      <c r="E58" s="502">
        <f>289.172+21.966</f>
        <v>311.13800000000003</v>
      </c>
      <c r="F58" s="503">
        <v>46028</v>
      </c>
      <c r="G58" s="504"/>
      <c r="H58" s="501" t="s">
        <v>38</v>
      </c>
      <c r="I58" s="503">
        <v>46056</v>
      </c>
      <c r="J58" s="505"/>
      <c r="K58" s="506" t="s">
        <v>398</v>
      </c>
      <c r="L58" s="501" t="s">
        <v>357</v>
      </c>
      <c r="M58" s="503">
        <v>46057</v>
      </c>
      <c r="N58" s="501"/>
    </row>
    <row r="59" spans="1:14" ht="25.15" customHeight="1">
      <c r="A59" s="501">
        <f t="shared" si="0"/>
        <v>57</v>
      </c>
      <c r="B59" s="501" t="s">
        <v>425</v>
      </c>
      <c r="C59" s="501" t="s">
        <v>403</v>
      </c>
      <c r="D59" s="501" t="s">
        <v>278</v>
      </c>
      <c r="E59" s="502">
        <f>5.951+59.68</f>
        <v>65.631</v>
      </c>
      <c r="F59" s="503">
        <v>46054</v>
      </c>
      <c r="G59" s="504"/>
      <c r="H59" s="501" t="s">
        <v>38</v>
      </c>
      <c r="I59" s="503">
        <v>46063</v>
      </c>
      <c r="J59" s="505"/>
      <c r="K59" s="516" t="s">
        <v>413</v>
      </c>
      <c r="L59" s="501" t="s">
        <v>357</v>
      </c>
      <c r="M59" s="503">
        <v>46065</v>
      </c>
      <c r="N59" s="501"/>
    </row>
    <row r="60" spans="1:14" ht="25.15" customHeight="1">
      <c r="A60" s="501">
        <f t="shared" si="0"/>
        <v>58</v>
      </c>
      <c r="B60" s="501" t="s">
        <v>426</v>
      </c>
      <c r="C60" s="501" t="s">
        <v>354</v>
      </c>
      <c r="D60" s="501" t="s">
        <v>278</v>
      </c>
      <c r="E60" s="502">
        <f>5.618+57.728</f>
        <v>63.346000000000004</v>
      </c>
      <c r="F60" s="503">
        <v>46055</v>
      </c>
      <c r="G60" s="504"/>
      <c r="H60" s="501" t="s">
        <v>38</v>
      </c>
      <c r="I60" s="503">
        <v>46065</v>
      </c>
      <c r="J60" s="505"/>
      <c r="K60" s="506" t="s">
        <v>406</v>
      </c>
      <c r="L60" s="501" t="s">
        <v>357</v>
      </c>
      <c r="M60" s="503">
        <v>46066</v>
      </c>
      <c r="N60" s="501"/>
    </row>
    <row r="61" spans="1:14" ht="25.15" customHeight="1">
      <c r="A61" s="501">
        <f t="shared" si="0"/>
        <v>59</v>
      </c>
      <c r="B61" s="501" t="s">
        <v>427</v>
      </c>
      <c r="C61" s="501" t="s">
        <v>354</v>
      </c>
      <c r="D61" s="501" t="s">
        <v>278</v>
      </c>
      <c r="E61" s="502">
        <f>5.618+57.728</f>
        <v>63.346000000000004</v>
      </c>
      <c r="F61" s="503">
        <v>46056</v>
      </c>
      <c r="G61" s="504"/>
      <c r="H61" s="501" t="s">
        <v>38</v>
      </c>
      <c r="I61" s="503">
        <v>46067</v>
      </c>
      <c r="J61" s="505"/>
      <c r="K61" s="506" t="s">
        <v>428</v>
      </c>
      <c r="L61" s="501" t="s">
        <v>357</v>
      </c>
      <c r="M61" s="503">
        <v>46067</v>
      </c>
      <c r="N61" s="501"/>
    </row>
    <row r="62" spans="1:14" ht="25.15" customHeight="1">
      <c r="A62" s="501">
        <f t="shared" si="0"/>
        <v>60</v>
      </c>
      <c r="B62" s="501" t="s">
        <v>429</v>
      </c>
      <c r="C62" s="501" t="s">
        <v>334</v>
      </c>
      <c r="D62" s="501" t="s">
        <v>278</v>
      </c>
      <c r="E62" s="509">
        <f>107.372+9.661</f>
        <v>117.033</v>
      </c>
      <c r="F62" s="503">
        <v>46054</v>
      </c>
      <c r="G62" s="504"/>
      <c r="H62" s="501" t="s">
        <v>38</v>
      </c>
      <c r="I62" s="503">
        <v>46080</v>
      </c>
      <c r="J62" s="505"/>
      <c r="K62" s="506" t="s">
        <v>430</v>
      </c>
      <c r="L62" s="501" t="s">
        <v>357</v>
      </c>
      <c r="M62" s="503">
        <v>46080</v>
      </c>
      <c r="N62" s="501"/>
    </row>
    <row r="63" spans="1:14" ht="25.15" customHeight="1">
      <c r="A63" s="501">
        <f t="shared" si="0"/>
        <v>61</v>
      </c>
      <c r="B63" s="501" t="s">
        <v>431</v>
      </c>
      <c r="C63" s="501" t="s">
        <v>296</v>
      </c>
      <c r="D63" s="501" t="s">
        <v>278</v>
      </c>
      <c r="E63" s="510">
        <f>178.06+14.314</f>
        <v>192.374</v>
      </c>
      <c r="F63" s="503">
        <v>46069</v>
      </c>
      <c r="G63" s="511"/>
      <c r="H63" s="501" t="s">
        <v>38</v>
      </c>
      <c r="I63" s="503">
        <v>46092</v>
      </c>
      <c r="J63" s="512"/>
      <c r="K63" s="508" t="s">
        <v>406</v>
      </c>
      <c r="L63" s="501" t="s">
        <v>357</v>
      </c>
      <c r="M63" s="503">
        <v>46096</v>
      </c>
      <c r="N63" s="501"/>
    </row>
    <row r="64" spans="1:14" ht="25.15" customHeight="1">
      <c r="A64" s="501">
        <f t="shared" si="0"/>
        <v>62</v>
      </c>
      <c r="B64" s="501" t="s">
        <v>432</v>
      </c>
      <c r="C64" s="501" t="s">
        <v>377</v>
      </c>
      <c r="D64" s="501" t="s">
        <v>278</v>
      </c>
      <c r="E64" s="502">
        <f>123.384+11.401</f>
        <v>134.785</v>
      </c>
      <c r="F64" s="503">
        <v>46070</v>
      </c>
      <c r="G64" s="504"/>
      <c r="H64" s="501" t="s">
        <v>38</v>
      </c>
      <c r="I64" s="503">
        <v>46103</v>
      </c>
      <c r="J64" s="505"/>
      <c r="K64" s="506" t="s">
        <v>428</v>
      </c>
      <c r="L64" s="501" t="s">
        <v>357</v>
      </c>
      <c r="M64" s="503">
        <v>46103</v>
      </c>
      <c r="N64" s="501"/>
    </row>
    <row r="65" spans="1:14" ht="25.15" customHeight="1">
      <c r="A65" s="501">
        <f t="shared" si="0"/>
        <v>63</v>
      </c>
      <c r="B65" s="501" t="s">
        <v>433</v>
      </c>
      <c r="C65" s="501" t="s">
        <v>361</v>
      </c>
      <c r="D65" s="501" t="s">
        <v>278</v>
      </c>
      <c r="E65" s="502">
        <f>59.68+5.951</f>
        <v>65.631</v>
      </c>
      <c r="F65" s="503">
        <v>46095</v>
      </c>
      <c r="G65" s="504"/>
      <c r="H65" s="501" t="s">
        <v>38</v>
      </c>
      <c r="I65" s="503">
        <v>46104</v>
      </c>
      <c r="J65" s="505"/>
      <c r="K65" s="508" t="s">
        <v>406</v>
      </c>
      <c r="L65" s="501" t="s">
        <v>357</v>
      </c>
      <c r="M65" s="503">
        <v>46105</v>
      </c>
      <c r="N65" s="501"/>
    </row>
    <row r="66" spans="1:14" ht="25.15" customHeight="1">
      <c r="A66" s="501">
        <f t="shared" si="0"/>
        <v>64</v>
      </c>
      <c r="B66" s="514" t="s">
        <v>434</v>
      </c>
      <c r="C66" s="513" t="s">
        <v>354</v>
      </c>
      <c r="D66" s="515" t="s">
        <v>278</v>
      </c>
      <c r="E66" s="502">
        <f>57.728+5.618</f>
        <v>63.346000000000004</v>
      </c>
      <c r="F66" s="503">
        <v>46070</v>
      </c>
      <c r="G66" s="504"/>
      <c r="H66" s="501" t="s">
        <v>38</v>
      </c>
      <c r="I66" s="503">
        <v>46112</v>
      </c>
      <c r="J66" s="505"/>
      <c r="K66" s="508" t="s">
        <v>406</v>
      </c>
      <c r="L66" s="501" t="s">
        <v>357</v>
      </c>
      <c r="M66" s="503">
        <v>46112</v>
      </c>
      <c r="N66" s="501"/>
    </row>
    <row r="67" spans="1:14" ht="25.15" customHeight="1">
      <c r="A67" s="501">
        <f t="shared" si="0"/>
        <v>65</v>
      </c>
      <c r="B67" s="514" t="s">
        <v>435</v>
      </c>
      <c r="C67" s="513" t="s">
        <v>354</v>
      </c>
      <c r="D67" s="515" t="s">
        <v>278</v>
      </c>
      <c r="E67" s="502">
        <f t="shared" ref="E67:E68" si="1">57.728+5.618</f>
        <v>63.346000000000004</v>
      </c>
      <c r="F67" s="503">
        <v>46126</v>
      </c>
      <c r="G67" s="504"/>
      <c r="H67" s="501" t="s">
        <v>38</v>
      </c>
      <c r="I67" s="503">
        <v>46132</v>
      </c>
      <c r="J67" s="505"/>
      <c r="K67" s="516" t="s">
        <v>413</v>
      </c>
      <c r="L67" s="526" t="s">
        <v>357</v>
      </c>
      <c r="M67" s="524">
        <v>46160</v>
      </c>
      <c r="N67" s="501"/>
    </row>
    <row r="68" spans="1:14" ht="25.15" customHeight="1">
      <c r="A68" s="501">
        <f t="shared" si="0"/>
        <v>66</v>
      </c>
      <c r="B68" s="514" t="s">
        <v>436</v>
      </c>
      <c r="C68" s="513" t="s">
        <v>354</v>
      </c>
      <c r="D68" s="515" t="s">
        <v>278</v>
      </c>
      <c r="E68" s="502">
        <f t="shared" si="1"/>
        <v>63.346000000000004</v>
      </c>
      <c r="F68" s="503">
        <v>46141</v>
      </c>
      <c r="G68" s="504" t="s">
        <v>67</v>
      </c>
      <c r="H68" s="501" t="s">
        <v>38</v>
      </c>
      <c r="I68" s="503">
        <v>46148</v>
      </c>
      <c r="J68" s="517"/>
      <c r="K68" s="516" t="s">
        <v>437</v>
      </c>
      <c r="L68" s="501" t="s">
        <v>357</v>
      </c>
      <c r="M68" s="503">
        <v>46150</v>
      </c>
      <c r="N68" s="501"/>
    </row>
    <row r="69" spans="1:14" ht="25.15" customHeight="1">
      <c r="A69" s="501">
        <f t="shared" ref="A69:A95" si="2">A68+1</f>
        <v>67</v>
      </c>
      <c r="B69" s="514" t="s">
        <v>438</v>
      </c>
      <c r="C69" s="513" t="s">
        <v>361</v>
      </c>
      <c r="D69" s="515" t="s">
        <v>278</v>
      </c>
      <c r="E69" s="502">
        <f>59.68+5.951</f>
        <v>65.631</v>
      </c>
      <c r="F69" s="503">
        <v>46114</v>
      </c>
      <c r="G69" s="504"/>
      <c r="H69" s="501" t="s">
        <v>38</v>
      </c>
      <c r="I69" s="503">
        <v>46119</v>
      </c>
      <c r="J69" s="505"/>
      <c r="K69" s="508" t="s">
        <v>437</v>
      </c>
      <c r="L69" s="501" t="s">
        <v>357</v>
      </c>
      <c r="M69" s="503">
        <v>46119</v>
      </c>
      <c r="N69" s="501"/>
    </row>
    <row r="70" spans="1:14" ht="25.15" customHeight="1">
      <c r="A70" s="501">
        <f t="shared" si="2"/>
        <v>68</v>
      </c>
      <c r="B70" s="514" t="s">
        <v>175</v>
      </c>
      <c r="C70" s="513" t="s">
        <v>302</v>
      </c>
      <c r="D70" s="515" t="s">
        <v>355</v>
      </c>
      <c r="E70" s="502">
        <f>166.88+11.31</f>
        <v>178.19</v>
      </c>
      <c r="F70" s="503">
        <v>46113</v>
      </c>
      <c r="G70" s="504"/>
      <c r="H70" s="501" t="s">
        <v>38</v>
      </c>
      <c r="I70" s="503">
        <v>46133</v>
      </c>
      <c r="J70" s="505"/>
      <c r="K70" s="508" t="s">
        <v>406</v>
      </c>
      <c r="L70" s="501" t="s">
        <v>357</v>
      </c>
      <c r="M70" s="503">
        <v>46134</v>
      </c>
      <c r="N70" s="501"/>
    </row>
    <row r="71" spans="1:14" ht="25.15" customHeight="1">
      <c r="A71" s="501">
        <f t="shared" si="2"/>
        <v>69</v>
      </c>
      <c r="B71" s="514" t="s">
        <v>140</v>
      </c>
      <c r="C71" s="513" t="s">
        <v>361</v>
      </c>
      <c r="D71" s="515" t="s">
        <v>355</v>
      </c>
      <c r="E71" s="502">
        <f>37.148+3.486</f>
        <v>40.634</v>
      </c>
      <c r="F71" s="503">
        <v>46116</v>
      </c>
      <c r="G71" s="504"/>
      <c r="H71" s="501" t="s">
        <v>38</v>
      </c>
      <c r="I71" s="503">
        <v>46125</v>
      </c>
      <c r="J71" s="505"/>
      <c r="K71" s="508" t="s">
        <v>406</v>
      </c>
      <c r="L71" s="501" t="s">
        <v>357</v>
      </c>
      <c r="M71" s="503">
        <v>46133</v>
      </c>
      <c r="N71" s="501"/>
    </row>
    <row r="72" spans="1:14" ht="25.15" customHeight="1">
      <c r="A72" s="501">
        <f t="shared" si="2"/>
        <v>70</v>
      </c>
      <c r="B72" s="514" t="s">
        <v>439</v>
      </c>
      <c r="C72" s="513" t="s">
        <v>354</v>
      </c>
      <c r="D72" s="515" t="s">
        <v>278</v>
      </c>
      <c r="E72" s="502">
        <f>57.728+5.618</f>
        <v>63.346000000000004</v>
      </c>
      <c r="F72" s="503">
        <v>46120</v>
      </c>
      <c r="G72" s="504"/>
      <c r="H72" s="501" t="s">
        <v>38</v>
      </c>
      <c r="I72" s="503">
        <v>46125</v>
      </c>
      <c r="J72" s="505"/>
      <c r="K72" s="508" t="s">
        <v>437</v>
      </c>
      <c r="L72" s="501" t="s">
        <v>357</v>
      </c>
      <c r="M72" s="503">
        <v>46126</v>
      </c>
      <c r="N72" s="501"/>
    </row>
    <row r="73" spans="1:14" ht="25.15" customHeight="1">
      <c r="A73" s="501">
        <f t="shared" si="2"/>
        <v>71</v>
      </c>
      <c r="B73" s="514" t="s">
        <v>440</v>
      </c>
      <c r="C73" s="513" t="s">
        <v>361</v>
      </c>
      <c r="D73" s="515" t="s">
        <v>355</v>
      </c>
      <c r="E73" s="502">
        <f t="shared" ref="E73:E74" si="3">3.486+37.148</f>
        <v>40.634</v>
      </c>
      <c r="F73" s="503">
        <v>46124</v>
      </c>
      <c r="G73" s="504"/>
      <c r="H73" s="501" t="s">
        <v>38</v>
      </c>
      <c r="I73" s="503">
        <v>46131</v>
      </c>
      <c r="J73" s="505"/>
      <c r="K73" s="508" t="s">
        <v>437</v>
      </c>
      <c r="L73" s="501" t="s">
        <v>357</v>
      </c>
      <c r="M73" s="503">
        <v>46131</v>
      </c>
      <c r="N73" s="501"/>
    </row>
    <row r="74" spans="1:14" ht="25.15" customHeight="1">
      <c r="A74" s="501">
        <f t="shared" si="2"/>
        <v>72</v>
      </c>
      <c r="B74" s="514" t="s">
        <v>441</v>
      </c>
      <c r="C74" s="513" t="s">
        <v>361</v>
      </c>
      <c r="D74" s="515" t="s">
        <v>355</v>
      </c>
      <c r="E74" s="502">
        <f t="shared" si="3"/>
        <v>40.634</v>
      </c>
      <c r="F74" s="503">
        <v>46131</v>
      </c>
      <c r="G74" s="504" t="s">
        <v>67</v>
      </c>
      <c r="H74" s="501" t="s">
        <v>38</v>
      </c>
      <c r="I74" s="503">
        <v>46141</v>
      </c>
      <c r="J74" s="505"/>
      <c r="K74" s="516" t="s">
        <v>413</v>
      </c>
      <c r="L74" s="521" t="s">
        <v>357</v>
      </c>
      <c r="M74" s="522">
        <v>46171</v>
      </c>
      <c r="N74" s="501"/>
    </row>
    <row r="75" spans="1:14" ht="25.15" customHeight="1">
      <c r="A75" s="501">
        <f t="shared" si="2"/>
        <v>73</v>
      </c>
      <c r="B75" s="514" t="s">
        <v>151</v>
      </c>
      <c r="C75" s="513" t="s">
        <v>313</v>
      </c>
      <c r="D75" s="515" t="s">
        <v>278</v>
      </c>
      <c r="E75" s="509">
        <f>9.997+110.464</f>
        <v>120.461</v>
      </c>
      <c r="F75" s="503">
        <v>46131</v>
      </c>
      <c r="G75" s="504" t="s">
        <v>67</v>
      </c>
      <c r="H75" s="501" t="s">
        <v>38</v>
      </c>
      <c r="I75" s="503">
        <v>46140</v>
      </c>
      <c r="J75" s="505"/>
      <c r="K75" s="508" t="s">
        <v>437</v>
      </c>
      <c r="L75" s="501" t="s">
        <v>357</v>
      </c>
      <c r="M75" s="503">
        <v>46140</v>
      </c>
      <c r="N75" s="501"/>
    </row>
    <row r="76" spans="1:14" ht="25.15" customHeight="1">
      <c r="A76" s="501">
        <f t="shared" si="2"/>
        <v>74</v>
      </c>
      <c r="B76" s="514" t="s">
        <v>442</v>
      </c>
      <c r="C76" s="513" t="s">
        <v>354</v>
      </c>
      <c r="D76" s="515" t="s">
        <v>355</v>
      </c>
      <c r="E76" s="502">
        <f>3.264+35.862</f>
        <v>39.126000000000005</v>
      </c>
      <c r="F76" s="503">
        <v>46149</v>
      </c>
      <c r="G76" s="504"/>
      <c r="H76" s="501" t="s">
        <v>38</v>
      </c>
      <c r="I76" s="503">
        <v>46155</v>
      </c>
      <c r="J76" s="505"/>
      <c r="K76" s="508" t="s">
        <v>437</v>
      </c>
      <c r="L76" s="501" t="s">
        <v>357</v>
      </c>
      <c r="M76" s="503">
        <v>46157</v>
      </c>
      <c r="N76" s="501"/>
    </row>
    <row r="77" spans="1:14" ht="25.15" customHeight="1">
      <c r="A77" s="501">
        <f t="shared" si="2"/>
        <v>75</v>
      </c>
      <c r="B77" s="514" t="s">
        <v>443</v>
      </c>
      <c r="C77" s="513" t="s">
        <v>354</v>
      </c>
      <c r="D77" s="515" t="s">
        <v>278</v>
      </c>
      <c r="E77" s="502">
        <f>57.728+5.618</f>
        <v>63.346000000000004</v>
      </c>
      <c r="F77" s="503">
        <v>46134</v>
      </c>
      <c r="G77" s="513" t="s">
        <v>67</v>
      </c>
      <c r="H77" s="501" t="s">
        <v>38</v>
      </c>
      <c r="I77" s="503">
        <v>46158</v>
      </c>
      <c r="J77" s="505"/>
      <c r="K77" s="508" t="s">
        <v>444</v>
      </c>
      <c r="L77" s="501" t="s">
        <v>357</v>
      </c>
      <c r="M77" s="503">
        <v>46159</v>
      </c>
      <c r="N77" s="501"/>
    </row>
    <row r="78" spans="1:14" ht="25.15" customHeight="1">
      <c r="A78" s="501">
        <f t="shared" si="2"/>
        <v>76</v>
      </c>
      <c r="B78" s="514" t="s">
        <v>445</v>
      </c>
      <c r="C78" s="513" t="s">
        <v>354</v>
      </c>
      <c r="D78" s="515" t="s">
        <v>355</v>
      </c>
      <c r="E78" s="502">
        <f>3.264+35.862</f>
        <v>39.126000000000005</v>
      </c>
      <c r="F78" s="503">
        <v>46153</v>
      </c>
      <c r="G78" s="513" t="s">
        <v>67</v>
      </c>
      <c r="H78" s="501" t="s">
        <v>38</v>
      </c>
      <c r="I78" s="503">
        <v>46159</v>
      </c>
      <c r="J78" s="505"/>
      <c r="K78" s="508" t="s">
        <v>437</v>
      </c>
      <c r="L78" s="501" t="s">
        <v>357</v>
      </c>
      <c r="M78" s="503">
        <v>46160</v>
      </c>
      <c r="N78" s="501"/>
    </row>
    <row r="79" spans="1:14" ht="25.15" customHeight="1">
      <c r="A79" s="501">
        <f t="shared" si="2"/>
        <v>77</v>
      </c>
      <c r="B79" s="514" t="s">
        <v>446</v>
      </c>
      <c r="C79" s="513" t="s">
        <v>377</v>
      </c>
      <c r="D79" s="515" t="s">
        <v>355</v>
      </c>
      <c r="E79" s="502">
        <f>7.224+85.068</f>
        <v>92.292000000000002</v>
      </c>
      <c r="F79" s="503">
        <v>46151</v>
      </c>
      <c r="G79" s="513"/>
      <c r="H79" s="501" t="s">
        <v>38</v>
      </c>
      <c r="I79" s="503">
        <v>46160</v>
      </c>
      <c r="J79" s="505"/>
      <c r="K79" s="508" t="s">
        <v>406</v>
      </c>
      <c r="L79" s="501" t="s">
        <v>357</v>
      </c>
      <c r="M79" s="503">
        <v>46159</v>
      </c>
      <c r="N79" s="501"/>
    </row>
    <row r="80" spans="1:14" ht="33" customHeight="1">
      <c r="A80" s="501">
        <f t="shared" si="2"/>
        <v>78</v>
      </c>
      <c r="B80" s="514" t="s">
        <v>447</v>
      </c>
      <c r="C80" s="513" t="s">
        <v>361</v>
      </c>
      <c r="D80" s="515" t="s">
        <v>355</v>
      </c>
      <c r="E80" s="502">
        <f>37.148+3.486</f>
        <v>40.634</v>
      </c>
      <c r="F80" s="503">
        <v>46159</v>
      </c>
      <c r="G80" s="504" t="s">
        <v>67</v>
      </c>
      <c r="H80" s="501" t="s">
        <v>38</v>
      </c>
      <c r="I80" s="503">
        <v>46162</v>
      </c>
      <c r="J80" s="505"/>
      <c r="K80" s="508" t="s">
        <v>437</v>
      </c>
      <c r="L80" s="501" t="s">
        <v>357</v>
      </c>
      <c r="M80" s="503">
        <v>46162</v>
      </c>
      <c r="N80" s="501" t="s">
        <v>448</v>
      </c>
    </row>
    <row r="81" spans="1:14" ht="29.45" customHeight="1">
      <c r="A81" s="501">
        <f t="shared" si="2"/>
        <v>79</v>
      </c>
      <c r="B81" s="514" t="s">
        <v>449</v>
      </c>
      <c r="C81" s="513" t="s">
        <v>302</v>
      </c>
      <c r="D81" s="515" t="s">
        <v>450</v>
      </c>
      <c r="E81" s="502">
        <f>19.88+286.172</f>
        <v>306.05200000000002</v>
      </c>
      <c r="F81" s="503">
        <v>46116</v>
      </c>
      <c r="G81" s="504" t="s">
        <v>67</v>
      </c>
      <c r="H81" s="501" t="s">
        <v>38</v>
      </c>
      <c r="I81" s="503">
        <v>46162</v>
      </c>
      <c r="J81" s="505"/>
      <c r="K81" s="508" t="s">
        <v>451</v>
      </c>
      <c r="L81" s="501" t="s">
        <v>357</v>
      </c>
      <c r="M81" s="503">
        <v>46150</v>
      </c>
      <c r="N81" s="501"/>
    </row>
    <row r="82" spans="1:14" ht="29.45" customHeight="1">
      <c r="A82" s="501">
        <f t="shared" si="2"/>
        <v>80</v>
      </c>
      <c r="B82" s="514" t="s">
        <v>452</v>
      </c>
      <c r="C82" s="513" t="s">
        <v>361</v>
      </c>
      <c r="D82" s="515" t="s">
        <v>355</v>
      </c>
      <c r="E82" s="502">
        <f>37.148+3.486</f>
        <v>40.634</v>
      </c>
      <c r="F82" s="503">
        <v>46161</v>
      </c>
      <c r="G82" s="504" t="s">
        <v>67</v>
      </c>
      <c r="H82" s="501" t="s">
        <v>38</v>
      </c>
      <c r="I82" s="503">
        <v>46165</v>
      </c>
      <c r="J82" s="505"/>
      <c r="K82" s="508" t="s">
        <v>406</v>
      </c>
      <c r="L82" s="501" t="s">
        <v>357</v>
      </c>
      <c r="M82" s="503">
        <v>46166</v>
      </c>
      <c r="N82" s="501" t="s">
        <v>67</v>
      </c>
    </row>
    <row r="83" spans="1:14" ht="29.45" customHeight="1">
      <c r="A83" s="501">
        <f t="shared" si="2"/>
        <v>81</v>
      </c>
      <c r="B83" s="514" t="s">
        <v>453</v>
      </c>
      <c r="C83" s="513" t="s">
        <v>361</v>
      </c>
      <c r="D83" s="515" t="s">
        <v>278</v>
      </c>
      <c r="E83" s="502">
        <f>59.68+5.951</f>
        <v>65.631</v>
      </c>
      <c r="F83" s="503">
        <v>46162</v>
      </c>
      <c r="G83" s="504" t="s">
        <v>67</v>
      </c>
      <c r="H83" s="501" t="s">
        <v>38</v>
      </c>
      <c r="I83" s="503">
        <v>46168</v>
      </c>
      <c r="J83" s="505"/>
      <c r="K83" s="508" t="s">
        <v>437</v>
      </c>
      <c r="L83" s="501" t="s">
        <v>357</v>
      </c>
      <c r="M83" s="503">
        <v>46169</v>
      </c>
      <c r="N83" s="501" t="s">
        <v>67</v>
      </c>
    </row>
    <row r="84" spans="1:14" ht="29.45" customHeight="1">
      <c r="A84" s="501">
        <f t="shared" si="2"/>
        <v>82</v>
      </c>
      <c r="B84" s="514" t="s">
        <v>152</v>
      </c>
      <c r="C84" s="513" t="s">
        <v>339</v>
      </c>
      <c r="D84" s="515" t="s">
        <v>278</v>
      </c>
      <c r="E84" s="502">
        <f>72.684+7.26</f>
        <v>79.944000000000003</v>
      </c>
      <c r="F84" s="503">
        <v>46142</v>
      </c>
      <c r="G84" s="504" t="s">
        <v>67</v>
      </c>
      <c r="H84" s="501" t="s">
        <v>38</v>
      </c>
      <c r="I84" s="503">
        <v>46169</v>
      </c>
      <c r="J84" s="505"/>
      <c r="K84" s="508" t="s">
        <v>413</v>
      </c>
      <c r="L84" s="501" t="s">
        <v>357</v>
      </c>
      <c r="M84" s="503">
        <v>46173</v>
      </c>
      <c r="N84" s="501"/>
    </row>
    <row r="85" spans="1:14" ht="29.45" customHeight="1">
      <c r="A85" s="501">
        <f t="shared" si="2"/>
        <v>83</v>
      </c>
      <c r="B85" s="501" t="s">
        <v>454</v>
      </c>
      <c r="C85" s="501" t="s">
        <v>304</v>
      </c>
      <c r="D85" s="515" t="s">
        <v>424</v>
      </c>
      <c r="E85" s="510">
        <f>111.81+15.7</f>
        <v>127.51</v>
      </c>
      <c r="F85" s="503">
        <v>46164</v>
      </c>
      <c r="G85" s="507"/>
      <c r="H85" s="501" t="s">
        <v>38</v>
      </c>
      <c r="I85" s="503">
        <v>46173</v>
      </c>
      <c r="J85" s="505"/>
      <c r="K85" s="508" t="s">
        <v>455</v>
      </c>
      <c r="L85" s="501" t="s">
        <v>357</v>
      </c>
      <c r="M85" s="503">
        <v>46181</v>
      </c>
      <c r="N85" s="501"/>
    </row>
    <row r="86" spans="1:14" ht="29.45" customHeight="1">
      <c r="A86" s="501">
        <f t="shared" si="2"/>
        <v>84</v>
      </c>
      <c r="B86" s="514" t="s">
        <v>456</v>
      </c>
      <c r="C86" s="513" t="s">
        <v>361</v>
      </c>
      <c r="D86" s="515" t="s">
        <v>278</v>
      </c>
      <c r="E86" s="502">
        <f>59.68+5.951</f>
        <v>65.631</v>
      </c>
      <c r="F86" s="503">
        <v>46164</v>
      </c>
      <c r="G86" s="504"/>
      <c r="H86" s="501" t="s">
        <v>38</v>
      </c>
      <c r="I86" s="503">
        <v>46173</v>
      </c>
      <c r="J86" s="505"/>
      <c r="K86" s="508" t="s">
        <v>385</v>
      </c>
      <c r="L86" s="501" t="s">
        <v>357</v>
      </c>
      <c r="M86" s="503">
        <v>46182</v>
      </c>
      <c r="N86" s="501"/>
    </row>
    <row r="87" spans="1:14" ht="36.6" customHeight="1">
      <c r="A87" s="501">
        <f t="shared" si="2"/>
        <v>85</v>
      </c>
      <c r="B87" s="501" t="s">
        <v>457</v>
      </c>
      <c r="C87" s="501" t="s">
        <v>354</v>
      </c>
      <c r="D87" s="515" t="s">
        <v>278</v>
      </c>
      <c r="E87" s="502">
        <f>57.728+5.618</f>
        <v>63.346000000000004</v>
      </c>
      <c r="F87" s="503">
        <v>46170</v>
      </c>
      <c r="G87" s="507"/>
      <c r="H87" s="501" t="s">
        <v>38</v>
      </c>
      <c r="I87" s="503">
        <v>46173</v>
      </c>
      <c r="J87" s="505"/>
      <c r="K87" s="508" t="s">
        <v>437</v>
      </c>
      <c r="L87" s="501" t="s">
        <v>357</v>
      </c>
      <c r="M87" s="503">
        <v>46176</v>
      </c>
      <c r="N87" s="501"/>
    </row>
    <row r="88" spans="1:14" ht="36.6" customHeight="1">
      <c r="A88" s="501">
        <f t="shared" si="2"/>
        <v>86</v>
      </c>
      <c r="B88" s="501" t="s">
        <v>458</v>
      </c>
      <c r="C88" s="501" t="s">
        <v>361</v>
      </c>
      <c r="D88" s="515" t="s">
        <v>355</v>
      </c>
      <c r="E88" s="502">
        <f>37.148+3.486</f>
        <v>40.634</v>
      </c>
      <c r="F88" s="503">
        <v>46170</v>
      </c>
      <c r="G88" s="507" t="s">
        <v>67</v>
      </c>
      <c r="H88" s="501" t="s">
        <v>38</v>
      </c>
      <c r="I88" s="503">
        <v>46179</v>
      </c>
      <c r="J88" s="505"/>
      <c r="K88" s="508" t="s">
        <v>385</v>
      </c>
      <c r="L88" s="501" t="s">
        <v>357</v>
      </c>
      <c r="M88" s="503">
        <v>46181</v>
      </c>
      <c r="N88" s="501" t="s">
        <v>67</v>
      </c>
    </row>
    <row r="89" spans="1:14" ht="36.6" customHeight="1">
      <c r="A89" s="501">
        <v>87</v>
      </c>
      <c r="B89" s="501" t="s">
        <v>460</v>
      </c>
      <c r="C89" s="501" t="s">
        <v>361</v>
      </c>
      <c r="D89" s="515" t="s">
        <v>355</v>
      </c>
      <c r="E89" s="502">
        <f>37.148+3.486</f>
        <v>40.634</v>
      </c>
      <c r="F89" s="503">
        <v>46162</v>
      </c>
      <c r="G89" s="507" t="s">
        <v>67</v>
      </c>
      <c r="H89" s="501" t="s">
        <v>38</v>
      </c>
      <c r="I89" s="503">
        <v>46179</v>
      </c>
      <c r="J89" s="505"/>
      <c r="K89" s="508" t="s">
        <v>461</v>
      </c>
      <c r="L89" s="501"/>
      <c r="M89" s="503"/>
      <c r="N89" s="501" t="s">
        <v>67</v>
      </c>
    </row>
    <row r="90" spans="1:14" ht="36.6" customHeight="1">
      <c r="A90" s="501">
        <v>88</v>
      </c>
      <c r="B90" s="501" t="s">
        <v>459</v>
      </c>
      <c r="C90" s="501" t="s">
        <v>377</v>
      </c>
      <c r="D90" s="515" t="s">
        <v>450</v>
      </c>
      <c r="E90" s="502">
        <f>155.628+13.285</f>
        <v>168.91299999999998</v>
      </c>
      <c r="F90" s="503">
        <v>46170</v>
      </c>
      <c r="G90" s="507" t="s">
        <v>1105</v>
      </c>
      <c r="H90" s="501" t="s">
        <v>38</v>
      </c>
      <c r="I90" s="503">
        <v>46183</v>
      </c>
      <c r="J90" s="505"/>
      <c r="K90" s="508" t="s">
        <v>437</v>
      </c>
      <c r="L90" s="501"/>
      <c r="M90" s="503"/>
      <c r="N90" s="501" t="s">
        <v>67</v>
      </c>
    </row>
    <row r="91" spans="1:14" ht="36.6" customHeight="1">
      <c r="A91" s="501">
        <v>89</v>
      </c>
      <c r="B91" s="501" t="s">
        <v>462</v>
      </c>
      <c r="C91" s="501" t="s">
        <v>361</v>
      </c>
      <c r="D91" s="515" t="s">
        <v>355</v>
      </c>
      <c r="E91" s="502">
        <f>37.148+3.486</f>
        <v>40.634</v>
      </c>
      <c r="F91" s="503">
        <v>46176</v>
      </c>
      <c r="G91" s="507" t="s">
        <v>1107</v>
      </c>
      <c r="H91" s="501" t="s">
        <v>38</v>
      </c>
      <c r="I91" s="503">
        <v>46184</v>
      </c>
      <c r="J91" s="505"/>
      <c r="K91" s="508" t="s">
        <v>385</v>
      </c>
      <c r="L91" s="501"/>
      <c r="M91" s="503"/>
      <c r="N91" s="501"/>
    </row>
    <row r="92" spans="1:14" ht="51.75" customHeight="1">
      <c r="A92" s="589">
        <f t="shared" si="2"/>
        <v>90</v>
      </c>
      <c r="B92" s="596" t="s">
        <v>463</v>
      </c>
      <c r="C92" s="597" t="s">
        <v>464</v>
      </c>
      <c r="D92" s="590" t="s">
        <v>278</v>
      </c>
      <c r="E92" s="595">
        <v>117.033</v>
      </c>
      <c r="F92" s="591">
        <v>46181</v>
      </c>
      <c r="G92" s="592" t="s">
        <v>1108</v>
      </c>
      <c r="H92" s="589"/>
      <c r="I92" s="591"/>
      <c r="J92" s="593"/>
      <c r="K92" s="594" t="s">
        <v>437</v>
      </c>
      <c r="L92" s="591" t="s">
        <v>67</v>
      </c>
      <c r="M92" s="598"/>
      <c r="N92" s="589"/>
    </row>
    <row r="93" spans="1:14" ht="51.75" customHeight="1">
      <c r="A93" s="589">
        <f t="shared" si="2"/>
        <v>91</v>
      </c>
      <c r="B93" s="596" t="s">
        <v>559</v>
      </c>
      <c r="C93" s="597" t="s">
        <v>354</v>
      </c>
      <c r="D93" s="590" t="s">
        <v>355</v>
      </c>
      <c r="E93" s="595">
        <v>39.126000000000005</v>
      </c>
      <c r="F93" s="591">
        <v>46181</v>
      </c>
      <c r="G93" s="592" t="s">
        <v>1109</v>
      </c>
      <c r="H93" s="589"/>
      <c r="I93" s="591"/>
      <c r="J93" s="593"/>
      <c r="K93" s="594" t="s">
        <v>430</v>
      </c>
      <c r="L93" s="591"/>
      <c r="M93" s="598"/>
      <c r="N93" s="589"/>
    </row>
    <row r="94" spans="1:14" ht="51.75" customHeight="1">
      <c r="A94" s="589">
        <f t="shared" si="2"/>
        <v>92</v>
      </c>
      <c r="B94" s="596" t="s">
        <v>593</v>
      </c>
      <c r="C94" s="597" t="s">
        <v>354</v>
      </c>
      <c r="D94" s="590" t="s">
        <v>278</v>
      </c>
      <c r="E94" s="595">
        <v>63.346000000000004</v>
      </c>
      <c r="F94" s="591">
        <v>46181</v>
      </c>
      <c r="G94" s="592" t="s">
        <v>1110</v>
      </c>
      <c r="H94" s="589"/>
      <c r="I94" s="591"/>
      <c r="J94" s="593"/>
      <c r="K94" s="594" t="s">
        <v>406</v>
      </c>
      <c r="L94" s="591"/>
      <c r="M94" s="598"/>
      <c r="N94" s="589"/>
    </row>
    <row r="95" spans="1:14" ht="49.5" customHeight="1">
      <c r="A95" s="589">
        <f t="shared" si="2"/>
        <v>93</v>
      </c>
      <c r="B95" s="596" t="s">
        <v>465</v>
      </c>
      <c r="C95" s="597" t="s">
        <v>354</v>
      </c>
      <c r="D95" s="590"/>
      <c r="E95" s="595"/>
      <c r="F95" s="591"/>
      <c r="G95" s="602" t="s">
        <v>1097</v>
      </c>
      <c r="H95" s="589"/>
      <c r="I95" s="591"/>
      <c r="J95" s="593"/>
      <c r="K95" s="594" t="s">
        <v>67</v>
      </c>
      <c r="L95" s="589"/>
      <c r="M95" s="598"/>
      <c r="N95" s="589"/>
    </row>
    <row r="96" spans="1:14" ht="30" customHeight="1">
      <c r="A96" s="465"/>
      <c r="B96" s="466"/>
      <c r="C96" s="467"/>
      <c r="D96" s="468"/>
      <c r="E96" s="469"/>
      <c r="F96" s="499"/>
      <c r="G96" s="474"/>
      <c r="H96" s="484"/>
      <c r="I96" s="500"/>
      <c r="J96" s="472"/>
      <c r="K96" s="489"/>
      <c r="M96" s="486"/>
    </row>
    <row r="97" spans="1:13" ht="30" customHeight="1">
      <c r="A97" s="465"/>
      <c r="B97" s="466"/>
      <c r="C97" s="467"/>
      <c r="D97" s="468"/>
      <c r="E97" s="469"/>
      <c r="F97" s="499"/>
      <c r="G97" s="474"/>
      <c r="H97" s="484"/>
      <c r="I97" s="500"/>
      <c r="J97" s="472"/>
      <c r="K97" s="489"/>
      <c r="M97" s="487"/>
    </row>
    <row r="98" spans="1:13" ht="30" customHeight="1">
      <c r="A98" s="465"/>
      <c r="B98" s="466"/>
      <c r="C98" s="467"/>
      <c r="D98" s="468"/>
      <c r="E98" s="469"/>
      <c r="F98" s="499"/>
      <c r="G98" s="474"/>
      <c r="H98" s="470"/>
      <c r="I98" s="500"/>
      <c r="J98" s="472"/>
      <c r="K98" s="489"/>
      <c r="M98" s="486"/>
    </row>
    <row r="99" spans="1:13" ht="30" customHeight="1">
      <c r="A99" s="465"/>
      <c r="B99" s="466"/>
      <c r="C99" s="467"/>
      <c r="D99" s="468"/>
      <c r="E99" s="469"/>
      <c r="F99" s="499"/>
      <c r="G99" s="474"/>
      <c r="H99" s="484"/>
      <c r="I99" s="500"/>
      <c r="J99" s="472"/>
      <c r="K99" s="489"/>
      <c r="M99" s="486"/>
    </row>
    <row r="100" spans="1:13" ht="30" customHeight="1">
      <c r="A100" s="465"/>
      <c r="B100" s="466"/>
      <c r="C100" s="467"/>
      <c r="D100" s="468"/>
      <c r="E100" s="469"/>
      <c r="F100" s="499"/>
      <c r="G100" s="474"/>
      <c r="H100" s="484"/>
      <c r="I100" s="500"/>
      <c r="J100" s="472"/>
      <c r="K100" s="489"/>
    </row>
    <row r="101" spans="1:13" ht="30" customHeight="1">
      <c r="A101" s="465"/>
      <c r="B101" s="466"/>
      <c r="C101" s="467"/>
      <c r="D101" s="468"/>
      <c r="E101" s="469"/>
      <c r="F101" s="499"/>
      <c r="G101" s="477"/>
      <c r="H101" s="484"/>
      <c r="I101" s="500"/>
      <c r="J101" s="472"/>
      <c r="K101" s="489"/>
      <c r="M101" s="486"/>
    </row>
    <row r="102" spans="1:13" ht="30" customHeight="1">
      <c r="A102" s="465"/>
      <c r="B102" s="466"/>
      <c r="C102" s="467"/>
      <c r="D102" s="468"/>
      <c r="E102" s="469"/>
      <c r="F102" s="499"/>
      <c r="G102" s="474"/>
      <c r="H102" s="484"/>
      <c r="I102" s="500"/>
      <c r="J102" s="472"/>
      <c r="K102" s="489"/>
    </row>
    <row r="103" spans="1:13" ht="30" customHeight="1">
      <c r="A103" s="465"/>
      <c r="B103" s="466"/>
      <c r="C103" s="467"/>
      <c r="D103" s="468"/>
      <c r="E103" s="469"/>
      <c r="F103" s="499"/>
      <c r="G103" s="474"/>
      <c r="H103" s="484"/>
      <c r="I103" s="500"/>
      <c r="J103" s="472"/>
      <c r="K103" s="489"/>
      <c r="M103" s="486"/>
    </row>
    <row r="104" spans="1:13" ht="30" customHeight="1">
      <c r="A104" s="465"/>
      <c r="B104" s="466"/>
      <c r="C104" s="467"/>
      <c r="D104" s="468"/>
      <c r="E104" s="469"/>
      <c r="F104" s="499"/>
      <c r="G104" s="474"/>
      <c r="H104" s="484"/>
      <c r="I104" s="500"/>
      <c r="J104" s="472"/>
      <c r="K104" s="489"/>
    </row>
    <row r="105" spans="1:13" ht="30" customHeight="1">
      <c r="A105" s="465"/>
      <c r="B105" s="466"/>
      <c r="C105" s="467"/>
      <c r="D105" s="468"/>
      <c r="E105" s="469"/>
      <c r="F105" s="499"/>
      <c r="G105" s="474"/>
      <c r="H105" s="484"/>
      <c r="I105" s="500"/>
      <c r="J105" s="472"/>
      <c r="K105" s="489"/>
    </row>
    <row r="106" spans="1:13" ht="30" customHeight="1">
      <c r="A106" s="465"/>
      <c r="B106" s="466"/>
      <c r="C106" s="467"/>
      <c r="D106" s="468"/>
      <c r="E106" s="469"/>
      <c r="F106" s="499"/>
      <c r="G106" s="474"/>
      <c r="H106" s="484"/>
      <c r="I106" s="500"/>
      <c r="J106" s="472"/>
      <c r="K106" s="489"/>
      <c r="M106" s="486"/>
    </row>
    <row r="107" spans="1:13" ht="30" customHeight="1">
      <c r="A107" s="465"/>
      <c r="B107" s="466"/>
      <c r="C107" s="467"/>
      <c r="D107" s="468"/>
      <c r="E107" s="469"/>
      <c r="F107" s="499"/>
      <c r="G107" s="474"/>
      <c r="H107" s="484"/>
      <c r="I107" s="500"/>
      <c r="J107" s="472"/>
      <c r="K107" s="489"/>
    </row>
    <row r="108" spans="1:13" ht="30" customHeight="1">
      <c r="A108" s="465"/>
      <c r="B108" s="466"/>
      <c r="C108" s="467"/>
      <c r="D108" s="468"/>
      <c r="E108" s="469"/>
      <c r="F108" s="499"/>
      <c r="G108" s="477"/>
      <c r="H108" s="470"/>
      <c r="I108" s="500"/>
      <c r="J108" s="472"/>
      <c r="K108" s="489"/>
    </row>
    <row r="109" spans="1:13" ht="30" customHeight="1">
      <c r="A109" s="465"/>
      <c r="B109" s="466"/>
      <c r="C109" s="467"/>
      <c r="D109" s="468"/>
      <c r="E109" s="469"/>
      <c r="F109" s="499"/>
      <c r="G109" s="474"/>
      <c r="H109" s="470"/>
      <c r="I109" s="500"/>
      <c r="J109" s="472"/>
      <c r="K109" s="489"/>
    </row>
    <row r="110" spans="1:13" ht="30" customHeight="1">
      <c r="A110" s="465"/>
      <c r="B110" s="466"/>
      <c r="C110" s="467"/>
      <c r="D110" s="468"/>
      <c r="E110" s="469"/>
      <c r="F110" s="499"/>
      <c r="G110" s="474"/>
      <c r="H110" s="470"/>
      <c r="I110" s="500"/>
      <c r="J110" s="472"/>
      <c r="K110" s="489"/>
    </row>
    <row r="111" spans="1:13" ht="30" customHeight="1">
      <c r="A111" s="465"/>
      <c r="B111" s="466"/>
      <c r="C111" s="467"/>
      <c r="D111" s="468"/>
      <c r="E111" s="469"/>
      <c r="F111" s="499"/>
      <c r="G111" s="474"/>
      <c r="H111" s="470"/>
      <c r="I111" s="500"/>
      <c r="J111" s="472"/>
      <c r="K111" s="489"/>
      <c r="M111" s="486"/>
    </row>
    <row r="112" spans="1:13" ht="30" customHeight="1">
      <c r="A112" s="465"/>
      <c r="B112" s="466"/>
      <c r="C112" s="467"/>
      <c r="D112" s="468"/>
      <c r="E112" s="469"/>
      <c r="F112" s="499"/>
      <c r="G112" s="474"/>
      <c r="H112" s="470"/>
      <c r="I112" s="500"/>
      <c r="J112" s="472"/>
      <c r="K112" s="489"/>
      <c r="M112" s="486"/>
    </row>
    <row r="113" spans="1:14" s="464" customFormat="1" ht="44.1" customHeight="1">
      <c r="A113" s="465"/>
      <c r="B113" s="466"/>
      <c r="C113" s="467"/>
      <c r="D113" s="468"/>
      <c r="E113" s="469"/>
      <c r="F113" s="499"/>
      <c r="G113" s="474"/>
      <c r="H113" s="470"/>
      <c r="I113" s="500"/>
      <c r="J113" s="475"/>
      <c r="K113" s="489"/>
      <c r="L113" s="428"/>
      <c r="M113" s="486"/>
      <c r="N113" s="484"/>
    </row>
    <row r="114" spans="1:14" ht="44.1" customHeight="1">
      <c r="A114" s="465"/>
      <c r="B114" s="466"/>
      <c r="C114" s="467"/>
      <c r="D114" s="468"/>
      <c r="E114" s="469"/>
      <c r="F114" s="499"/>
      <c r="G114" s="474"/>
      <c r="H114" s="470"/>
      <c r="I114" s="500"/>
      <c r="J114" s="475"/>
      <c r="K114" s="489"/>
      <c r="M114" s="480"/>
      <c r="N114" s="484"/>
    </row>
    <row r="115" spans="1:14" s="464" customFormat="1" ht="44.1" customHeight="1">
      <c r="A115" s="465"/>
      <c r="B115" s="466"/>
      <c r="C115" s="467"/>
      <c r="D115" s="468"/>
      <c r="E115" s="469"/>
      <c r="F115" s="499"/>
      <c r="G115" s="474"/>
      <c r="H115" s="470"/>
      <c r="I115" s="500"/>
      <c r="J115" s="476"/>
      <c r="K115" s="489"/>
      <c r="L115" s="484"/>
      <c r="M115" s="484"/>
      <c r="N115" s="484"/>
    </row>
    <row r="116" spans="1:14" ht="30" customHeight="1">
      <c r="A116" s="465"/>
      <c r="B116" s="466"/>
      <c r="C116" s="467"/>
      <c r="D116" s="468"/>
      <c r="E116" s="469"/>
      <c r="F116" s="499"/>
      <c r="G116" s="474"/>
      <c r="H116" s="470"/>
      <c r="I116" s="500"/>
      <c r="J116" s="472"/>
      <c r="K116" s="489"/>
    </row>
    <row r="117" spans="1:14" s="464" customFormat="1" ht="48" customHeight="1">
      <c r="A117" s="465"/>
      <c r="B117" s="466"/>
      <c r="C117" s="467"/>
      <c r="D117" s="468"/>
      <c r="E117" s="469"/>
      <c r="F117" s="499"/>
      <c r="G117" s="477"/>
      <c r="H117" s="470"/>
      <c r="I117" s="500"/>
      <c r="J117" s="472"/>
      <c r="K117" s="489"/>
      <c r="L117" s="428"/>
      <c r="M117" s="428"/>
      <c r="N117" s="428"/>
    </row>
    <row r="118" spans="1:14" ht="43.35" customHeight="1">
      <c r="A118" s="465"/>
      <c r="B118" s="466"/>
      <c r="C118" s="467"/>
      <c r="D118" s="468"/>
      <c r="E118" s="469"/>
      <c r="F118" s="499"/>
      <c r="G118" s="474"/>
      <c r="H118" s="470"/>
      <c r="I118" s="500"/>
      <c r="J118" s="472"/>
      <c r="K118" s="489"/>
    </row>
    <row r="119" spans="1:14" ht="30" customHeight="1">
      <c r="A119" s="465"/>
      <c r="B119" s="466"/>
      <c r="C119" s="467"/>
      <c r="D119" s="468"/>
      <c r="E119" s="469"/>
      <c r="F119" s="499"/>
      <c r="G119" s="477"/>
      <c r="H119" s="467"/>
      <c r="I119" s="500"/>
      <c r="J119" s="472"/>
      <c r="K119" s="489"/>
    </row>
    <row r="120" spans="1:14" ht="30" customHeight="1">
      <c r="A120" s="465"/>
      <c r="B120" s="466"/>
      <c r="C120" s="467"/>
      <c r="D120" s="468"/>
      <c r="E120" s="469"/>
      <c r="F120" s="499"/>
      <c r="G120" s="474"/>
      <c r="H120" s="470"/>
      <c r="I120" s="500"/>
      <c r="J120" s="472"/>
      <c r="K120" s="489"/>
    </row>
    <row r="121" spans="1:14" ht="30" customHeight="1">
      <c r="A121" s="465"/>
      <c r="B121" s="466"/>
      <c r="C121" s="467"/>
      <c r="D121" s="468"/>
      <c r="E121" s="469"/>
      <c r="F121" s="499"/>
      <c r="G121" s="474"/>
      <c r="H121" s="470"/>
      <c r="I121" s="500"/>
      <c r="J121" s="472"/>
      <c r="K121" s="489"/>
    </row>
    <row r="122" spans="1:14" s="464" customFormat="1" ht="30" customHeight="1">
      <c r="A122" s="465"/>
      <c r="B122" s="466"/>
      <c r="C122" s="467"/>
      <c r="D122" s="468"/>
      <c r="E122" s="469"/>
      <c r="F122" s="499"/>
      <c r="G122" s="477"/>
      <c r="H122" s="470"/>
      <c r="I122" s="500"/>
      <c r="J122" s="475"/>
      <c r="K122" s="489"/>
      <c r="L122" s="484"/>
      <c r="M122" s="484"/>
      <c r="N122" s="484"/>
    </row>
    <row r="123" spans="1:14" s="464" customFormat="1" ht="30" customHeight="1">
      <c r="A123" s="465"/>
      <c r="B123" s="466"/>
      <c r="C123" s="467"/>
      <c r="D123" s="468"/>
      <c r="E123" s="469"/>
      <c r="F123" s="499"/>
      <c r="G123" s="474"/>
      <c r="H123" s="470"/>
      <c r="I123" s="500"/>
      <c r="J123" s="472"/>
      <c r="K123" s="489"/>
      <c r="L123" s="428"/>
      <c r="M123" s="486"/>
      <c r="N123" s="428"/>
    </row>
    <row r="124" spans="1:14" ht="30" customHeight="1">
      <c r="A124" s="465"/>
      <c r="B124" s="466"/>
      <c r="C124" s="467"/>
      <c r="D124" s="468"/>
      <c r="E124" s="469"/>
      <c r="F124" s="499"/>
      <c r="G124" s="474"/>
      <c r="H124" s="470"/>
      <c r="I124" s="500"/>
      <c r="J124" s="472"/>
      <c r="K124" s="489"/>
    </row>
    <row r="125" spans="1:14" ht="30" customHeight="1">
      <c r="A125" s="465"/>
      <c r="B125" s="466"/>
      <c r="C125" s="467"/>
      <c r="D125" s="468"/>
      <c r="E125" s="469"/>
      <c r="F125" s="499"/>
      <c r="G125" s="474"/>
      <c r="H125" s="484"/>
      <c r="I125" s="500"/>
      <c r="J125" s="472"/>
      <c r="K125" s="489"/>
      <c r="M125" s="486"/>
    </row>
    <row r="126" spans="1:14" ht="30" customHeight="1">
      <c r="A126" s="465"/>
      <c r="B126" s="466"/>
      <c r="C126" s="467"/>
      <c r="D126" s="468"/>
      <c r="E126" s="469"/>
      <c r="F126" s="499"/>
      <c r="G126" s="477"/>
      <c r="H126" s="467"/>
      <c r="I126" s="500"/>
      <c r="J126" s="472"/>
      <c r="K126" s="489"/>
    </row>
    <row r="127" spans="1:14" ht="30" customHeight="1">
      <c r="A127" s="465"/>
      <c r="B127" s="466"/>
      <c r="C127" s="467"/>
      <c r="D127" s="468"/>
      <c r="E127" s="469"/>
      <c r="F127" s="499"/>
      <c r="G127" s="474"/>
      <c r="H127" s="470"/>
      <c r="I127" s="500"/>
      <c r="J127" s="472"/>
      <c r="K127" s="489"/>
    </row>
    <row r="128" spans="1:14" ht="30" customHeight="1">
      <c r="A128" s="465"/>
      <c r="B128" s="466"/>
      <c r="C128" s="467"/>
      <c r="D128" s="468"/>
      <c r="E128" s="469"/>
      <c r="F128" s="499"/>
      <c r="G128" s="474"/>
      <c r="H128" s="470"/>
      <c r="I128" s="500"/>
      <c r="J128" s="472"/>
      <c r="K128" s="489"/>
    </row>
    <row r="129" spans="1:14" ht="30" customHeight="1">
      <c r="A129" s="465"/>
      <c r="B129" s="466"/>
      <c r="C129" s="467"/>
      <c r="D129" s="468"/>
      <c r="E129" s="469"/>
      <c r="F129" s="499"/>
      <c r="G129" s="474"/>
      <c r="H129" s="470"/>
      <c r="I129" s="500"/>
      <c r="J129" s="472"/>
      <c r="K129" s="489"/>
    </row>
    <row r="130" spans="1:14" ht="30" customHeight="1">
      <c r="A130" s="465"/>
      <c r="B130" s="466"/>
      <c r="C130" s="467"/>
      <c r="D130" s="468"/>
      <c r="E130" s="469"/>
      <c r="F130" s="499"/>
      <c r="G130" s="474"/>
      <c r="H130" s="470"/>
      <c r="I130" s="500"/>
      <c r="J130" s="472"/>
      <c r="K130" s="489"/>
    </row>
    <row r="131" spans="1:14" ht="30" customHeight="1">
      <c r="A131" s="465"/>
      <c r="B131" s="466"/>
      <c r="C131" s="467"/>
      <c r="D131" s="468"/>
      <c r="E131" s="469"/>
      <c r="F131" s="499"/>
      <c r="G131" s="474"/>
      <c r="H131" s="470"/>
      <c r="I131" s="500"/>
      <c r="J131" s="472"/>
      <c r="K131" s="489"/>
    </row>
    <row r="132" spans="1:14" ht="30" customHeight="1">
      <c r="A132" s="465"/>
      <c r="B132" s="466"/>
      <c r="C132" s="467"/>
      <c r="D132" s="468"/>
      <c r="E132" s="469"/>
      <c r="F132" s="499"/>
      <c r="G132" s="474"/>
      <c r="H132" s="470"/>
      <c r="I132" s="500"/>
      <c r="J132" s="475"/>
      <c r="K132" s="489"/>
      <c r="L132" s="484"/>
      <c r="M132" s="484"/>
      <c r="N132" s="484"/>
    </row>
    <row r="133" spans="1:14" ht="30" customHeight="1">
      <c r="A133" s="465"/>
      <c r="B133" s="466"/>
      <c r="C133" s="467"/>
      <c r="D133" s="468"/>
      <c r="E133" s="469"/>
      <c r="F133" s="499"/>
      <c r="G133" s="474"/>
      <c r="H133" s="470"/>
      <c r="I133" s="500"/>
      <c r="J133" s="472"/>
      <c r="K133" s="489"/>
    </row>
    <row r="134" spans="1:14" ht="30" customHeight="1">
      <c r="A134" s="465"/>
      <c r="B134" s="466"/>
      <c r="C134" s="467"/>
      <c r="D134" s="468"/>
      <c r="E134" s="469"/>
      <c r="F134" s="499"/>
      <c r="G134" s="474"/>
      <c r="H134" s="470"/>
      <c r="I134" s="500"/>
      <c r="J134" s="472"/>
      <c r="K134" s="489"/>
    </row>
    <row r="135" spans="1:14" ht="30" customHeight="1">
      <c r="A135" s="465"/>
      <c r="B135" s="466"/>
      <c r="C135" s="467"/>
      <c r="D135" s="468"/>
      <c r="E135" s="469"/>
      <c r="F135" s="499"/>
      <c r="G135" s="474"/>
      <c r="H135" s="470"/>
      <c r="I135" s="500"/>
      <c r="J135" s="472"/>
      <c r="K135" s="489"/>
    </row>
    <row r="136" spans="1:14" ht="30" customHeight="1">
      <c r="A136" s="465"/>
      <c r="B136" s="466"/>
      <c r="C136" s="467"/>
      <c r="D136" s="468"/>
      <c r="E136" s="469"/>
      <c r="F136" s="499"/>
      <c r="G136" s="474"/>
      <c r="H136" s="470"/>
      <c r="I136" s="500"/>
      <c r="J136" s="472"/>
      <c r="K136" s="489"/>
    </row>
    <row r="137" spans="1:14" ht="30" customHeight="1">
      <c r="A137" s="465"/>
      <c r="B137" s="466"/>
      <c r="C137" s="467"/>
      <c r="D137" s="468"/>
      <c r="E137" s="469"/>
      <c r="F137" s="499"/>
      <c r="G137" s="474"/>
      <c r="H137" s="470"/>
      <c r="I137" s="500"/>
      <c r="J137" s="472"/>
      <c r="K137" s="489"/>
      <c r="M137" s="486"/>
    </row>
    <row r="138" spans="1:14" ht="30" customHeight="1">
      <c r="A138" s="465"/>
      <c r="B138" s="466"/>
      <c r="C138" s="467"/>
      <c r="D138" s="468"/>
      <c r="E138" s="469"/>
      <c r="F138" s="499"/>
      <c r="G138" s="474"/>
      <c r="H138" s="470"/>
      <c r="I138" s="500"/>
      <c r="J138" s="472"/>
      <c r="K138" s="489"/>
    </row>
    <row r="139" spans="1:14" ht="30" customHeight="1">
      <c r="A139" s="465"/>
      <c r="B139" s="466"/>
      <c r="C139" s="467"/>
      <c r="D139" s="468"/>
      <c r="E139" s="469"/>
      <c r="F139" s="499"/>
      <c r="G139" s="474"/>
      <c r="H139" s="470"/>
      <c r="I139" s="500"/>
      <c r="J139" s="472"/>
      <c r="K139" s="489"/>
    </row>
    <row r="140" spans="1:14" ht="30" customHeight="1">
      <c r="A140" s="465"/>
      <c r="B140" s="466"/>
      <c r="C140" s="467"/>
      <c r="D140" s="468"/>
      <c r="E140" s="469"/>
      <c r="F140" s="499"/>
      <c r="G140" s="474"/>
      <c r="H140" s="470"/>
      <c r="I140" s="500"/>
      <c r="J140" s="472"/>
      <c r="K140" s="489"/>
    </row>
    <row r="141" spans="1:14" ht="30" customHeight="1">
      <c r="A141" s="465"/>
      <c r="B141" s="466"/>
      <c r="C141" s="467"/>
      <c r="D141" s="468"/>
      <c r="E141" s="469"/>
      <c r="F141" s="499"/>
      <c r="G141" s="474"/>
      <c r="H141" s="470"/>
      <c r="I141" s="500"/>
      <c r="J141" s="472"/>
      <c r="K141" s="489"/>
    </row>
    <row r="142" spans="1:14" ht="30" customHeight="1">
      <c r="A142" s="465"/>
      <c r="B142" s="466"/>
      <c r="C142" s="467"/>
      <c r="D142" s="468"/>
      <c r="E142" s="469"/>
      <c r="F142" s="499"/>
      <c r="G142" s="474"/>
      <c r="H142" s="470"/>
      <c r="I142" s="500"/>
      <c r="J142" s="472"/>
      <c r="K142" s="489"/>
      <c r="M142" s="486"/>
    </row>
    <row r="143" spans="1:14" ht="30" customHeight="1">
      <c r="A143" s="465"/>
      <c r="B143" s="466"/>
      <c r="C143" s="467"/>
      <c r="D143" s="468"/>
      <c r="E143" s="469"/>
      <c r="F143" s="499"/>
      <c r="G143" s="474"/>
      <c r="H143" s="470"/>
      <c r="I143" s="500"/>
      <c r="J143" s="472"/>
      <c r="K143" s="489"/>
      <c r="M143" s="486"/>
    </row>
    <row r="144" spans="1:14" ht="30" customHeight="1">
      <c r="A144" s="465"/>
      <c r="B144" s="466"/>
      <c r="C144" s="467"/>
      <c r="D144" s="468"/>
      <c r="E144" s="469"/>
      <c r="F144" s="499"/>
      <c r="G144" s="474"/>
      <c r="H144" s="470"/>
      <c r="I144" s="500"/>
      <c r="J144" s="472"/>
      <c r="K144" s="489"/>
      <c r="M144" s="486"/>
    </row>
    <row r="145" spans="1:13" ht="30" customHeight="1">
      <c r="A145" s="465"/>
      <c r="B145" s="466"/>
      <c r="C145" s="467"/>
      <c r="D145" s="468"/>
      <c r="E145" s="469"/>
      <c r="F145" s="499"/>
      <c r="G145" s="474"/>
      <c r="H145" s="470"/>
      <c r="I145" s="500"/>
      <c r="J145" s="472"/>
      <c r="K145" s="489"/>
    </row>
    <row r="146" spans="1:13" ht="30" customHeight="1">
      <c r="A146" s="465"/>
      <c r="B146" s="466"/>
      <c r="C146" s="467"/>
      <c r="D146" s="468"/>
      <c r="E146" s="469"/>
      <c r="F146" s="499"/>
      <c r="G146" s="474"/>
      <c r="H146" s="470"/>
      <c r="I146" s="500"/>
      <c r="J146" s="472"/>
      <c r="K146" s="489"/>
    </row>
    <row r="147" spans="1:13" ht="30" customHeight="1">
      <c r="A147" s="465"/>
      <c r="B147" s="466"/>
      <c r="C147" s="467"/>
      <c r="D147" s="468"/>
      <c r="E147" s="469"/>
      <c r="F147" s="499"/>
      <c r="G147" s="474"/>
      <c r="H147" s="470"/>
      <c r="I147" s="500"/>
      <c r="J147" s="472"/>
      <c r="K147" s="489"/>
      <c r="M147" s="487"/>
    </row>
    <row r="148" spans="1:13" ht="30" customHeight="1">
      <c r="A148" s="465"/>
      <c r="B148" s="466"/>
      <c r="C148" s="467"/>
      <c r="D148" s="468"/>
      <c r="E148" s="469"/>
      <c r="F148" s="499"/>
      <c r="G148" s="474"/>
      <c r="H148" s="470"/>
      <c r="I148" s="500"/>
      <c r="J148" s="472"/>
      <c r="K148" s="489"/>
    </row>
    <row r="149" spans="1:13" ht="30" customHeight="1">
      <c r="A149" s="465"/>
      <c r="B149" s="478"/>
      <c r="C149" s="465"/>
      <c r="D149" s="479"/>
      <c r="E149" s="469"/>
      <c r="F149" s="500"/>
      <c r="G149" s="474"/>
      <c r="H149" s="470"/>
      <c r="I149" s="500"/>
      <c r="J149" s="472"/>
      <c r="K149" s="490"/>
    </row>
    <row r="150" spans="1:13" ht="30" customHeight="1">
      <c r="A150" s="465"/>
      <c r="B150" s="466"/>
      <c r="C150" s="467"/>
      <c r="D150" s="468"/>
      <c r="E150" s="469"/>
      <c r="F150" s="499"/>
      <c r="G150" s="474"/>
      <c r="H150" s="470"/>
      <c r="I150" s="500"/>
      <c r="J150" s="472"/>
      <c r="K150" s="489"/>
    </row>
    <row r="151" spans="1:13" ht="30" customHeight="1">
      <c r="A151" s="465"/>
      <c r="B151" s="466"/>
      <c r="C151" s="467"/>
      <c r="D151" s="468"/>
      <c r="E151" s="469"/>
      <c r="F151" s="499"/>
      <c r="G151" s="474"/>
      <c r="H151" s="470"/>
      <c r="I151" s="500"/>
      <c r="J151" s="472"/>
      <c r="K151" s="489"/>
    </row>
    <row r="152" spans="1:13" ht="30" customHeight="1">
      <c r="A152" s="465"/>
      <c r="B152" s="466"/>
      <c r="C152" s="467"/>
      <c r="D152" s="468"/>
      <c r="E152" s="469"/>
      <c r="F152" s="499"/>
      <c r="G152" s="474"/>
      <c r="H152" s="470"/>
      <c r="I152" s="500"/>
      <c r="J152" s="472"/>
      <c r="K152" s="489"/>
    </row>
    <row r="153" spans="1:13" ht="30" customHeight="1">
      <c r="A153" s="465"/>
      <c r="B153" s="466"/>
      <c r="C153" s="467"/>
      <c r="D153" s="468"/>
      <c r="E153" s="469"/>
      <c r="F153" s="499"/>
      <c r="G153" s="474"/>
      <c r="H153" s="470"/>
      <c r="I153" s="500"/>
      <c r="J153" s="472"/>
      <c r="K153" s="489"/>
    </row>
    <row r="154" spans="1:13" ht="30" customHeight="1">
      <c r="A154" s="465"/>
      <c r="B154" s="466"/>
      <c r="C154" s="467"/>
      <c r="D154" s="468"/>
      <c r="E154" s="469"/>
      <c r="F154" s="499"/>
      <c r="G154" s="477"/>
      <c r="H154" s="470"/>
      <c r="I154" s="500"/>
      <c r="J154" s="472"/>
      <c r="K154" s="489"/>
    </row>
    <row r="155" spans="1:13" ht="30" customHeight="1">
      <c r="A155" s="465"/>
      <c r="B155" s="466"/>
      <c r="C155" s="467"/>
      <c r="D155" s="468"/>
      <c r="E155" s="469"/>
      <c r="F155" s="499"/>
      <c r="G155" s="474"/>
      <c r="H155" s="470"/>
      <c r="I155" s="500"/>
      <c r="J155" s="472"/>
      <c r="K155" s="489"/>
    </row>
    <row r="156" spans="1:13" ht="30" customHeight="1">
      <c r="A156" s="465"/>
      <c r="B156" s="466"/>
      <c r="C156" s="467"/>
      <c r="D156" s="468"/>
      <c r="E156" s="469"/>
      <c r="F156" s="499"/>
      <c r="G156" s="474"/>
      <c r="H156" s="470"/>
      <c r="I156" s="500"/>
      <c r="J156" s="472"/>
      <c r="K156" s="489"/>
    </row>
    <row r="157" spans="1:13" ht="30" customHeight="1">
      <c r="A157" s="465"/>
      <c r="B157" s="466"/>
      <c r="C157" s="467"/>
      <c r="D157" s="468"/>
      <c r="E157" s="469"/>
      <c r="F157" s="499"/>
      <c r="G157" s="477"/>
      <c r="H157" s="470"/>
      <c r="I157" s="500"/>
      <c r="J157" s="472"/>
      <c r="K157" s="489"/>
    </row>
    <row r="158" spans="1:13" ht="30" customHeight="1">
      <c r="A158" s="465"/>
      <c r="B158" s="466"/>
      <c r="C158" s="467"/>
      <c r="D158" s="468"/>
      <c r="E158" s="469"/>
      <c r="F158" s="499"/>
      <c r="G158" s="474"/>
      <c r="H158" s="470"/>
      <c r="I158" s="500"/>
      <c r="J158" s="472"/>
      <c r="K158" s="489"/>
    </row>
    <row r="159" spans="1:13" ht="30" customHeight="1">
      <c r="A159" s="465"/>
      <c r="B159" s="466"/>
      <c r="C159" s="467"/>
      <c r="D159" s="468"/>
      <c r="E159" s="469"/>
      <c r="F159" s="499"/>
      <c r="G159" s="474"/>
      <c r="H159" s="470"/>
      <c r="I159" s="500"/>
      <c r="J159" s="472"/>
      <c r="K159" s="489"/>
    </row>
    <row r="160" spans="1:13" ht="30" customHeight="1">
      <c r="A160" s="465"/>
      <c r="B160" s="466"/>
      <c r="C160" s="467"/>
      <c r="D160" s="468"/>
      <c r="E160" s="469"/>
      <c r="F160" s="499"/>
      <c r="G160" s="474"/>
      <c r="H160" s="470"/>
      <c r="I160" s="500"/>
      <c r="J160" s="472"/>
      <c r="K160" s="489"/>
    </row>
    <row r="161" spans="1:14" ht="30" customHeight="1">
      <c r="A161" s="465"/>
      <c r="B161" s="466"/>
      <c r="C161" s="467"/>
      <c r="D161" s="468"/>
      <c r="E161" s="469"/>
      <c r="F161" s="499"/>
      <c r="G161" s="474"/>
      <c r="H161" s="470"/>
      <c r="I161" s="500"/>
      <c r="J161" s="472"/>
      <c r="K161" s="489"/>
    </row>
    <row r="162" spans="1:14" ht="30" customHeight="1">
      <c r="A162" s="465"/>
      <c r="B162" s="466"/>
      <c r="C162" s="467"/>
      <c r="D162" s="468"/>
      <c r="E162" s="469"/>
      <c r="F162" s="499"/>
      <c r="G162" s="474"/>
      <c r="H162" s="470"/>
      <c r="I162" s="500"/>
      <c r="J162" s="472"/>
      <c r="K162" s="489"/>
    </row>
    <row r="163" spans="1:14" s="464" customFormat="1" ht="30" customHeight="1">
      <c r="A163" s="465"/>
      <c r="B163" s="466"/>
      <c r="C163" s="467"/>
      <c r="D163" s="468"/>
      <c r="E163" s="469"/>
      <c r="F163" s="500"/>
      <c r="G163" s="493"/>
      <c r="H163" s="470"/>
      <c r="I163" s="500"/>
      <c r="J163" s="472"/>
      <c r="K163" s="489"/>
      <c r="L163" s="484"/>
      <c r="M163" s="428"/>
      <c r="N163" s="428"/>
    </row>
    <row r="164" spans="1:14" ht="30" customHeight="1">
      <c r="A164" s="465"/>
      <c r="B164" s="466"/>
      <c r="C164" s="467"/>
      <c r="D164" s="468"/>
      <c r="E164" s="469"/>
      <c r="F164" s="499"/>
      <c r="G164" s="474"/>
      <c r="H164" s="470"/>
      <c r="I164" s="500"/>
      <c r="J164" s="472"/>
      <c r="K164" s="489"/>
    </row>
    <row r="165" spans="1:14" ht="30" customHeight="1">
      <c r="A165" s="465"/>
      <c r="B165" s="466"/>
      <c r="C165" s="467"/>
      <c r="D165" s="468"/>
      <c r="E165" s="469"/>
      <c r="F165" s="499"/>
      <c r="G165" s="474"/>
      <c r="H165" s="470"/>
      <c r="I165" s="500"/>
      <c r="J165" s="472"/>
      <c r="K165" s="489"/>
    </row>
    <row r="166" spans="1:14" ht="30" customHeight="1">
      <c r="A166" s="465"/>
      <c r="B166" s="466"/>
      <c r="C166" s="467"/>
      <c r="D166" s="468"/>
      <c r="E166" s="469"/>
      <c r="F166" s="499"/>
      <c r="G166" s="477"/>
      <c r="H166" s="467"/>
      <c r="I166" s="500"/>
      <c r="J166" s="472"/>
      <c r="K166" s="489"/>
    </row>
    <row r="167" spans="1:14" ht="30" customHeight="1">
      <c r="A167" s="465"/>
      <c r="B167" s="466"/>
      <c r="C167" s="467"/>
      <c r="D167" s="468"/>
      <c r="E167" s="469"/>
      <c r="F167" s="499"/>
      <c r="G167" s="474"/>
      <c r="H167" s="470"/>
      <c r="I167" s="500"/>
      <c r="J167" s="472"/>
      <c r="K167" s="489"/>
    </row>
    <row r="168" spans="1:14" ht="30" customHeight="1">
      <c r="A168" s="465"/>
      <c r="B168" s="466"/>
      <c r="C168" s="467"/>
      <c r="D168" s="468"/>
      <c r="E168" s="469"/>
      <c r="F168" s="499"/>
      <c r="G168" s="474"/>
      <c r="H168" s="470"/>
      <c r="I168" s="500"/>
      <c r="J168" s="472"/>
      <c r="K168" s="489"/>
    </row>
    <row r="169" spans="1:14" ht="30" customHeight="1">
      <c r="A169" s="465"/>
      <c r="B169" s="466"/>
      <c r="C169" s="467"/>
      <c r="D169" s="468"/>
      <c r="E169" s="469"/>
      <c r="F169" s="499"/>
      <c r="G169" s="474"/>
      <c r="H169" s="470"/>
      <c r="I169" s="500"/>
      <c r="J169" s="472"/>
      <c r="K169" s="489"/>
    </row>
    <row r="170" spans="1:14" ht="30" customHeight="1">
      <c r="A170" s="465"/>
      <c r="B170" s="466"/>
      <c r="C170" s="467"/>
      <c r="D170" s="468"/>
      <c r="E170" s="469"/>
      <c r="F170" s="499"/>
      <c r="G170" s="474"/>
      <c r="H170" s="470"/>
      <c r="I170" s="500"/>
      <c r="J170" s="472"/>
      <c r="K170" s="489"/>
    </row>
    <row r="171" spans="1:14" ht="30" customHeight="1">
      <c r="A171" s="465"/>
      <c r="B171" s="466"/>
      <c r="C171" s="467"/>
      <c r="D171" s="468"/>
      <c r="E171" s="469"/>
      <c r="F171" s="499"/>
      <c r="G171" s="474"/>
      <c r="H171" s="470"/>
      <c r="I171" s="500"/>
      <c r="J171" s="472"/>
      <c r="K171" s="489"/>
    </row>
    <row r="172" spans="1:14" ht="30" customHeight="1">
      <c r="A172" s="465"/>
      <c r="B172" s="466"/>
      <c r="C172" s="467"/>
      <c r="D172" s="468"/>
      <c r="E172" s="469"/>
      <c r="F172" s="499"/>
      <c r="G172" s="474"/>
      <c r="H172" s="470"/>
      <c r="I172" s="500"/>
      <c r="J172" s="472"/>
      <c r="K172" s="489"/>
    </row>
    <row r="173" spans="1:14" ht="30" customHeight="1">
      <c r="A173" s="465"/>
      <c r="B173" s="466"/>
      <c r="C173" s="467"/>
      <c r="D173" s="468"/>
      <c r="E173" s="469"/>
      <c r="F173" s="499"/>
      <c r="G173" s="474"/>
      <c r="H173" s="470"/>
      <c r="I173" s="500"/>
      <c r="J173" s="472"/>
      <c r="K173" s="489"/>
    </row>
    <row r="174" spans="1:14" ht="30" customHeight="1">
      <c r="A174" s="465"/>
      <c r="B174" s="466"/>
      <c r="C174" s="467"/>
      <c r="D174" s="468"/>
      <c r="E174" s="469"/>
      <c r="F174" s="499"/>
      <c r="G174" s="474"/>
      <c r="H174" s="470"/>
      <c r="I174" s="500"/>
      <c r="J174" s="472"/>
      <c r="K174" s="489"/>
    </row>
    <row r="175" spans="1:14" ht="30" customHeight="1">
      <c r="A175" s="465"/>
      <c r="B175" s="466"/>
      <c r="C175" s="467"/>
      <c r="D175" s="468"/>
      <c r="E175" s="469"/>
      <c r="F175" s="499"/>
      <c r="G175" s="474"/>
      <c r="H175" s="470"/>
      <c r="I175" s="500"/>
      <c r="J175" s="472"/>
      <c r="K175" s="489"/>
    </row>
    <row r="176" spans="1:14" ht="30" customHeight="1">
      <c r="A176" s="465"/>
      <c r="B176" s="466"/>
      <c r="C176" s="467"/>
      <c r="D176" s="468"/>
      <c r="E176" s="469"/>
      <c r="F176" s="499"/>
      <c r="G176" s="474"/>
      <c r="H176" s="470"/>
      <c r="I176" s="500"/>
      <c r="J176" s="472"/>
      <c r="K176" s="489"/>
    </row>
    <row r="177" spans="1:12" ht="30" customHeight="1">
      <c r="A177" s="465"/>
      <c r="B177" s="466"/>
      <c r="C177" s="467"/>
      <c r="D177" s="468"/>
      <c r="E177" s="469"/>
      <c r="F177" s="499"/>
      <c r="G177" s="474"/>
      <c r="H177" s="470"/>
      <c r="I177" s="500"/>
      <c r="J177" s="472"/>
      <c r="K177" s="489"/>
    </row>
    <row r="178" spans="1:12" ht="30" customHeight="1">
      <c r="A178" s="465"/>
      <c r="B178" s="466"/>
      <c r="C178" s="467"/>
      <c r="D178" s="468"/>
      <c r="E178" s="469"/>
      <c r="F178" s="499"/>
      <c r="G178" s="474"/>
      <c r="H178" s="470"/>
      <c r="I178" s="500"/>
      <c r="J178" s="472"/>
      <c r="K178" s="489"/>
    </row>
    <row r="179" spans="1:12" ht="30" customHeight="1">
      <c r="A179" s="465"/>
      <c r="B179" s="466"/>
      <c r="C179" s="467"/>
      <c r="D179" s="468"/>
      <c r="E179" s="469"/>
      <c r="F179" s="499"/>
      <c r="G179" s="474"/>
      <c r="H179" s="470"/>
      <c r="I179" s="500"/>
      <c r="J179" s="472"/>
      <c r="K179" s="489"/>
    </row>
    <row r="180" spans="1:12" ht="30" customHeight="1">
      <c r="A180" s="465"/>
      <c r="B180" s="466"/>
      <c r="C180" s="467"/>
      <c r="D180" s="479"/>
      <c r="E180" s="469"/>
      <c r="F180" s="500"/>
      <c r="G180" s="494"/>
      <c r="H180" s="470"/>
      <c r="I180" s="500"/>
      <c r="J180" s="475"/>
      <c r="K180" s="489"/>
      <c r="L180" s="484"/>
    </row>
    <row r="181" spans="1:12" ht="30" customHeight="1">
      <c r="A181" s="465"/>
      <c r="B181" s="466"/>
      <c r="C181" s="467"/>
      <c r="D181" s="468"/>
      <c r="E181" s="469"/>
      <c r="F181" s="499"/>
      <c r="G181" s="474"/>
      <c r="H181" s="470"/>
      <c r="I181" s="500"/>
      <c r="J181" s="472"/>
      <c r="K181" s="489"/>
    </row>
    <row r="182" spans="1:12" ht="30" customHeight="1">
      <c r="A182" s="465"/>
      <c r="B182" s="466"/>
      <c r="C182" s="467"/>
      <c r="D182" s="479"/>
      <c r="E182" s="469"/>
      <c r="F182" s="500"/>
      <c r="G182" s="477"/>
      <c r="H182" s="484"/>
      <c r="I182" s="500"/>
      <c r="J182" s="475"/>
      <c r="K182" s="489"/>
      <c r="L182" s="484"/>
    </row>
    <row r="183" spans="1:12" ht="30" customHeight="1">
      <c r="A183" s="465"/>
      <c r="B183" s="466"/>
      <c r="C183" s="467"/>
      <c r="D183" s="468"/>
      <c r="E183" s="469"/>
      <c r="F183" s="499"/>
      <c r="G183" s="474"/>
      <c r="H183" s="470"/>
      <c r="I183" s="500"/>
      <c r="J183" s="472"/>
      <c r="K183" s="489"/>
    </row>
    <row r="184" spans="1:12" ht="30" customHeight="1">
      <c r="A184" s="465"/>
      <c r="B184" s="466"/>
      <c r="C184" s="467"/>
      <c r="D184" s="468"/>
      <c r="E184" s="469"/>
      <c r="F184" s="499"/>
      <c r="G184" s="474"/>
      <c r="H184" s="470"/>
      <c r="I184" s="500"/>
      <c r="J184" s="472"/>
      <c r="K184" s="489"/>
    </row>
    <row r="185" spans="1:12" ht="30" customHeight="1">
      <c r="A185" s="465"/>
      <c r="B185" s="466"/>
      <c r="C185" s="467"/>
      <c r="D185" s="468"/>
      <c r="E185" s="469"/>
      <c r="F185" s="499"/>
      <c r="G185" s="474"/>
      <c r="H185" s="470"/>
      <c r="I185" s="500"/>
      <c r="J185" s="472"/>
      <c r="K185" s="490"/>
    </row>
    <row r="186" spans="1:12" ht="30" customHeight="1">
      <c r="A186" s="465"/>
      <c r="B186" s="466"/>
      <c r="C186" s="467"/>
      <c r="D186" s="468"/>
      <c r="E186" s="469"/>
      <c r="F186" s="499"/>
      <c r="G186" s="477"/>
      <c r="H186" s="470"/>
      <c r="I186" s="500"/>
      <c r="J186" s="472"/>
      <c r="K186" s="490"/>
    </row>
    <row r="187" spans="1:12" ht="30" customHeight="1">
      <c r="A187" s="465"/>
      <c r="B187" s="466"/>
      <c r="C187" s="467"/>
      <c r="D187" s="468"/>
      <c r="E187" s="469"/>
      <c r="F187" s="499"/>
      <c r="G187" s="474"/>
      <c r="H187" s="470"/>
      <c r="I187" s="500"/>
      <c r="J187" s="472"/>
      <c r="K187" s="491"/>
    </row>
    <row r="188" spans="1:12" ht="30" customHeight="1">
      <c r="A188" s="465"/>
      <c r="B188" s="466"/>
      <c r="C188" s="467"/>
      <c r="D188" s="468"/>
      <c r="E188" s="469"/>
      <c r="F188" s="499"/>
      <c r="G188" s="474"/>
      <c r="H188" s="470"/>
      <c r="I188" s="500"/>
      <c r="J188" s="472"/>
      <c r="K188" s="490"/>
    </row>
    <row r="189" spans="1:12" ht="30" customHeight="1">
      <c r="A189" s="465"/>
      <c r="B189" s="466"/>
      <c r="C189" s="467"/>
      <c r="D189" s="468"/>
      <c r="E189" s="469"/>
      <c r="F189" s="499"/>
      <c r="G189" s="474"/>
      <c r="H189" s="470"/>
      <c r="I189" s="500"/>
      <c r="J189" s="472"/>
      <c r="K189" s="490"/>
    </row>
    <row r="190" spans="1:12" ht="30" customHeight="1">
      <c r="A190" s="465"/>
      <c r="B190" s="466"/>
      <c r="C190" s="467"/>
      <c r="D190" s="468"/>
      <c r="E190" s="469"/>
      <c r="F190" s="499"/>
      <c r="G190" s="474"/>
      <c r="H190" s="470"/>
      <c r="I190" s="500"/>
      <c r="J190" s="472"/>
      <c r="K190" s="490"/>
    </row>
    <row r="191" spans="1:12" ht="30" customHeight="1">
      <c r="A191" s="465"/>
      <c r="B191" s="466"/>
      <c r="C191" s="467"/>
      <c r="D191" s="468"/>
      <c r="E191" s="469"/>
      <c r="F191" s="499"/>
      <c r="G191" s="474"/>
      <c r="H191" s="470"/>
      <c r="I191" s="500"/>
      <c r="J191" s="472"/>
      <c r="K191" s="491"/>
    </row>
    <row r="192" spans="1:12" ht="30" customHeight="1">
      <c r="A192" s="465"/>
      <c r="B192" s="466"/>
      <c r="C192" s="467"/>
      <c r="D192" s="468"/>
      <c r="E192" s="469"/>
      <c r="F192" s="499"/>
      <c r="G192" s="474"/>
      <c r="H192" s="470"/>
      <c r="I192" s="500"/>
      <c r="J192" s="472"/>
      <c r="K192" s="489"/>
    </row>
    <row r="193" spans="1:14" ht="30" customHeight="1">
      <c r="A193" s="465"/>
      <c r="B193" s="466"/>
      <c r="C193" s="467"/>
      <c r="D193" s="468"/>
      <c r="E193" s="469"/>
      <c r="F193" s="499"/>
      <c r="G193" s="474"/>
      <c r="H193" s="470"/>
      <c r="I193" s="500"/>
      <c r="J193" s="472"/>
      <c r="K193" s="489"/>
      <c r="L193" s="484"/>
    </row>
    <row r="194" spans="1:14" ht="30" customHeight="1">
      <c r="A194" s="465"/>
      <c r="B194" s="466"/>
      <c r="C194" s="467"/>
      <c r="D194" s="468"/>
      <c r="E194" s="469"/>
      <c r="F194" s="499"/>
      <c r="G194" s="474"/>
      <c r="H194" s="470"/>
      <c r="I194" s="500"/>
      <c r="J194" s="475"/>
      <c r="K194" s="489"/>
      <c r="L194" s="484"/>
    </row>
    <row r="195" spans="1:14" ht="30" customHeight="1">
      <c r="A195" s="465"/>
      <c r="B195" s="466"/>
      <c r="C195" s="467"/>
      <c r="D195" s="468"/>
      <c r="E195" s="469"/>
      <c r="F195" s="499"/>
      <c r="G195" s="474"/>
      <c r="H195" s="470"/>
      <c r="I195" s="500"/>
      <c r="J195" s="472"/>
      <c r="K195" s="490"/>
    </row>
    <row r="196" spans="1:14" ht="30" customHeight="1">
      <c r="A196" s="465"/>
      <c r="B196" s="466"/>
      <c r="C196" s="467"/>
      <c r="D196" s="468"/>
      <c r="E196" s="469"/>
      <c r="F196" s="499"/>
      <c r="G196" s="474"/>
      <c r="H196" s="470"/>
      <c r="I196" s="500"/>
      <c r="J196" s="472"/>
      <c r="K196" s="489"/>
      <c r="L196" s="484"/>
      <c r="N196" s="484"/>
    </row>
    <row r="197" spans="1:14" ht="30" customHeight="1">
      <c r="A197" s="465"/>
      <c r="B197" s="466"/>
      <c r="C197" s="467"/>
      <c r="D197" s="468"/>
      <c r="E197" s="469"/>
      <c r="F197" s="499"/>
      <c r="G197" s="474"/>
      <c r="H197" s="470"/>
      <c r="I197" s="500"/>
      <c r="J197" s="475"/>
      <c r="K197" s="489"/>
      <c r="L197" s="484"/>
    </row>
    <row r="198" spans="1:14" ht="30" customHeight="1">
      <c r="A198" s="465"/>
      <c r="B198" s="466"/>
      <c r="C198" s="467"/>
      <c r="D198" s="468"/>
      <c r="E198" s="469"/>
      <c r="F198" s="499"/>
      <c r="G198" s="474"/>
      <c r="H198" s="470"/>
      <c r="I198" s="500"/>
      <c r="J198" s="475"/>
      <c r="K198" s="489"/>
      <c r="L198" s="484"/>
    </row>
    <row r="199" spans="1:14" ht="30" customHeight="1">
      <c r="A199" s="465"/>
      <c r="B199" s="466"/>
      <c r="C199" s="467"/>
      <c r="D199" s="468"/>
      <c r="E199" s="469"/>
      <c r="F199" s="499"/>
      <c r="G199" s="474"/>
      <c r="H199" s="470"/>
      <c r="I199" s="500"/>
      <c r="J199" s="475"/>
      <c r="K199" s="489"/>
      <c r="L199" s="484"/>
    </row>
    <row r="200" spans="1:14" ht="30" customHeight="1">
      <c r="A200" s="465"/>
      <c r="B200" s="466"/>
      <c r="C200" s="467"/>
      <c r="D200" s="468"/>
      <c r="E200" s="469"/>
      <c r="F200" s="499"/>
      <c r="G200" s="474"/>
      <c r="H200" s="470"/>
      <c r="I200" s="500"/>
      <c r="J200" s="472"/>
      <c r="K200" s="489"/>
      <c r="L200" s="484"/>
    </row>
    <row r="201" spans="1:14" ht="30" customHeight="1">
      <c r="A201" s="465"/>
      <c r="B201" s="466"/>
      <c r="C201" s="467"/>
      <c r="D201" s="468"/>
      <c r="E201" s="469"/>
      <c r="F201" s="499"/>
      <c r="G201" s="474"/>
      <c r="H201" s="470"/>
      <c r="I201" s="500"/>
      <c r="J201" s="475"/>
      <c r="K201" s="489"/>
      <c r="L201" s="484"/>
    </row>
    <row r="202" spans="1:14" ht="30" customHeight="1">
      <c r="A202" s="465"/>
      <c r="B202" s="466"/>
      <c r="C202" s="467"/>
      <c r="D202" s="468"/>
      <c r="E202" s="469"/>
      <c r="F202" s="499"/>
      <c r="G202" s="474"/>
      <c r="H202" s="470"/>
      <c r="I202" s="500"/>
      <c r="J202" s="475"/>
      <c r="K202" s="489"/>
      <c r="L202" s="484"/>
    </row>
    <row r="203" spans="1:14" ht="30" customHeight="1">
      <c r="A203" s="465"/>
      <c r="B203" s="466"/>
      <c r="C203" s="467"/>
      <c r="D203" s="468"/>
      <c r="E203" s="469"/>
      <c r="F203" s="499"/>
      <c r="G203" s="474"/>
      <c r="H203" s="470"/>
      <c r="I203" s="500"/>
      <c r="J203" s="472"/>
      <c r="K203" s="489"/>
      <c r="L203" s="484"/>
    </row>
    <row r="204" spans="1:14" ht="30" customHeight="1">
      <c r="A204" s="465"/>
      <c r="B204" s="466"/>
      <c r="C204" s="467"/>
      <c r="D204" s="468"/>
      <c r="E204" s="469"/>
      <c r="F204" s="499"/>
      <c r="G204" s="474"/>
      <c r="H204" s="470"/>
      <c r="I204" s="500"/>
      <c r="J204" s="475"/>
      <c r="K204" s="489"/>
      <c r="L204" s="484"/>
    </row>
    <row r="205" spans="1:14" ht="30" customHeight="1">
      <c r="A205" s="465"/>
      <c r="B205" s="466"/>
      <c r="C205" s="467"/>
      <c r="D205" s="468"/>
      <c r="E205" s="469"/>
      <c r="F205" s="499"/>
      <c r="G205" s="477"/>
      <c r="H205" s="470"/>
      <c r="I205" s="500"/>
      <c r="J205" s="472"/>
      <c r="K205" s="490"/>
    </row>
    <row r="206" spans="1:14" ht="30" customHeight="1">
      <c r="A206" s="465"/>
      <c r="B206" s="466"/>
      <c r="C206" s="467"/>
      <c r="D206" s="468"/>
      <c r="E206" s="469"/>
      <c r="F206" s="499"/>
      <c r="G206" s="474"/>
      <c r="H206" s="470"/>
      <c r="I206" s="500"/>
      <c r="J206" s="472"/>
      <c r="K206" s="489"/>
    </row>
    <row r="207" spans="1:14" ht="30" customHeight="1">
      <c r="A207" s="465"/>
      <c r="B207" s="466"/>
      <c r="C207" s="467"/>
      <c r="D207" s="468"/>
      <c r="E207" s="469"/>
      <c r="F207" s="499"/>
      <c r="G207" s="474"/>
      <c r="H207" s="470"/>
      <c r="I207" s="500"/>
      <c r="J207" s="475"/>
      <c r="K207" s="489"/>
      <c r="L207" s="484"/>
    </row>
    <row r="208" spans="1:14" ht="30" customHeight="1">
      <c r="A208" s="465"/>
      <c r="B208" s="466"/>
      <c r="C208" s="467"/>
      <c r="D208" s="468"/>
      <c r="E208" s="469"/>
      <c r="F208" s="499"/>
      <c r="G208" s="474"/>
      <c r="H208" s="470"/>
      <c r="I208" s="500"/>
      <c r="J208" s="472"/>
      <c r="K208" s="492"/>
      <c r="L208" s="484"/>
    </row>
    <row r="209" spans="1:13" ht="30" customHeight="1">
      <c r="A209" s="465"/>
      <c r="B209" s="466"/>
      <c r="C209" s="467"/>
      <c r="D209" s="468"/>
      <c r="E209" s="469"/>
      <c r="F209" s="499"/>
      <c r="G209" s="474"/>
      <c r="H209" s="470"/>
      <c r="I209" s="500"/>
      <c r="J209" s="475"/>
      <c r="K209" s="489"/>
      <c r="L209" s="484"/>
    </row>
    <row r="210" spans="1:13" ht="30" customHeight="1">
      <c r="A210" s="465"/>
      <c r="B210" s="466"/>
      <c r="C210" s="467"/>
      <c r="D210" s="468"/>
      <c r="E210" s="469"/>
      <c r="F210" s="499"/>
      <c r="G210" s="474"/>
      <c r="H210" s="470"/>
      <c r="I210" s="500"/>
      <c r="J210" s="472"/>
      <c r="K210" s="489"/>
      <c r="L210" s="484"/>
    </row>
    <row r="211" spans="1:13" ht="30" customHeight="1">
      <c r="A211" s="465"/>
      <c r="B211" s="466"/>
      <c r="C211" s="467"/>
      <c r="D211" s="468"/>
      <c r="E211" s="469"/>
      <c r="F211" s="499"/>
      <c r="G211" s="474"/>
      <c r="H211" s="470"/>
      <c r="I211" s="500"/>
      <c r="J211" s="472"/>
      <c r="K211" s="492"/>
      <c r="L211" s="484"/>
    </row>
    <row r="212" spans="1:13" ht="30" customHeight="1">
      <c r="A212" s="465"/>
      <c r="B212" s="466"/>
      <c r="C212" s="467"/>
      <c r="D212" s="468"/>
      <c r="E212" s="469"/>
      <c r="F212" s="499"/>
      <c r="G212" s="474"/>
      <c r="H212" s="470"/>
      <c r="I212" s="500"/>
      <c r="J212" s="475"/>
      <c r="K212" s="489"/>
      <c r="L212" s="484"/>
    </row>
    <row r="213" spans="1:13" ht="30" customHeight="1">
      <c r="A213" s="465"/>
      <c r="B213" s="478"/>
      <c r="C213" s="465"/>
      <c r="D213" s="479"/>
      <c r="E213" s="469"/>
      <c r="F213" s="500"/>
      <c r="G213" s="477"/>
      <c r="H213" s="468"/>
      <c r="I213" s="500"/>
      <c r="J213" s="472"/>
      <c r="K213" s="490"/>
    </row>
    <row r="214" spans="1:13" ht="30" customHeight="1">
      <c r="A214" s="465"/>
      <c r="B214" s="466"/>
      <c r="C214" s="467"/>
      <c r="D214" s="468"/>
      <c r="E214" s="469"/>
      <c r="F214" s="499"/>
      <c r="G214" s="474"/>
      <c r="H214" s="470"/>
      <c r="I214" s="500"/>
      <c r="J214" s="475"/>
      <c r="K214" s="489"/>
      <c r="L214" s="484"/>
    </row>
    <row r="215" spans="1:13" ht="30" customHeight="1">
      <c r="A215" s="465"/>
      <c r="B215" s="466"/>
      <c r="C215" s="467"/>
      <c r="D215" s="468"/>
      <c r="E215" s="469"/>
      <c r="F215" s="499"/>
      <c r="G215" s="474"/>
      <c r="H215" s="470"/>
      <c r="I215" s="500"/>
      <c r="J215" s="472"/>
      <c r="K215" s="492"/>
      <c r="L215" s="484"/>
    </row>
    <row r="216" spans="1:13" ht="30" customHeight="1">
      <c r="A216" s="465"/>
      <c r="B216" s="466"/>
      <c r="C216" s="467"/>
      <c r="D216" s="468"/>
      <c r="E216" s="469"/>
      <c r="F216" s="499"/>
      <c r="G216" s="474"/>
      <c r="H216" s="470"/>
      <c r="I216" s="500"/>
      <c r="J216" s="475"/>
      <c r="K216" s="489"/>
      <c r="L216" s="484"/>
      <c r="M216" s="484"/>
    </row>
    <row r="217" spans="1:13" ht="30" customHeight="1">
      <c r="A217" s="465"/>
      <c r="B217" s="466"/>
      <c r="C217" s="467"/>
      <c r="D217" s="468"/>
      <c r="E217" s="469"/>
      <c r="F217" s="499"/>
      <c r="G217" s="495"/>
      <c r="H217" s="470"/>
      <c r="I217" s="500"/>
      <c r="J217" s="472"/>
      <c r="K217" s="492"/>
      <c r="L217" s="484"/>
    </row>
    <row r="218" spans="1:13" ht="30" customHeight="1">
      <c r="A218" s="465"/>
      <c r="B218" s="466"/>
      <c r="C218" s="467"/>
      <c r="D218" s="468"/>
      <c r="E218" s="469"/>
      <c r="F218" s="499"/>
      <c r="G218" s="495"/>
      <c r="H218" s="470"/>
      <c r="I218" s="500"/>
      <c r="J218" s="472"/>
      <c r="K218" s="489"/>
      <c r="L218" s="484"/>
    </row>
    <row r="219" spans="1:13" ht="30" customHeight="1">
      <c r="A219" s="465"/>
      <c r="B219" s="466"/>
      <c r="C219" s="467"/>
      <c r="D219" s="468"/>
      <c r="E219" s="469"/>
      <c r="F219" s="499"/>
      <c r="G219" s="474"/>
      <c r="H219" s="470"/>
      <c r="I219" s="500"/>
      <c r="J219" s="472"/>
      <c r="K219" s="489"/>
    </row>
    <row r="220" spans="1:13" ht="30" customHeight="1">
      <c r="A220" s="465"/>
      <c r="B220" s="466"/>
      <c r="C220" s="467"/>
      <c r="D220" s="468"/>
      <c r="E220" s="469"/>
      <c r="F220" s="499"/>
      <c r="G220" s="474"/>
      <c r="H220" s="470"/>
      <c r="I220" s="500"/>
      <c r="J220" s="472"/>
      <c r="K220" s="489"/>
      <c r="L220" s="484"/>
    </row>
    <row r="221" spans="1:13" ht="30" customHeight="1">
      <c r="A221" s="465"/>
      <c r="B221" s="466"/>
      <c r="C221" s="467"/>
      <c r="D221" s="468"/>
      <c r="E221" s="469"/>
      <c r="F221" s="499"/>
      <c r="G221" s="474"/>
      <c r="H221" s="470"/>
      <c r="I221" s="500"/>
      <c r="J221" s="472"/>
      <c r="K221" s="492"/>
      <c r="L221" s="484"/>
    </row>
    <row r="222" spans="1:13" ht="30" customHeight="1">
      <c r="A222" s="465"/>
      <c r="B222" s="466"/>
      <c r="C222" s="467"/>
      <c r="D222" s="468"/>
      <c r="E222" s="469"/>
      <c r="F222" s="499"/>
      <c r="G222" s="474"/>
      <c r="H222" s="470"/>
      <c r="I222" s="500"/>
      <c r="J222" s="472"/>
      <c r="K222" s="492"/>
      <c r="L222" s="484"/>
    </row>
    <row r="223" spans="1:13" ht="30" customHeight="1">
      <c r="A223" s="465"/>
      <c r="B223" s="466"/>
      <c r="C223" s="467"/>
      <c r="D223" s="468"/>
      <c r="E223" s="469"/>
      <c r="F223" s="499"/>
      <c r="G223" s="474"/>
      <c r="H223" s="475"/>
      <c r="I223" s="500"/>
      <c r="J223" s="472"/>
      <c r="K223" s="492"/>
      <c r="L223" s="484"/>
    </row>
    <row r="224" spans="1:13" ht="30" customHeight="1">
      <c r="A224" s="465"/>
      <c r="B224" s="466"/>
      <c r="C224" s="467"/>
      <c r="D224" s="468"/>
      <c r="E224" s="469"/>
      <c r="F224" s="499"/>
      <c r="G224" s="474"/>
      <c r="H224" s="470"/>
      <c r="I224" s="500"/>
      <c r="J224" s="472"/>
      <c r="K224" s="489"/>
      <c r="L224" s="484"/>
    </row>
    <row r="225" spans="1:12" ht="30" customHeight="1">
      <c r="A225" s="465"/>
      <c r="B225" s="466"/>
      <c r="C225" s="467"/>
      <c r="D225" s="468"/>
      <c r="E225" s="469"/>
      <c r="F225" s="499"/>
      <c r="G225" s="474"/>
      <c r="H225" s="470"/>
      <c r="I225" s="500"/>
      <c r="J225" s="475"/>
      <c r="K225" s="489"/>
      <c r="L225" s="484"/>
    </row>
    <row r="226" spans="1:12" ht="30" customHeight="1">
      <c r="A226" s="465"/>
      <c r="B226" s="466"/>
      <c r="C226" s="467"/>
      <c r="D226" s="468"/>
      <c r="E226" s="469"/>
      <c r="F226" s="499"/>
      <c r="G226" s="474"/>
      <c r="H226" s="470"/>
      <c r="I226" s="500"/>
      <c r="J226" s="475"/>
      <c r="K226" s="489"/>
      <c r="L226" s="484"/>
    </row>
    <row r="227" spans="1:12" ht="30" customHeight="1">
      <c r="A227" s="465"/>
      <c r="B227" s="478"/>
      <c r="C227" s="465"/>
      <c r="D227" s="479"/>
      <c r="E227" s="469"/>
      <c r="F227" s="500"/>
      <c r="G227" s="496"/>
      <c r="H227" s="470"/>
      <c r="I227" s="500"/>
      <c r="J227" s="472"/>
      <c r="K227" s="490"/>
    </row>
    <row r="228" spans="1:12" ht="30" customHeight="1">
      <c r="A228" s="465"/>
      <c r="B228" s="466"/>
      <c r="C228" s="467"/>
      <c r="D228" s="468"/>
      <c r="E228" s="469"/>
      <c r="F228" s="499"/>
      <c r="G228" s="474"/>
      <c r="H228" s="470"/>
      <c r="I228" s="500"/>
      <c r="J228" s="475"/>
      <c r="K228" s="489"/>
      <c r="L228" s="484"/>
    </row>
    <row r="229" spans="1:12" ht="30" customHeight="1">
      <c r="A229" s="465"/>
      <c r="B229" s="466"/>
      <c r="C229" s="467"/>
      <c r="D229" s="468"/>
      <c r="E229" s="469"/>
      <c r="F229" s="499"/>
      <c r="G229" s="474"/>
      <c r="H229" s="470"/>
      <c r="I229" s="500"/>
      <c r="J229" s="475"/>
      <c r="K229" s="489"/>
      <c r="L229" s="484"/>
    </row>
    <row r="230" spans="1:12" ht="30" customHeight="1">
      <c r="A230" s="465"/>
      <c r="B230" s="466"/>
      <c r="C230" s="467"/>
      <c r="D230" s="468"/>
      <c r="E230" s="469"/>
      <c r="F230" s="499"/>
      <c r="G230" s="474"/>
      <c r="H230" s="470"/>
      <c r="I230" s="500"/>
      <c r="J230" s="472"/>
      <c r="K230" s="492"/>
      <c r="L230" s="484"/>
    </row>
    <row r="231" spans="1:12" ht="30" customHeight="1">
      <c r="A231" s="465"/>
      <c r="B231" s="466"/>
      <c r="C231" s="467"/>
      <c r="D231" s="468"/>
      <c r="E231" s="469"/>
      <c r="F231" s="499"/>
      <c r="G231" s="474"/>
      <c r="H231" s="470"/>
      <c r="I231" s="500"/>
      <c r="J231" s="475"/>
      <c r="K231" s="489"/>
      <c r="L231" s="484"/>
    </row>
    <row r="232" spans="1:12" ht="30" customHeight="1">
      <c r="A232" s="465"/>
      <c r="B232" s="466"/>
      <c r="C232" s="467"/>
      <c r="D232" s="468"/>
      <c r="E232" s="469"/>
      <c r="F232" s="499"/>
      <c r="G232" s="474"/>
      <c r="H232" s="475"/>
      <c r="I232" s="500"/>
      <c r="J232" s="472"/>
      <c r="K232" s="492"/>
      <c r="L232" s="484"/>
    </row>
    <row r="233" spans="1:12" ht="30" customHeight="1">
      <c r="A233" s="465"/>
      <c r="B233" s="466"/>
      <c r="C233" s="467"/>
      <c r="D233" s="468"/>
      <c r="E233" s="469"/>
      <c r="F233" s="499"/>
      <c r="G233" s="474"/>
      <c r="H233" s="470"/>
      <c r="I233" s="500"/>
      <c r="J233" s="472"/>
      <c r="K233" s="492"/>
      <c r="L233" s="484"/>
    </row>
    <row r="234" spans="1:12" ht="30" customHeight="1">
      <c r="A234" s="465"/>
      <c r="B234" s="466"/>
      <c r="C234" s="467"/>
      <c r="D234" s="468"/>
      <c r="E234" s="469"/>
      <c r="F234" s="499"/>
      <c r="G234" s="474"/>
      <c r="H234" s="470"/>
      <c r="I234" s="500"/>
      <c r="J234" s="472"/>
      <c r="K234" s="492"/>
      <c r="L234" s="484"/>
    </row>
    <row r="235" spans="1:12" ht="30" customHeight="1">
      <c r="A235" s="465"/>
      <c r="B235" s="466"/>
      <c r="C235" s="467"/>
      <c r="D235" s="468"/>
      <c r="E235" s="469"/>
      <c r="F235" s="499"/>
      <c r="G235" s="474"/>
      <c r="H235" s="475"/>
      <c r="I235" s="500"/>
      <c r="J235" s="472"/>
      <c r="K235" s="492"/>
      <c r="L235" s="484"/>
    </row>
    <row r="236" spans="1:12" ht="30" customHeight="1">
      <c r="A236" s="465"/>
      <c r="B236" s="466"/>
      <c r="C236" s="467"/>
      <c r="D236" s="468"/>
      <c r="E236" s="469"/>
      <c r="F236" s="499"/>
      <c r="G236" s="474"/>
      <c r="H236" s="470"/>
      <c r="I236" s="500"/>
      <c r="J236" s="472"/>
      <c r="K236" s="492"/>
      <c r="L236" s="484"/>
    </row>
    <row r="237" spans="1:12" ht="30" customHeight="1">
      <c r="A237" s="465"/>
      <c r="B237" s="466"/>
      <c r="C237" s="467"/>
      <c r="D237" s="468"/>
      <c r="E237" s="469"/>
      <c r="F237" s="499"/>
      <c r="G237" s="474"/>
      <c r="H237" s="475"/>
      <c r="I237" s="500"/>
      <c r="J237" s="472"/>
      <c r="K237" s="492"/>
      <c r="L237" s="484"/>
    </row>
    <row r="238" spans="1:12" ht="30" customHeight="1">
      <c r="A238" s="465"/>
      <c r="B238" s="466"/>
      <c r="C238" s="467"/>
      <c r="D238" s="468"/>
      <c r="E238" s="469"/>
      <c r="F238" s="499"/>
      <c r="G238" s="474"/>
      <c r="H238" s="470"/>
      <c r="I238" s="500"/>
      <c r="J238" s="472"/>
      <c r="K238" s="489"/>
      <c r="L238" s="484"/>
    </row>
    <row r="239" spans="1:12" ht="30" customHeight="1">
      <c r="A239" s="465"/>
      <c r="B239" s="466"/>
      <c r="C239" s="467"/>
      <c r="D239" s="468"/>
      <c r="E239" s="469"/>
      <c r="F239" s="499"/>
      <c r="G239" s="474"/>
      <c r="H239" s="470"/>
      <c r="I239" s="500"/>
      <c r="J239" s="472"/>
      <c r="K239" s="489"/>
    </row>
    <row r="240" spans="1:12" ht="30" customHeight="1">
      <c r="A240" s="465"/>
      <c r="B240" s="478"/>
      <c r="C240" s="467"/>
      <c r="D240" s="479"/>
      <c r="E240" s="469"/>
      <c r="F240" s="500"/>
      <c r="G240" s="493"/>
      <c r="H240" s="472"/>
      <c r="I240" s="500"/>
      <c r="J240" s="472"/>
      <c r="K240" s="492"/>
      <c r="L240" s="484"/>
    </row>
    <row r="241" spans="1:24" ht="30" customHeight="1">
      <c r="A241" s="465"/>
      <c r="B241" s="466"/>
      <c r="C241" s="467"/>
      <c r="D241" s="468"/>
      <c r="E241" s="469"/>
      <c r="F241" s="499"/>
      <c r="G241" s="474"/>
      <c r="H241" s="475"/>
      <c r="I241" s="500"/>
      <c r="J241" s="472"/>
      <c r="K241" s="492"/>
      <c r="L241" s="484"/>
    </row>
    <row r="242" spans="1:24" ht="30" customHeight="1">
      <c r="A242" s="465"/>
      <c r="B242" s="466"/>
      <c r="C242" s="467"/>
      <c r="D242" s="468"/>
      <c r="E242" s="469"/>
      <c r="F242" s="499"/>
      <c r="G242" s="474"/>
      <c r="H242" s="475"/>
      <c r="I242" s="500"/>
      <c r="J242" s="472"/>
      <c r="K242" s="492"/>
      <c r="L242" s="484"/>
    </row>
    <row r="243" spans="1:24" ht="30" customHeight="1">
      <c r="A243" s="465"/>
      <c r="B243" s="466"/>
      <c r="C243" s="467"/>
      <c r="D243" s="468"/>
      <c r="E243" s="469"/>
      <c r="F243" s="499"/>
      <c r="G243" s="477"/>
      <c r="H243" s="475"/>
      <c r="I243" s="500"/>
      <c r="J243" s="472"/>
      <c r="K243" s="489"/>
      <c r="L243" s="484"/>
    </row>
    <row r="244" spans="1:24" ht="30" customHeight="1">
      <c r="A244" s="465"/>
      <c r="B244" s="478"/>
      <c r="C244" s="467"/>
      <c r="D244" s="479"/>
      <c r="E244" s="469"/>
      <c r="F244" s="500"/>
      <c r="G244" s="493"/>
      <c r="H244" s="470"/>
      <c r="I244" s="500"/>
      <c r="J244" s="472"/>
      <c r="K244" s="492"/>
      <c r="L244" s="484"/>
    </row>
    <row r="245" spans="1:24" ht="30" customHeight="1">
      <c r="A245" s="465"/>
      <c r="B245" s="466"/>
      <c r="C245" s="467"/>
      <c r="D245" s="468"/>
      <c r="E245" s="469"/>
      <c r="F245" s="499"/>
      <c r="G245" s="474"/>
      <c r="H245" s="475"/>
      <c r="I245" s="500"/>
      <c r="J245" s="472"/>
      <c r="K245" s="492"/>
      <c r="L245" s="484"/>
    </row>
    <row r="246" spans="1:24" ht="30" customHeight="1">
      <c r="A246" s="465"/>
      <c r="B246" s="466"/>
      <c r="C246" s="467"/>
      <c r="D246" s="468"/>
      <c r="E246" s="469"/>
      <c r="F246" s="499"/>
      <c r="G246" s="474"/>
      <c r="H246" s="475"/>
      <c r="I246" s="500"/>
      <c r="J246" s="472"/>
      <c r="K246" s="492"/>
      <c r="L246" s="484"/>
    </row>
    <row r="247" spans="1:24" ht="30" customHeight="1">
      <c r="A247" s="465"/>
      <c r="B247" s="466"/>
      <c r="C247" s="467"/>
      <c r="D247" s="479"/>
      <c r="E247" s="469"/>
      <c r="F247" s="500"/>
      <c r="G247" s="474"/>
      <c r="H247" s="472"/>
      <c r="I247" s="500"/>
      <c r="J247" s="472"/>
      <c r="K247" s="492"/>
      <c r="L247" s="484"/>
    </row>
    <row r="248" spans="1:24" ht="30" customHeight="1">
      <c r="A248" s="465"/>
      <c r="B248" s="466"/>
      <c r="C248" s="467"/>
      <c r="D248" s="479"/>
      <c r="E248" s="469"/>
      <c r="F248" s="500"/>
      <c r="G248" s="497"/>
      <c r="H248" s="481"/>
      <c r="I248" s="500"/>
      <c r="J248" s="472"/>
      <c r="K248" s="492"/>
      <c r="L248" s="484"/>
    </row>
    <row r="249" spans="1:24" ht="30" customHeight="1">
      <c r="A249" s="465"/>
      <c r="B249" s="466"/>
      <c r="C249" s="467"/>
      <c r="D249" s="468"/>
      <c r="E249" s="469"/>
      <c r="F249" s="499"/>
      <c r="G249" s="474"/>
      <c r="H249" s="470"/>
      <c r="I249" s="500"/>
      <c r="J249" s="472"/>
      <c r="K249" s="492"/>
      <c r="L249" s="484"/>
    </row>
    <row r="250" spans="1:24" ht="30" customHeight="1">
      <c r="A250" s="465"/>
      <c r="B250" s="466"/>
      <c r="C250" s="467"/>
      <c r="D250" s="468"/>
      <c r="E250" s="469"/>
      <c r="F250" s="499"/>
      <c r="G250" s="474"/>
      <c r="H250" s="475"/>
      <c r="I250" s="500"/>
      <c r="J250" s="472"/>
      <c r="K250" s="492"/>
      <c r="L250" s="484"/>
    </row>
    <row r="251" spans="1:24" ht="30" customHeight="1">
      <c r="A251" s="465"/>
      <c r="B251" s="466"/>
      <c r="C251" s="467"/>
      <c r="D251" s="468"/>
      <c r="E251" s="469"/>
      <c r="F251" s="499"/>
      <c r="G251" s="474"/>
      <c r="H251" s="470"/>
      <c r="I251" s="500"/>
      <c r="J251" s="475"/>
      <c r="K251" s="489"/>
      <c r="L251" s="484"/>
      <c r="X251" s="478" t="s">
        <v>466</v>
      </c>
    </row>
    <row r="252" spans="1:24" ht="30" customHeight="1">
      <c r="A252" s="465"/>
      <c r="B252" s="466"/>
      <c r="C252" s="467"/>
      <c r="D252" s="468"/>
      <c r="E252" s="469"/>
      <c r="F252" s="499"/>
      <c r="G252" s="474"/>
      <c r="H252" s="475"/>
      <c r="I252" s="500"/>
      <c r="J252" s="472"/>
      <c r="K252" s="492"/>
      <c r="L252" s="484"/>
      <c r="X252" s="478" t="s">
        <v>467</v>
      </c>
    </row>
    <row r="253" spans="1:24" ht="30" customHeight="1">
      <c r="A253" s="465"/>
      <c r="B253" s="466"/>
      <c r="C253" s="467"/>
      <c r="D253" s="468"/>
      <c r="E253" s="469"/>
      <c r="F253" s="499"/>
      <c r="G253" s="474"/>
      <c r="H253" s="470"/>
      <c r="I253" s="500"/>
      <c r="J253" s="475"/>
      <c r="K253" s="489"/>
      <c r="L253" s="484"/>
      <c r="X253" s="478" t="s">
        <v>468</v>
      </c>
    </row>
    <row r="254" spans="1:24" ht="30" customHeight="1">
      <c r="A254" s="465"/>
      <c r="B254" s="466"/>
      <c r="C254" s="467"/>
      <c r="D254" s="468"/>
      <c r="E254" s="469"/>
      <c r="F254" s="499"/>
      <c r="G254" s="474"/>
      <c r="H254" s="470"/>
      <c r="I254" s="500"/>
      <c r="J254" s="472"/>
      <c r="K254" s="489"/>
      <c r="L254" s="484"/>
      <c r="X254" s="478"/>
    </row>
    <row r="255" spans="1:24" ht="30" customHeight="1">
      <c r="A255" s="465"/>
      <c r="B255" s="466"/>
      <c r="C255" s="467"/>
      <c r="D255" s="468"/>
      <c r="E255" s="469"/>
      <c r="F255" s="499"/>
      <c r="G255" s="474"/>
      <c r="H255" s="475"/>
      <c r="I255" s="500"/>
      <c r="J255" s="472"/>
      <c r="K255" s="492"/>
      <c r="L255" s="484"/>
      <c r="X255" s="478"/>
    </row>
    <row r="256" spans="1:24" ht="30" customHeight="1">
      <c r="A256" s="465"/>
      <c r="B256" s="466"/>
      <c r="C256" s="467"/>
      <c r="D256" s="468"/>
      <c r="E256" s="469"/>
      <c r="F256" s="499"/>
      <c r="G256" s="474"/>
      <c r="H256" s="475"/>
      <c r="I256" s="500"/>
      <c r="J256" s="472"/>
      <c r="K256" s="492"/>
      <c r="L256" s="484"/>
      <c r="X256" s="478" t="s">
        <v>422</v>
      </c>
    </row>
    <row r="257" spans="1:24" ht="30" customHeight="1">
      <c r="A257" s="465"/>
      <c r="B257" s="466"/>
      <c r="C257" s="467"/>
      <c r="D257" s="468"/>
      <c r="E257" s="469"/>
      <c r="F257" s="499"/>
      <c r="G257" s="474"/>
      <c r="H257" s="475"/>
      <c r="I257" s="500"/>
      <c r="J257" s="472"/>
      <c r="K257" s="492"/>
      <c r="L257" s="484"/>
      <c r="X257" s="478" t="s">
        <v>175</v>
      </c>
    </row>
    <row r="258" spans="1:24" ht="30" customHeight="1">
      <c r="A258" s="465"/>
      <c r="B258" s="466"/>
      <c r="C258" s="467"/>
      <c r="D258" s="468"/>
      <c r="E258" s="469"/>
      <c r="F258" s="499"/>
      <c r="G258" s="474"/>
      <c r="H258" s="475"/>
      <c r="I258" s="500"/>
      <c r="J258" s="472"/>
      <c r="K258" s="492"/>
      <c r="L258" s="484"/>
      <c r="X258" s="478" t="s">
        <v>179</v>
      </c>
    </row>
    <row r="259" spans="1:24" ht="30" customHeight="1">
      <c r="A259" s="465"/>
      <c r="B259" s="478"/>
      <c r="C259" s="467"/>
      <c r="D259" s="479"/>
      <c r="E259" s="469"/>
      <c r="F259" s="500"/>
      <c r="G259" s="496"/>
      <c r="H259" s="470"/>
      <c r="I259" s="500"/>
      <c r="J259" s="472"/>
      <c r="K259" s="492"/>
      <c r="L259" s="484"/>
      <c r="X259" s="478" t="s">
        <v>180</v>
      </c>
    </row>
    <row r="260" spans="1:24" ht="30" customHeight="1">
      <c r="A260" s="465"/>
      <c r="B260" s="466"/>
      <c r="C260" s="467"/>
      <c r="D260" s="479"/>
      <c r="E260" s="469"/>
      <c r="F260" s="500"/>
      <c r="G260" s="474"/>
      <c r="H260" s="472"/>
      <c r="I260" s="500"/>
      <c r="J260" s="472"/>
      <c r="K260" s="489"/>
      <c r="L260" s="484"/>
      <c r="X260" s="478" t="s">
        <v>177</v>
      </c>
    </row>
    <row r="261" spans="1:24" ht="30" customHeight="1">
      <c r="A261" s="465"/>
      <c r="B261" s="478"/>
      <c r="C261" s="467"/>
      <c r="D261" s="479"/>
      <c r="E261" s="469"/>
      <c r="F261" s="500"/>
      <c r="G261" s="493"/>
      <c r="H261" s="470"/>
      <c r="I261" s="500"/>
      <c r="J261" s="472"/>
      <c r="K261" s="492"/>
      <c r="L261" s="484"/>
      <c r="X261" s="478"/>
    </row>
    <row r="262" spans="1:24" ht="30" customHeight="1">
      <c r="A262" s="465"/>
      <c r="B262" s="466"/>
      <c r="C262" s="467"/>
      <c r="D262" s="479"/>
      <c r="E262" s="469"/>
      <c r="F262" s="500"/>
      <c r="G262" s="494"/>
      <c r="H262" s="470"/>
      <c r="I262" s="500"/>
      <c r="J262" s="472"/>
      <c r="K262" s="492"/>
      <c r="L262" s="484"/>
      <c r="X262" s="478"/>
    </row>
    <row r="263" spans="1:24" ht="30" customHeight="1">
      <c r="A263" s="465"/>
      <c r="B263" s="466"/>
      <c r="C263" s="467"/>
      <c r="D263" s="479"/>
      <c r="E263" s="469"/>
      <c r="F263" s="500"/>
      <c r="G263" s="474"/>
      <c r="H263" s="475"/>
      <c r="I263" s="500"/>
      <c r="J263" s="472"/>
      <c r="K263" s="492"/>
      <c r="L263" s="484"/>
      <c r="X263" s="478"/>
    </row>
    <row r="264" spans="1:24" ht="30" customHeight="1">
      <c r="A264" s="465"/>
      <c r="B264" s="466"/>
      <c r="C264" s="467"/>
      <c r="D264" s="479"/>
      <c r="E264" s="469"/>
      <c r="F264" s="500"/>
      <c r="G264" s="474"/>
      <c r="H264" s="472"/>
      <c r="I264" s="500"/>
      <c r="J264" s="472"/>
      <c r="K264" s="492"/>
      <c r="L264" s="484"/>
      <c r="X264" s="478"/>
    </row>
    <row r="265" spans="1:24" ht="30" customHeight="1">
      <c r="A265" s="465"/>
      <c r="B265" s="466"/>
      <c r="C265" s="467"/>
      <c r="D265" s="479"/>
      <c r="E265" s="469"/>
      <c r="F265" s="500"/>
      <c r="G265" s="474"/>
      <c r="H265" s="472"/>
      <c r="I265" s="500"/>
      <c r="J265" s="472"/>
      <c r="K265" s="492"/>
      <c r="L265" s="484"/>
      <c r="X265" s="478"/>
    </row>
    <row r="266" spans="1:24" ht="30" customHeight="1">
      <c r="A266" s="465"/>
      <c r="B266" s="466"/>
      <c r="C266" s="467"/>
      <c r="D266" s="479"/>
      <c r="E266" s="469"/>
      <c r="F266" s="500"/>
      <c r="G266" s="474"/>
      <c r="H266" s="472"/>
      <c r="I266" s="500"/>
      <c r="J266" s="472"/>
      <c r="K266" s="492"/>
      <c r="L266" s="484"/>
      <c r="X266" s="478"/>
    </row>
    <row r="267" spans="1:24" ht="30" customHeight="1">
      <c r="A267" s="465"/>
      <c r="B267" s="467"/>
      <c r="C267" s="467"/>
      <c r="D267" s="479"/>
      <c r="E267" s="469"/>
      <c r="F267" s="500"/>
      <c r="G267" s="474"/>
      <c r="H267" s="472"/>
      <c r="I267" s="500"/>
      <c r="J267" s="472"/>
      <c r="K267" s="492"/>
      <c r="L267" s="484"/>
      <c r="X267" s="478"/>
    </row>
    <row r="268" spans="1:24" ht="30" customHeight="1">
      <c r="A268" s="465"/>
      <c r="B268" s="466"/>
      <c r="C268" s="467"/>
      <c r="D268" s="479"/>
      <c r="E268" s="469"/>
      <c r="F268" s="500"/>
      <c r="G268" s="474"/>
      <c r="H268" s="475"/>
      <c r="I268" s="500"/>
      <c r="J268" s="472"/>
      <c r="K268" s="492"/>
      <c r="L268" s="484"/>
      <c r="X268" s="478"/>
    </row>
    <row r="269" spans="1:24" ht="30" customHeight="1">
      <c r="A269" s="465"/>
      <c r="B269" s="466"/>
      <c r="C269" s="467"/>
      <c r="D269" s="479"/>
      <c r="E269" s="469"/>
      <c r="F269" s="500"/>
      <c r="G269" s="474"/>
      <c r="H269" s="472"/>
      <c r="I269" s="500"/>
      <c r="J269" s="472"/>
      <c r="K269" s="492"/>
      <c r="L269" s="484"/>
      <c r="X269" s="478"/>
    </row>
    <row r="270" spans="1:24" ht="30" customHeight="1">
      <c r="A270" s="465"/>
      <c r="B270" s="466"/>
      <c r="C270" s="467"/>
      <c r="D270" s="479"/>
      <c r="E270" s="469"/>
      <c r="F270" s="500"/>
      <c r="G270" s="474"/>
      <c r="H270" s="475"/>
      <c r="I270" s="500"/>
      <c r="J270" s="472"/>
      <c r="K270" s="492"/>
      <c r="L270" s="484"/>
      <c r="X270" s="478"/>
    </row>
    <row r="271" spans="1:24" ht="30" customHeight="1">
      <c r="A271" s="465"/>
      <c r="B271" s="466"/>
      <c r="C271" s="467"/>
      <c r="D271" s="467"/>
      <c r="E271" s="469"/>
      <c r="F271" s="500"/>
      <c r="G271" s="494"/>
      <c r="H271" s="470"/>
      <c r="I271" s="500"/>
      <c r="J271" s="472"/>
      <c r="K271" s="492"/>
      <c r="L271" s="484"/>
      <c r="X271" s="478"/>
    </row>
    <row r="272" spans="1:24" ht="30" customHeight="1">
      <c r="A272" s="465"/>
      <c r="B272" s="466"/>
      <c r="C272" s="467"/>
      <c r="D272" s="467"/>
      <c r="E272" s="469"/>
      <c r="F272" s="500"/>
      <c r="G272" s="494"/>
      <c r="H272" s="470"/>
      <c r="I272" s="500"/>
      <c r="J272" s="472"/>
      <c r="K272" s="492"/>
      <c r="L272" s="484"/>
      <c r="X272" s="478"/>
    </row>
    <row r="273" spans="1:24" ht="30" customHeight="1">
      <c r="A273" s="465"/>
      <c r="B273" s="466"/>
      <c r="C273" s="467"/>
      <c r="D273" s="467"/>
      <c r="E273" s="469"/>
      <c r="F273" s="500"/>
      <c r="G273" s="494"/>
      <c r="H273" s="470"/>
      <c r="I273" s="500"/>
      <c r="J273" s="472"/>
      <c r="K273" s="492"/>
      <c r="L273" s="484"/>
      <c r="X273" s="478"/>
    </row>
    <row r="274" spans="1:24" ht="30" customHeight="1">
      <c r="A274" s="465"/>
      <c r="B274" s="466"/>
      <c r="C274" s="467"/>
      <c r="D274" s="467"/>
      <c r="E274" s="469"/>
      <c r="F274" s="500"/>
      <c r="G274" s="474"/>
      <c r="H274" s="475"/>
      <c r="I274" s="500"/>
      <c r="J274" s="472"/>
      <c r="K274" s="492"/>
      <c r="L274" s="484"/>
      <c r="X274" s="478"/>
    </row>
    <row r="275" spans="1:24" ht="30" customHeight="1">
      <c r="A275" s="465"/>
      <c r="B275" s="466"/>
      <c r="C275" s="467"/>
      <c r="D275" s="467"/>
      <c r="E275" s="469"/>
      <c r="F275" s="500"/>
      <c r="G275" s="474"/>
      <c r="H275" s="475"/>
      <c r="I275" s="500"/>
      <c r="J275" s="472"/>
      <c r="K275" s="492"/>
      <c r="L275" s="484"/>
      <c r="X275" s="478"/>
    </row>
    <row r="276" spans="1:24" ht="30" customHeight="1">
      <c r="A276" s="465"/>
      <c r="B276" s="466"/>
      <c r="C276" s="467"/>
      <c r="D276" s="467"/>
      <c r="E276" s="469"/>
      <c r="F276" s="500"/>
      <c r="G276" s="494"/>
      <c r="H276" s="488"/>
      <c r="I276" s="500"/>
      <c r="J276" s="472"/>
      <c r="K276" s="492"/>
      <c r="L276" s="484"/>
      <c r="X276" s="478"/>
    </row>
    <row r="277" spans="1:24" ht="30" customHeight="1">
      <c r="A277" s="465"/>
      <c r="B277" s="466"/>
      <c r="C277" s="467"/>
      <c r="D277" s="467"/>
      <c r="E277" s="469"/>
      <c r="F277" s="500"/>
      <c r="G277" s="494"/>
      <c r="H277" s="470"/>
      <c r="I277" s="500"/>
      <c r="J277" s="472"/>
      <c r="K277" s="492"/>
      <c r="L277" s="484"/>
      <c r="X277" s="478"/>
    </row>
    <row r="278" spans="1:24" ht="30" customHeight="1">
      <c r="A278" s="465"/>
      <c r="B278" s="466"/>
      <c r="C278" s="467"/>
      <c r="D278" s="467"/>
      <c r="E278" s="469"/>
      <c r="F278" s="500"/>
      <c r="G278" s="474"/>
      <c r="H278" s="470"/>
      <c r="I278" s="500"/>
      <c r="J278" s="472"/>
      <c r="K278" s="492"/>
      <c r="L278" s="484"/>
      <c r="X278" s="478"/>
    </row>
    <row r="279" spans="1:24" ht="30" customHeight="1">
      <c r="A279" s="465"/>
      <c r="B279" s="478"/>
      <c r="C279" s="467"/>
      <c r="D279" s="467"/>
      <c r="E279" s="469"/>
      <c r="F279" s="500"/>
      <c r="G279" s="493"/>
      <c r="H279" s="470"/>
      <c r="I279" s="500"/>
      <c r="J279" s="472"/>
      <c r="K279" s="492"/>
      <c r="L279" s="484"/>
      <c r="X279" s="478"/>
    </row>
    <row r="280" spans="1:24" ht="30" customHeight="1">
      <c r="A280" s="465"/>
      <c r="B280" s="466"/>
      <c r="C280" s="467"/>
      <c r="D280" s="467"/>
      <c r="E280" s="469"/>
      <c r="F280" s="500"/>
      <c r="G280" s="494"/>
      <c r="H280" s="470"/>
      <c r="I280" s="500"/>
      <c r="J280" s="472"/>
      <c r="K280" s="492"/>
      <c r="L280" s="484"/>
      <c r="X280" s="478"/>
    </row>
    <row r="281" spans="1:24" ht="30" customHeight="1">
      <c r="A281" s="465"/>
      <c r="B281" s="466"/>
      <c r="C281" s="467"/>
      <c r="D281" s="467"/>
      <c r="E281" s="469"/>
      <c r="F281" s="500"/>
      <c r="G281" s="494"/>
      <c r="H281" s="470"/>
      <c r="I281" s="500"/>
      <c r="J281" s="472"/>
      <c r="K281" s="492"/>
      <c r="L281" s="484"/>
      <c r="X281" s="478"/>
    </row>
    <row r="282" spans="1:24" ht="30" customHeight="1">
      <c r="A282" s="465"/>
      <c r="B282" s="466"/>
      <c r="C282" s="467"/>
      <c r="D282" s="467"/>
      <c r="E282" s="469"/>
      <c r="F282" s="500"/>
      <c r="G282" s="494"/>
      <c r="H282" s="470"/>
      <c r="I282" s="500"/>
      <c r="J282" s="472"/>
      <c r="K282" s="492"/>
      <c r="L282" s="484"/>
      <c r="X282" s="478"/>
    </row>
    <row r="283" spans="1:24" ht="30" customHeight="1">
      <c r="A283" s="465"/>
      <c r="B283" s="466"/>
      <c r="C283" s="467"/>
      <c r="D283" s="467"/>
      <c r="E283" s="469"/>
      <c r="F283" s="500"/>
      <c r="G283" s="494"/>
      <c r="H283" s="470"/>
      <c r="I283" s="500"/>
      <c r="J283" s="472"/>
      <c r="K283" s="492"/>
      <c r="L283" s="484"/>
      <c r="X283" s="478"/>
    </row>
    <row r="284" spans="1:24" ht="30" customHeight="1">
      <c r="A284" s="465"/>
      <c r="B284" s="478"/>
      <c r="C284" s="467"/>
      <c r="D284" s="467"/>
      <c r="E284" s="469"/>
      <c r="F284" s="500"/>
      <c r="G284" s="494"/>
      <c r="H284" s="470"/>
      <c r="I284" s="500"/>
      <c r="J284" s="472"/>
      <c r="K284" s="492"/>
      <c r="L284" s="484"/>
      <c r="X284" s="478"/>
    </row>
    <row r="285" spans="1:24" ht="30" customHeight="1">
      <c r="A285" s="465"/>
      <c r="B285" s="482"/>
      <c r="C285" s="467"/>
      <c r="D285" s="467"/>
      <c r="E285" s="469"/>
      <c r="F285" s="500"/>
      <c r="G285" s="494"/>
      <c r="H285" s="470"/>
      <c r="I285" s="500"/>
      <c r="J285" s="472"/>
      <c r="K285" s="492"/>
      <c r="L285" s="484"/>
      <c r="X285" s="478"/>
    </row>
    <row r="286" spans="1:24" ht="30" customHeight="1">
      <c r="A286" s="465"/>
      <c r="B286" s="478"/>
      <c r="C286" s="467"/>
      <c r="D286" s="467"/>
      <c r="E286" s="469"/>
      <c r="F286" s="500"/>
      <c r="G286" s="494"/>
      <c r="H286" s="470"/>
      <c r="I286" s="500"/>
      <c r="J286" s="472"/>
      <c r="K286" s="492"/>
      <c r="L286" s="484"/>
      <c r="X286" s="478"/>
    </row>
    <row r="287" spans="1:24" ht="30" customHeight="1">
      <c r="A287" s="465"/>
      <c r="B287" s="482"/>
      <c r="C287" s="467"/>
      <c r="D287" s="467"/>
      <c r="E287" s="469"/>
      <c r="F287" s="500"/>
      <c r="G287" s="494"/>
      <c r="H287" s="470"/>
      <c r="I287" s="500"/>
      <c r="J287" s="472"/>
      <c r="K287" s="492"/>
      <c r="L287" s="484"/>
      <c r="X287" s="478"/>
    </row>
    <row r="288" spans="1:24" ht="30" customHeight="1">
      <c r="A288" s="465"/>
      <c r="B288" s="482"/>
      <c r="C288" s="467"/>
      <c r="D288" s="467"/>
      <c r="E288" s="469"/>
      <c r="F288" s="500"/>
      <c r="G288" s="494"/>
      <c r="H288" s="470"/>
      <c r="I288" s="500"/>
      <c r="J288" s="472"/>
      <c r="K288" s="492"/>
      <c r="L288" s="484"/>
      <c r="X288" s="478"/>
    </row>
    <row r="289" spans="1:24" ht="30" customHeight="1">
      <c r="A289" s="465"/>
      <c r="B289" s="478"/>
      <c r="C289" s="467"/>
      <c r="D289" s="467"/>
      <c r="E289" s="469"/>
      <c r="F289" s="500"/>
      <c r="G289" s="494"/>
      <c r="H289" s="470"/>
      <c r="I289" s="500"/>
      <c r="J289" s="472"/>
      <c r="K289" s="492"/>
      <c r="L289" s="484"/>
      <c r="X289" s="478"/>
    </row>
    <row r="290" spans="1:24" ht="30" customHeight="1">
      <c r="A290" s="465"/>
      <c r="B290" s="478"/>
      <c r="C290" s="467"/>
      <c r="D290" s="467"/>
      <c r="E290" s="483"/>
      <c r="F290" s="500"/>
      <c r="G290" s="494"/>
      <c r="H290" s="470"/>
      <c r="I290" s="500"/>
      <c r="J290" s="472"/>
      <c r="K290" s="492"/>
      <c r="L290" s="484"/>
      <c r="X290" s="478"/>
    </row>
    <row r="291" spans="1:24" ht="30" customHeight="1">
      <c r="A291" s="465"/>
      <c r="B291" s="478"/>
      <c r="C291" s="467"/>
      <c r="D291" s="467"/>
      <c r="E291" s="483"/>
      <c r="F291" s="500"/>
      <c r="G291" s="494"/>
      <c r="H291" s="470"/>
      <c r="I291" s="500"/>
      <c r="J291" s="472"/>
      <c r="K291" s="492"/>
      <c r="L291" s="484"/>
      <c r="X291" s="478"/>
    </row>
    <row r="292" spans="1:24" ht="30" customHeight="1">
      <c r="A292" s="465"/>
      <c r="B292" s="478"/>
      <c r="C292" s="467"/>
      <c r="D292" s="467"/>
      <c r="E292" s="469"/>
      <c r="F292" s="500"/>
      <c r="G292" s="494"/>
      <c r="H292" s="470"/>
      <c r="I292" s="500"/>
      <c r="J292" s="472"/>
      <c r="K292" s="492"/>
      <c r="L292" s="484"/>
      <c r="X292" s="478"/>
    </row>
    <row r="293" spans="1:24" ht="30" customHeight="1">
      <c r="A293" s="465"/>
      <c r="B293" s="478"/>
      <c r="C293" s="467"/>
      <c r="D293" s="467"/>
      <c r="E293" s="469"/>
      <c r="F293" s="500"/>
      <c r="G293" s="494"/>
      <c r="H293" s="470"/>
      <c r="I293" s="500"/>
      <c r="J293" s="472"/>
      <c r="K293" s="492"/>
      <c r="L293" s="484"/>
      <c r="X293" s="478"/>
    </row>
    <row r="294" spans="1:24" ht="30" customHeight="1">
      <c r="A294" s="465"/>
      <c r="B294" s="478"/>
      <c r="C294" s="467"/>
      <c r="D294" s="467"/>
      <c r="E294" s="483"/>
      <c r="F294" s="500"/>
      <c r="G294" s="496"/>
      <c r="H294" s="470"/>
      <c r="I294" s="500"/>
      <c r="J294" s="472"/>
      <c r="K294" s="492"/>
      <c r="L294" s="484"/>
      <c r="X294" s="478"/>
    </row>
    <row r="295" spans="1:24" ht="30" customHeight="1">
      <c r="A295" s="465"/>
      <c r="B295" s="478"/>
      <c r="C295" s="467"/>
      <c r="D295" s="467"/>
      <c r="E295" s="483"/>
      <c r="F295" s="500"/>
      <c r="G295" s="496"/>
      <c r="H295" s="470"/>
      <c r="I295" s="500"/>
      <c r="J295" s="472"/>
      <c r="K295" s="492"/>
      <c r="L295" s="484"/>
      <c r="X295" s="478"/>
    </row>
    <row r="296" spans="1:24" ht="30" customHeight="1">
      <c r="A296" s="465"/>
      <c r="B296" s="478"/>
      <c r="C296" s="467"/>
      <c r="D296" s="467"/>
      <c r="E296" s="483"/>
      <c r="F296" s="500"/>
      <c r="G296" s="494"/>
      <c r="H296" s="470"/>
      <c r="I296" s="500"/>
      <c r="J296" s="472"/>
      <c r="K296" s="492"/>
      <c r="L296" s="484"/>
      <c r="X296" s="478"/>
    </row>
    <row r="297" spans="1:24" ht="30" customHeight="1">
      <c r="A297" s="465"/>
      <c r="B297" s="478"/>
      <c r="C297" s="467"/>
      <c r="D297" s="467"/>
      <c r="E297" s="483"/>
      <c r="F297" s="500"/>
      <c r="G297" s="494"/>
      <c r="H297" s="488"/>
      <c r="I297" s="488"/>
      <c r="J297" s="472"/>
      <c r="K297" s="492"/>
      <c r="L297" s="484"/>
      <c r="X297" s="478"/>
    </row>
    <row r="298" spans="1:24" ht="30" customHeight="1">
      <c r="A298" s="465"/>
      <c r="B298" s="478"/>
      <c r="C298" s="467"/>
      <c r="D298" s="467"/>
      <c r="E298" s="483"/>
      <c r="F298" s="500"/>
      <c r="G298" s="494"/>
      <c r="H298" s="488"/>
      <c r="I298" s="488"/>
      <c r="J298" s="472"/>
      <c r="K298" s="492"/>
      <c r="L298" s="484"/>
      <c r="X298" s="478"/>
    </row>
    <row r="299" spans="1:24">
      <c r="B299" s="478"/>
      <c r="C299" s="467"/>
      <c r="F299" s="500"/>
      <c r="G299" s="496"/>
      <c r="H299" s="470"/>
    </row>
    <row r="300" spans="1:24" ht="30" customHeight="1">
      <c r="A300" s="465"/>
      <c r="B300" s="478"/>
      <c r="C300" s="467"/>
      <c r="D300" s="467"/>
      <c r="E300" s="483"/>
      <c r="F300" s="500"/>
      <c r="G300" s="494"/>
      <c r="H300" s="470"/>
      <c r="I300" s="500"/>
      <c r="J300" s="472"/>
      <c r="K300" s="492"/>
      <c r="L300" s="484"/>
      <c r="X300" s="478"/>
    </row>
    <row r="301" spans="1:24" ht="30" customHeight="1">
      <c r="A301" s="465"/>
      <c r="B301" s="478"/>
      <c r="C301" s="467"/>
      <c r="D301" s="467"/>
      <c r="E301" s="483"/>
      <c r="F301" s="500"/>
      <c r="G301" s="496"/>
      <c r="H301" s="470"/>
      <c r="I301" s="500"/>
      <c r="J301" s="472"/>
      <c r="K301" s="492"/>
      <c r="L301" s="484"/>
      <c r="X301" s="478"/>
    </row>
    <row r="302" spans="1:24" ht="30" customHeight="1">
      <c r="A302" s="465"/>
      <c r="B302" s="478"/>
      <c r="C302" s="467"/>
      <c r="D302" s="467"/>
      <c r="E302" s="483"/>
      <c r="F302" s="500"/>
      <c r="G302" s="496"/>
      <c r="H302" s="470"/>
      <c r="I302" s="500"/>
      <c r="J302" s="472"/>
      <c r="K302" s="492"/>
      <c r="L302" s="484"/>
      <c r="X302" s="478"/>
    </row>
    <row r="303" spans="1:24" ht="30" customHeight="1">
      <c r="A303" s="465"/>
      <c r="B303" s="478"/>
      <c r="C303" s="467"/>
      <c r="D303" s="467"/>
      <c r="E303" s="483"/>
      <c r="F303" s="500"/>
      <c r="G303" s="496"/>
      <c r="H303" s="470"/>
      <c r="I303" s="500"/>
      <c r="J303" s="472"/>
      <c r="K303" s="492"/>
      <c r="L303" s="484"/>
      <c r="X303" s="478"/>
    </row>
    <row r="304" spans="1:24" ht="30" customHeight="1">
      <c r="A304" s="465"/>
      <c r="B304" s="478"/>
      <c r="C304" s="467"/>
      <c r="D304" s="467"/>
      <c r="E304" s="483"/>
      <c r="F304" s="500"/>
      <c r="G304" s="496"/>
      <c r="H304" s="470"/>
      <c r="I304" s="500"/>
      <c r="J304" s="472"/>
      <c r="K304" s="492"/>
      <c r="L304" s="484"/>
      <c r="X304" s="478"/>
    </row>
    <row r="305" spans="1:24" ht="30" customHeight="1">
      <c r="A305" s="465"/>
      <c r="B305" s="478"/>
      <c r="C305" s="467"/>
      <c r="D305" s="467"/>
      <c r="E305" s="483"/>
      <c r="F305" s="500"/>
      <c r="G305" s="496"/>
      <c r="H305" s="470"/>
      <c r="I305" s="500"/>
      <c r="J305" s="472"/>
      <c r="K305" s="492"/>
      <c r="L305" s="484"/>
      <c r="X305" s="478"/>
    </row>
    <row r="322" spans="2:2">
      <c r="B322" s="518"/>
    </row>
    <row r="323" spans="2:2">
      <c r="B323" s="518"/>
    </row>
    <row r="324" spans="2:2">
      <c r="B324" s="518"/>
    </row>
    <row r="325" spans="2:2">
      <c r="B325" s="518"/>
    </row>
    <row r="326" spans="2:2">
      <c r="B326" s="518"/>
    </row>
    <row r="327" spans="2:2">
      <c r="B327" s="518"/>
    </row>
    <row r="328" spans="2:2">
      <c r="B328" s="518"/>
    </row>
    <row r="329" spans="2:2">
      <c r="B329" s="518"/>
    </row>
    <row r="330" spans="2:2">
      <c r="B330" s="518"/>
    </row>
    <row r="331" spans="2:2">
      <c r="B331" s="518"/>
    </row>
    <row r="332" spans="2:2">
      <c r="B332" s="518"/>
    </row>
  </sheetData>
  <autoFilter ref="A2:N305" xr:uid="{2186F83F-367B-471C-AEB0-65139BA78454}"/>
  <mergeCells count="1">
    <mergeCell ref="A1:M1"/>
  </mergeCells>
  <phoneticPr fontId="80" type="noConversion"/>
  <conditionalFormatting sqref="B86 B77:B84">
    <cfRule type="duplicateValues" dxfId="211" priority="970"/>
    <cfRule type="duplicateValues" dxfId="210" priority="976"/>
    <cfRule type="duplicateValues" dxfId="209" priority="975"/>
    <cfRule type="duplicateValues" dxfId="208" priority="974"/>
    <cfRule type="duplicateValues" dxfId="207" priority="973"/>
    <cfRule type="duplicateValues" dxfId="206" priority="972"/>
    <cfRule type="duplicateValues" dxfId="205" priority="971"/>
  </conditionalFormatting>
  <conditionalFormatting sqref="B92:B260 B3:B76">
    <cfRule type="duplicateValues" dxfId="204" priority="962"/>
  </conditionalFormatting>
  <conditionalFormatting sqref="B149:B298">
    <cfRule type="duplicateValues" dxfId="203" priority="720"/>
  </conditionalFormatting>
  <conditionalFormatting sqref="B261:B266 B268:B298">
    <cfRule type="duplicateValues" dxfId="202" priority="722"/>
  </conditionalFormatting>
  <conditionalFormatting sqref="B268:B298 B3:B76 B92:B266">
    <cfRule type="duplicateValues" dxfId="201" priority="717"/>
  </conditionalFormatting>
  <conditionalFormatting sqref="B268:B1048576 B2:B76 B92:B266">
    <cfRule type="duplicateValues" dxfId="200" priority="258"/>
  </conditionalFormatting>
  <conditionalFormatting sqref="B299">
    <cfRule type="duplicateValues" dxfId="199" priority="426"/>
    <cfRule type="duplicateValues" dxfId="198" priority="427"/>
    <cfRule type="duplicateValues" dxfId="197" priority="428"/>
    <cfRule type="duplicateValues" dxfId="196" priority="429"/>
    <cfRule type="duplicateValues" dxfId="195" priority="430"/>
  </conditionalFormatting>
  <conditionalFormatting sqref="B300:B305">
    <cfRule type="duplicateValues" dxfId="194" priority="10"/>
    <cfRule type="duplicateValues" dxfId="193" priority="11"/>
    <cfRule type="duplicateValues" dxfId="192" priority="12"/>
    <cfRule type="duplicateValues" dxfId="191" priority="13"/>
    <cfRule type="duplicateValues" dxfId="190" priority="14"/>
    <cfRule type="duplicateValues" dxfId="189" priority="15"/>
    <cfRule type="duplicateValues" dxfId="188" priority="17"/>
    <cfRule type="duplicateValues" dxfId="187" priority="18"/>
    <cfRule type="duplicateValues" dxfId="186" priority="16"/>
  </conditionalFormatting>
  <conditionalFormatting sqref="B306:B316">
    <cfRule type="duplicateValues" dxfId="185" priority="433"/>
    <cfRule type="duplicateValues" dxfId="184" priority="434"/>
    <cfRule type="duplicateValues" dxfId="183" priority="435"/>
    <cfRule type="duplicateValues" dxfId="182" priority="431"/>
    <cfRule type="duplicateValues" dxfId="181" priority="432"/>
  </conditionalFormatting>
  <conditionalFormatting sqref="B333:B1048576 B268:B298 B2:B76 B92:B266">
    <cfRule type="duplicateValues" dxfId="180" priority="436"/>
    <cfRule type="duplicateValues" dxfId="179" priority="399"/>
    <cfRule type="duplicateValues" dxfId="178" priority="375"/>
    <cfRule type="duplicateValues" dxfId="177" priority="308"/>
    <cfRule type="duplicateValues" dxfId="176" priority="307"/>
    <cfRule type="duplicateValues" dxfId="175" priority="306"/>
  </conditionalFormatting>
  <conditionalFormatting sqref="X251:X260">
    <cfRule type="duplicateValues" dxfId="174" priority="473"/>
    <cfRule type="duplicateValues" dxfId="173" priority="474"/>
    <cfRule type="duplicateValues" dxfId="172" priority="475"/>
    <cfRule type="duplicateValues" dxfId="171" priority="476"/>
    <cfRule type="duplicateValues" dxfId="170" priority="477"/>
  </conditionalFormatting>
  <conditionalFormatting sqref="X261:X298">
    <cfRule type="duplicateValues" dxfId="169" priority="744"/>
    <cfRule type="duplicateValues" dxfId="168" priority="745"/>
    <cfRule type="duplicateValues" dxfId="167" priority="746"/>
    <cfRule type="duplicateValues" dxfId="166" priority="747"/>
    <cfRule type="duplicateValues" dxfId="165" priority="743"/>
  </conditionalFormatting>
  <conditionalFormatting sqref="X300:X305">
    <cfRule type="duplicateValues" dxfId="164" priority="19"/>
    <cfRule type="duplicateValues" dxfId="163" priority="23"/>
    <cfRule type="duplicateValues" dxfId="162" priority="22"/>
    <cfRule type="duplicateValues" dxfId="161" priority="21"/>
    <cfRule type="duplicateValues" dxfId="160" priority="20"/>
  </conditionalFormatting>
  <pageMargins left="0.27559055118110237" right="0.31496062992125984" top="0.35433070866141736" bottom="0.39370078740157483" header="0.31496062992125984" footer="0.31496062992125984"/>
  <pageSetup paperSize="9" scale="5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BBA83-67EE-467F-8A65-AFFDFF66B40D}">
  <sheetPr codeName="Sheet12">
    <tabColor rgb="FF00FF00"/>
  </sheetPr>
  <dimension ref="A1:Y187"/>
  <sheetViews>
    <sheetView topLeftCell="A41" zoomScale="55" zoomScaleNormal="55" zoomScaleSheetLayoutView="72" workbookViewId="0">
      <selection activeCell="H50" sqref="H50"/>
    </sheetView>
  </sheetViews>
  <sheetFormatPr defaultColWidth="8.85546875" defaultRowHeight="15.75"/>
  <cols>
    <col min="1" max="1" width="8.85546875" style="255"/>
    <col min="2" max="2" width="9.5703125" style="255" customWidth="1"/>
    <col min="3" max="3" width="12.42578125" style="255" customWidth="1"/>
    <col min="4" max="4" width="14.42578125" style="255" bestFit="1" customWidth="1"/>
    <col min="5" max="5" width="12.5703125" style="255" customWidth="1"/>
    <col min="6" max="6" width="21" style="255" bestFit="1" customWidth="1"/>
    <col min="7" max="7" width="17.42578125" style="113" customWidth="1"/>
    <col min="8" max="9" width="29.7109375" style="255" customWidth="1"/>
    <col min="10" max="10" width="20.42578125" style="255" customWidth="1"/>
    <col min="11" max="11" width="16.42578125" style="255" customWidth="1"/>
    <col min="12" max="12" width="15.140625" style="255" bestFit="1" customWidth="1"/>
    <col min="13" max="13" width="14.85546875" style="255" customWidth="1"/>
    <col min="14" max="14" width="16.42578125" style="255" customWidth="1"/>
    <col min="15" max="15" width="21.5703125" style="255" customWidth="1"/>
    <col min="16" max="16" width="23.42578125" style="255" customWidth="1"/>
    <col min="17" max="16384" width="8.85546875" style="255"/>
  </cols>
  <sheetData>
    <row r="1" spans="1:16" ht="16.5" thickBot="1"/>
    <row r="2" spans="1:16" ht="38.1" customHeight="1">
      <c r="A2" s="686" t="s">
        <v>469</v>
      </c>
      <c r="B2" s="687"/>
      <c r="C2" s="687"/>
      <c r="D2" s="687"/>
      <c r="E2" s="687"/>
      <c r="F2" s="687"/>
      <c r="G2" s="687"/>
      <c r="H2" s="687"/>
      <c r="I2" s="687"/>
      <c r="J2" s="687"/>
      <c r="K2" s="687"/>
      <c r="L2" s="687"/>
      <c r="M2" s="687"/>
      <c r="N2" s="687"/>
      <c r="O2" s="687"/>
      <c r="P2" s="529">
        <v>46184</v>
      </c>
    </row>
    <row r="3" spans="1:16" ht="47.25">
      <c r="A3" s="530" t="s">
        <v>248</v>
      </c>
      <c r="B3" s="531" t="s">
        <v>470</v>
      </c>
      <c r="C3" s="531" t="s">
        <v>471</v>
      </c>
      <c r="D3" s="532" t="s">
        <v>345</v>
      </c>
      <c r="E3" s="531" t="s">
        <v>472</v>
      </c>
      <c r="F3" s="531" t="s">
        <v>266</v>
      </c>
      <c r="G3" s="532" t="s">
        <v>348</v>
      </c>
      <c r="H3" s="533" t="s">
        <v>473</v>
      </c>
      <c r="I3" s="533" t="s">
        <v>1101</v>
      </c>
      <c r="J3" s="534" t="s">
        <v>474</v>
      </c>
      <c r="K3" s="534" t="s">
        <v>475</v>
      </c>
      <c r="L3" s="534" t="s">
        <v>33</v>
      </c>
      <c r="M3" s="531" t="s">
        <v>476</v>
      </c>
      <c r="N3" s="531" t="s">
        <v>477</v>
      </c>
      <c r="O3" s="531" t="s">
        <v>478</v>
      </c>
      <c r="P3" s="535" t="s">
        <v>479</v>
      </c>
    </row>
    <row r="4" spans="1:16" ht="25.15" customHeight="1">
      <c r="A4" s="536">
        <v>1</v>
      </c>
      <c r="B4" s="537" t="s">
        <v>177</v>
      </c>
      <c r="C4" s="537" t="s">
        <v>354</v>
      </c>
      <c r="D4" s="537">
        <v>46023</v>
      </c>
      <c r="E4" s="538">
        <v>37.729999999999997</v>
      </c>
      <c r="F4" s="539" t="s">
        <v>38</v>
      </c>
      <c r="G4" s="537">
        <v>46029</v>
      </c>
      <c r="H4" s="540" t="s">
        <v>480</v>
      </c>
      <c r="I4" s="540" t="s">
        <v>1102</v>
      </c>
      <c r="J4" s="541"/>
      <c r="K4" s="542"/>
      <c r="L4" s="543"/>
      <c r="M4" s="543"/>
      <c r="N4" s="543"/>
      <c r="O4" s="539"/>
      <c r="P4" s="544"/>
    </row>
    <row r="5" spans="1:16" ht="25.15" customHeight="1">
      <c r="A5" s="536">
        <v>2</v>
      </c>
      <c r="B5" s="537" t="s">
        <v>139</v>
      </c>
      <c r="C5" s="537" t="s">
        <v>361</v>
      </c>
      <c r="D5" s="537">
        <v>46027</v>
      </c>
      <c r="E5" s="545">
        <v>39.457999999999998</v>
      </c>
      <c r="F5" s="539" t="s">
        <v>38</v>
      </c>
      <c r="G5" s="537">
        <v>46034</v>
      </c>
      <c r="H5" s="543" t="s">
        <v>481</v>
      </c>
      <c r="I5" s="543"/>
      <c r="J5" s="539"/>
      <c r="K5" s="539"/>
      <c r="L5" s="539"/>
      <c r="M5" s="539"/>
      <c r="N5" s="539"/>
      <c r="O5" s="539"/>
      <c r="P5" s="539"/>
    </row>
    <row r="6" spans="1:16" ht="25.15" customHeight="1">
      <c r="A6" s="536">
        <v>3</v>
      </c>
      <c r="B6" s="537" t="s">
        <v>169</v>
      </c>
      <c r="C6" s="537" t="s">
        <v>304</v>
      </c>
      <c r="D6" s="537">
        <v>46030</v>
      </c>
      <c r="E6" s="538">
        <v>54.417999999999999</v>
      </c>
      <c r="F6" s="539" t="s">
        <v>38</v>
      </c>
      <c r="G6" s="537">
        <v>46035</v>
      </c>
      <c r="H6" s="540" t="s">
        <v>480</v>
      </c>
      <c r="I6" s="540" t="s">
        <v>1102</v>
      </c>
      <c r="J6" s="539"/>
      <c r="K6" s="539"/>
      <c r="L6" s="539"/>
      <c r="M6" s="539"/>
      <c r="N6" s="539"/>
      <c r="O6" s="539"/>
      <c r="P6" s="539"/>
    </row>
    <row r="7" spans="1:16" ht="25.15" customHeight="1">
      <c r="A7" s="536">
        <v>5</v>
      </c>
      <c r="B7" s="537" t="s">
        <v>386</v>
      </c>
      <c r="C7" s="537" t="s">
        <v>361</v>
      </c>
      <c r="D7" s="537">
        <v>46036</v>
      </c>
      <c r="E7" s="538">
        <v>39.457999999999998</v>
      </c>
      <c r="F7" s="539" t="s">
        <v>38</v>
      </c>
      <c r="G7" s="537">
        <v>46043</v>
      </c>
      <c r="H7" s="540" t="s">
        <v>480</v>
      </c>
      <c r="I7" s="540" t="s">
        <v>1102</v>
      </c>
      <c r="J7" s="539"/>
      <c r="K7" s="539"/>
      <c r="L7" s="539"/>
      <c r="M7" s="539"/>
      <c r="N7" s="539"/>
      <c r="O7" s="539"/>
      <c r="P7" s="539"/>
    </row>
    <row r="8" spans="1:16" ht="25.15" customHeight="1">
      <c r="A8" s="536">
        <v>4</v>
      </c>
      <c r="B8" s="537" t="s">
        <v>137</v>
      </c>
      <c r="C8" s="537" t="s">
        <v>395</v>
      </c>
      <c r="D8" s="537">
        <v>46035</v>
      </c>
      <c r="E8" s="545">
        <v>63.509</v>
      </c>
      <c r="F8" s="539" t="s">
        <v>38</v>
      </c>
      <c r="G8" s="537">
        <v>46047</v>
      </c>
      <c r="H8" s="542" t="s">
        <v>481</v>
      </c>
      <c r="I8" s="542"/>
      <c r="J8" s="539"/>
      <c r="K8" s="539"/>
      <c r="L8" s="539"/>
      <c r="M8" s="539"/>
      <c r="N8" s="539"/>
      <c r="O8" s="539"/>
      <c r="P8" s="539"/>
    </row>
    <row r="9" spans="1:16" ht="25.15" customHeight="1">
      <c r="A9" s="536">
        <v>7</v>
      </c>
      <c r="B9" s="541" t="s">
        <v>411</v>
      </c>
      <c r="C9" s="537" t="s">
        <v>354</v>
      </c>
      <c r="D9" s="537">
        <v>46040</v>
      </c>
      <c r="E9" s="545">
        <v>37.729999999999997</v>
      </c>
      <c r="F9" s="539" t="s">
        <v>38</v>
      </c>
      <c r="G9" s="537">
        <v>46050</v>
      </c>
      <c r="H9" s="542" t="s">
        <v>481</v>
      </c>
      <c r="I9" s="542"/>
      <c r="J9" s="539"/>
      <c r="K9" s="539"/>
      <c r="L9" s="539"/>
      <c r="M9" s="539"/>
      <c r="N9" s="539"/>
      <c r="O9" s="611"/>
      <c r="P9" s="539"/>
    </row>
    <row r="10" spans="1:16" ht="25.15" customHeight="1">
      <c r="A10" s="536">
        <v>6</v>
      </c>
      <c r="B10" s="541" t="s">
        <v>380</v>
      </c>
      <c r="C10" s="537" t="s">
        <v>361</v>
      </c>
      <c r="D10" s="537">
        <v>46038</v>
      </c>
      <c r="E10" s="538">
        <v>39.457999999999998</v>
      </c>
      <c r="F10" s="539" t="s">
        <v>38</v>
      </c>
      <c r="G10" s="537">
        <v>46051</v>
      </c>
      <c r="H10" s="546" t="s">
        <v>482</v>
      </c>
      <c r="I10" s="546"/>
      <c r="J10" s="541"/>
      <c r="K10" s="543"/>
      <c r="L10" s="543"/>
      <c r="M10" s="539" t="s">
        <v>38</v>
      </c>
      <c r="N10" s="611">
        <v>46090</v>
      </c>
      <c r="O10" s="611">
        <v>46090</v>
      </c>
      <c r="P10" s="543" t="s">
        <v>1100</v>
      </c>
    </row>
    <row r="11" spans="1:16" ht="25.15" customHeight="1">
      <c r="A11" s="536">
        <v>8</v>
      </c>
      <c r="B11" s="541" t="s">
        <v>392</v>
      </c>
      <c r="C11" s="537" t="s">
        <v>393</v>
      </c>
      <c r="D11" s="537">
        <v>46044</v>
      </c>
      <c r="E11" s="538">
        <v>65.757000000000005</v>
      </c>
      <c r="F11" s="539" t="s">
        <v>38</v>
      </c>
      <c r="G11" s="537">
        <v>46052</v>
      </c>
      <c r="H11" s="546" t="s">
        <v>480</v>
      </c>
      <c r="I11" s="540" t="s">
        <v>1102</v>
      </c>
      <c r="J11" s="539"/>
      <c r="K11" s="539"/>
      <c r="L11" s="539"/>
      <c r="M11" s="539" t="s">
        <v>38</v>
      </c>
      <c r="N11" s="611">
        <v>46091</v>
      </c>
      <c r="O11" s="611">
        <v>46091</v>
      </c>
      <c r="P11" s="543" t="s">
        <v>1100</v>
      </c>
    </row>
    <row r="12" spans="1:16" ht="25.15" customHeight="1">
      <c r="A12" s="536">
        <v>9</v>
      </c>
      <c r="B12" s="541" t="s">
        <v>179</v>
      </c>
      <c r="C12" s="537" t="s">
        <v>354</v>
      </c>
      <c r="D12" s="537">
        <v>46049</v>
      </c>
      <c r="E12" s="538">
        <v>37.729999999999997</v>
      </c>
      <c r="F12" s="539" t="s">
        <v>38</v>
      </c>
      <c r="G12" s="537">
        <v>46053</v>
      </c>
      <c r="H12" s="542" t="s">
        <v>481</v>
      </c>
      <c r="I12" s="542"/>
      <c r="J12" s="541"/>
      <c r="K12" s="543"/>
      <c r="L12" s="543"/>
      <c r="M12" s="543"/>
      <c r="N12" s="543"/>
      <c r="O12" s="539"/>
      <c r="P12" s="543"/>
    </row>
    <row r="13" spans="1:16" ht="25.15" customHeight="1">
      <c r="A13" s="536">
        <v>11</v>
      </c>
      <c r="B13" s="541" t="s">
        <v>376</v>
      </c>
      <c r="C13" s="537" t="s">
        <v>377</v>
      </c>
      <c r="D13" s="537">
        <v>46054</v>
      </c>
      <c r="E13" s="538">
        <v>64.254000000000005</v>
      </c>
      <c r="F13" s="539" t="s">
        <v>38</v>
      </c>
      <c r="G13" s="537">
        <v>46060</v>
      </c>
      <c r="H13" s="546" t="s">
        <v>480</v>
      </c>
      <c r="I13" s="540" t="s">
        <v>1102</v>
      </c>
      <c r="J13" s="539"/>
      <c r="K13" s="539"/>
      <c r="L13" s="539"/>
      <c r="M13" s="539"/>
      <c r="N13" s="539"/>
      <c r="O13" s="543"/>
      <c r="P13" s="539"/>
    </row>
    <row r="14" spans="1:16" ht="25.15" customHeight="1">
      <c r="A14" s="536">
        <v>10</v>
      </c>
      <c r="B14" s="541" t="s">
        <v>396</v>
      </c>
      <c r="C14" s="537" t="s">
        <v>397</v>
      </c>
      <c r="D14" s="537">
        <v>46052</v>
      </c>
      <c r="E14" s="538">
        <v>65.757000000000005</v>
      </c>
      <c r="F14" s="539" t="s">
        <v>38</v>
      </c>
      <c r="G14" s="537">
        <v>46064</v>
      </c>
      <c r="H14" s="546" t="s">
        <v>482</v>
      </c>
      <c r="I14" s="546"/>
      <c r="J14" s="541"/>
      <c r="K14" s="543"/>
      <c r="L14" s="543"/>
      <c r="M14" s="543"/>
      <c r="N14" s="543"/>
      <c r="O14" s="543"/>
      <c r="P14" s="543"/>
    </row>
    <row r="15" spans="1:16" ht="25.15" customHeight="1">
      <c r="A15" s="536">
        <v>12</v>
      </c>
      <c r="B15" s="541" t="s">
        <v>394</v>
      </c>
      <c r="C15" s="537" t="s">
        <v>354</v>
      </c>
      <c r="D15" s="537">
        <v>46061</v>
      </c>
      <c r="E15" s="538">
        <v>37.729999999999997</v>
      </c>
      <c r="F15" s="539" t="s">
        <v>38</v>
      </c>
      <c r="G15" s="537">
        <v>46066</v>
      </c>
      <c r="H15" s="546" t="s">
        <v>480</v>
      </c>
      <c r="I15" s="540" t="s">
        <v>1102</v>
      </c>
      <c r="J15" s="541"/>
      <c r="K15" s="543"/>
      <c r="L15" s="543"/>
      <c r="M15" s="543"/>
      <c r="N15" s="543"/>
      <c r="O15" s="611"/>
      <c r="P15" s="543"/>
    </row>
    <row r="16" spans="1:16" ht="25.15" customHeight="1">
      <c r="A16" s="536">
        <v>13</v>
      </c>
      <c r="B16" s="541" t="s">
        <v>181</v>
      </c>
      <c r="C16" s="537" t="s">
        <v>354</v>
      </c>
      <c r="D16" s="537">
        <v>46066</v>
      </c>
      <c r="E16" s="538">
        <v>37.729999999999997</v>
      </c>
      <c r="F16" s="539" t="s">
        <v>38</v>
      </c>
      <c r="G16" s="537">
        <v>46070</v>
      </c>
      <c r="H16" s="546" t="s">
        <v>480</v>
      </c>
      <c r="I16" s="540" t="s">
        <v>1102</v>
      </c>
      <c r="J16" s="541"/>
      <c r="K16" s="543"/>
      <c r="L16" s="543"/>
      <c r="M16" s="539" t="s">
        <v>38</v>
      </c>
      <c r="N16" s="611">
        <v>46155</v>
      </c>
      <c r="O16" s="611">
        <v>46155</v>
      </c>
      <c r="P16" s="543" t="s">
        <v>1100</v>
      </c>
    </row>
    <row r="17" spans="1:20" ht="25.15" customHeight="1">
      <c r="A17" s="536">
        <v>14</v>
      </c>
      <c r="B17" s="541" t="s">
        <v>404</v>
      </c>
      <c r="C17" s="537" t="s">
        <v>377</v>
      </c>
      <c r="D17" s="537">
        <v>46065</v>
      </c>
      <c r="E17" s="538">
        <v>64.254000000000005</v>
      </c>
      <c r="F17" s="539" t="s">
        <v>38</v>
      </c>
      <c r="G17" s="537">
        <v>46073</v>
      </c>
      <c r="H17" s="546" t="s">
        <v>482</v>
      </c>
      <c r="I17" s="546"/>
      <c r="J17" s="547"/>
      <c r="K17" s="539"/>
      <c r="L17" s="539"/>
      <c r="M17" s="539"/>
      <c r="N17" s="539"/>
      <c r="O17" s="539"/>
      <c r="P17" s="539"/>
    </row>
    <row r="18" spans="1:20" ht="25.15" customHeight="1">
      <c r="A18" s="536">
        <v>15</v>
      </c>
      <c r="B18" s="541" t="s">
        <v>389</v>
      </c>
      <c r="C18" s="537" t="s">
        <v>354</v>
      </c>
      <c r="D18" s="537">
        <v>46071</v>
      </c>
      <c r="E18" s="538">
        <v>37.729999999999997</v>
      </c>
      <c r="F18" s="539" t="s">
        <v>38</v>
      </c>
      <c r="G18" s="537">
        <v>46075</v>
      </c>
      <c r="H18" s="546" t="s">
        <v>480</v>
      </c>
      <c r="I18" s="540" t="s">
        <v>1102</v>
      </c>
      <c r="J18" s="541"/>
      <c r="K18" s="543"/>
      <c r="L18" s="543"/>
      <c r="M18" s="539" t="s">
        <v>38</v>
      </c>
      <c r="N18" s="611">
        <v>46155</v>
      </c>
      <c r="O18" s="611">
        <v>46155</v>
      </c>
      <c r="P18" s="543" t="s">
        <v>1100</v>
      </c>
    </row>
    <row r="19" spans="1:20" ht="25.15" customHeight="1">
      <c r="A19" s="536">
        <v>16</v>
      </c>
      <c r="B19" s="541" t="s">
        <v>427</v>
      </c>
      <c r="C19" s="537" t="s">
        <v>354</v>
      </c>
      <c r="D19" s="537">
        <v>46076</v>
      </c>
      <c r="E19" s="538">
        <v>37.729999999999997</v>
      </c>
      <c r="F19" s="539" t="s">
        <v>38</v>
      </c>
      <c r="G19" s="537">
        <v>46080</v>
      </c>
      <c r="H19" s="546" t="s">
        <v>480</v>
      </c>
      <c r="I19" s="540" t="s">
        <v>1102</v>
      </c>
      <c r="J19" s="541"/>
      <c r="K19" s="543"/>
      <c r="L19" s="543"/>
      <c r="M19" s="539" t="s">
        <v>38</v>
      </c>
      <c r="N19" s="611">
        <v>46157</v>
      </c>
      <c r="O19" s="611">
        <v>46157</v>
      </c>
      <c r="P19" s="543" t="s">
        <v>1100</v>
      </c>
    </row>
    <row r="20" spans="1:20" ht="25.15" customHeight="1">
      <c r="A20" s="536">
        <v>17</v>
      </c>
      <c r="B20" s="541" t="s">
        <v>407</v>
      </c>
      <c r="C20" s="537" t="s">
        <v>354</v>
      </c>
      <c r="D20" s="537">
        <v>46075</v>
      </c>
      <c r="E20" s="538">
        <v>37.729999999999997</v>
      </c>
      <c r="F20" s="539" t="s">
        <v>38</v>
      </c>
      <c r="G20" s="537">
        <v>46081</v>
      </c>
      <c r="H20" s="546" t="s">
        <v>482</v>
      </c>
      <c r="I20" s="546"/>
      <c r="J20" s="541"/>
      <c r="K20" s="543"/>
      <c r="L20" s="543"/>
      <c r="M20" s="543"/>
      <c r="N20" s="543"/>
      <c r="O20" s="543"/>
      <c r="P20" s="543"/>
    </row>
    <row r="21" spans="1:20" ht="25.15" customHeight="1">
      <c r="A21" s="536">
        <v>18</v>
      </c>
      <c r="B21" s="541" t="s">
        <v>375</v>
      </c>
      <c r="C21" s="537" t="s">
        <v>361</v>
      </c>
      <c r="D21" s="537">
        <v>46080</v>
      </c>
      <c r="E21" s="545">
        <v>39.457999999999998</v>
      </c>
      <c r="F21" s="539" t="s">
        <v>38</v>
      </c>
      <c r="G21" s="537">
        <v>46086</v>
      </c>
      <c r="H21" s="546" t="s">
        <v>480</v>
      </c>
      <c r="I21" s="540" t="s">
        <v>1102</v>
      </c>
      <c r="J21" s="541"/>
      <c r="K21" s="543"/>
      <c r="L21" s="543"/>
      <c r="M21" s="539" t="s">
        <v>38</v>
      </c>
      <c r="N21" s="611">
        <v>46155</v>
      </c>
      <c r="O21" s="611">
        <v>46155</v>
      </c>
      <c r="P21" s="543" t="s">
        <v>1100</v>
      </c>
    </row>
    <row r="22" spans="1:20" ht="25.15" customHeight="1">
      <c r="A22" s="536">
        <v>19</v>
      </c>
      <c r="B22" s="541" t="s">
        <v>401</v>
      </c>
      <c r="C22" s="537" t="s">
        <v>361</v>
      </c>
      <c r="D22" s="537">
        <v>46082</v>
      </c>
      <c r="E22" s="545">
        <v>39.457999999999998</v>
      </c>
      <c r="F22" s="539" t="s">
        <v>38</v>
      </c>
      <c r="G22" s="537">
        <v>46090</v>
      </c>
      <c r="H22" s="546" t="s">
        <v>482</v>
      </c>
      <c r="I22" s="546"/>
      <c r="J22" s="541"/>
      <c r="K22" s="543"/>
      <c r="L22" s="543"/>
      <c r="M22" s="543"/>
      <c r="N22" s="543"/>
      <c r="O22" s="543"/>
      <c r="P22" s="543"/>
    </row>
    <row r="23" spans="1:20" ht="25.15" customHeight="1">
      <c r="A23" s="536">
        <v>20</v>
      </c>
      <c r="B23" s="541" t="s">
        <v>178</v>
      </c>
      <c r="C23" s="537" t="s">
        <v>403</v>
      </c>
      <c r="D23" s="537">
        <v>46089</v>
      </c>
      <c r="E23" s="538">
        <v>44.726999999999997</v>
      </c>
      <c r="F23" s="539" t="s">
        <v>38</v>
      </c>
      <c r="G23" s="537">
        <v>46097</v>
      </c>
      <c r="H23" s="546" t="s">
        <v>480</v>
      </c>
      <c r="I23" s="540" t="s">
        <v>1102</v>
      </c>
      <c r="J23" s="541"/>
      <c r="K23" s="543"/>
      <c r="L23" s="543"/>
      <c r="M23" s="543"/>
      <c r="N23" s="543"/>
      <c r="O23" s="543"/>
      <c r="P23" s="543"/>
    </row>
    <row r="24" spans="1:20" ht="25.15" customHeight="1">
      <c r="A24" s="536">
        <v>21</v>
      </c>
      <c r="B24" s="541" t="s">
        <v>416</v>
      </c>
      <c r="C24" s="537" t="s">
        <v>354</v>
      </c>
      <c r="D24" s="537">
        <v>46091</v>
      </c>
      <c r="E24" s="538">
        <v>37.729999999999997</v>
      </c>
      <c r="F24" s="539" t="s">
        <v>38</v>
      </c>
      <c r="G24" s="537">
        <v>46098</v>
      </c>
      <c r="H24" s="546" t="s">
        <v>482</v>
      </c>
      <c r="I24" s="546"/>
      <c r="J24" s="541"/>
      <c r="K24" s="543"/>
      <c r="L24" s="543"/>
      <c r="M24" s="543"/>
      <c r="N24" s="543"/>
      <c r="O24" s="548"/>
      <c r="P24" s="543"/>
    </row>
    <row r="25" spans="1:20" ht="25.15" customHeight="1">
      <c r="A25" s="536">
        <v>22</v>
      </c>
      <c r="B25" s="541" t="s">
        <v>141</v>
      </c>
      <c r="C25" s="541" t="s">
        <v>306</v>
      </c>
      <c r="D25" s="537">
        <v>46097</v>
      </c>
      <c r="E25" s="538">
        <v>72.233999999999995</v>
      </c>
      <c r="F25" s="539" t="s">
        <v>38</v>
      </c>
      <c r="G25" s="537">
        <v>46105</v>
      </c>
      <c r="H25" s="546" t="s">
        <v>480</v>
      </c>
      <c r="I25" s="540" t="s">
        <v>1102</v>
      </c>
      <c r="J25" s="541"/>
      <c r="K25" s="543"/>
      <c r="L25" s="536"/>
      <c r="M25" s="541"/>
      <c r="N25" s="541"/>
      <c r="O25" s="543"/>
      <c r="P25" s="538"/>
      <c r="Q25" s="612"/>
      <c r="R25" s="613"/>
      <c r="S25" s="614"/>
      <c r="T25" s="113"/>
    </row>
    <row r="26" spans="1:20" ht="25.15" customHeight="1">
      <c r="A26" s="536">
        <v>23</v>
      </c>
      <c r="B26" s="541" t="s">
        <v>425</v>
      </c>
      <c r="C26" s="537" t="s">
        <v>403</v>
      </c>
      <c r="D26" s="537">
        <v>46098</v>
      </c>
      <c r="E26" s="538">
        <v>44.726999999999997</v>
      </c>
      <c r="F26" s="539" t="s">
        <v>38</v>
      </c>
      <c r="G26" s="537">
        <v>46107</v>
      </c>
      <c r="H26" s="546" t="s">
        <v>482</v>
      </c>
      <c r="I26" s="546"/>
      <c r="J26" s="541"/>
      <c r="K26" s="543"/>
      <c r="L26" s="543"/>
      <c r="M26" s="543"/>
      <c r="N26" s="543"/>
      <c r="O26" s="543"/>
      <c r="P26" s="543"/>
    </row>
    <row r="27" spans="1:20" ht="25.15" customHeight="1">
      <c r="A27" s="536">
        <v>24</v>
      </c>
      <c r="B27" s="541" t="s">
        <v>415</v>
      </c>
      <c r="C27" s="537" t="s">
        <v>304</v>
      </c>
      <c r="D27" s="537">
        <v>46105</v>
      </c>
      <c r="E27" s="538">
        <v>54.417999999999999</v>
      </c>
      <c r="F27" s="539" t="s">
        <v>38</v>
      </c>
      <c r="G27" s="537">
        <v>46111</v>
      </c>
      <c r="H27" s="546" t="s">
        <v>480</v>
      </c>
      <c r="I27" s="540" t="s">
        <v>1102</v>
      </c>
      <c r="J27" s="541"/>
      <c r="K27" s="543"/>
      <c r="L27" s="541"/>
      <c r="M27" s="539" t="s">
        <v>38</v>
      </c>
      <c r="N27" s="611">
        <v>46161</v>
      </c>
      <c r="O27" s="611">
        <v>46161</v>
      </c>
      <c r="P27" s="543" t="s">
        <v>1100</v>
      </c>
      <c r="Q27" s="615"/>
      <c r="R27" s="113"/>
      <c r="S27" s="615"/>
      <c r="T27" s="113"/>
    </row>
    <row r="28" spans="1:20" ht="25.15" customHeight="1">
      <c r="A28" s="536">
        <v>25</v>
      </c>
      <c r="B28" s="541" t="s">
        <v>412</v>
      </c>
      <c r="C28" s="537" t="s">
        <v>354</v>
      </c>
      <c r="D28" s="537">
        <v>46107</v>
      </c>
      <c r="E28" s="538">
        <v>37.729999999999997</v>
      </c>
      <c r="F28" s="539" t="s">
        <v>38</v>
      </c>
      <c r="G28" s="537">
        <v>46112</v>
      </c>
      <c r="H28" s="546" t="s">
        <v>482</v>
      </c>
      <c r="I28" s="546"/>
      <c r="J28" s="541"/>
      <c r="K28" s="543"/>
      <c r="L28" s="543"/>
      <c r="M28" s="543"/>
      <c r="N28" s="543"/>
      <c r="O28" s="611"/>
      <c r="P28" s="543"/>
    </row>
    <row r="29" spans="1:20" ht="25.15" customHeight="1">
      <c r="A29" s="536">
        <v>26</v>
      </c>
      <c r="B29" s="541" t="s">
        <v>423</v>
      </c>
      <c r="C29" s="537" t="s">
        <v>306</v>
      </c>
      <c r="D29" s="537">
        <v>46114</v>
      </c>
      <c r="E29" s="539">
        <v>72.233999999999995</v>
      </c>
      <c r="F29" s="539" t="s">
        <v>38</v>
      </c>
      <c r="G29" s="537">
        <v>46121</v>
      </c>
      <c r="H29" s="542" t="s">
        <v>480</v>
      </c>
      <c r="I29" s="540" t="s">
        <v>1102</v>
      </c>
      <c r="J29" s="541"/>
      <c r="K29" s="543"/>
      <c r="L29" s="543"/>
      <c r="M29" s="539" t="s">
        <v>38</v>
      </c>
      <c r="N29" s="611">
        <v>46158</v>
      </c>
      <c r="O29" s="611">
        <v>46158</v>
      </c>
      <c r="P29" s="543" t="s">
        <v>1100</v>
      </c>
    </row>
    <row r="30" spans="1:20" ht="25.15" customHeight="1">
      <c r="A30" s="536">
        <v>27</v>
      </c>
      <c r="B30" s="541" t="s">
        <v>409</v>
      </c>
      <c r="C30" s="541" t="s">
        <v>354</v>
      </c>
      <c r="D30" s="537">
        <v>46121</v>
      </c>
      <c r="E30" s="538">
        <v>37.795999999999999</v>
      </c>
      <c r="F30" s="539" t="s">
        <v>38</v>
      </c>
      <c r="G30" s="537">
        <v>46127</v>
      </c>
      <c r="H30" s="542" t="s">
        <v>480</v>
      </c>
      <c r="I30" s="540" t="s">
        <v>1102</v>
      </c>
      <c r="J30" s="541"/>
      <c r="K30" s="543"/>
      <c r="L30" s="543"/>
      <c r="M30" s="539" t="s">
        <v>38</v>
      </c>
      <c r="N30" s="611">
        <v>46159</v>
      </c>
      <c r="O30" s="611">
        <v>46159</v>
      </c>
      <c r="P30" s="543" t="s">
        <v>1100</v>
      </c>
    </row>
    <row r="31" spans="1:20" ht="25.15" customHeight="1">
      <c r="A31" s="536">
        <v>28</v>
      </c>
      <c r="B31" s="541" t="s">
        <v>434</v>
      </c>
      <c r="C31" s="541" t="s">
        <v>354</v>
      </c>
      <c r="D31" s="537">
        <v>46127</v>
      </c>
      <c r="E31" s="538">
        <v>37.795999999999999</v>
      </c>
      <c r="F31" s="539" t="s">
        <v>38</v>
      </c>
      <c r="G31" s="537">
        <v>46133</v>
      </c>
      <c r="H31" s="542" t="s">
        <v>480</v>
      </c>
      <c r="I31" s="540" t="s">
        <v>1102</v>
      </c>
      <c r="J31" s="541"/>
      <c r="K31" s="543"/>
      <c r="L31" s="543"/>
      <c r="M31" s="539" t="s">
        <v>38</v>
      </c>
      <c r="N31" s="611">
        <v>46160</v>
      </c>
      <c r="O31" s="611">
        <v>46160</v>
      </c>
      <c r="P31" s="543" t="s">
        <v>1100</v>
      </c>
    </row>
    <row r="32" spans="1:20" ht="25.15" customHeight="1">
      <c r="A32" s="536">
        <v>29</v>
      </c>
      <c r="B32" s="541" t="s">
        <v>410</v>
      </c>
      <c r="C32" s="541" t="s">
        <v>354</v>
      </c>
      <c r="D32" s="537">
        <v>46134</v>
      </c>
      <c r="E32" s="538">
        <v>37.795999999999999</v>
      </c>
      <c r="F32" s="539" t="s">
        <v>38</v>
      </c>
      <c r="G32" s="537">
        <v>46141</v>
      </c>
      <c r="H32" s="546" t="s">
        <v>480</v>
      </c>
      <c r="I32" s="540" t="s">
        <v>1102</v>
      </c>
      <c r="J32" s="541"/>
      <c r="K32" s="543"/>
      <c r="L32" s="543"/>
      <c r="M32" s="539" t="s">
        <v>38</v>
      </c>
      <c r="N32" s="611">
        <v>46160</v>
      </c>
      <c r="O32" s="611">
        <v>46160</v>
      </c>
      <c r="P32" s="543" t="s">
        <v>1100</v>
      </c>
    </row>
    <row r="33" spans="1:16" s="553" customFormat="1" ht="25.15" customHeight="1">
      <c r="A33" s="536">
        <v>30</v>
      </c>
      <c r="B33" s="541" t="s">
        <v>408</v>
      </c>
      <c r="C33" s="541" t="s">
        <v>354</v>
      </c>
      <c r="D33" s="537">
        <v>46142</v>
      </c>
      <c r="E33" s="538">
        <v>37.795999999999999</v>
      </c>
      <c r="F33" s="539" t="s">
        <v>38</v>
      </c>
      <c r="G33" s="537">
        <v>46148</v>
      </c>
      <c r="H33" s="546" t="s">
        <v>480</v>
      </c>
      <c r="I33" s="546" t="s">
        <v>1102</v>
      </c>
      <c r="J33" s="541"/>
      <c r="K33" s="543"/>
      <c r="L33" s="543"/>
      <c r="M33" s="539" t="s">
        <v>38</v>
      </c>
      <c r="N33" s="611">
        <v>46163</v>
      </c>
      <c r="O33" s="611">
        <v>46163</v>
      </c>
      <c r="P33" s="543" t="s">
        <v>1100</v>
      </c>
    </row>
    <row r="34" spans="1:16" s="553" customFormat="1" ht="25.15" customHeight="1">
      <c r="A34" s="536">
        <v>31</v>
      </c>
      <c r="B34" s="541" t="s">
        <v>387</v>
      </c>
      <c r="C34" s="541" t="s">
        <v>354</v>
      </c>
      <c r="D34" s="537">
        <v>46145</v>
      </c>
      <c r="E34" s="538">
        <v>37.795999999999999</v>
      </c>
      <c r="F34" s="539" t="s">
        <v>38</v>
      </c>
      <c r="G34" s="537">
        <v>46149</v>
      </c>
      <c r="H34" s="546" t="s">
        <v>483</v>
      </c>
      <c r="I34" s="546"/>
      <c r="J34" s="541"/>
      <c r="K34" s="543"/>
      <c r="L34" s="543"/>
      <c r="M34" s="543"/>
      <c r="N34" s="543"/>
      <c r="O34" s="543"/>
      <c r="P34" s="543"/>
    </row>
    <row r="35" spans="1:16" s="553" customFormat="1" ht="25.15" customHeight="1">
      <c r="A35" s="536">
        <v>32</v>
      </c>
      <c r="B35" s="541" t="s">
        <v>426</v>
      </c>
      <c r="C35" s="541" t="s">
        <v>354</v>
      </c>
      <c r="D35" s="537">
        <v>46149</v>
      </c>
      <c r="E35" s="538">
        <v>37.795999999999999</v>
      </c>
      <c r="F35" s="539" t="s">
        <v>38</v>
      </c>
      <c r="G35" s="537">
        <v>46155</v>
      </c>
      <c r="H35" s="546" t="s">
        <v>480</v>
      </c>
      <c r="I35" s="540" t="s">
        <v>1102</v>
      </c>
      <c r="J35" s="541"/>
      <c r="K35" s="543"/>
      <c r="L35" s="543"/>
      <c r="M35" s="539" t="s">
        <v>38</v>
      </c>
      <c r="N35" s="611">
        <v>46162</v>
      </c>
      <c r="O35" s="611">
        <v>46162</v>
      </c>
      <c r="P35" s="543" t="s">
        <v>1100</v>
      </c>
    </row>
    <row r="36" spans="1:16" s="553" customFormat="1" ht="25.15" customHeight="1">
      <c r="A36" s="536">
        <v>33</v>
      </c>
      <c r="B36" s="541" t="s">
        <v>390</v>
      </c>
      <c r="C36" s="541" t="s">
        <v>354</v>
      </c>
      <c r="D36" s="537">
        <v>46150</v>
      </c>
      <c r="E36" s="538">
        <v>37.795999999999999</v>
      </c>
      <c r="F36" s="539" t="s">
        <v>38</v>
      </c>
      <c r="G36" s="537">
        <v>46154</v>
      </c>
      <c r="H36" s="546" t="s">
        <v>483</v>
      </c>
      <c r="I36" s="546"/>
      <c r="J36" s="541" t="s">
        <v>67</v>
      </c>
      <c r="K36" s="543"/>
      <c r="L36" s="543"/>
      <c r="M36" s="543"/>
      <c r="N36" s="543"/>
      <c r="O36" s="543"/>
      <c r="P36" s="543"/>
    </row>
    <row r="37" spans="1:16" s="553" customFormat="1" ht="25.15" customHeight="1">
      <c r="A37" s="536">
        <v>34</v>
      </c>
      <c r="B37" s="541" t="s">
        <v>391</v>
      </c>
      <c r="C37" s="541" t="s">
        <v>354</v>
      </c>
      <c r="D37" s="537">
        <v>46155</v>
      </c>
      <c r="E37" s="538">
        <v>37.795999999999999</v>
      </c>
      <c r="F37" s="539" t="s">
        <v>38</v>
      </c>
      <c r="G37" s="537">
        <v>46159</v>
      </c>
      <c r="H37" s="546" t="s">
        <v>483</v>
      </c>
      <c r="I37" s="546"/>
      <c r="J37" s="541"/>
      <c r="K37" s="543"/>
      <c r="L37" s="543"/>
      <c r="M37" s="543"/>
      <c r="N37" s="543"/>
      <c r="O37" s="543"/>
      <c r="P37" s="543"/>
    </row>
    <row r="38" spans="1:16" s="553" customFormat="1" ht="25.15" customHeight="1">
      <c r="A38" s="536">
        <v>35</v>
      </c>
      <c r="B38" s="541" t="s">
        <v>421</v>
      </c>
      <c r="C38" s="541" t="s">
        <v>400</v>
      </c>
      <c r="D38" s="537">
        <v>46156</v>
      </c>
      <c r="E38" s="538">
        <v>36.043999999999997</v>
      </c>
      <c r="F38" s="539" t="s">
        <v>38</v>
      </c>
      <c r="G38" s="537">
        <v>46160</v>
      </c>
      <c r="H38" s="546" t="s">
        <v>480</v>
      </c>
      <c r="I38" s="540" t="s">
        <v>1102</v>
      </c>
      <c r="J38" s="541"/>
      <c r="K38" s="543"/>
      <c r="L38" s="543"/>
      <c r="M38" s="543"/>
      <c r="N38" s="543"/>
      <c r="O38" s="543"/>
      <c r="P38" s="543"/>
    </row>
    <row r="39" spans="1:16" s="553" customFormat="1" ht="25.15" customHeight="1">
      <c r="A39" s="536">
        <v>36</v>
      </c>
      <c r="B39" s="541" t="s">
        <v>140</v>
      </c>
      <c r="C39" s="541" t="s">
        <v>361</v>
      </c>
      <c r="D39" s="537">
        <v>46151</v>
      </c>
      <c r="E39" s="538">
        <v>39.457999999999998</v>
      </c>
      <c r="F39" s="539" t="s">
        <v>38</v>
      </c>
      <c r="G39" s="537">
        <v>46163</v>
      </c>
      <c r="H39" s="546" t="s">
        <v>482</v>
      </c>
      <c r="I39" s="546"/>
      <c r="J39" s="541" t="s">
        <v>67</v>
      </c>
      <c r="K39" s="543"/>
      <c r="L39" s="543"/>
      <c r="M39" s="543"/>
      <c r="N39" s="543"/>
      <c r="O39" s="543"/>
      <c r="P39" s="543"/>
    </row>
    <row r="40" spans="1:16" s="553" customFormat="1" ht="30.75" customHeight="1">
      <c r="A40" s="536">
        <v>37</v>
      </c>
      <c r="B40" s="541" t="s">
        <v>414</v>
      </c>
      <c r="C40" s="541" t="s">
        <v>400</v>
      </c>
      <c r="D40" s="537">
        <v>46160</v>
      </c>
      <c r="E40" s="538">
        <v>36.043999999999997</v>
      </c>
      <c r="F40" s="539" t="s">
        <v>38</v>
      </c>
      <c r="G40" s="537">
        <v>46164</v>
      </c>
      <c r="H40" s="546" t="s">
        <v>480</v>
      </c>
      <c r="I40" s="540" t="s">
        <v>1102</v>
      </c>
      <c r="J40" s="541" t="s">
        <v>67</v>
      </c>
      <c r="K40" s="543"/>
      <c r="L40" s="543"/>
      <c r="M40" s="543"/>
      <c r="N40" s="543"/>
      <c r="O40" s="543"/>
      <c r="P40" s="543"/>
    </row>
    <row r="41" spans="1:16" ht="30.75" customHeight="1">
      <c r="A41" s="536">
        <v>38</v>
      </c>
      <c r="B41" s="541" t="s">
        <v>429</v>
      </c>
      <c r="C41" s="541" t="s">
        <v>334</v>
      </c>
      <c r="D41" s="537">
        <v>46161</v>
      </c>
      <c r="E41" s="538">
        <v>64.254000000000005</v>
      </c>
      <c r="F41" s="539" t="s">
        <v>38</v>
      </c>
      <c r="G41" s="537">
        <v>46167</v>
      </c>
      <c r="H41" s="546" t="s">
        <v>483</v>
      </c>
      <c r="I41" s="546"/>
      <c r="J41" s="541" t="s">
        <v>67</v>
      </c>
      <c r="K41" s="543"/>
      <c r="L41" s="543"/>
      <c r="M41" s="543"/>
      <c r="N41" s="543"/>
      <c r="O41" s="543"/>
      <c r="P41" s="543"/>
    </row>
    <row r="42" spans="1:16" ht="30.75" customHeight="1">
      <c r="A42" s="536">
        <v>39</v>
      </c>
      <c r="B42" s="541" t="s">
        <v>422</v>
      </c>
      <c r="C42" s="541" t="s">
        <v>304</v>
      </c>
      <c r="D42" s="537">
        <v>46165</v>
      </c>
      <c r="E42" s="538">
        <v>54.417999999999999</v>
      </c>
      <c r="F42" s="539" t="s">
        <v>38</v>
      </c>
      <c r="G42" s="537">
        <v>46170</v>
      </c>
      <c r="H42" s="546" t="s">
        <v>480</v>
      </c>
      <c r="I42" s="546"/>
      <c r="J42" s="541" t="s">
        <v>67</v>
      </c>
      <c r="K42" s="543"/>
      <c r="L42" s="543"/>
      <c r="M42" s="543"/>
      <c r="N42" s="543"/>
      <c r="O42" s="543"/>
      <c r="P42" s="543"/>
    </row>
    <row r="43" spans="1:16" ht="30.75" customHeight="1">
      <c r="A43" s="536">
        <v>40</v>
      </c>
      <c r="B43" s="541" t="s">
        <v>368</v>
      </c>
      <c r="C43" s="541" t="s">
        <v>354</v>
      </c>
      <c r="D43" s="537">
        <v>46164</v>
      </c>
      <c r="E43" s="538">
        <v>37.795999999999999</v>
      </c>
      <c r="F43" s="539" t="s">
        <v>38</v>
      </c>
      <c r="G43" s="537">
        <v>46172</v>
      </c>
      <c r="H43" s="546" t="s">
        <v>482</v>
      </c>
      <c r="I43" s="546"/>
      <c r="J43" s="541" t="s">
        <v>67</v>
      </c>
      <c r="K43" s="543"/>
      <c r="L43" s="543"/>
      <c r="M43" s="543"/>
      <c r="N43" s="543"/>
      <c r="O43" s="543"/>
      <c r="P43" s="543"/>
    </row>
    <row r="44" spans="1:16" ht="30.75" customHeight="1">
      <c r="A44" s="536">
        <v>41</v>
      </c>
      <c r="B44" s="541" t="s">
        <v>374</v>
      </c>
      <c r="C44" s="541" t="s">
        <v>302</v>
      </c>
      <c r="D44" s="537">
        <v>46170</v>
      </c>
      <c r="E44" s="538">
        <v>80.254999999999995</v>
      </c>
      <c r="F44" s="539" t="s">
        <v>38</v>
      </c>
      <c r="G44" s="537">
        <v>46177</v>
      </c>
      <c r="H44" s="546" t="s">
        <v>483</v>
      </c>
      <c r="I44" s="546"/>
      <c r="J44" s="541" t="s">
        <v>67</v>
      </c>
      <c r="K44" s="543"/>
      <c r="L44" s="543"/>
      <c r="M44" s="543"/>
      <c r="N44" s="543"/>
      <c r="O44" s="543"/>
      <c r="P44" s="543"/>
    </row>
    <row r="45" spans="1:16" ht="30.75" customHeight="1">
      <c r="A45" s="536">
        <v>42</v>
      </c>
      <c r="B45" s="541" t="s">
        <v>378</v>
      </c>
      <c r="C45" s="541" t="s">
        <v>339</v>
      </c>
      <c r="D45" s="537">
        <v>46171</v>
      </c>
      <c r="E45" s="538">
        <v>54.417999999999999</v>
      </c>
      <c r="F45" s="539" t="s">
        <v>38</v>
      </c>
      <c r="G45" s="537">
        <v>46177</v>
      </c>
      <c r="H45" s="546" t="s">
        <v>480</v>
      </c>
      <c r="I45" s="546"/>
      <c r="J45" s="541" t="s">
        <v>67</v>
      </c>
      <c r="K45" s="543"/>
      <c r="L45" s="543"/>
      <c r="M45" s="543"/>
      <c r="N45" s="543"/>
      <c r="O45" s="543"/>
      <c r="P45" s="543"/>
    </row>
    <row r="46" spans="1:16" ht="30.75" customHeight="1">
      <c r="A46" s="536">
        <v>43</v>
      </c>
      <c r="B46" s="541" t="s">
        <v>138</v>
      </c>
      <c r="C46" s="541" t="s">
        <v>354</v>
      </c>
      <c r="D46" s="537">
        <v>46173</v>
      </c>
      <c r="E46" s="538">
        <v>37.795999999999999</v>
      </c>
      <c r="F46" s="539" t="s">
        <v>38</v>
      </c>
      <c r="G46" s="537">
        <v>46181</v>
      </c>
      <c r="H46" s="546" t="s">
        <v>482</v>
      </c>
      <c r="I46" s="546"/>
      <c r="J46" s="541" t="s">
        <v>67</v>
      </c>
      <c r="K46" s="543"/>
      <c r="L46" s="543"/>
      <c r="M46" s="543"/>
      <c r="N46" s="543"/>
      <c r="O46" s="543"/>
      <c r="P46" s="543"/>
    </row>
    <row r="47" spans="1:16" ht="30.75" customHeight="1">
      <c r="A47" s="536">
        <v>44</v>
      </c>
      <c r="B47" s="541" t="s">
        <v>381</v>
      </c>
      <c r="C47" s="541" t="s">
        <v>354</v>
      </c>
      <c r="D47" s="537">
        <v>46178</v>
      </c>
      <c r="E47" s="538">
        <v>37.795999999999999</v>
      </c>
      <c r="F47" s="539" t="s">
        <v>1103</v>
      </c>
      <c r="G47" s="537">
        <v>46182</v>
      </c>
      <c r="H47" s="546" t="s">
        <v>480</v>
      </c>
      <c r="I47" s="546"/>
      <c r="J47" s="541">
        <v>33</v>
      </c>
      <c r="K47" s="543"/>
      <c r="L47" s="543"/>
      <c r="M47" s="543"/>
      <c r="N47" s="543"/>
      <c r="O47" s="543"/>
      <c r="P47" s="543"/>
    </row>
    <row r="48" spans="1:16" s="553" customFormat="1" ht="24.75" customHeight="1">
      <c r="A48" s="556">
        <v>45</v>
      </c>
      <c r="B48" s="549" t="s">
        <v>373</v>
      </c>
      <c r="C48" s="549" t="s">
        <v>302</v>
      </c>
      <c r="D48" s="557">
        <v>46178</v>
      </c>
      <c r="E48" s="549">
        <v>80.254999999999995</v>
      </c>
      <c r="F48" s="587" t="s">
        <v>1106</v>
      </c>
      <c r="G48" s="256"/>
      <c r="H48" s="551" t="s">
        <v>483</v>
      </c>
      <c r="I48" s="551"/>
      <c r="J48" s="550">
        <v>30</v>
      </c>
      <c r="K48" s="551"/>
      <c r="L48" s="551"/>
      <c r="M48" s="551"/>
      <c r="N48" s="551"/>
      <c r="O48" s="551"/>
      <c r="P48" s="551"/>
    </row>
    <row r="49" spans="1:16" s="553" customFormat="1" ht="25.15" customHeight="1">
      <c r="A49" s="556">
        <v>46</v>
      </c>
      <c r="B49" s="549"/>
      <c r="C49" s="549"/>
      <c r="D49" s="557"/>
      <c r="E49" s="560"/>
      <c r="F49" s="558"/>
      <c r="G49" s="256"/>
      <c r="H49" s="551"/>
      <c r="I49" s="551"/>
      <c r="J49" s="550"/>
      <c r="K49" s="551"/>
      <c r="L49" s="551"/>
      <c r="M49" s="551"/>
      <c r="N49" s="551"/>
      <c r="O49" s="551"/>
      <c r="P49" s="551"/>
    </row>
    <row r="50" spans="1:16" s="553" customFormat="1" ht="93.75" customHeight="1">
      <c r="A50" s="556"/>
      <c r="B50" s="549"/>
      <c r="C50" s="549"/>
      <c r="D50" s="557"/>
      <c r="E50" s="552"/>
      <c r="F50" s="558"/>
      <c r="G50" s="256"/>
      <c r="H50" s="551"/>
      <c r="I50" s="551"/>
      <c r="J50" s="550"/>
      <c r="K50" s="551"/>
      <c r="L50" s="551"/>
      <c r="M50" s="551"/>
      <c r="N50" s="551"/>
      <c r="O50" s="551"/>
      <c r="P50" s="551"/>
    </row>
    <row r="51" spans="1:16" s="553" customFormat="1" ht="25.15" customHeight="1">
      <c r="A51" s="556"/>
      <c r="B51" s="549"/>
      <c r="C51" s="549"/>
      <c r="D51" s="557"/>
      <c r="E51" s="552"/>
      <c r="F51" s="558"/>
      <c r="G51" s="256"/>
      <c r="H51" s="551"/>
      <c r="I51" s="551"/>
      <c r="J51" s="550"/>
      <c r="K51" s="551"/>
      <c r="L51" s="551"/>
      <c r="M51" s="551"/>
      <c r="N51" s="551"/>
      <c r="O51" s="551"/>
      <c r="P51" s="551"/>
    </row>
    <row r="52" spans="1:16" s="553" customFormat="1" ht="25.15" customHeight="1">
      <c r="A52" s="556"/>
      <c r="B52" s="549"/>
      <c r="C52" s="549"/>
      <c r="D52" s="557"/>
      <c r="E52" s="555"/>
      <c r="F52" s="558"/>
      <c r="G52" s="256"/>
      <c r="H52" s="551"/>
      <c r="I52" s="551"/>
      <c r="J52" s="550"/>
      <c r="K52" s="551"/>
      <c r="L52" s="551"/>
      <c r="M52" s="551"/>
      <c r="N52" s="551"/>
      <c r="O52" s="551"/>
      <c r="P52" s="551"/>
    </row>
    <row r="53" spans="1:16" s="553" customFormat="1" ht="25.15" customHeight="1">
      <c r="A53" s="556"/>
      <c r="B53" s="549"/>
      <c r="C53" s="549"/>
      <c r="D53" s="557"/>
      <c r="E53" s="555"/>
      <c r="F53" s="558"/>
      <c r="G53" s="256"/>
      <c r="H53" s="551"/>
      <c r="I53" s="551"/>
      <c r="J53" s="550"/>
      <c r="K53" s="551"/>
      <c r="L53" s="561"/>
      <c r="M53" s="551"/>
      <c r="N53" s="551"/>
      <c r="O53" s="551"/>
      <c r="P53" s="551"/>
    </row>
    <row r="54" spans="1:16" s="553" customFormat="1" ht="25.15" customHeight="1">
      <c r="A54" s="556"/>
      <c r="B54" s="549"/>
      <c r="C54" s="549"/>
      <c r="D54" s="557"/>
      <c r="E54" s="549"/>
      <c r="F54" s="558"/>
      <c r="G54" s="256"/>
      <c r="H54" s="554"/>
      <c r="I54" s="554"/>
      <c r="J54" s="550"/>
      <c r="K54" s="551"/>
      <c r="L54" s="551"/>
      <c r="M54" s="551"/>
      <c r="N54" s="551"/>
      <c r="O54" s="551"/>
      <c r="P54" s="551"/>
    </row>
    <row r="55" spans="1:16" s="553" customFormat="1" ht="25.15" customHeight="1">
      <c r="A55" s="556"/>
      <c r="B55" s="549"/>
      <c r="C55" s="549"/>
      <c r="D55" s="557"/>
      <c r="E55" s="549"/>
      <c r="F55" s="558"/>
      <c r="G55" s="256"/>
      <c r="H55" s="554"/>
      <c r="I55" s="554"/>
      <c r="J55" s="550"/>
      <c r="K55" s="551"/>
      <c r="L55" s="551"/>
      <c r="M55" s="551"/>
      <c r="N55" s="551"/>
      <c r="O55" s="551"/>
      <c r="P55" s="551"/>
    </row>
    <row r="56" spans="1:16" s="553" customFormat="1" ht="25.15" customHeight="1">
      <c r="A56" s="556"/>
      <c r="B56" s="549"/>
      <c r="C56" s="549"/>
      <c r="D56" s="557"/>
      <c r="E56" s="549"/>
      <c r="F56" s="558"/>
      <c r="G56" s="256"/>
      <c r="H56" s="554"/>
      <c r="I56" s="554"/>
      <c r="J56" s="550"/>
      <c r="K56" s="551"/>
      <c r="L56" s="551"/>
      <c r="M56" s="551"/>
      <c r="N56" s="551"/>
      <c r="O56" s="551"/>
      <c r="P56" s="551"/>
    </row>
    <row r="57" spans="1:16" s="553" customFormat="1" ht="25.15" customHeight="1">
      <c r="A57" s="556"/>
      <c r="B57" s="549"/>
      <c r="C57" s="549"/>
      <c r="D57" s="557"/>
      <c r="E57" s="552"/>
      <c r="F57" s="558"/>
      <c r="G57" s="256"/>
      <c r="H57" s="554"/>
      <c r="I57" s="554"/>
      <c r="J57" s="550"/>
      <c r="K57" s="551"/>
      <c r="L57" s="551"/>
      <c r="M57" s="551"/>
      <c r="N57" s="551"/>
      <c r="O57" s="551"/>
      <c r="P57" s="551"/>
    </row>
    <row r="58" spans="1:16" s="553" customFormat="1" ht="25.15" customHeight="1">
      <c r="A58" s="556"/>
      <c r="B58" s="549"/>
      <c r="C58" s="549"/>
      <c r="D58" s="557"/>
      <c r="E58" s="555"/>
      <c r="F58" s="558"/>
      <c r="G58" s="256"/>
      <c r="H58" s="554"/>
      <c r="I58" s="554"/>
      <c r="J58" s="550"/>
      <c r="K58" s="551"/>
      <c r="L58" s="551"/>
      <c r="M58" s="551"/>
      <c r="N58" s="551"/>
      <c r="O58" s="551"/>
      <c r="P58" s="551"/>
    </row>
    <row r="59" spans="1:16" s="553" customFormat="1" ht="25.15" customHeight="1">
      <c r="A59" s="556"/>
      <c r="B59" s="549"/>
      <c r="C59" s="549"/>
      <c r="D59" s="557"/>
      <c r="E59" s="560"/>
      <c r="F59" s="558"/>
      <c r="G59" s="256"/>
      <c r="H59" s="554"/>
      <c r="I59" s="554"/>
      <c r="J59" s="550"/>
      <c r="K59" s="551"/>
      <c r="L59" s="551"/>
      <c r="M59" s="551"/>
      <c r="N59" s="551"/>
      <c r="O59" s="551"/>
      <c r="P59" s="551"/>
    </row>
    <row r="60" spans="1:16" s="553" customFormat="1" ht="25.15" customHeight="1">
      <c r="A60" s="556"/>
      <c r="B60" s="549"/>
      <c r="C60" s="549"/>
      <c r="D60" s="557"/>
      <c r="E60" s="560"/>
      <c r="F60" s="558"/>
      <c r="G60" s="256"/>
      <c r="H60" s="554"/>
      <c r="I60" s="554"/>
      <c r="J60" s="550"/>
      <c r="K60" s="551"/>
      <c r="L60" s="551"/>
      <c r="M60" s="551"/>
      <c r="N60" s="551"/>
      <c r="O60" s="551"/>
      <c r="P60" s="551"/>
    </row>
    <row r="61" spans="1:16" s="553" customFormat="1" ht="25.15" customHeight="1">
      <c r="A61" s="556"/>
      <c r="B61" s="549"/>
      <c r="C61" s="549"/>
      <c r="D61" s="557"/>
      <c r="E61" s="552"/>
      <c r="F61" s="558"/>
      <c r="G61" s="256"/>
      <c r="H61" s="554"/>
      <c r="I61" s="554"/>
      <c r="J61" s="550"/>
      <c r="K61" s="551"/>
      <c r="L61" s="551"/>
      <c r="M61" s="551"/>
      <c r="N61" s="551"/>
      <c r="O61" s="551"/>
      <c r="P61" s="551"/>
    </row>
    <row r="62" spans="1:16" s="553" customFormat="1" ht="25.15" customHeight="1">
      <c r="A62" s="556"/>
      <c r="B62" s="549"/>
      <c r="C62" s="549"/>
      <c r="D62" s="557"/>
      <c r="E62" s="552"/>
      <c r="F62" s="558"/>
      <c r="G62" s="256"/>
      <c r="H62" s="554"/>
      <c r="I62" s="554"/>
      <c r="J62" s="550"/>
      <c r="K62" s="551"/>
      <c r="L62" s="551"/>
      <c r="M62" s="551"/>
      <c r="N62" s="551"/>
      <c r="O62" s="551"/>
      <c r="P62" s="551"/>
    </row>
    <row r="63" spans="1:16" s="553" customFormat="1" ht="25.15" customHeight="1">
      <c r="A63" s="556"/>
      <c r="B63" s="549"/>
      <c r="C63" s="549"/>
      <c r="D63" s="557"/>
      <c r="E63" s="549"/>
      <c r="F63" s="558"/>
      <c r="G63" s="256"/>
      <c r="H63" s="554"/>
      <c r="I63" s="554"/>
      <c r="J63" s="550"/>
      <c r="K63" s="551"/>
      <c r="L63" s="551"/>
      <c r="M63" s="551"/>
      <c r="N63" s="551"/>
      <c r="O63" s="551"/>
      <c r="P63" s="551"/>
    </row>
    <row r="64" spans="1:16" s="553" customFormat="1" ht="25.15" customHeight="1">
      <c r="A64" s="556"/>
      <c r="B64" s="549"/>
      <c r="C64" s="549"/>
      <c r="D64" s="557"/>
      <c r="E64" s="552"/>
      <c r="F64" s="558"/>
      <c r="G64" s="256"/>
      <c r="H64" s="554"/>
      <c r="I64" s="554"/>
      <c r="J64" s="550"/>
      <c r="K64" s="551"/>
      <c r="L64" s="551"/>
      <c r="M64" s="551"/>
      <c r="N64" s="551"/>
      <c r="O64" s="551"/>
      <c r="P64" s="551"/>
    </row>
    <row r="65" spans="1:16" s="553" customFormat="1" ht="25.15" customHeight="1">
      <c r="A65" s="556"/>
      <c r="B65" s="549"/>
      <c r="C65" s="549"/>
      <c r="D65" s="557"/>
      <c r="E65" s="552"/>
      <c r="F65" s="558"/>
      <c r="G65" s="256"/>
      <c r="H65" s="554"/>
      <c r="I65" s="554"/>
      <c r="J65" s="559"/>
      <c r="K65" s="551"/>
      <c r="L65" s="551"/>
      <c r="M65" s="551"/>
      <c r="N65" s="551"/>
      <c r="O65" s="551"/>
      <c r="P65" s="551"/>
    </row>
    <row r="66" spans="1:16" s="553" customFormat="1" ht="25.15" customHeight="1">
      <c r="A66" s="556"/>
      <c r="B66" s="549"/>
      <c r="C66" s="549"/>
      <c r="D66" s="557"/>
      <c r="E66" s="552"/>
      <c r="F66" s="558"/>
      <c r="G66" s="256"/>
      <c r="H66" s="554"/>
      <c r="I66" s="554"/>
      <c r="J66" s="550"/>
      <c r="K66" s="551"/>
      <c r="L66" s="551"/>
      <c r="M66" s="551"/>
      <c r="N66" s="551"/>
      <c r="O66" s="551"/>
      <c r="P66" s="551"/>
    </row>
    <row r="67" spans="1:16" s="553" customFormat="1" ht="25.15" customHeight="1">
      <c r="A67" s="556"/>
      <c r="B67" s="549"/>
      <c r="C67" s="549"/>
      <c r="D67" s="557"/>
      <c r="E67" s="552"/>
      <c r="F67" s="558"/>
      <c r="G67" s="256"/>
      <c r="H67" s="562"/>
      <c r="I67" s="562"/>
      <c r="J67" s="550"/>
      <c r="K67" s="551"/>
      <c r="L67" s="551"/>
      <c r="M67" s="551"/>
      <c r="N67" s="551"/>
      <c r="O67" s="551"/>
      <c r="P67" s="551"/>
    </row>
    <row r="68" spans="1:16" s="553" customFormat="1" ht="25.15" customHeight="1">
      <c r="A68" s="556"/>
      <c r="B68" s="549"/>
      <c r="C68" s="549"/>
      <c r="D68" s="557"/>
      <c r="E68" s="552"/>
      <c r="F68" s="558"/>
      <c r="G68" s="256"/>
      <c r="H68" s="554"/>
      <c r="I68" s="554"/>
      <c r="J68" s="559"/>
      <c r="K68" s="551"/>
      <c r="L68" s="551"/>
      <c r="M68" s="551"/>
      <c r="N68" s="551"/>
      <c r="O68" s="551"/>
      <c r="P68" s="551"/>
    </row>
    <row r="69" spans="1:16" s="553" customFormat="1" ht="25.15" customHeight="1">
      <c r="A69" s="556"/>
      <c r="B69" s="549"/>
      <c r="C69" s="549"/>
      <c r="D69" s="557"/>
      <c r="E69" s="552"/>
      <c r="F69" s="558"/>
      <c r="G69" s="256"/>
      <c r="H69" s="554"/>
      <c r="I69" s="554"/>
      <c r="J69" s="550"/>
      <c r="K69" s="551"/>
      <c r="L69" s="551"/>
      <c r="M69" s="551"/>
      <c r="N69" s="551"/>
      <c r="O69" s="551"/>
      <c r="P69" s="551"/>
    </row>
    <row r="70" spans="1:16" s="553" customFormat="1" ht="25.15" customHeight="1">
      <c r="A70" s="556"/>
      <c r="B70" s="549"/>
      <c r="C70" s="549"/>
      <c r="D70" s="557"/>
      <c r="E70" s="552"/>
      <c r="F70" s="558"/>
      <c r="G70" s="256"/>
      <c r="H70" s="554"/>
      <c r="I70" s="554"/>
      <c r="J70" s="550"/>
      <c r="K70" s="551"/>
      <c r="L70" s="551"/>
      <c r="M70" s="551"/>
      <c r="N70" s="551"/>
      <c r="O70" s="551"/>
      <c r="P70" s="551"/>
    </row>
    <row r="71" spans="1:16" s="553" customFormat="1" ht="30" customHeight="1">
      <c r="A71" s="556"/>
      <c r="B71" s="549"/>
      <c r="C71" s="549"/>
      <c r="D71" s="557"/>
      <c r="E71" s="552"/>
      <c r="F71" s="558"/>
      <c r="G71" s="256"/>
      <c r="H71" s="554"/>
      <c r="I71" s="554"/>
      <c r="J71" s="550"/>
      <c r="K71" s="551"/>
      <c r="L71" s="551"/>
      <c r="M71" s="551"/>
      <c r="N71" s="551"/>
      <c r="O71" s="551"/>
      <c r="P71" s="551"/>
    </row>
    <row r="72" spans="1:16" s="553" customFormat="1" ht="30" customHeight="1">
      <c r="A72" s="556"/>
      <c r="B72" s="549"/>
      <c r="C72" s="549"/>
      <c r="D72" s="557"/>
      <c r="E72" s="552"/>
      <c r="F72" s="558"/>
      <c r="G72" s="256"/>
      <c r="H72" s="554"/>
      <c r="I72" s="554"/>
      <c r="J72" s="550"/>
      <c r="K72" s="551"/>
      <c r="L72" s="551"/>
      <c r="M72" s="551"/>
      <c r="N72" s="551"/>
      <c r="O72" s="551"/>
      <c r="P72" s="551"/>
    </row>
    <row r="73" spans="1:16" s="553" customFormat="1" ht="30" customHeight="1">
      <c r="A73" s="556"/>
      <c r="B73" s="549"/>
      <c r="C73" s="549"/>
      <c r="D73" s="557"/>
      <c r="E73" s="552"/>
      <c r="F73" s="558"/>
      <c r="G73" s="256"/>
      <c r="H73" s="554"/>
      <c r="I73" s="554"/>
      <c r="J73" s="550"/>
      <c r="K73" s="551"/>
      <c r="L73" s="551"/>
      <c r="M73" s="551"/>
      <c r="N73" s="551"/>
      <c r="O73" s="551"/>
      <c r="P73" s="551"/>
    </row>
    <row r="74" spans="1:16" s="553" customFormat="1" ht="30" customHeight="1">
      <c r="A74" s="556"/>
      <c r="B74" s="549"/>
      <c r="C74" s="549"/>
      <c r="D74" s="557"/>
      <c r="E74" s="552"/>
      <c r="F74" s="558"/>
      <c r="G74" s="256"/>
      <c r="H74" s="554"/>
      <c r="I74" s="554"/>
      <c r="J74" s="559"/>
      <c r="K74" s="551"/>
      <c r="L74" s="551"/>
      <c r="M74" s="551"/>
      <c r="N74" s="551"/>
      <c r="O74" s="551"/>
      <c r="P74" s="551"/>
    </row>
    <row r="75" spans="1:16" s="553" customFormat="1" ht="30" customHeight="1">
      <c r="A75" s="556"/>
      <c r="B75" s="549"/>
      <c r="C75" s="549"/>
      <c r="D75" s="557"/>
      <c r="E75" s="552"/>
      <c r="F75" s="558"/>
      <c r="G75" s="256"/>
      <c r="H75" s="554"/>
      <c r="I75" s="554"/>
      <c r="J75" s="550"/>
      <c r="K75" s="551"/>
      <c r="L75" s="551"/>
      <c r="M75" s="551"/>
      <c r="N75" s="551"/>
      <c r="O75" s="551"/>
      <c r="P75" s="551"/>
    </row>
    <row r="76" spans="1:16" s="553" customFormat="1" ht="30" customHeight="1">
      <c r="A76" s="556"/>
      <c r="B76" s="549"/>
      <c r="C76" s="549"/>
      <c r="D76" s="557"/>
      <c r="E76" s="552"/>
      <c r="F76" s="558"/>
      <c r="G76" s="256"/>
      <c r="H76" s="554"/>
      <c r="I76" s="554"/>
      <c r="J76" s="550"/>
      <c r="K76" s="551"/>
      <c r="L76" s="551"/>
      <c r="M76" s="551"/>
      <c r="N76" s="551"/>
      <c r="O76" s="551"/>
      <c r="P76" s="551"/>
    </row>
    <row r="77" spans="1:16" s="553" customFormat="1" ht="30" customHeight="1">
      <c r="A77" s="556"/>
      <c r="B77" s="549"/>
      <c r="C77" s="549"/>
      <c r="D77" s="557"/>
      <c r="E77" s="552"/>
      <c r="F77" s="558"/>
      <c r="G77" s="256"/>
      <c r="H77" s="554"/>
      <c r="I77" s="554"/>
      <c r="J77" s="550"/>
      <c r="K77" s="551"/>
      <c r="L77" s="551"/>
      <c r="M77" s="551"/>
      <c r="N77" s="551"/>
      <c r="O77" s="551"/>
      <c r="P77" s="551"/>
    </row>
    <row r="78" spans="1:16" s="553" customFormat="1" ht="30" customHeight="1">
      <c r="A78" s="556"/>
      <c r="B78" s="549"/>
      <c r="C78" s="549"/>
      <c r="D78" s="557"/>
      <c r="E78" s="552"/>
      <c r="F78" s="558"/>
      <c r="G78" s="256"/>
      <c r="H78" s="554"/>
      <c r="I78" s="554"/>
      <c r="J78" s="550"/>
      <c r="K78" s="551"/>
      <c r="L78" s="551"/>
      <c r="M78" s="551"/>
      <c r="N78" s="551"/>
      <c r="O78" s="551"/>
      <c r="P78" s="551"/>
    </row>
    <row r="79" spans="1:16" s="553" customFormat="1" ht="30" customHeight="1">
      <c r="A79" s="556"/>
      <c r="B79" s="549"/>
      <c r="C79" s="549"/>
      <c r="D79" s="557"/>
      <c r="E79" s="552"/>
      <c r="F79" s="558"/>
      <c r="G79" s="256"/>
      <c r="H79" s="551"/>
      <c r="I79" s="551"/>
      <c r="J79" s="550"/>
      <c r="K79" s="551"/>
      <c r="L79" s="551"/>
      <c r="M79" s="551"/>
      <c r="N79" s="551"/>
      <c r="O79" s="551"/>
      <c r="P79" s="551"/>
    </row>
    <row r="80" spans="1:16" s="553" customFormat="1" ht="30" customHeight="1">
      <c r="A80" s="556"/>
      <c r="B80" s="549"/>
      <c r="C80" s="549"/>
      <c r="D80" s="557"/>
      <c r="E80" s="552"/>
      <c r="F80" s="558"/>
      <c r="G80" s="256"/>
      <c r="H80" s="551"/>
      <c r="I80" s="551"/>
      <c r="J80" s="550"/>
      <c r="K80" s="551"/>
      <c r="L80" s="551"/>
      <c r="M80" s="551"/>
      <c r="N80" s="551"/>
      <c r="O80" s="551"/>
      <c r="P80" s="551"/>
    </row>
    <row r="81" spans="1:16" s="553" customFormat="1" ht="30" customHeight="1">
      <c r="A81" s="556"/>
      <c r="B81" s="549"/>
      <c r="C81" s="549"/>
      <c r="D81" s="557"/>
      <c r="E81" s="552"/>
      <c r="F81" s="558"/>
      <c r="G81" s="256"/>
      <c r="H81" s="551"/>
      <c r="I81" s="551"/>
      <c r="J81" s="550"/>
      <c r="K81" s="551"/>
      <c r="L81" s="551"/>
      <c r="M81" s="551"/>
      <c r="N81" s="551"/>
      <c r="O81" s="551"/>
      <c r="P81" s="551"/>
    </row>
    <row r="82" spans="1:16" s="553" customFormat="1" ht="30" customHeight="1">
      <c r="A82" s="556"/>
      <c r="B82" s="549"/>
      <c r="C82" s="549"/>
      <c r="D82" s="557"/>
      <c r="E82" s="552"/>
      <c r="F82" s="558"/>
      <c r="G82" s="256"/>
      <c r="H82" s="563"/>
      <c r="I82" s="563"/>
      <c r="J82" s="550"/>
      <c r="K82" s="551"/>
      <c r="L82" s="551"/>
      <c r="M82" s="551"/>
      <c r="N82" s="551"/>
      <c r="O82" s="551"/>
      <c r="P82" s="551"/>
    </row>
    <row r="83" spans="1:16" s="553" customFormat="1" ht="30" customHeight="1">
      <c r="A83" s="556"/>
      <c r="B83" s="549"/>
      <c r="C83" s="549"/>
      <c r="D83" s="557"/>
      <c r="E83" s="552"/>
      <c r="F83" s="558"/>
      <c r="G83" s="256"/>
      <c r="H83" s="563"/>
      <c r="I83" s="563"/>
      <c r="J83" s="550"/>
      <c r="K83" s="551"/>
      <c r="L83" s="551"/>
      <c r="M83" s="551"/>
      <c r="N83" s="551"/>
      <c r="O83" s="551"/>
      <c r="P83" s="551"/>
    </row>
    <row r="84" spans="1:16" s="553" customFormat="1" ht="30" customHeight="1">
      <c r="A84" s="556"/>
      <c r="B84" s="549"/>
      <c r="C84" s="549"/>
      <c r="D84" s="557"/>
      <c r="E84" s="552"/>
      <c r="F84" s="558"/>
      <c r="G84" s="256"/>
      <c r="H84" s="563"/>
      <c r="I84" s="563"/>
      <c r="J84" s="550"/>
      <c r="K84" s="551"/>
      <c r="L84" s="551"/>
      <c r="M84" s="551"/>
      <c r="N84" s="551"/>
      <c r="O84" s="551"/>
      <c r="P84" s="551"/>
    </row>
    <row r="85" spans="1:16" s="553" customFormat="1" ht="30" customHeight="1">
      <c r="A85" s="556"/>
      <c r="B85" s="549"/>
      <c r="C85" s="549"/>
      <c r="D85" s="557"/>
      <c r="E85" s="552"/>
      <c r="F85" s="558"/>
      <c r="G85" s="256"/>
      <c r="H85" s="563"/>
      <c r="I85" s="563"/>
      <c r="J85" s="550"/>
      <c r="K85" s="551"/>
      <c r="L85" s="551"/>
      <c r="M85" s="551"/>
      <c r="N85" s="551"/>
      <c r="O85" s="551"/>
      <c r="P85" s="551"/>
    </row>
    <row r="86" spans="1:16" s="553" customFormat="1" ht="30" customHeight="1">
      <c r="A86" s="556"/>
      <c r="B86" s="549"/>
      <c r="C86" s="549"/>
      <c r="D86" s="557"/>
      <c r="E86" s="552"/>
      <c r="F86" s="558"/>
      <c r="G86" s="256"/>
      <c r="H86" s="563"/>
      <c r="I86" s="563"/>
      <c r="J86" s="550"/>
      <c r="K86" s="551"/>
      <c r="L86" s="551"/>
      <c r="M86" s="551"/>
      <c r="N86" s="551"/>
      <c r="O86" s="551"/>
      <c r="P86" s="551"/>
    </row>
    <row r="87" spans="1:16" s="553" customFormat="1" ht="30" customHeight="1">
      <c r="A87" s="556"/>
      <c r="B87" s="549"/>
      <c r="C87" s="549"/>
      <c r="D87" s="557"/>
      <c r="E87" s="552"/>
      <c r="F87" s="558"/>
      <c r="G87" s="256"/>
      <c r="H87" s="563"/>
      <c r="I87" s="616"/>
      <c r="J87" s="559"/>
      <c r="K87" s="551"/>
      <c r="L87" s="551"/>
      <c r="M87" s="551"/>
      <c r="N87" s="551"/>
      <c r="O87" s="551"/>
      <c r="P87" s="551"/>
    </row>
    <row r="88" spans="1:16" s="553" customFormat="1" ht="30" customHeight="1">
      <c r="A88" s="556"/>
      <c r="B88" s="549"/>
      <c r="C88" s="549"/>
      <c r="D88" s="557"/>
      <c r="E88" s="552"/>
      <c r="F88" s="558"/>
      <c r="G88" s="256"/>
      <c r="H88" s="551"/>
      <c r="I88" s="551"/>
      <c r="J88" s="550"/>
      <c r="K88" s="551"/>
      <c r="L88" s="551"/>
      <c r="M88" s="551"/>
      <c r="N88" s="551"/>
      <c r="O88" s="551"/>
      <c r="P88" s="551"/>
    </row>
    <row r="89" spans="1:16" s="553" customFormat="1" ht="30" customHeight="1">
      <c r="A89" s="556"/>
      <c r="B89" s="549"/>
      <c r="C89" s="549"/>
      <c r="D89" s="557"/>
      <c r="E89" s="552"/>
      <c r="F89" s="558"/>
      <c r="G89" s="256"/>
      <c r="H89" s="563"/>
      <c r="I89" s="563"/>
      <c r="J89" s="550"/>
      <c r="K89" s="551"/>
      <c r="L89" s="551"/>
      <c r="M89" s="551"/>
      <c r="N89" s="551"/>
      <c r="O89" s="551"/>
      <c r="P89" s="551"/>
    </row>
    <row r="90" spans="1:16" s="553" customFormat="1" ht="30" customHeight="1">
      <c r="A90" s="556"/>
      <c r="B90" s="549"/>
      <c r="C90" s="549"/>
      <c r="D90" s="557"/>
      <c r="E90" s="552"/>
      <c r="F90" s="558"/>
      <c r="G90" s="256"/>
      <c r="H90" s="563"/>
      <c r="I90" s="616"/>
      <c r="J90" s="559"/>
      <c r="K90" s="551"/>
      <c r="L90" s="551"/>
      <c r="M90" s="551"/>
      <c r="N90" s="551"/>
      <c r="O90" s="551"/>
      <c r="P90" s="551"/>
    </row>
    <row r="91" spans="1:16" s="553" customFormat="1" ht="30" customHeight="1">
      <c r="A91" s="556"/>
      <c r="B91" s="549"/>
      <c r="C91" s="549"/>
      <c r="D91" s="557"/>
      <c r="E91" s="552"/>
      <c r="F91" s="558"/>
      <c r="G91" s="256"/>
      <c r="H91" s="563"/>
      <c r="I91" s="563"/>
      <c r="J91" s="550"/>
      <c r="K91" s="551"/>
      <c r="L91" s="551"/>
      <c r="M91" s="551"/>
      <c r="N91" s="551"/>
      <c r="O91" s="551"/>
      <c r="P91" s="551"/>
    </row>
    <row r="92" spans="1:16" s="553" customFormat="1" ht="30" customHeight="1">
      <c r="A92" s="556"/>
      <c r="B92" s="549"/>
      <c r="C92" s="549"/>
      <c r="D92" s="557"/>
      <c r="E92" s="552"/>
      <c r="F92" s="558"/>
      <c r="G92" s="256"/>
      <c r="H92" s="563"/>
      <c r="I92" s="563"/>
      <c r="J92" s="550"/>
      <c r="K92" s="551"/>
      <c r="L92" s="551"/>
      <c r="M92" s="551"/>
      <c r="N92" s="551"/>
      <c r="O92" s="551"/>
      <c r="P92" s="551"/>
    </row>
    <row r="93" spans="1:16" s="553" customFormat="1" ht="30" customHeight="1">
      <c r="A93" s="556"/>
      <c r="B93" s="549"/>
      <c r="C93" s="549"/>
      <c r="D93" s="557"/>
      <c r="E93" s="552"/>
      <c r="F93" s="558"/>
      <c r="G93" s="256"/>
      <c r="H93" s="551"/>
      <c r="I93" s="551"/>
      <c r="J93" s="550"/>
      <c r="K93" s="551"/>
      <c r="L93" s="551"/>
      <c r="M93" s="551"/>
      <c r="N93" s="551"/>
      <c r="O93" s="551"/>
      <c r="P93" s="551"/>
    </row>
    <row r="94" spans="1:16" s="553" customFormat="1" ht="30" customHeight="1">
      <c r="A94" s="556"/>
      <c r="B94" s="549"/>
      <c r="C94" s="549"/>
      <c r="D94" s="557"/>
      <c r="E94" s="552"/>
      <c r="F94" s="558"/>
      <c r="G94" s="256"/>
      <c r="H94" s="551"/>
      <c r="I94" s="551"/>
      <c r="J94" s="550"/>
      <c r="K94" s="551"/>
      <c r="L94" s="551"/>
      <c r="M94" s="551"/>
      <c r="N94" s="551"/>
      <c r="O94" s="551"/>
      <c r="P94" s="551"/>
    </row>
    <row r="95" spans="1:16" s="553" customFormat="1" ht="30" customHeight="1">
      <c r="A95" s="556"/>
      <c r="B95" s="549"/>
      <c r="C95" s="549"/>
      <c r="D95" s="557"/>
      <c r="E95" s="552"/>
      <c r="F95" s="558"/>
      <c r="G95" s="256"/>
      <c r="H95" s="551"/>
      <c r="I95" s="551"/>
      <c r="J95" s="550"/>
      <c r="K95" s="551"/>
      <c r="L95" s="550"/>
      <c r="M95" s="551"/>
      <c r="N95" s="551"/>
      <c r="O95" s="551"/>
      <c r="P95" s="551"/>
    </row>
    <row r="96" spans="1:16" s="553" customFormat="1" ht="30" customHeight="1">
      <c r="A96" s="556"/>
      <c r="B96" s="549"/>
      <c r="C96" s="549"/>
      <c r="D96" s="557"/>
      <c r="E96" s="552"/>
      <c r="F96" s="550"/>
      <c r="G96" s="256"/>
      <c r="H96" s="253"/>
      <c r="I96" s="253"/>
      <c r="J96" s="550"/>
      <c r="K96" s="551"/>
      <c r="L96" s="550"/>
      <c r="M96" s="551"/>
      <c r="N96" s="551"/>
      <c r="O96" s="551"/>
      <c r="P96" s="551"/>
    </row>
    <row r="97" spans="1:25" s="553" customFormat="1" ht="30" customHeight="1">
      <c r="A97" s="556"/>
      <c r="B97" s="549"/>
      <c r="C97" s="549"/>
      <c r="D97" s="557"/>
      <c r="E97" s="552"/>
      <c r="F97" s="558"/>
      <c r="G97" s="256"/>
      <c r="H97" s="253"/>
      <c r="I97" s="569"/>
      <c r="J97" s="559"/>
      <c r="K97" s="551"/>
      <c r="L97" s="551"/>
      <c r="M97" s="551"/>
      <c r="N97" s="551"/>
      <c r="O97" s="551"/>
      <c r="P97" s="551"/>
    </row>
    <row r="98" spans="1:25" s="553" customFormat="1" ht="30" customHeight="1">
      <c r="A98" s="556"/>
      <c r="B98" s="549"/>
      <c r="C98" s="549"/>
      <c r="D98" s="557"/>
      <c r="E98" s="552"/>
      <c r="F98" s="558"/>
      <c r="G98" s="256"/>
      <c r="H98" s="253"/>
      <c r="I98" s="253"/>
      <c r="J98" s="550"/>
      <c r="K98" s="551"/>
      <c r="L98" s="551"/>
      <c r="M98" s="551"/>
      <c r="N98" s="551"/>
      <c r="O98" s="551"/>
      <c r="P98" s="551"/>
    </row>
    <row r="99" spans="1:25" s="553" customFormat="1" ht="30" customHeight="1">
      <c r="A99" s="556"/>
      <c r="B99" s="549"/>
      <c r="C99" s="549"/>
      <c r="D99" s="557"/>
      <c r="E99" s="552"/>
      <c r="F99" s="558"/>
      <c r="G99" s="256"/>
      <c r="H99" s="253"/>
      <c r="I99" s="253"/>
      <c r="J99" s="550"/>
      <c r="K99" s="551"/>
      <c r="L99" s="551"/>
      <c r="M99" s="551"/>
      <c r="N99" s="551"/>
      <c r="O99" s="551"/>
      <c r="P99" s="551"/>
    </row>
    <row r="100" spans="1:25" s="553" customFormat="1" ht="30" customHeight="1">
      <c r="A100" s="556"/>
      <c r="B100" s="549"/>
      <c r="C100" s="549"/>
      <c r="D100" s="557"/>
      <c r="E100" s="552"/>
      <c r="F100" s="558"/>
      <c r="G100" s="256"/>
      <c r="H100" s="253"/>
      <c r="I100" s="253"/>
      <c r="J100" s="550"/>
      <c r="K100" s="551"/>
      <c r="L100" s="551"/>
      <c r="M100" s="551"/>
      <c r="N100" s="551"/>
      <c r="O100" s="551"/>
      <c r="P100" s="551"/>
    </row>
    <row r="101" spans="1:25" s="553" customFormat="1" ht="30" customHeight="1">
      <c r="A101" s="556"/>
      <c r="B101" s="549"/>
      <c r="C101" s="549"/>
      <c r="D101" s="557"/>
      <c r="E101" s="549"/>
      <c r="F101" s="558"/>
      <c r="G101" s="256"/>
      <c r="H101" s="253"/>
      <c r="I101" s="253"/>
      <c r="J101" s="550"/>
      <c r="K101" s="551"/>
      <c r="L101" s="550"/>
      <c r="M101" s="551"/>
      <c r="N101" s="551"/>
      <c r="O101" s="551"/>
      <c r="P101" s="551"/>
    </row>
    <row r="102" spans="1:25" s="553" customFormat="1" ht="30" customHeight="1">
      <c r="A102" s="556"/>
      <c r="B102" s="549"/>
      <c r="C102" s="549"/>
      <c r="D102" s="557"/>
      <c r="E102" s="552"/>
      <c r="F102" s="558"/>
      <c r="G102" s="256"/>
      <c r="H102" s="253"/>
      <c r="I102" s="569"/>
      <c r="J102" s="559"/>
      <c r="K102" s="551"/>
      <c r="L102" s="550"/>
      <c r="M102" s="551"/>
      <c r="N102" s="551"/>
      <c r="O102" s="551"/>
      <c r="P102" s="551"/>
    </row>
    <row r="103" spans="1:25" s="553" customFormat="1" ht="30" customHeight="1">
      <c r="A103" s="556"/>
      <c r="B103" s="549"/>
      <c r="C103" s="549"/>
      <c r="D103" s="557"/>
      <c r="E103" s="552"/>
      <c r="F103" s="558"/>
      <c r="G103" s="256"/>
      <c r="H103" s="253"/>
      <c r="I103" s="569"/>
      <c r="J103" s="559"/>
      <c r="K103" s="551"/>
      <c r="L103" s="550"/>
      <c r="M103" s="551"/>
      <c r="N103" s="551"/>
      <c r="O103" s="551"/>
      <c r="P103" s="551"/>
    </row>
    <row r="104" spans="1:25" s="553" customFormat="1" ht="30" customHeight="1">
      <c r="A104" s="556"/>
      <c r="B104" s="549"/>
      <c r="C104" s="549"/>
      <c r="D104" s="557"/>
      <c r="E104" s="552"/>
      <c r="F104" s="558"/>
      <c r="G104" s="256"/>
      <c r="H104" s="253"/>
      <c r="I104" s="253"/>
      <c r="J104" s="550"/>
      <c r="K104" s="551"/>
      <c r="L104" s="550"/>
      <c r="M104" s="551"/>
      <c r="N104" s="551"/>
      <c r="O104" s="551"/>
      <c r="P104" s="551"/>
    </row>
    <row r="105" spans="1:25" s="553" customFormat="1" ht="30" customHeight="1">
      <c r="A105" s="556"/>
      <c r="B105" s="549"/>
      <c r="C105" s="549"/>
      <c r="D105" s="557"/>
      <c r="E105" s="552"/>
      <c r="F105" s="558"/>
      <c r="G105" s="256"/>
      <c r="H105" s="253"/>
      <c r="I105" s="253"/>
      <c r="J105" s="550"/>
      <c r="K105" s="551"/>
      <c r="L105" s="550"/>
      <c r="M105" s="551"/>
      <c r="N105" s="551"/>
      <c r="O105" s="551"/>
      <c r="P105" s="551"/>
    </row>
    <row r="106" spans="1:25" s="553" customFormat="1" ht="30" customHeight="1">
      <c r="A106" s="556"/>
      <c r="B106" s="549"/>
      <c r="C106" s="549"/>
      <c r="D106" s="557"/>
      <c r="E106" s="552"/>
      <c r="F106" s="558"/>
      <c r="G106" s="256"/>
      <c r="H106" s="253"/>
      <c r="I106" s="253"/>
      <c r="J106" s="550"/>
      <c r="K106" s="551"/>
      <c r="L106" s="550"/>
      <c r="M106" s="551"/>
      <c r="N106" s="551"/>
      <c r="O106" s="551"/>
      <c r="P106" s="551"/>
    </row>
    <row r="107" spans="1:25" s="553" customFormat="1" ht="30" customHeight="1">
      <c r="A107" s="556"/>
      <c r="B107" s="549"/>
      <c r="C107" s="549"/>
      <c r="D107" s="557"/>
      <c r="E107" s="552"/>
      <c r="F107" s="558"/>
      <c r="G107" s="256"/>
      <c r="H107" s="253"/>
      <c r="I107" s="253"/>
      <c r="J107" s="550"/>
      <c r="K107" s="551"/>
      <c r="L107" s="550"/>
      <c r="M107" s="551"/>
      <c r="N107" s="551"/>
      <c r="O107" s="551"/>
      <c r="P107" s="551"/>
    </row>
    <row r="108" spans="1:25" s="553" customFormat="1" ht="30" customHeight="1">
      <c r="A108" s="556"/>
      <c r="B108" s="549"/>
      <c r="C108" s="549"/>
      <c r="D108" s="557"/>
      <c r="E108" s="552"/>
      <c r="F108" s="558"/>
      <c r="G108" s="256"/>
      <c r="H108" s="253"/>
      <c r="I108" s="253"/>
      <c r="J108" s="550"/>
      <c r="K108" s="551"/>
      <c r="L108" s="550"/>
      <c r="M108" s="551"/>
      <c r="N108" s="551"/>
      <c r="O108" s="551"/>
      <c r="P108" s="551"/>
    </row>
    <row r="109" spans="1:25" s="553" customFormat="1" ht="30" customHeight="1">
      <c r="A109" s="556"/>
      <c r="B109" s="549"/>
      <c r="C109" s="549"/>
      <c r="D109" s="557"/>
      <c r="E109" s="552"/>
      <c r="F109" s="558"/>
      <c r="G109" s="256"/>
      <c r="H109" s="253"/>
      <c r="I109" s="569"/>
      <c r="J109" s="559"/>
      <c r="K109" s="551"/>
      <c r="L109" s="550"/>
      <c r="M109" s="551"/>
      <c r="N109" s="551"/>
      <c r="O109" s="551"/>
      <c r="P109" s="551"/>
    </row>
    <row r="110" spans="1:25" s="553" customFormat="1" ht="30" customHeight="1">
      <c r="A110" s="556"/>
      <c r="B110" s="549"/>
      <c r="C110" s="549"/>
      <c r="D110" s="557"/>
      <c r="E110" s="552"/>
      <c r="F110" s="558"/>
      <c r="G110" s="256"/>
      <c r="H110" s="253"/>
      <c r="I110" s="569"/>
      <c r="J110" s="559"/>
      <c r="K110" s="551"/>
      <c r="L110" s="550"/>
      <c r="M110" s="551"/>
      <c r="N110" s="551"/>
      <c r="O110" s="551"/>
      <c r="P110" s="551"/>
    </row>
    <row r="111" spans="1:25" s="553" customFormat="1" ht="30" customHeight="1">
      <c r="A111" s="556"/>
      <c r="B111" s="549"/>
      <c r="C111" s="549"/>
      <c r="D111" s="557"/>
      <c r="E111" s="552"/>
      <c r="F111" s="558"/>
      <c r="G111" s="256"/>
      <c r="H111" s="253"/>
      <c r="I111" s="569"/>
      <c r="J111" s="559"/>
      <c r="K111" s="551"/>
      <c r="L111" s="550"/>
      <c r="M111" s="551"/>
      <c r="N111" s="551"/>
      <c r="O111" s="551"/>
      <c r="P111" s="551"/>
    </row>
    <row r="112" spans="1:25" s="553" customFormat="1" ht="30" customHeight="1">
      <c r="A112" s="556"/>
      <c r="B112" s="564"/>
      <c r="C112" s="549"/>
      <c r="D112" s="557"/>
      <c r="E112" s="565"/>
      <c r="F112" s="558"/>
      <c r="G112" s="256"/>
      <c r="H112" s="253"/>
      <c r="I112" s="253"/>
      <c r="J112" s="550"/>
      <c r="K112" s="551"/>
      <c r="L112" s="550"/>
      <c r="M112" s="551"/>
      <c r="N112" s="551"/>
      <c r="Y112" s="558"/>
    </row>
    <row r="113" spans="1:16" s="553" customFormat="1" ht="30" customHeight="1">
      <c r="A113" s="556"/>
      <c r="B113" s="549"/>
      <c r="C113" s="549"/>
      <c r="D113" s="557"/>
      <c r="E113" s="552"/>
      <c r="F113" s="558"/>
      <c r="G113" s="256"/>
      <c r="H113" s="253"/>
      <c r="I113" s="253"/>
      <c r="J113" s="550"/>
      <c r="K113" s="551"/>
      <c r="L113" s="550"/>
      <c r="M113" s="551"/>
      <c r="N113" s="551"/>
      <c r="O113" s="551"/>
      <c r="P113" s="551"/>
    </row>
    <row r="114" spans="1:16" s="553" customFormat="1" ht="30" customHeight="1">
      <c r="A114" s="556"/>
      <c r="B114" s="558"/>
      <c r="C114" s="549"/>
      <c r="D114" s="557"/>
      <c r="E114" s="552"/>
      <c r="F114" s="558"/>
      <c r="G114" s="256"/>
      <c r="H114" s="253"/>
      <c r="I114" s="253"/>
      <c r="J114" s="550"/>
      <c r="K114" s="566"/>
      <c r="L114" s="567"/>
      <c r="M114" s="551"/>
      <c r="N114" s="551"/>
      <c r="O114" s="551"/>
      <c r="P114" s="551"/>
    </row>
    <row r="115" spans="1:16" s="553" customFormat="1" ht="30" customHeight="1">
      <c r="A115" s="556"/>
      <c r="B115" s="549"/>
      <c r="C115" s="549"/>
      <c r="D115" s="557"/>
      <c r="E115" s="552"/>
      <c r="F115" s="558"/>
      <c r="G115" s="256"/>
      <c r="H115" s="253"/>
      <c r="I115" s="253"/>
      <c r="J115" s="550"/>
      <c r="K115" s="551"/>
      <c r="L115" s="550"/>
      <c r="M115" s="551"/>
      <c r="N115" s="551"/>
      <c r="O115" s="551"/>
      <c r="P115" s="551"/>
    </row>
    <row r="116" spans="1:16" s="553" customFormat="1" ht="30" customHeight="1">
      <c r="A116" s="556"/>
      <c r="B116" s="549"/>
      <c r="C116" s="549"/>
      <c r="D116" s="557"/>
      <c r="E116" s="552"/>
      <c r="F116" s="558"/>
      <c r="G116" s="256"/>
      <c r="H116" s="253"/>
      <c r="I116" s="253"/>
      <c r="J116" s="550"/>
      <c r="K116" s="551"/>
      <c r="L116" s="550"/>
      <c r="M116" s="551"/>
      <c r="N116" s="551"/>
      <c r="O116" s="551"/>
      <c r="P116" s="551"/>
    </row>
    <row r="117" spans="1:16" s="553" customFormat="1" ht="30" customHeight="1">
      <c r="A117" s="556"/>
      <c r="B117" s="549"/>
      <c r="C117" s="549"/>
      <c r="D117" s="557"/>
      <c r="E117" s="552"/>
      <c r="F117" s="558"/>
      <c r="G117" s="256"/>
      <c r="H117" s="253"/>
      <c r="I117" s="569"/>
      <c r="J117" s="559"/>
      <c r="K117" s="551"/>
      <c r="L117" s="550"/>
      <c r="M117" s="551"/>
      <c r="N117" s="551"/>
      <c r="O117" s="551"/>
      <c r="P117" s="551"/>
    </row>
    <row r="118" spans="1:16" s="553" customFormat="1" ht="30" customHeight="1">
      <c r="A118" s="556"/>
      <c r="B118" s="549"/>
      <c r="C118" s="549"/>
      <c r="D118" s="557"/>
      <c r="E118" s="552"/>
      <c r="F118" s="558"/>
      <c r="G118" s="256"/>
      <c r="H118" s="253"/>
      <c r="I118" s="253"/>
      <c r="J118" s="550"/>
      <c r="K118" s="551"/>
      <c r="L118" s="550"/>
      <c r="M118" s="551"/>
      <c r="N118" s="551"/>
      <c r="O118" s="551"/>
      <c r="P118" s="551"/>
    </row>
    <row r="119" spans="1:16" s="553" customFormat="1" ht="30" customHeight="1">
      <c r="A119" s="556"/>
      <c r="B119" s="549"/>
      <c r="C119" s="549"/>
      <c r="D119" s="557"/>
      <c r="E119" s="552"/>
      <c r="F119" s="550"/>
      <c r="G119" s="256"/>
      <c r="H119" s="253"/>
      <c r="I119" s="253"/>
      <c r="J119" s="550"/>
      <c r="K119" s="551"/>
      <c r="L119" s="550"/>
      <c r="M119" s="551"/>
      <c r="N119" s="551"/>
      <c r="O119" s="551"/>
      <c r="P119" s="551"/>
    </row>
    <row r="120" spans="1:16" s="553" customFormat="1" ht="30" customHeight="1">
      <c r="A120" s="556"/>
      <c r="B120" s="549"/>
      <c r="C120" s="549"/>
      <c r="D120" s="557"/>
      <c r="E120" s="552"/>
      <c r="F120" s="558"/>
      <c r="G120" s="256"/>
      <c r="H120" s="253"/>
      <c r="I120" s="569"/>
      <c r="J120" s="559"/>
      <c r="K120" s="551"/>
      <c r="L120" s="550"/>
      <c r="M120" s="551"/>
      <c r="N120" s="551"/>
      <c r="O120" s="551"/>
      <c r="P120" s="551"/>
    </row>
    <row r="121" spans="1:16" s="553" customFormat="1" ht="30" customHeight="1">
      <c r="A121" s="556"/>
      <c r="B121" s="549"/>
      <c r="C121" s="549"/>
      <c r="D121" s="557"/>
      <c r="E121" s="552"/>
      <c r="F121" s="558"/>
      <c r="G121" s="256"/>
      <c r="H121" s="253"/>
      <c r="I121" s="253"/>
      <c r="J121" s="550"/>
      <c r="K121" s="551"/>
      <c r="L121" s="550"/>
      <c r="M121" s="551"/>
      <c r="N121" s="551"/>
      <c r="O121" s="551"/>
      <c r="P121" s="551"/>
    </row>
    <row r="122" spans="1:16" s="553" customFormat="1" ht="30" customHeight="1">
      <c r="A122" s="556"/>
      <c r="B122" s="549"/>
      <c r="C122" s="549"/>
      <c r="D122" s="557"/>
      <c r="E122" s="552"/>
      <c r="F122" s="558"/>
      <c r="G122" s="256"/>
      <c r="H122" s="253"/>
      <c r="I122" s="253"/>
      <c r="J122" s="550"/>
      <c r="K122" s="551"/>
      <c r="L122" s="550"/>
      <c r="M122" s="551"/>
      <c r="N122" s="551"/>
      <c r="O122" s="551"/>
      <c r="P122" s="551"/>
    </row>
    <row r="123" spans="1:16" s="553" customFormat="1" ht="30" customHeight="1">
      <c r="A123" s="556"/>
      <c r="B123" s="549"/>
      <c r="C123" s="549"/>
      <c r="D123" s="557"/>
      <c r="E123" s="552"/>
      <c r="F123" s="558"/>
      <c r="G123" s="256"/>
      <c r="H123" s="253"/>
      <c r="I123" s="569"/>
      <c r="J123" s="559"/>
      <c r="K123" s="551"/>
      <c r="L123" s="550"/>
      <c r="M123" s="551"/>
      <c r="N123" s="551"/>
      <c r="O123" s="551"/>
      <c r="P123" s="551"/>
    </row>
    <row r="124" spans="1:16" s="553" customFormat="1" ht="30" customHeight="1">
      <c r="A124" s="556"/>
      <c r="B124" s="549"/>
      <c r="C124" s="549"/>
      <c r="D124" s="557"/>
      <c r="E124" s="565"/>
      <c r="F124" s="558"/>
      <c r="G124" s="256"/>
      <c r="H124" s="253"/>
      <c r="I124" s="569"/>
      <c r="J124" s="559"/>
      <c r="K124" s="551"/>
      <c r="L124" s="550"/>
      <c r="M124" s="551"/>
      <c r="N124" s="551"/>
      <c r="O124" s="551"/>
      <c r="P124" s="551"/>
    </row>
    <row r="125" spans="1:16" s="553" customFormat="1" ht="30" customHeight="1">
      <c r="A125" s="556"/>
      <c r="B125" s="549"/>
      <c r="C125" s="549"/>
      <c r="D125" s="557"/>
      <c r="E125" s="552"/>
      <c r="F125" s="558"/>
      <c r="G125" s="256"/>
      <c r="H125" s="253"/>
      <c r="I125" s="253"/>
      <c r="J125" s="550"/>
      <c r="K125" s="551"/>
      <c r="L125" s="550"/>
      <c r="M125" s="551"/>
      <c r="N125" s="551"/>
      <c r="O125" s="551"/>
      <c r="P125" s="551"/>
    </row>
    <row r="126" spans="1:16" s="553" customFormat="1" ht="30" customHeight="1">
      <c r="A126" s="556"/>
      <c r="B126" s="549"/>
      <c r="C126" s="549"/>
      <c r="D126" s="557"/>
      <c r="E126" s="552"/>
      <c r="F126" s="558"/>
      <c r="G126" s="256"/>
      <c r="H126" s="253"/>
      <c r="I126" s="253"/>
      <c r="J126" s="550"/>
      <c r="K126" s="551"/>
      <c r="L126" s="550"/>
      <c r="M126" s="551"/>
      <c r="N126" s="551"/>
      <c r="O126" s="551"/>
      <c r="P126" s="551"/>
    </row>
    <row r="127" spans="1:16" s="553" customFormat="1" ht="30" customHeight="1">
      <c r="A127" s="556"/>
      <c r="B127" s="549"/>
      <c r="C127" s="549"/>
      <c r="D127" s="557"/>
      <c r="E127" s="552"/>
      <c r="F127" s="558"/>
      <c r="G127" s="256"/>
      <c r="H127" s="253"/>
      <c r="I127" s="569"/>
      <c r="J127" s="559"/>
      <c r="K127" s="551"/>
      <c r="L127" s="550"/>
      <c r="M127" s="551"/>
      <c r="N127" s="551"/>
      <c r="O127" s="551"/>
      <c r="P127" s="551"/>
    </row>
    <row r="128" spans="1:16" s="553" customFormat="1" ht="30" customHeight="1">
      <c r="A128" s="556"/>
      <c r="B128" s="549"/>
      <c r="C128" s="549"/>
      <c r="D128" s="557"/>
      <c r="E128" s="552"/>
      <c r="F128" s="558"/>
      <c r="G128" s="256"/>
      <c r="H128" s="253"/>
      <c r="I128" s="569"/>
      <c r="J128" s="559"/>
      <c r="K128" s="551"/>
      <c r="L128" s="550"/>
      <c r="M128" s="551"/>
      <c r="N128" s="551"/>
      <c r="O128" s="551"/>
      <c r="P128" s="551"/>
    </row>
    <row r="129" spans="1:16" s="553" customFormat="1" ht="30" customHeight="1">
      <c r="A129" s="556"/>
      <c r="B129" s="549"/>
      <c r="C129" s="549"/>
      <c r="D129" s="557"/>
      <c r="E129" s="552"/>
      <c r="F129" s="558"/>
      <c r="G129" s="256"/>
      <c r="H129" s="253"/>
      <c r="I129" s="253"/>
      <c r="J129" s="550"/>
      <c r="K129" s="551"/>
      <c r="L129" s="550"/>
      <c r="M129" s="551"/>
      <c r="N129" s="551"/>
      <c r="O129" s="551"/>
      <c r="P129" s="551"/>
    </row>
    <row r="130" spans="1:16" s="553" customFormat="1" ht="30" customHeight="1">
      <c r="A130" s="556"/>
      <c r="B130" s="549"/>
      <c r="C130" s="549"/>
      <c r="D130" s="557"/>
      <c r="E130" s="552"/>
      <c r="F130" s="558"/>
      <c r="G130" s="256"/>
      <c r="H130" s="253"/>
      <c r="I130" s="253"/>
      <c r="J130" s="550"/>
      <c r="K130" s="551"/>
      <c r="L130" s="550"/>
      <c r="M130" s="551"/>
      <c r="N130" s="551"/>
      <c r="O130" s="551"/>
      <c r="P130" s="551"/>
    </row>
    <row r="131" spans="1:16" s="553" customFormat="1" ht="30" customHeight="1">
      <c r="A131" s="556"/>
      <c r="B131" s="549"/>
      <c r="C131" s="549"/>
      <c r="D131" s="557"/>
      <c r="E131" s="552"/>
      <c r="F131" s="558"/>
      <c r="G131" s="256"/>
      <c r="H131" s="253"/>
      <c r="I131" s="569"/>
      <c r="J131" s="559"/>
      <c r="K131" s="551"/>
      <c r="L131" s="550"/>
      <c r="M131" s="551"/>
      <c r="N131" s="551"/>
      <c r="O131" s="551"/>
      <c r="P131" s="551"/>
    </row>
    <row r="132" spans="1:16" s="553" customFormat="1" ht="30" customHeight="1">
      <c r="A132" s="556"/>
      <c r="B132" s="549"/>
      <c r="C132" s="549"/>
      <c r="D132" s="557"/>
      <c r="E132" s="552"/>
      <c r="F132" s="558"/>
      <c r="G132" s="256"/>
      <c r="H132" s="253"/>
      <c r="I132" s="253"/>
      <c r="J132" s="550"/>
      <c r="K132" s="551"/>
      <c r="L132" s="550"/>
      <c r="M132" s="551"/>
      <c r="N132" s="551"/>
      <c r="O132" s="551"/>
      <c r="P132" s="551"/>
    </row>
    <row r="133" spans="1:16" s="553" customFormat="1" ht="30" customHeight="1">
      <c r="A133" s="556"/>
      <c r="B133" s="549"/>
      <c r="C133" s="549"/>
      <c r="D133" s="557"/>
      <c r="E133" s="552"/>
      <c r="F133" s="558"/>
      <c r="G133" s="256"/>
      <c r="H133" s="253"/>
      <c r="I133" s="253"/>
      <c r="J133" s="550"/>
      <c r="K133" s="551"/>
      <c r="L133" s="550"/>
      <c r="M133" s="551"/>
      <c r="N133" s="551"/>
      <c r="O133" s="551"/>
      <c r="P133" s="551"/>
    </row>
    <row r="134" spans="1:16" s="553" customFormat="1" ht="30" customHeight="1">
      <c r="A134" s="556"/>
      <c r="B134" s="549"/>
      <c r="C134" s="549"/>
      <c r="D134" s="557"/>
      <c r="E134" s="549"/>
      <c r="F134" s="558"/>
      <c r="G134" s="256"/>
      <c r="H134" s="253"/>
      <c r="I134" s="569"/>
      <c r="J134" s="559"/>
      <c r="K134" s="551"/>
      <c r="L134" s="550"/>
      <c r="M134" s="551"/>
      <c r="N134" s="551"/>
      <c r="O134" s="551"/>
      <c r="P134" s="551"/>
    </row>
    <row r="135" spans="1:16" s="553" customFormat="1" ht="30" customHeight="1">
      <c r="A135" s="556"/>
      <c r="B135" s="549"/>
      <c r="C135" s="549"/>
      <c r="D135" s="557"/>
      <c r="E135" s="552"/>
      <c r="F135" s="558"/>
      <c r="G135" s="256"/>
      <c r="H135" s="253"/>
      <c r="I135" s="569"/>
      <c r="J135" s="559"/>
      <c r="K135" s="551"/>
      <c r="L135" s="550"/>
      <c r="M135" s="551"/>
      <c r="N135" s="551"/>
      <c r="O135" s="551"/>
      <c r="P135" s="551"/>
    </row>
    <row r="136" spans="1:16" s="553" customFormat="1" ht="30" customHeight="1">
      <c r="A136" s="556"/>
      <c r="B136" s="549"/>
      <c r="C136" s="549"/>
      <c r="D136" s="557"/>
      <c r="E136" s="549"/>
      <c r="F136" s="558"/>
      <c r="G136" s="256"/>
      <c r="H136" s="253"/>
      <c r="I136" s="569"/>
      <c r="J136" s="559"/>
      <c r="K136" s="551"/>
      <c r="L136" s="550"/>
      <c r="M136" s="551"/>
      <c r="N136" s="551"/>
      <c r="O136" s="551"/>
      <c r="P136" s="551"/>
    </row>
    <row r="137" spans="1:16" s="553" customFormat="1" ht="30" customHeight="1">
      <c r="A137" s="556"/>
      <c r="B137" s="549"/>
      <c r="C137" s="549"/>
      <c r="D137" s="557"/>
      <c r="E137" s="549"/>
      <c r="F137" s="558"/>
      <c r="G137" s="256"/>
      <c r="H137" s="253"/>
      <c r="I137" s="569"/>
      <c r="J137" s="559"/>
      <c r="K137" s="551"/>
      <c r="L137" s="550"/>
      <c r="M137" s="551"/>
      <c r="N137" s="551"/>
      <c r="O137" s="551"/>
      <c r="P137" s="551"/>
    </row>
    <row r="138" spans="1:16" s="553" customFormat="1" ht="30" customHeight="1">
      <c r="A138" s="556"/>
      <c r="B138" s="549"/>
      <c r="C138" s="549"/>
      <c r="D138" s="557"/>
      <c r="E138" s="552"/>
      <c r="F138" s="558"/>
      <c r="G138" s="557"/>
      <c r="H138" s="253"/>
      <c r="I138" s="569"/>
      <c r="J138" s="559"/>
      <c r="K138" s="551"/>
      <c r="L138" s="550"/>
      <c r="M138" s="551"/>
      <c r="N138" s="551"/>
      <c r="O138" s="551"/>
      <c r="P138" s="551"/>
    </row>
    <row r="139" spans="1:16" s="553" customFormat="1" ht="30" customHeight="1">
      <c r="A139" s="556"/>
      <c r="B139" s="549"/>
      <c r="C139" s="549"/>
      <c r="D139" s="557"/>
      <c r="E139" s="552"/>
      <c r="F139" s="550"/>
      <c r="G139" s="557"/>
      <c r="H139" s="253"/>
      <c r="I139" s="569"/>
      <c r="J139" s="559"/>
      <c r="K139" s="551"/>
      <c r="L139" s="550"/>
      <c r="M139" s="551"/>
      <c r="N139" s="551"/>
      <c r="O139" s="551"/>
      <c r="P139" s="551"/>
    </row>
    <row r="140" spans="1:16" s="553" customFormat="1" ht="30" customHeight="1">
      <c r="A140" s="556"/>
      <c r="B140" s="549"/>
      <c r="C140" s="549"/>
      <c r="D140" s="557"/>
      <c r="E140" s="552"/>
      <c r="F140" s="558"/>
      <c r="G140" s="557"/>
      <c r="H140" s="253"/>
      <c r="I140" s="569"/>
      <c r="J140" s="559"/>
      <c r="K140" s="551"/>
      <c r="L140" s="550"/>
      <c r="M140" s="551"/>
      <c r="N140" s="551"/>
      <c r="O140" s="551"/>
      <c r="P140" s="551"/>
    </row>
    <row r="141" spans="1:16" s="553" customFormat="1" ht="30" customHeight="1">
      <c r="A141" s="556"/>
      <c r="B141" s="549"/>
      <c r="C141" s="549"/>
      <c r="D141" s="557"/>
      <c r="E141" s="552"/>
      <c r="F141" s="558"/>
      <c r="G141" s="557"/>
      <c r="H141" s="253"/>
      <c r="I141" s="569"/>
      <c r="J141" s="559"/>
      <c r="K141" s="551"/>
      <c r="L141" s="550"/>
      <c r="M141" s="551"/>
      <c r="N141" s="551"/>
      <c r="O141" s="551"/>
      <c r="P141" s="551"/>
    </row>
    <row r="142" spans="1:16" s="553" customFormat="1" ht="30" customHeight="1">
      <c r="A142" s="556"/>
      <c r="B142" s="549"/>
      <c r="C142" s="549"/>
      <c r="D142" s="557"/>
      <c r="E142" s="549"/>
      <c r="F142" s="558"/>
      <c r="G142" s="557"/>
      <c r="H142" s="253"/>
      <c r="I142" s="569"/>
      <c r="J142" s="559"/>
      <c r="K142" s="551"/>
      <c r="L142" s="550"/>
      <c r="M142" s="551"/>
      <c r="N142" s="551"/>
      <c r="O142" s="551"/>
      <c r="P142" s="551"/>
    </row>
    <row r="143" spans="1:16" s="553" customFormat="1" ht="30" customHeight="1">
      <c r="A143" s="556"/>
      <c r="B143" s="549"/>
      <c r="C143" s="549"/>
      <c r="D143" s="557"/>
      <c r="E143" s="552"/>
      <c r="F143" s="558"/>
      <c r="G143" s="557"/>
      <c r="H143" s="253"/>
      <c r="I143" s="569"/>
      <c r="J143" s="559"/>
      <c r="K143" s="551"/>
      <c r="L143" s="550"/>
      <c r="M143" s="551"/>
      <c r="N143" s="551"/>
      <c r="O143" s="551"/>
      <c r="P143" s="551"/>
    </row>
    <row r="144" spans="1:16" s="553" customFormat="1" ht="30" customHeight="1">
      <c r="A144" s="556"/>
      <c r="B144" s="549"/>
      <c r="C144" s="549"/>
      <c r="D144" s="557"/>
      <c r="E144" s="552"/>
      <c r="F144" s="550"/>
      <c r="G144" s="557"/>
      <c r="H144" s="253"/>
      <c r="I144" s="569"/>
      <c r="J144" s="559"/>
      <c r="K144" s="551"/>
      <c r="L144" s="550"/>
      <c r="M144" s="551"/>
      <c r="N144" s="551"/>
      <c r="O144" s="551"/>
      <c r="P144" s="551"/>
    </row>
    <row r="145" spans="1:16" s="553" customFormat="1" ht="30" customHeight="1">
      <c r="A145" s="556"/>
      <c r="B145" s="549"/>
      <c r="C145" s="549"/>
      <c r="D145" s="557"/>
      <c r="E145" s="552"/>
      <c r="F145" s="558"/>
      <c r="G145" s="557"/>
      <c r="H145" s="253"/>
      <c r="I145" s="569"/>
      <c r="J145" s="559"/>
      <c r="K145" s="551"/>
      <c r="L145" s="550"/>
      <c r="M145" s="551"/>
      <c r="N145" s="551"/>
      <c r="O145" s="551"/>
      <c r="P145" s="551"/>
    </row>
    <row r="146" spans="1:16" s="553" customFormat="1" ht="30" customHeight="1">
      <c r="A146" s="556"/>
      <c r="B146" s="549"/>
      <c r="C146" s="549"/>
      <c r="D146" s="557"/>
      <c r="E146" s="552"/>
      <c r="F146" s="558"/>
      <c r="G146" s="557"/>
      <c r="H146" s="253"/>
      <c r="I146" s="569"/>
      <c r="J146" s="559"/>
      <c r="K146" s="551"/>
      <c r="L146" s="550"/>
      <c r="M146" s="551"/>
      <c r="N146" s="551"/>
      <c r="O146" s="551"/>
      <c r="P146" s="551"/>
    </row>
    <row r="147" spans="1:16" s="553" customFormat="1" ht="30" customHeight="1">
      <c r="A147" s="556"/>
      <c r="B147" s="549"/>
      <c r="C147" s="549"/>
      <c r="D147" s="557"/>
      <c r="E147" s="552"/>
      <c r="F147" s="558"/>
      <c r="G147" s="557"/>
      <c r="H147" s="253"/>
      <c r="I147" s="569"/>
      <c r="J147" s="559"/>
      <c r="K147" s="551"/>
      <c r="L147" s="550"/>
      <c r="M147" s="551"/>
      <c r="N147" s="551"/>
      <c r="O147" s="551"/>
      <c r="P147" s="551"/>
    </row>
    <row r="148" spans="1:16" s="553" customFormat="1" ht="30" customHeight="1">
      <c r="A148" s="556"/>
      <c r="B148" s="549"/>
      <c r="C148" s="549"/>
      <c r="D148" s="557"/>
      <c r="E148" s="552"/>
      <c r="F148" s="558"/>
      <c r="G148" s="557"/>
      <c r="H148" s="253"/>
      <c r="I148" s="569"/>
      <c r="J148" s="559"/>
      <c r="K148" s="551"/>
      <c r="L148" s="550"/>
      <c r="M148" s="551"/>
      <c r="N148" s="551"/>
      <c r="O148" s="551"/>
      <c r="P148" s="551"/>
    </row>
    <row r="149" spans="1:16" s="553" customFormat="1" ht="30" customHeight="1">
      <c r="A149" s="556"/>
      <c r="B149" s="549"/>
      <c r="C149" s="549"/>
      <c r="D149" s="557"/>
      <c r="E149" s="552"/>
      <c r="F149" s="558"/>
      <c r="G149" s="557"/>
      <c r="H149" s="253"/>
      <c r="I149" s="569"/>
      <c r="J149" s="559"/>
      <c r="K149" s="551"/>
      <c r="L149" s="550"/>
      <c r="M149" s="551"/>
      <c r="N149" s="551"/>
      <c r="O149" s="551"/>
      <c r="P149" s="551"/>
    </row>
    <row r="150" spans="1:16" s="553" customFormat="1" ht="30" customHeight="1">
      <c r="A150" s="556"/>
      <c r="B150" s="549"/>
      <c r="C150" s="549"/>
      <c r="D150" s="557"/>
      <c r="E150" s="552"/>
      <c r="F150" s="558"/>
      <c r="G150" s="557"/>
      <c r="H150" s="253"/>
      <c r="I150" s="569"/>
      <c r="J150" s="559"/>
      <c r="K150" s="551"/>
      <c r="L150" s="550"/>
      <c r="M150" s="551"/>
      <c r="N150" s="551"/>
      <c r="O150" s="551"/>
      <c r="P150" s="551"/>
    </row>
    <row r="151" spans="1:16" s="553" customFormat="1" ht="30" customHeight="1">
      <c r="A151" s="556"/>
      <c r="B151" s="549"/>
      <c r="C151" s="549"/>
      <c r="D151" s="557"/>
      <c r="E151" s="552"/>
      <c r="F151" s="558"/>
      <c r="G151" s="557"/>
      <c r="H151" s="253"/>
      <c r="I151" s="569"/>
      <c r="J151" s="559"/>
      <c r="K151" s="551"/>
      <c r="L151" s="550"/>
      <c r="M151" s="551"/>
      <c r="N151" s="551"/>
      <c r="O151" s="551"/>
      <c r="P151" s="551"/>
    </row>
    <row r="152" spans="1:16" s="553" customFormat="1" ht="30" customHeight="1">
      <c r="A152" s="556"/>
      <c r="B152" s="549"/>
      <c r="C152" s="549"/>
      <c r="D152" s="557"/>
      <c r="E152" s="549"/>
      <c r="F152" s="558"/>
      <c r="G152" s="557"/>
      <c r="H152" s="253"/>
      <c r="I152" s="569"/>
      <c r="J152" s="559"/>
      <c r="K152" s="551"/>
      <c r="L152" s="550"/>
      <c r="M152" s="551"/>
      <c r="N152" s="551"/>
      <c r="O152" s="551"/>
      <c r="P152" s="551"/>
    </row>
    <row r="153" spans="1:16" s="553" customFormat="1" ht="30" customHeight="1">
      <c r="A153" s="556"/>
      <c r="B153" s="549"/>
      <c r="C153" s="549"/>
      <c r="D153" s="557"/>
      <c r="E153" s="555"/>
      <c r="F153" s="558"/>
      <c r="G153" s="557"/>
      <c r="H153" s="253"/>
      <c r="I153" s="253"/>
      <c r="J153" s="550"/>
      <c r="K153" s="551"/>
      <c r="L153" s="550"/>
      <c r="M153" s="551"/>
      <c r="N153" s="551"/>
      <c r="O153" s="551"/>
      <c r="P153" s="551"/>
    </row>
    <row r="154" spans="1:16" s="553" customFormat="1" ht="30" customHeight="1">
      <c r="A154" s="556"/>
      <c r="B154" s="549"/>
      <c r="C154" s="549"/>
      <c r="D154" s="557"/>
      <c r="E154" s="549"/>
      <c r="F154" s="558"/>
      <c r="G154" s="557"/>
      <c r="H154" s="253"/>
      <c r="I154" s="569"/>
      <c r="J154" s="559"/>
      <c r="K154" s="551"/>
      <c r="L154" s="550"/>
      <c r="M154" s="551"/>
      <c r="N154" s="551"/>
      <c r="O154" s="551"/>
      <c r="P154" s="551"/>
    </row>
    <row r="155" spans="1:16" s="553" customFormat="1" ht="30" customHeight="1">
      <c r="A155" s="556"/>
      <c r="B155" s="549"/>
      <c r="C155" s="549"/>
      <c r="D155" s="557"/>
      <c r="E155" s="552"/>
      <c r="F155" s="558"/>
      <c r="G155" s="557"/>
      <c r="H155" s="253"/>
      <c r="I155" s="569"/>
      <c r="J155" s="559"/>
      <c r="K155" s="551"/>
      <c r="L155" s="550"/>
      <c r="M155" s="551"/>
      <c r="N155" s="551"/>
      <c r="O155" s="551"/>
      <c r="P155" s="551"/>
    </row>
    <row r="156" spans="1:16" s="553" customFormat="1" ht="30" customHeight="1">
      <c r="A156" s="556"/>
      <c r="B156" s="549"/>
      <c r="C156" s="549"/>
      <c r="D156" s="557"/>
      <c r="E156" s="552"/>
      <c r="F156" s="558"/>
      <c r="G156" s="557"/>
      <c r="H156" s="253"/>
      <c r="I156" s="569"/>
      <c r="J156" s="559"/>
      <c r="K156" s="551"/>
      <c r="L156" s="550"/>
      <c r="M156" s="551"/>
      <c r="N156" s="551"/>
      <c r="O156" s="551"/>
      <c r="P156" s="551"/>
    </row>
    <row r="157" spans="1:16" s="553" customFormat="1" ht="30" customHeight="1">
      <c r="A157" s="556"/>
      <c r="B157" s="549"/>
      <c r="C157" s="549"/>
      <c r="D157" s="557"/>
      <c r="E157" s="552"/>
      <c r="F157" s="550"/>
      <c r="G157" s="557"/>
      <c r="H157" s="253"/>
      <c r="I157" s="569"/>
      <c r="J157" s="559"/>
      <c r="K157" s="551"/>
      <c r="L157" s="550"/>
      <c r="M157" s="551"/>
      <c r="N157" s="551"/>
      <c r="O157" s="551"/>
      <c r="P157" s="551"/>
    </row>
    <row r="158" spans="1:16" s="553" customFormat="1" ht="30" customHeight="1">
      <c r="A158" s="556"/>
      <c r="B158" s="549"/>
      <c r="C158" s="549"/>
      <c r="D158" s="557"/>
      <c r="E158" s="565"/>
      <c r="F158" s="558"/>
      <c r="G158" s="557"/>
      <c r="H158" s="253"/>
      <c r="I158" s="569"/>
      <c r="J158" s="559"/>
      <c r="K158" s="551"/>
      <c r="L158" s="551"/>
      <c r="M158" s="551"/>
      <c r="N158" s="551"/>
      <c r="O158" s="551"/>
      <c r="P158" s="551"/>
    </row>
    <row r="159" spans="1:16" s="553" customFormat="1" ht="30" customHeight="1">
      <c r="A159" s="556"/>
      <c r="B159" s="549"/>
      <c r="C159" s="549"/>
      <c r="D159" s="557"/>
      <c r="E159" s="552"/>
      <c r="F159" s="558"/>
      <c r="G159" s="557"/>
      <c r="H159" s="253"/>
      <c r="I159" s="253"/>
      <c r="J159" s="550"/>
      <c r="K159" s="551"/>
      <c r="L159" s="550"/>
      <c r="M159" s="551"/>
      <c r="N159" s="551"/>
      <c r="O159" s="551"/>
      <c r="P159" s="551"/>
    </row>
    <row r="160" spans="1:16" s="553" customFormat="1" ht="30" customHeight="1">
      <c r="A160" s="556"/>
      <c r="B160" s="550"/>
      <c r="C160" s="549"/>
      <c r="D160" s="557"/>
      <c r="E160" s="552"/>
      <c r="F160" s="558"/>
      <c r="G160" s="557"/>
      <c r="H160" s="253"/>
      <c r="I160" s="569"/>
      <c r="J160" s="559"/>
      <c r="K160" s="551"/>
      <c r="L160" s="550"/>
      <c r="M160" s="551"/>
      <c r="N160" s="551"/>
      <c r="O160" s="551"/>
      <c r="P160" s="551"/>
    </row>
    <row r="161" spans="1:16" s="553" customFormat="1" ht="30" customHeight="1">
      <c r="A161" s="556"/>
      <c r="B161" s="549"/>
      <c r="C161" s="549"/>
      <c r="D161" s="557"/>
      <c r="E161" s="552"/>
      <c r="F161" s="558"/>
      <c r="G161" s="557"/>
      <c r="H161" s="253"/>
      <c r="I161" s="569"/>
      <c r="J161" s="559"/>
      <c r="K161" s="551"/>
      <c r="L161" s="550"/>
      <c r="M161" s="551"/>
      <c r="N161" s="551"/>
      <c r="O161" s="551"/>
      <c r="P161" s="551"/>
    </row>
    <row r="162" spans="1:16" s="553" customFormat="1" ht="30" customHeight="1">
      <c r="A162" s="556"/>
      <c r="B162" s="549"/>
      <c r="C162" s="549"/>
      <c r="D162" s="557"/>
      <c r="E162" s="552"/>
      <c r="F162" s="558"/>
      <c r="G162" s="557"/>
      <c r="H162" s="253"/>
      <c r="I162" s="569"/>
      <c r="J162" s="559"/>
      <c r="K162" s="551"/>
      <c r="L162" s="550"/>
      <c r="M162" s="551"/>
      <c r="N162" s="551"/>
      <c r="O162" s="551"/>
      <c r="P162" s="551"/>
    </row>
    <row r="163" spans="1:16" s="553" customFormat="1" ht="30" customHeight="1">
      <c r="A163" s="556"/>
      <c r="B163" s="549"/>
      <c r="C163" s="549"/>
      <c r="D163" s="557"/>
      <c r="E163" s="552"/>
      <c r="F163" s="558"/>
      <c r="G163" s="557"/>
      <c r="H163" s="253"/>
      <c r="I163" s="569"/>
      <c r="J163" s="559"/>
      <c r="K163" s="551"/>
      <c r="L163" s="550"/>
      <c r="M163" s="551"/>
      <c r="N163" s="551"/>
      <c r="O163" s="551"/>
      <c r="P163" s="551"/>
    </row>
    <row r="164" spans="1:16" s="553" customFormat="1" ht="30" customHeight="1">
      <c r="A164" s="556"/>
      <c r="B164" s="549"/>
      <c r="C164" s="549"/>
      <c r="D164" s="557"/>
      <c r="E164" s="552"/>
      <c r="F164" s="558"/>
      <c r="G164" s="557"/>
      <c r="H164" s="253"/>
      <c r="I164" s="569"/>
      <c r="J164" s="559"/>
      <c r="K164" s="551"/>
      <c r="L164" s="550"/>
      <c r="M164" s="551"/>
      <c r="N164" s="551"/>
      <c r="O164" s="551"/>
      <c r="P164" s="551"/>
    </row>
    <row r="165" spans="1:16" s="553" customFormat="1" ht="30" customHeight="1">
      <c r="A165" s="556"/>
      <c r="B165" s="549"/>
      <c r="C165" s="549"/>
      <c r="D165" s="557"/>
      <c r="E165" s="549"/>
      <c r="F165" s="558"/>
      <c r="G165" s="557"/>
      <c r="H165" s="253"/>
      <c r="I165" s="253"/>
      <c r="J165" s="550"/>
      <c r="K165" s="551"/>
      <c r="L165" s="550"/>
      <c r="M165" s="551"/>
      <c r="N165" s="551"/>
      <c r="O165" s="551"/>
      <c r="P165" s="551"/>
    </row>
    <row r="166" spans="1:16" s="553" customFormat="1" ht="30" customHeight="1">
      <c r="A166" s="556"/>
      <c r="B166" s="549"/>
      <c r="C166" s="549"/>
      <c r="D166" s="557"/>
      <c r="E166" s="555"/>
      <c r="F166" s="550"/>
      <c r="G166" s="557"/>
      <c r="H166" s="253"/>
      <c r="I166" s="569"/>
      <c r="J166" s="559"/>
      <c r="K166" s="551"/>
      <c r="L166" s="550"/>
      <c r="M166" s="551"/>
      <c r="N166" s="551"/>
      <c r="O166" s="551"/>
      <c r="P166" s="551"/>
    </row>
    <row r="167" spans="1:16" s="553" customFormat="1" ht="30" customHeight="1">
      <c r="A167" s="556"/>
      <c r="B167" s="549"/>
      <c r="C167" s="549"/>
      <c r="D167" s="557"/>
      <c r="E167" s="565"/>
      <c r="F167" s="558"/>
      <c r="G167" s="557"/>
      <c r="H167" s="253"/>
      <c r="I167" s="569"/>
      <c r="J167" s="559"/>
      <c r="K167" s="551"/>
      <c r="L167" s="550"/>
      <c r="M167" s="551"/>
      <c r="N167" s="551"/>
      <c r="O167" s="551"/>
      <c r="P167" s="551"/>
    </row>
    <row r="168" spans="1:16" s="553" customFormat="1" ht="30" customHeight="1">
      <c r="A168" s="556"/>
      <c r="B168" s="549"/>
      <c r="C168" s="549"/>
      <c r="D168" s="557"/>
      <c r="E168" s="552"/>
      <c r="F168" s="558"/>
      <c r="G168" s="557"/>
      <c r="H168" s="253"/>
      <c r="I168" s="569"/>
      <c r="J168" s="559"/>
      <c r="K168" s="551"/>
      <c r="L168" s="550"/>
      <c r="M168" s="551"/>
      <c r="N168" s="551"/>
      <c r="O168" s="551"/>
      <c r="P168" s="551"/>
    </row>
    <row r="169" spans="1:16" s="553" customFormat="1" ht="30" customHeight="1">
      <c r="A169" s="556"/>
      <c r="B169" s="549"/>
      <c r="C169" s="549"/>
      <c r="D169" s="557"/>
      <c r="E169" s="552"/>
      <c r="F169" s="550"/>
      <c r="G169" s="557"/>
      <c r="H169" s="568"/>
      <c r="I169" s="568"/>
      <c r="J169" s="550"/>
      <c r="K169" s="551"/>
      <c r="L169" s="550"/>
      <c r="M169" s="551"/>
      <c r="N169" s="551"/>
      <c r="O169" s="551"/>
      <c r="P169" s="551"/>
    </row>
    <row r="170" spans="1:16" s="553" customFormat="1" ht="30" customHeight="1">
      <c r="A170" s="556"/>
      <c r="B170" s="550"/>
      <c r="C170" s="549"/>
      <c r="D170" s="557"/>
      <c r="E170" s="552"/>
      <c r="F170" s="558"/>
      <c r="G170" s="557"/>
      <c r="H170" s="253"/>
      <c r="I170" s="569"/>
      <c r="J170" s="559"/>
      <c r="K170" s="551"/>
      <c r="L170" s="550"/>
      <c r="M170" s="551"/>
      <c r="N170" s="551"/>
      <c r="O170" s="551"/>
      <c r="P170" s="551"/>
    </row>
    <row r="171" spans="1:16" s="553" customFormat="1" ht="30" customHeight="1">
      <c r="A171" s="556"/>
      <c r="B171" s="549"/>
      <c r="C171" s="549"/>
      <c r="D171" s="557"/>
      <c r="E171" s="552"/>
      <c r="F171" s="558"/>
      <c r="G171" s="557"/>
      <c r="H171" s="253"/>
      <c r="I171" s="253"/>
      <c r="J171" s="550"/>
      <c r="K171" s="551"/>
      <c r="L171" s="550"/>
      <c r="M171" s="551"/>
      <c r="N171" s="551"/>
      <c r="O171" s="551"/>
      <c r="P171" s="551"/>
    </row>
    <row r="172" spans="1:16" s="553" customFormat="1" ht="30" customHeight="1">
      <c r="A172" s="556"/>
      <c r="B172" s="549"/>
      <c r="C172" s="549"/>
      <c r="D172" s="557"/>
      <c r="E172" s="565"/>
      <c r="F172" s="558"/>
      <c r="G172" s="557"/>
      <c r="H172" s="253"/>
      <c r="I172" s="569"/>
      <c r="J172" s="559"/>
      <c r="K172" s="551"/>
      <c r="L172" s="550"/>
      <c r="M172" s="551"/>
      <c r="N172" s="551"/>
      <c r="O172" s="551"/>
      <c r="P172" s="551"/>
    </row>
    <row r="173" spans="1:16" s="553" customFormat="1" ht="30" customHeight="1">
      <c r="A173" s="556"/>
      <c r="B173" s="549"/>
      <c r="C173" s="549"/>
      <c r="D173" s="557"/>
      <c r="E173" s="552"/>
      <c r="F173" s="550"/>
      <c r="G173" s="557"/>
      <c r="H173" s="253"/>
      <c r="I173" s="569"/>
      <c r="J173" s="559"/>
      <c r="K173" s="551"/>
      <c r="L173" s="550"/>
      <c r="M173" s="551"/>
      <c r="N173" s="551"/>
      <c r="O173" s="551"/>
      <c r="P173" s="551"/>
    </row>
    <row r="174" spans="1:16" s="553" customFormat="1" ht="30" customHeight="1">
      <c r="A174" s="556"/>
      <c r="B174" s="549"/>
      <c r="C174" s="549"/>
      <c r="D174" s="557"/>
      <c r="E174" s="552"/>
      <c r="F174" s="550"/>
      <c r="G174" s="557"/>
      <c r="H174" s="253"/>
      <c r="I174" s="569"/>
      <c r="J174" s="559"/>
      <c r="K174" s="551"/>
      <c r="L174" s="550"/>
      <c r="M174" s="551"/>
      <c r="N174" s="551"/>
      <c r="O174" s="551"/>
      <c r="P174" s="551"/>
    </row>
    <row r="175" spans="1:16" s="553" customFormat="1" ht="30" customHeight="1">
      <c r="A175" s="556"/>
      <c r="B175" s="549"/>
      <c r="C175" s="549"/>
      <c r="D175" s="557"/>
      <c r="E175" s="549"/>
      <c r="F175" s="550"/>
      <c r="G175" s="557"/>
      <c r="H175" s="253"/>
      <c r="I175" s="253"/>
      <c r="J175" s="550"/>
      <c r="K175" s="551"/>
      <c r="L175" s="550"/>
      <c r="M175" s="551"/>
      <c r="N175" s="551"/>
      <c r="O175" s="551"/>
      <c r="P175" s="551"/>
    </row>
    <row r="176" spans="1:16" s="553" customFormat="1" ht="30" customHeight="1">
      <c r="A176" s="556"/>
      <c r="B176" s="549"/>
      <c r="C176" s="549"/>
      <c r="D176" s="557"/>
      <c r="E176" s="552"/>
      <c r="F176" s="550"/>
      <c r="G176" s="557"/>
      <c r="H176" s="253"/>
      <c r="I176" s="253"/>
      <c r="J176" s="550"/>
      <c r="K176" s="551"/>
      <c r="L176" s="550"/>
      <c r="M176" s="551"/>
      <c r="N176" s="551"/>
      <c r="O176" s="551"/>
      <c r="P176" s="551"/>
    </row>
    <row r="177" spans="1:16" s="553" customFormat="1" ht="30" customHeight="1">
      <c r="A177" s="556"/>
      <c r="B177" s="549"/>
      <c r="C177" s="549"/>
      <c r="D177" s="557"/>
      <c r="E177" s="549"/>
      <c r="F177" s="550"/>
      <c r="G177" s="557"/>
      <c r="H177" s="253"/>
      <c r="I177" s="253"/>
      <c r="J177" s="550"/>
      <c r="K177" s="551"/>
      <c r="L177" s="550"/>
      <c r="M177" s="551"/>
      <c r="N177" s="551"/>
      <c r="O177" s="551"/>
      <c r="P177" s="551"/>
    </row>
    <row r="178" spans="1:16" s="553" customFormat="1" ht="30" customHeight="1">
      <c r="A178" s="556"/>
      <c r="B178" s="549"/>
      <c r="C178" s="549"/>
      <c r="D178" s="557"/>
      <c r="E178" s="552"/>
      <c r="F178" s="558"/>
      <c r="G178" s="557"/>
      <c r="H178" s="568"/>
      <c r="I178" s="568"/>
      <c r="J178" s="550"/>
      <c r="K178" s="551"/>
      <c r="L178" s="550"/>
      <c r="M178" s="551"/>
      <c r="N178" s="551"/>
      <c r="O178" s="551"/>
      <c r="P178" s="551"/>
    </row>
    <row r="179" spans="1:16" s="553" customFormat="1" ht="30" customHeight="1">
      <c r="A179" s="556"/>
      <c r="B179" s="549"/>
      <c r="C179" s="549"/>
      <c r="D179" s="557"/>
      <c r="E179" s="552"/>
      <c r="F179" s="550"/>
      <c r="G179" s="557"/>
      <c r="H179" s="253"/>
      <c r="I179" s="569"/>
      <c r="J179" s="559"/>
      <c r="K179" s="551"/>
      <c r="L179" s="550"/>
      <c r="M179" s="551"/>
      <c r="N179" s="551"/>
      <c r="O179" s="551"/>
      <c r="P179" s="551"/>
    </row>
    <row r="180" spans="1:16" s="553" customFormat="1" ht="30" customHeight="1">
      <c r="A180" s="556"/>
      <c r="B180" s="549"/>
      <c r="C180" s="549"/>
      <c r="D180" s="557"/>
      <c r="E180" s="552"/>
      <c r="F180" s="550"/>
      <c r="G180" s="557"/>
      <c r="H180" s="253"/>
      <c r="I180" s="569"/>
      <c r="J180" s="559"/>
      <c r="K180" s="551"/>
      <c r="L180" s="550"/>
      <c r="M180" s="551"/>
      <c r="N180" s="551"/>
      <c r="O180" s="551"/>
      <c r="P180" s="551"/>
    </row>
    <row r="181" spans="1:16" s="553" customFormat="1" ht="30" customHeight="1">
      <c r="A181" s="556"/>
      <c r="B181" s="549"/>
      <c r="C181" s="549"/>
      <c r="D181" s="557"/>
      <c r="E181" s="552"/>
      <c r="F181" s="550"/>
      <c r="G181" s="557"/>
      <c r="H181" s="253"/>
      <c r="I181" s="569"/>
      <c r="J181" s="559"/>
      <c r="K181" s="551"/>
      <c r="L181" s="550"/>
      <c r="M181" s="551"/>
      <c r="N181" s="551"/>
      <c r="O181" s="551"/>
      <c r="P181" s="551"/>
    </row>
    <row r="182" spans="1:16" s="553" customFormat="1" ht="30" customHeight="1">
      <c r="A182" s="556"/>
      <c r="B182" s="549"/>
      <c r="C182" s="549"/>
      <c r="D182" s="557"/>
      <c r="E182" s="552"/>
      <c r="F182" s="550"/>
      <c r="G182" s="557"/>
      <c r="H182" s="568"/>
      <c r="I182" s="617"/>
      <c r="J182" s="559"/>
      <c r="K182" s="551"/>
      <c r="L182" s="550"/>
      <c r="M182" s="551"/>
      <c r="N182" s="551"/>
      <c r="O182" s="551"/>
      <c r="P182" s="551"/>
    </row>
    <row r="183" spans="1:16" s="553" customFormat="1" ht="30" customHeight="1">
      <c r="A183" s="556"/>
      <c r="B183" s="549"/>
      <c r="C183" s="549"/>
      <c r="D183" s="557"/>
      <c r="E183" s="552"/>
      <c r="F183" s="550"/>
      <c r="G183" s="557"/>
      <c r="H183" s="253"/>
      <c r="I183" s="253"/>
      <c r="J183" s="550"/>
      <c r="K183" s="551"/>
      <c r="L183" s="550"/>
      <c r="M183" s="551"/>
      <c r="N183" s="551"/>
      <c r="O183" s="551"/>
      <c r="P183" s="551"/>
    </row>
    <row r="184" spans="1:16" s="553" customFormat="1" ht="30" customHeight="1">
      <c r="A184" s="556"/>
      <c r="B184" s="549"/>
      <c r="C184" s="549"/>
      <c r="D184" s="557"/>
      <c r="E184" s="552"/>
      <c r="F184" s="558"/>
      <c r="G184" s="557"/>
      <c r="H184" s="253"/>
      <c r="I184" s="253"/>
      <c r="J184" s="550"/>
      <c r="K184" s="551"/>
      <c r="L184" s="550"/>
      <c r="M184" s="551"/>
      <c r="N184" s="551"/>
      <c r="O184" s="551"/>
      <c r="P184" s="551"/>
    </row>
    <row r="185" spans="1:16" s="553" customFormat="1" ht="30" customHeight="1">
      <c r="A185" s="556"/>
      <c r="B185" s="549"/>
      <c r="C185" s="549"/>
      <c r="D185" s="557"/>
      <c r="E185" s="552"/>
      <c r="F185" s="558"/>
      <c r="G185" s="557"/>
      <c r="H185" s="253"/>
      <c r="I185" s="569"/>
      <c r="J185" s="559"/>
      <c r="K185" s="551"/>
      <c r="L185" s="550"/>
      <c r="M185" s="551"/>
      <c r="N185" s="551"/>
      <c r="O185" s="551"/>
      <c r="P185" s="551"/>
    </row>
    <row r="186" spans="1:16" ht="27" customHeight="1">
      <c r="A186" s="556"/>
      <c r="B186" s="549"/>
      <c r="C186" s="549"/>
      <c r="D186" s="557"/>
      <c r="E186" s="552"/>
      <c r="F186" s="550"/>
      <c r="G186" s="557"/>
      <c r="H186" s="569"/>
      <c r="I186" s="569"/>
      <c r="J186" s="550"/>
      <c r="K186" s="553"/>
      <c r="L186" s="570"/>
      <c r="M186" s="553"/>
      <c r="N186" s="553"/>
      <c r="O186" s="553"/>
      <c r="P186" s="553"/>
    </row>
    <row r="187" spans="1:16" ht="29.25" customHeight="1">
      <c r="A187" s="556"/>
      <c r="B187" s="549"/>
      <c r="C187" s="549"/>
      <c r="D187" s="557"/>
      <c r="E187" s="552"/>
      <c r="F187" s="550"/>
      <c r="G187" s="557"/>
      <c r="H187" s="253"/>
      <c r="I187" s="253"/>
      <c r="J187" s="550"/>
      <c r="K187" s="553"/>
      <c r="L187" s="570"/>
      <c r="M187" s="553"/>
      <c r="N187" s="553"/>
      <c r="O187" s="553"/>
      <c r="P187" s="553"/>
    </row>
  </sheetData>
  <autoFilter ref="A3:P187" xr:uid="{5744E25C-7B3A-4393-ACB4-09EF27C91DC9}"/>
  <sortState xmlns:xlrd2="http://schemas.microsoft.com/office/spreadsheetml/2017/richdata2" ref="O3:O43">
    <sortCondition sortBy="cellColor" ref="O43" dxfId="234"/>
  </sortState>
  <mergeCells count="1">
    <mergeCell ref="A2:O2"/>
  </mergeCells>
  <phoneticPr fontId="80" type="noConversion"/>
  <conditionalFormatting sqref="B112">
    <cfRule type="duplicateValues" dxfId="159" priority="15"/>
    <cfRule type="duplicateValues" dxfId="158" priority="16"/>
    <cfRule type="duplicateValues" dxfId="157" priority="17"/>
    <cfRule type="duplicateValues" dxfId="156" priority="18"/>
    <cfRule type="duplicateValues" dxfId="155" priority="19"/>
    <cfRule type="duplicateValues" dxfId="154" priority="20"/>
    <cfRule type="duplicateValues" dxfId="153" priority="12"/>
    <cfRule type="duplicateValues" dxfId="152" priority="13"/>
    <cfRule type="duplicateValues" dxfId="151" priority="14"/>
  </conditionalFormatting>
  <conditionalFormatting sqref="B113:B156 B1 B158 B160:B185 B188:B1048576 B4:B111">
    <cfRule type="duplicateValues" dxfId="150" priority="39"/>
  </conditionalFormatting>
  <conditionalFormatting sqref="B113:B156 B158 B160:B185 B18:B111">
    <cfRule type="duplicateValues" dxfId="149" priority="41"/>
  </conditionalFormatting>
  <conditionalFormatting sqref="B186">
    <cfRule type="duplicateValues" dxfId="148" priority="2"/>
    <cfRule type="duplicateValues" dxfId="147" priority="3"/>
  </conditionalFormatting>
  <conditionalFormatting sqref="B187">
    <cfRule type="duplicateValues" dxfId="146" priority="1"/>
  </conditionalFormatting>
  <conditionalFormatting sqref="H64:I64">
    <cfRule type="duplicateValues" dxfId="145" priority="38"/>
  </conditionalFormatting>
  <conditionalFormatting sqref="H65:I65">
    <cfRule type="duplicateValues" dxfId="144" priority="37"/>
  </conditionalFormatting>
  <conditionalFormatting sqref="H67:I67">
    <cfRule type="duplicateValues" dxfId="143" priority="36"/>
  </conditionalFormatting>
  <conditionalFormatting sqref="H68:I68">
    <cfRule type="duplicateValues" dxfId="142" priority="35"/>
  </conditionalFormatting>
  <conditionalFormatting sqref="H69:I69">
    <cfRule type="duplicateValues" dxfId="141" priority="34"/>
  </conditionalFormatting>
  <conditionalFormatting sqref="H70:I71">
    <cfRule type="duplicateValues" dxfId="140" priority="33"/>
  </conditionalFormatting>
  <conditionalFormatting sqref="H74:I74">
    <cfRule type="duplicateValues" dxfId="139" priority="32"/>
  </conditionalFormatting>
  <conditionalFormatting sqref="H75:I75">
    <cfRule type="duplicateValues" dxfId="138" priority="31"/>
  </conditionalFormatting>
  <conditionalFormatting sqref="H76:I76">
    <cfRule type="duplicateValues" dxfId="137" priority="30"/>
  </conditionalFormatting>
  <conditionalFormatting sqref="H77:I77">
    <cfRule type="duplicateValues" dxfId="136" priority="29"/>
  </conditionalFormatting>
  <conditionalFormatting sqref="H78:I78">
    <cfRule type="duplicateValues" dxfId="135" priority="28"/>
  </conditionalFormatting>
  <conditionalFormatting sqref="H79:I79">
    <cfRule type="duplicateValues" dxfId="134" priority="27"/>
  </conditionalFormatting>
  <conditionalFormatting sqref="H80:I80">
    <cfRule type="duplicateValues" dxfId="133" priority="26"/>
  </conditionalFormatting>
  <conditionalFormatting sqref="H81:I81">
    <cfRule type="duplicateValues" dxfId="132" priority="25"/>
  </conditionalFormatting>
  <conditionalFormatting sqref="H83:I84">
    <cfRule type="duplicateValues" dxfId="131" priority="24"/>
  </conditionalFormatting>
  <conditionalFormatting sqref="H86:I86">
    <cfRule type="duplicateValues" dxfId="130" priority="40"/>
  </conditionalFormatting>
  <conditionalFormatting sqref="H91:I91">
    <cfRule type="duplicateValues" dxfId="129" priority="22"/>
  </conditionalFormatting>
  <conditionalFormatting sqref="H92:I92">
    <cfRule type="duplicateValues" dxfId="128" priority="23"/>
  </conditionalFormatting>
  <conditionalFormatting sqref="H93:I93">
    <cfRule type="duplicateValues" dxfId="127" priority="21"/>
  </conditionalFormatting>
  <conditionalFormatting sqref="M25">
    <cfRule type="duplicateValues" dxfId="126" priority="4"/>
    <cfRule type="duplicateValues" dxfId="125" priority="5"/>
  </conditionalFormatting>
  <conditionalFormatting sqref="Y112">
    <cfRule type="duplicateValues" dxfId="124" priority="7"/>
    <cfRule type="duplicateValues" dxfId="123" priority="8"/>
    <cfRule type="duplicateValues" dxfId="122" priority="9"/>
    <cfRule type="duplicateValues" dxfId="121" priority="10"/>
    <cfRule type="duplicateValues" dxfId="120" priority="11"/>
  </conditionalFormatting>
  <pageMargins left="0.70866141732283472" right="0.70866141732283472" top="0.74803149606299213" bottom="0.74803149606299213" header="0.31496062992125984" footer="0.31496062992125984"/>
  <pageSetup paperSize="9" scale="5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D9C0-5319-4A7C-954C-EC9D72A81D93}">
  <sheetPr codeName="Sheet14">
    <pageSetUpPr fitToPage="1"/>
  </sheetPr>
  <dimension ref="A1:DY832"/>
  <sheetViews>
    <sheetView zoomScale="70" zoomScaleNormal="70" workbookViewId="0">
      <selection activeCell="BV87" sqref="BV87"/>
    </sheetView>
  </sheetViews>
  <sheetFormatPr defaultColWidth="8.5703125" defaultRowHeight="11.25"/>
  <cols>
    <col min="1" max="1" width="4.5703125" style="158" customWidth="1"/>
    <col min="2" max="2" width="8.42578125" style="158" customWidth="1"/>
    <col min="3" max="3" width="6.5703125" style="158" customWidth="1"/>
    <col min="4" max="4" width="8.42578125" style="158" customWidth="1"/>
    <col min="5" max="5" width="6.5703125" style="158" customWidth="1"/>
    <col min="6" max="6" width="8.42578125" style="158" customWidth="1"/>
    <col min="7" max="7" width="6.5703125" style="158" customWidth="1"/>
    <col min="8" max="8" width="8.42578125" style="158" customWidth="1"/>
    <col min="9" max="9" width="6.5703125" style="158" customWidth="1"/>
    <col min="10" max="10" width="8.42578125" style="158" customWidth="1"/>
    <col min="11" max="11" width="6.5703125" style="158" customWidth="1"/>
    <col min="12" max="12" width="8.42578125" style="158" customWidth="1"/>
    <col min="13" max="13" width="6.5703125" style="158" customWidth="1"/>
    <col min="14" max="14" width="8.42578125" style="158" customWidth="1"/>
    <col min="15" max="15" width="6.5703125" style="158" customWidth="1"/>
    <col min="16" max="16" width="8.42578125" style="158" customWidth="1"/>
    <col min="17" max="17" width="6.5703125" style="158" customWidth="1"/>
    <col min="18" max="18" width="8.5703125" style="158" customWidth="1"/>
    <col min="19" max="19" width="6.5703125" style="158" customWidth="1"/>
    <col min="20" max="20" width="8.42578125" style="158" customWidth="1"/>
    <col min="21" max="21" width="6.5703125" style="158" customWidth="1"/>
    <col min="22" max="22" width="8.42578125" style="158" customWidth="1"/>
    <col min="23" max="23" width="6.5703125" style="158" customWidth="1"/>
    <col min="24" max="24" width="8.42578125" style="158" customWidth="1"/>
    <col min="25" max="25" width="6.5703125" style="158" customWidth="1"/>
    <col min="26" max="26" width="8.42578125" style="158" customWidth="1"/>
    <col min="27" max="27" width="6.5703125" style="158" customWidth="1"/>
    <col min="28" max="28" width="8.42578125" style="158" customWidth="1"/>
    <col min="29" max="29" width="6.5703125" style="158" customWidth="1"/>
    <col min="30" max="30" width="8.42578125" style="158" customWidth="1"/>
    <col min="31" max="31" width="6.5703125" style="158" customWidth="1"/>
    <col min="32" max="32" width="16.28515625" style="158" customWidth="1"/>
    <col min="33" max="40" width="6.140625" style="158" hidden="1" customWidth="1"/>
    <col min="41" max="41" width="6.5703125" style="158" hidden="1" customWidth="1"/>
    <col min="42" max="62" width="6.140625" style="158" hidden="1" customWidth="1"/>
    <col min="63" max="72" width="0" style="158" hidden="1" customWidth="1"/>
    <col min="73" max="73" width="8.5703125" style="158" hidden="1" customWidth="1"/>
    <col min="74" max="76" width="8.5703125" style="158"/>
    <col min="77" max="77" width="16.42578125" style="158" bestFit="1" customWidth="1"/>
    <col min="78" max="78" width="23.42578125" style="158" bestFit="1" customWidth="1"/>
    <col min="79" max="79" width="25.140625" style="158" bestFit="1" customWidth="1"/>
    <col min="80" max="80" width="12.28515625" style="158" bestFit="1" customWidth="1"/>
    <col min="81" max="16384" width="8.5703125" style="158"/>
  </cols>
  <sheetData>
    <row r="1" spans="1:41" ht="27" thickBot="1">
      <c r="A1" s="688" t="s">
        <v>484</v>
      </c>
      <c r="B1" s="689"/>
      <c r="C1" s="689"/>
      <c r="D1" s="689"/>
      <c r="E1" s="689"/>
      <c r="F1" s="689"/>
      <c r="G1" s="689"/>
      <c r="H1" s="689"/>
      <c r="I1" s="689"/>
      <c r="J1" s="689"/>
      <c r="K1" s="689"/>
      <c r="L1" s="689"/>
      <c r="M1" s="689"/>
      <c r="N1" s="689"/>
      <c r="O1" s="689"/>
      <c r="P1" s="689"/>
      <c r="Q1" s="689"/>
      <c r="R1" s="689"/>
      <c r="S1" s="689"/>
      <c r="T1" s="689"/>
      <c r="U1" s="689"/>
      <c r="V1" s="689"/>
      <c r="W1" s="689"/>
      <c r="X1" s="689"/>
      <c r="Y1" s="689"/>
      <c r="Z1" s="689"/>
      <c r="AA1" s="689"/>
      <c r="AB1" s="689"/>
      <c r="AC1" s="689"/>
      <c r="AD1" s="689"/>
      <c r="AE1" s="689"/>
      <c r="AF1" s="690"/>
      <c r="AG1" s="170"/>
      <c r="AH1" s="170"/>
      <c r="AI1" s="170"/>
      <c r="AJ1" s="170"/>
      <c r="AK1" s="170"/>
      <c r="AL1" s="170"/>
      <c r="AM1" s="754"/>
      <c r="AN1" s="754"/>
      <c r="AO1" s="755"/>
    </row>
    <row r="2" spans="1:41" s="159" customFormat="1" ht="17.25">
      <c r="A2" s="340" t="s">
        <v>485</v>
      </c>
      <c r="B2" s="341"/>
      <c r="C2" s="341"/>
      <c r="D2" s="342"/>
      <c r="E2" s="343" t="s">
        <v>486</v>
      </c>
      <c r="F2" s="344"/>
      <c r="G2" s="345"/>
      <c r="H2" s="345"/>
      <c r="I2" s="345"/>
      <c r="J2" s="345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6"/>
      <c r="AG2" s="756"/>
      <c r="AH2" s="756"/>
      <c r="AI2" s="756"/>
      <c r="AJ2" s="756"/>
      <c r="AK2" s="756"/>
      <c r="AL2" s="756"/>
      <c r="AM2" s="756"/>
      <c r="AN2" s="756"/>
      <c r="AO2" s="757"/>
    </row>
    <row r="3" spans="1:41" s="159" customFormat="1" ht="17.100000000000001" customHeight="1">
      <c r="A3" s="340" t="s">
        <v>487</v>
      </c>
      <c r="B3" s="341"/>
      <c r="C3" s="341"/>
      <c r="D3" s="347"/>
      <c r="E3" s="343" t="s">
        <v>488</v>
      </c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6"/>
      <c r="AG3" s="758" t="s">
        <v>489</v>
      </c>
      <c r="AH3" s="759"/>
      <c r="AI3" s="759"/>
      <c r="AJ3" s="171" t="s">
        <v>490</v>
      </c>
      <c r="AK3" s="171"/>
      <c r="AL3" s="171"/>
      <c r="AM3" s="760" t="s">
        <v>491</v>
      </c>
      <c r="AN3" s="760" t="s">
        <v>492</v>
      </c>
      <c r="AO3" s="763" t="s">
        <v>493</v>
      </c>
    </row>
    <row r="4" spans="1:41" s="159" customFormat="1" ht="17.100000000000001" customHeight="1">
      <c r="A4" s="348" t="s">
        <v>269</v>
      </c>
      <c r="B4" s="349"/>
      <c r="C4" s="349"/>
      <c r="D4" s="350"/>
      <c r="E4" s="343" t="s">
        <v>494</v>
      </c>
      <c r="F4" s="350"/>
      <c r="G4" s="350"/>
      <c r="H4" s="350"/>
      <c r="I4" s="350"/>
      <c r="J4" s="350"/>
      <c r="K4" s="350"/>
      <c r="L4" s="350"/>
      <c r="M4" s="350"/>
      <c r="N4" s="350"/>
      <c r="O4" s="350"/>
      <c r="P4" s="350"/>
      <c r="Q4" s="350"/>
      <c r="R4" s="350"/>
      <c r="S4" s="350"/>
      <c r="T4" s="350"/>
      <c r="U4" s="350"/>
      <c r="V4" s="345"/>
      <c r="W4" s="345"/>
      <c r="X4" s="345"/>
      <c r="Y4" s="345"/>
      <c r="Z4" s="345"/>
      <c r="AA4" s="345"/>
      <c r="AB4" s="345"/>
      <c r="AC4" s="345"/>
      <c r="AD4" s="345"/>
      <c r="AE4" s="345"/>
      <c r="AF4" s="346"/>
      <c r="AG4" s="758" t="s">
        <v>495</v>
      </c>
      <c r="AH4" s="759" t="s">
        <v>496</v>
      </c>
      <c r="AI4" s="759" t="s">
        <v>497</v>
      </c>
      <c r="AJ4" s="759" t="s">
        <v>495</v>
      </c>
      <c r="AK4" s="759" t="s">
        <v>496</v>
      </c>
      <c r="AL4" s="759" t="s">
        <v>497</v>
      </c>
      <c r="AM4" s="761"/>
      <c r="AN4" s="761"/>
      <c r="AO4" s="764"/>
    </row>
    <row r="5" spans="1:41" s="159" customFormat="1" ht="17.45" customHeight="1" thickBot="1">
      <c r="A5" s="351"/>
      <c r="B5" s="160"/>
      <c r="C5" s="160"/>
      <c r="D5" s="161"/>
      <c r="E5" s="162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  <c r="S5" s="161"/>
      <c r="T5" s="161"/>
      <c r="U5" s="161"/>
      <c r="V5" s="163"/>
      <c r="W5" s="163"/>
      <c r="X5" s="163"/>
      <c r="Y5" s="163"/>
      <c r="Z5" s="163"/>
      <c r="AA5" s="163"/>
      <c r="AB5" s="163"/>
      <c r="AC5" s="163"/>
      <c r="AD5" s="172" t="s">
        <v>2</v>
      </c>
      <c r="AE5" s="707">
        <v>46184</v>
      </c>
      <c r="AF5" s="708"/>
      <c r="AG5" s="758"/>
      <c r="AH5" s="759"/>
      <c r="AI5" s="759"/>
      <c r="AJ5" s="759"/>
      <c r="AK5" s="759"/>
      <c r="AL5" s="759"/>
      <c r="AM5" s="762"/>
      <c r="AN5" s="762"/>
      <c r="AO5" s="765"/>
    </row>
    <row r="6" spans="1:41" s="159" customFormat="1" ht="13.35" customHeight="1">
      <c r="A6" s="695" t="s">
        <v>498</v>
      </c>
      <c r="B6" s="696"/>
      <c r="C6" s="696"/>
      <c r="D6" s="696"/>
      <c r="E6" s="696"/>
      <c r="F6" s="696"/>
      <c r="G6" s="696"/>
      <c r="H6" s="696"/>
      <c r="I6" s="696"/>
      <c r="J6" s="696"/>
      <c r="K6" s="696"/>
      <c r="L6" s="709" t="s">
        <v>499</v>
      </c>
      <c r="M6" s="710"/>
      <c r="N6" s="710"/>
      <c r="O6" s="710"/>
      <c r="P6" s="710"/>
      <c r="Q6" s="710"/>
      <c r="R6" s="173"/>
      <c r="S6" s="173"/>
      <c r="T6" s="173"/>
      <c r="U6" s="173"/>
      <c r="V6" s="173"/>
      <c r="W6" s="174"/>
      <c r="X6" s="155"/>
      <c r="Y6" s="155"/>
      <c r="Z6" s="155"/>
      <c r="AA6" s="155"/>
      <c r="AB6" s="155"/>
      <c r="AC6" s="155"/>
      <c r="AD6" s="155"/>
      <c r="AE6" s="155"/>
      <c r="AF6" s="352"/>
      <c r="AG6" s="164"/>
      <c r="AH6" s="164"/>
      <c r="AI6" s="164"/>
      <c r="AJ6" s="164"/>
      <c r="AK6" s="164"/>
      <c r="AL6" s="164"/>
      <c r="AM6" s="164"/>
      <c r="AN6" s="164"/>
      <c r="AO6" s="165"/>
    </row>
    <row r="7" spans="1:41" s="159" customFormat="1" ht="13.35" customHeight="1" thickBot="1">
      <c r="A7" s="697"/>
      <c r="B7" s="698"/>
      <c r="C7" s="698"/>
      <c r="D7" s="698"/>
      <c r="E7" s="698"/>
      <c r="F7" s="698"/>
      <c r="G7" s="698"/>
      <c r="H7" s="698"/>
      <c r="I7" s="698"/>
      <c r="J7" s="698"/>
      <c r="K7" s="698"/>
      <c r="L7" s="711"/>
      <c r="M7" s="712"/>
      <c r="N7" s="712"/>
      <c r="O7" s="712"/>
      <c r="P7" s="712"/>
      <c r="Q7" s="712"/>
      <c r="R7" s="175"/>
      <c r="S7" s="175"/>
      <c r="T7" s="175"/>
      <c r="U7" s="175"/>
      <c r="V7" s="175"/>
      <c r="W7" s="176"/>
      <c r="X7" s="353"/>
      <c r="Y7" s="353"/>
      <c r="Z7" s="353"/>
      <c r="AA7" s="353"/>
      <c r="AB7" s="353"/>
      <c r="AC7" s="353"/>
      <c r="AD7" s="353"/>
      <c r="AE7" s="353"/>
      <c r="AF7" s="354"/>
      <c r="AG7" s="164"/>
      <c r="AH7" s="164"/>
      <c r="AI7" s="164"/>
      <c r="AJ7" s="164"/>
      <c r="AK7" s="164"/>
      <c r="AL7" s="164"/>
      <c r="AM7" s="164"/>
      <c r="AN7" s="164"/>
      <c r="AO7" s="165"/>
    </row>
    <row r="8" spans="1:41" s="159" customFormat="1" ht="17.100000000000001" customHeight="1">
      <c r="A8" s="699" t="s">
        <v>248</v>
      </c>
      <c r="B8" s="701" t="s">
        <v>22</v>
      </c>
      <c r="C8" s="702"/>
      <c r="D8" s="703"/>
      <c r="E8" s="699" t="s">
        <v>250</v>
      </c>
      <c r="F8" s="701" t="s">
        <v>500</v>
      </c>
      <c r="G8" s="703"/>
      <c r="H8" s="701" t="s">
        <v>501</v>
      </c>
      <c r="I8" s="703"/>
      <c r="J8" s="701" t="s">
        <v>502</v>
      </c>
      <c r="K8" s="703"/>
      <c r="L8" s="720" t="s">
        <v>248</v>
      </c>
      <c r="M8" s="722" t="s">
        <v>503</v>
      </c>
      <c r="N8" s="723"/>
      <c r="O8" s="726" t="s">
        <v>504</v>
      </c>
      <c r="P8" s="720" t="s">
        <v>505</v>
      </c>
      <c r="Q8" s="691" t="s">
        <v>506</v>
      </c>
      <c r="T8" s="355"/>
      <c r="U8" s="355"/>
      <c r="V8" s="355"/>
      <c r="W8" s="355"/>
      <c r="X8" s="355"/>
      <c r="Y8" s="355"/>
      <c r="Z8" s="355"/>
      <c r="AA8" s="355"/>
      <c r="AB8" s="355"/>
      <c r="AC8" s="355"/>
      <c r="AD8" s="355"/>
      <c r="AE8" s="355"/>
      <c r="AF8" s="356"/>
      <c r="AG8" s="164"/>
      <c r="AH8" s="164"/>
      <c r="AI8" s="164"/>
      <c r="AJ8" s="164"/>
      <c r="AK8" s="164"/>
      <c r="AL8" s="164"/>
      <c r="AM8" s="164"/>
      <c r="AN8" s="164"/>
      <c r="AO8" s="165"/>
    </row>
    <row r="9" spans="1:41" s="159" customFormat="1" ht="17.850000000000001" customHeight="1" thickBot="1">
      <c r="A9" s="700"/>
      <c r="B9" s="704"/>
      <c r="C9" s="705"/>
      <c r="D9" s="706"/>
      <c r="E9" s="700"/>
      <c r="F9" s="704"/>
      <c r="G9" s="706"/>
      <c r="H9" s="704"/>
      <c r="I9" s="706"/>
      <c r="J9" s="704"/>
      <c r="K9" s="706"/>
      <c r="L9" s="721"/>
      <c r="M9" s="724"/>
      <c r="N9" s="725"/>
      <c r="O9" s="727"/>
      <c r="P9" s="721"/>
      <c r="Q9" s="692"/>
      <c r="T9" s="355"/>
      <c r="U9" s="355"/>
      <c r="V9" s="355"/>
      <c r="W9" s="355"/>
      <c r="X9" s="355"/>
      <c r="Y9" s="355"/>
      <c r="Z9" s="355"/>
      <c r="AA9" s="355"/>
      <c r="AB9" s="355"/>
      <c r="AC9" s="355"/>
      <c r="AD9" s="355"/>
      <c r="AE9" s="355"/>
      <c r="AF9" s="356"/>
      <c r="AG9" s="164"/>
      <c r="AH9" s="164"/>
      <c r="AI9" s="164"/>
      <c r="AJ9" s="164"/>
      <c r="AK9" s="164"/>
      <c r="AL9" s="164"/>
      <c r="AM9" s="164"/>
      <c r="AN9" s="164"/>
      <c r="AO9" s="165"/>
    </row>
    <row r="10" spans="1:41" s="159" customFormat="1" ht="17.45" customHeight="1">
      <c r="A10" s="357">
        <v>1</v>
      </c>
      <c r="B10" s="713" t="s">
        <v>37</v>
      </c>
      <c r="C10" s="714"/>
      <c r="D10" s="715"/>
      <c r="E10" s="177" t="s">
        <v>507</v>
      </c>
      <c r="F10" s="716">
        <v>114.51600000000001</v>
      </c>
      <c r="G10" s="717"/>
      <c r="H10" s="718">
        <f>'Survey Anx'!F40</f>
        <v>107.49199999999998</v>
      </c>
      <c r="I10" s="719"/>
      <c r="J10" s="716">
        <f t="shared" ref="J10:J19" si="0">F10-H10</f>
        <v>7.0240000000000293</v>
      </c>
      <c r="K10" s="717"/>
      <c r="L10" s="177">
        <v>1</v>
      </c>
      <c r="M10" s="693" t="s">
        <v>508</v>
      </c>
      <c r="N10" s="694"/>
      <c r="O10" s="178"/>
      <c r="P10" s="178"/>
      <c r="Q10" s="178"/>
      <c r="T10" s="358"/>
      <c r="U10" s="358"/>
      <c r="V10" s="358"/>
      <c r="W10" s="358"/>
      <c r="X10" s="358"/>
      <c r="Y10" s="358"/>
      <c r="Z10" s="358"/>
      <c r="AA10" s="358"/>
      <c r="AB10" s="358"/>
      <c r="AC10" s="358"/>
      <c r="AD10" s="358"/>
      <c r="AE10" s="358"/>
      <c r="AF10" s="359"/>
      <c r="AG10" s="766"/>
      <c r="AH10" s="766"/>
      <c r="AI10" s="766"/>
      <c r="AJ10" s="766"/>
      <c r="AK10" s="766"/>
      <c r="AL10" s="766"/>
      <c r="AM10" s="767"/>
      <c r="AN10" s="767"/>
      <c r="AO10" s="769"/>
    </row>
    <row r="11" spans="1:41" s="159" customFormat="1" ht="17.25">
      <c r="A11" s="360">
        <v>2</v>
      </c>
      <c r="B11" s="728" t="s">
        <v>21</v>
      </c>
      <c r="C11" s="729"/>
      <c r="D11" s="730"/>
      <c r="E11" s="179" t="s">
        <v>507</v>
      </c>
      <c r="F11" s="735">
        <v>114.51600000000001</v>
      </c>
      <c r="G11" s="736"/>
      <c r="H11" s="737">
        <f>'Survey Anx'!I40</f>
        <v>93.542000000000016</v>
      </c>
      <c r="I11" s="738"/>
      <c r="J11" s="735">
        <f t="shared" si="0"/>
        <v>20.97399999999999</v>
      </c>
      <c r="K11" s="736"/>
      <c r="L11" s="209">
        <f t="shared" ref="L11:L18" si="1">L10+1</f>
        <v>2</v>
      </c>
      <c r="M11" s="771" t="s">
        <v>509</v>
      </c>
      <c r="N11" s="772"/>
      <c r="O11" s="168"/>
      <c r="P11" s="168"/>
      <c r="Q11" s="168"/>
      <c r="T11" s="358"/>
      <c r="U11" s="358"/>
      <c r="V11" s="358"/>
      <c r="W11" s="358"/>
      <c r="X11" s="358"/>
      <c r="Y11" s="358"/>
      <c r="Z11" s="358"/>
      <c r="AA11" s="358"/>
      <c r="AB11" s="358"/>
      <c r="AC11" s="358"/>
      <c r="AD11" s="358"/>
      <c r="AE11" s="358"/>
      <c r="AF11" s="359"/>
      <c r="AG11" s="766"/>
      <c r="AH11" s="766"/>
      <c r="AI11" s="766"/>
      <c r="AJ11" s="766"/>
      <c r="AK11" s="766"/>
      <c r="AL11" s="766"/>
      <c r="AM11" s="767"/>
      <c r="AN11" s="767"/>
      <c r="AO11" s="769"/>
    </row>
    <row r="12" spans="1:41" s="159" customFormat="1" ht="17.45" customHeight="1">
      <c r="A12" s="360">
        <v>3</v>
      </c>
      <c r="B12" s="728" t="s">
        <v>52</v>
      </c>
      <c r="C12" s="729"/>
      <c r="D12" s="730"/>
      <c r="E12" s="179" t="s">
        <v>510</v>
      </c>
      <c r="F12" s="731">
        <v>30</v>
      </c>
      <c r="G12" s="732"/>
      <c r="H12" s="733">
        <v>30</v>
      </c>
      <c r="I12" s="734"/>
      <c r="J12" s="731">
        <f t="shared" si="0"/>
        <v>0</v>
      </c>
      <c r="K12" s="732"/>
      <c r="L12" s="209">
        <f t="shared" si="1"/>
        <v>3</v>
      </c>
      <c r="M12" s="771" t="s">
        <v>511</v>
      </c>
      <c r="N12" s="772"/>
      <c r="O12" s="168"/>
      <c r="P12" s="168"/>
      <c r="Q12" s="168"/>
      <c r="T12" s="358"/>
      <c r="U12" s="358"/>
      <c r="V12" s="358"/>
      <c r="W12" s="358"/>
      <c r="X12" s="358"/>
      <c r="Y12" s="358"/>
      <c r="Z12" s="358"/>
      <c r="AA12" s="358"/>
      <c r="AB12" s="358"/>
      <c r="AC12" s="358"/>
      <c r="AD12" s="358"/>
      <c r="AE12" s="358"/>
      <c r="AF12" s="359"/>
      <c r="AG12" s="767"/>
      <c r="AH12" s="767"/>
      <c r="AI12" s="767"/>
      <c r="AJ12" s="767"/>
      <c r="AK12" s="767"/>
      <c r="AL12" s="767"/>
      <c r="AM12" s="767"/>
      <c r="AN12" s="767"/>
      <c r="AO12" s="769"/>
    </row>
    <row r="13" spans="1:41" s="159" customFormat="1" ht="17.45" customHeight="1">
      <c r="A13" s="360">
        <v>4</v>
      </c>
      <c r="B13" s="728" t="s">
        <v>54</v>
      </c>
      <c r="C13" s="729"/>
      <c r="D13" s="730"/>
      <c r="E13" s="179" t="s">
        <v>510</v>
      </c>
      <c r="F13" s="731">
        <v>293</v>
      </c>
      <c r="G13" s="732"/>
      <c r="H13" s="733">
        <f>BV20</f>
        <v>89</v>
      </c>
      <c r="I13" s="734"/>
      <c r="J13" s="731">
        <f t="shared" si="0"/>
        <v>204</v>
      </c>
      <c r="K13" s="732"/>
      <c r="L13" s="209">
        <f t="shared" si="1"/>
        <v>4</v>
      </c>
      <c r="M13" s="771" t="s">
        <v>512</v>
      </c>
      <c r="N13" s="772"/>
      <c r="O13" s="168"/>
      <c r="P13" s="168"/>
      <c r="Q13" s="168"/>
      <c r="T13" s="358"/>
      <c r="U13" s="358"/>
      <c r="V13" s="358"/>
      <c r="W13" s="358"/>
      <c r="X13" s="358"/>
      <c r="Y13" s="358"/>
      <c r="Z13" s="358"/>
      <c r="AA13" s="358"/>
      <c r="AB13" s="358"/>
      <c r="AC13" s="358"/>
      <c r="AD13" s="358"/>
      <c r="AE13" s="358"/>
      <c r="AF13" s="359"/>
      <c r="AG13" s="767"/>
      <c r="AH13" s="767"/>
      <c r="AI13" s="767"/>
      <c r="AJ13" s="767"/>
      <c r="AK13" s="767"/>
      <c r="AL13" s="767"/>
      <c r="AM13" s="767"/>
      <c r="AN13" s="767"/>
      <c r="AO13" s="769"/>
    </row>
    <row r="14" spans="1:41" s="159" customFormat="1" ht="17.45" customHeight="1">
      <c r="A14" s="360">
        <v>5</v>
      </c>
      <c r="B14" s="728" t="s">
        <v>55</v>
      </c>
      <c r="C14" s="729"/>
      <c r="D14" s="730"/>
      <c r="E14" s="179" t="s">
        <v>510</v>
      </c>
      <c r="F14" s="731">
        <v>293</v>
      </c>
      <c r="G14" s="732"/>
      <c r="H14" s="733">
        <v>82</v>
      </c>
      <c r="I14" s="734"/>
      <c r="J14" s="731">
        <f t="shared" si="0"/>
        <v>211</v>
      </c>
      <c r="K14" s="732"/>
      <c r="L14" s="209">
        <f t="shared" si="1"/>
        <v>5</v>
      </c>
      <c r="M14" s="771" t="s">
        <v>513</v>
      </c>
      <c r="N14" s="772"/>
      <c r="O14" s="168"/>
      <c r="P14" s="168"/>
      <c r="Q14" s="168"/>
      <c r="T14" s="358"/>
      <c r="U14" s="358"/>
      <c r="V14" s="358"/>
      <c r="W14" s="358"/>
      <c r="X14" s="358"/>
      <c r="Y14" s="358"/>
      <c r="Z14" s="358"/>
      <c r="AA14" s="358"/>
      <c r="AB14" s="358"/>
      <c r="AC14" s="358"/>
      <c r="AD14" s="358"/>
      <c r="AE14" s="358"/>
      <c r="AF14" s="359"/>
      <c r="AG14" s="767"/>
      <c r="AH14" s="767"/>
      <c r="AI14" s="767"/>
      <c r="AJ14" s="767"/>
      <c r="AK14" s="767"/>
      <c r="AL14" s="767"/>
      <c r="AM14" s="767"/>
      <c r="AN14" s="767"/>
      <c r="AO14" s="769"/>
    </row>
    <row r="15" spans="1:41" s="159" customFormat="1" ht="17.100000000000001" customHeight="1">
      <c r="A15" s="360">
        <v>6</v>
      </c>
      <c r="B15" s="728" t="s">
        <v>514</v>
      </c>
      <c r="C15" s="729"/>
      <c r="D15" s="730"/>
      <c r="E15" s="179" t="s">
        <v>510</v>
      </c>
      <c r="F15" s="731">
        <v>293</v>
      </c>
      <c r="G15" s="732"/>
      <c r="H15" s="733">
        <f>BW20</f>
        <v>44</v>
      </c>
      <c r="I15" s="734"/>
      <c r="J15" s="731">
        <f t="shared" si="0"/>
        <v>249</v>
      </c>
      <c r="K15" s="732"/>
      <c r="L15" s="209">
        <f t="shared" si="1"/>
        <v>6</v>
      </c>
      <c r="M15" s="771" t="s">
        <v>515</v>
      </c>
      <c r="N15" s="772"/>
      <c r="O15" s="168"/>
      <c r="P15" s="168"/>
      <c r="Q15" s="168"/>
      <c r="T15" s="358"/>
      <c r="U15" s="358"/>
      <c r="V15" s="358"/>
      <c r="W15" s="358"/>
      <c r="X15" s="358"/>
      <c r="Y15" s="358"/>
      <c r="Z15" s="358"/>
      <c r="AA15" s="358"/>
      <c r="AB15" s="358"/>
      <c r="AC15" s="358"/>
      <c r="AD15" s="358"/>
      <c r="AE15" s="358"/>
      <c r="AF15" s="359"/>
      <c r="AG15" s="767"/>
      <c r="AH15" s="767"/>
      <c r="AI15" s="767"/>
      <c r="AJ15" s="767"/>
      <c r="AK15" s="767"/>
      <c r="AL15" s="767"/>
      <c r="AM15" s="767"/>
      <c r="AN15" s="767"/>
      <c r="AO15" s="769"/>
    </row>
    <row r="16" spans="1:41" s="159" customFormat="1" ht="17.45" customHeight="1">
      <c r="A16" s="360">
        <v>7</v>
      </c>
      <c r="B16" s="728" t="s">
        <v>516</v>
      </c>
      <c r="C16" s="729"/>
      <c r="D16" s="730"/>
      <c r="E16" s="179" t="s">
        <v>510</v>
      </c>
      <c r="F16" s="731">
        <v>293</v>
      </c>
      <c r="G16" s="732"/>
      <c r="H16" s="733">
        <v>13</v>
      </c>
      <c r="I16" s="734"/>
      <c r="J16" s="731">
        <f t="shared" si="0"/>
        <v>280</v>
      </c>
      <c r="K16" s="732"/>
      <c r="L16" s="209">
        <f t="shared" si="1"/>
        <v>7</v>
      </c>
      <c r="M16" s="771" t="e" vm="1">
        <v>#VALUE!</v>
      </c>
      <c r="N16" s="772"/>
      <c r="O16" s="168"/>
      <c r="P16" s="168"/>
      <c r="Q16" s="168"/>
      <c r="T16" s="358"/>
      <c r="U16" s="358"/>
      <c r="V16" s="358"/>
      <c r="W16" s="358"/>
      <c r="X16" s="358"/>
      <c r="Y16" s="358"/>
      <c r="Z16" s="358"/>
      <c r="AA16" s="358"/>
      <c r="AB16" s="358"/>
      <c r="AC16" s="358"/>
      <c r="AD16" s="358"/>
      <c r="AE16" s="358"/>
      <c r="AF16" s="359"/>
      <c r="AG16" s="767"/>
      <c r="AH16" s="767"/>
      <c r="AI16" s="767"/>
      <c r="AJ16" s="767"/>
      <c r="AK16" s="767"/>
      <c r="AL16" s="767"/>
      <c r="AM16" s="767"/>
      <c r="AN16" s="767"/>
      <c r="AO16" s="769"/>
    </row>
    <row r="17" spans="1:75" s="159" customFormat="1" ht="17.45" customHeight="1">
      <c r="A17" s="360">
        <v>8</v>
      </c>
      <c r="B17" s="728" t="s">
        <v>517</v>
      </c>
      <c r="C17" s="729"/>
      <c r="D17" s="730"/>
      <c r="E17" s="179" t="s">
        <v>507</v>
      </c>
      <c r="F17" s="735">
        <v>114.51600000000001</v>
      </c>
      <c r="G17" s="736"/>
      <c r="H17" s="737">
        <v>0</v>
      </c>
      <c r="I17" s="738"/>
      <c r="J17" s="735">
        <f t="shared" si="0"/>
        <v>114.51600000000001</v>
      </c>
      <c r="K17" s="736"/>
      <c r="L17" s="209">
        <f t="shared" si="1"/>
        <v>8</v>
      </c>
      <c r="M17" s="771" t="e" vm="1">
        <v>#VALUE!</v>
      </c>
      <c r="N17" s="772"/>
      <c r="O17" s="168"/>
      <c r="P17" s="168"/>
      <c r="Q17" s="168"/>
      <c r="T17" s="358"/>
      <c r="U17" s="358"/>
      <c r="V17" s="358"/>
      <c r="W17" s="358"/>
      <c r="X17" s="358"/>
      <c r="Y17" s="358"/>
      <c r="Z17" s="358"/>
      <c r="AA17" s="358"/>
      <c r="AB17" s="358"/>
      <c r="AC17" s="358"/>
      <c r="AD17" s="358"/>
      <c r="AE17" s="358"/>
      <c r="AF17" s="359"/>
      <c r="AG17" s="767"/>
      <c r="AH17" s="767"/>
      <c r="AI17" s="767"/>
      <c r="AJ17" s="767"/>
      <c r="AK17" s="767"/>
      <c r="AL17" s="767"/>
      <c r="AM17" s="767"/>
      <c r="AN17" s="767"/>
      <c r="AO17" s="769"/>
    </row>
    <row r="18" spans="1:75" s="159" customFormat="1" ht="17.45" customHeight="1">
      <c r="A18" s="360">
        <v>9</v>
      </c>
      <c r="B18" s="728" t="s">
        <v>518</v>
      </c>
      <c r="C18" s="729"/>
      <c r="D18" s="730"/>
      <c r="E18" s="179" t="s">
        <v>507</v>
      </c>
      <c r="F18" s="735">
        <v>114.51600000000001</v>
      </c>
      <c r="G18" s="736"/>
      <c r="H18" s="737">
        <v>0</v>
      </c>
      <c r="I18" s="738"/>
      <c r="J18" s="735">
        <f t="shared" si="0"/>
        <v>114.51600000000001</v>
      </c>
      <c r="K18" s="736"/>
      <c r="L18" s="209">
        <f t="shared" si="1"/>
        <v>9</v>
      </c>
      <c r="M18" s="771" t="e" vm="1">
        <v>#VALUE!</v>
      </c>
      <c r="N18" s="772"/>
      <c r="O18" s="168"/>
      <c r="P18" s="168"/>
      <c r="Q18" s="168"/>
      <c r="T18" s="358"/>
      <c r="U18" s="358"/>
      <c r="V18" s="358"/>
      <c r="W18" s="358"/>
      <c r="X18" s="358"/>
      <c r="Y18" s="358"/>
      <c r="Z18" s="358"/>
      <c r="AA18" s="358"/>
      <c r="AB18" s="358"/>
      <c r="AC18" s="358"/>
      <c r="AD18" s="358"/>
      <c r="AE18" s="358"/>
      <c r="AF18" s="359"/>
      <c r="AG18" s="767"/>
      <c r="AH18" s="767"/>
      <c r="AI18" s="767"/>
      <c r="AJ18" s="767"/>
      <c r="AK18" s="767"/>
      <c r="AL18" s="767"/>
      <c r="AM18" s="767"/>
      <c r="AN18" s="767"/>
      <c r="AO18" s="769"/>
    </row>
    <row r="19" spans="1:75" s="159" customFormat="1" ht="18" customHeight="1" thickBot="1">
      <c r="A19" s="361">
        <v>10</v>
      </c>
      <c r="B19" s="739" t="s">
        <v>519</v>
      </c>
      <c r="C19" s="740"/>
      <c r="D19" s="741"/>
      <c r="E19" s="180" t="s">
        <v>507</v>
      </c>
      <c r="F19" s="742">
        <v>114.51600000000001</v>
      </c>
      <c r="G19" s="743"/>
      <c r="H19" s="744">
        <v>0</v>
      </c>
      <c r="I19" s="745"/>
      <c r="J19" s="742">
        <f t="shared" si="0"/>
        <v>114.51600000000001</v>
      </c>
      <c r="K19" s="743"/>
      <c r="L19" s="209">
        <f>L18+1</f>
        <v>10</v>
      </c>
      <c r="M19" s="773" t="e" vm="1">
        <v>#VALUE!</v>
      </c>
      <c r="N19" s="774"/>
      <c r="O19" s="169"/>
      <c r="P19" s="169"/>
      <c r="Q19" s="169"/>
      <c r="R19" s="181"/>
      <c r="S19" s="181"/>
      <c r="T19" s="182"/>
      <c r="U19" s="182"/>
      <c r="V19" s="182"/>
      <c r="W19" s="182"/>
      <c r="X19" s="182"/>
      <c r="Y19" s="182"/>
      <c r="Z19" s="182"/>
      <c r="AA19" s="182"/>
      <c r="AB19" s="182"/>
      <c r="AC19" s="182"/>
      <c r="AD19" s="182"/>
      <c r="AE19" s="182"/>
      <c r="AF19" s="362"/>
      <c r="AG19" s="768"/>
      <c r="AH19" s="768"/>
      <c r="AI19" s="768"/>
      <c r="AJ19" s="768"/>
      <c r="AK19" s="768"/>
      <c r="AL19" s="768"/>
      <c r="AM19" s="768"/>
      <c r="AN19" s="768"/>
      <c r="AO19" s="770"/>
      <c r="BV19" s="339" t="s">
        <v>520</v>
      </c>
      <c r="BW19" s="339" t="s">
        <v>521</v>
      </c>
    </row>
    <row r="20" spans="1:75" s="159" customFormat="1" ht="18" customHeight="1">
      <c r="A20" s="363"/>
      <c r="B20" s="364"/>
      <c r="C20" s="364"/>
      <c r="D20" s="364"/>
      <c r="E20" s="365"/>
      <c r="F20" s="366"/>
      <c r="G20" s="366"/>
      <c r="H20" s="367"/>
      <c r="I20" s="367"/>
      <c r="J20" s="366"/>
      <c r="K20" s="366"/>
      <c r="L20" s="368"/>
      <c r="M20" s="365"/>
      <c r="N20" s="365"/>
      <c r="O20" s="369"/>
      <c r="P20" s="369"/>
      <c r="Q20" s="369"/>
      <c r="T20" s="358"/>
      <c r="U20" s="358"/>
      <c r="V20" s="358"/>
      <c r="W20" s="358"/>
      <c r="X20" s="358"/>
      <c r="Y20" s="358"/>
      <c r="Z20" s="358"/>
      <c r="AA20" s="358"/>
      <c r="AB20" s="358"/>
      <c r="AC20" s="358"/>
      <c r="AD20" s="358"/>
      <c r="AE20" s="358"/>
      <c r="AF20" s="359"/>
      <c r="AG20" s="313"/>
      <c r="AH20" s="313"/>
      <c r="AI20" s="313"/>
      <c r="AJ20" s="313"/>
      <c r="AK20" s="313"/>
      <c r="AL20" s="313"/>
      <c r="AM20" s="313"/>
      <c r="AN20" s="313"/>
      <c r="AO20" s="313"/>
      <c r="BV20" s="339">
        <f>SUM(BV21:BV214)</f>
        <v>89</v>
      </c>
      <c r="BW20" s="339">
        <f>SUM(BW21:BW214)</f>
        <v>44</v>
      </c>
    </row>
    <row r="21" spans="1:75" s="166" customFormat="1" ht="12.95" customHeight="1">
      <c r="A21" s="370"/>
      <c r="B21" s="205">
        <v>1</v>
      </c>
      <c r="C21" s="205"/>
      <c r="D21" s="205">
        <v>2</v>
      </c>
      <c r="E21" s="205"/>
      <c r="F21" s="205">
        <v>3</v>
      </c>
      <c r="G21" s="205"/>
      <c r="H21" s="205">
        <v>4</v>
      </c>
      <c r="I21" s="205"/>
      <c r="J21" s="205">
        <v>5</v>
      </c>
      <c r="K21" s="205"/>
      <c r="L21" s="205">
        <v>6</v>
      </c>
      <c r="M21" s="205"/>
      <c r="N21" s="205">
        <v>7</v>
      </c>
      <c r="O21" s="205"/>
      <c r="P21" s="205">
        <v>8</v>
      </c>
      <c r="Q21" s="205"/>
      <c r="R21" s="205">
        <v>9</v>
      </c>
      <c r="S21" s="205"/>
      <c r="T21" s="205">
        <v>10</v>
      </c>
      <c r="U21" s="205"/>
      <c r="V21" s="205">
        <v>11</v>
      </c>
      <c r="W21" s="205"/>
      <c r="X21" s="205">
        <v>12</v>
      </c>
      <c r="Y21" s="205"/>
      <c r="Z21" s="205">
        <v>13</v>
      </c>
      <c r="AA21" s="205"/>
      <c r="AB21" s="205">
        <v>14</v>
      </c>
      <c r="AC21" s="205"/>
      <c r="AD21" s="205">
        <v>15</v>
      </c>
      <c r="AE21" s="205"/>
      <c r="AF21" s="371"/>
      <c r="AG21" s="313"/>
      <c r="AH21" s="313"/>
      <c r="AI21" s="313"/>
      <c r="AJ21" s="312"/>
      <c r="AK21" s="159"/>
      <c r="AL21" s="159"/>
      <c r="AM21" s="159"/>
      <c r="AN21" s="159"/>
      <c r="AO21" s="159"/>
    </row>
    <row r="22" spans="1:75" s="159" customFormat="1" ht="18" customHeight="1">
      <c r="A22" s="370"/>
      <c r="B22" s="205"/>
      <c r="C22" s="205"/>
      <c r="D22" s="205"/>
      <c r="E22" s="205"/>
      <c r="F22" s="205"/>
      <c r="G22" s="205"/>
      <c r="H22" s="205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5"/>
      <c r="AA22" s="205"/>
      <c r="AB22" s="205"/>
      <c r="AC22" s="205"/>
      <c r="AD22" s="205"/>
      <c r="AE22" s="205"/>
      <c r="AF22" s="371"/>
      <c r="AG22" s="313"/>
      <c r="AH22" s="313"/>
      <c r="AI22" s="313"/>
      <c r="AJ22" s="312"/>
    </row>
    <row r="23" spans="1:75" s="159" customFormat="1" ht="12.95" customHeight="1">
      <c r="A23" s="370"/>
      <c r="B23" s="319" t="s">
        <v>522</v>
      </c>
      <c r="C23" s="205"/>
      <c r="D23" s="314" t="s">
        <v>523</v>
      </c>
      <c r="E23" s="260"/>
      <c r="F23" s="314" t="s">
        <v>524</v>
      </c>
      <c r="G23" s="260"/>
      <c r="H23" s="314" t="s">
        <v>525</v>
      </c>
      <c r="I23" s="260"/>
      <c r="J23" s="314" t="s">
        <v>526</v>
      </c>
      <c r="K23" s="260"/>
      <c r="L23" s="314" t="s">
        <v>527</v>
      </c>
      <c r="M23" s="260"/>
      <c r="N23" s="314" t="s">
        <v>528</v>
      </c>
      <c r="O23" s="260"/>
      <c r="P23" s="314" t="s">
        <v>529</v>
      </c>
      <c r="Q23" s="260"/>
      <c r="R23" s="314" t="s">
        <v>276</v>
      </c>
      <c r="S23" s="260"/>
      <c r="T23" s="314" t="s">
        <v>530</v>
      </c>
      <c r="U23" s="260"/>
      <c r="V23" s="314" t="s">
        <v>531</v>
      </c>
      <c r="W23" s="260"/>
      <c r="X23" s="314" t="s">
        <v>281</v>
      </c>
      <c r="Y23" s="260"/>
      <c r="Z23" s="314" t="s">
        <v>532</v>
      </c>
      <c r="AA23" s="260"/>
      <c r="AB23" s="314" t="s">
        <v>533</v>
      </c>
      <c r="AC23" s="260"/>
      <c r="AD23" s="314" t="s">
        <v>534</v>
      </c>
      <c r="AE23" s="260"/>
      <c r="AF23" s="371"/>
      <c r="AG23" s="313"/>
      <c r="AH23" s="313"/>
      <c r="AI23" s="313"/>
      <c r="AJ23" s="312"/>
    </row>
    <row r="24" spans="1:75" s="159" customFormat="1" ht="12.95" customHeight="1">
      <c r="A24" s="370"/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5"/>
      <c r="AA24" s="205"/>
      <c r="AB24" s="205"/>
      <c r="AC24" s="205"/>
      <c r="AD24" s="205"/>
      <c r="AE24" s="205"/>
      <c r="AF24" s="371"/>
      <c r="AG24" s="313"/>
      <c r="AH24" s="313"/>
      <c r="AI24" s="313"/>
      <c r="AJ24" s="312"/>
    </row>
    <row r="25" spans="1:75" s="159" customFormat="1" ht="12.95" customHeight="1">
      <c r="A25" s="370"/>
      <c r="B25" s="260"/>
      <c r="C25" s="205"/>
      <c r="D25" s="260"/>
      <c r="E25" s="260"/>
      <c r="F25" s="260"/>
      <c r="G25" s="205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0"/>
      <c r="S25" s="260"/>
      <c r="T25" s="260"/>
      <c r="U25" s="260"/>
      <c r="V25" s="260"/>
      <c r="W25" s="205"/>
      <c r="X25" s="260"/>
      <c r="Y25" s="260"/>
      <c r="Z25" s="260"/>
      <c r="AA25" s="205"/>
      <c r="AB25" s="260"/>
      <c r="AC25" s="260"/>
      <c r="AD25" s="260"/>
      <c r="AE25" s="260"/>
      <c r="AF25" s="371"/>
      <c r="AG25" s="313"/>
      <c r="AH25" s="313"/>
      <c r="AI25" s="313"/>
      <c r="AJ25" s="312"/>
    </row>
    <row r="26" spans="1:75" s="159" customFormat="1" ht="12.95" customHeight="1" thickBot="1">
      <c r="A26" s="370"/>
      <c r="B26" s="260"/>
      <c r="C26" s="205"/>
      <c r="D26" s="260"/>
      <c r="E26" s="260"/>
      <c r="F26" s="260"/>
      <c r="G26" s="205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0"/>
      <c r="S26" s="260"/>
      <c r="T26" s="260"/>
      <c r="U26" s="260"/>
      <c r="V26" s="260"/>
      <c r="W26" s="205"/>
      <c r="X26" s="260"/>
      <c r="Y26" s="260"/>
      <c r="Z26" s="260"/>
      <c r="AA26" s="205"/>
      <c r="AB26" s="260"/>
      <c r="AC26" s="260"/>
      <c r="AD26" s="260"/>
      <c r="AE26" s="260"/>
      <c r="AF26" s="371"/>
      <c r="AG26" s="313"/>
      <c r="AH26" s="313"/>
      <c r="AI26" s="313"/>
      <c r="AJ26" s="312"/>
    </row>
    <row r="27" spans="1:75" s="159" customFormat="1" ht="12.95" customHeight="1">
      <c r="A27" s="370"/>
      <c r="B27" s="269"/>
      <c r="C27" s="270"/>
      <c r="D27" s="269"/>
      <c r="E27" s="270"/>
      <c r="F27" s="269"/>
      <c r="G27" s="270"/>
      <c r="H27" s="269"/>
      <c r="I27" s="270"/>
      <c r="J27" s="269"/>
      <c r="K27" s="270"/>
      <c r="L27" s="269"/>
      <c r="M27" s="270"/>
      <c r="N27" s="789" t="s">
        <v>535</v>
      </c>
      <c r="O27" s="270"/>
      <c r="P27" s="789" t="s">
        <v>535</v>
      </c>
      <c r="Q27" s="270"/>
      <c r="R27" s="269"/>
      <c r="S27" s="270"/>
      <c r="T27" s="269"/>
      <c r="U27" s="270"/>
      <c r="V27" s="269"/>
      <c r="W27" s="270"/>
      <c r="X27" s="269"/>
      <c r="Y27" s="270"/>
      <c r="Z27" s="269"/>
      <c r="AA27" s="270"/>
      <c r="AB27" s="269"/>
      <c r="AC27" s="270"/>
      <c r="AD27" s="269"/>
      <c r="AE27" s="270"/>
      <c r="AF27" s="372"/>
      <c r="AG27" s="313"/>
      <c r="AH27" s="313"/>
      <c r="AI27" s="313"/>
      <c r="AJ27" s="312"/>
    </row>
    <row r="28" spans="1:75" s="159" customFormat="1" ht="12.95" customHeight="1">
      <c r="A28" s="370"/>
      <c r="B28" s="273" t="s">
        <v>535</v>
      </c>
      <c r="C28" s="272">
        <v>393.72</v>
      </c>
      <c r="D28" s="273" t="s">
        <v>535</v>
      </c>
      <c r="E28" s="272">
        <v>225.97</v>
      </c>
      <c r="F28" s="273" t="s">
        <v>535</v>
      </c>
      <c r="G28" s="272">
        <v>193.84</v>
      </c>
      <c r="H28" s="273" t="s">
        <v>535</v>
      </c>
      <c r="I28" s="272">
        <v>401.38</v>
      </c>
      <c r="J28" s="273" t="s">
        <v>535</v>
      </c>
      <c r="K28" s="272">
        <v>284.73</v>
      </c>
      <c r="L28" s="273" t="s">
        <v>535</v>
      </c>
      <c r="M28" s="272">
        <v>238.17</v>
      </c>
      <c r="N28" s="790"/>
      <c r="O28" s="272">
        <v>164.96</v>
      </c>
      <c r="P28" s="790"/>
      <c r="Q28" s="272">
        <v>343</v>
      </c>
      <c r="R28" s="273" t="s">
        <v>535</v>
      </c>
      <c r="S28" s="272">
        <v>453</v>
      </c>
      <c r="T28" s="273" t="s">
        <v>535</v>
      </c>
      <c r="U28" s="272">
        <v>369</v>
      </c>
      <c r="V28" s="273" t="s">
        <v>535</v>
      </c>
      <c r="W28" s="272">
        <v>405</v>
      </c>
      <c r="X28" s="273" t="s">
        <v>535</v>
      </c>
      <c r="Y28" s="272">
        <v>416</v>
      </c>
      <c r="Z28" s="273" t="s">
        <v>535</v>
      </c>
      <c r="AA28" s="272">
        <v>420</v>
      </c>
      <c r="AB28" s="273" t="s">
        <v>535</v>
      </c>
      <c r="AC28" s="272">
        <v>364</v>
      </c>
      <c r="AD28" s="273" t="s">
        <v>535</v>
      </c>
      <c r="AE28" s="272">
        <v>401</v>
      </c>
      <c r="AF28" s="371"/>
      <c r="AG28" s="313"/>
      <c r="AH28" s="313"/>
      <c r="AI28" s="313"/>
      <c r="AJ28" s="312"/>
    </row>
    <row r="29" spans="1:75" s="159" customFormat="1" ht="12.95" customHeight="1" thickBot="1">
      <c r="A29" s="370"/>
      <c r="B29" s="274"/>
      <c r="C29" s="205"/>
      <c r="D29" s="274"/>
      <c r="E29" s="205"/>
      <c r="F29" s="274"/>
      <c r="G29" s="205"/>
      <c r="H29" s="274"/>
      <c r="I29" s="205"/>
      <c r="J29" s="274"/>
      <c r="K29" s="205"/>
      <c r="L29" s="274"/>
      <c r="M29" s="205"/>
      <c r="N29" s="791"/>
      <c r="O29" s="205"/>
      <c r="P29" s="791"/>
      <c r="Q29" s="205"/>
      <c r="R29" s="274"/>
      <c r="S29" s="205"/>
      <c r="T29" s="274"/>
      <c r="U29" s="205"/>
      <c r="V29" s="274"/>
      <c r="W29" s="205"/>
      <c r="X29" s="274"/>
      <c r="Y29" s="205"/>
      <c r="Z29" s="274"/>
      <c r="AA29" s="205"/>
      <c r="AB29" s="274"/>
      <c r="AC29" s="205"/>
      <c r="AD29" s="274"/>
      <c r="AE29" s="205"/>
      <c r="AF29" s="371"/>
      <c r="AG29" s="313"/>
      <c r="AH29" s="313"/>
      <c r="AI29" s="313"/>
      <c r="AJ29" s="312"/>
    </row>
    <row r="30" spans="1:75" s="265" customFormat="1" ht="25.5" customHeight="1">
      <c r="A30" s="373"/>
      <c r="B30" s="265" t="s">
        <v>536</v>
      </c>
      <c r="D30" s="265" t="s">
        <v>272</v>
      </c>
      <c r="F30" s="265" t="s">
        <v>272</v>
      </c>
      <c r="H30" s="265" t="s">
        <v>537</v>
      </c>
      <c r="J30" s="265" t="s">
        <v>538</v>
      </c>
      <c r="L30" s="265" t="s">
        <v>538</v>
      </c>
      <c r="N30" s="265" t="s">
        <v>538</v>
      </c>
      <c r="P30" s="265" t="s">
        <v>538</v>
      </c>
      <c r="R30" s="265" t="s">
        <v>539</v>
      </c>
      <c r="S30" s="265" t="s">
        <v>67</v>
      </c>
      <c r="T30" s="265" t="s">
        <v>289</v>
      </c>
      <c r="V30" s="265" t="s">
        <v>540</v>
      </c>
      <c r="X30" s="265" t="s">
        <v>282</v>
      </c>
      <c r="Z30" s="265" t="s">
        <v>289</v>
      </c>
      <c r="AB30" s="265" t="s">
        <v>289</v>
      </c>
      <c r="AD30" s="265" t="s">
        <v>289</v>
      </c>
      <c r="AF30" s="374"/>
    </row>
    <row r="31" spans="1:75" s="159" customFormat="1" ht="12.95" customHeight="1">
      <c r="A31" s="370"/>
      <c r="B31" s="205"/>
      <c r="C31" s="260"/>
      <c r="D31" s="205"/>
      <c r="E31" s="260"/>
      <c r="F31" s="205"/>
      <c r="G31" s="205"/>
      <c r="H31" s="205"/>
      <c r="I31" s="205"/>
      <c r="J31" s="205"/>
      <c r="K31" s="609" t="s">
        <v>1098</v>
      </c>
      <c r="L31" s="205"/>
      <c r="M31" s="260"/>
      <c r="N31" s="205"/>
      <c r="O31" s="260"/>
      <c r="P31" s="205"/>
      <c r="Q31" s="260"/>
      <c r="R31" s="205"/>
      <c r="S31" s="260"/>
      <c r="T31" s="205"/>
      <c r="U31" s="260"/>
      <c r="V31" s="205"/>
      <c r="W31" s="260"/>
      <c r="X31" s="205"/>
      <c r="Y31" s="260"/>
      <c r="Z31" s="205"/>
      <c r="AA31" s="260"/>
      <c r="AB31" s="205"/>
      <c r="AC31" s="261"/>
      <c r="AD31" s="205"/>
      <c r="AE31" s="205"/>
      <c r="AF31" s="371"/>
      <c r="AG31" s="313"/>
      <c r="AH31" s="313"/>
      <c r="AI31" s="313"/>
      <c r="AJ31" s="312"/>
    </row>
    <row r="32" spans="1:75" s="159" customFormat="1" ht="12.95" customHeight="1">
      <c r="A32" s="370"/>
      <c r="B32" s="205">
        <v>16</v>
      </c>
      <c r="C32" s="205"/>
      <c r="D32" s="205">
        <v>17</v>
      </c>
      <c r="E32" s="205"/>
      <c r="F32" s="205">
        <v>18</v>
      </c>
      <c r="G32" s="205"/>
      <c r="H32" s="205">
        <v>19</v>
      </c>
      <c r="I32" s="205"/>
      <c r="J32" s="205">
        <v>20</v>
      </c>
      <c r="K32" s="205"/>
      <c r="L32" s="205">
        <v>21</v>
      </c>
      <c r="M32" s="205"/>
      <c r="N32" s="205">
        <v>22</v>
      </c>
      <c r="O32" s="205"/>
      <c r="P32" s="205">
        <v>23</v>
      </c>
      <c r="Q32" s="205"/>
      <c r="R32" s="205">
        <v>24</v>
      </c>
      <c r="S32" s="205"/>
      <c r="T32" s="205">
        <v>25</v>
      </c>
      <c r="U32" s="205"/>
      <c r="V32" s="205">
        <v>26</v>
      </c>
      <c r="W32" s="205"/>
      <c r="X32" s="205">
        <v>27</v>
      </c>
      <c r="Y32" s="205"/>
      <c r="Z32" s="205">
        <v>28</v>
      </c>
      <c r="AA32" s="205"/>
      <c r="AB32" s="205">
        <v>29</v>
      </c>
      <c r="AC32" s="205"/>
      <c r="AD32" s="205">
        <v>30</v>
      </c>
      <c r="AE32" s="205"/>
      <c r="AF32" s="371"/>
      <c r="AG32" s="313"/>
      <c r="AH32" s="313"/>
      <c r="AI32" s="313"/>
      <c r="AJ32" s="312"/>
    </row>
    <row r="33" spans="1:75" s="159" customFormat="1" ht="12.95" customHeight="1">
      <c r="A33" s="370"/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5"/>
      <c r="AA33" s="205"/>
      <c r="AB33" s="205"/>
      <c r="AC33" s="205"/>
      <c r="AD33" s="205"/>
      <c r="AE33" s="205"/>
      <c r="AF33" s="371"/>
      <c r="AG33" s="313"/>
      <c r="AH33" s="313"/>
      <c r="AI33" s="313"/>
      <c r="AJ33" s="312"/>
    </row>
    <row r="34" spans="1:75" s="159" customFormat="1" ht="12.95" customHeight="1">
      <c r="A34" s="370"/>
      <c r="B34" s="319" t="s">
        <v>285</v>
      </c>
      <c r="C34" s="205"/>
      <c r="D34" s="314" t="s">
        <v>541</v>
      </c>
      <c r="E34" s="260"/>
      <c r="F34" s="314" t="s">
        <v>542</v>
      </c>
      <c r="G34" s="260"/>
      <c r="H34" s="314" t="s">
        <v>288</v>
      </c>
      <c r="I34" s="260"/>
      <c r="J34" s="314" t="s">
        <v>543</v>
      </c>
      <c r="K34" s="260"/>
      <c r="L34" s="314" t="s">
        <v>544</v>
      </c>
      <c r="M34" s="260"/>
      <c r="N34" s="314" t="s">
        <v>545</v>
      </c>
      <c r="O34" s="260"/>
      <c r="P34" s="314" t="s">
        <v>546</v>
      </c>
      <c r="Q34" s="260"/>
      <c r="R34" s="314" t="s">
        <v>547</v>
      </c>
      <c r="S34" s="260"/>
      <c r="T34" s="314" t="s">
        <v>548</v>
      </c>
      <c r="U34" s="260"/>
      <c r="V34" s="314" t="s">
        <v>549</v>
      </c>
      <c r="W34" s="260"/>
      <c r="X34" s="314" t="s">
        <v>446</v>
      </c>
      <c r="Y34" s="260"/>
      <c r="Z34" s="314" t="s">
        <v>452</v>
      </c>
      <c r="AA34" s="260"/>
      <c r="AB34" s="314" t="s">
        <v>382</v>
      </c>
      <c r="AC34" s="260"/>
      <c r="AD34" s="314" t="s">
        <v>376</v>
      </c>
      <c r="AE34" s="260"/>
      <c r="AF34" s="371"/>
      <c r="AG34" s="313"/>
      <c r="AH34" s="313"/>
      <c r="AI34" s="313"/>
      <c r="AJ34" s="312"/>
    </row>
    <row r="35" spans="1:75" s="159" customFormat="1" ht="12.95" customHeight="1">
      <c r="A35" s="370"/>
      <c r="B35" s="205"/>
      <c r="C35" s="205"/>
      <c r="D35" s="205"/>
      <c r="E35" s="205"/>
      <c r="F35" s="37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X35" s="205"/>
      <c r="Y35" s="205"/>
      <c r="Z35" s="205"/>
      <c r="AA35" s="205"/>
      <c r="AB35" s="205"/>
      <c r="AC35" s="205"/>
      <c r="AD35" s="205"/>
      <c r="AE35" s="205"/>
      <c r="AF35" s="371"/>
      <c r="AG35" s="313"/>
      <c r="AH35" s="313"/>
      <c r="AI35" s="313"/>
      <c r="AJ35" s="312"/>
    </row>
    <row r="36" spans="1:75" s="159" customFormat="1" ht="12.95" customHeight="1">
      <c r="A36" s="37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05"/>
      <c r="N36" s="260"/>
      <c r="O36" s="260"/>
      <c r="P36" s="260"/>
      <c r="Q36" s="205"/>
      <c r="R36" s="260"/>
      <c r="S36" s="260"/>
      <c r="T36" s="260"/>
      <c r="U36" s="260"/>
      <c r="V36" s="260"/>
      <c r="W36" s="260"/>
      <c r="X36" s="260"/>
      <c r="Y36" s="205"/>
      <c r="Z36" s="260"/>
      <c r="AA36" s="260"/>
      <c r="AB36" s="260"/>
      <c r="AC36" s="205"/>
      <c r="AD36" s="260"/>
      <c r="AE36" s="260"/>
      <c r="AF36" s="371"/>
      <c r="AG36" s="313"/>
      <c r="AH36" s="313"/>
      <c r="AI36" s="313"/>
      <c r="AJ36" s="312"/>
    </row>
    <row r="37" spans="1:75" s="159" customFormat="1" ht="12.95" customHeight="1" thickBot="1">
      <c r="A37" s="370"/>
      <c r="B37" s="260"/>
      <c r="C37" s="260"/>
      <c r="D37" s="260"/>
      <c r="E37" s="260"/>
      <c r="F37" s="260"/>
      <c r="G37" s="260"/>
      <c r="H37" s="260"/>
      <c r="I37" s="260"/>
      <c r="J37" s="260"/>
      <c r="K37" s="260"/>
      <c r="L37" s="260"/>
      <c r="M37" s="205"/>
      <c r="N37" s="260"/>
      <c r="O37" s="260"/>
      <c r="P37" s="260"/>
      <c r="Q37" s="205"/>
      <c r="R37" s="260"/>
      <c r="S37" s="260"/>
      <c r="T37" s="260"/>
      <c r="U37" s="260"/>
      <c r="V37" s="260"/>
      <c r="W37" s="260"/>
      <c r="X37" s="260"/>
      <c r="Y37" s="205"/>
      <c r="Z37" s="260"/>
      <c r="AA37" s="260"/>
      <c r="AB37" s="260"/>
      <c r="AC37" s="205"/>
      <c r="AD37" s="260"/>
      <c r="AE37" s="260"/>
      <c r="AF37" s="371"/>
      <c r="AG37" s="313"/>
      <c r="AH37" s="313"/>
      <c r="AI37" s="313"/>
      <c r="AJ37" s="312"/>
    </row>
    <row r="38" spans="1:75" s="159" customFormat="1" ht="12.95" customHeight="1">
      <c r="A38" s="370"/>
      <c r="B38" s="269"/>
      <c r="C38" s="270"/>
      <c r="D38" s="269"/>
      <c r="E38" s="270"/>
      <c r="F38" s="269"/>
      <c r="G38" s="270"/>
      <c r="H38" s="269"/>
      <c r="I38" s="270"/>
      <c r="J38" s="269"/>
      <c r="K38" s="270"/>
      <c r="L38" s="269"/>
      <c r="M38" s="270"/>
      <c r="N38" s="269"/>
      <c r="O38" s="270"/>
      <c r="P38" s="269"/>
      <c r="Q38" s="270"/>
      <c r="R38" s="269"/>
      <c r="S38" s="270"/>
      <c r="T38" s="269"/>
      <c r="U38" s="270"/>
      <c r="V38" s="269"/>
      <c r="W38" s="270"/>
      <c r="X38" s="186"/>
      <c r="Y38" s="185"/>
      <c r="Z38" s="186"/>
      <c r="AA38" s="185"/>
      <c r="AB38" s="186"/>
      <c r="AC38" s="185"/>
      <c r="AD38" s="186"/>
      <c r="AE38" s="185"/>
      <c r="AF38" s="371"/>
      <c r="AG38" s="313"/>
      <c r="AH38" s="313"/>
      <c r="AI38" s="313"/>
      <c r="AJ38" s="312"/>
      <c r="BV38" s="605">
        <v>4</v>
      </c>
      <c r="BW38" s="605">
        <f>1</f>
        <v>1</v>
      </c>
    </row>
    <row r="39" spans="1:75" s="159" customFormat="1" ht="12.95" customHeight="1">
      <c r="A39" s="370"/>
      <c r="B39" s="273" t="s">
        <v>535</v>
      </c>
      <c r="C39" s="272">
        <v>412</v>
      </c>
      <c r="D39" s="273" t="s">
        <v>535</v>
      </c>
      <c r="E39" s="272">
        <v>405</v>
      </c>
      <c r="F39" s="273" t="s">
        <v>535</v>
      </c>
      <c r="G39" s="272">
        <v>391</v>
      </c>
      <c r="H39" s="273" t="s">
        <v>535</v>
      </c>
      <c r="I39" s="272">
        <v>397</v>
      </c>
      <c r="J39" s="273" t="s">
        <v>535</v>
      </c>
      <c r="K39" s="272">
        <v>390</v>
      </c>
      <c r="L39" s="273" t="s">
        <v>535</v>
      </c>
      <c r="M39" s="272">
        <v>397.5</v>
      </c>
      <c r="N39" s="273" t="s">
        <v>535</v>
      </c>
      <c r="O39" s="272">
        <v>591</v>
      </c>
      <c r="P39" s="273" t="s">
        <v>535</v>
      </c>
      <c r="Q39" s="272">
        <v>534</v>
      </c>
      <c r="R39" s="273" t="s">
        <v>535</v>
      </c>
      <c r="S39" s="272">
        <v>799</v>
      </c>
      <c r="T39" s="273" t="s">
        <v>535</v>
      </c>
      <c r="U39" s="272">
        <v>321</v>
      </c>
      <c r="V39" s="273" t="s">
        <v>535</v>
      </c>
      <c r="W39" s="272">
        <v>449</v>
      </c>
      <c r="X39" s="195"/>
      <c r="Y39" s="376">
        <v>412.99900000000002</v>
      </c>
      <c r="Z39" s="195"/>
      <c r="AA39" s="376">
        <v>390</v>
      </c>
      <c r="AB39" s="189"/>
      <c r="AC39" s="376">
        <v>377.19900000000001</v>
      </c>
      <c r="AD39" s="189"/>
      <c r="AE39" s="376">
        <v>374.428</v>
      </c>
      <c r="AF39" s="371"/>
      <c r="AG39" s="313"/>
      <c r="AH39" s="313"/>
      <c r="AI39" s="313"/>
      <c r="AJ39" s="312"/>
    </row>
    <row r="40" spans="1:75" s="159" customFormat="1" ht="12.95" customHeight="1" thickBot="1">
      <c r="A40" s="370"/>
      <c r="B40" s="274"/>
      <c r="C40" s="205"/>
      <c r="D40" s="274"/>
      <c r="E40" s="205"/>
      <c r="F40" s="274"/>
      <c r="G40" s="205"/>
      <c r="H40" s="274"/>
      <c r="I40" s="205"/>
      <c r="J40" s="274"/>
      <c r="K40" s="205"/>
      <c r="L40" s="274"/>
      <c r="M40" s="205"/>
      <c r="N40" s="274"/>
      <c r="O40" s="205"/>
      <c r="P40" s="274"/>
      <c r="Q40" s="205"/>
      <c r="R40" s="274"/>
      <c r="S40" s="205"/>
      <c r="T40" s="274"/>
      <c r="U40" s="205"/>
      <c r="V40" s="274"/>
      <c r="W40" s="205"/>
      <c r="X40" s="191"/>
      <c r="Y40" s="166"/>
      <c r="Z40" s="191"/>
      <c r="AA40" s="166"/>
      <c r="AB40" s="191"/>
      <c r="AC40" s="166"/>
      <c r="AD40" s="191"/>
      <c r="AE40" s="166"/>
      <c r="AF40" s="371"/>
      <c r="AG40" s="313"/>
      <c r="AH40" s="313"/>
      <c r="AI40" s="313"/>
      <c r="AJ40" s="312"/>
    </row>
    <row r="41" spans="1:75" s="265" customFormat="1" ht="25.5" customHeight="1">
      <c r="A41" s="373"/>
      <c r="B41" s="265" t="s">
        <v>282</v>
      </c>
      <c r="D41" s="265" t="s">
        <v>289</v>
      </c>
      <c r="F41" s="265" t="s">
        <v>289</v>
      </c>
      <c r="H41" s="265" t="s">
        <v>289</v>
      </c>
      <c r="J41" s="265" t="s">
        <v>289</v>
      </c>
      <c r="L41" s="265" t="s">
        <v>550</v>
      </c>
      <c r="N41" s="265" t="s">
        <v>294</v>
      </c>
      <c r="P41" s="265" t="s">
        <v>296</v>
      </c>
      <c r="R41" s="265" t="s">
        <v>299</v>
      </c>
      <c r="T41" s="265" t="s">
        <v>299</v>
      </c>
      <c r="V41" s="265" t="s">
        <v>551</v>
      </c>
      <c r="X41" s="265" t="s">
        <v>377</v>
      </c>
      <c r="Z41" s="265" t="s">
        <v>361</v>
      </c>
      <c r="AB41" s="265" t="s">
        <v>354</v>
      </c>
      <c r="AD41" s="265" t="s">
        <v>377</v>
      </c>
      <c r="AF41" s="374"/>
    </row>
    <row r="42" spans="1:75" s="159" customFormat="1" ht="12.95" customHeight="1">
      <c r="A42" s="370"/>
      <c r="B42" s="205"/>
      <c r="C42" s="260"/>
      <c r="D42" s="205"/>
      <c r="E42" s="260"/>
      <c r="F42" s="205"/>
      <c r="G42" s="260"/>
      <c r="H42" s="785" t="s">
        <v>552</v>
      </c>
      <c r="I42" s="785"/>
      <c r="J42" s="785"/>
      <c r="K42" s="785"/>
      <c r="L42" s="785"/>
      <c r="R42" s="610" t="s">
        <v>1099</v>
      </c>
      <c r="S42" s="205"/>
      <c r="T42" s="205"/>
      <c r="U42" s="260"/>
      <c r="V42" s="205"/>
      <c r="W42" s="260"/>
      <c r="X42" s="260"/>
      <c r="Y42" s="260"/>
      <c r="Z42" s="260"/>
      <c r="AA42" s="260"/>
      <c r="AB42" s="260"/>
      <c r="AC42" s="260"/>
      <c r="AD42" s="260"/>
      <c r="AE42" s="260"/>
      <c r="AF42" s="371"/>
      <c r="AG42" s="313"/>
      <c r="AH42" s="313"/>
      <c r="AI42" s="313"/>
      <c r="AJ42" s="312"/>
    </row>
    <row r="43" spans="1:75" s="159" customFormat="1" ht="12.95" customHeight="1" thickBot="1">
      <c r="A43" s="370"/>
      <c r="B43" s="205"/>
      <c r="C43" s="205"/>
      <c r="D43" s="205"/>
      <c r="E43" s="205"/>
      <c r="F43" s="205"/>
      <c r="G43" s="205"/>
      <c r="H43" s="205"/>
      <c r="I43" s="205"/>
      <c r="J43" s="205"/>
      <c r="K43" s="205"/>
      <c r="L43" s="205"/>
      <c r="M43" s="205"/>
      <c r="N43" s="205"/>
      <c r="O43" s="205"/>
      <c r="P43" s="205"/>
      <c r="R43" s="205"/>
      <c r="S43" s="205"/>
      <c r="T43" s="205"/>
      <c r="U43" s="205"/>
      <c r="V43" s="205"/>
      <c r="W43" s="205"/>
      <c r="X43" s="205"/>
      <c r="Y43" s="205"/>
      <c r="Z43" s="205"/>
      <c r="AA43" s="205"/>
      <c r="AB43" s="205"/>
      <c r="AC43" s="205"/>
      <c r="AD43" s="205"/>
      <c r="AE43" s="261"/>
      <c r="AF43" s="371"/>
      <c r="AG43" s="313"/>
      <c r="AH43" s="313"/>
      <c r="AI43" s="313"/>
      <c r="AJ43" s="312"/>
    </row>
    <row r="44" spans="1:75" s="166" customFormat="1" ht="12.95" customHeight="1">
      <c r="A44" s="370"/>
      <c r="B44" s="205"/>
      <c r="C44" s="205"/>
      <c r="D44" s="205"/>
      <c r="E44" s="205"/>
      <c r="F44" s="205"/>
      <c r="G44" s="205"/>
      <c r="H44" s="205"/>
      <c r="I44" s="205"/>
      <c r="J44" s="205"/>
      <c r="K44" s="205"/>
      <c r="L44" s="205"/>
      <c r="M44" s="205"/>
      <c r="N44" s="205"/>
      <c r="O44" s="205"/>
      <c r="P44" s="205"/>
      <c r="Q44" s="205"/>
      <c r="R44" s="205"/>
      <c r="S44" s="205"/>
      <c r="T44" s="205"/>
      <c r="U44" s="205"/>
      <c r="V44" s="205"/>
      <c r="W44" s="205"/>
      <c r="X44" s="205"/>
      <c r="Y44" s="205"/>
      <c r="Z44" s="205"/>
      <c r="AA44" s="205"/>
      <c r="AB44" s="205"/>
      <c r="AC44" s="205"/>
      <c r="AD44" s="205"/>
      <c r="AE44" s="205"/>
      <c r="AF44" s="371"/>
      <c r="AG44" s="748">
        <v>10</v>
      </c>
      <c r="AH44" s="749">
        <v>2</v>
      </c>
      <c r="AI44" s="749">
        <f>AG44-AH44</f>
        <v>8</v>
      </c>
      <c r="AJ44" s="749">
        <f>AG44</f>
        <v>10</v>
      </c>
      <c r="AK44" s="749">
        <v>1</v>
      </c>
      <c r="AL44" s="749">
        <f>AJ44-AK44</f>
        <v>9</v>
      </c>
      <c r="AM44" s="749"/>
      <c r="AN44" s="749"/>
      <c r="AO44" s="779"/>
    </row>
    <row r="45" spans="1:75" s="166" customFormat="1" ht="12.95" customHeight="1">
      <c r="A45" s="370"/>
      <c r="B45" s="205">
        <v>31</v>
      </c>
      <c r="C45" s="205"/>
      <c r="D45" s="205">
        <v>32</v>
      </c>
      <c r="E45" s="205"/>
      <c r="F45" s="205">
        <v>33</v>
      </c>
      <c r="G45" s="205"/>
      <c r="H45" s="205">
        <v>34</v>
      </c>
      <c r="I45" s="205"/>
      <c r="J45" s="205">
        <v>35</v>
      </c>
      <c r="K45" s="205"/>
      <c r="L45" s="205">
        <v>36</v>
      </c>
      <c r="M45" s="205"/>
      <c r="N45" s="205">
        <v>37</v>
      </c>
      <c r="O45" s="205"/>
      <c r="P45" s="205">
        <v>38</v>
      </c>
      <c r="Q45" s="205"/>
      <c r="R45" s="205">
        <v>39</v>
      </c>
      <c r="S45" s="205"/>
      <c r="T45" s="205">
        <v>40</v>
      </c>
      <c r="U45" s="205"/>
      <c r="V45" s="205">
        <v>41</v>
      </c>
      <c r="W45" s="205"/>
      <c r="X45" s="205">
        <v>42</v>
      </c>
      <c r="Y45" s="205"/>
      <c r="Z45" s="205">
        <v>43</v>
      </c>
      <c r="AA45" s="205"/>
      <c r="AB45" s="205">
        <v>44</v>
      </c>
      <c r="AC45" s="205"/>
      <c r="AD45" s="205">
        <v>45</v>
      </c>
      <c r="AE45" s="205"/>
      <c r="AF45" s="371"/>
      <c r="AG45" s="746"/>
      <c r="AH45" s="750"/>
      <c r="AI45" s="750"/>
      <c r="AJ45" s="750"/>
      <c r="AK45" s="750"/>
      <c r="AL45" s="750"/>
      <c r="AM45" s="750"/>
      <c r="AN45" s="750"/>
      <c r="AO45" s="777"/>
    </row>
    <row r="46" spans="1:75" s="166" customFormat="1" ht="12.95" customHeight="1">
      <c r="A46" s="370"/>
      <c r="B46" s="401" t="s">
        <v>137</v>
      </c>
      <c r="C46" s="260"/>
      <c r="D46" s="401" t="s">
        <v>374</v>
      </c>
      <c r="E46" s="260"/>
      <c r="F46" s="260" t="s">
        <v>372</v>
      </c>
      <c r="G46" s="260"/>
      <c r="H46" s="260" t="s">
        <v>373</v>
      </c>
      <c r="I46" s="260"/>
      <c r="J46" s="260" t="s">
        <v>371</v>
      </c>
      <c r="K46" s="260"/>
      <c r="L46" s="260" t="s">
        <v>384</v>
      </c>
      <c r="M46" s="205"/>
      <c r="N46" s="260" t="s">
        <v>399</v>
      </c>
      <c r="O46" s="260"/>
      <c r="P46" s="260" t="s">
        <v>175</v>
      </c>
      <c r="Q46" s="260"/>
      <c r="R46" s="260" t="s">
        <v>138</v>
      </c>
      <c r="S46" s="260"/>
      <c r="T46" s="260" t="s">
        <v>139</v>
      </c>
      <c r="U46" s="260"/>
      <c r="V46" s="260" t="s">
        <v>140</v>
      </c>
      <c r="W46" s="260"/>
      <c r="X46" s="260" t="s">
        <v>369</v>
      </c>
      <c r="Y46" s="260"/>
      <c r="Z46" s="260" t="s">
        <v>368</v>
      </c>
      <c r="AA46" s="260"/>
      <c r="AB46" s="260" t="s">
        <v>141</v>
      </c>
      <c r="AC46" s="260"/>
      <c r="AD46" s="260" t="s">
        <v>386</v>
      </c>
      <c r="AE46" s="260"/>
      <c r="AF46" s="371"/>
      <c r="AG46" s="746"/>
      <c r="AH46" s="750"/>
      <c r="AI46" s="750"/>
      <c r="AJ46" s="750"/>
      <c r="AK46" s="750"/>
      <c r="AL46" s="750"/>
      <c r="AM46" s="750"/>
      <c r="AN46" s="750"/>
      <c r="AO46" s="777"/>
    </row>
    <row r="47" spans="1:75" s="166" customFormat="1" ht="12.95" customHeight="1">
      <c r="A47" s="370"/>
      <c r="B47" s="205"/>
      <c r="C47" s="205"/>
      <c r="D47" s="205"/>
      <c r="E47" s="205"/>
      <c r="F47" s="205"/>
      <c r="G47" s="205"/>
      <c r="H47" s="205"/>
      <c r="I47" s="205"/>
      <c r="J47" s="205"/>
      <c r="K47" s="205"/>
      <c r="L47" s="205"/>
      <c r="M47" s="205"/>
      <c r="N47" s="205"/>
      <c r="O47" s="205"/>
      <c r="P47" s="205"/>
      <c r="Q47" s="205"/>
      <c r="R47" s="205"/>
      <c r="S47" s="205"/>
      <c r="T47" s="205"/>
      <c r="U47" s="205"/>
      <c r="V47" s="205"/>
      <c r="W47" s="205"/>
      <c r="X47" s="205"/>
      <c r="Y47" s="205"/>
      <c r="Z47" s="205"/>
      <c r="AA47" s="205"/>
      <c r="AB47" s="205"/>
      <c r="AC47" s="205"/>
      <c r="AD47" s="205"/>
      <c r="AE47" s="205"/>
      <c r="AF47" s="371"/>
      <c r="AG47" s="746"/>
      <c r="AH47" s="750"/>
      <c r="AI47" s="750"/>
      <c r="AJ47" s="750"/>
      <c r="AK47" s="750"/>
      <c r="AL47" s="750"/>
      <c r="AM47" s="750"/>
      <c r="AN47" s="750"/>
      <c r="AO47" s="777"/>
    </row>
    <row r="48" spans="1:75" s="166" customFormat="1" ht="12.95" customHeight="1">
      <c r="A48" s="370"/>
      <c r="B48" s="260"/>
      <c r="C48" s="260"/>
      <c r="D48" s="260"/>
      <c r="E48" s="260"/>
      <c r="F48" s="260"/>
      <c r="G48" s="260"/>
      <c r="H48" s="260"/>
      <c r="I48" s="260"/>
      <c r="J48" s="260"/>
      <c r="K48" s="260"/>
      <c r="L48" s="260"/>
      <c r="M48" s="260"/>
      <c r="N48" s="260"/>
      <c r="O48" s="205"/>
      <c r="P48" s="260"/>
      <c r="Q48" s="260"/>
      <c r="R48" s="260"/>
      <c r="S48" s="205"/>
      <c r="T48" s="260"/>
      <c r="U48" s="260"/>
      <c r="V48" s="260"/>
      <c r="W48" s="260"/>
      <c r="X48" s="260"/>
      <c r="Y48" s="260"/>
      <c r="Z48" s="260"/>
      <c r="AA48" s="260"/>
      <c r="AB48" s="260"/>
      <c r="AC48" s="260"/>
      <c r="AD48" s="260"/>
      <c r="AE48" s="260"/>
      <c r="AF48" s="371"/>
      <c r="AG48" s="746"/>
      <c r="AH48" s="750"/>
      <c r="AI48" s="750"/>
      <c r="AJ48" s="750"/>
      <c r="AK48" s="750"/>
      <c r="AL48" s="750"/>
      <c r="AM48" s="750"/>
      <c r="AN48" s="750"/>
      <c r="AO48" s="777"/>
    </row>
    <row r="49" spans="1:75" s="166" customFormat="1" ht="12.95" customHeight="1" thickBot="1">
      <c r="A49" s="370"/>
      <c r="B49" s="260"/>
      <c r="C49" s="260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0"/>
      <c r="O49" s="205"/>
      <c r="P49" s="260"/>
      <c r="Q49" s="260"/>
      <c r="R49" s="260"/>
      <c r="S49" s="205"/>
      <c r="T49" s="260"/>
      <c r="U49" s="260"/>
      <c r="V49" s="260"/>
      <c r="W49" s="260"/>
      <c r="X49" s="260"/>
      <c r="Y49" s="260"/>
      <c r="Z49" s="260"/>
      <c r="AA49" s="260"/>
      <c r="AB49" s="260"/>
      <c r="AC49" s="260"/>
      <c r="AD49" s="260"/>
      <c r="AE49" s="260"/>
      <c r="AF49" s="371"/>
      <c r="AG49" s="746"/>
      <c r="AH49" s="750"/>
      <c r="AI49" s="750"/>
      <c r="AJ49" s="750"/>
      <c r="AK49" s="750"/>
      <c r="AL49" s="750"/>
      <c r="AM49" s="750"/>
      <c r="AN49" s="750"/>
      <c r="AO49" s="777"/>
    </row>
    <row r="50" spans="1:75" s="166" customFormat="1" ht="12.6" customHeight="1">
      <c r="A50" s="377"/>
      <c r="B50" s="207"/>
      <c r="C50" s="185"/>
      <c r="D50" s="186"/>
      <c r="E50" s="185"/>
      <c r="F50" s="186"/>
      <c r="G50" s="185"/>
      <c r="H50" s="186"/>
      <c r="I50" s="185"/>
      <c r="J50" s="186"/>
      <c r="K50" s="185"/>
      <c r="L50" s="186"/>
      <c r="M50" s="185"/>
      <c r="N50" s="186"/>
      <c r="O50" s="185"/>
      <c r="P50" s="186"/>
      <c r="Q50" s="185"/>
      <c r="R50" s="186"/>
      <c r="S50" s="185"/>
      <c r="T50" s="186"/>
      <c r="U50" s="185"/>
      <c r="V50" s="186"/>
      <c r="W50" s="185"/>
      <c r="X50" s="186"/>
      <c r="Y50" s="185"/>
      <c r="Z50" s="186"/>
      <c r="AA50" s="185"/>
      <c r="AB50" s="781"/>
      <c r="AC50" s="185"/>
      <c r="AD50" s="186"/>
      <c r="AE50" s="185"/>
      <c r="AF50" s="371"/>
      <c r="AG50" s="746"/>
      <c r="AH50" s="750"/>
      <c r="AI50" s="750"/>
      <c r="AJ50" s="750"/>
      <c r="AK50" s="750"/>
      <c r="AL50" s="750"/>
      <c r="AM50" s="750"/>
      <c r="AN50" s="750"/>
      <c r="AO50" s="777"/>
      <c r="BV50" s="606">
        <f>15</f>
        <v>15</v>
      </c>
      <c r="BW50" s="606">
        <v>8</v>
      </c>
    </row>
    <row r="51" spans="1:75" s="166" customFormat="1" ht="13.5" customHeight="1">
      <c r="A51" s="377"/>
      <c r="B51" s="189"/>
      <c r="C51" s="376">
        <v>421.99400000000003</v>
      </c>
      <c r="D51" s="189"/>
      <c r="E51" s="376">
        <v>232.608</v>
      </c>
      <c r="F51" s="189"/>
      <c r="G51" s="376">
        <v>216.64099999999999</v>
      </c>
      <c r="H51" s="189"/>
      <c r="I51" s="376">
        <v>355.99799999999999</v>
      </c>
      <c r="J51" s="189"/>
      <c r="K51" s="376">
        <v>384</v>
      </c>
      <c r="L51" s="189"/>
      <c r="M51" s="376">
        <v>362</v>
      </c>
      <c r="N51" s="195"/>
      <c r="O51" s="376">
        <v>307.02800000000002</v>
      </c>
      <c r="P51" s="195"/>
      <c r="Q51" s="376">
        <v>379.00200000000001</v>
      </c>
      <c r="R51" s="189"/>
      <c r="S51" s="376">
        <v>412</v>
      </c>
      <c r="T51" s="189"/>
      <c r="U51" s="376">
        <v>429</v>
      </c>
      <c r="V51" s="189"/>
      <c r="W51" s="376">
        <v>408</v>
      </c>
      <c r="X51" s="195"/>
      <c r="Y51" s="376">
        <v>395</v>
      </c>
      <c r="Z51" s="189"/>
      <c r="AA51" s="376">
        <v>380.68599999999998</v>
      </c>
      <c r="AB51" s="782"/>
      <c r="AC51" s="376">
        <v>410.99700000000001</v>
      </c>
      <c r="AD51" s="189"/>
      <c r="AE51" s="376">
        <v>413</v>
      </c>
      <c r="AF51" s="371"/>
      <c r="AG51" s="746"/>
      <c r="AH51" s="750"/>
      <c r="AI51" s="750"/>
      <c r="AJ51" s="750"/>
      <c r="AK51" s="750"/>
      <c r="AL51" s="750"/>
      <c r="AM51" s="750"/>
      <c r="AN51" s="750"/>
      <c r="AO51" s="777"/>
    </row>
    <row r="52" spans="1:75" s="166" customFormat="1" ht="13.5" customHeight="1" thickBot="1">
      <c r="A52" s="377"/>
      <c r="B52" s="208"/>
      <c r="D52" s="191"/>
      <c r="F52" s="191"/>
      <c r="H52" s="191"/>
      <c r="J52" s="191"/>
      <c r="L52" s="191"/>
      <c r="N52" s="191"/>
      <c r="P52" s="191"/>
      <c r="R52" s="191"/>
      <c r="T52" s="191"/>
      <c r="V52" s="191"/>
      <c r="X52" s="191"/>
      <c r="Z52" s="191"/>
      <c r="AB52" s="783"/>
      <c r="AD52" s="191"/>
      <c r="AF52" s="371"/>
      <c r="AG52" s="746"/>
      <c r="AH52" s="750"/>
      <c r="AI52" s="750"/>
      <c r="AJ52" s="750"/>
      <c r="AK52" s="750"/>
      <c r="AL52" s="750"/>
      <c r="AM52" s="750"/>
      <c r="AN52" s="750"/>
      <c r="AO52" s="777"/>
    </row>
    <row r="53" spans="1:75" s="166" customFormat="1" ht="14.1" customHeight="1">
      <c r="A53" s="370"/>
      <c r="B53" s="265" t="s">
        <v>395</v>
      </c>
      <c r="C53" s="260"/>
      <c r="D53" s="265" t="s">
        <v>302</v>
      </c>
      <c r="E53" s="260"/>
      <c r="F53" s="265" t="s">
        <v>306</v>
      </c>
      <c r="G53" s="260"/>
      <c r="H53" s="192" t="s">
        <v>302</v>
      </c>
      <c r="I53" s="260"/>
      <c r="J53" s="260" t="s">
        <v>354</v>
      </c>
      <c r="K53" s="260"/>
      <c r="L53" s="260" t="s">
        <v>354</v>
      </c>
      <c r="M53" s="260"/>
      <c r="N53" s="260" t="s">
        <v>400</v>
      </c>
      <c r="O53" s="260"/>
      <c r="P53" s="265" t="s">
        <v>302</v>
      </c>
      <c r="Q53" s="260"/>
      <c r="R53" s="260" t="s">
        <v>354</v>
      </c>
      <c r="S53" s="260"/>
      <c r="T53" s="260" t="s">
        <v>361</v>
      </c>
      <c r="U53" s="260"/>
      <c r="V53" s="265" t="s">
        <v>361</v>
      </c>
      <c r="W53" s="260"/>
      <c r="X53" s="260" t="s">
        <v>354</v>
      </c>
      <c r="Y53" s="260"/>
      <c r="Z53" s="265" t="s">
        <v>354</v>
      </c>
      <c r="AA53" s="260"/>
      <c r="AB53" s="265" t="s">
        <v>306</v>
      </c>
      <c r="AC53" s="260"/>
      <c r="AD53" s="265" t="s">
        <v>361</v>
      </c>
      <c r="AE53" s="260"/>
      <c r="AF53" s="371"/>
      <c r="AG53" s="746"/>
      <c r="AH53" s="750"/>
      <c r="AI53" s="750"/>
      <c r="AJ53" s="750"/>
      <c r="AK53" s="750"/>
      <c r="AL53" s="750"/>
      <c r="AM53" s="750"/>
      <c r="AN53" s="750"/>
      <c r="AO53" s="777"/>
    </row>
    <row r="54" spans="1:75" s="166" customFormat="1" ht="14.1" customHeight="1">
      <c r="A54" s="37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05"/>
      <c r="O54" s="378"/>
      <c r="P54" s="205"/>
      <c r="Q54" s="378"/>
      <c r="R54" s="205"/>
      <c r="S54" s="378"/>
      <c r="T54" s="205"/>
      <c r="U54" s="378"/>
      <c r="V54" s="205"/>
      <c r="W54" s="378"/>
      <c r="X54" s="205"/>
      <c r="Y54" s="378"/>
      <c r="Z54" s="205"/>
      <c r="AA54" s="379"/>
      <c r="AB54" s="205"/>
      <c r="AC54" s="378"/>
      <c r="AD54" s="205"/>
      <c r="AE54" s="378"/>
      <c r="AF54" s="371"/>
      <c r="AG54" s="747"/>
      <c r="AH54" s="751"/>
      <c r="AI54" s="751"/>
      <c r="AJ54" s="751"/>
      <c r="AK54" s="751"/>
      <c r="AL54" s="751"/>
      <c r="AM54" s="751"/>
      <c r="AN54" s="751"/>
      <c r="AO54" s="780"/>
    </row>
    <row r="55" spans="1:75" s="166" customFormat="1" ht="14.1" customHeight="1">
      <c r="A55" s="370"/>
      <c r="B55" s="205"/>
      <c r="C55" s="205"/>
      <c r="D55" s="205"/>
      <c r="E55" s="205"/>
      <c r="F55" s="205"/>
      <c r="G55" s="205"/>
      <c r="H55" s="205"/>
      <c r="I55" s="205"/>
      <c r="J55" s="380"/>
      <c r="K55" s="261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5"/>
      <c r="AB55" s="205"/>
      <c r="AC55" s="205"/>
      <c r="AD55" s="205"/>
      <c r="AE55" s="205"/>
      <c r="AF55" s="371"/>
      <c r="AG55" s="753">
        <v>10</v>
      </c>
      <c r="AH55" s="752">
        <v>10</v>
      </c>
      <c r="AI55" s="752">
        <f>AG55-AH55</f>
        <v>0</v>
      </c>
      <c r="AJ55" s="752">
        <f>AG55</f>
        <v>10</v>
      </c>
      <c r="AK55" s="752">
        <v>10</v>
      </c>
      <c r="AL55" s="752">
        <f>AJ55-AK55</f>
        <v>0</v>
      </c>
      <c r="AM55" s="752">
        <v>1.2729999999999999</v>
      </c>
      <c r="AN55" s="752">
        <v>1.2729999999999999</v>
      </c>
      <c r="AO55" s="776"/>
    </row>
    <row r="56" spans="1:75" s="166" customFormat="1" ht="14.1" customHeight="1">
      <c r="A56" s="370"/>
      <c r="B56" s="205"/>
      <c r="C56" s="205"/>
      <c r="D56" s="205"/>
      <c r="E56" s="205"/>
      <c r="F56" s="205"/>
      <c r="G56" s="205"/>
      <c r="H56" s="205"/>
      <c r="I56" s="205"/>
      <c r="J56" s="205"/>
      <c r="K56" s="205"/>
      <c r="L56" s="205"/>
      <c r="M56" s="205"/>
      <c r="N56" s="205"/>
      <c r="O56" s="205"/>
      <c r="P56" s="205"/>
      <c r="Q56" s="205"/>
      <c r="R56" s="205"/>
      <c r="S56" s="205"/>
      <c r="T56" s="205"/>
      <c r="U56" s="205"/>
      <c r="V56" s="205"/>
      <c r="W56" s="205"/>
      <c r="X56" s="205"/>
      <c r="Y56" s="205"/>
      <c r="Z56" s="205"/>
      <c r="AA56" s="205"/>
      <c r="AB56" s="205"/>
      <c r="AC56" s="205"/>
      <c r="AD56" s="205"/>
      <c r="AE56" s="261"/>
      <c r="AF56" s="371"/>
      <c r="AG56" s="746"/>
      <c r="AH56" s="750"/>
      <c r="AI56" s="750"/>
      <c r="AJ56" s="750"/>
      <c r="AK56" s="750"/>
      <c r="AL56" s="750"/>
      <c r="AM56" s="750"/>
      <c r="AN56" s="750"/>
      <c r="AO56" s="777"/>
    </row>
    <row r="57" spans="1:75" s="166" customFormat="1" ht="14.1" customHeight="1">
      <c r="A57" s="370"/>
      <c r="B57" s="205">
        <v>46</v>
      </c>
      <c r="C57" s="205"/>
      <c r="D57" s="205">
        <v>47</v>
      </c>
      <c r="E57" s="205"/>
      <c r="F57" s="205">
        <v>48</v>
      </c>
      <c r="G57" s="205"/>
      <c r="H57" s="205">
        <v>49</v>
      </c>
      <c r="I57" s="205"/>
      <c r="J57" s="205">
        <v>50</v>
      </c>
      <c r="K57" s="205"/>
      <c r="L57" s="205">
        <v>51</v>
      </c>
      <c r="M57" s="205"/>
      <c r="N57" s="205">
        <v>52</v>
      </c>
      <c r="O57" s="205"/>
      <c r="P57" s="205">
        <v>53</v>
      </c>
      <c r="Q57" s="205"/>
      <c r="R57" s="205">
        <v>54</v>
      </c>
      <c r="S57" s="205"/>
      <c r="T57" s="205">
        <v>55</v>
      </c>
      <c r="U57" s="205"/>
      <c r="V57" s="205">
        <v>56</v>
      </c>
      <c r="W57" s="205"/>
      <c r="X57" s="205">
        <v>57</v>
      </c>
      <c r="Y57" s="205"/>
      <c r="Z57" s="205">
        <v>58</v>
      </c>
      <c r="AA57" s="205"/>
      <c r="AB57" s="205">
        <v>59</v>
      </c>
      <c r="AC57" s="205"/>
      <c r="AD57" s="205">
        <v>60</v>
      </c>
      <c r="AE57" s="205"/>
      <c r="AF57" s="371"/>
      <c r="AG57" s="746"/>
      <c r="AH57" s="750"/>
      <c r="AI57" s="750"/>
      <c r="AJ57" s="750"/>
      <c r="AK57" s="750"/>
      <c r="AL57" s="750"/>
      <c r="AM57" s="750"/>
      <c r="AN57" s="750"/>
      <c r="AO57" s="777"/>
    </row>
    <row r="58" spans="1:75" s="166" customFormat="1" ht="14.1" customHeight="1">
      <c r="A58" s="370"/>
      <c r="B58" s="260" t="s">
        <v>394</v>
      </c>
      <c r="C58" s="205"/>
      <c r="D58" s="260" t="s">
        <v>169</v>
      </c>
      <c r="E58" s="260"/>
      <c r="F58" s="260" t="s">
        <v>177</v>
      </c>
      <c r="G58" s="260"/>
      <c r="H58" s="260" t="s">
        <v>178</v>
      </c>
      <c r="I58" s="260"/>
      <c r="J58" s="260" t="s">
        <v>422</v>
      </c>
      <c r="K58" s="260"/>
      <c r="L58" s="260" t="s">
        <v>404</v>
      </c>
      <c r="M58" s="260"/>
      <c r="N58" s="260" t="s">
        <v>380</v>
      </c>
      <c r="O58" s="260"/>
      <c r="P58" s="260" t="s">
        <v>381</v>
      </c>
      <c r="Q58" s="260"/>
      <c r="R58" s="260" t="s">
        <v>378</v>
      </c>
      <c r="S58" s="260"/>
      <c r="T58" s="260" t="s">
        <v>392</v>
      </c>
      <c r="U58" s="260"/>
      <c r="V58" s="260" t="s">
        <v>396</v>
      </c>
      <c r="W58" s="260"/>
      <c r="X58" s="260" t="s">
        <v>553</v>
      </c>
      <c r="Y58" s="260"/>
      <c r="Z58" s="260" t="s">
        <v>408</v>
      </c>
      <c r="AA58" s="260"/>
      <c r="AB58" s="260" t="s">
        <v>411</v>
      </c>
      <c r="AC58" s="260"/>
      <c r="AD58" s="260" t="s">
        <v>179</v>
      </c>
      <c r="AE58" s="260"/>
      <c r="AF58" s="371"/>
      <c r="AG58" s="746"/>
      <c r="AH58" s="750"/>
      <c r="AI58" s="750"/>
      <c r="AJ58" s="750"/>
      <c r="AK58" s="750"/>
      <c r="AL58" s="750"/>
      <c r="AM58" s="750"/>
      <c r="AN58" s="750"/>
      <c r="AO58" s="777"/>
    </row>
    <row r="59" spans="1:75" s="166" customFormat="1" ht="13.5" customHeight="1">
      <c r="A59" s="370"/>
      <c r="B59" s="205"/>
      <c r="C59" s="205"/>
      <c r="D59" s="205"/>
      <c r="E59" s="205"/>
      <c r="F59" s="205"/>
      <c r="G59" s="205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5"/>
      <c r="AB59" s="205"/>
      <c r="AC59" s="205"/>
      <c r="AD59" s="205"/>
      <c r="AE59" s="205"/>
      <c r="AF59" s="371"/>
      <c r="AG59" s="746"/>
      <c r="AH59" s="750"/>
      <c r="AI59" s="750"/>
      <c r="AJ59" s="750"/>
      <c r="AK59" s="750"/>
      <c r="AL59" s="750"/>
      <c r="AM59" s="750"/>
      <c r="AN59" s="750"/>
      <c r="AO59" s="777"/>
    </row>
    <row r="60" spans="1:75" s="166" customFormat="1" ht="13.5" customHeight="1">
      <c r="A60" s="370"/>
      <c r="B60" s="260"/>
      <c r="C60" s="260"/>
      <c r="D60" s="260"/>
      <c r="E60" s="205"/>
      <c r="F60" s="260"/>
      <c r="G60" s="260"/>
      <c r="H60" s="260"/>
      <c r="I60" s="205"/>
      <c r="J60" s="260"/>
      <c r="K60" s="260"/>
      <c r="L60" s="260"/>
      <c r="M60" s="260"/>
      <c r="N60" s="260"/>
      <c r="O60" s="260"/>
      <c r="P60" s="260"/>
      <c r="Q60" s="260"/>
      <c r="R60" s="260"/>
      <c r="S60" s="260"/>
      <c r="T60" s="260"/>
      <c r="U60" s="260"/>
      <c r="V60" s="260"/>
      <c r="W60" s="260"/>
      <c r="X60" s="260"/>
      <c r="Y60" s="205"/>
      <c r="Z60" s="260"/>
      <c r="AA60" s="260"/>
      <c r="AB60" s="260"/>
      <c r="AC60" s="205"/>
      <c r="AD60" s="260"/>
      <c r="AE60" s="260"/>
      <c r="AF60" s="371"/>
      <c r="AG60" s="746"/>
      <c r="AH60" s="750"/>
      <c r="AI60" s="750"/>
      <c r="AJ60" s="750"/>
      <c r="AK60" s="750"/>
      <c r="AL60" s="750"/>
      <c r="AM60" s="750"/>
      <c r="AN60" s="750"/>
      <c r="AO60" s="777"/>
    </row>
    <row r="61" spans="1:75" s="166" customFormat="1" ht="13.5" customHeight="1" thickBot="1">
      <c r="A61" s="370"/>
      <c r="B61" s="260"/>
      <c r="C61" s="260"/>
      <c r="D61" s="260"/>
      <c r="E61" s="205"/>
      <c r="F61" s="260"/>
      <c r="G61" s="260"/>
      <c r="H61" s="260"/>
      <c r="I61" s="205"/>
      <c r="J61" s="260"/>
      <c r="K61" s="260"/>
      <c r="L61" s="260"/>
      <c r="M61" s="260"/>
      <c r="N61" s="260"/>
      <c r="O61" s="260"/>
      <c r="P61" s="260"/>
      <c r="Q61" s="260"/>
      <c r="R61" s="260"/>
      <c r="S61" s="260"/>
      <c r="T61" s="260"/>
      <c r="U61" s="260"/>
      <c r="V61" s="260"/>
      <c r="W61" s="260"/>
      <c r="X61" s="260"/>
      <c r="Y61" s="205"/>
      <c r="Z61" s="260"/>
      <c r="AA61" s="260"/>
      <c r="AB61" s="260"/>
      <c r="AC61" s="205"/>
      <c r="AD61" s="260"/>
      <c r="AE61" s="260"/>
      <c r="AF61" s="371"/>
      <c r="AG61" s="746"/>
      <c r="AH61" s="750"/>
      <c r="AI61" s="750"/>
      <c r="AJ61" s="750"/>
      <c r="AK61" s="750"/>
      <c r="AL61" s="750"/>
      <c r="AM61" s="750"/>
      <c r="AN61" s="750"/>
      <c r="AO61" s="777"/>
    </row>
    <row r="62" spans="1:75" s="166" customFormat="1" ht="13.5" customHeight="1">
      <c r="A62" s="370"/>
      <c r="B62" s="186"/>
      <c r="C62" s="185"/>
      <c r="D62" s="186"/>
      <c r="E62" s="185"/>
      <c r="F62" s="186"/>
      <c r="G62" s="185"/>
      <c r="H62" s="186"/>
      <c r="I62" s="185"/>
      <c r="J62" s="186"/>
      <c r="K62" s="185"/>
      <c r="L62" s="186"/>
      <c r="M62" s="185"/>
      <c r="N62" s="186"/>
      <c r="O62" s="185"/>
      <c r="P62" s="186"/>
      <c r="Q62" s="185"/>
      <c r="R62" s="186"/>
      <c r="S62" s="185"/>
      <c r="T62" s="186"/>
      <c r="U62" s="185"/>
      <c r="V62" s="781"/>
      <c r="W62" s="185"/>
      <c r="X62" s="792" t="s">
        <v>554</v>
      </c>
      <c r="Y62" s="185"/>
      <c r="Z62" s="781"/>
      <c r="AA62" s="185"/>
      <c r="AB62" s="781"/>
      <c r="AC62" s="185"/>
      <c r="AD62" s="781"/>
      <c r="AE62" s="185"/>
      <c r="AF62" s="371"/>
      <c r="AG62" s="746"/>
      <c r="AH62" s="750"/>
      <c r="AI62" s="750"/>
      <c r="AJ62" s="750"/>
      <c r="AK62" s="750"/>
      <c r="AL62" s="750"/>
      <c r="AM62" s="750"/>
      <c r="AN62" s="750"/>
      <c r="AO62" s="777"/>
      <c r="BV62" s="606">
        <f>14</f>
        <v>14</v>
      </c>
      <c r="BW62" s="606">
        <v>14</v>
      </c>
    </row>
    <row r="63" spans="1:75" s="166" customFormat="1" ht="13.5" customHeight="1">
      <c r="A63" s="370"/>
      <c r="B63" s="195"/>
      <c r="C63" s="376">
        <v>386.81599999999997</v>
      </c>
      <c r="D63" s="189"/>
      <c r="E63" s="376">
        <v>324.00400000000002</v>
      </c>
      <c r="F63" s="189"/>
      <c r="G63" s="376">
        <v>416</v>
      </c>
      <c r="H63" s="195"/>
      <c r="I63" s="376">
        <v>404.53</v>
      </c>
      <c r="J63" s="195"/>
      <c r="K63" s="376">
        <v>374.07600000000002</v>
      </c>
      <c r="L63" s="195"/>
      <c r="M63" s="376">
        <v>423.00299999999999</v>
      </c>
      <c r="N63" s="189"/>
      <c r="O63" s="376">
        <v>420</v>
      </c>
      <c r="P63" s="189"/>
      <c r="Q63" s="376">
        <v>375.06400000000002</v>
      </c>
      <c r="R63" s="189"/>
      <c r="S63" s="376">
        <v>417.21499999999997</v>
      </c>
      <c r="T63" s="189"/>
      <c r="U63" s="376">
        <v>498.00099999999998</v>
      </c>
      <c r="V63" s="782"/>
      <c r="W63" s="376">
        <v>448</v>
      </c>
      <c r="X63" s="793"/>
      <c r="Y63" s="376">
        <v>394</v>
      </c>
      <c r="Z63" s="782"/>
      <c r="AA63" s="376">
        <v>383</v>
      </c>
      <c r="AB63" s="782"/>
      <c r="AC63" s="376">
        <v>379</v>
      </c>
      <c r="AD63" s="782"/>
      <c r="AE63" s="376">
        <v>380.83699999999999</v>
      </c>
      <c r="AF63" s="371"/>
      <c r="AG63" s="746"/>
      <c r="AH63" s="750"/>
      <c r="AI63" s="750"/>
      <c r="AJ63" s="750"/>
      <c r="AK63" s="750"/>
      <c r="AL63" s="750"/>
      <c r="AM63" s="750"/>
      <c r="AN63" s="750"/>
      <c r="AO63" s="777"/>
    </row>
    <row r="64" spans="1:75" s="166" customFormat="1" ht="13.5" customHeight="1" thickBot="1">
      <c r="A64" s="370"/>
      <c r="B64" s="191"/>
      <c r="D64" s="191"/>
      <c r="F64" s="191"/>
      <c r="H64" s="191"/>
      <c r="J64" s="191"/>
      <c r="L64" s="191"/>
      <c r="N64" s="191"/>
      <c r="P64" s="191"/>
      <c r="R64" s="191"/>
      <c r="T64" s="191"/>
      <c r="V64" s="783"/>
      <c r="X64" s="794"/>
      <c r="Z64" s="783"/>
      <c r="AB64" s="783"/>
      <c r="AD64" s="783"/>
      <c r="AF64" s="371"/>
      <c r="AG64" s="746"/>
      <c r="AH64" s="750"/>
      <c r="AI64" s="750"/>
      <c r="AJ64" s="750"/>
      <c r="AK64" s="750"/>
      <c r="AL64" s="750"/>
      <c r="AM64" s="750"/>
      <c r="AN64" s="750"/>
      <c r="AO64" s="777"/>
    </row>
    <row r="65" spans="1:75" s="166" customFormat="1" ht="14.1" customHeight="1">
      <c r="A65" s="370"/>
      <c r="B65" s="265" t="s">
        <v>354</v>
      </c>
      <c r="C65" s="260"/>
      <c r="D65" s="265" t="s">
        <v>304</v>
      </c>
      <c r="E65" s="260"/>
      <c r="F65" s="265" t="s">
        <v>354</v>
      </c>
      <c r="G65" s="260"/>
      <c r="H65" s="265" t="s">
        <v>403</v>
      </c>
      <c r="I65" s="260"/>
      <c r="J65" s="265" t="s">
        <v>304</v>
      </c>
      <c r="K65" s="260"/>
      <c r="L65" s="265" t="s">
        <v>377</v>
      </c>
      <c r="M65" s="260"/>
      <c r="N65" s="265" t="s">
        <v>361</v>
      </c>
      <c r="O65" s="260"/>
      <c r="P65" s="260" t="s">
        <v>354</v>
      </c>
      <c r="Q65" s="260"/>
      <c r="R65" s="265" t="s">
        <v>339</v>
      </c>
      <c r="S65" s="260"/>
      <c r="T65" s="265" t="s">
        <v>393</v>
      </c>
      <c r="U65" s="260"/>
      <c r="V65" s="265" t="s">
        <v>397</v>
      </c>
      <c r="W65" s="260"/>
      <c r="X65" s="265" t="s">
        <v>361</v>
      </c>
      <c r="Y65" s="260"/>
      <c r="Z65" s="260" t="s">
        <v>354</v>
      </c>
      <c r="AA65" s="260"/>
      <c r="AB65" s="260" t="s">
        <v>354</v>
      </c>
      <c r="AC65" s="260"/>
      <c r="AD65" s="260" t="s">
        <v>354</v>
      </c>
      <c r="AE65" s="260"/>
      <c r="AF65" s="371"/>
      <c r="AG65" s="746"/>
      <c r="AH65" s="750"/>
      <c r="AI65" s="750"/>
      <c r="AJ65" s="750"/>
      <c r="AK65" s="750"/>
      <c r="AL65" s="750"/>
      <c r="AM65" s="750"/>
      <c r="AN65" s="750"/>
      <c r="AO65" s="777"/>
    </row>
    <row r="66" spans="1:75" s="166" customFormat="1" ht="14.1" customHeight="1">
      <c r="A66" s="370"/>
      <c r="B66" s="205"/>
      <c r="C66" s="205"/>
      <c r="D66" s="205"/>
      <c r="E66" s="378"/>
      <c r="F66" s="205"/>
      <c r="G66" s="378"/>
      <c r="H66" s="205"/>
      <c r="I66" s="205"/>
      <c r="J66" s="205"/>
      <c r="K66" s="378"/>
      <c r="L66" s="205"/>
      <c r="M66" s="378"/>
      <c r="N66" s="205"/>
      <c r="O66" s="378"/>
      <c r="P66" s="205"/>
      <c r="Q66" s="205"/>
      <c r="R66" s="205"/>
      <c r="S66" s="205"/>
      <c r="T66" s="205"/>
      <c r="U66" s="378"/>
      <c r="V66" s="205"/>
      <c r="W66" s="261"/>
      <c r="X66" s="205"/>
      <c r="Y66" s="205"/>
      <c r="Z66" s="205"/>
      <c r="AA66" s="205"/>
      <c r="AB66" s="205"/>
      <c r="AC66" s="381"/>
      <c r="AD66" s="205"/>
      <c r="AE66" s="381"/>
      <c r="AF66" s="371"/>
      <c r="AG66" s="747"/>
      <c r="AH66" s="751"/>
      <c r="AI66" s="751"/>
      <c r="AJ66" s="751"/>
      <c r="AK66" s="751"/>
      <c r="AL66" s="751"/>
      <c r="AM66" s="751"/>
      <c r="AN66" s="751"/>
      <c r="AO66" s="780"/>
    </row>
    <row r="67" spans="1:75" s="166" customFormat="1" ht="13.5" customHeight="1">
      <c r="A67" s="370"/>
      <c r="B67" s="205"/>
      <c r="C67" s="205"/>
      <c r="D67" s="205"/>
      <c r="E67" s="205"/>
      <c r="F67" s="205"/>
      <c r="G67" s="205"/>
      <c r="H67" s="205"/>
      <c r="I67" s="379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371"/>
      <c r="AG67" s="753">
        <v>10</v>
      </c>
      <c r="AH67" s="752">
        <v>9</v>
      </c>
      <c r="AI67" s="752">
        <f>AG67-AH67</f>
        <v>1</v>
      </c>
      <c r="AJ67" s="752">
        <f>COUNTA($D$58:$V$58)</f>
        <v>10</v>
      </c>
      <c r="AK67" s="752">
        <v>7</v>
      </c>
      <c r="AL67" s="752">
        <f>AJ67-AK67</f>
        <v>3</v>
      </c>
      <c r="AM67" s="752">
        <v>0.91500000000000004</v>
      </c>
      <c r="AN67" s="752">
        <f>0.672+0.243</f>
        <v>0.91500000000000004</v>
      </c>
      <c r="AO67" s="776"/>
    </row>
    <row r="68" spans="1:75" s="166" customFormat="1" ht="14.1" customHeight="1">
      <c r="A68" s="382"/>
      <c r="B68" s="383"/>
      <c r="C68" s="383"/>
      <c r="D68" s="383"/>
      <c r="E68" s="383"/>
      <c r="F68" s="383"/>
      <c r="G68" s="383"/>
      <c r="H68" s="383"/>
      <c r="I68" s="383"/>
      <c r="J68" s="383"/>
      <c r="K68" s="383"/>
      <c r="L68" s="383"/>
      <c r="M68" s="383"/>
      <c r="N68" s="383"/>
      <c r="O68" s="383"/>
      <c r="P68" s="383"/>
      <c r="Q68" s="383"/>
      <c r="R68" s="383"/>
      <c r="S68" s="383"/>
      <c r="T68" s="383"/>
      <c r="U68" s="383"/>
      <c r="V68" s="383"/>
      <c r="W68" s="383"/>
      <c r="X68" s="383"/>
      <c r="Y68" s="383"/>
      <c r="Z68" s="383"/>
      <c r="AA68" s="383"/>
      <c r="AB68" s="383"/>
      <c r="AC68" s="383"/>
      <c r="AD68" s="383"/>
      <c r="AE68" s="383"/>
      <c r="AF68" s="384"/>
      <c r="AG68" s="747"/>
      <c r="AH68" s="751"/>
      <c r="AI68" s="751"/>
      <c r="AJ68" s="751"/>
      <c r="AK68" s="751"/>
      <c r="AL68" s="751"/>
      <c r="AM68" s="751"/>
      <c r="AN68" s="751"/>
      <c r="AO68" s="780"/>
    </row>
    <row r="69" spans="1:75" s="166" customFormat="1" ht="13.5" customHeight="1">
      <c r="A69" s="385"/>
      <c r="B69" s="386"/>
      <c r="C69" s="386"/>
      <c r="D69" s="386"/>
      <c r="E69" s="386"/>
      <c r="F69" s="386"/>
      <c r="G69" s="386"/>
      <c r="H69" s="386"/>
      <c r="I69" s="386"/>
      <c r="J69" s="386"/>
      <c r="K69" s="387"/>
      <c r="L69" s="386"/>
      <c r="M69" s="386"/>
      <c r="N69" s="386"/>
      <c r="O69" s="386"/>
      <c r="P69" s="386"/>
      <c r="Q69" s="386"/>
      <c r="R69" s="386"/>
      <c r="S69" s="386"/>
      <c r="T69" s="386"/>
      <c r="U69" s="386"/>
      <c r="V69" s="386"/>
      <c r="W69" s="386"/>
      <c r="X69" s="386"/>
      <c r="Y69" s="386"/>
      <c r="Z69" s="386"/>
      <c r="AA69" s="386"/>
      <c r="AB69" s="386"/>
      <c r="AC69" s="386"/>
      <c r="AD69" s="386"/>
      <c r="AE69" s="386"/>
      <c r="AF69" s="388"/>
      <c r="AG69" s="753">
        <v>10</v>
      </c>
      <c r="AH69" s="752">
        <v>10</v>
      </c>
      <c r="AI69" s="752">
        <f>AG69-AH69</f>
        <v>0</v>
      </c>
      <c r="AJ69" s="752">
        <f>COUNTA($B$71:$L$71)</f>
        <v>6</v>
      </c>
      <c r="AK69" s="752">
        <v>9</v>
      </c>
      <c r="AL69" s="752">
        <f>AJ69-AK69</f>
        <v>-3</v>
      </c>
      <c r="AM69" s="752"/>
      <c r="AN69" s="752"/>
      <c r="AO69" s="776"/>
    </row>
    <row r="70" spans="1:75" s="166" customFormat="1" ht="13.5" customHeight="1">
      <c r="A70" s="370"/>
      <c r="B70" s="205">
        <v>61</v>
      </c>
      <c r="C70" s="205"/>
      <c r="D70" s="205">
        <v>62</v>
      </c>
      <c r="E70" s="205"/>
      <c r="F70" s="205">
        <v>63</v>
      </c>
      <c r="G70" s="205"/>
      <c r="H70" s="205">
        <v>64</v>
      </c>
      <c r="I70" s="205"/>
      <c r="J70" s="205">
        <v>65</v>
      </c>
      <c r="K70" s="205"/>
      <c r="L70" s="205">
        <v>66</v>
      </c>
      <c r="M70" s="205"/>
      <c r="N70" s="205">
        <v>67</v>
      </c>
      <c r="O70" s="205"/>
      <c r="P70" s="205">
        <v>68</v>
      </c>
      <c r="Q70" s="205"/>
      <c r="R70" s="205">
        <v>69</v>
      </c>
      <c r="S70" s="205"/>
      <c r="T70" s="205">
        <v>70</v>
      </c>
      <c r="U70" s="205"/>
      <c r="V70" s="205">
        <v>71</v>
      </c>
      <c r="W70" s="205"/>
      <c r="X70" s="205">
        <v>72</v>
      </c>
      <c r="Y70" s="205"/>
      <c r="Z70" s="205">
        <v>73</v>
      </c>
      <c r="AA70" s="205"/>
      <c r="AB70" s="205">
        <v>74</v>
      </c>
      <c r="AC70" s="205"/>
      <c r="AD70" s="205">
        <v>75</v>
      </c>
      <c r="AE70" s="205"/>
      <c r="AF70" s="371"/>
      <c r="AG70" s="746"/>
      <c r="AH70" s="750"/>
      <c r="AI70" s="750"/>
      <c r="AJ70" s="750"/>
      <c r="AK70" s="750"/>
      <c r="AL70" s="750"/>
      <c r="AM70" s="750"/>
      <c r="AN70" s="750"/>
      <c r="AO70" s="777"/>
    </row>
    <row r="71" spans="1:75" s="166" customFormat="1" ht="13.5" customHeight="1">
      <c r="A71" s="370"/>
      <c r="B71" s="260" t="s">
        <v>423</v>
      </c>
      <c r="C71" s="260"/>
      <c r="D71" s="260" t="s">
        <v>409</v>
      </c>
      <c r="E71" s="260"/>
      <c r="F71" s="260" t="s">
        <v>434</v>
      </c>
      <c r="G71" s="260"/>
      <c r="H71" s="260" t="s">
        <v>410</v>
      </c>
      <c r="I71" s="260"/>
      <c r="J71" s="260" t="s">
        <v>415</v>
      </c>
      <c r="K71" s="260"/>
      <c r="L71" s="260" t="s">
        <v>426</v>
      </c>
      <c r="M71" s="260"/>
      <c r="N71" s="260" t="s">
        <v>555</v>
      </c>
      <c r="O71" s="260"/>
      <c r="P71" s="260" t="s">
        <v>421</v>
      </c>
      <c r="Q71" s="260"/>
      <c r="R71" s="260" t="s">
        <v>414</v>
      </c>
      <c r="S71" s="260"/>
      <c r="T71" s="260" t="s">
        <v>429</v>
      </c>
      <c r="U71" s="260"/>
      <c r="V71" s="260" t="s">
        <v>427</v>
      </c>
      <c r="W71" s="260"/>
      <c r="X71" s="260" t="s">
        <v>389</v>
      </c>
      <c r="Y71" s="260"/>
      <c r="Z71" s="260" t="s">
        <v>181</v>
      </c>
      <c r="AA71" s="260"/>
      <c r="AB71" s="260" t="s">
        <v>375</v>
      </c>
      <c r="AC71" s="260"/>
      <c r="AD71" s="260" t="s">
        <v>387</v>
      </c>
      <c r="AE71" s="260"/>
      <c r="AF71" s="371"/>
      <c r="AG71" s="746"/>
      <c r="AH71" s="750"/>
      <c r="AI71" s="750"/>
      <c r="AJ71" s="750"/>
      <c r="AK71" s="750"/>
      <c r="AL71" s="750"/>
      <c r="AM71" s="750"/>
      <c r="AN71" s="750"/>
      <c r="AO71" s="777"/>
    </row>
    <row r="72" spans="1:75" s="166" customFormat="1" ht="13.5" customHeight="1">
      <c r="A72" s="370"/>
      <c r="B72" s="205"/>
      <c r="C72" s="205"/>
      <c r="D72" s="205"/>
      <c r="E72" s="205"/>
      <c r="F72" s="205"/>
      <c r="G72" s="205"/>
      <c r="H72" s="205"/>
      <c r="I72" s="205"/>
      <c r="J72" s="205"/>
      <c r="K72" s="205"/>
      <c r="L72" s="205"/>
      <c r="M72" s="205"/>
      <c r="N72" s="205"/>
      <c r="O72" s="205"/>
      <c r="P72" s="205"/>
      <c r="Q72" s="205"/>
      <c r="R72" s="205"/>
      <c r="S72" s="205"/>
      <c r="T72" s="205"/>
      <c r="U72" s="205"/>
      <c r="V72" s="205"/>
      <c r="W72" s="205"/>
      <c r="X72" s="205"/>
      <c r="Y72" s="205"/>
      <c r="Z72" s="205"/>
      <c r="AA72" s="205"/>
      <c r="AB72" s="205"/>
      <c r="AC72" s="205"/>
      <c r="AD72" s="205"/>
      <c r="AE72" s="205"/>
      <c r="AF72" s="371"/>
      <c r="AG72" s="746"/>
      <c r="AH72" s="750"/>
      <c r="AI72" s="750"/>
      <c r="AJ72" s="750"/>
      <c r="AK72" s="750"/>
      <c r="AL72" s="750"/>
      <c r="AM72" s="750"/>
      <c r="AN72" s="750"/>
      <c r="AO72" s="777"/>
    </row>
    <row r="73" spans="1:75" s="166" customFormat="1" ht="13.5" customHeight="1">
      <c r="A73" s="370"/>
      <c r="B73" s="260"/>
      <c r="C73" s="260"/>
      <c r="D73" s="260"/>
      <c r="E73" s="260"/>
      <c r="F73" s="260"/>
      <c r="G73" s="260"/>
      <c r="H73" s="260"/>
      <c r="I73" s="260"/>
      <c r="J73" s="260"/>
      <c r="K73" s="260"/>
      <c r="L73" s="260"/>
      <c r="M73" s="260"/>
      <c r="N73" s="260"/>
      <c r="O73" s="205"/>
      <c r="P73" s="260"/>
      <c r="Q73" s="260"/>
      <c r="R73" s="260"/>
      <c r="S73" s="205"/>
      <c r="T73" s="260"/>
      <c r="U73" s="260"/>
      <c r="V73" s="260"/>
      <c r="W73" s="260"/>
      <c r="X73" s="260"/>
      <c r="Y73" s="260"/>
      <c r="Z73" s="260"/>
      <c r="AA73" s="260"/>
      <c r="AB73" s="260"/>
      <c r="AC73" s="260"/>
      <c r="AD73" s="260"/>
      <c r="AE73" s="260"/>
      <c r="AF73" s="371"/>
      <c r="AG73" s="746"/>
      <c r="AH73" s="750"/>
      <c r="AI73" s="750"/>
      <c r="AJ73" s="750"/>
      <c r="AK73" s="750"/>
      <c r="AL73" s="750"/>
      <c r="AM73" s="750"/>
      <c r="AN73" s="750"/>
      <c r="AO73" s="777"/>
    </row>
    <row r="74" spans="1:75" s="166" customFormat="1" ht="13.5" customHeight="1" thickBot="1">
      <c r="A74" s="370"/>
      <c r="B74" s="260"/>
      <c r="C74" s="260"/>
      <c r="D74" s="260"/>
      <c r="E74" s="260"/>
      <c r="F74" s="260"/>
      <c r="G74" s="260"/>
      <c r="H74" s="260"/>
      <c r="I74" s="260"/>
      <c r="J74" s="260"/>
      <c r="K74" s="260"/>
      <c r="L74" s="260"/>
      <c r="M74" s="260"/>
      <c r="N74" s="260"/>
      <c r="O74" s="205"/>
      <c r="P74" s="260"/>
      <c r="Q74" s="260"/>
      <c r="R74" s="260"/>
      <c r="S74" s="205"/>
      <c r="T74" s="260"/>
      <c r="U74" s="260"/>
      <c r="V74" s="260"/>
      <c r="W74" s="260"/>
      <c r="X74" s="260"/>
      <c r="Y74" s="260"/>
      <c r="Z74" s="260"/>
      <c r="AA74" s="260"/>
      <c r="AB74" s="260"/>
      <c r="AC74" s="260"/>
      <c r="AD74" s="260"/>
      <c r="AE74" s="260"/>
      <c r="AF74" s="371"/>
      <c r="AG74" s="746"/>
      <c r="AH74" s="750"/>
      <c r="AI74" s="750"/>
      <c r="AJ74" s="750"/>
      <c r="AK74" s="750"/>
      <c r="AL74" s="750"/>
      <c r="AM74" s="750"/>
      <c r="AN74" s="750"/>
      <c r="AO74" s="777"/>
      <c r="BV74" s="606">
        <v>14</v>
      </c>
      <c r="BW74" s="606">
        <v>14</v>
      </c>
    </row>
    <row r="75" spans="1:75" s="166" customFormat="1" ht="13.5" customHeight="1">
      <c r="A75" s="377"/>
      <c r="B75" s="186"/>
      <c r="C75" s="185"/>
      <c r="D75" s="186"/>
      <c r="E75" s="185"/>
      <c r="F75" s="186"/>
      <c r="G75" s="185"/>
      <c r="H75" s="186"/>
      <c r="I75" s="185"/>
      <c r="J75" s="186"/>
      <c r="K75" s="185"/>
      <c r="L75" s="186"/>
      <c r="M75" s="185"/>
      <c r="N75" s="199"/>
      <c r="O75" s="185"/>
      <c r="P75" s="186"/>
      <c r="Q75" s="185"/>
      <c r="R75" s="781"/>
      <c r="S75" s="185"/>
      <c r="T75" s="781"/>
      <c r="U75" s="185"/>
      <c r="V75" s="781"/>
      <c r="W75" s="185"/>
      <c r="X75" s="186"/>
      <c r="Y75" s="185"/>
      <c r="Z75" s="186"/>
      <c r="AA75" s="185"/>
      <c r="AB75" s="186"/>
      <c r="AC75" s="185"/>
      <c r="AD75" s="186"/>
      <c r="AE75" s="185"/>
      <c r="AF75" s="371"/>
      <c r="AG75" s="746"/>
      <c r="AH75" s="750"/>
      <c r="AI75" s="750"/>
      <c r="AJ75" s="750"/>
      <c r="AK75" s="750"/>
      <c r="AL75" s="750"/>
      <c r="AM75" s="750"/>
      <c r="AN75" s="750"/>
      <c r="AO75" s="777"/>
    </row>
    <row r="76" spans="1:75" s="166" customFormat="1" ht="13.5" customHeight="1">
      <c r="A76" s="377"/>
      <c r="B76" s="189"/>
      <c r="C76" s="376">
        <v>366.00299999999999</v>
      </c>
      <c r="D76" s="189"/>
      <c r="E76" s="376">
        <v>376</v>
      </c>
      <c r="F76" s="189"/>
      <c r="G76" s="376">
        <v>368</v>
      </c>
      <c r="H76" s="195"/>
      <c r="I76" s="376">
        <v>373.96499999999997</v>
      </c>
      <c r="J76" s="195"/>
      <c r="K76" s="376">
        <v>373.005</v>
      </c>
      <c r="L76" s="195"/>
      <c r="M76" s="376">
        <v>362.45</v>
      </c>
      <c r="N76" s="200"/>
      <c r="O76" s="376">
        <v>323</v>
      </c>
      <c r="P76" s="195"/>
      <c r="Q76" s="376">
        <v>299</v>
      </c>
      <c r="R76" s="782"/>
      <c r="S76" s="376">
        <v>350.38099999999997</v>
      </c>
      <c r="T76" s="782"/>
      <c r="U76" s="376">
        <v>333.99700000000001</v>
      </c>
      <c r="V76" s="782"/>
      <c r="W76" s="376">
        <v>394</v>
      </c>
      <c r="X76" s="195"/>
      <c r="Y76" s="376">
        <v>363</v>
      </c>
      <c r="Z76" s="189"/>
      <c r="AA76" s="376">
        <v>413</v>
      </c>
      <c r="AB76" s="189"/>
      <c r="AC76" s="376">
        <v>376</v>
      </c>
      <c r="AD76" s="189"/>
      <c r="AE76" s="376">
        <v>388</v>
      </c>
      <c r="AF76" s="371"/>
      <c r="AG76" s="746"/>
      <c r="AH76" s="750"/>
      <c r="AI76" s="750"/>
      <c r="AJ76" s="750"/>
      <c r="AK76" s="750"/>
      <c r="AL76" s="750"/>
      <c r="AM76" s="750"/>
      <c r="AN76" s="750"/>
      <c r="AO76" s="777"/>
    </row>
    <row r="77" spans="1:75" s="166" customFormat="1" ht="13.5" customHeight="1" thickBot="1">
      <c r="A77" s="377"/>
      <c r="B77" s="191"/>
      <c r="D77" s="191"/>
      <c r="F77" s="191"/>
      <c r="H77" s="191"/>
      <c r="J77" s="191"/>
      <c r="L77" s="191"/>
      <c r="N77" s="201"/>
      <c r="P77" s="191"/>
      <c r="R77" s="783"/>
      <c r="T77" s="783"/>
      <c r="V77" s="783"/>
      <c r="X77" s="191"/>
      <c r="Z77" s="191"/>
      <c r="AB77" s="191"/>
      <c r="AD77" s="191"/>
      <c r="AF77" s="371"/>
      <c r="AG77" s="746"/>
      <c r="AH77" s="750"/>
      <c r="AI77" s="750"/>
      <c r="AJ77" s="750"/>
      <c r="AK77" s="750"/>
      <c r="AL77" s="750"/>
      <c r="AM77" s="750"/>
      <c r="AN77" s="750"/>
      <c r="AO77" s="777"/>
    </row>
    <row r="78" spans="1:75" s="166" customFormat="1" ht="14.1" customHeight="1">
      <c r="A78" s="370"/>
      <c r="B78" s="265" t="s">
        <v>306</v>
      </c>
      <c r="C78" s="260"/>
      <c r="D78" s="265" t="s">
        <v>354</v>
      </c>
      <c r="E78" s="260"/>
      <c r="F78" s="265" t="s">
        <v>354</v>
      </c>
      <c r="G78" s="260"/>
      <c r="H78" s="265" t="s">
        <v>354</v>
      </c>
      <c r="I78" s="260"/>
      <c r="J78" s="260" t="s">
        <v>304</v>
      </c>
      <c r="K78" s="260"/>
      <c r="L78" s="265" t="s">
        <v>400</v>
      </c>
      <c r="M78" s="260"/>
      <c r="N78" s="265" t="s">
        <v>302</v>
      </c>
      <c r="O78" s="260"/>
      <c r="P78" s="260" t="s">
        <v>400</v>
      </c>
      <c r="Q78" s="260"/>
      <c r="R78" s="265" t="s">
        <v>400</v>
      </c>
      <c r="S78" s="260"/>
      <c r="T78" s="265" t="s">
        <v>334</v>
      </c>
      <c r="U78" s="260"/>
      <c r="V78" s="265" t="s">
        <v>354</v>
      </c>
      <c r="W78" s="260"/>
      <c r="X78" s="260" t="s">
        <v>354</v>
      </c>
      <c r="Y78" s="260"/>
      <c r="Z78" s="265" t="s">
        <v>354</v>
      </c>
      <c r="AA78" s="260"/>
      <c r="AB78" s="260" t="s">
        <v>361</v>
      </c>
      <c r="AC78" s="260"/>
      <c r="AD78" s="260" t="s">
        <v>354</v>
      </c>
      <c r="AE78" s="260"/>
      <c r="AF78" s="371"/>
      <c r="AG78" s="746"/>
      <c r="AH78" s="750"/>
      <c r="AI78" s="750"/>
      <c r="AJ78" s="750"/>
      <c r="AK78" s="750"/>
      <c r="AL78" s="750"/>
      <c r="AM78" s="750"/>
      <c r="AN78" s="750"/>
      <c r="AO78" s="777"/>
    </row>
    <row r="79" spans="1:75" s="205" customFormat="1" ht="14.1" customHeight="1" thickBot="1">
      <c r="A79" s="370"/>
      <c r="C79" s="378"/>
      <c r="G79" s="261"/>
      <c r="I79" s="389"/>
      <c r="O79" s="261"/>
      <c r="Q79" s="379"/>
      <c r="W79" s="260"/>
      <c r="AA79" s="260"/>
      <c r="AC79" s="260"/>
      <c r="AE79" s="260"/>
      <c r="AF79" s="371"/>
      <c r="AG79" s="784"/>
      <c r="AH79" s="775"/>
      <c r="AI79" s="775"/>
      <c r="AJ79" s="775"/>
      <c r="AK79" s="775"/>
      <c r="AL79" s="775"/>
      <c r="AM79" s="775"/>
      <c r="AN79" s="775"/>
      <c r="AO79" s="778"/>
    </row>
    <row r="80" spans="1:75" s="166" customFormat="1" ht="13.5" customHeight="1">
      <c r="A80" s="370"/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  <c r="X80" s="205"/>
      <c r="Y80" s="205"/>
      <c r="Z80" s="205"/>
      <c r="AA80" s="205"/>
      <c r="AB80" s="205"/>
      <c r="AC80" s="205"/>
      <c r="AD80" s="205"/>
      <c r="AE80" s="205"/>
      <c r="AF80" s="371"/>
      <c r="AG80" s="746"/>
      <c r="AH80" s="750"/>
      <c r="AI80" s="750"/>
      <c r="AJ80" s="750"/>
      <c r="AK80" s="750"/>
      <c r="AL80" s="750"/>
      <c r="AM80" s="750"/>
      <c r="AN80" s="750"/>
      <c r="AO80" s="777"/>
    </row>
    <row r="81" spans="1:75" s="166" customFormat="1" ht="13.5" customHeight="1">
      <c r="A81" s="370"/>
      <c r="B81" s="205">
        <v>76</v>
      </c>
      <c r="C81" s="205"/>
      <c r="D81" s="205">
        <v>77</v>
      </c>
      <c r="E81" s="205"/>
      <c r="F81" s="205">
        <v>78</v>
      </c>
      <c r="G81" s="205"/>
      <c r="H81" s="205">
        <v>79</v>
      </c>
      <c r="I81" s="205"/>
      <c r="J81" s="205">
        <v>80</v>
      </c>
      <c r="K81" s="205"/>
      <c r="L81" s="205">
        <v>81</v>
      </c>
      <c r="M81" s="205"/>
      <c r="N81" s="205">
        <v>82</v>
      </c>
      <c r="O81" s="205"/>
      <c r="P81" s="205">
        <v>83</v>
      </c>
      <c r="Q81" s="205"/>
      <c r="R81" s="205">
        <v>84</v>
      </c>
      <c r="S81" s="205"/>
      <c r="T81" s="205">
        <v>85</v>
      </c>
      <c r="U81" s="205"/>
      <c r="V81" s="205">
        <v>86</v>
      </c>
      <c r="W81" s="205"/>
      <c r="X81" s="205">
        <v>87</v>
      </c>
      <c r="Y81" s="205"/>
      <c r="Z81" s="205">
        <v>88</v>
      </c>
      <c r="AA81" s="205"/>
      <c r="AB81" s="205">
        <v>89</v>
      </c>
      <c r="AC81" s="205"/>
      <c r="AD81" s="205">
        <v>90</v>
      </c>
      <c r="AE81" s="205"/>
      <c r="AF81" s="371"/>
      <c r="AG81" s="746"/>
      <c r="AH81" s="750"/>
      <c r="AI81" s="750"/>
      <c r="AJ81" s="750"/>
      <c r="AK81" s="750"/>
      <c r="AL81" s="750"/>
      <c r="AM81" s="750"/>
      <c r="AN81" s="750"/>
      <c r="AO81" s="777"/>
    </row>
    <row r="82" spans="1:75" s="166" customFormat="1" ht="13.5" customHeight="1">
      <c r="A82" s="370"/>
      <c r="B82" s="260" t="s">
        <v>390</v>
      </c>
      <c r="C82" s="260"/>
      <c r="D82" s="260" t="s">
        <v>391</v>
      </c>
      <c r="E82" s="260"/>
      <c r="F82" s="260" t="s">
        <v>556</v>
      </c>
      <c r="G82" s="260"/>
      <c r="H82" s="260" t="s">
        <v>557</v>
      </c>
      <c r="I82" s="260"/>
      <c r="J82" s="260" t="s">
        <v>170</v>
      </c>
      <c r="K82" s="260"/>
      <c r="L82" s="260" t="s">
        <v>558</v>
      </c>
      <c r="M82" s="260"/>
      <c r="N82" s="260" t="s">
        <v>559</v>
      </c>
      <c r="O82" s="260"/>
      <c r="P82" s="260" t="s">
        <v>456</v>
      </c>
      <c r="Q82" s="260"/>
      <c r="R82" s="260" t="s">
        <v>462</v>
      </c>
      <c r="S82" s="260"/>
      <c r="T82" s="260" t="s">
        <v>458</v>
      </c>
      <c r="U82" s="260"/>
      <c r="V82" s="260" t="s">
        <v>560</v>
      </c>
      <c r="W82" s="260"/>
      <c r="X82" s="260" t="s">
        <v>561</v>
      </c>
      <c r="Y82" s="260"/>
      <c r="Z82" s="260" t="s">
        <v>562</v>
      </c>
      <c r="AA82" s="260"/>
      <c r="AB82" s="205" t="s">
        <v>563</v>
      </c>
      <c r="AC82" s="205"/>
      <c r="AD82" s="260" t="s">
        <v>449</v>
      </c>
      <c r="AE82" s="260"/>
      <c r="AF82" s="371"/>
      <c r="AG82" s="746"/>
      <c r="AH82" s="750"/>
      <c r="AI82" s="750"/>
      <c r="AJ82" s="750"/>
      <c r="AK82" s="750"/>
      <c r="AL82" s="750"/>
      <c r="AM82" s="750"/>
      <c r="AN82" s="750"/>
      <c r="AO82" s="777"/>
    </row>
    <row r="83" spans="1:75" s="166" customFormat="1" ht="13.5" customHeight="1">
      <c r="A83" s="370"/>
      <c r="B83" s="205"/>
      <c r="C83" s="205"/>
      <c r="D83" s="205"/>
      <c r="E83" s="205"/>
      <c r="F83" s="205"/>
      <c r="G83" s="205"/>
      <c r="H83" s="205"/>
      <c r="I83" s="205"/>
      <c r="J83" s="205"/>
      <c r="K83" s="205"/>
      <c r="L83" s="205"/>
      <c r="M83" s="205"/>
      <c r="N83" s="205"/>
      <c r="O83" s="205"/>
      <c r="P83" s="205"/>
      <c r="Q83" s="205"/>
      <c r="R83" s="205"/>
      <c r="S83" s="205"/>
      <c r="T83" s="205"/>
      <c r="U83" s="205"/>
      <c r="V83" s="205"/>
      <c r="W83" s="205"/>
      <c r="X83" s="205"/>
      <c r="Y83" s="205"/>
      <c r="Z83" s="205"/>
      <c r="AA83" s="205"/>
      <c r="AB83" s="205"/>
      <c r="AC83" s="205"/>
      <c r="AD83" s="205"/>
      <c r="AE83" s="205"/>
      <c r="AF83" s="371"/>
      <c r="AG83" s="746"/>
      <c r="AH83" s="750"/>
      <c r="AI83" s="750"/>
      <c r="AJ83" s="750"/>
      <c r="AK83" s="750"/>
      <c r="AL83" s="750"/>
      <c r="AM83" s="750"/>
      <c r="AN83" s="750"/>
      <c r="AO83" s="777"/>
    </row>
    <row r="84" spans="1:75" s="166" customFormat="1" ht="13.5" customHeight="1">
      <c r="A84" s="370"/>
      <c r="B84" s="260"/>
      <c r="C84" s="260"/>
      <c r="D84" s="260"/>
      <c r="E84" s="205"/>
      <c r="F84" s="260"/>
      <c r="G84" s="260"/>
      <c r="H84" s="260"/>
      <c r="I84" s="205"/>
      <c r="J84" s="260"/>
      <c r="K84" s="260"/>
      <c r="L84" s="260"/>
      <c r="M84" s="260"/>
      <c r="N84" s="260"/>
      <c r="O84" s="260"/>
      <c r="P84" s="260"/>
      <c r="Q84" s="260"/>
      <c r="R84" s="260"/>
      <c r="S84" s="260"/>
      <c r="T84" s="260"/>
      <c r="U84" s="260"/>
      <c r="V84" s="260"/>
      <c r="W84" s="260"/>
      <c r="X84" s="260"/>
      <c r="Y84" s="205"/>
      <c r="Z84" s="260"/>
      <c r="AA84" s="260"/>
      <c r="AB84" s="260"/>
      <c r="AC84" s="205"/>
      <c r="AD84" s="260"/>
      <c r="AE84" s="260"/>
      <c r="AF84" s="371"/>
      <c r="AG84" s="746"/>
      <c r="AH84" s="750"/>
      <c r="AI84" s="750"/>
      <c r="AJ84" s="750"/>
      <c r="AK84" s="750"/>
      <c r="AL84" s="750"/>
      <c r="AM84" s="750"/>
      <c r="AN84" s="750"/>
      <c r="AO84" s="777"/>
    </row>
    <row r="85" spans="1:75" s="166" customFormat="1" ht="13.5" customHeight="1" thickBot="1">
      <c r="A85" s="370"/>
      <c r="B85" s="260"/>
      <c r="C85" s="260"/>
      <c r="D85" s="260"/>
      <c r="E85" s="205"/>
      <c r="F85" s="260"/>
      <c r="G85" s="260"/>
      <c r="H85" s="260"/>
      <c r="I85" s="205"/>
      <c r="J85" s="260"/>
      <c r="K85" s="260"/>
      <c r="L85" s="260"/>
      <c r="M85" s="260"/>
      <c r="N85" s="260"/>
      <c r="O85" s="260"/>
      <c r="P85" s="260"/>
      <c r="Q85" s="260"/>
      <c r="R85" s="260"/>
      <c r="S85" s="260"/>
      <c r="T85" s="260"/>
      <c r="U85" s="260"/>
      <c r="V85" s="260"/>
      <c r="W85" s="260"/>
      <c r="X85" s="260"/>
      <c r="Y85" s="205"/>
      <c r="Z85" s="260"/>
      <c r="AA85" s="260"/>
      <c r="AB85" s="260"/>
      <c r="AC85" s="205"/>
      <c r="AD85" s="260"/>
      <c r="AE85" s="260"/>
      <c r="AF85" s="371"/>
      <c r="AG85" s="746"/>
      <c r="AH85" s="750"/>
      <c r="AI85" s="750"/>
      <c r="AJ85" s="750"/>
      <c r="AK85" s="750"/>
      <c r="AL85" s="750"/>
      <c r="AM85" s="750"/>
      <c r="AN85" s="750"/>
      <c r="AO85" s="777"/>
    </row>
    <row r="86" spans="1:75" s="166" customFormat="1" ht="14.1" customHeight="1">
      <c r="A86" s="377"/>
      <c r="B86" s="186"/>
      <c r="C86" s="185"/>
      <c r="D86" s="186"/>
      <c r="E86" s="185"/>
      <c r="F86" s="184"/>
      <c r="G86" s="185"/>
      <c r="H86" s="184"/>
      <c r="I86" s="185"/>
      <c r="J86" s="184"/>
      <c r="K86" s="185"/>
      <c r="L86" s="184"/>
      <c r="M86" s="185"/>
      <c r="N86" s="786" t="s">
        <v>97</v>
      </c>
      <c r="O86" s="185"/>
      <c r="P86" s="186"/>
      <c r="Q86" s="185"/>
      <c r="R86" s="186"/>
      <c r="S86" s="185"/>
      <c r="T86" s="186"/>
      <c r="U86" s="185"/>
      <c r="V86" s="184"/>
      <c r="W86" s="185"/>
      <c r="X86" s="262"/>
      <c r="Y86" s="185"/>
      <c r="Z86" s="184"/>
      <c r="AA86" s="185"/>
      <c r="AB86" s="184"/>
      <c r="AC86" s="185"/>
      <c r="AD86" s="186"/>
      <c r="AE86" s="185"/>
      <c r="AF86" s="371"/>
      <c r="AG86" s="746"/>
      <c r="AH86" s="750"/>
      <c r="AI86" s="750"/>
      <c r="AJ86" s="750"/>
      <c r="AK86" s="750"/>
      <c r="AL86" s="750"/>
      <c r="AM86" s="750"/>
      <c r="AN86" s="750"/>
      <c r="AO86" s="777"/>
      <c r="BV86" s="606">
        <v>6</v>
      </c>
      <c r="BW86" s="606">
        <v>2</v>
      </c>
    </row>
    <row r="87" spans="1:75" s="166" customFormat="1" ht="14.1" customHeight="1">
      <c r="A87" s="377"/>
      <c r="B87" s="189"/>
      <c r="C87" s="376">
        <v>378</v>
      </c>
      <c r="D87" s="189"/>
      <c r="E87" s="376">
        <v>342.70600000000002</v>
      </c>
      <c r="F87" s="188"/>
      <c r="G87" s="376">
        <v>259.34199999999998</v>
      </c>
      <c r="H87" s="188"/>
      <c r="I87" s="376">
        <v>268</v>
      </c>
      <c r="J87" s="188"/>
      <c r="K87" s="376">
        <v>276.41000000000003</v>
      </c>
      <c r="L87" s="188"/>
      <c r="M87" s="376">
        <v>438.12599999999998</v>
      </c>
      <c r="N87" s="787"/>
      <c r="O87" s="376">
        <v>399.67099999999999</v>
      </c>
      <c r="P87" s="189"/>
      <c r="Q87" s="376">
        <v>438.27600000000001</v>
      </c>
      <c r="R87" s="189" t="s">
        <v>67</v>
      </c>
      <c r="S87" s="376">
        <v>400</v>
      </c>
      <c r="T87" s="189"/>
      <c r="U87" s="376">
        <v>440</v>
      </c>
      <c r="V87" s="188"/>
      <c r="W87" s="376">
        <v>375</v>
      </c>
      <c r="X87" s="263"/>
      <c r="Y87" s="376">
        <v>298.19299999999998</v>
      </c>
      <c r="Z87" s="188"/>
      <c r="AA87" s="376">
        <v>348</v>
      </c>
      <c r="AB87" s="188"/>
      <c r="AC87" s="376">
        <v>422</v>
      </c>
      <c r="AD87" s="189"/>
      <c r="AE87" s="376">
        <v>242.87700000000001</v>
      </c>
      <c r="AF87" s="371"/>
      <c r="AG87" s="747"/>
      <c r="AH87" s="751"/>
      <c r="AI87" s="751"/>
      <c r="AJ87" s="751"/>
      <c r="AK87" s="751"/>
      <c r="AL87" s="751"/>
      <c r="AM87" s="751"/>
      <c r="AN87" s="751"/>
      <c r="AO87" s="780"/>
    </row>
    <row r="88" spans="1:75" s="166" customFormat="1" ht="13.5" customHeight="1" thickBot="1">
      <c r="A88" s="377"/>
      <c r="B88" s="191"/>
      <c r="D88" s="191"/>
      <c r="F88" s="190"/>
      <c r="H88" s="190"/>
      <c r="J88" s="190"/>
      <c r="L88" s="190"/>
      <c r="N88" s="788"/>
      <c r="P88" s="191"/>
      <c r="R88" s="191"/>
      <c r="T88" s="191"/>
      <c r="V88" s="190"/>
      <c r="X88" s="264"/>
      <c r="Z88" s="190"/>
      <c r="AB88" s="190"/>
      <c r="AD88" s="191"/>
      <c r="AF88" s="371"/>
      <c r="AG88" s="753">
        <v>10</v>
      </c>
      <c r="AH88" s="752">
        <v>7</v>
      </c>
      <c r="AI88" s="752">
        <f>AG88-AH88</f>
        <v>3</v>
      </c>
      <c r="AJ88" s="752">
        <f>COUNTA($DF$98:$DX$98)</f>
        <v>10</v>
      </c>
      <c r="AK88" s="752">
        <v>5</v>
      </c>
      <c r="AL88" s="752">
        <v>5</v>
      </c>
      <c r="AM88" s="752"/>
      <c r="AN88" s="752"/>
      <c r="AO88" s="776"/>
    </row>
    <row r="89" spans="1:75" s="166" customFormat="1" ht="13.5" customHeight="1">
      <c r="A89" s="370"/>
      <c r="B89" s="260" t="s">
        <v>354</v>
      </c>
      <c r="C89" s="260"/>
      <c r="D89" s="260" t="s">
        <v>354</v>
      </c>
      <c r="E89" s="260"/>
      <c r="F89" s="260" t="s">
        <v>377</v>
      </c>
      <c r="G89" s="260"/>
      <c r="H89" s="265" t="s">
        <v>334</v>
      </c>
      <c r="I89" s="260"/>
      <c r="J89" s="265" t="s">
        <v>564</v>
      </c>
      <c r="K89" s="260"/>
      <c r="L89" s="265" t="s">
        <v>564</v>
      </c>
      <c r="M89" s="260"/>
      <c r="N89" s="260" t="s">
        <v>361</v>
      </c>
      <c r="O89" s="260"/>
      <c r="P89" s="260" t="s">
        <v>361</v>
      </c>
      <c r="Q89" s="260"/>
      <c r="R89" s="265" t="s">
        <v>361</v>
      </c>
      <c r="S89" s="260"/>
      <c r="T89" s="260" t="s">
        <v>354</v>
      </c>
      <c r="U89" s="260"/>
      <c r="V89" s="260" t="s">
        <v>361</v>
      </c>
      <c r="W89" s="260"/>
      <c r="X89" s="260" t="s">
        <v>564</v>
      </c>
      <c r="Y89" s="260"/>
      <c r="Z89" s="260" t="s">
        <v>309</v>
      </c>
      <c r="AA89" s="260"/>
      <c r="AB89" s="265" t="s">
        <v>565</v>
      </c>
      <c r="AC89" s="260"/>
      <c r="AD89" s="265" t="s">
        <v>302</v>
      </c>
      <c r="AE89" s="260"/>
      <c r="AF89" s="371"/>
      <c r="AG89" s="746"/>
      <c r="AH89" s="750"/>
      <c r="AI89" s="750"/>
      <c r="AJ89" s="750"/>
      <c r="AK89" s="750"/>
      <c r="AL89" s="750"/>
      <c r="AM89" s="750"/>
      <c r="AN89" s="750"/>
      <c r="AO89" s="777"/>
    </row>
    <row r="90" spans="1:75" s="166" customFormat="1" ht="13.5" customHeight="1">
      <c r="A90" s="370"/>
      <c r="B90" s="205"/>
      <c r="C90" s="261"/>
      <c r="D90" s="205"/>
      <c r="E90" s="260"/>
      <c r="F90" s="205"/>
      <c r="G90" s="260"/>
      <c r="H90" s="205"/>
      <c r="I90" s="260"/>
      <c r="J90" s="205"/>
      <c r="K90" s="379"/>
      <c r="L90" s="205"/>
      <c r="M90" s="260"/>
      <c r="N90" s="205"/>
      <c r="O90" s="260"/>
      <c r="P90" s="205"/>
      <c r="Q90" s="260"/>
      <c r="R90" s="205"/>
      <c r="S90" s="260"/>
      <c r="T90" s="205"/>
      <c r="U90" s="205"/>
      <c r="V90" s="205"/>
      <c r="W90" s="205"/>
      <c r="X90" s="205"/>
      <c r="Y90" s="205"/>
      <c r="Z90" s="205"/>
      <c r="AA90" s="205"/>
      <c r="AB90" s="205"/>
      <c r="AC90" s="261"/>
      <c r="AD90" s="205"/>
      <c r="AE90" s="205"/>
      <c r="AF90" s="371"/>
      <c r="AG90" s="746"/>
      <c r="AH90" s="750"/>
      <c r="AI90" s="750"/>
      <c r="AJ90" s="750"/>
      <c r="AK90" s="750"/>
      <c r="AL90" s="750"/>
      <c r="AM90" s="750"/>
      <c r="AN90" s="750"/>
      <c r="AO90" s="777"/>
    </row>
    <row r="91" spans="1:75" s="166" customFormat="1" ht="13.5" customHeight="1">
      <c r="A91" s="370"/>
      <c r="B91" s="205"/>
      <c r="C91" s="205"/>
      <c r="D91" s="205"/>
      <c r="E91" s="205"/>
      <c r="F91" s="205"/>
      <c r="G91" s="205"/>
      <c r="H91" s="205"/>
      <c r="I91" s="205"/>
      <c r="J91" s="205"/>
      <c r="K91" s="205"/>
      <c r="L91" s="205"/>
      <c r="M91" s="205"/>
      <c r="N91" s="205"/>
      <c r="O91" s="205"/>
      <c r="P91" s="205"/>
      <c r="Q91" s="205"/>
      <c r="R91" s="205"/>
      <c r="S91" s="205"/>
      <c r="T91" s="205"/>
      <c r="U91" s="205"/>
      <c r="V91" s="205"/>
      <c r="W91" s="205"/>
      <c r="X91" s="205"/>
      <c r="Y91" s="205"/>
      <c r="Z91" s="205"/>
      <c r="AA91" s="205"/>
      <c r="AB91" s="205"/>
      <c r="AC91" s="205"/>
      <c r="AD91" s="205"/>
      <c r="AE91" s="205"/>
      <c r="AF91" s="371"/>
      <c r="AG91" s="746"/>
      <c r="AH91" s="750"/>
      <c r="AI91" s="750"/>
      <c r="AJ91" s="750"/>
      <c r="AK91" s="750"/>
      <c r="AL91" s="750"/>
      <c r="AM91" s="750"/>
      <c r="AN91" s="750"/>
      <c r="AO91" s="777"/>
    </row>
    <row r="92" spans="1:75" s="166" customFormat="1" ht="13.5" customHeight="1">
      <c r="A92" s="370"/>
      <c r="B92" s="205">
        <v>91</v>
      </c>
      <c r="C92" s="205"/>
      <c r="D92" s="205">
        <v>92</v>
      </c>
      <c r="E92" s="205"/>
      <c r="F92" s="205">
        <v>93</v>
      </c>
      <c r="G92" s="205"/>
      <c r="H92" s="205">
        <v>94</v>
      </c>
      <c r="I92" s="205"/>
      <c r="J92" s="205">
        <v>95</v>
      </c>
      <c r="K92" s="205"/>
      <c r="L92" s="205">
        <v>96</v>
      </c>
      <c r="M92" s="205"/>
      <c r="N92" s="205">
        <v>97</v>
      </c>
      <c r="O92" s="205"/>
      <c r="P92" s="205">
        <v>98</v>
      </c>
      <c r="Q92" s="205"/>
      <c r="R92" s="205">
        <v>99</v>
      </c>
      <c r="S92" s="205"/>
      <c r="T92" s="205">
        <v>100</v>
      </c>
      <c r="U92" s="205"/>
      <c r="V92" s="205">
        <v>101</v>
      </c>
      <c r="W92" s="205"/>
      <c r="X92" s="205">
        <v>102</v>
      </c>
      <c r="Y92" s="205"/>
      <c r="Z92" s="205">
        <v>103</v>
      </c>
      <c r="AA92" s="205"/>
      <c r="AB92" s="205">
        <v>104</v>
      </c>
      <c r="AC92" s="205"/>
      <c r="AD92" s="205">
        <v>105</v>
      </c>
      <c r="AE92" s="205"/>
      <c r="AF92" s="371"/>
      <c r="AG92" s="746"/>
      <c r="AH92" s="750"/>
      <c r="AI92" s="750"/>
      <c r="AJ92" s="750"/>
      <c r="AK92" s="750"/>
      <c r="AL92" s="750"/>
      <c r="AM92" s="750"/>
      <c r="AN92" s="750"/>
      <c r="AO92" s="777"/>
    </row>
    <row r="93" spans="1:75" s="166" customFormat="1" ht="13.5" customHeight="1">
      <c r="A93" s="370"/>
      <c r="B93" s="260" t="s">
        <v>457</v>
      </c>
      <c r="C93" s="260"/>
      <c r="D93" s="260" t="s">
        <v>459</v>
      </c>
      <c r="E93" s="260"/>
      <c r="F93" s="260" t="s">
        <v>463</v>
      </c>
      <c r="G93" s="260"/>
      <c r="H93" s="260" t="s">
        <v>566</v>
      </c>
      <c r="I93" s="260"/>
      <c r="J93" s="260" t="s">
        <v>454</v>
      </c>
      <c r="K93" s="260"/>
      <c r="L93" s="260" t="s">
        <v>362</v>
      </c>
      <c r="M93" s="260"/>
      <c r="N93" s="260" t="s">
        <v>460</v>
      </c>
      <c r="O93" s="260"/>
      <c r="P93" s="260" t="s">
        <v>353</v>
      </c>
      <c r="Q93" s="260"/>
      <c r="R93" s="260" t="s">
        <v>358</v>
      </c>
      <c r="S93" s="260"/>
      <c r="T93" s="260" t="s">
        <v>360</v>
      </c>
      <c r="U93" s="260"/>
      <c r="V93" s="260" t="s">
        <v>365</v>
      </c>
      <c r="W93" s="260"/>
      <c r="X93" s="260" t="s">
        <v>364</v>
      </c>
      <c r="Y93" s="205"/>
      <c r="Z93" s="260" t="s">
        <v>363</v>
      </c>
      <c r="AA93" s="260"/>
      <c r="AB93" s="260" t="s">
        <v>366</v>
      </c>
      <c r="AC93" s="260"/>
      <c r="AD93" s="260" t="s">
        <v>367</v>
      </c>
      <c r="AE93" s="260"/>
      <c r="AF93" s="371"/>
      <c r="AG93" s="746"/>
      <c r="AH93" s="750"/>
      <c r="AI93" s="750"/>
      <c r="AJ93" s="750"/>
      <c r="AK93" s="750"/>
      <c r="AL93" s="750"/>
      <c r="AM93" s="750"/>
      <c r="AN93" s="750"/>
      <c r="AO93" s="777"/>
    </row>
    <row r="94" spans="1:75" s="166" customFormat="1" ht="13.5" customHeight="1">
      <c r="A94" s="370"/>
      <c r="B94" s="205"/>
      <c r="C94" s="205"/>
      <c r="D94" s="205"/>
      <c r="E94" s="205"/>
      <c r="F94" s="205"/>
      <c r="G94" s="205"/>
      <c r="H94" s="205"/>
      <c r="I94" s="205"/>
      <c r="J94" s="205"/>
      <c r="K94" s="205"/>
      <c r="L94" s="205"/>
      <c r="M94" s="205"/>
      <c r="N94" s="205"/>
      <c r="O94" s="205"/>
      <c r="P94" s="205"/>
      <c r="Q94" s="205"/>
      <c r="R94" s="205"/>
      <c r="S94" s="205"/>
      <c r="T94" s="205"/>
      <c r="U94" s="205"/>
      <c r="V94" s="205"/>
      <c r="W94" s="205"/>
      <c r="X94" s="205"/>
      <c r="Y94" s="205"/>
      <c r="Z94" s="205"/>
      <c r="AA94" s="205"/>
      <c r="AB94" s="205"/>
      <c r="AC94" s="205"/>
      <c r="AD94" s="205"/>
      <c r="AE94" s="205"/>
      <c r="AF94" s="371"/>
      <c r="AG94" s="746"/>
      <c r="AH94" s="750"/>
      <c r="AI94" s="750"/>
      <c r="AJ94" s="750"/>
      <c r="AK94" s="750"/>
      <c r="AL94" s="750"/>
      <c r="AM94" s="750"/>
      <c r="AN94" s="750"/>
      <c r="AO94" s="777"/>
    </row>
    <row r="95" spans="1:75" s="166" customFormat="1" ht="13.5" customHeight="1">
      <c r="A95" s="370"/>
      <c r="B95" s="260"/>
      <c r="C95" s="260"/>
      <c r="D95" s="260"/>
      <c r="E95" s="260"/>
      <c r="F95" s="260"/>
      <c r="G95" s="260"/>
      <c r="H95" s="260"/>
      <c r="I95" s="260"/>
      <c r="J95" s="260"/>
      <c r="K95" s="260"/>
      <c r="L95" s="260"/>
      <c r="M95" s="260"/>
      <c r="N95" s="260"/>
      <c r="O95" s="205"/>
      <c r="P95" s="260"/>
      <c r="Q95" s="260"/>
      <c r="R95" s="260"/>
      <c r="S95" s="205"/>
      <c r="T95" s="260"/>
      <c r="U95" s="260"/>
      <c r="V95" s="260"/>
      <c r="W95" s="260"/>
      <c r="X95" s="260"/>
      <c r="Y95" s="260"/>
      <c r="Z95" s="260"/>
      <c r="AA95" s="260"/>
      <c r="AB95" s="260"/>
      <c r="AC95" s="260"/>
      <c r="AD95" s="260"/>
      <c r="AE95" s="260"/>
      <c r="AF95" s="371"/>
      <c r="AG95" s="746"/>
      <c r="AH95" s="750"/>
      <c r="AI95" s="750"/>
      <c r="AJ95" s="750"/>
      <c r="AK95" s="750"/>
      <c r="AL95" s="750"/>
      <c r="AM95" s="750"/>
      <c r="AN95" s="750"/>
      <c r="AO95" s="777"/>
    </row>
    <row r="96" spans="1:75" s="166" customFormat="1" ht="13.5" customHeight="1" thickBot="1">
      <c r="A96" s="370"/>
      <c r="B96" s="260"/>
      <c r="C96" s="260"/>
      <c r="D96" s="260"/>
      <c r="E96" s="260"/>
      <c r="F96" s="260"/>
      <c r="G96" s="260"/>
      <c r="H96" s="260"/>
      <c r="I96" s="260"/>
      <c r="J96" s="260"/>
      <c r="K96" s="260"/>
      <c r="L96" s="260"/>
      <c r="M96" s="260"/>
      <c r="N96" s="260"/>
      <c r="O96" s="205"/>
      <c r="P96" s="260"/>
      <c r="Q96" s="260"/>
      <c r="R96" s="260"/>
      <c r="S96" s="205"/>
      <c r="T96" s="260"/>
      <c r="U96" s="260"/>
      <c r="V96" s="260"/>
      <c r="W96" s="260"/>
      <c r="X96" s="260"/>
      <c r="Y96" s="260"/>
      <c r="Z96" s="260"/>
      <c r="AA96" s="260"/>
      <c r="AB96" s="260"/>
      <c r="AC96" s="260"/>
      <c r="AD96" s="260"/>
      <c r="AE96" s="260"/>
      <c r="AF96" s="371"/>
      <c r="AG96" s="746"/>
      <c r="AH96" s="750"/>
      <c r="AI96" s="750"/>
      <c r="AJ96" s="750"/>
      <c r="AK96" s="750"/>
      <c r="AL96" s="750"/>
      <c r="AM96" s="750"/>
      <c r="AN96" s="750"/>
      <c r="AO96" s="777"/>
    </row>
    <row r="97" spans="1:129" s="166" customFormat="1" ht="13.5" customHeight="1">
      <c r="A97" s="377"/>
      <c r="B97" s="186"/>
      <c r="C97" s="185"/>
      <c r="D97" s="186"/>
      <c r="E97" s="185"/>
      <c r="F97" s="588"/>
      <c r="G97" s="185"/>
      <c r="H97" s="315" t="s">
        <v>554</v>
      </c>
      <c r="I97" s="185"/>
      <c r="J97" s="207"/>
      <c r="K97" s="185"/>
      <c r="L97" s="186"/>
      <c r="M97" s="185"/>
      <c r="N97" s="186"/>
      <c r="O97" s="185"/>
      <c r="P97" s="186"/>
      <c r="Q97" s="185"/>
      <c r="R97" s="186"/>
      <c r="S97" s="185"/>
      <c r="T97" s="186"/>
      <c r="U97" s="185"/>
      <c r="V97" s="186"/>
      <c r="W97" s="185"/>
      <c r="X97" s="186"/>
      <c r="Y97" s="185"/>
      <c r="Z97" s="186"/>
      <c r="AA97" s="185"/>
      <c r="AB97" s="186"/>
      <c r="AC97" s="185"/>
      <c r="AD97" s="186"/>
      <c r="AE97" s="185"/>
      <c r="AF97" s="371"/>
      <c r="AG97" s="746"/>
      <c r="AH97" s="750"/>
      <c r="AI97" s="750"/>
      <c r="AJ97" s="750"/>
      <c r="AK97" s="750"/>
      <c r="AL97" s="750"/>
      <c r="AM97" s="750"/>
      <c r="AN97" s="750"/>
      <c r="AO97" s="777"/>
      <c r="BV97" s="606">
        <v>13</v>
      </c>
      <c r="BW97" s="606">
        <v>0</v>
      </c>
      <c r="DF97" s="166">
        <v>51</v>
      </c>
      <c r="DH97" s="166">
        <v>52</v>
      </c>
      <c r="DJ97" s="166">
        <v>53</v>
      </c>
      <c r="DL97" s="166">
        <v>54</v>
      </c>
      <c r="DN97" s="166">
        <v>55</v>
      </c>
      <c r="DP97" s="166">
        <v>56</v>
      </c>
      <c r="DR97" s="166">
        <v>57</v>
      </c>
      <c r="DT97" s="166">
        <v>58</v>
      </c>
      <c r="DV97" s="166">
        <v>59</v>
      </c>
      <c r="DX97" s="166">
        <v>60</v>
      </c>
    </row>
    <row r="98" spans="1:129" s="166" customFormat="1" ht="13.5" customHeight="1">
      <c r="A98" s="377"/>
      <c r="B98" s="189"/>
      <c r="C98" s="376">
        <v>234.98</v>
      </c>
      <c r="D98" s="189" t="s">
        <v>67</v>
      </c>
      <c r="E98" s="376">
        <v>375.72</v>
      </c>
      <c r="F98" s="206" t="s">
        <v>97</v>
      </c>
      <c r="G98" s="376">
        <v>348</v>
      </c>
      <c r="H98" s="200"/>
      <c r="I98" s="376">
        <v>355.50400000000002</v>
      </c>
      <c r="J98" s="189"/>
      <c r="K98" s="376">
        <v>380.67899999999997</v>
      </c>
      <c r="L98" s="189"/>
      <c r="M98" s="376">
        <v>408</v>
      </c>
      <c r="N98" s="189"/>
      <c r="O98" s="376">
        <v>413</v>
      </c>
      <c r="P98" s="189"/>
      <c r="Q98" s="376">
        <v>381</v>
      </c>
      <c r="R98" s="189"/>
      <c r="S98" s="376">
        <v>364</v>
      </c>
      <c r="T98" s="189"/>
      <c r="U98" s="376">
        <v>404.71</v>
      </c>
      <c r="V98" s="189"/>
      <c r="W98" s="376">
        <v>406.00099999999998</v>
      </c>
      <c r="X98" s="195"/>
      <c r="Y98" s="376">
        <v>402</v>
      </c>
      <c r="Z98" s="189"/>
      <c r="AA98" s="376">
        <v>365</v>
      </c>
      <c r="AB98" s="189"/>
      <c r="AC98" s="376">
        <v>420</v>
      </c>
      <c r="AD98" s="189"/>
      <c r="AE98" s="376">
        <v>408.99900000000002</v>
      </c>
      <c r="AF98" s="371"/>
      <c r="AG98" s="746"/>
      <c r="AH98" s="750"/>
      <c r="AI98" s="750"/>
      <c r="AJ98" s="750"/>
      <c r="AK98" s="750"/>
      <c r="AL98" s="750"/>
      <c r="AM98" s="750"/>
      <c r="AN98" s="750"/>
      <c r="AO98" s="777"/>
      <c r="DF98" s="183" t="s">
        <v>567</v>
      </c>
      <c r="DG98" s="183"/>
      <c r="DH98" s="183" t="s">
        <v>568</v>
      </c>
      <c r="DI98" s="183"/>
      <c r="DJ98" s="183" t="s">
        <v>168</v>
      </c>
      <c r="DK98" s="183"/>
      <c r="DL98" s="183" t="s">
        <v>569</v>
      </c>
      <c r="DM98" s="183"/>
      <c r="DN98" s="183" t="s">
        <v>570</v>
      </c>
      <c r="DO98" s="183"/>
      <c r="DP98" s="183" t="s">
        <v>571</v>
      </c>
      <c r="DQ98" s="183"/>
      <c r="DR98" s="183" t="s">
        <v>572</v>
      </c>
      <c r="DS98" s="183"/>
      <c r="DT98" s="183" t="s">
        <v>573</v>
      </c>
      <c r="DU98" s="183"/>
      <c r="DV98" s="183" t="s">
        <v>574</v>
      </c>
      <c r="DW98" s="183"/>
      <c r="DX98" s="183" t="s">
        <v>575</v>
      </c>
      <c r="DY98" s="183"/>
    </row>
    <row r="99" spans="1:129" s="166" customFormat="1" ht="13.5" customHeight="1" thickBot="1">
      <c r="A99" s="377"/>
      <c r="B99" s="191"/>
      <c r="D99" s="191"/>
      <c r="F99" s="196"/>
      <c r="H99" s="316"/>
      <c r="J99" s="208"/>
      <c r="L99" s="191"/>
      <c r="N99" s="191"/>
      <c r="P99" s="191"/>
      <c r="R99" s="191"/>
      <c r="T99" s="191"/>
      <c r="V99" s="191"/>
      <c r="X99" s="191"/>
      <c r="Z99" s="191"/>
      <c r="AB99" s="191"/>
      <c r="AD99" s="191"/>
      <c r="AF99" s="371"/>
      <c r="AG99" s="746"/>
      <c r="AH99" s="750"/>
      <c r="AI99" s="750"/>
      <c r="AJ99" s="750"/>
      <c r="AK99" s="750"/>
      <c r="AL99" s="750"/>
      <c r="AM99" s="750"/>
      <c r="AN99" s="750"/>
      <c r="AO99" s="777"/>
    </row>
    <row r="100" spans="1:129" s="166" customFormat="1" ht="14.1" customHeight="1">
      <c r="A100" s="370"/>
      <c r="B100" s="260" t="s">
        <v>354</v>
      </c>
      <c r="C100" s="260"/>
      <c r="D100" s="260" t="s">
        <v>377</v>
      </c>
      <c r="E100" s="260"/>
      <c r="F100" s="260" t="s">
        <v>334</v>
      </c>
      <c r="G100" s="260"/>
      <c r="H100" s="265" t="s">
        <v>400</v>
      </c>
      <c r="I100" s="260"/>
      <c r="J100" s="260" t="s">
        <v>304</v>
      </c>
      <c r="K100" s="260"/>
      <c r="L100" s="260" t="s">
        <v>354</v>
      </c>
      <c r="M100" s="260"/>
      <c r="N100" s="260" t="s">
        <v>361</v>
      </c>
      <c r="O100" s="260"/>
      <c r="P100" s="260" t="s">
        <v>354</v>
      </c>
      <c r="Q100" s="260"/>
      <c r="R100" s="260" t="s">
        <v>354</v>
      </c>
      <c r="S100" s="260"/>
      <c r="T100" s="265" t="s">
        <v>361</v>
      </c>
      <c r="U100" s="260"/>
      <c r="V100" s="260" t="s">
        <v>304</v>
      </c>
      <c r="W100" s="260"/>
      <c r="X100" s="260" t="s">
        <v>361</v>
      </c>
      <c r="Y100" s="260"/>
      <c r="Z100" s="260" t="s">
        <v>354</v>
      </c>
      <c r="AA100" s="260"/>
      <c r="AB100" s="260" t="s">
        <v>354</v>
      </c>
      <c r="AC100" s="260"/>
      <c r="AD100" s="260" t="s">
        <v>361</v>
      </c>
      <c r="AE100" s="260"/>
      <c r="AF100" s="371"/>
      <c r="AG100" s="746"/>
      <c r="AH100" s="750"/>
      <c r="AI100" s="750"/>
      <c r="AJ100" s="750"/>
      <c r="AK100" s="750"/>
      <c r="AL100" s="750"/>
      <c r="AM100" s="750"/>
      <c r="AN100" s="750"/>
      <c r="AO100" s="777"/>
      <c r="DF100" s="183"/>
      <c r="DH100" s="183"/>
      <c r="DI100" s="183"/>
      <c r="DJ100" s="183"/>
      <c r="DL100" s="183"/>
      <c r="DM100" s="183"/>
      <c r="DN100" s="183"/>
      <c r="DO100" s="183"/>
      <c r="DP100" s="183"/>
      <c r="DQ100" s="183"/>
      <c r="DR100" s="183"/>
      <c r="DS100" s="183"/>
      <c r="DT100" s="183"/>
      <c r="DU100" s="183"/>
      <c r="DV100" s="183"/>
      <c r="DW100" s="183"/>
      <c r="DX100" s="183"/>
      <c r="DY100" s="183"/>
    </row>
    <row r="101" spans="1:129" s="166" customFormat="1" ht="14.1" customHeight="1">
      <c r="A101" s="370"/>
      <c r="B101" s="205"/>
      <c r="C101" s="205"/>
      <c r="D101" s="205"/>
      <c r="E101" s="260"/>
      <c r="F101" s="205" t="s">
        <v>576</v>
      </c>
      <c r="G101" s="260"/>
      <c r="H101" s="205"/>
      <c r="I101" s="260"/>
      <c r="J101" s="205"/>
      <c r="K101" s="260"/>
      <c r="L101" s="205"/>
      <c r="M101" s="260"/>
      <c r="N101" s="205"/>
      <c r="O101" s="260"/>
      <c r="P101" s="205"/>
      <c r="Q101" s="260"/>
      <c r="R101" s="205"/>
      <c r="S101" s="260"/>
      <c r="T101" s="205"/>
      <c r="U101" s="260"/>
      <c r="V101" s="205"/>
      <c r="W101" s="260"/>
      <c r="X101" s="205"/>
      <c r="Y101" s="260"/>
      <c r="Z101" s="205"/>
      <c r="AA101" s="260"/>
      <c r="AB101" s="205"/>
      <c r="AC101" s="260"/>
      <c r="AD101" s="205"/>
      <c r="AE101" s="261"/>
      <c r="AF101" s="371"/>
      <c r="AG101" s="747"/>
      <c r="AH101" s="751"/>
      <c r="AI101" s="751"/>
      <c r="AJ101" s="751"/>
      <c r="AK101" s="751"/>
      <c r="AL101" s="751"/>
      <c r="AM101" s="751"/>
      <c r="AN101" s="751"/>
      <c r="AO101" s="780"/>
      <c r="DF101" s="183"/>
      <c r="DH101" s="183"/>
      <c r="DI101" s="183"/>
      <c r="DJ101" s="183"/>
      <c r="DL101" s="183"/>
      <c r="DM101" s="183"/>
      <c r="DN101" s="183"/>
      <c r="DO101" s="183"/>
      <c r="DP101" s="183"/>
      <c r="DQ101" s="183"/>
      <c r="DR101" s="183"/>
      <c r="DS101" s="183"/>
      <c r="DT101" s="183"/>
      <c r="DU101" s="183"/>
      <c r="DV101" s="183"/>
      <c r="DW101" s="183"/>
      <c r="DX101" s="183"/>
      <c r="DY101" s="183"/>
    </row>
    <row r="102" spans="1:129" s="166" customFormat="1" ht="13.5" customHeight="1">
      <c r="A102" s="370"/>
      <c r="B102" s="205"/>
      <c r="C102" s="205"/>
      <c r="D102" s="205"/>
      <c r="E102" s="205"/>
      <c r="F102" s="205"/>
      <c r="G102" s="390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  <c r="Y102" s="205"/>
      <c r="Z102" s="205"/>
      <c r="AA102" s="205"/>
      <c r="AB102" s="205"/>
      <c r="AC102" s="205"/>
      <c r="AD102" s="205"/>
      <c r="AE102" s="205"/>
      <c r="AF102" s="371"/>
      <c r="AG102" s="746"/>
      <c r="AH102" s="750"/>
      <c r="AI102" s="750"/>
      <c r="AJ102" s="750"/>
      <c r="AK102" s="750"/>
      <c r="AL102" s="750"/>
      <c r="AM102" s="750"/>
      <c r="AN102" s="750"/>
      <c r="AO102" s="777"/>
      <c r="DF102" s="195" t="s">
        <v>355</v>
      </c>
      <c r="DG102" s="185"/>
      <c r="DH102" s="195" t="s">
        <v>355</v>
      </c>
      <c r="DI102" s="185"/>
      <c r="DJ102" s="195" t="s">
        <v>355</v>
      </c>
      <c r="DK102" s="185"/>
      <c r="DL102" s="198" t="s">
        <v>355</v>
      </c>
      <c r="DM102" s="185"/>
      <c r="DN102" s="195" t="s">
        <v>355</v>
      </c>
      <c r="DO102" s="185"/>
      <c r="DP102" s="195" t="s">
        <v>355</v>
      </c>
      <c r="DQ102" s="185"/>
      <c r="DR102" s="195" t="s">
        <v>355</v>
      </c>
      <c r="DS102" s="185"/>
      <c r="DT102" s="195" t="s">
        <v>355</v>
      </c>
      <c r="DU102" s="185"/>
      <c r="DV102" s="198"/>
      <c r="DW102" s="185"/>
      <c r="DX102" s="187"/>
      <c r="DY102" s="185"/>
    </row>
    <row r="103" spans="1:129" s="166" customFormat="1" ht="13.5" customHeight="1" thickBot="1">
      <c r="A103" s="370"/>
      <c r="B103" s="205">
        <v>106</v>
      </c>
      <c r="C103" s="205"/>
      <c r="D103" s="205">
        <v>107</v>
      </c>
      <c r="E103" s="205"/>
      <c r="F103" s="205">
        <v>108</v>
      </c>
      <c r="G103" s="205"/>
      <c r="H103" s="205">
        <v>109</v>
      </c>
      <c r="I103" s="205"/>
      <c r="J103" s="205">
        <v>110</v>
      </c>
      <c r="K103" s="205"/>
      <c r="L103" s="205">
        <v>111</v>
      </c>
      <c r="M103" s="205"/>
      <c r="N103" s="205">
        <v>112</v>
      </c>
      <c r="O103" s="205"/>
      <c r="P103" s="205">
        <v>113</v>
      </c>
      <c r="Q103" s="205"/>
      <c r="R103" s="205">
        <v>114</v>
      </c>
      <c r="S103" s="205"/>
      <c r="T103" s="205">
        <v>115</v>
      </c>
      <c r="U103" s="205"/>
      <c r="V103" s="205">
        <v>116</v>
      </c>
      <c r="W103" s="205"/>
      <c r="X103" s="205">
        <v>117</v>
      </c>
      <c r="Y103" s="205"/>
      <c r="Z103" s="205">
        <v>118</v>
      </c>
      <c r="AA103" s="205"/>
      <c r="AB103" s="205">
        <v>119</v>
      </c>
      <c r="AC103" s="205"/>
      <c r="AD103" s="205">
        <v>120</v>
      </c>
      <c r="AE103" s="205"/>
      <c r="AF103" s="371"/>
      <c r="AG103" s="746"/>
      <c r="AH103" s="750"/>
      <c r="AI103" s="750"/>
      <c r="AJ103" s="750"/>
      <c r="AK103" s="750"/>
      <c r="AL103" s="750"/>
      <c r="AM103" s="750"/>
      <c r="AN103" s="750"/>
      <c r="AO103" s="777"/>
      <c r="DF103" s="191"/>
      <c r="DH103" s="191"/>
      <c r="DJ103" s="191"/>
      <c r="DL103" s="196"/>
      <c r="DN103" s="191"/>
      <c r="DP103" s="191"/>
      <c r="DR103" s="191"/>
      <c r="DT103" s="191"/>
      <c r="DV103" s="196"/>
      <c r="DX103" s="190"/>
    </row>
    <row r="104" spans="1:129" s="166" customFormat="1" ht="13.5" customHeight="1">
      <c r="A104" s="370"/>
      <c r="B104" s="260" t="s">
        <v>465</v>
      </c>
      <c r="C104" s="260"/>
      <c r="D104" s="260" t="s">
        <v>577</v>
      </c>
      <c r="E104" s="260"/>
      <c r="F104" s="260" t="s">
        <v>578</v>
      </c>
      <c r="G104" s="260"/>
      <c r="H104" s="260" t="s">
        <v>579</v>
      </c>
      <c r="I104" s="260"/>
      <c r="J104" s="260" t="s">
        <v>433</v>
      </c>
      <c r="K104" s="260"/>
      <c r="L104" s="260" t="s">
        <v>580</v>
      </c>
      <c r="M104" s="260"/>
      <c r="N104" s="260" t="s">
        <v>432</v>
      </c>
      <c r="O104" s="260"/>
      <c r="P104" s="260" t="s">
        <v>431</v>
      </c>
      <c r="Q104" s="260"/>
      <c r="R104" s="260" t="s">
        <v>443</v>
      </c>
      <c r="S104" s="260"/>
      <c r="T104" s="260" t="s">
        <v>581</v>
      </c>
      <c r="U104" s="260"/>
      <c r="V104" s="260" t="s">
        <v>582</v>
      </c>
      <c r="W104" s="260"/>
      <c r="X104" s="260" t="s">
        <v>583</v>
      </c>
      <c r="Y104" s="205"/>
      <c r="Z104" s="260" t="s">
        <v>584</v>
      </c>
      <c r="AA104" s="260"/>
      <c r="AB104" s="260" t="s">
        <v>585</v>
      </c>
      <c r="AC104" s="260"/>
      <c r="AD104" s="260" t="s">
        <v>586</v>
      </c>
      <c r="AE104" s="260"/>
      <c r="AF104" s="371"/>
      <c r="AG104" s="746"/>
      <c r="AH104" s="750"/>
      <c r="AI104" s="750"/>
      <c r="AJ104" s="750"/>
      <c r="AK104" s="750"/>
      <c r="AL104" s="750"/>
      <c r="AM104" s="750"/>
      <c r="AN104" s="750"/>
      <c r="AO104" s="777"/>
      <c r="DF104" s="183" t="s">
        <v>361</v>
      </c>
      <c r="DG104" s="183"/>
      <c r="DH104" s="183" t="s">
        <v>361</v>
      </c>
      <c r="DI104" s="183"/>
      <c r="DJ104" s="192" t="s">
        <v>309</v>
      </c>
      <c r="DK104" s="183"/>
      <c r="DL104" s="192" t="s">
        <v>309</v>
      </c>
      <c r="DM104" s="183"/>
      <c r="DN104" s="192" t="s">
        <v>334</v>
      </c>
      <c r="DO104" s="183"/>
      <c r="DP104" s="183" t="s">
        <v>354</v>
      </c>
      <c r="DQ104" s="183"/>
      <c r="DR104" s="183" t="s">
        <v>361</v>
      </c>
      <c r="DS104" s="183"/>
      <c r="DT104" s="192" t="s">
        <v>339</v>
      </c>
      <c r="DU104" s="183"/>
      <c r="DV104" s="183" t="s">
        <v>354</v>
      </c>
      <c r="DW104" s="183"/>
      <c r="DX104" s="183" t="s">
        <v>361</v>
      </c>
      <c r="DY104" s="183"/>
    </row>
    <row r="105" spans="1:129" s="166" customFormat="1" ht="13.5" customHeight="1">
      <c r="A105" s="370"/>
      <c r="B105" s="205"/>
      <c r="C105" s="205"/>
      <c r="D105" s="205"/>
      <c r="E105" s="205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  <c r="Y105" s="205"/>
      <c r="Z105" s="205"/>
      <c r="AA105" s="205"/>
      <c r="AB105" s="205"/>
      <c r="AC105" s="205"/>
      <c r="AD105" s="205"/>
      <c r="AE105" s="205"/>
      <c r="AF105" s="371"/>
      <c r="AG105" s="746"/>
      <c r="AH105" s="750"/>
      <c r="AI105" s="750"/>
      <c r="AJ105" s="750"/>
      <c r="AK105" s="750"/>
      <c r="AL105" s="750"/>
      <c r="AM105" s="750"/>
      <c r="AN105" s="750"/>
      <c r="AO105" s="777"/>
      <c r="DG105" s="183"/>
      <c r="DI105" s="183"/>
      <c r="DK105" s="183"/>
      <c r="DM105" s="194" t="s">
        <v>587</v>
      </c>
      <c r="DO105" s="183"/>
      <c r="DQ105" s="183"/>
      <c r="DS105" s="183"/>
      <c r="DU105" s="183"/>
    </row>
    <row r="106" spans="1:129" s="166" customFormat="1" ht="13.5" customHeight="1">
      <c r="A106" s="370"/>
      <c r="B106" s="260"/>
      <c r="C106" s="260"/>
      <c r="D106" s="260"/>
      <c r="E106" s="205"/>
      <c r="F106" s="260"/>
      <c r="G106" s="260"/>
      <c r="H106" s="260"/>
      <c r="I106" s="205"/>
      <c r="J106" s="260"/>
      <c r="K106" s="260"/>
      <c r="L106" s="260"/>
      <c r="M106" s="260"/>
      <c r="N106" s="260"/>
      <c r="O106" s="260"/>
      <c r="P106" s="260"/>
      <c r="Q106" s="260"/>
      <c r="R106" s="260"/>
      <c r="S106" s="260"/>
      <c r="T106" s="260"/>
      <c r="U106" s="260"/>
      <c r="V106" s="260"/>
      <c r="W106" s="260"/>
      <c r="X106" s="260"/>
      <c r="Y106" s="205"/>
      <c r="Z106" s="260"/>
      <c r="AA106" s="260"/>
      <c r="AB106" s="260"/>
      <c r="AC106" s="205"/>
      <c r="AD106" s="260"/>
      <c r="AE106" s="260"/>
      <c r="AF106" s="371"/>
      <c r="AG106" s="746"/>
      <c r="AH106" s="750"/>
      <c r="AI106" s="750"/>
      <c r="AJ106" s="750"/>
      <c r="AK106" s="750"/>
      <c r="AL106" s="750"/>
      <c r="AM106" s="750"/>
      <c r="AN106" s="750"/>
      <c r="AO106" s="777"/>
      <c r="DK106" s="197" t="s">
        <v>588</v>
      </c>
    </row>
    <row r="107" spans="1:129" s="166" customFormat="1" ht="13.5" customHeight="1" thickBot="1">
      <c r="A107" s="370"/>
      <c r="B107" s="260"/>
      <c r="C107" s="260"/>
      <c r="D107" s="260"/>
      <c r="E107" s="205"/>
      <c r="F107" s="260"/>
      <c r="G107" s="260"/>
      <c r="H107" s="260"/>
      <c r="I107" s="205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05"/>
      <c r="Z107" s="260"/>
      <c r="AA107" s="260"/>
      <c r="AB107" s="260"/>
      <c r="AC107" s="205"/>
      <c r="AD107" s="260"/>
      <c r="AE107" s="260"/>
      <c r="AF107" s="371"/>
      <c r="AG107" s="746"/>
      <c r="AH107" s="750"/>
      <c r="AI107" s="750"/>
      <c r="AJ107" s="750"/>
      <c r="AK107" s="750"/>
      <c r="AL107" s="750"/>
      <c r="AM107" s="750"/>
      <c r="AN107" s="750"/>
      <c r="AO107" s="777"/>
    </row>
    <row r="108" spans="1:129" s="166" customFormat="1" ht="13.5" customHeight="1">
      <c r="A108" s="377"/>
      <c r="B108" s="199"/>
      <c r="C108" s="185"/>
      <c r="D108" s="184"/>
      <c r="E108" s="185"/>
      <c r="F108" s="184"/>
      <c r="G108" s="185"/>
      <c r="H108" s="184"/>
      <c r="I108" s="185"/>
      <c r="J108" s="186"/>
      <c r="K108" s="185"/>
      <c r="L108" s="184"/>
      <c r="M108" s="185"/>
      <c r="N108" s="186"/>
      <c r="O108" s="185"/>
      <c r="P108" s="186"/>
      <c r="Q108" s="185"/>
      <c r="R108" s="186"/>
      <c r="S108" s="185"/>
      <c r="T108" s="184"/>
      <c r="U108" s="185"/>
      <c r="V108" s="184"/>
      <c r="W108" s="185"/>
      <c r="X108" s="269"/>
      <c r="Y108" s="270"/>
      <c r="Z108" s="269"/>
      <c r="AA108" s="270"/>
      <c r="AB108" s="269"/>
      <c r="AC108" s="270"/>
      <c r="AD108" s="269"/>
      <c r="AE108" s="270"/>
      <c r="AF108" s="371"/>
      <c r="AG108" s="746"/>
      <c r="AH108" s="750"/>
      <c r="AI108" s="750"/>
      <c r="AJ108" s="750"/>
      <c r="AK108" s="750"/>
      <c r="AL108" s="750"/>
      <c r="AM108" s="750"/>
      <c r="AN108" s="750"/>
      <c r="AO108" s="777"/>
      <c r="BV108" s="606">
        <f>4</f>
        <v>4</v>
      </c>
      <c r="BW108" s="606">
        <v>0</v>
      </c>
    </row>
    <row r="109" spans="1:129" s="166" customFormat="1" ht="13.5" customHeight="1">
      <c r="A109" s="377"/>
      <c r="B109" s="200" t="s">
        <v>554</v>
      </c>
      <c r="C109" s="376">
        <v>388.00099999999998</v>
      </c>
      <c r="D109" s="188" t="s">
        <v>554</v>
      </c>
      <c r="E109" s="376">
        <v>348.62799999999999</v>
      </c>
      <c r="F109" s="188" t="s">
        <v>554</v>
      </c>
      <c r="G109" s="376">
        <v>424.14</v>
      </c>
      <c r="H109" s="188"/>
      <c r="I109" s="376">
        <v>412</v>
      </c>
      <c r="J109" s="195"/>
      <c r="K109" s="376">
        <v>406</v>
      </c>
      <c r="L109" s="188"/>
      <c r="M109" s="376">
        <v>370.19200000000001</v>
      </c>
      <c r="N109" s="195"/>
      <c r="O109" s="376">
        <v>378.53399999999999</v>
      </c>
      <c r="P109" s="195"/>
      <c r="Q109" s="376">
        <v>408.00400000000002</v>
      </c>
      <c r="R109" s="189"/>
      <c r="S109" s="376">
        <v>405.55099999999999</v>
      </c>
      <c r="T109" s="188"/>
      <c r="U109" s="376">
        <v>405.99900000000002</v>
      </c>
      <c r="V109" s="188"/>
      <c r="W109" s="376">
        <v>386</v>
      </c>
      <c r="X109" s="271"/>
      <c r="Y109" s="272">
        <v>408.363</v>
      </c>
      <c r="Z109" s="273"/>
      <c r="AA109" s="272">
        <v>380.99700000000001</v>
      </c>
      <c r="AB109" s="273"/>
      <c r="AC109" s="272">
        <v>426.00099999999998</v>
      </c>
      <c r="AD109" s="273"/>
      <c r="AE109" s="272">
        <v>394.47500000000002</v>
      </c>
      <c r="AF109" s="371"/>
      <c r="AG109" s="746"/>
      <c r="AH109" s="750"/>
      <c r="AI109" s="750"/>
      <c r="AJ109" s="750"/>
      <c r="AK109" s="750"/>
      <c r="AL109" s="750"/>
      <c r="AM109" s="750"/>
      <c r="AN109" s="750"/>
      <c r="AO109" s="777"/>
    </row>
    <row r="110" spans="1:129" s="166" customFormat="1" ht="13.5" customHeight="1" thickBot="1">
      <c r="A110" s="377"/>
      <c r="B110" s="201"/>
      <c r="D110" s="190"/>
      <c r="F110" s="190"/>
      <c r="H110" s="190"/>
      <c r="J110" s="195"/>
      <c r="L110" s="190"/>
      <c r="N110" s="195"/>
      <c r="P110" s="195"/>
      <c r="R110" s="191"/>
      <c r="T110" s="190"/>
      <c r="V110" s="190"/>
      <c r="X110" s="274"/>
      <c r="Y110" s="205"/>
      <c r="Z110" s="274"/>
      <c r="AA110" s="205"/>
      <c r="AB110" s="274"/>
      <c r="AC110" s="205"/>
      <c r="AD110" s="274"/>
      <c r="AE110" s="205"/>
      <c r="AF110" s="371"/>
      <c r="AG110" s="746"/>
      <c r="AH110" s="750"/>
      <c r="AI110" s="750"/>
      <c r="AJ110" s="750"/>
      <c r="AK110" s="750"/>
      <c r="AL110" s="750"/>
      <c r="AM110" s="750"/>
      <c r="AN110" s="750"/>
      <c r="AO110" s="777"/>
    </row>
    <row r="111" spans="1:129" s="166" customFormat="1" ht="14.1" customHeight="1">
      <c r="A111" s="370"/>
      <c r="B111" s="260" t="s">
        <v>354</v>
      </c>
      <c r="C111" s="260"/>
      <c r="D111" s="260" t="s">
        <v>354</v>
      </c>
      <c r="E111" s="260"/>
      <c r="F111" s="260" t="s">
        <v>304</v>
      </c>
      <c r="G111" s="260"/>
      <c r="H111" s="260" t="s">
        <v>403</v>
      </c>
      <c r="I111" s="260"/>
      <c r="J111" s="260" t="s">
        <v>361</v>
      </c>
      <c r="K111" s="260"/>
      <c r="L111" s="260" t="s">
        <v>354</v>
      </c>
      <c r="M111" s="260"/>
      <c r="N111" s="260" t="s">
        <v>377</v>
      </c>
      <c r="O111" s="260"/>
      <c r="P111" s="260" t="s">
        <v>296</v>
      </c>
      <c r="Q111" s="260"/>
      <c r="R111" s="260" t="s">
        <v>354</v>
      </c>
      <c r="S111" s="260"/>
      <c r="T111" s="260" t="s">
        <v>313</v>
      </c>
      <c r="U111" s="260"/>
      <c r="V111" s="260" t="s">
        <v>354</v>
      </c>
      <c r="W111" s="260"/>
      <c r="X111" s="260" t="s">
        <v>354</v>
      </c>
      <c r="Y111" s="260"/>
      <c r="Z111" s="260" t="s">
        <v>589</v>
      </c>
      <c r="AA111" s="260"/>
      <c r="AB111" s="260" t="s">
        <v>403</v>
      </c>
      <c r="AC111" s="260"/>
      <c r="AD111" s="260" t="s">
        <v>354</v>
      </c>
      <c r="AE111" s="260"/>
      <c r="AF111" s="371"/>
      <c r="AG111" s="746"/>
      <c r="AH111" s="750"/>
      <c r="AI111" s="750"/>
      <c r="AJ111" s="750"/>
      <c r="AK111" s="750"/>
      <c r="AL111" s="750"/>
      <c r="AM111" s="750"/>
      <c r="AN111" s="750"/>
      <c r="AO111" s="777"/>
    </row>
    <row r="112" spans="1:129" s="166" customFormat="1" ht="14.1" customHeight="1">
      <c r="A112" s="370"/>
      <c r="B112" s="205"/>
      <c r="C112" s="205"/>
      <c r="D112" s="205"/>
      <c r="E112" s="205"/>
      <c r="F112" s="205"/>
      <c r="G112" s="260"/>
      <c r="H112" s="205"/>
      <c r="I112" s="260"/>
      <c r="J112" s="205"/>
      <c r="K112" s="260"/>
      <c r="L112" s="205"/>
      <c r="M112" s="260"/>
      <c r="N112" s="205"/>
      <c r="O112" s="260"/>
      <c r="P112" s="205"/>
      <c r="Q112" s="205"/>
      <c r="R112" s="205"/>
      <c r="S112" s="379"/>
      <c r="T112" s="205"/>
      <c r="U112" s="205"/>
      <c r="V112" s="205"/>
      <c r="W112" s="261"/>
      <c r="X112" s="205"/>
      <c r="Y112" s="260"/>
      <c r="Z112" s="205"/>
      <c r="AA112" s="260"/>
      <c r="AB112" s="205"/>
      <c r="AC112" s="205"/>
      <c r="AD112" s="205"/>
      <c r="AE112" s="205"/>
      <c r="AF112" s="371"/>
      <c r="AG112" s="747"/>
      <c r="AH112" s="751"/>
      <c r="AI112" s="751"/>
      <c r="AJ112" s="751"/>
      <c r="AK112" s="751"/>
      <c r="AL112" s="751"/>
      <c r="AM112" s="751"/>
      <c r="AN112" s="751"/>
      <c r="AO112" s="780"/>
    </row>
    <row r="113" spans="1:41" s="166" customFormat="1" ht="13.5" customHeight="1">
      <c r="A113" s="370"/>
      <c r="B113" s="205"/>
      <c r="C113" s="205"/>
      <c r="D113" s="205"/>
      <c r="E113" s="205"/>
      <c r="F113" s="205"/>
      <c r="G113" s="205"/>
      <c r="H113" s="205"/>
      <c r="I113" s="205"/>
      <c r="J113" s="205"/>
      <c r="K113" s="205"/>
      <c r="L113" s="205"/>
      <c r="M113" s="205"/>
      <c r="N113" s="205"/>
      <c r="O113" s="205"/>
      <c r="P113" s="205"/>
      <c r="Q113" s="205"/>
      <c r="R113" s="205"/>
      <c r="S113" s="205"/>
      <c r="T113" s="205"/>
      <c r="U113" s="205"/>
      <c r="V113" s="205"/>
      <c r="W113" s="205"/>
      <c r="X113" s="205"/>
      <c r="Y113" s="205"/>
      <c r="Z113" s="205"/>
      <c r="AA113" s="205"/>
      <c r="AB113" s="205"/>
      <c r="AC113" s="205"/>
      <c r="AD113" s="205"/>
      <c r="AE113" s="205"/>
      <c r="AF113" s="371"/>
      <c r="AG113" s="746"/>
      <c r="AH113" s="750"/>
      <c r="AI113" s="750"/>
      <c r="AJ113" s="750"/>
      <c r="AK113" s="750"/>
      <c r="AL113" s="750"/>
      <c r="AM113" s="750"/>
      <c r="AN113" s="750"/>
      <c r="AO113" s="777"/>
    </row>
    <row r="114" spans="1:41" s="166" customFormat="1" ht="13.5" customHeight="1">
      <c r="A114" s="370"/>
      <c r="B114" s="205">
        <v>120</v>
      </c>
      <c r="C114" s="205"/>
      <c r="D114" s="205">
        <v>121</v>
      </c>
      <c r="E114" s="205"/>
      <c r="F114" s="205">
        <v>123</v>
      </c>
      <c r="G114" s="205"/>
      <c r="H114" s="205">
        <v>124</v>
      </c>
      <c r="I114" s="205"/>
      <c r="J114" s="205">
        <v>125</v>
      </c>
      <c r="K114" s="205"/>
      <c r="L114" s="205">
        <v>126</v>
      </c>
      <c r="M114" s="205"/>
      <c r="N114" s="205">
        <v>127</v>
      </c>
      <c r="O114" s="205"/>
      <c r="P114" s="205">
        <v>128</v>
      </c>
      <c r="Q114" s="205"/>
      <c r="R114" s="205">
        <v>129</v>
      </c>
      <c r="S114" s="205"/>
      <c r="T114" s="205">
        <v>130</v>
      </c>
      <c r="U114" s="205"/>
      <c r="V114" s="205">
        <v>131</v>
      </c>
      <c r="W114" s="205"/>
      <c r="X114" s="205">
        <v>132</v>
      </c>
      <c r="Y114" s="205"/>
      <c r="Z114" s="205">
        <v>133</v>
      </c>
      <c r="AA114" s="205"/>
      <c r="AB114" s="205">
        <v>134</v>
      </c>
      <c r="AC114" s="205"/>
      <c r="AD114" s="205">
        <v>135</v>
      </c>
      <c r="AE114" s="205"/>
      <c r="AF114" s="371"/>
      <c r="AG114" s="746"/>
      <c r="AH114" s="750"/>
      <c r="AI114" s="750"/>
      <c r="AJ114" s="750"/>
      <c r="AK114" s="750"/>
      <c r="AL114" s="750"/>
      <c r="AM114" s="750"/>
      <c r="AN114" s="750"/>
      <c r="AO114" s="777"/>
    </row>
    <row r="115" spans="1:41" s="166" customFormat="1" ht="13.5" customHeight="1">
      <c r="A115" s="370"/>
      <c r="B115" s="260" t="s">
        <v>590</v>
      </c>
      <c r="C115" s="260"/>
      <c r="D115" s="260" t="s">
        <v>591</v>
      </c>
      <c r="E115" s="260"/>
      <c r="F115" s="260" t="s">
        <v>592</v>
      </c>
      <c r="G115" s="260"/>
      <c r="H115" s="260" t="s">
        <v>593</v>
      </c>
      <c r="I115" s="260"/>
      <c r="J115" s="260" t="s">
        <v>182</v>
      </c>
      <c r="K115" s="260"/>
      <c r="L115" s="260" t="s">
        <v>594</v>
      </c>
      <c r="M115" s="260"/>
      <c r="N115" s="260" t="s">
        <v>595</v>
      </c>
      <c r="O115" s="260"/>
      <c r="P115" s="260" t="s">
        <v>596</v>
      </c>
      <c r="Q115" s="260"/>
      <c r="R115" s="260" t="s">
        <v>597</v>
      </c>
      <c r="S115" s="260"/>
      <c r="T115" s="260" t="s">
        <v>598</v>
      </c>
      <c r="U115" s="260"/>
      <c r="V115" s="260" t="s">
        <v>599</v>
      </c>
      <c r="W115" s="260"/>
      <c r="X115" s="260" t="s">
        <v>600</v>
      </c>
      <c r="Y115" s="205"/>
      <c r="Z115" s="260" t="s">
        <v>601</v>
      </c>
      <c r="AA115" s="260"/>
      <c r="AB115" s="260" t="s">
        <v>602</v>
      </c>
      <c r="AC115" s="260"/>
      <c r="AD115" s="260" t="s">
        <v>603</v>
      </c>
      <c r="AE115" s="260"/>
      <c r="AF115" s="371"/>
      <c r="AG115" s="746"/>
      <c r="AH115" s="750"/>
      <c r="AI115" s="750"/>
      <c r="AJ115" s="750"/>
      <c r="AK115" s="750"/>
      <c r="AL115" s="750"/>
      <c r="AM115" s="750"/>
      <c r="AN115" s="750"/>
      <c r="AO115" s="777"/>
    </row>
    <row r="116" spans="1:41" s="166" customFormat="1" ht="13.5" customHeight="1">
      <c r="A116" s="370"/>
      <c r="B116" s="205"/>
      <c r="C116" s="205"/>
      <c r="D116" s="205"/>
      <c r="E116" s="205"/>
      <c r="F116" s="205"/>
      <c r="G116" s="205"/>
      <c r="H116" s="205"/>
      <c r="I116" s="205"/>
      <c r="J116" s="205"/>
      <c r="K116" s="205"/>
      <c r="L116" s="205"/>
      <c r="M116" s="205"/>
      <c r="N116" s="205"/>
      <c r="O116" s="205"/>
      <c r="P116" s="205"/>
      <c r="Q116" s="205"/>
      <c r="R116" s="205"/>
      <c r="S116" s="205"/>
      <c r="T116" s="205"/>
      <c r="U116" s="205"/>
      <c r="V116" s="205"/>
      <c r="W116" s="205"/>
      <c r="X116" s="205"/>
      <c r="Y116" s="205"/>
      <c r="Z116" s="205"/>
      <c r="AA116" s="205"/>
      <c r="AB116" s="205"/>
      <c r="AC116" s="205"/>
      <c r="AD116" s="205"/>
      <c r="AE116" s="205"/>
      <c r="AF116" s="371"/>
      <c r="AG116" s="746"/>
      <c r="AH116" s="750"/>
      <c r="AI116" s="750"/>
      <c r="AJ116" s="750"/>
      <c r="AK116" s="750"/>
      <c r="AL116" s="750"/>
      <c r="AM116" s="750"/>
      <c r="AN116" s="750"/>
      <c r="AO116" s="777"/>
    </row>
    <row r="117" spans="1:41" s="166" customFormat="1" ht="13.5" customHeight="1">
      <c r="A117" s="370"/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/>
      <c r="N117" s="260"/>
      <c r="O117" s="205"/>
      <c r="P117" s="260"/>
      <c r="Q117" s="260"/>
      <c r="R117" s="260"/>
      <c r="S117" s="205"/>
      <c r="T117" s="260"/>
      <c r="U117" s="260"/>
      <c r="V117" s="260"/>
      <c r="W117" s="260"/>
      <c r="X117" s="260"/>
      <c r="Y117" s="260"/>
      <c r="Z117" s="260"/>
      <c r="AA117" s="260"/>
      <c r="AB117" s="260"/>
      <c r="AC117" s="260"/>
      <c r="AD117" s="260"/>
      <c r="AE117" s="260"/>
      <c r="AF117" s="371"/>
      <c r="AG117" s="746"/>
      <c r="AH117" s="750"/>
      <c r="AI117" s="750"/>
      <c r="AJ117" s="750"/>
      <c r="AK117" s="750"/>
      <c r="AL117" s="750"/>
      <c r="AM117" s="750"/>
      <c r="AN117" s="750"/>
      <c r="AO117" s="777"/>
    </row>
    <row r="118" spans="1:41" s="166" customFormat="1" ht="13.5" customHeight="1" thickBot="1">
      <c r="A118" s="370"/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05"/>
      <c r="P118" s="260"/>
      <c r="Q118" s="260"/>
      <c r="R118" s="260"/>
      <c r="S118" s="205"/>
      <c r="T118" s="260"/>
      <c r="U118" s="260"/>
      <c r="V118" s="260"/>
      <c r="W118" s="260"/>
      <c r="X118" s="260"/>
      <c r="Y118" s="260"/>
      <c r="Z118" s="260"/>
      <c r="AA118" s="260"/>
      <c r="AB118" s="260"/>
      <c r="AC118" s="260"/>
      <c r="AD118" s="260"/>
      <c r="AE118" s="260"/>
      <c r="AF118" s="371"/>
      <c r="AG118" s="746"/>
      <c r="AH118" s="750"/>
      <c r="AI118" s="750"/>
      <c r="AJ118" s="750"/>
      <c r="AK118" s="750"/>
      <c r="AL118" s="750"/>
      <c r="AM118" s="750"/>
      <c r="AN118" s="750"/>
      <c r="AO118" s="777"/>
    </row>
    <row r="119" spans="1:41" s="166" customFormat="1" ht="13.5" customHeight="1">
      <c r="A119" s="370"/>
      <c r="B119" s="269"/>
      <c r="C119" s="270"/>
      <c r="D119" s="269"/>
      <c r="E119" s="270"/>
      <c r="F119" s="317" t="s">
        <v>554</v>
      </c>
      <c r="G119" s="270"/>
      <c r="H119" s="620"/>
      <c r="I119" s="270"/>
      <c r="J119" s="269"/>
      <c r="K119" s="270"/>
      <c r="L119" s="269"/>
      <c r="M119" s="270"/>
      <c r="N119" s="269"/>
      <c r="O119" s="270"/>
      <c r="P119" s="269"/>
      <c r="Q119" s="270"/>
      <c r="R119" s="269"/>
      <c r="S119" s="270"/>
      <c r="T119" s="269"/>
      <c r="U119" s="270"/>
      <c r="V119" s="269"/>
      <c r="W119" s="270"/>
      <c r="X119" s="269"/>
      <c r="Y119" s="270"/>
      <c r="Z119" s="269"/>
      <c r="AA119" s="270"/>
      <c r="AB119" s="269"/>
      <c r="AC119" s="270"/>
      <c r="AD119" s="269"/>
      <c r="AE119" s="270"/>
      <c r="AF119" s="371"/>
      <c r="AG119" s="746"/>
      <c r="AH119" s="750"/>
      <c r="AI119" s="750"/>
      <c r="AJ119" s="750"/>
      <c r="AK119" s="750"/>
      <c r="AL119" s="750"/>
      <c r="AM119" s="750"/>
      <c r="AN119" s="750"/>
      <c r="AO119" s="777"/>
    </row>
    <row r="120" spans="1:41" s="166" customFormat="1" ht="13.5" customHeight="1">
      <c r="A120" s="370"/>
      <c r="B120" s="273"/>
      <c r="C120" s="272">
        <v>411.00400000000002</v>
      </c>
      <c r="D120" s="273" t="s">
        <v>554</v>
      </c>
      <c r="E120" s="272">
        <v>423</v>
      </c>
      <c r="F120" s="273"/>
      <c r="G120" s="272">
        <v>395</v>
      </c>
      <c r="H120" s="206" t="s">
        <v>97</v>
      </c>
      <c r="I120" s="272">
        <v>358.32400000000001</v>
      </c>
      <c r="J120" s="273"/>
      <c r="K120" s="272">
        <v>409.99599999999998</v>
      </c>
      <c r="L120" s="273"/>
      <c r="M120" s="272">
        <v>399.88200000000001</v>
      </c>
      <c r="N120" s="273"/>
      <c r="O120" s="272">
        <v>410.99799999999999</v>
      </c>
      <c r="P120" s="273"/>
      <c r="Q120" s="272">
        <v>402</v>
      </c>
      <c r="R120" s="273"/>
      <c r="S120" s="272">
        <v>422</v>
      </c>
      <c r="T120" s="273"/>
      <c r="U120" s="272">
        <v>409</v>
      </c>
      <c r="V120" s="273"/>
      <c r="W120" s="272">
        <v>394</v>
      </c>
      <c r="X120" s="271"/>
      <c r="Y120" s="272">
        <v>393</v>
      </c>
      <c r="Z120" s="273"/>
      <c r="AA120" s="272">
        <v>405.06099999999998</v>
      </c>
      <c r="AB120" s="273"/>
      <c r="AC120" s="272">
        <v>404.97500000000002</v>
      </c>
      <c r="AD120" s="273"/>
      <c r="AE120" s="272">
        <v>382.005</v>
      </c>
      <c r="AF120" s="371"/>
      <c r="AG120" s="746"/>
      <c r="AH120" s="750"/>
      <c r="AI120" s="750"/>
      <c r="AJ120" s="750"/>
      <c r="AK120" s="750"/>
      <c r="AL120" s="750"/>
      <c r="AM120" s="750"/>
      <c r="AN120" s="750"/>
      <c r="AO120" s="777"/>
    </row>
    <row r="121" spans="1:41" s="166" customFormat="1" ht="13.5" customHeight="1" thickBot="1">
      <c r="A121" s="370"/>
      <c r="B121" s="274"/>
      <c r="C121" s="205"/>
      <c r="D121" s="274"/>
      <c r="E121" s="205"/>
      <c r="F121" s="318"/>
      <c r="G121" s="205"/>
      <c r="H121" s="621"/>
      <c r="I121" s="205"/>
      <c r="J121" s="274"/>
      <c r="K121" s="205"/>
      <c r="L121" s="274"/>
      <c r="M121" s="205"/>
      <c r="N121" s="274"/>
      <c r="O121" s="205"/>
      <c r="P121" s="274"/>
      <c r="Q121" s="205"/>
      <c r="R121" s="274"/>
      <c r="S121" s="205"/>
      <c r="T121" s="274"/>
      <c r="U121" s="205"/>
      <c r="V121" s="274"/>
      <c r="W121" s="205"/>
      <c r="X121" s="274"/>
      <c r="Y121" s="205"/>
      <c r="Z121" s="274"/>
      <c r="AA121" s="205"/>
      <c r="AB121" s="274"/>
      <c r="AC121" s="205"/>
      <c r="AD121" s="274"/>
      <c r="AE121" s="205"/>
      <c r="AF121" s="371"/>
      <c r="AG121" s="746"/>
      <c r="AH121" s="750"/>
      <c r="AI121" s="750"/>
      <c r="AJ121" s="750"/>
      <c r="AK121" s="750"/>
      <c r="AL121" s="750"/>
      <c r="AM121" s="750"/>
      <c r="AN121" s="750"/>
      <c r="AO121" s="777"/>
    </row>
    <row r="122" spans="1:41" s="166" customFormat="1" ht="14.1" customHeight="1">
      <c r="A122" s="370"/>
      <c r="B122" s="260" t="s">
        <v>377</v>
      </c>
      <c r="C122" s="260"/>
      <c r="D122" s="260" t="s">
        <v>361</v>
      </c>
      <c r="E122" s="260"/>
      <c r="F122" s="260" t="s">
        <v>354</v>
      </c>
      <c r="G122" s="260"/>
      <c r="H122" s="260" t="s">
        <v>354</v>
      </c>
      <c r="I122" s="260"/>
      <c r="J122" s="260" t="s">
        <v>306</v>
      </c>
      <c r="K122" s="260"/>
      <c r="L122" s="260" t="s">
        <v>361</v>
      </c>
      <c r="M122" s="260"/>
      <c r="N122" s="260" t="s">
        <v>306</v>
      </c>
      <c r="O122" s="260"/>
      <c r="P122" s="260" t="s">
        <v>361</v>
      </c>
      <c r="Q122" s="260"/>
      <c r="R122" s="260" t="s">
        <v>354</v>
      </c>
      <c r="S122" s="260"/>
      <c r="T122" s="260" t="s">
        <v>361</v>
      </c>
      <c r="U122" s="260"/>
      <c r="V122" s="260" t="s">
        <v>354</v>
      </c>
      <c r="W122" s="260"/>
      <c r="X122" s="260" t="s">
        <v>354</v>
      </c>
      <c r="Y122" s="260"/>
      <c r="Z122" s="260" t="s">
        <v>361</v>
      </c>
      <c r="AA122" s="260"/>
      <c r="AB122" s="260" t="s">
        <v>334</v>
      </c>
      <c r="AC122" s="260"/>
      <c r="AD122" s="260" t="s">
        <v>604</v>
      </c>
      <c r="AE122" s="260"/>
      <c r="AF122" s="371"/>
      <c r="AG122" s="746"/>
      <c r="AH122" s="750"/>
      <c r="AI122" s="750"/>
      <c r="AJ122" s="750"/>
      <c r="AK122" s="750"/>
      <c r="AL122" s="750"/>
      <c r="AM122" s="750"/>
      <c r="AN122" s="750"/>
      <c r="AO122" s="777"/>
    </row>
    <row r="123" spans="1:41" s="166" customFormat="1" ht="14.1" customHeight="1" thickBot="1">
      <c r="A123" s="370"/>
      <c r="B123" s="205"/>
      <c r="C123" s="260"/>
      <c r="D123" s="205"/>
      <c r="E123" s="260"/>
      <c r="F123" s="205"/>
      <c r="G123" s="260"/>
      <c r="H123" s="205"/>
      <c r="I123" s="260"/>
      <c r="J123" s="205"/>
      <c r="K123" s="260"/>
      <c r="L123" s="205"/>
      <c r="M123" s="260"/>
      <c r="N123" s="205"/>
      <c r="O123" s="260"/>
      <c r="P123" s="205"/>
      <c r="Q123" s="260"/>
      <c r="R123" s="205"/>
      <c r="S123" s="260"/>
      <c r="T123" s="205"/>
      <c r="U123" s="261"/>
      <c r="V123" s="205"/>
      <c r="W123" s="205"/>
      <c r="X123" s="205"/>
      <c r="Y123" s="260"/>
      <c r="Z123" s="205"/>
      <c r="AA123" s="260"/>
      <c r="AB123" s="205"/>
      <c r="AC123" s="260"/>
      <c r="AD123" s="205"/>
      <c r="AE123" s="260"/>
      <c r="AF123" s="371"/>
      <c r="AG123" s="784"/>
      <c r="AH123" s="775"/>
      <c r="AI123" s="775"/>
      <c r="AJ123" s="775"/>
      <c r="AK123" s="775"/>
      <c r="AL123" s="775"/>
      <c r="AM123" s="775"/>
      <c r="AN123" s="775"/>
      <c r="AO123" s="778"/>
    </row>
    <row r="124" spans="1:41" s="166" customFormat="1" ht="13.5" customHeight="1">
      <c r="A124" s="370"/>
      <c r="B124" s="205"/>
      <c r="C124" s="205"/>
      <c r="D124" s="205"/>
      <c r="E124" s="205"/>
      <c r="F124" s="205"/>
      <c r="G124" s="205"/>
      <c r="H124" s="205"/>
      <c r="I124" s="205"/>
      <c r="J124" s="205"/>
      <c r="K124" s="205"/>
      <c r="L124" s="205"/>
      <c r="M124" s="205"/>
      <c r="N124" s="205"/>
      <c r="O124" s="205"/>
      <c r="P124" s="205"/>
      <c r="Q124" s="205"/>
      <c r="R124" s="205"/>
      <c r="S124" s="205"/>
      <c r="T124" s="205"/>
      <c r="U124" s="205"/>
      <c r="V124" s="205"/>
      <c r="W124" s="205"/>
      <c r="X124" s="205"/>
      <c r="Y124" s="205"/>
      <c r="Z124" s="205"/>
      <c r="AA124" s="205"/>
      <c r="AB124" s="205"/>
      <c r="AC124" s="205"/>
      <c r="AD124" s="205"/>
      <c r="AE124" s="205"/>
      <c r="AF124" s="371"/>
      <c r="AG124" s="746"/>
      <c r="AH124" s="750"/>
      <c r="AI124" s="750"/>
      <c r="AJ124" s="750"/>
      <c r="AK124" s="750"/>
      <c r="AL124" s="750"/>
      <c r="AM124" s="750"/>
      <c r="AN124" s="750"/>
      <c r="AO124" s="777"/>
    </row>
    <row r="125" spans="1:41" s="166" customFormat="1" ht="13.5" customHeight="1">
      <c r="A125" s="370"/>
      <c r="B125" s="205">
        <v>136</v>
      </c>
      <c r="C125" s="205"/>
      <c r="D125" s="205">
        <v>137</v>
      </c>
      <c r="E125" s="205"/>
      <c r="F125" s="205">
        <v>138</v>
      </c>
      <c r="G125" s="205"/>
      <c r="H125" s="205">
        <v>139</v>
      </c>
      <c r="I125" s="205"/>
      <c r="J125" s="205">
        <v>140</v>
      </c>
      <c r="K125" s="205"/>
      <c r="L125" s="205">
        <v>141</v>
      </c>
      <c r="M125" s="205"/>
      <c r="N125" s="205">
        <v>142</v>
      </c>
      <c r="O125" s="205"/>
      <c r="P125" s="205">
        <v>143</v>
      </c>
      <c r="Q125" s="205"/>
      <c r="R125" s="205">
        <v>144</v>
      </c>
      <c r="S125" s="205"/>
      <c r="T125" s="205">
        <v>145</v>
      </c>
      <c r="U125" s="205"/>
      <c r="V125" s="205">
        <v>146</v>
      </c>
      <c r="W125" s="205"/>
      <c r="X125" s="205">
        <v>147</v>
      </c>
      <c r="Y125" s="205"/>
      <c r="Z125" s="205">
        <v>148</v>
      </c>
      <c r="AA125" s="205"/>
      <c r="AB125" s="205">
        <v>149</v>
      </c>
      <c r="AC125" s="205"/>
      <c r="AD125" s="205">
        <v>150</v>
      </c>
      <c r="AE125" s="205"/>
      <c r="AF125" s="371"/>
      <c r="AG125" s="746"/>
      <c r="AH125" s="750"/>
      <c r="AI125" s="750"/>
      <c r="AJ125" s="750"/>
      <c r="AK125" s="750"/>
      <c r="AL125" s="750"/>
      <c r="AM125" s="750"/>
      <c r="AN125" s="750"/>
      <c r="AO125" s="777"/>
    </row>
    <row r="126" spans="1:41" s="166" customFormat="1" ht="13.5" customHeight="1">
      <c r="A126" s="370"/>
      <c r="B126" s="260" t="s">
        <v>605</v>
      </c>
      <c r="C126" s="260"/>
      <c r="D126" s="260" t="s">
        <v>166</v>
      </c>
      <c r="E126" s="260"/>
      <c r="F126" s="260" t="s">
        <v>606</v>
      </c>
      <c r="G126" s="260"/>
      <c r="H126" s="260" t="s">
        <v>607</v>
      </c>
      <c r="I126" s="260"/>
      <c r="J126" s="260" t="s">
        <v>608</v>
      </c>
      <c r="K126" s="260"/>
      <c r="L126" s="260" t="s">
        <v>609</v>
      </c>
      <c r="M126" s="260"/>
      <c r="N126" s="260" t="s">
        <v>610</v>
      </c>
      <c r="O126" s="260"/>
      <c r="P126" s="260" t="s">
        <v>611</v>
      </c>
      <c r="Q126" s="260"/>
      <c r="R126" s="260" t="s">
        <v>612</v>
      </c>
      <c r="S126" s="260"/>
      <c r="T126" s="260" t="s">
        <v>613</v>
      </c>
      <c r="U126" s="260"/>
      <c r="V126" s="260" t="s">
        <v>614</v>
      </c>
      <c r="W126" s="260"/>
      <c r="X126" s="260" t="s">
        <v>615</v>
      </c>
      <c r="Y126" s="205"/>
      <c r="Z126" s="260" t="s">
        <v>183</v>
      </c>
      <c r="AA126" s="260"/>
      <c r="AB126" s="260" t="s">
        <v>142</v>
      </c>
      <c r="AC126" s="260"/>
      <c r="AD126" s="260" t="s">
        <v>453</v>
      </c>
      <c r="AE126" s="260"/>
      <c r="AF126" s="371"/>
      <c r="AG126" s="746"/>
      <c r="AH126" s="750"/>
      <c r="AI126" s="750"/>
      <c r="AJ126" s="750"/>
      <c r="AK126" s="750"/>
      <c r="AL126" s="750"/>
      <c r="AM126" s="750"/>
      <c r="AN126" s="750"/>
      <c r="AO126" s="777"/>
    </row>
    <row r="127" spans="1:41" s="166" customFormat="1" ht="13.5" customHeight="1">
      <c r="A127" s="370"/>
      <c r="B127" s="205"/>
      <c r="C127" s="205"/>
      <c r="D127" s="205"/>
      <c r="E127" s="205"/>
      <c r="F127" s="205"/>
      <c r="G127" s="205"/>
      <c r="H127" s="205"/>
      <c r="I127" s="205"/>
      <c r="J127" s="205"/>
      <c r="K127" s="205"/>
      <c r="L127" s="205"/>
      <c r="M127" s="205"/>
      <c r="N127" s="205"/>
      <c r="O127" s="205"/>
      <c r="P127" s="205"/>
      <c r="Q127" s="205"/>
      <c r="R127" s="205"/>
      <c r="S127" s="205"/>
      <c r="T127" s="205"/>
      <c r="U127" s="205"/>
      <c r="V127" s="205"/>
      <c r="W127" s="205"/>
      <c r="X127" s="205"/>
      <c r="Y127" s="205"/>
      <c r="Z127" s="205"/>
      <c r="AA127" s="205"/>
      <c r="AB127" s="205"/>
      <c r="AC127" s="205"/>
      <c r="AD127" s="205"/>
      <c r="AE127" s="205"/>
      <c r="AF127" s="371"/>
      <c r="AG127" s="746"/>
      <c r="AH127" s="750"/>
      <c r="AI127" s="750"/>
      <c r="AJ127" s="750"/>
      <c r="AK127" s="750"/>
      <c r="AL127" s="750"/>
      <c r="AM127" s="750"/>
      <c r="AN127" s="750"/>
      <c r="AO127" s="777"/>
    </row>
    <row r="128" spans="1:41" s="166" customFormat="1" ht="13.5" customHeight="1">
      <c r="A128" s="370"/>
      <c r="B128" s="260"/>
      <c r="C128" s="260"/>
      <c r="D128" s="260"/>
      <c r="E128" s="205"/>
      <c r="F128" s="260"/>
      <c r="G128" s="260"/>
      <c r="H128" s="260"/>
      <c r="I128" s="205"/>
      <c r="J128" s="260"/>
      <c r="K128" s="260"/>
      <c r="L128" s="260"/>
      <c r="M128" s="260"/>
      <c r="N128" s="260"/>
      <c r="O128" s="260"/>
      <c r="P128" s="260"/>
      <c r="Q128" s="260"/>
      <c r="R128" s="260"/>
      <c r="S128" s="260"/>
      <c r="T128" s="260"/>
      <c r="U128" s="260"/>
      <c r="V128" s="260"/>
      <c r="W128" s="260"/>
      <c r="X128" s="260"/>
      <c r="Y128" s="205"/>
      <c r="Z128" s="260"/>
      <c r="AA128" s="260"/>
      <c r="AB128" s="260"/>
      <c r="AC128" s="205"/>
      <c r="AD128" s="260"/>
      <c r="AE128" s="260"/>
      <c r="AF128" s="371"/>
      <c r="AG128" s="746"/>
      <c r="AH128" s="750"/>
      <c r="AI128" s="750"/>
      <c r="AJ128" s="750"/>
      <c r="AK128" s="750"/>
      <c r="AL128" s="750"/>
      <c r="AM128" s="750"/>
      <c r="AN128" s="750"/>
      <c r="AO128" s="777"/>
    </row>
    <row r="129" spans="1:75" s="166" customFormat="1" ht="13.5" customHeight="1" thickBot="1">
      <c r="A129" s="370"/>
      <c r="B129" s="260"/>
      <c r="C129" s="260"/>
      <c r="D129" s="260"/>
      <c r="E129" s="205"/>
      <c r="F129" s="260"/>
      <c r="G129" s="260"/>
      <c r="H129" s="260"/>
      <c r="I129" s="205"/>
      <c r="J129" s="260"/>
      <c r="K129" s="260"/>
      <c r="L129" s="260"/>
      <c r="M129" s="260"/>
      <c r="N129" s="260"/>
      <c r="O129" s="260"/>
      <c r="P129" s="260"/>
      <c r="Q129" s="260"/>
      <c r="R129" s="260"/>
      <c r="S129" s="260"/>
      <c r="T129" s="260"/>
      <c r="U129" s="260"/>
      <c r="V129" s="260"/>
      <c r="W129" s="260"/>
      <c r="X129" s="260"/>
      <c r="Y129" s="205"/>
      <c r="Z129" s="260"/>
      <c r="AA129" s="260"/>
      <c r="AB129" s="260"/>
      <c r="AC129" s="205"/>
      <c r="AD129" s="260"/>
      <c r="AE129" s="260"/>
      <c r="AF129" s="371"/>
      <c r="AG129" s="746"/>
      <c r="AH129" s="750"/>
      <c r="AI129" s="750"/>
      <c r="AJ129" s="750"/>
      <c r="AK129" s="750"/>
      <c r="AL129" s="750"/>
      <c r="AM129" s="750"/>
      <c r="AN129" s="750"/>
      <c r="AO129" s="777"/>
    </row>
    <row r="130" spans="1:75" s="166" customFormat="1" ht="13.5" customHeight="1">
      <c r="A130" s="370"/>
      <c r="B130" s="269"/>
      <c r="C130" s="270"/>
      <c r="D130" s="269"/>
      <c r="E130" s="270"/>
      <c r="F130" s="269"/>
      <c r="G130" s="270"/>
      <c r="H130" s="269"/>
      <c r="I130" s="270"/>
      <c r="J130" s="269"/>
      <c r="K130" s="270"/>
      <c r="L130" s="269"/>
      <c r="M130" s="270"/>
      <c r="N130" s="269"/>
      <c r="O130" s="270"/>
      <c r="P130" s="269"/>
      <c r="Q130" s="270"/>
      <c r="R130" s="269"/>
      <c r="S130" s="270"/>
      <c r="T130" s="269"/>
      <c r="U130" s="270"/>
      <c r="V130" s="269"/>
      <c r="W130" s="270"/>
      <c r="X130" s="269"/>
      <c r="Y130" s="270"/>
      <c r="Z130" s="269"/>
      <c r="AA130" s="270"/>
      <c r="AB130" s="269"/>
      <c r="AC130" s="270"/>
      <c r="AD130" s="186"/>
      <c r="AE130" s="270"/>
      <c r="AF130" s="371"/>
      <c r="AG130" s="746"/>
      <c r="AH130" s="750"/>
      <c r="AI130" s="750"/>
      <c r="AJ130" s="750"/>
      <c r="AK130" s="750"/>
      <c r="AL130" s="750"/>
      <c r="AM130" s="750"/>
      <c r="AN130" s="750"/>
      <c r="AO130" s="777"/>
    </row>
    <row r="131" spans="1:75" s="166" customFormat="1" ht="13.5" customHeight="1">
      <c r="A131" s="370"/>
      <c r="B131" s="273"/>
      <c r="C131" s="272">
        <v>428.053</v>
      </c>
      <c r="D131" s="273"/>
      <c r="E131" s="272">
        <v>155.72499999999999</v>
      </c>
      <c r="F131" s="273"/>
      <c r="G131" s="272">
        <v>387</v>
      </c>
      <c r="H131" s="273"/>
      <c r="I131" s="272">
        <v>344</v>
      </c>
      <c r="J131" s="273"/>
      <c r="K131" s="272">
        <v>384</v>
      </c>
      <c r="L131" s="273"/>
      <c r="M131" s="272">
        <v>391</v>
      </c>
      <c r="N131" s="273"/>
      <c r="O131" s="272">
        <v>426</v>
      </c>
      <c r="P131" s="273"/>
      <c r="Q131" s="272">
        <v>328.995</v>
      </c>
      <c r="R131" s="273"/>
      <c r="S131" s="272">
        <v>428.03899999999999</v>
      </c>
      <c r="T131" s="273"/>
      <c r="U131" s="272">
        <v>314</v>
      </c>
      <c r="V131" s="273"/>
      <c r="W131" s="272">
        <v>365.78</v>
      </c>
      <c r="X131" s="271"/>
      <c r="Y131" s="272">
        <v>407</v>
      </c>
      <c r="Z131" s="273" t="s">
        <v>554</v>
      </c>
      <c r="AA131" s="272">
        <v>276</v>
      </c>
      <c r="AB131" s="273" t="s">
        <v>554</v>
      </c>
      <c r="AC131" s="272">
        <v>410</v>
      </c>
      <c r="AD131" s="189"/>
      <c r="AE131" s="272">
        <v>418</v>
      </c>
      <c r="AF131" s="371"/>
      <c r="AG131" s="746"/>
      <c r="AH131" s="750"/>
      <c r="AI131" s="750"/>
      <c r="AJ131" s="750"/>
      <c r="AK131" s="750"/>
      <c r="AL131" s="750"/>
      <c r="AM131" s="750"/>
      <c r="AN131" s="750"/>
      <c r="AO131" s="777"/>
      <c r="BV131" s="606">
        <v>1</v>
      </c>
      <c r="BW131" s="606">
        <v>0</v>
      </c>
    </row>
    <row r="132" spans="1:75" s="166" customFormat="1" ht="13.5" customHeight="1" thickBot="1">
      <c r="A132" s="370"/>
      <c r="B132" s="274"/>
      <c r="C132" s="205"/>
      <c r="D132" s="274"/>
      <c r="E132" s="205"/>
      <c r="F132" s="274"/>
      <c r="G132" s="205"/>
      <c r="H132" s="274"/>
      <c r="I132" s="205"/>
      <c r="J132" s="274"/>
      <c r="K132" s="205"/>
      <c r="L132" s="274"/>
      <c r="M132" s="205"/>
      <c r="N132" s="274"/>
      <c r="O132" s="205"/>
      <c r="P132" s="274"/>
      <c r="Q132" s="205"/>
      <c r="R132" s="274"/>
      <c r="S132" s="205"/>
      <c r="T132" s="274"/>
      <c r="U132" s="205"/>
      <c r="V132" s="274"/>
      <c r="W132" s="205"/>
      <c r="X132" s="274"/>
      <c r="Y132" s="205"/>
      <c r="Z132" s="274"/>
      <c r="AA132" s="205"/>
      <c r="AB132" s="274"/>
      <c r="AC132" s="205"/>
      <c r="AD132" s="191"/>
      <c r="AE132" s="205"/>
      <c r="AF132" s="371"/>
      <c r="AG132" s="746"/>
      <c r="AH132" s="750"/>
      <c r="AI132" s="750"/>
      <c r="AJ132" s="750"/>
      <c r="AK132" s="750"/>
      <c r="AL132" s="750"/>
      <c r="AM132" s="750"/>
      <c r="AN132" s="750"/>
      <c r="AO132" s="777"/>
    </row>
    <row r="133" spans="1:75" s="166" customFormat="1" ht="14.1" customHeight="1">
      <c r="A133" s="370"/>
      <c r="B133" s="260" t="s">
        <v>354</v>
      </c>
      <c r="C133" s="260"/>
      <c r="D133" s="260" t="s">
        <v>309</v>
      </c>
      <c r="E133" s="260"/>
      <c r="F133" s="260" t="s">
        <v>330</v>
      </c>
      <c r="G133" s="260"/>
      <c r="H133" s="260" t="s">
        <v>400</v>
      </c>
      <c r="I133" s="260"/>
      <c r="J133" s="260" t="s">
        <v>334</v>
      </c>
      <c r="K133" s="260"/>
      <c r="L133" s="260" t="s">
        <v>354</v>
      </c>
      <c r="M133" s="260"/>
      <c r="N133" s="260" t="s">
        <v>354</v>
      </c>
      <c r="O133" s="260"/>
      <c r="P133" s="260" t="s">
        <v>395</v>
      </c>
      <c r="Q133" s="260"/>
      <c r="R133" s="260" t="s">
        <v>565</v>
      </c>
      <c r="S133" s="260"/>
      <c r="T133" s="260" t="s">
        <v>306</v>
      </c>
      <c r="U133" s="260"/>
      <c r="V133" s="260" t="s">
        <v>354</v>
      </c>
      <c r="W133" s="260"/>
      <c r="X133" s="260" t="s">
        <v>400</v>
      </c>
      <c r="Y133" s="260"/>
      <c r="Z133" s="260" t="s">
        <v>309</v>
      </c>
      <c r="AA133" s="260"/>
      <c r="AB133" s="260" t="s">
        <v>564</v>
      </c>
      <c r="AC133" s="260"/>
      <c r="AD133" s="260" t="s">
        <v>361</v>
      </c>
      <c r="AE133" s="260"/>
      <c r="AF133" s="371"/>
      <c r="AG133" s="746"/>
      <c r="AH133" s="750"/>
      <c r="AI133" s="750"/>
      <c r="AJ133" s="750"/>
      <c r="AK133" s="750"/>
      <c r="AL133" s="750"/>
      <c r="AM133" s="750"/>
      <c r="AN133" s="750"/>
      <c r="AO133" s="777"/>
    </row>
    <row r="134" spans="1:75" s="166" customFormat="1" ht="14.1" customHeight="1">
      <c r="A134" s="370"/>
      <c r="B134" s="205"/>
      <c r="C134" s="205"/>
      <c r="D134" s="205"/>
      <c r="E134" s="205"/>
      <c r="F134" s="205"/>
      <c r="G134" s="205"/>
      <c r="H134" s="205"/>
      <c r="I134" s="205"/>
      <c r="J134" s="205"/>
      <c r="K134" s="205"/>
      <c r="L134" s="205"/>
      <c r="M134" s="260"/>
      <c r="N134" s="205"/>
      <c r="O134" s="260"/>
      <c r="P134" s="205"/>
      <c r="Q134" s="260"/>
      <c r="R134" s="205"/>
      <c r="S134" s="205"/>
      <c r="T134" s="205"/>
      <c r="U134" s="205"/>
      <c r="V134" s="205"/>
      <c r="W134" s="205"/>
      <c r="X134" s="205"/>
      <c r="Y134" s="205"/>
      <c r="Z134" s="205"/>
      <c r="AA134" s="205"/>
      <c r="AB134" s="205"/>
      <c r="AC134" s="205"/>
      <c r="AD134" s="205"/>
      <c r="AE134" s="205"/>
      <c r="AF134" s="371"/>
      <c r="AG134" s="747"/>
      <c r="AH134" s="751"/>
      <c r="AI134" s="751"/>
      <c r="AJ134" s="751"/>
      <c r="AK134" s="751"/>
      <c r="AL134" s="751"/>
      <c r="AM134" s="751"/>
      <c r="AN134" s="751"/>
      <c r="AO134" s="780"/>
    </row>
    <row r="135" spans="1:75" s="166" customFormat="1" ht="13.5" customHeight="1">
      <c r="A135" s="382"/>
      <c r="B135" s="383"/>
      <c r="C135" s="383"/>
      <c r="D135" s="383"/>
      <c r="E135" s="383"/>
      <c r="F135" s="383"/>
      <c r="G135" s="383"/>
      <c r="H135" s="383"/>
      <c r="I135" s="383"/>
      <c r="J135" s="383"/>
      <c r="K135" s="383"/>
      <c r="L135" s="383"/>
      <c r="M135" s="383"/>
      <c r="N135" s="383"/>
      <c r="O135" s="383"/>
      <c r="P135" s="383"/>
      <c r="Q135" s="383"/>
      <c r="R135" s="383"/>
      <c r="S135" s="383"/>
      <c r="T135" s="383"/>
      <c r="U135" s="383"/>
      <c r="V135" s="383"/>
      <c r="W135" s="383"/>
      <c r="X135" s="383"/>
      <c r="Y135" s="383"/>
      <c r="Z135" s="383"/>
      <c r="AA135" s="383"/>
      <c r="AB135" s="383"/>
      <c r="AC135" s="383"/>
      <c r="AD135" s="383"/>
      <c r="AE135" s="383"/>
      <c r="AF135" s="384"/>
      <c r="AG135" s="202">
        <v>10</v>
      </c>
      <c r="AH135" s="156">
        <v>7</v>
      </c>
      <c r="AI135" s="156">
        <f>AG135-AH135</f>
        <v>3</v>
      </c>
      <c r="AJ135" s="156">
        <f>COUNTA($B$126:$I$126)</f>
        <v>4</v>
      </c>
      <c r="AK135" s="156">
        <v>6</v>
      </c>
      <c r="AL135" s="156">
        <v>5</v>
      </c>
      <c r="AM135" s="156"/>
      <c r="AN135" s="156"/>
      <c r="AO135" s="193"/>
    </row>
    <row r="136" spans="1:75" s="166" customFormat="1" ht="13.5" customHeight="1">
      <c r="A136" s="385"/>
      <c r="B136" s="386"/>
      <c r="C136" s="386"/>
      <c r="D136" s="386"/>
      <c r="E136" s="386"/>
      <c r="F136" s="386"/>
      <c r="G136" s="386"/>
      <c r="H136" s="386"/>
      <c r="I136" s="386"/>
      <c r="J136" s="386"/>
      <c r="K136" s="386"/>
      <c r="L136" s="386"/>
      <c r="M136" s="386"/>
      <c r="N136" s="386"/>
      <c r="O136" s="386"/>
      <c r="P136" s="386"/>
      <c r="Q136" s="386"/>
      <c r="R136" s="386"/>
      <c r="S136" s="386"/>
      <c r="T136" s="386"/>
      <c r="U136" s="386"/>
      <c r="V136" s="386"/>
      <c r="W136" s="386"/>
      <c r="X136" s="386"/>
      <c r="Y136" s="386"/>
      <c r="Z136" s="386"/>
      <c r="AA136" s="386"/>
      <c r="AB136" s="386"/>
      <c r="AC136" s="386"/>
      <c r="AD136" s="386"/>
      <c r="AE136" s="386"/>
      <c r="AF136" s="391"/>
      <c r="AG136" s="202">
        <v>10</v>
      </c>
      <c r="AH136" s="156">
        <v>3</v>
      </c>
      <c r="AI136" s="156">
        <f>AG136-AH136</f>
        <v>7</v>
      </c>
      <c r="AJ136" s="156">
        <f>COUNTA($F$126:$V$126)</f>
        <v>9</v>
      </c>
      <c r="AK136" s="156"/>
      <c r="AL136" s="156">
        <v>5</v>
      </c>
      <c r="AM136" s="156"/>
      <c r="AN136" s="156"/>
      <c r="AO136" s="193"/>
    </row>
    <row r="137" spans="1:75" s="166" customFormat="1" ht="13.5" customHeight="1">
      <c r="A137" s="370"/>
      <c r="B137" s="205"/>
      <c r="C137" s="205"/>
      <c r="D137" s="205"/>
      <c r="E137" s="205"/>
      <c r="F137" s="205"/>
      <c r="G137" s="205"/>
      <c r="H137" s="205"/>
      <c r="I137" s="205"/>
      <c r="J137" s="205"/>
      <c r="K137" s="205"/>
      <c r="L137" s="205"/>
      <c r="M137" s="205"/>
      <c r="N137" s="205"/>
      <c r="O137" s="205"/>
      <c r="P137" s="205"/>
      <c r="Q137" s="205"/>
      <c r="R137" s="205"/>
      <c r="S137" s="205"/>
      <c r="T137" s="205"/>
      <c r="U137" s="205"/>
      <c r="V137" s="205"/>
      <c r="W137" s="205"/>
      <c r="X137" s="205"/>
      <c r="Y137" s="205"/>
      <c r="Z137" s="205"/>
      <c r="AA137" s="205"/>
      <c r="AB137" s="205"/>
      <c r="AC137" s="205"/>
      <c r="AD137" s="205"/>
      <c r="AE137" s="205"/>
      <c r="AF137" s="392"/>
      <c r="AG137" s="335"/>
      <c r="AH137" s="336"/>
      <c r="AI137" s="336"/>
      <c r="AJ137" s="336"/>
      <c r="AK137" s="336"/>
      <c r="AL137" s="336"/>
      <c r="AM137" s="336"/>
      <c r="AN137" s="336"/>
      <c r="AO137" s="337"/>
    </row>
    <row r="138" spans="1:75" s="166" customFormat="1" ht="13.5" customHeight="1">
      <c r="A138" s="370"/>
      <c r="B138" s="205">
        <v>151</v>
      </c>
      <c r="C138" s="205"/>
      <c r="D138" s="205">
        <v>152</v>
      </c>
      <c r="E138" s="205"/>
      <c r="F138" s="205">
        <v>153</v>
      </c>
      <c r="G138" s="205"/>
      <c r="H138" s="205">
        <v>154</v>
      </c>
      <c r="I138" s="205"/>
      <c r="J138" s="205">
        <v>155</v>
      </c>
      <c r="K138" s="205"/>
      <c r="L138" s="205">
        <v>156</v>
      </c>
      <c r="M138" s="205"/>
      <c r="N138" s="205">
        <v>157</v>
      </c>
      <c r="O138" s="205"/>
      <c r="P138" s="205">
        <v>158</v>
      </c>
      <c r="Q138" s="205"/>
      <c r="R138" s="205">
        <v>133</v>
      </c>
      <c r="S138" s="205"/>
      <c r="T138" s="205">
        <v>134</v>
      </c>
      <c r="U138" s="205"/>
      <c r="V138" s="205">
        <v>135</v>
      </c>
      <c r="W138" s="205"/>
      <c r="X138" s="205">
        <v>136</v>
      </c>
      <c r="Y138" s="205"/>
      <c r="Z138" s="205">
        <v>137</v>
      </c>
      <c r="AA138" s="205"/>
      <c r="AB138" s="205"/>
      <c r="AC138" s="205"/>
      <c r="AD138" s="205"/>
      <c r="AE138" s="205"/>
      <c r="AF138" s="392"/>
      <c r="AG138" s="335"/>
      <c r="AH138" s="336"/>
      <c r="AI138" s="336"/>
      <c r="AJ138" s="336"/>
      <c r="AK138" s="336"/>
      <c r="AL138" s="336"/>
      <c r="AM138" s="336"/>
      <c r="AN138" s="337"/>
    </row>
    <row r="139" spans="1:75" s="166" customFormat="1" ht="13.5" customHeight="1">
      <c r="A139" s="370"/>
      <c r="B139" s="260" t="s">
        <v>442</v>
      </c>
      <c r="C139" s="260"/>
      <c r="D139" s="260" t="s">
        <v>445</v>
      </c>
      <c r="E139" s="260"/>
      <c r="F139" s="260" t="s">
        <v>447</v>
      </c>
      <c r="G139" s="260"/>
      <c r="H139" s="260" t="s">
        <v>616</v>
      </c>
      <c r="I139" s="260"/>
      <c r="J139" s="260" t="s">
        <v>617</v>
      </c>
      <c r="K139" s="260"/>
      <c r="L139" s="260" t="s">
        <v>618</v>
      </c>
      <c r="M139" s="260"/>
      <c r="N139" s="260" t="s">
        <v>619</v>
      </c>
      <c r="O139" s="260"/>
      <c r="P139" s="260" t="s">
        <v>620</v>
      </c>
      <c r="Q139" s="260"/>
      <c r="R139" s="260" t="s">
        <v>621</v>
      </c>
      <c r="S139" s="260"/>
      <c r="T139" s="260" t="s">
        <v>622</v>
      </c>
      <c r="U139" s="260"/>
      <c r="V139" s="260" t="s">
        <v>623</v>
      </c>
      <c r="W139" s="260"/>
      <c r="X139" s="260" t="s">
        <v>624</v>
      </c>
      <c r="Y139" s="260"/>
      <c r="Z139" s="260" t="s">
        <v>625</v>
      </c>
      <c r="AA139" s="260"/>
      <c r="AB139" s="260"/>
      <c r="AC139" s="380"/>
      <c r="AD139" s="205"/>
      <c r="AE139" s="205"/>
      <c r="AF139" s="392"/>
      <c r="AG139" s="335"/>
      <c r="AH139" s="336"/>
      <c r="AI139" s="336"/>
      <c r="AJ139" s="336"/>
      <c r="AK139" s="336"/>
      <c r="AL139" s="336"/>
      <c r="AM139" s="336"/>
      <c r="AN139" s="337"/>
    </row>
    <row r="140" spans="1:75" s="166" customFormat="1" ht="13.5" customHeight="1">
      <c r="A140" s="370"/>
      <c r="B140" s="205"/>
      <c r="C140" s="205"/>
      <c r="D140" s="205"/>
      <c r="E140" s="205"/>
      <c r="F140" s="205"/>
      <c r="G140" s="205"/>
      <c r="H140" s="205"/>
      <c r="I140" s="205"/>
      <c r="J140" s="205"/>
      <c r="K140" s="205"/>
      <c r="L140" s="205"/>
      <c r="M140" s="205"/>
      <c r="N140" s="205"/>
      <c r="O140" s="205"/>
      <c r="P140" s="205"/>
      <c r="Q140" s="205"/>
      <c r="R140" s="205"/>
      <c r="S140" s="205"/>
      <c r="T140" s="205"/>
      <c r="U140" s="205"/>
      <c r="V140" s="205"/>
      <c r="W140" s="205"/>
      <c r="X140" s="205"/>
      <c r="Y140" s="205"/>
      <c r="Z140" s="205"/>
      <c r="AA140" s="205"/>
      <c r="AB140" s="205"/>
      <c r="AC140" s="380"/>
      <c r="AD140" s="205"/>
      <c r="AE140" s="205"/>
      <c r="AF140" s="392"/>
      <c r="AG140" s="335"/>
      <c r="AH140" s="336"/>
      <c r="AI140" s="336"/>
      <c r="AJ140" s="336"/>
      <c r="AK140" s="336"/>
      <c r="AL140" s="336"/>
      <c r="AM140" s="336"/>
      <c r="AN140" s="337"/>
    </row>
    <row r="141" spans="1:75" s="166" customFormat="1" ht="13.5" customHeight="1">
      <c r="A141" s="370"/>
      <c r="B141" s="260"/>
      <c r="C141" s="260"/>
      <c r="D141" s="260"/>
      <c r="E141" s="260"/>
      <c r="F141" s="260"/>
      <c r="G141" s="260"/>
      <c r="H141" s="260"/>
      <c r="I141" s="260"/>
      <c r="J141" s="260"/>
      <c r="K141" s="260"/>
      <c r="L141" s="260"/>
      <c r="M141" s="260"/>
      <c r="N141" s="260"/>
      <c r="O141" s="260"/>
      <c r="P141" s="260"/>
      <c r="Q141" s="260"/>
      <c r="R141" s="260"/>
      <c r="S141" s="205"/>
      <c r="T141" s="260"/>
      <c r="U141" s="260"/>
      <c r="V141" s="260"/>
      <c r="W141" s="260"/>
      <c r="X141" s="260"/>
      <c r="Y141" s="260"/>
      <c r="Z141" s="260"/>
      <c r="AA141" s="260"/>
      <c r="AB141" s="260"/>
      <c r="AC141" s="380"/>
      <c r="AD141" s="205"/>
      <c r="AE141" s="205"/>
      <c r="AF141" s="392"/>
      <c r="AG141" s="335"/>
      <c r="AH141" s="336"/>
      <c r="AI141" s="336"/>
      <c r="AJ141" s="336"/>
      <c r="AK141" s="336"/>
      <c r="AL141" s="336"/>
      <c r="AM141" s="336"/>
      <c r="AN141" s="337"/>
    </row>
    <row r="142" spans="1:75" s="166" customFormat="1" ht="13.5" customHeight="1" thickBot="1">
      <c r="A142" s="370"/>
      <c r="B142" s="260"/>
      <c r="C142" s="260"/>
      <c r="D142" s="260"/>
      <c r="E142" s="260"/>
      <c r="F142" s="260"/>
      <c r="G142" s="260"/>
      <c r="H142" s="260"/>
      <c r="I142" s="260"/>
      <c r="J142" s="260"/>
      <c r="K142" s="260"/>
      <c r="L142" s="260"/>
      <c r="M142" s="260"/>
      <c r="N142" s="260"/>
      <c r="O142" s="260"/>
      <c r="P142" s="260"/>
      <c r="Q142" s="260"/>
      <c r="R142" s="260"/>
      <c r="S142" s="205"/>
      <c r="T142" s="260"/>
      <c r="U142" s="260"/>
      <c r="V142" s="260"/>
      <c r="W142" s="260"/>
      <c r="X142" s="260"/>
      <c r="Y142" s="260"/>
      <c r="Z142" s="260"/>
      <c r="AA142" s="260"/>
      <c r="AB142" s="260"/>
      <c r="AC142" s="380"/>
      <c r="AD142" s="205"/>
      <c r="AE142" s="205"/>
      <c r="AF142" s="392"/>
      <c r="AG142" s="335"/>
      <c r="AH142" s="336"/>
      <c r="AI142" s="336"/>
      <c r="AJ142" s="336"/>
      <c r="AK142" s="336"/>
      <c r="AL142" s="336"/>
      <c r="AM142" s="336"/>
      <c r="AN142" s="337"/>
    </row>
    <row r="143" spans="1:75" s="166" customFormat="1" ht="13.5" customHeight="1">
      <c r="A143" s="370"/>
      <c r="B143" s="186"/>
      <c r="C143" s="270"/>
      <c r="D143" s="186"/>
      <c r="E143" s="270"/>
      <c r="F143" s="186"/>
      <c r="G143" s="270"/>
      <c r="H143" s="269"/>
      <c r="I143" s="270"/>
      <c r="J143" s="269"/>
      <c r="K143" s="270"/>
      <c r="L143" s="269"/>
      <c r="M143" s="270"/>
      <c r="N143" s="269"/>
      <c r="O143" s="270"/>
      <c r="P143" s="269"/>
      <c r="Q143" s="270"/>
      <c r="R143" s="269"/>
      <c r="S143" s="270"/>
      <c r="T143" s="269"/>
      <c r="U143" s="270"/>
      <c r="V143" s="269"/>
      <c r="W143" s="270"/>
      <c r="X143" s="269"/>
      <c r="Y143" s="270"/>
      <c r="Z143" s="269"/>
      <c r="AA143" s="270"/>
      <c r="AB143" s="270"/>
      <c r="AC143" s="380"/>
      <c r="AD143" s="205"/>
      <c r="AE143" s="205"/>
      <c r="AF143" s="392"/>
      <c r="AG143" s="335"/>
      <c r="AH143" s="336"/>
      <c r="AI143" s="336"/>
      <c r="AJ143" s="336"/>
      <c r="AK143" s="336"/>
      <c r="AL143" s="336"/>
      <c r="AM143" s="336"/>
      <c r="AN143" s="337"/>
      <c r="BV143" s="606">
        <v>3</v>
      </c>
      <c r="BW143" s="606">
        <v>0</v>
      </c>
    </row>
    <row r="144" spans="1:75" s="166" customFormat="1" ht="13.5" customHeight="1">
      <c r="A144" s="370"/>
      <c r="B144" s="189"/>
      <c r="C144" s="272">
        <v>383</v>
      </c>
      <c r="D144" s="189"/>
      <c r="E144" s="272">
        <v>409</v>
      </c>
      <c r="F144" s="189"/>
      <c r="G144" s="272">
        <v>420</v>
      </c>
      <c r="H144" s="273"/>
      <c r="I144" s="272">
        <v>414</v>
      </c>
      <c r="J144" s="273"/>
      <c r="K144" s="272">
        <v>406</v>
      </c>
      <c r="L144" s="273"/>
      <c r="M144" s="272">
        <v>403.13900000000001</v>
      </c>
      <c r="N144" s="273"/>
      <c r="O144" s="272">
        <v>381.59</v>
      </c>
      <c r="P144" s="273"/>
      <c r="Q144" s="393">
        <v>357.99599999999998</v>
      </c>
      <c r="R144" s="273"/>
      <c r="S144" s="272">
        <v>365</v>
      </c>
      <c r="T144" s="273"/>
      <c r="U144" s="272">
        <v>378</v>
      </c>
      <c r="V144" s="273"/>
      <c r="W144" s="393">
        <v>370</v>
      </c>
      <c r="X144" s="271"/>
      <c r="Y144" s="272">
        <v>437.53399999999999</v>
      </c>
      <c r="Z144" s="273"/>
      <c r="AA144" s="272"/>
      <c r="AB144" s="270"/>
      <c r="AC144" s="380"/>
      <c r="AD144" s="205"/>
      <c r="AE144" s="205"/>
      <c r="AF144" s="392"/>
      <c r="AG144" s="335"/>
      <c r="AH144" s="336"/>
      <c r="AI144" s="336"/>
      <c r="AJ144" s="336"/>
      <c r="AK144" s="336"/>
      <c r="AL144" s="336"/>
      <c r="AM144" s="336"/>
      <c r="AN144" s="337"/>
    </row>
    <row r="145" spans="1:40" s="166" customFormat="1" ht="13.5" customHeight="1" thickBot="1">
      <c r="A145" s="370"/>
      <c r="B145" s="191"/>
      <c r="C145" s="205"/>
      <c r="D145" s="191"/>
      <c r="E145" s="205"/>
      <c r="F145" s="191"/>
      <c r="G145" s="205"/>
      <c r="H145" s="274"/>
      <c r="I145" s="205"/>
      <c r="J145" s="274"/>
      <c r="K145" s="205"/>
      <c r="L145" s="274"/>
      <c r="M145" s="205"/>
      <c r="N145" s="274"/>
      <c r="O145" s="205"/>
      <c r="P145" s="274"/>
      <c r="Q145" s="260"/>
      <c r="R145" s="274"/>
      <c r="S145" s="205"/>
      <c r="T145" s="274"/>
      <c r="U145" s="205"/>
      <c r="V145" s="274"/>
      <c r="W145" s="260"/>
      <c r="X145" s="274"/>
      <c r="Y145" s="205"/>
      <c r="Z145" s="274"/>
      <c r="AA145" s="205"/>
      <c r="AB145" s="205"/>
      <c r="AC145" s="380"/>
      <c r="AD145" s="205"/>
      <c r="AF145" s="392"/>
      <c r="AG145" s="335"/>
      <c r="AH145" s="336"/>
      <c r="AI145" s="336"/>
      <c r="AJ145" s="336"/>
      <c r="AK145" s="336"/>
      <c r="AL145" s="336"/>
      <c r="AM145" s="336"/>
      <c r="AN145" s="337"/>
    </row>
    <row r="146" spans="1:40" s="166" customFormat="1" ht="14.1" customHeight="1">
      <c r="A146" s="370"/>
      <c r="B146" s="260" t="s">
        <v>354</v>
      </c>
      <c r="C146" s="260"/>
      <c r="D146" s="260" t="s">
        <v>354</v>
      </c>
      <c r="E146" s="260"/>
      <c r="F146" s="260" t="s">
        <v>361</v>
      </c>
      <c r="G146" s="260"/>
      <c r="H146" s="260" t="s">
        <v>354</v>
      </c>
      <c r="I146" s="260"/>
      <c r="J146" s="260" t="s">
        <v>361</v>
      </c>
      <c r="K146" s="260"/>
      <c r="L146" s="260" t="s">
        <v>306</v>
      </c>
      <c r="M146" s="260"/>
      <c r="N146" s="260" t="s">
        <v>604</v>
      </c>
      <c r="O146" s="260"/>
      <c r="P146" s="260" t="s">
        <v>302</v>
      </c>
      <c r="Q146" s="260"/>
      <c r="R146" s="260" t="s">
        <v>400</v>
      </c>
      <c r="S146" s="260"/>
      <c r="T146" s="260" t="s">
        <v>354</v>
      </c>
      <c r="U146" s="260"/>
      <c r="V146" s="260" t="s">
        <v>354</v>
      </c>
      <c r="W146" s="260"/>
      <c r="X146" s="260" t="s">
        <v>354</v>
      </c>
      <c r="Y146" s="205"/>
      <c r="Z146" s="260" t="s">
        <v>393</v>
      </c>
      <c r="AA146" s="260"/>
      <c r="AB146" s="260"/>
      <c r="AC146" s="380"/>
      <c r="AD146" s="205"/>
      <c r="AE146" s="380"/>
      <c r="AF146" s="335"/>
      <c r="AG146" s="335"/>
      <c r="AH146" s="336"/>
      <c r="AI146" s="336"/>
      <c r="AJ146" s="336"/>
      <c r="AK146" s="336"/>
      <c r="AL146" s="336"/>
      <c r="AM146" s="336"/>
      <c r="AN146" s="337"/>
    </row>
    <row r="147" spans="1:40" s="167" customFormat="1" ht="13.35" customHeight="1">
      <c r="A147" s="370"/>
      <c r="B147" s="205"/>
      <c r="C147" s="205"/>
      <c r="D147" s="205"/>
      <c r="E147" s="205"/>
      <c r="F147" s="205"/>
      <c r="G147" s="205"/>
      <c r="H147" s="205"/>
      <c r="I147" s="205"/>
      <c r="J147" s="205"/>
      <c r="K147" s="205"/>
      <c r="L147" s="205"/>
      <c r="M147" s="205"/>
      <c r="N147" s="205"/>
      <c r="O147" s="205"/>
      <c r="P147" s="205"/>
      <c r="Q147" s="205"/>
      <c r="R147" s="205"/>
      <c r="S147" s="205"/>
      <c r="T147" s="205"/>
      <c r="U147" s="205"/>
      <c r="V147" s="205"/>
      <c r="W147" s="205"/>
      <c r="X147" s="205"/>
      <c r="Y147" s="205"/>
      <c r="Z147" s="205"/>
      <c r="AA147" s="205"/>
      <c r="AB147" s="205"/>
      <c r="AC147" s="205"/>
      <c r="AD147" s="205"/>
      <c r="AE147" s="205"/>
      <c r="AF147" s="371"/>
    </row>
    <row r="148" spans="1:40" s="167" customFormat="1" ht="13.35" customHeight="1">
      <c r="A148" s="370"/>
      <c r="B148" s="205"/>
      <c r="C148" s="205"/>
      <c r="D148" s="205"/>
      <c r="E148" s="205"/>
      <c r="F148" s="205"/>
      <c r="G148" s="205"/>
      <c r="H148" s="205"/>
      <c r="I148" s="205"/>
      <c r="J148" s="205"/>
      <c r="K148" s="205"/>
      <c r="L148" s="205"/>
      <c r="M148" s="205"/>
      <c r="N148" s="205"/>
      <c r="O148" s="205"/>
      <c r="P148" s="205"/>
      <c r="Q148" s="205"/>
      <c r="R148" s="205"/>
      <c r="S148" s="205"/>
      <c r="T148" s="205"/>
      <c r="U148" s="205"/>
      <c r="V148" s="205"/>
      <c r="W148" s="205"/>
      <c r="X148" s="205"/>
      <c r="Y148" s="205"/>
      <c r="Z148" s="205"/>
      <c r="AA148" s="205"/>
      <c r="AB148" s="205"/>
      <c r="AC148" s="205"/>
      <c r="AD148" s="205"/>
      <c r="AE148" s="205"/>
      <c r="AF148" s="371"/>
    </row>
    <row r="149" spans="1:40" s="167" customFormat="1" ht="13.35" customHeight="1">
      <c r="A149" s="370"/>
      <c r="B149" s="205">
        <v>139</v>
      </c>
      <c r="C149" s="205"/>
      <c r="D149" s="205">
        <v>140</v>
      </c>
      <c r="E149" s="205"/>
      <c r="F149" s="205">
        <v>141</v>
      </c>
      <c r="G149" s="205"/>
      <c r="H149" s="205">
        <v>142</v>
      </c>
      <c r="I149" s="205"/>
      <c r="J149" s="205">
        <v>143</v>
      </c>
      <c r="K149" s="205"/>
      <c r="L149" s="205">
        <v>144</v>
      </c>
      <c r="M149" s="205"/>
      <c r="N149" s="205">
        <v>145</v>
      </c>
      <c r="O149" s="205"/>
      <c r="P149" s="205">
        <v>146</v>
      </c>
      <c r="Q149" s="205"/>
      <c r="R149" s="205">
        <v>147</v>
      </c>
      <c r="S149" s="205"/>
      <c r="T149" s="205">
        <v>148</v>
      </c>
      <c r="U149" s="205"/>
      <c r="V149" s="205">
        <v>149</v>
      </c>
      <c r="W149" s="205"/>
      <c r="X149" s="205">
        <v>150</v>
      </c>
      <c r="Y149" s="205"/>
      <c r="Z149" s="205">
        <v>151</v>
      </c>
      <c r="AA149" s="205"/>
      <c r="AB149" s="205">
        <v>152</v>
      </c>
      <c r="AC149" s="205"/>
      <c r="AD149" s="205">
        <v>153</v>
      </c>
      <c r="AE149" s="205"/>
      <c r="AF149" s="371"/>
    </row>
    <row r="150" spans="1:40" s="167" customFormat="1" ht="13.35" customHeight="1">
      <c r="A150" s="370"/>
      <c r="B150" s="314" t="s">
        <v>626</v>
      </c>
      <c r="C150" s="205"/>
      <c r="D150" s="314" t="s">
        <v>627</v>
      </c>
      <c r="E150" s="260"/>
      <c r="F150" s="314" t="s">
        <v>628</v>
      </c>
      <c r="G150" s="260"/>
      <c r="H150" s="314" t="s">
        <v>146</v>
      </c>
      <c r="I150" s="260"/>
      <c r="J150" s="314" t="s">
        <v>629</v>
      </c>
      <c r="K150" s="260"/>
      <c r="L150" s="314" t="s">
        <v>630</v>
      </c>
      <c r="M150" s="260"/>
      <c r="N150" s="314" t="s">
        <v>631</v>
      </c>
      <c r="O150" s="260"/>
      <c r="P150" s="314" t="s">
        <v>632</v>
      </c>
      <c r="Q150" s="260"/>
      <c r="R150" s="314" t="s">
        <v>147</v>
      </c>
      <c r="S150" s="260"/>
      <c r="T150" s="314" t="s">
        <v>633</v>
      </c>
      <c r="U150" s="260"/>
      <c r="V150" s="314" t="s">
        <v>634</v>
      </c>
      <c r="W150" s="260"/>
      <c r="X150" s="314" t="s">
        <v>635</v>
      </c>
      <c r="Y150" s="260"/>
      <c r="Z150" s="314" t="s">
        <v>185</v>
      </c>
      <c r="AA150" s="260"/>
      <c r="AB150" s="314" t="s">
        <v>185</v>
      </c>
      <c r="AC150" s="260"/>
      <c r="AD150" s="314" t="s">
        <v>186</v>
      </c>
      <c r="AE150" s="260"/>
      <c r="AF150" s="371"/>
    </row>
    <row r="151" spans="1:40" s="167" customFormat="1" ht="13.35" customHeight="1">
      <c r="A151" s="370"/>
      <c r="B151" s="205"/>
      <c r="C151" s="205"/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205"/>
      <c r="W151" s="205"/>
      <c r="X151" s="205"/>
      <c r="Y151" s="205"/>
      <c r="Z151" s="205"/>
      <c r="AA151" s="205"/>
      <c r="AB151" s="205"/>
      <c r="AC151" s="205"/>
      <c r="AD151" s="205"/>
      <c r="AE151" s="205"/>
      <c r="AF151" s="371"/>
    </row>
    <row r="152" spans="1:40" s="167" customFormat="1" ht="13.35" customHeight="1">
      <c r="A152" s="370"/>
      <c r="B152" s="260"/>
      <c r="C152" s="205"/>
      <c r="D152" s="260"/>
      <c r="E152" s="260"/>
      <c r="F152" s="260"/>
      <c r="G152" s="205"/>
      <c r="H152" s="260"/>
      <c r="I152" s="260"/>
      <c r="J152" s="260"/>
      <c r="K152" s="260"/>
      <c r="L152" s="260"/>
      <c r="M152" s="260"/>
      <c r="N152" s="260"/>
      <c r="O152" s="260"/>
      <c r="P152" s="260"/>
      <c r="Q152" s="260"/>
      <c r="R152" s="260"/>
      <c r="S152" s="260"/>
      <c r="T152" s="260"/>
      <c r="U152" s="260"/>
      <c r="V152" s="260"/>
      <c r="W152" s="260"/>
      <c r="X152" s="260"/>
      <c r="Y152" s="260"/>
      <c r="Z152" s="260"/>
      <c r="AA152" s="205"/>
      <c r="AB152" s="260"/>
      <c r="AC152" s="260"/>
      <c r="AD152" s="260"/>
      <c r="AE152" s="260"/>
      <c r="AF152" s="371"/>
    </row>
    <row r="153" spans="1:40" s="167" customFormat="1" ht="13.35" customHeight="1" thickBot="1">
      <c r="A153" s="370"/>
      <c r="B153" s="260"/>
      <c r="C153" s="205"/>
      <c r="D153" s="260"/>
      <c r="E153" s="260"/>
      <c r="F153" s="260"/>
      <c r="G153" s="205"/>
      <c r="H153" s="260"/>
      <c r="I153" s="260"/>
      <c r="J153" s="260"/>
      <c r="K153" s="260"/>
      <c r="L153" s="260"/>
      <c r="M153" s="260"/>
      <c r="N153" s="260"/>
      <c r="O153" s="260"/>
      <c r="P153" s="260"/>
      <c r="Q153" s="260"/>
      <c r="R153" s="260"/>
      <c r="S153" s="260"/>
      <c r="T153" s="260"/>
      <c r="U153" s="260"/>
      <c r="V153" s="260"/>
      <c r="W153" s="260"/>
      <c r="X153" s="260"/>
      <c r="Y153" s="260"/>
      <c r="Z153" s="260"/>
      <c r="AA153" s="205"/>
      <c r="AB153" s="260"/>
      <c r="AC153" s="260"/>
      <c r="AD153" s="260"/>
      <c r="AE153" s="260"/>
      <c r="AF153" s="371"/>
    </row>
    <row r="154" spans="1:40" s="167" customFormat="1" ht="13.35" customHeight="1">
      <c r="A154" s="370"/>
      <c r="B154" s="269"/>
      <c r="C154" s="270"/>
      <c r="D154" s="269"/>
      <c r="E154" s="270"/>
      <c r="F154" s="269"/>
      <c r="G154" s="270"/>
      <c r="H154" s="269"/>
      <c r="I154" s="270"/>
      <c r="J154" s="269"/>
      <c r="K154" s="270"/>
      <c r="L154" s="269"/>
      <c r="M154" s="270"/>
      <c r="N154" s="269"/>
      <c r="O154" s="270"/>
      <c r="P154" s="269"/>
      <c r="Q154" s="270"/>
      <c r="R154" s="269"/>
      <c r="S154" s="270"/>
      <c r="T154" s="269"/>
      <c r="U154" s="270"/>
      <c r="V154" s="269"/>
      <c r="W154" s="270"/>
      <c r="X154" s="269"/>
      <c r="Y154" s="270"/>
      <c r="Z154" s="269"/>
      <c r="AA154" s="270"/>
      <c r="AB154" s="269"/>
      <c r="AC154" s="270"/>
      <c r="AD154" s="269"/>
      <c r="AE154" s="270"/>
      <c r="AF154" s="372"/>
    </row>
    <row r="155" spans="1:40" s="167" customFormat="1" ht="13.35" customHeight="1">
      <c r="A155" s="370"/>
      <c r="B155" s="271"/>
      <c r="C155" s="272">
        <v>225.81</v>
      </c>
      <c r="D155" s="273" t="s">
        <v>554</v>
      </c>
      <c r="E155" s="272">
        <v>451</v>
      </c>
      <c r="F155" s="273" t="s">
        <v>554</v>
      </c>
      <c r="G155" s="272">
        <v>385</v>
      </c>
      <c r="H155" s="273"/>
      <c r="I155" s="272">
        <v>429</v>
      </c>
      <c r="J155" s="273"/>
      <c r="K155" s="272">
        <v>408</v>
      </c>
      <c r="L155" s="273" t="s">
        <v>554</v>
      </c>
      <c r="M155" s="272">
        <v>407</v>
      </c>
      <c r="N155" s="273" t="s">
        <v>554</v>
      </c>
      <c r="O155" s="272">
        <v>434</v>
      </c>
      <c r="P155" s="273"/>
      <c r="Q155" s="272">
        <v>401</v>
      </c>
      <c r="R155" s="273"/>
      <c r="S155" s="272">
        <v>296</v>
      </c>
      <c r="T155" s="273"/>
      <c r="U155" s="272">
        <v>677</v>
      </c>
      <c r="V155" s="273"/>
      <c r="W155" s="272">
        <v>642</v>
      </c>
      <c r="X155" s="273"/>
      <c r="Y155" s="393">
        <v>414</v>
      </c>
      <c r="Z155" s="273"/>
      <c r="AA155" s="272">
        <v>446</v>
      </c>
      <c r="AB155" s="273"/>
      <c r="AC155" s="272">
        <v>411</v>
      </c>
      <c r="AD155" s="273"/>
      <c r="AE155" s="393">
        <v>345</v>
      </c>
      <c r="AF155" s="371"/>
    </row>
    <row r="156" spans="1:40" s="167" customFormat="1" ht="13.35" customHeight="1" thickBot="1">
      <c r="A156" s="370"/>
      <c r="B156" s="274"/>
      <c r="C156" s="205"/>
      <c r="D156" s="274"/>
      <c r="E156" s="205"/>
      <c r="F156" s="274"/>
      <c r="G156" s="205"/>
      <c r="H156" s="274"/>
      <c r="I156" s="205"/>
      <c r="J156" s="274"/>
      <c r="K156" s="205"/>
      <c r="L156" s="274"/>
      <c r="M156" s="205"/>
      <c r="N156" s="274"/>
      <c r="O156" s="205"/>
      <c r="P156" s="274"/>
      <c r="Q156" s="205"/>
      <c r="R156" s="274"/>
      <c r="S156" s="205"/>
      <c r="T156" s="274"/>
      <c r="U156" s="205"/>
      <c r="V156" s="274"/>
      <c r="W156" s="205"/>
      <c r="X156" s="274"/>
      <c r="Y156" s="260"/>
      <c r="Z156" s="274"/>
      <c r="AA156" s="205"/>
      <c r="AB156" s="274"/>
      <c r="AC156" s="205"/>
      <c r="AD156" s="274"/>
      <c r="AE156" s="260"/>
      <c r="AF156" s="371"/>
    </row>
    <row r="157" spans="1:40" s="167" customFormat="1" ht="13.5" customHeight="1">
      <c r="A157" s="370"/>
      <c r="B157" s="260" t="s">
        <v>400</v>
      </c>
      <c r="C157" s="260"/>
      <c r="D157" s="260" t="s">
        <v>67</v>
      </c>
      <c r="E157" s="260"/>
      <c r="F157" s="260" t="s">
        <v>67</v>
      </c>
      <c r="G157" s="260"/>
      <c r="H157" s="260" t="s">
        <v>67</v>
      </c>
      <c r="I157" s="260"/>
      <c r="J157" s="260" t="s">
        <v>67</v>
      </c>
      <c r="K157" s="260"/>
      <c r="L157" s="260" t="s">
        <v>67</v>
      </c>
      <c r="M157" s="260"/>
      <c r="N157" s="260" t="s">
        <v>67</v>
      </c>
      <c r="O157" s="260"/>
      <c r="P157" s="260" t="s">
        <v>67</v>
      </c>
      <c r="Q157" s="260"/>
      <c r="R157" s="260" t="s">
        <v>67</v>
      </c>
      <c r="S157" s="260"/>
      <c r="T157" s="260" t="s">
        <v>67</v>
      </c>
      <c r="U157" s="260"/>
      <c r="V157" s="260" t="s">
        <v>67</v>
      </c>
      <c r="W157" s="260"/>
      <c r="X157" s="260" t="s">
        <v>67</v>
      </c>
      <c r="Y157" s="260" t="s">
        <v>67</v>
      </c>
      <c r="Z157" s="260" t="s">
        <v>67</v>
      </c>
      <c r="AA157" s="260"/>
      <c r="AB157" s="260" t="s">
        <v>67</v>
      </c>
      <c r="AC157" s="260"/>
      <c r="AD157" s="260" t="s">
        <v>67</v>
      </c>
      <c r="AE157" s="260"/>
      <c r="AF157" s="371"/>
    </row>
    <row r="158" spans="1:40" s="167" customFormat="1" ht="13.5" customHeight="1">
      <c r="A158" s="370"/>
      <c r="B158" s="260"/>
      <c r="C158" s="260"/>
      <c r="D158" s="260"/>
      <c r="E158" s="260"/>
      <c r="F158" s="260"/>
      <c r="G158" s="260"/>
      <c r="H158" s="260"/>
      <c r="I158" s="260"/>
      <c r="J158" s="260"/>
      <c r="K158" s="260"/>
      <c r="L158" s="260"/>
      <c r="M158" s="260"/>
      <c r="N158" s="260"/>
      <c r="O158" s="260"/>
      <c r="P158" s="260"/>
      <c r="Q158" s="260"/>
      <c r="R158" s="260"/>
      <c r="S158" s="260"/>
      <c r="T158" s="260"/>
      <c r="U158" s="260"/>
      <c r="V158" s="260"/>
      <c r="W158" s="260"/>
      <c r="X158" s="260"/>
      <c r="Y158" s="260"/>
      <c r="Z158" s="260"/>
      <c r="AA158" s="260"/>
      <c r="AB158" s="260"/>
      <c r="AC158" s="260"/>
      <c r="AD158" s="260"/>
      <c r="AE158" s="260"/>
      <c r="AF158" s="371"/>
    </row>
    <row r="159" spans="1:40" s="167" customFormat="1" ht="13.5" customHeight="1">
      <c r="A159" s="370"/>
      <c r="B159" s="260"/>
      <c r="C159" s="260"/>
      <c r="D159" s="260"/>
      <c r="E159" s="260"/>
      <c r="F159" s="260"/>
      <c r="G159" s="260"/>
      <c r="H159" s="260"/>
      <c r="I159" s="260"/>
      <c r="J159" s="260"/>
      <c r="K159" s="260"/>
      <c r="L159" s="260"/>
      <c r="M159" s="260"/>
      <c r="N159" s="260"/>
      <c r="O159" s="260"/>
      <c r="P159" s="260"/>
      <c r="Q159" s="260"/>
      <c r="R159" s="260"/>
      <c r="S159" s="260"/>
      <c r="T159" s="260"/>
      <c r="U159" s="260"/>
      <c r="V159" s="260"/>
      <c r="W159" s="260"/>
      <c r="X159" s="260"/>
      <c r="Y159" s="260"/>
      <c r="Z159" s="260"/>
      <c r="AA159" s="260"/>
      <c r="AB159" s="260"/>
      <c r="AC159" s="260"/>
      <c r="AD159" s="260"/>
      <c r="AE159" s="260"/>
      <c r="AF159" s="371"/>
    </row>
    <row r="160" spans="1:40" s="167" customFormat="1" ht="13.5" customHeight="1">
      <c r="A160" s="370"/>
      <c r="B160" s="260"/>
      <c r="C160" s="260"/>
      <c r="D160" s="260"/>
      <c r="E160" s="260"/>
      <c r="F160" s="260"/>
      <c r="G160" s="260"/>
      <c r="H160" s="260"/>
      <c r="I160" s="260"/>
      <c r="J160" s="260"/>
      <c r="K160" s="260"/>
      <c r="L160" s="260"/>
      <c r="M160" s="260"/>
      <c r="N160" s="260"/>
      <c r="O160" s="260"/>
      <c r="P160" s="260"/>
      <c r="Q160" s="260"/>
      <c r="R160" s="260"/>
      <c r="S160" s="260"/>
      <c r="T160" s="260"/>
      <c r="U160" s="260"/>
      <c r="V160" s="260"/>
      <c r="W160" s="260"/>
      <c r="X160" s="260"/>
      <c r="Y160" s="260"/>
      <c r="Z160" s="260"/>
      <c r="AA160" s="260"/>
      <c r="AB160" s="260"/>
      <c r="AC160" s="260"/>
      <c r="AD160" s="260"/>
      <c r="AE160" s="260"/>
      <c r="AF160" s="371"/>
    </row>
    <row r="161" spans="1:74" s="167" customFormat="1" ht="13.5" customHeight="1">
      <c r="A161" s="370"/>
      <c r="B161" s="260">
        <v>154</v>
      </c>
      <c r="C161" s="260"/>
      <c r="D161" s="260">
        <v>155</v>
      </c>
      <c r="E161" s="260"/>
      <c r="F161" s="260">
        <v>156</v>
      </c>
      <c r="G161" s="260"/>
      <c r="H161" s="260"/>
      <c r="I161" s="260"/>
      <c r="J161" s="260"/>
      <c r="K161" s="260"/>
      <c r="L161" s="260"/>
      <c r="M161" s="260"/>
      <c r="N161" s="260"/>
      <c r="O161" s="260"/>
      <c r="P161" s="260"/>
      <c r="Q161" s="260"/>
      <c r="R161" s="260"/>
      <c r="S161" s="260"/>
      <c r="T161" s="260"/>
      <c r="U161" s="260"/>
      <c r="V161" s="260"/>
      <c r="W161" s="260"/>
      <c r="X161" s="260"/>
      <c r="Y161" s="260"/>
      <c r="Z161" s="260"/>
      <c r="AA161" s="260"/>
      <c r="AB161" s="260"/>
      <c r="AC161" s="260"/>
      <c r="AD161" s="260"/>
      <c r="AE161" s="260"/>
      <c r="AF161" s="371"/>
    </row>
    <row r="162" spans="1:74" s="167" customFormat="1" ht="13.5" customHeight="1">
      <c r="A162" s="370"/>
      <c r="B162" s="314" t="s">
        <v>187</v>
      </c>
      <c r="C162" s="205"/>
      <c r="D162" s="314" t="s">
        <v>636</v>
      </c>
      <c r="E162" s="205"/>
      <c r="F162" s="314" t="s">
        <v>637</v>
      </c>
      <c r="G162" s="205"/>
      <c r="H162" s="375"/>
      <c r="I162" s="205"/>
      <c r="J162" s="205"/>
      <c r="K162" s="205"/>
      <c r="L162" s="205"/>
      <c r="M162" s="394"/>
      <c r="N162" s="205"/>
      <c r="O162" s="205"/>
      <c r="P162" s="205"/>
      <c r="Q162" s="205"/>
      <c r="R162" s="205"/>
      <c r="S162" s="205"/>
      <c r="T162" s="205"/>
      <c r="U162" s="205"/>
      <c r="V162" s="205"/>
      <c r="W162" s="379"/>
      <c r="X162" s="205"/>
      <c r="Y162" s="205"/>
      <c r="Z162" s="205"/>
      <c r="AA162" s="205"/>
      <c r="AB162" s="205"/>
      <c r="AC162" s="205"/>
      <c r="AD162" s="205"/>
      <c r="AE162" s="379"/>
      <c r="AF162" s="371"/>
    </row>
    <row r="163" spans="1:74" s="167" customFormat="1" ht="13.5" customHeight="1">
      <c r="A163" s="370"/>
      <c r="B163" s="205"/>
      <c r="C163" s="205"/>
      <c r="D163" s="205"/>
      <c r="E163" s="205"/>
      <c r="F163" s="205"/>
      <c r="G163" s="205"/>
      <c r="H163" s="205"/>
      <c r="I163" s="205"/>
      <c r="J163" s="205"/>
      <c r="K163" s="205"/>
      <c r="L163" s="205"/>
      <c r="M163" s="205"/>
      <c r="N163" s="205"/>
      <c r="O163" s="205"/>
      <c r="P163" s="205"/>
      <c r="Q163" s="205"/>
      <c r="R163" s="205"/>
      <c r="S163" s="205"/>
      <c r="T163" s="205"/>
      <c r="U163" s="205"/>
      <c r="V163" s="205"/>
      <c r="W163" s="205"/>
      <c r="X163" s="205"/>
      <c r="Y163" s="205"/>
      <c r="Z163" s="205"/>
      <c r="AA163" s="205"/>
      <c r="AB163" s="205"/>
      <c r="AC163" s="205"/>
      <c r="AD163" s="205"/>
      <c r="AE163" s="205"/>
      <c r="AF163" s="371"/>
    </row>
    <row r="164" spans="1:74" s="167" customFormat="1" ht="13.5" customHeight="1">
      <c r="A164" s="370"/>
      <c r="B164" s="260"/>
      <c r="C164" s="205"/>
      <c r="D164" s="260"/>
      <c r="E164" s="260"/>
      <c r="F164" s="260"/>
      <c r="G164" s="205"/>
      <c r="H164" s="260"/>
      <c r="I164" s="260"/>
      <c r="J164" s="260"/>
      <c r="K164" s="260"/>
      <c r="L164" s="260"/>
      <c r="M164" s="260"/>
      <c r="N164" s="260"/>
      <c r="O164" s="260"/>
      <c r="P164" s="260"/>
      <c r="Q164" s="260"/>
      <c r="R164" s="260"/>
      <c r="S164" s="260"/>
      <c r="T164" s="260"/>
      <c r="U164" s="260"/>
      <c r="V164" s="260"/>
      <c r="W164" s="205"/>
      <c r="X164" s="260"/>
      <c r="Y164" s="260"/>
      <c r="Z164" s="260"/>
      <c r="AA164" s="205"/>
      <c r="AB164" s="260"/>
      <c r="AC164" s="260"/>
      <c r="AD164" s="260"/>
      <c r="AE164" s="260"/>
      <c r="AF164" s="371"/>
    </row>
    <row r="165" spans="1:74" s="167" customFormat="1" ht="13.5" customHeight="1" thickBot="1">
      <c r="A165" s="370"/>
      <c r="B165" s="260"/>
      <c r="C165" s="205"/>
      <c r="D165" s="260"/>
      <c r="E165" s="260"/>
      <c r="F165" s="260"/>
      <c r="G165" s="205"/>
      <c r="H165" s="260"/>
      <c r="I165" s="260"/>
      <c r="J165" s="260"/>
      <c r="K165" s="260"/>
      <c r="L165" s="260"/>
      <c r="M165" s="260"/>
      <c r="N165" s="260"/>
      <c r="O165" s="260"/>
      <c r="P165" s="260"/>
      <c r="Q165" s="260"/>
      <c r="R165" s="260"/>
      <c r="S165" s="260"/>
      <c r="T165" s="260"/>
      <c r="U165" s="260"/>
      <c r="V165" s="260"/>
      <c r="W165" s="205"/>
      <c r="X165" s="260"/>
      <c r="Y165" s="260"/>
      <c r="Z165" s="260"/>
      <c r="AA165" s="205"/>
      <c r="AB165" s="260"/>
      <c r="AC165" s="260"/>
      <c r="AD165" s="260"/>
      <c r="AE165" s="260"/>
      <c r="AF165" s="371"/>
    </row>
    <row r="166" spans="1:74" s="167" customFormat="1" ht="13.5" customHeight="1">
      <c r="A166" s="370"/>
      <c r="B166" s="269"/>
      <c r="C166" s="270"/>
      <c r="D166" s="269"/>
      <c r="E166" s="270"/>
      <c r="F166" s="269"/>
      <c r="G166" s="270"/>
      <c r="H166" s="205"/>
      <c r="I166" s="270"/>
      <c r="J166" s="205"/>
      <c r="K166" s="270"/>
      <c r="L166" s="205"/>
      <c r="M166" s="270"/>
      <c r="N166" s="205"/>
      <c r="O166" s="270"/>
      <c r="P166" s="205"/>
      <c r="Q166" s="270"/>
      <c r="R166" s="205"/>
      <c r="S166" s="270"/>
      <c r="T166" s="205"/>
      <c r="U166" s="270"/>
      <c r="V166" s="205"/>
      <c r="W166" s="270"/>
      <c r="X166" s="205"/>
      <c r="Y166" s="270"/>
      <c r="Z166" s="205"/>
      <c r="AA166" s="270"/>
      <c r="AB166" s="205"/>
      <c r="AC166" s="270"/>
      <c r="AD166" s="205"/>
      <c r="AE166" s="270"/>
      <c r="AF166" s="372"/>
    </row>
    <row r="167" spans="1:74" s="167" customFormat="1" ht="13.5" customHeight="1">
      <c r="A167" s="370"/>
      <c r="B167" s="271"/>
      <c r="C167" s="272">
        <v>345</v>
      </c>
      <c r="D167" s="271"/>
      <c r="E167" s="272">
        <v>372</v>
      </c>
      <c r="F167" s="271"/>
      <c r="G167" s="272" t="s">
        <v>67</v>
      </c>
      <c r="H167" s="205"/>
      <c r="I167" s="272"/>
      <c r="J167" s="205"/>
      <c r="K167" s="272"/>
      <c r="L167" s="205"/>
      <c r="M167" s="272"/>
      <c r="N167" s="205"/>
      <c r="O167" s="272"/>
      <c r="P167" s="205"/>
      <c r="Q167" s="272"/>
      <c r="R167" s="205"/>
      <c r="S167" s="272"/>
      <c r="T167" s="205"/>
      <c r="U167" s="272"/>
      <c r="V167" s="205"/>
      <c r="W167" s="272"/>
      <c r="X167" s="205"/>
      <c r="Y167" s="272"/>
      <c r="Z167" s="205"/>
      <c r="AA167" s="272"/>
      <c r="AB167" s="205"/>
      <c r="AC167" s="272"/>
      <c r="AD167" s="205"/>
      <c r="AE167" s="272"/>
      <c r="AF167" s="371"/>
      <c r="BV167" s="203"/>
    </row>
    <row r="168" spans="1:74" s="167" customFormat="1" ht="13.5" customHeight="1" thickBot="1">
      <c r="A168" s="370"/>
      <c r="B168" s="274"/>
      <c r="C168" s="205"/>
      <c r="D168" s="274"/>
      <c r="E168" s="205"/>
      <c r="F168" s="274"/>
      <c r="G168" s="205"/>
      <c r="H168" s="205"/>
      <c r="I168" s="205"/>
      <c r="J168" s="205"/>
      <c r="K168" s="205"/>
      <c r="L168" s="205"/>
      <c r="M168" s="205"/>
      <c r="N168" s="205"/>
      <c r="O168" s="205"/>
      <c r="P168" s="205"/>
      <c r="Q168" s="205"/>
      <c r="R168" s="205"/>
      <c r="S168" s="205"/>
      <c r="T168" s="205"/>
      <c r="U168" s="205"/>
      <c r="V168" s="205"/>
      <c r="W168" s="205"/>
      <c r="X168" s="205"/>
      <c r="Y168" s="205"/>
      <c r="Z168" s="205"/>
      <c r="AA168" s="205"/>
      <c r="AB168" s="205"/>
      <c r="AC168" s="205"/>
      <c r="AD168" s="205"/>
      <c r="AE168" s="205"/>
      <c r="AF168" s="371"/>
    </row>
    <row r="169" spans="1:74" s="167" customFormat="1" ht="13.5" customHeight="1">
      <c r="A169" s="370"/>
      <c r="B169" s="265" t="s">
        <v>638</v>
      </c>
      <c r="C169" s="260"/>
      <c r="D169" s="260" t="s">
        <v>565</v>
      </c>
      <c r="E169" s="260"/>
      <c r="F169" s="260" t="s">
        <v>354</v>
      </c>
      <c r="G169" s="260"/>
      <c r="H169" s="260"/>
      <c r="I169" s="260"/>
      <c r="J169" s="260"/>
      <c r="K169" s="260"/>
      <c r="L169" s="260"/>
      <c r="M169" s="260"/>
      <c r="N169" s="260"/>
      <c r="O169" s="260"/>
      <c r="P169" s="265"/>
      <c r="Q169" s="260"/>
      <c r="R169" s="260"/>
      <c r="S169" s="260"/>
      <c r="T169" s="260"/>
      <c r="U169" s="260"/>
      <c r="V169" s="260"/>
      <c r="W169" s="260"/>
      <c r="X169" s="260"/>
      <c r="Y169" s="260"/>
      <c r="Z169" s="260"/>
      <c r="AA169" s="260"/>
      <c r="AB169" s="260"/>
      <c r="AC169" s="260"/>
      <c r="AD169" s="260"/>
      <c r="AE169" s="260"/>
      <c r="AF169" s="371"/>
    </row>
    <row r="170" spans="1:74" s="167" customFormat="1" ht="13.5" customHeight="1">
      <c r="A170" s="370"/>
      <c r="B170" s="205"/>
      <c r="C170" s="260"/>
      <c r="D170" s="205"/>
      <c r="E170" s="260"/>
      <c r="F170" s="205"/>
      <c r="G170" s="205"/>
      <c r="H170" s="205"/>
      <c r="I170" s="205"/>
      <c r="J170" s="205"/>
      <c r="K170" s="260"/>
      <c r="L170" s="205"/>
      <c r="M170" s="260"/>
      <c r="N170" s="205"/>
      <c r="O170" s="260"/>
      <c r="P170" s="205"/>
      <c r="Q170" s="260"/>
      <c r="R170" s="205"/>
      <c r="S170" s="260"/>
      <c r="T170" s="205"/>
      <c r="U170" s="260"/>
      <c r="V170" s="205"/>
      <c r="W170" s="260"/>
      <c r="X170" s="205"/>
      <c r="Y170" s="260"/>
      <c r="Z170" s="205"/>
      <c r="AA170" s="260"/>
      <c r="AB170" s="205"/>
      <c r="AC170" s="261"/>
      <c r="AD170" s="205"/>
      <c r="AE170" s="205"/>
      <c r="AF170" s="371"/>
    </row>
    <row r="171" spans="1:74" ht="13.5" customHeight="1">
      <c r="A171" s="395"/>
      <c r="B171" s="260"/>
      <c r="C171" s="260"/>
      <c r="D171" s="260"/>
      <c r="E171" s="260"/>
      <c r="F171" s="260"/>
      <c r="G171" s="260"/>
      <c r="H171" s="260"/>
      <c r="I171" s="260"/>
      <c r="J171" s="260"/>
      <c r="K171" s="260"/>
      <c r="L171" s="260"/>
      <c r="M171" s="260"/>
      <c r="N171" s="260"/>
      <c r="O171" s="260"/>
      <c r="P171" s="260"/>
      <c r="Q171" s="260"/>
      <c r="R171" s="260"/>
      <c r="S171" s="260"/>
      <c r="T171" s="260"/>
      <c r="U171" s="260"/>
      <c r="V171" s="260"/>
      <c r="W171" s="260"/>
      <c r="X171" s="260"/>
      <c r="Y171" s="260"/>
      <c r="Z171" s="260"/>
      <c r="AA171" s="260"/>
      <c r="AB171" s="260"/>
      <c r="AC171" s="260"/>
      <c r="AD171" s="260"/>
      <c r="AE171" s="260"/>
      <c r="AF171" s="396"/>
    </row>
    <row r="172" spans="1:74" ht="13.5" customHeight="1">
      <c r="A172" s="395"/>
      <c r="B172" s="260">
        <v>157</v>
      </c>
      <c r="C172" s="260"/>
      <c r="D172" s="260">
        <v>158</v>
      </c>
      <c r="E172" s="260"/>
      <c r="F172" s="260">
        <v>159</v>
      </c>
      <c r="G172" s="260"/>
      <c r="H172" s="260">
        <v>160</v>
      </c>
      <c r="I172" s="260"/>
      <c r="J172" s="260">
        <v>161</v>
      </c>
      <c r="K172" s="260"/>
      <c r="L172" s="260">
        <v>162</v>
      </c>
      <c r="M172" s="260"/>
      <c r="N172" s="260">
        <v>163</v>
      </c>
      <c r="O172" s="260"/>
      <c r="P172" s="260">
        <v>164</v>
      </c>
      <c r="Q172" s="260"/>
      <c r="R172" s="260">
        <v>165</v>
      </c>
      <c r="S172" s="260"/>
      <c r="T172" s="260">
        <v>166</v>
      </c>
      <c r="U172" s="260"/>
      <c r="V172" s="260">
        <v>167</v>
      </c>
      <c r="W172" s="260"/>
      <c r="X172" s="260">
        <v>168</v>
      </c>
      <c r="Y172" s="260"/>
      <c r="Z172" s="260">
        <v>169</v>
      </c>
      <c r="AA172" s="260"/>
      <c r="AB172" s="260">
        <v>170</v>
      </c>
      <c r="AC172" s="260"/>
      <c r="AD172" s="260">
        <v>171</v>
      </c>
      <c r="AE172" s="260"/>
      <c r="AF172" s="396"/>
    </row>
    <row r="173" spans="1:74" ht="13.5" customHeight="1">
      <c r="A173" s="370"/>
      <c r="B173" s="260" t="s">
        <v>639</v>
      </c>
      <c r="C173" s="205"/>
      <c r="D173" s="260" t="s">
        <v>468</v>
      </c>
      <c r="E173" s="205"/>
      <c r="F173" s="260" t="s">
        <v>416</v>
      </c>
      <c r="G173" s="205"/>
      <c r="H173" s="260" t="s">
        <v>640</v>
      </c>
      <c r="I173" s="205"/>
      <c r="J173" s="260" t="s">
        <v>641</v>
      </c>
      <c r="K173" s="205"/>
      <c r="L173" s="260" t="s">
        <v>642</v>
      </c>
      <c r="M173" s="205"/>
      <c r="N173" s="260" t="s">
        <v>643</v>
      </c>
      <c r="O173" s="205"/>
      <c r="P173" s="260" t="s">
        <v>644</v>
      </c>
      <c r="Q173" s="260"/>
      <c r="R173" s="260" t="s">
        <v>645</v>
      </c>
      <c r="S173" s="260"/>
      <c r="T173" s="260" t="s">
        <v>646</v>
      </c>
      <c r="U173" s="260"/>
      <c r="V173" s="260" t="s">
        <v>647</v>
      </c>
      <c r="W173" s="260"/>
      <c r="X173" s="260" t="s">
        <v>648</v>
      </c>
      <c r="Y173" s="260"/>
      <c r="Z173" s="260" t="s">
        <v>649</v>
      </c>
      <c r="AA173" s="260"/>
      <c r="AB173" s="260" t="s">
        <v>650</v>
      </c>
      <c r="AC173" s="260"/>
      <c r="AD173" s="260" t="s">
        <v>651</v>
      </c>
      <c r="AE173" s="260"/>
      <c r="AF173" s="371"/>
    </row>
    <row r="174" spans="1:74" ht="13.5" customHeight="1">
      <c r="A174" s="370"/>
      <c r="B174" s="205"/>
      <c r="C174" s="205"/>
      <c r="D174" s="205"/>
      <c r="E174" s="205"/>
      <c r="F174" s="205"/>
      <c r="G174" s="205"/>
      <c r="H174" s="205"/>
      <c r="I174" s="205"/>
      <c r="J174" s="205"/>
      <c r="K174" s="205"/>
      <c r="L174" s="205"/>
      <c r="M174" s="205"/>
      <c r="N174" s="205"/>
      <c r="O174" s="205"/>
      <c r="P174" s="205"/>
      <c r="Q174" s="205"/>
      <c r="R174" s="205"/>
      <c r="S174" s="205"/>
      <c r="T174" s="205"/>
      <c r="U174" s="205"/>
      <c r="V174" s="205"/>
      <c r="W174" s="205"/>
      <c r="X174" s="205"/>
      <c r="Y174" s="205"/>
      <c r="Z174" s="205"/>
      <c r="AA174" s="205"/>
      <c r="AB174" s="205"/>
      <c r="AC174" s="205"/>
      <c r="AD174" s="205"/>
      <c r="AE174" s="205"/>
      <c r="AF174" s="371"/>
    </row>
    <row r="175" spans="1:74" ht="13.5" customHeight="1">
      <c r="A175" s="370"/>
      <c r="B175" s="260"/>
      <c r="C175" s="260"/>
      <c r="D175" s="260"/>
      <c r="E175" s="260"/>
      <c r="F175" s="260"/>
      <c r="G175" s="260"/>
      <c r="H175" s="260"/>
      <c r="I175" s="260"/>
      <c r="J175" s="260"/>
      <c r="K175" s="260"/>
      <c r="L175" s="260"/>
      <c r="M175" s="205"/>
      <c r="N175" s="260"/>
      <c r="O175" s="260"/>
      <c r="P175" s="260"/>
      <c r="Q175" s="205"/>
      <c r="R175" s="260"/>
      <c r="S175" s="260"/>
      <c r="T175" s="260"/>
      <c r="U175" s="260"/>
      <c r="V175" s="260"/>
      <c r="W175" s="260"/>
      <c r="X175" s="260"/>
      <c r="Y175" s="260"/>
      <c r="Z175" s="260"/>
      <c r="AA175" s="260"/>
      <c r="AB175" s="260"/>
      <c r="AC175" s="260"/>
      <c r="AD175" s="260"/>
      <c r="AE175" s="260"/>
      <c r="AF175" s="371"/>
    </row>
    <row r="176" spans="1:74" ht="13.5" customHeight="1" thickBot="1">
      <c r="A176" s="370"/>
      <c r="B176" s="260"/>
      <c r="C176" s="260"/>
      <c r="D176" s="260"/>
      <c r="E176" s="260"/>
      <c r="F176" s="260"/>
      <c r="G176" s="260"/>
      <c r="H176" s="260"/>
      <c r="I176" s="260"/>
      <c r="J176" s="260"/>
      <c r="K176" s="260"/>
      <c r="L176" s="260"/>
      <c r="M176" s="205"/>
      <c r="N176" s="260"/>
      <c r="O176" s="260"/>
      <c r="P176" s="260"/>
      <c r="Q176" s="205"/>
      <c r="R176" s="260"/>
      <c r="S176" s="260"/>
      <c r="T176" s="260"/>
      <c r="U176" s="260"/>
      <c r="V176" s="260"/>
      <c r="W176" s="260"/>
      <c r="X176" s="260"/>
      <c r="Y176" s="260"/>
      <c r="Z176" s="260"/>
      <c r="AA176" s="260"/>
      <c r="AB176" s="260"/>
      <c r="AC176" s="260"/>
      <c r="AD176" s="260"/>
      <c r="AE176" s="260"/>
      <c r="AF176" s="371"/>
    </row>
    <row r="177" spans="1:75" ht="13.5" customHeight="1">
      <c r="A177" s="377"/>
      <c r="B177" s="184"/>
      <c r="C177" s="185"/>
      <c r="D177" s="184"/>
      <c r="E177" s="185"/>
      <c r="F177" s="186"/>
      <c r="G177" s="185"/>
      <c r="H177" s="184"/>
      <c r="I177" s="185"/>
      <c r="J177" s="184"/>
      <c r="K177" s="185"/>
      <c r="L177" s="184"/>
      <c r="M177" s="185"/>
      <c r="N177" s="184"/>
      <c r="O177" s="185"/>
      <c r="P177" s="184"/>
      <c r="Q177" s="185"/>
      <c r="R177" s="184"/>
      <c r="S177" s="185"/>
      <c r="T177" s="184"/>
      <c r="U177" s="185"/>
      <c r="V177" s="184"/>
      <c r="W177" s="185"/>
      <c r="X177" s="184"/>
      <c r="Y177" s="185"/>
      <c r="Z177" s="184"/>
      <c r="AA177" s="185"/>
      <c r="AB177" s="184"/>
      <c r="AC177" s="185"/>
      <c r="AD177" s="184"/>
      <c r="AE177" s="270"/>
      <c r="AF177" s="371"/>
    </row>
    <row r="178" spans="1:75" ht="13.5" customHeight="1">
      <c r="A178" s="377"/>
      <c r="B178" s="206" t="s">
        <v>554</v>
      </c>
      <c r="C178" s="376">
        <v>244</v>
      </c>
      <c r="D178" s="206" t="s">
        <v>554</v>
      </c>
      <c r="E178" s="376">
        <v>390</v>
      </c>
      <c r="F178" s="195"/>
      <c r="G178" s="376">
        <v>377</v>
      </c>
      <c r="H178" s="188"/>
      <c r="I178" s="376">
        <v>382</v>
      </c>
      <c r="J178" s="188"/>
      <c r="K178" s="376">
        <v>390</v>
      </c>
      <c r="L178" s="188"/>
      <c r="M178" s="376">
        <v>364</v>
      </c>
      <c r="N178" s="188"/>
      <c r="O178" s="376">
        <v>390</v>
      </c>
      <c r="P178" s="188"/>
      <c r="Q178" s="376">
        <v>395</v>
      </c>
      <c r="R178" s="188" t="s">
        <v>554</v>
      </c>
      <c r="S178" s="376">
        <v>413</v>
      </c>
      <c r="T178" s="188"/>
      <c r="U178" s="376">
        <v>422</v>
      </c>
      <c r="V178" s="188"/>
      <c r="W178" s="376">
        <v>306</v>
      </c>
      <c r="X178" s="188"/>
      <c r="Y178" s="376">
        <v>357</v>
      </c>
      <c r="Z178" s="188"/>
      <c r="AA178" s="376">
        <v>390</v>
      </c>
      <c r="AB178" s="188"/>
      <c r="AC178" s="376">
        <v>430</v>
      </c>
      <c r="AD178" s="188"/>
      <c r="AE178" s="272">
        <v>399</v>
      </c>
      <c r="AF178" s="371"/>
      <c r="BV178" s="607">
        <f>1</f>
        <v>1</v>
      </c>
      <c r="BW178" s="608">
        <v>1</v>
      </c>
    </row>
    <row r="179" spans="1:75" ht="13.5" customHeight="1" thickBot="1">
      <c r="A179" s="377"/>
      <c r="B179" s="190"/>
      <c r="C179" s="166"/>
      <c r="D179" s="190"/>
      <c r="E179" s="166"/>
      <c r="F179" s="191"/>
      <c r="G179" s="166"/>
      <c r="H179" s="190"/>
      <c r="I179" s="166"/>
      <c r="J179" s="190"/>
      <c r="K179" s="166"/>
      <c r="L179" s="190"/>
      <c r="M179" s="166"/>
      <c r="N179" s="190"/>
      <c r="O179" s="166"/>
      <c r="P179" s="190"/>
      <c r="Q179" s="166"/>
      <c r="R179" s="190"/>
      <c r="S179" s="166"/>
      <c r="T179" s="190"/>
      <c r="U179" s="166"/>
      <c r="V179" s="190"/>
      <c r="W179" s="166"/>
      <c r="X179" s="190"/>
      <c r="Y179" s="166"/>
      <c r="Z179" s="190"/>
      <c r="AA179" s="166"/>
      <c r="AB179" s="190"/>
      <c r="AC179" s="166"/>
      <c r="AD179" s="190"/>
      <c r="AE179" s="205"/>
      <c r="AF179" s="371"/>
    </row>
    <row r="180" spans="1:75" ht="13.5" customHeight="1">
      <c r="A180" s="370"/>
      <c r="B180" s="265" t="s">
        <v>304</v>
      </c>
      <c r="C180" s="260"/>
      <c r="D180" s="265" t="s">
        <v>334</v>
      </c>
      <c r="E180" s="260"/>
      <c r="F180" s="260" t="s">
        <v>354</v>
      </c>
      <c r="G180" s="260"/>
      <c r="H180" s="260" t="s">
        <v>354</v>
      </c>
      <c r="I180" s="260"/>
      <c r="J180" s="260" t="s">
        <v>354</v>
      </c>
      <c r="K180" s="260"/>
      <c r="L180" s="260" t="s">
        <v>354</v>
      </c>
      <c r="M180" s="260"/>
      <c r="N180" s="265" t="s">
        <v>339</v>
      </c>
      <c r="O180" s="260"/>
      <c r="P180" s="260" t="s">
        <v>354</v>
      </c>
      <c r="Q180" s="260"/>
      <c r="R180" s="265" t="s">
        <v>304</v>
      </c>
      <c r="S180" s="260"/>
      <c r="T180" s="260" t="s">
        <v>361</v>
      </c>
      <c r="U180" s="260"/>
      <c r="V180" s="260" t="s">
        <v>354</v>
      </c>
      <c r="W180" s="260"/>
      <c r="X180" s="260" t="s">
        <v>354</v>
      </c>
      <c r="Y180" s="260"/>
      <c r="Z180" s="260" t="s">
        <v>354</v>
      </c>
      <c r="AA180" s="260"/>
      <c r="AB180" s="260" t="s">
        <v>361</v>
      </c>
      <c r="AC180" s="260"/>
      <c r="AD180" s="260" t="s">
        <v>361</v>
      </c>
      <c r="AE180" s="260"/>
      <c r="AF180" s="371"/>
    </row>
    <row r="181" spans="1:75" ht="13.5" customHeight="1">
      <c r="A181" s="370"/>
      <c r="B181" s="205"/>
      <c r="C181" s="260"/>
      <c r="D181" s="205"/>
      <c r="E181" s="260"/>
      <c r="F181" s="205"/>
      <c r="G181" s="260"/>
      <c r="H181" s="205"/>
      <c r="I181" s="260"/>
      <c r="J181" s="205"/>
      <c r="K181" s="205"/>
      <c r="L181" s="205"/>
      <c r="M181" s="205"/>
      <c r="N181" s="205"/>
      <c r="O181" s="205"/>
      <c r="P181" s="205"/>
      <c r="Q181" s="205"/>
      <c r="R181" s="205"/>
      <c r="S181" s="205"/>
      <c r="T181" s="205"/>
      <c r="U181" s="260"/>
      <c r="V181" s="205"/>
      <c r="W181" s="260"/>
      <c r="X181" s="205"/>
      <c r="Y181" s="260"/>
      <c r="Z181" s="205"/>
      <c r="AA181" s="205"/>
      <c r="AB181" s="205"/>
      <c r="AC181" s="205"/>
      <c r="AD181" s="205"/>
      <c r="AE181" s="205"/>
      <c r="AF181" s="371"/>
    </row>
    <row r="182" spans="1:75" ht="13.5" customHeight="1">
      <c r="A182" s="370"/>
      <c r="B182" s="205"/>
      <c r="C182" s="205"/>
      <c r="D182" s="205"/>
      <c r="E182" s="205"/>
      <c r="F182" s="205"/>
      <c r="G182" s="205"/>
      <c r="H182" s="205"/>
      <c r="I182" s="205"/>
      <c r="J182" s="205"/>
      <c r="K182" s="205"/>
      <c r="L182" s="205"/>
      <c r="M182" s="205"/>
      <c r="N182" s="205"/>
      <c r="O182" s="205"/>
      <c r="P182" s="205"/>
      <c r="Q182" s="205"/>
      <c r="R182" s="205"/>
      <c r="S182" s="205"/>
      <c r="T182" s="205"/>
      <c r="U182" s="205"/>
      <c r="V182" s="205"/>
      <c r="W182" s="205"/>
      <c r="X182" s="205"/>
      <c r="Y182" s="205"/>
      <c r="Z182" s="205"/>
      <c r="AA182" s="205"/>
      <c r="AB182" s="205"/>
      <c r="AC182" s="205"/>
      <c r="AD182" s="205"/>
      <c r="AE182" s="205"/>
      <c r="AF182" s="371"/>
    </row>
    <row r="183" spans="1:75" ht="13.5" customHeight="1">
      <c r="A183" s="370"/>
      <c r="B183" s="260">
        <v>172</v>
      </c>
      <c r="C183" s="260"/>
      <c r="D183" s="260">
        <v>173</v>
      </c>
      <c r="E183" s="260"/>
      <c r="F183" s="260">
        <v>174</v>
      </c>
      <c r="G183" s="260"/>
      <c r="H183" s="260">
        <v>175</v>
      </c>
      <c r="I183" s="260"/>
      <c r="J183" s="260">
        <v>176</v>
      </c>
      <c r="K183" s="260"/>
      <c r="L183" s="260">
        <v>177</v>
      </c>
      <c r="M183" s="260"/>
      <c r="N183" s="260">
        <v>178</v>
      </c>
      <c r="O183" s="260"/>
      <c r="P183" s="260">
        <v>179</v>
      </c>
      <c r="Q183" s="260"/>
      <c r="R183" s="260">
        <v>180</v>
      </c>
      <c r="S183" s="260"/>
      <c r="T183" s="260">
        <v>181</v>
      </c>
      <c r="U183" s="260"/>
      <c r="V183" s="260">
        <v>182</v>
      </c>
      <c r="W183" s="260"/>
      <c r="X183" s="260">
        <v>183</v>
      </c>
      <c r="Y183" s="260"/>
      <c r="Z183" s="260">
        <v>184</v>
      </c>
      <c r="AA183" s="260"/>
      <c r="AB183" s="260">
        <v>185</v>
      </c>
      <c r="AC183" s="260"/>
      <c r="AD183" s="260">
        <v>186</v>
      </c>
      <c r="AE183" s="260"/>
      <c r="AF183" s="396"/>
    </row>
    <row r="184" spans="1:75" ht="13.5" customHeight="1">
      <c r="A184" s="370"/>
      <c r="B184" s="260" t="s">
        <v>652</v>
      </c>
      <c r="C184" s="205"/>
      <c r="D184" s="260" t="s">
        <v>653</v>
      </c>
      <c r="E184" s="205"/>
      <c r="F184" s="260" t="s">
        <v>654</v>
      </c>
      <c r="G184" s="260"/>
      <c r="H184" s="260" t="s">
        <v>655</v>
      </c>
      <c r="I184" s="260"/>
      <c r="J184" s="260" t="s">
        <v>656</v>
      </c>
      <c r="K184" s="260"/>
      <c r="L184" s="260" t="s">
        <v>657</v>
      </c>
      <c r="M184" s="260"/>
      <c r="N184" s="260" t="s">
        <v>658</v>
      </c>
      <c r="O184" s="260"/>
      <c r="P184" s="260" t="s">
        <v>659</v>
      </c>
      <c r="Q184" s="260"/>
      <c r="R184" s="260" t="s">
        <v>660</v>
      </c>
      <c r="S184" s="260"/>
      <c r="T184" s="260" t="s">
        <v>149</v>
      </c>
      <c r="U184" s="260"/>
      <c r="V184" s="260" t="s">
        <v>661</v>
      </c>
      <c r="W184" s="260"/>
      <c r="X184" s="260" t="s">
        <v>662</v>
      </c>
      <c r="Y184" s="260"/>
      <c r="Z184" s="260" t="s">
        <v>663</v>
      </c>
      <c r="AA184" s="260"/>
      <c r="AB184" s="260" t="s">
        <v>664</v>
      </c>
      <c r="AC184" s="260"/>
      <c r="AD184" s="260" t="s">
        <v>665</v>
      </c>
      <c r="AE184" s="260"/>
      <c r="AF184" s="371"/>
    </row>
    <row r="185" spans="1:75" ht="13.5" customHeight="1">
      <c r="A185" s="370"/>
      <c r="B185" s="205"/>
      <c r="C185" s="205"/>
      <c r="D185" s="205"/>
      <c r="E185" s="205"/>
      <c r="F185" s="205"/>
      <c r="G185" s="205"/>
      <c r="H185" s="205"/>
      <c r="I185" s="205"/>
      <c r="J185" s="205"/>
      <c r="K185" s="205"/>
      <c r="L185" s="205"/>
      <c r="M185" s="205"/>
      <c r="N185" s="205"/>
      <c r="O185" s="205"/>
      <c r="P185" s="205"/>
      <c r="Q185" s="205"/>
      <c r="R185" s="205"/>
      <c r="S185" s="205"/>
      <c r="T185" s="205"/>
      <c r="U185" s="205"/>
      <c r="V185" s="205"/>
      <c r="W185" s="205"/>
      <c r="X185" s="205"/>
      <c r="Y185" s="205"/>
      <c r="Z185" s="205"/>
      <c r="AA185" s="205"/>
      <c r="AB185" s="205"/>
      <c r="AC185" s="205"/>
      <c r="AD185" s="205"/>
      <c r="AE185" s="205"/>
      <c r="AF185" s="371"/>
    </row>
    <row r="186" spans="1:75" ht="13.5" customHeight="1">
      <c r="A186" s="370"/>
      <c r="B186" s="260"/>
      <c r="C186" s="205"/>
      <c r="D186" s="260"/>
      <c r="E186" s="260"/>
      <c r="F186" s="260"/>
      <c r="G186" s="205"/>
      <c r="H186" s="260"/>
      <c r="I186" s="260"/>
      <c r="J186" s="260"/>
      <c r="K186" s="260"/>
      <c r="L186" s="260"/>
      <c r="M186" s="260"/>
      <c r="N186" s="260"/>
      <c r="O186" s="260"/>
      <c r="P186" s="260"/>
      <c r="Q186" s="260"/>
      <c r="R186" s="260"/>
      <c r="S186" s="260"/>
      <c r="T186" s="260"/>
      <c r="U186" s="260"/>
      <c r="V186" s="260"/>
      <c r="W186" s="205"/>
      <c r="X186" s="260"/>
      <c r="Y186" s="260"/>
      <c r="Z186" s="260"/>
      <c r="AA186" s="205"/>
      <c r="AB186" s="260"/>
      <c r="AC186" s="260"/>
      <c r="AD186" s="260"/>
      <c r="AE186" s="260"/>
      <c r="AF186" s="371"/>
    </row>
    <row r="187" spans="1:75" ht="13.5" customHeight="1" thickBot="1">
      <c r="A187" s="370"/>
      <c r="B187" s="260"/>
      <c r="C187" s="205"/>
      <c r="D187" s="260"/>
      <c r="E187" s="260"/>
      <c r="F187" s="260"/>
      <c r="G187" s="205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05"/>
      <c r="X187" s="260"/>
      <c r="Y187" s="260"/>
      <c r="Z187" s="260"/>
      <c r="AA187" s="205"/>
      <c r="AB187" s="260"/>
      <c r="AC187" s="260"/>
      <c r="AD187" s="260"/>
      <c r="AE187" s="260"/>
      <c r="AF187" s="371"/>
    </row>
    <row r="188" spans="1:75" ht="13.5" customHeight="1">
      <c r="A188" s="370"/>
      <c r="B188" s="269"/>
      <c r="C188" s="270"/>
      <c r="D188" s="269"/>
      <c r="E188" s="270"/>
      <c r="F188" s="269"/>
      <c r="G188" s="270"/>
      <c r="H188" s="269"/>
      <c r="I188" s="270"/>
      <c r="J188" s="269"/>
      <c r="K188" s="270"/>
      <c r="L188" s="269"/>
      <c r="M188" s="270"/>
      <c r="N188" s="269"/>
      <c r="O188" s="270"/>
      <c r="P188" s="269"/>
      <c r="Q188" s="270"/>
      <c r="R188" s="269"/>
      <c r="S188" s="270"/>
      <c r="T188" s="269"/>
      <c r="U188" s="270"/>
      <c r="V188" s="269"/>
      <c r="W188" s="270"/>
      <c r="X188" s="269"/>
      <c r="Y188" s="270"/>
      <c r="Z188" s="269"/>
      <c r="AA188" s="270"/>
      <c r="AB188" s="269"/>
      <c r="AC188" s="270"/>
      <c r="AD188" s="269"/>
      <c r="AE188" s="270"/>
      <c r="AF188" s="372"/>
      <c r="BV188" s="608">
        <v>0</v>
      </c>
      <c r="BW188" s="608">
        <v>0</v>
      </c>
    </row>
    <row r="189" spans="1:75" ht="13.5" customHeight="1">
      <c r="A189" s="370"/>
      <c r="B189" s="271"/>
      <c r="C189" s="272">
        <v>414</v>
      </c>
      <c r="D189" s="273"/>
      <c r="E189" s="272">
        <v>421</v>
      </c>
      <c r="F189" s="273"/>
      <c r="G189" s="272">
        <v>356</v>
      </c>
      <c r="H189" s="273"/>
      <c r="I189" s="272">
        <v>243</v>
      </c>
      <c r="J189" s="273" t="s">
        <v>554</v>
      </c>
      <c r="K189" s="272">
        <v>372</v>
      </c>
      <c r="L189" s="273"/>
      <c r="M189" s="272">
        <v>398</v>
      </c>
      <c r="N189" s="273"/>
      <c r="O189" s="272">
        <v>346</v>
      </c>
      <c r="P189" s="273"/>
      <c r="Q189" s="272">
        <v>405</v>
      </c>
      <c r="R189" s="273"/>
      <c r="S189" s="272">
        <v>417</v>
      </c>
      <c r="T189" s="273"/>
      <c r="U189" s="272">
        <v>402</v>
      </c>
      <c r="V189" s="273"/>
      <c r="W189" s="272">
        <v>415</v>
      </c>
      <c r="X189" s="273"/>
      <c r="Y189" s="272">
        <v>352</v>
      </c>
      <c r="Z189" s="273"/>
      <c r="AA189" s="272">
        <v>397</v>
      </c>
      <c r="AB189" s="273"/>
      <c r="AC189" s="272">
        <v>377</v>
      </c>
      <c r="AD189" s="273"/>
      <c r="AE189" s="272">
        <v>438</v>
      </c>
      <c r="AF189" s="371"/>
      <c r="BV189" s="203"/>
    </row>
    <row r="190" spans="1:75" ht="13.5" customHeight="1" thickBot="1">
      <c r="A190" s="370"/>
      <c r="B190" s="274"/>
      <c r="C190" s="205"/>
      <c r="D190" s="274"/>
      <c r="E190" s="205"/>
      <c r="F190" s="274"/>
      <c r="G190" s="205"/>
      <c r="H190" s="274"/>
      <c r="I190" s="205"/>
      <c r="J190" s="274"/>
      <c r="K190" s="205"/>
      <c r="L190" s="274"/>
      <c r="M190" s="205"/>
      <c r="N190" s="274"/>
      <c r="O190" s="205"/>
      <c r="P190" s="274"/>
      <c r="Q190" s="205"/>
      <c r="R190" s="274"/>
      <c r="S190" s="205"/>
      <c r="T190" s="274"/>
      <c r="U190" s="205"/>
      <c r="V190" s="274"/>
      <c r="W190" s="205"/>
      <c r="X190" s="274"/>
      <c r="Y190" s="205"/>
      <c r="Z190" s="274"/>
      <c r="AA190" s="205"/>
      <c r="AB190" s="274"/>
      <c r="AC190" s="205"/>
      <c r="AD190" s="274"/>
      <c r="AE190" s="205"/>
      <c r="AF190" s="371"/>
    </row>
    <row r="191" spans="1:75" ht="13.5" customHeight="1">
      <c r="A191" s="370"/>
      <c r="B191" s="265" t="s">
        <v>377</v>
      </c>
      <c r="C191" s="260"/>
      <c r="D191" s="260" t="s">
        <v>361</v>
      </c>
      <c r="E191" s="260"/>
      <c r="F191" s="260" t="s">
        <v>354</v>
      </c>
      <c r="G191" s="260"/>
      <c r="H191" s="265" t="s">
        <v>334</v>
      </c>
      <c r="I191" s="260"/>
      <c r="J191" s="265" t="s">
        <v>306</v>
      </c>
      <c r="K191" s="260"/>
      <c r="L191" s="260" t="s">
        <v>354</v>
      </c>
      <c r="M191" s="260"/>
      <c r="N191" s="260" t="s">
        <v>361</v>
      </c>
      <c r="O191" s="260"/>
      <c r="P191" s="260" t="s">
        <v>354</v>
      </c>
      <c r="Q191" s="260"/>
      <c r="R191" s="260" t="s">
        <v>361</v>
      </c>
      <c r="S191" s="260"/>
      <c r="T191" s="265" t="s">
        <v>334</v>
      </c>
      <c r="U191" s="260"/>
      <c r="V191" s="260" t="s">
        <v>361</v>
      </c>
      <c r="W191" s="260"/>
      <c r="X191" s="260" t="s">
        <v>354</v>
      </c>
      <c r="Y191" s="260"/>
      <c r="Z191" s="260" t="s">
        <v>354</v>
      </c>
      <c r="AA191" s="260"/>
      <c r="AB191" s="260" t="s">
        <v>354</v>
      </c>
      <c r="AC191" s="260"/>
      <c r="AD191" s="260" t="s">
        <v>354</v>
      </c>
      <c r="AE191" s="260"/>
      <c r="AF191" s="371"/>
    </row>
    <row r="192" spans="1:75" ht="13.5" customHeight="1">
      <c r="A192" s="370"/>
      <c r="B192" s="205"/>
      <c r="C192" s="260"/>
      <c r="D192" s="205"/>
      <c r="E192" s="260"/>
      <c r="F192" s="205"/>
      <c r="G192" s="205"/>
      <c r="H192" s="205"/>
      <c r="I192" s="205"/>
      <c r="J192" s="205"/>
      <c r="K192" s="260"/>
      <c r="L192" s="205"/>
      <c r="M192" s="260"/>
      <c r="N192" s="205"/>
      <c r="O192" s="260"/>
      <c r="P192" s="205"/>
      <c r="Q192" s="260"/>
      <c r="R192" s="205"/>
      <c r="S192" s="260"/>
      <c r="T192" s="205"/>
      <c r="U192" s="260"/>
      <c r="V192" s="205"/>
      <c r="W192" s="260"/>
      <c r="X192" s="205"/>
      <c r="Y192" s="260"/>
      <c r="Z192" s="205"/>
      <c r="AA192" s="260"/>
      <c r="AB192" s="205"/>
      <c r="AC192" s="261"/>
      <c r="AD192" s="205"/>
      <c r="AE192" s="205"/>
      <c r="AF192" s="371"/>
    </row>
    <row r="193" spans="1:75" ht="13.5" customHeight="1">
      <c r="A193" s="370"/>
      <c r="B193" s="205"/>
      <c r="C193" s="205"/>
      <c r="D193" s="205"/>
      <c r="E193" s="205"/>
      <c r="F193" s="205"/>
      <c r="G193" s="205"/>
      <c r="H193" s="205"/>
      <c r="I193" s="205"/>
      <c r="J193" s="205"/>
      <c r="K193" s="205"/>
      <c r="L193" s="205"/>
      <c r="M193" s="205"/>
      <c r="N193" s="205"/>
      <c r="O193" s="205"/>
      <c r="P193" s="205"/>
      <c r="Q193" s="205"/>
      <c r="R193" s="205"/>
      <c r="S193" s="205"/>
      <c r="T193" s="205"/>
      <c r="U193" s="205"/>
      <c r="V193" s="205"/>
      <c r="W193" s="205"/>
      <c r="X193" s="205"/>
      <c r="Y193" s="205"/>
      <c r="Z193" s="205"/>
      <c r="AA193" s="205"/>
      <c r="AB193" s="205"/>
      <c r="AC193" s="205"/>
      <c r="AD193" s="205"/>
      <c r="AE193" s="205"/>
      <c r="AF193" s="371"/>
    </row>
    <row r="194" spans="1:75" ht="13.5" customHeight="1">
      <c r="A194" s="370"/>
      <c r="B194" s="260">
        <v>187</v>
      </c>
      <c r="C194" s="397"/>
      <c r="D194" s="260">
        <v>188</v>
      </c>
      <c r="E194" s="260"/>
      <c r="F194" s="260">
        <v>189</v>
      </c>
      <c r="G194" s="260"/>
      <c r="H194" s="260">
        <v>190</v>
      </c>
      <c r="I194" s="260"/>
      <c r="J194" s="260">
        <v>191</v>
      </c>
      <c r="K194" s="260"/>
      <c r="L194" s="260">
        <v>192</v>
      </c>
      <c r="M194" s="260"/>
      <c r="N194" s="260">
        <v>193</v>
      </c>
      <c r="O194" s="260"/>
      <c r="P194" s="260">
        <v>194</v>
      </c>
      <c r="Q194" s="260"/>
      <c r="R194" s="260">
        <v>196</v>
      </c>
      <c r="S194" s="260"/>
      <c r="T194" s="260">
        <v>197</v>
      </c>
      <c r="U194" s="260"/>
      <c r="V194" s="260">
        <v>198</v>
      </c>
      <c r="W194" s="260"/>
      <c r="X194" s="260">
        <v>199</v>
      </c>
      <c r="Y194" s="260"/>
      <c r="Z194" s="260">
        <v>200</v>
      </c>
      <c r="AA194" s="260"/>
      <c r="AB194" s="260">
        <v>201</v>
      </c>
      <c r="AC194" s="260"/>
      <c r="AD194" s="260">
        <v>202</v>
      </c>
      <c r="AE194" s="260"/>
      <c r="AF194" s="371"/>
    </row>
    <row r="195" spans="1:75" ht="13.5" customHeight="1">
      <c r="A195" s="370"/>
      <c r="B195" s="260" t="s">
        <v>666</v>
      </c>
      <c r="C195" s="205"/>
      <c r="D195" s="260" t="s">
        <v>150</v>
      </c>
      <c r="E195" s="205"/>
      <c r="F195" s="260" t="s">
        <v>667</v>
      </c>
      <c r="G195" s="205"/>
      <c r="H195" s="260" t="s">
        <v>668</v>
      </c>
      <c r="I195" s="205"/>
      <c r="J195" s="260" t="s">
        <v>669</v>
      </c>
      <c r="K195" s="205"/>
      <c r="L195" s="260" t="s">
        <v>670</v>
      </c>
      <c r="M195" s="205"/>
      <c r="N195" s="260" t="s">
        <v>671</v>
      </c>
      <c r="O195" s="205"/>
      <c r="P195" s="260" t="s">
        <v>672</v>
      </c>
      <c r="Q195" s="205"/>
      <c r="R195" s="260" t="s">
        <v>418</v>
      </c>
      <c r="S195" s="205"/>
      <c r="T195" s="260" t="s">
        <v>436</v>
      </c>
      <c r="U195" s="205"/>
      <c r="V195" s="260" t="s">
        <v>438</v>
      </c>
      <c r="W195" s="205"/>
      <c r="X195" s="260" t="s">
        <v>412</v>
      </c>
      <c r="Y195" s="205"/>
      <c r="Z195" s="260" t="s">
        <v>401</v>
      </c>
      <c r="AA195" s="205"/>
      <c r="AB195" s="260" t="s">
        <v>419</v>
      </c>
      <c r="AC195" s="205"/>
      <c r="AD195" s="260" t="s">
        <v>407</v>
      </c>
      <c r="AE195" s="260"/>
      <c r="AF195" s="371"/>
    </row>
    <row r="196" spans="1:75" ht="13.5" customHeight="1">
      <c r="A196" s="370"/>
      <c r="B196" s="205"/>
      <c r="C196" s="205"/>
      <c r="D196" s="205"/>
      <c r="E196" s="205"/>
      <c r="F196" s="205"/>
      <c r="G196" s="205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205"/>
      <c r="V196" s="205"/>
      <c r="W196" s="205"/>
      <c r="X196" s="205"/>
      <c r="Y196" s="205"/>
      <c r="Z196" s="205"/>
      <c r="AA196" s="205"/>
      <c r="AB196" s="205"/>
      <c r="AC196" s="205"/>
      <c r="AD196" s="205"/>
      <c r="AE196" s="205"/>
      <c r="AF196" s="371"/>
    </row>
    <row r="197" spans="1:75" ht="13.5" customHeight="1">
      <c r="A197" s="370"/>
      <c r="B197" s="260"/>
      <c r="C197" s="260"/>
      <c r="D197" s="260"/>
      <c r="E197" s="260"/>
      <c r="F197" s="260"/>
      <c r="G197" s="260"/>
      <c r="H197" s="260"/>
      <c r="I197" s="260"/>
      <c r="J197" s="260"/>
      <c r="K197" s="260"/>
      <c r="L197" s="260"/>
      <c r="M197" s="205"/>
      <c r="N197" s="260"/>
      <c r="O197" s="260"/>
      <c r="P197" s="260"/>
      <c r="Q197" s="205"/>
      <c r="R197" s="260"/>
      <c r="S197" s="260"/>
      <c r="T197" s="260"/>
      <c r="U197" s="260"/>
      <c r="V197" s="260"/>
      <c r="W197" s="260"/>
      <c r="X197" s="260"/>
      <c r="Y197" s="260"/>
      <c r="Z197" s="260"/>
      <c r="AA197" s="260"/>
      <c r="AB197" s="260"/>
      <c r="AC197" s="260"/>
      <c r="AD197" s="260"/>
      <c r="AE197" s="260"/>
      <c r="AF197" s="371"/>
    </row>
    <row r="198" spans="1:75" ht="13.5" customHeight="1" thickBot="1">
      <c r="A198" s="370"/>
      <c r="B198" s="260"/>
      <c r="C198" s="260"/>
      <c r="D198" s="260"/>
      <c r="E198" s="260"/>
      <c r="F198" s="260"/>
      <c r="G198" s="260"/>
      <c r="H198" s="260"/>
      <c r="I198" s="260"/>
      <c r="J198" s="260"/>
      <c r="K198" s="260"/>
      <c r="L198" s="260"/>
      <c r="M198" s="205"/>
      <c r="N198" s="260"/>
      <c r="O198" s="260"/>
      <c r="P198" s="260"/>
      <c r="Q198" s="205"/>
      <c r="R198" s="260"/>
      <c r="S198" s="260"/>
      <c r="T198" s="260"/>
      <c r="U198" s="260"/>
      <c r="V198" s="260"/>
      <c r="W198" s="260"/>
      <c r="X198" s="260"/>
      <c r="Y198" s="260"/>
      <c r="Z198" s="260"/>
      <c r="AA198" s="260"/>
      <c r="AB198" s="260"/>
      <c r="AC198" s="260"/>
      <c r="AD198" s="260"/>
      <c r="AE198" s="260"/>
      <c r="AF198" s="371"/>
    </row>
    <row r="199" spans="1:75" ht="13.5" customHeight="1">
      <c r="A199" s="377"/>
      <c r="B199" s="184"/>
      <c r="C199" s="185"/>
      <c r="D199" s="184"/>
      <c r="E199" s="185"/>
      <c r="F199" s="184"/>
      <c r="G199" s="185"/>
      <c r="H199" s="184"/>
      <c r="I199" s="185"/>
      <c r="J199" s="184"/>
      <c r="K199" s="185"/>
      <c r="L199" s="184"/>
      <c r="M199" s="185"/>
      <c r="N199" s="184"/>
      <c r="O199" s="185"/>
      <c r="P199" s="184"/>
      <c r="Q199" s="185"/>
      <c r="R199" s="781"/>
      <c r="S199" s="185"/>
      <c r="T199" s="186"/>
      <c r="U199" s="185"/>
      <c r="V199" s="186"/>
      <c r="W199" s="185"/>
      <c r="X199" s="781"/>
      <c r="Y199" s="185"/>
      <c r="Z199" s="781"/>
      <c r="AA199" s="185"/>
      <c r="AB199" s="781"/>
      <c r="AC199" s="185"/>
      <c r="AD199" s="186"/>
      <c r="AE199" s="270"/>
      <c r="AF199" s="371"/>
    </row>
    <row r="200" spans="1:75" ht="13.5" customHeight="1">
      <c r="A200" s="377"/>
      <c r="B200" s="187"/>
      <c r="C200" s="376">
        <v>363</v>
      </c>
      <c r="D200" s="188" t="s">
        <v>554</v>
      </c>
      <c r="E200" s="376">
        <v>380</v>
      </c>
      <c r="F200" s="188"/>
      <c r="G200" s="376">
        <v>346</v>
      </c>
      <c r="H200" s="188"/>
      <c r="I200" s="376">
        <v>390</v>
      </c>
      <c r="J200" s="188" t="s">
        <v>554</v>
      </c>
      <c r="K200" s="376">
        <v>405</v>
      </c>
      <c r="L200" s="188"/>
      <c r="M200" s="376">
        <v>421</v>
      </c>
      <c r="N200" s="188"/>
      <c r="O200" s="376">
        <v>391</v>
      </c>
      <c r="P200" s="188" t="s">
        <v>554</v>
      </c>
      <c r="Q200" s="376">
        <v>394</v>
      </c>
      <c r="R200" s="782"/>
      <c r="S200" s="376">
        <v>382</v>
      </c>
      <c r="T200" s="189"/>
      <c r="U200" s="376">
        <v>384</v>
      </c>
      <c r="V200" s="189"/>
      <c r="W200" s="376">
        <v>406</v>
      </c>
      <c r="X200" s="782"/>
      <c r="Y200" s="376">
        <v>352</v>
      </c>
      <c r="Z200" s="782"/>
      <c r="AA200" s="376">
        <v>453</v>
      </c>
      <c r="AB200" s="782"/>
      <c r="AC200" s="376">
        <v>388</v>
      </c>
      <c r="AD200" s="189"/>
      <c r="AE200" s="272">
        <v>395</v>
      </c>
      <c r="AF200" s="371"/>
      <c r="BV200" s="607">
        <f>7</f>
        <v>7</v>
      </c>
      <c r="BW200" s="608">
        <v>3</v>
      </c>
    </row>
    <row r="201" spans="1:75" ht="13.5" customHeight="1" thickBot="1">
      <c r="A201" s="377"/>
      <c r="B201" s="190"/>
      <c r="C201" s="166"/>
      <c r="D201" s="190"/>
      <c r="E201" s="166"/>
      <c r="F201" s="190"/>
      <c r="G201" s="166"/>
      <c r="H201" s="190"/>
      <c r="I201" s="166"/>
      <c r="J201" s="190"/>
      <c r="K201" s="166"/>
      <c r="L201" s="190"/>
      <c r="M201" s="166"/>
      <c r="N201" s="190"/>
      <c r="O201" s="166"/>
      <c r="P201" s="190"/>
      <c r="Q201" s="166"/>
      <c r="R201" s="783"/>
      <c r="S201" s="166"/>
      <c r="T201" s="191"/>
      <c r="U201" s="166"/>
      <c r="V201" s="191"/>
      <c r="W201" s="166"/>
      <c r="X201" s="783"/>
      <c r="Y201" s="166"/>
      <c r="Z201" s="783"/>
      <c r="AA201" s="166"/>
      <c r="AB201" s="783"/>
      <c r="AC201" s="166"/>
      <c r="AD201" s="191"/>
      <c r="AE201" s="205"/>
      <c r="AF201" s="371"/>
    </row>
    <row r="202" spans="1:75" ht="13.5" customHeight="1">
      <c r="A202" s="370"/>
      <c r="B202" s="260" t="s">
        <v>403</v>
      </c>
      <c r="C202" s="260"/>
      <c r="D202" s="265" t="s">
        <v>339</v>
      </c>
      <c r="E202" s="260"/>
      <c r="F202" s="260" t="s">
        <v>354</v>
      </c>
      <c r="G202" s="260"/>
      <c r="H202" s="260" t="s">
        <v>354</v>
      </c>
      <c r="I202" s="260"/>
      <c r="J202" s="260" t="s">
        <v>354</v>
      </c>
      <c r="K202" s="260"/>
      <c r="L202" s="260" t="s">
        <v>361</v>
      </c>
      <c r="M202" s="260"/>
      <c r="N202" s="260" t="s">
        <v>361</v>
      </c>
      <c r="O202" s="260"/>
      <c r="P202" s="260" t="s">
        <v>354</v>
      </c>
      <c r="Q202" s="260"/>
      <c r="R202" s="265" t="s">
        <v>339</v>
      </c>
      <c r="S202" s="260"/>
      <c r="T202" s="260" t="s">
        <v>354</v>
      </c>
      <c r="U202" s="260"/>
      <c r="V202" s="260" t="s">
        <v>361</v>
      </c>
      <c r="W202" s="260"/>
      <c r="X202" s="260" t="s">
        <v>354</v>
      </c>
      <c r="Y202" s="260"/>
      <c r="Z202" s="260" t="s">
        <v>361</v>
      </c>
      <c r="AA202" s="260"/>
      <c r="AB202" s="260" t="s">
        <v>403</v>
      </c>
      <c r="AC202" s="260"/>
      <c r="AD202" s="260" t="s">
        <v>354</v>
      </c>
      <c r="AE202" s="260"/>
      <c r="AF202" s="371"/>
    </row>
    <row r="203" spans="1:75" ht="13.5" customHeight="1">
      <c r="A203" s="370"/>
      <c r="B203" s="205"/>
      <c r="C203" s="260"/>
      <c r="D203" s="205"/>
      <c r="E203" s="260"/>
      <c r="F203" s="205"/>
      <c r="G203" s="260"/>
      <c r="H203" s="205"/>
      <c r="I203" s="260"/>
      <c r="J203" s="205"/>
      <c r="K203" s="205"/>
      <c r="L203" s="205"/>
      <c r="M203" s="205"/>
      <c r="N203" s="205"/>
      <c r="O203" s="205"/>
      <c r="P203" s="205"/>
      <c r="Q203" s="205"/>
      <c r="R203" s="205"/>
      <c r="S203" s="205"/>
      <c r="T203" s="205"/>
      <c r="U203" s="260"/>
      <c r="V203" s="205"/>
      <c r="W203" s="260"/>
      <c r="X203" s="205"/>
      <c r="Y203" s="260"/>
      <c r="Z203" s="205"/>
      <c r="AA203" s="205"/>
      <c r="AB203" s="205"/>
      <c r="AC203" s="205"/>
      <c r="AD203" s="205"/>
      <c r="AE203" s="205"/>
      <c r="AF203" s="371"/>
    </row>
    <row r="204" spans="1:75" ht="13.5" customHeight="1">
      <c r="A204" s="370"/>
      <c r="B204" s="205"/>
      <c r="C204" s="260"/>
      <c r="D204" s="205"/>
      <c r="E204" s="260"/>
      <c r="F204" s="205"/>
      <c r="G204" s="260"/>
      <c r="H204" s="205"/>
      <c r="I204" s="260"/>
      <c r="J204" s="205"/>
      <c r="K204" s="205"/>
      <c r="L204" s="205"/>
      <c r="M204" s="205"/>
      <c r="N204" s="205"/>
      <c r="O204" s="205"/>
      <c r="P204" s="205"/>
      <c r="Q204" s="205"/>
      <c r="R204" s="205"/>
      <c r="S204" s="205"/>
      <c r="T204" s="205"/>
      <c r="U204" s="260"/>
      <c r="V204" s="205"/>
      <c r="W204" s="260"/>
      <c r="X204" s="398"/>
      <c r="Y204" s="260"/>
      <c r="Z204" s="398"/>
      <c r="AA204" s="205"/>
      <c r="AB204" s="205"/>
      <c r="AC204" s="205"/>
      <c r="AD204" s="205"/>
      <c r="AE204" s="205"/>
      <c r="AF204" s="371"/>
    </row>
    <row r="205" spans="1:75" ht="13.5" customHeight="1">
      <c r="A205" s="370"/>
      <c r="B205" s="205"/>
      <c r="C205" s="205"/>
      <c r="D205" s="205"/>
      <c r="E205" s="205"/>
      <c r="F205" s="205"/>
      <c r="G205" s="205"/>
      <c r="H205" s="205"/>
      <c r="I205" s="205"/>
      <c r="J205" s="205"/>
      <c r="K205" s="205"/>
      <c r="L205" s="205"/>
      <c r="M205" s="205"/>
      <c r="N205" s="205"/>
      <c r="O205" s="205"/>
      <c r="P205" s="205"/>
      <c r="Q205" s="205"/>
      <c r="R205" s="205"/>
      <c r="S205" s="205"/>
      <c r="T205" s="205"/>
      <c r="U205" s="205"/>
      <c r="V205" s="205"/>
      <c r="W205" s="205"/>
      <c r="X205" s="205"/>
      <c r="Y205" s="205"/>
      <c r="Z205" s="205"/>
      <c r="AA205" s="205"/>
      <c r="AB205" s="205"/>
      <c r="AC205" s="205"/>
      <c r="AD205" s="205"/>
      <c r="AE205" s="205"/>
      <c r="AF205" s="371"/>
    </row>
    <row r="206" spans="1:75" ht="13.5" customHeight="1">
      <c r="A206" s="370"/>
      <c r="B206" s="397"/>
      <c r="C206" s="397"/>
      <c r="D206" s="397"/>
      <c r="E206" s="397"/>
      <c r="F206" s="397"/>
      <c r="G206" s="397"/>
      <c r="H206" s="397"/>
      <c r="I206" s="397"/>
      <c r="J206" s="397"/>
      <c r="K206" s="397"/>
      <c r="L206" s="397"/>
      <c r="M206" s="397"/>
      <c r="N206" s="397"/>
      <c r="O206" s="397"/>
      <c r="P206" s="397"/>
      <c r="Q206" s="397"/>
      <c r="R206" s="397"/>
      <c r="S206" s="397"/>
      <c r="T206" s="397"/>
      <c r="U206" s="397"/>
      <c r="V206" s="397"/>
      <c r="W206" s="397"/>
      <c r="X206" s="397"/>
      <c r="Y206" s="397"/>
      <c r="Z206" s="397"/>
      <c r="AA206" s="397"/>
      <c r="AB206" s="397"/>
      <c r="AC206" s="397"/>
      <c r="AD206" s="397"/>
      <c r="AE206" s="205"/>
      <c r="AF206" s="371"/>
    </row>
    <row r="207" spans="1:75" ht="13.5" customHeight="1">
      <c r="A207" s="370"/>
      <c r="B207" s="260" t="s">
        <v>151</v>
      </c>
      <c r="C207" s="205"/>
      <c r="D207" s="260" t="s">
        <v>440</v>
      </c>
      <c r="E207" s="205"/>
      <c r="F207" s="260" t="s">
        <v>439</v>
      </c>
      <c r="G207" s="205"/>
      <c r="H207" s="260" t="s">
        <v>673</v>
      </c>
      <c r="I207" s="205"/>
      <c r="J207" s="260" t="s">
        <v>441</v>
      </c>
      <c r="K207" s="205"/>
      <c r="L207" s="260" t="s">
        <v>435</v>
      </c>
      <c r="M207" s="260"/>
      <c r="N207" s="260" t="s">
        <v>152</v>
      </c>
      <c r="O207" s="260"/>
      <c r="P207" s="260" t="s">
        <v>425</v>
      </c>
      <c r="Q207" s="260"/>
      <c r="R207" s="260" t="s">
        <v>674</v>
      </c>
      <c r="S207" s="260"/>
      <c r="T207" s="260" t="s">
        <v>675</v>
      </c>
      <c r="U207" s="260"/>
      <c r="V207" s="260" t="s">
        <v>676</v>
      </c>
      <c r="W207" s="260"/>
      <c r="X207" s="260" t="s">
        <v>677</v>
      </c>
      <c r="Y207" s="260"/>
      <c r="Z207" s="260" t="s">
        <v>678</v>
      </c>
      <c r="AA207" s="260"/>
      <c r="AB207" s="260" t="s">
        <v>679</v>
      </c>
      <c r="AC207" s="260"/>
      <c r="AD207" s="260" t="s">
        <v>467</v>
      </c>
      <c r="AE207" s="260"/>
      <c r="AF207" s="371"/>
    </row>
    <row r="208" spans="1:75" ht="13.5" customHeight="1">
      <c r="A208" s="370"/>
      <c r="B208" s="205"/>
      <c r="C208" s="205"/>
      <c r="D208" s="205"/>
      <c r="E208" s="205"/>
      <c r="F208" s="205"/>
      <c r="G208" s="205"/>
      <c r="H208" s="205"/>
      <c r="I208" s="205"/>
      <c r="J208" s="205"/>
      <c r="K208" s="205"/>
      <c r="L208" s="205"/>
      <c r="M208" s="205"/>
      <c r="N208" s="205"/>
      <c r="O208" s="205"/>
      <c r="P208" s="205"/>
      <c r="Q208" s="205"/>
      <c r="R208" s="205"/>
      <c r="S208" s="205"/>
      <c r="T208" s="205"/>
      <c r="U208" s="205"/>
      <c r="V208" s="205"/>
      <c r="W208" s="205"/>
      <c r="X208" s="205"/>
      <c r="Y208" s="205"/>
      <c r="Z208" s="205"/>
      <c r="AA208" s="205"/>
      <c r="AB208" s="205"/>
      <c r="AC208" s="205"/>
      <c r="AD208" s="205"/>
      <c r="AE208" s="205"/>
      <c r="AF208" s="371"/>
    </row>
    <row r="209" spans="1:75" ht="13.5" customHeight="1">
      <c r="A209" s="370"/>
      <c r="B209" s="260"/>
      <c r="C209" s="205"/>
      <c r="D209" s="260"/>
      <c r="E209" s="260"/>
      <c r="F209" s="260"/>
      <c r="G209" s="205"/>
      <c r="H209" s="260"/>
      <c r="I209" s="260"/>
      <c r="J209" s="260"/>
      <c r="K209" s="260"/>
      <c r="L209" s="260"/>
      <c r="M209" s="260"/>
      <c r="N209" s="260"/>
      <c r="O209" s="260"/>
      <c r="P209" s="260"/>
      <c r="Q209" s="260"/>
      <c r="R209" s="260"/>
      <c r="S209" s="260"/>
      <c r="T209" s="260"/>
      <c r="U209" s="260"/>
      <c r="V209" s="260"/>
      <c r="W209" s="205"/>
      <c r="X209" s="260"/>
      <c r="Y209" s="260"/>
      <c r="Z209" s="260"/>
      <c r="AA209" s="205"/>
      <c r="AB209" s="260"/>
      <c r="AC209" s="260"/>
      <c r="AD209" s="260"/>
      <c r="AE209" s="260"/>
      <c r="AF209" s="371"/>
    </row>
    <row r="210" spans="1:75" ht="13.5" customHeight="1" thickBot="1">
      <c r="A210" s="370"/>
      <c r="B210" s="260"/>
      <c r="C210" s="205"/>
      <c r="D210" s="260"/>
      <c r="E210" s="260"/>
      <c r="F210" s="260"/>
      <c r="G210" s="205"/>
      <c r="H210" s="260"/>
      <c r="I210" s="260"/>
      <c r="J210" s="260"/>
      <c r="K210" s="260"/>
      <c r="L210" s="260"/>
      <c r="M210" s="260"/>
      <c r="N210" s="260"/>
      <c r="O210" s="260"/>
      <c r="P210" s="260"/>
      <c r="Q210" s="260"/>
      <c r="R210" s="260"/>
      <c r="S210" s="260"/>
      <c r="T210" s="260"/>
      <c r="U210" s="260"/>
      <c r="V210" s="260"/>
      <c r="W210" s="205"/>
      <c r="X210" s="260"/>
      <c r="Y210" s="260"/>
      <c r="Z210" s="260"/>
      <c r="AA210" s="205"/>
      <c r="AB210" s="260"/>
      <c r="AC210" s="260"/>
      <c r="AD210" s="260"/>
      <c r="AE210" s="260"/>
      <c r="AF210" s="371"/>
    </row>
    <row r="211" spans="1:75" ht="13.5" customHeight="1">
      <c r="A211" s="377"/>
      <c r="B211" s="186"/>
      <c r="C211" s="185"/>
      <c r="D211" s="186"/>
      <c r="E211" s="185"/>
      <c r="F211" s="186"/>
      <c r="G211" s="185"/>
      <c r="H211" s="184"/>
      <c r="I211" s="185"/>
      <c r="J211" s="186"/>
      <c r="K211" s="185"/>
      <c r="L211" s="186"/>
      <c r="M211" s="185"/>
      <c r="N211" s="186"/>
      <c r="O211" s="185"/>
      <c r="P211" s="207"/>
      <c r="Q211" s="185"/>
      <c r="R211" s="184"/>
      <c r="S211" s="185"/>
      <c r="T211" s="184"/>
      <c r="U211" s="185"/>
      <c r="V211" s="184"/>
      <c r="W211" s="185"/>
      <c r="X211" s="184"/>
      <c r="Y211" s="185"/>
      <c r="Z211" s="184"/>
      <c r="AA211" s="185"/>
      <c r="AB211" s="184"/>
      <c r="AC211" s="185"/>
      <c r="AD211" s="184"/>
      <c r="AE211" s="270"/>
      <c r="AF211" s="372"/>
    </row>
    <row r="212" spans="1:75" ht="13.5" customHeight="1">
      <c r="A212" s="377"/>
      <c r="B212" s="189"/>
      <c r="C212" s="376">
        <v>430</v>
      </c>
      <c r="D212" s="189"/>
      <c r="E212" s="376">
        <v>388</v>
      </c>
      <c r="F212" s="189"/>
      <c r="G212" s="376">
        <v>402</v>
      </c>
      <c r="H212" s="188"/>
      <c r="I212" s="376">
        <v>437</v>
      </c>
      <c r="J212" s="189"/>
      <c r="K212" s="376">
        <v>405</v>
      </c>
      <c r="L212" s="189"/>
      <c r="M212" s="376">
        <v>337</v>
      </c>
      <c r="N212" s="189"/>
      <c r="O212" s="376">
        <v>282</v>
      </c>
      <c r="P212" s="189"/>
      <c r="Q212" s="376">
        <v>435</v>
      </c>
      <c r="R212" s="188"/>
      <c r="S212" s="376">
        <v>407</v>
      </c>
      <c r="T212" s="188"/>
      <c r="U212" s="376">
        <v>426</v>
      </c>
      <c r="V212" s="188"/>
      <c r="W212" s="376">
        <v>374</v>
      </c>
      <c r="X212" s="188"/>
      <c r="Y212" s="376">
        <v>440</v>
      </c>
      <c r="Z212" s="188"/>
      <c r="AA212" s="376">
        <v>386</v>
      </c>
      <c r="AB212" s="188"/>
      <c r="AC212" s="376">
        <v>210</v>
      </c>
      <c r="AD212" s="188"/>
      <c r="AE212" s="272"/>
      <c r="AF212" s="371"/>
      <c r="BV212" s="607">
        <v>7</v>
      </c>
      <c r="BW212" s="608">
        <v>1</v>
      </c>
    </row>
    <row r="213" spans="1:75" ht="13.5" customHeight="1" thickBot="1">
      <c r="A213" s="377"/>
      <c r="B213" s="191"/>
      <c r="C213" s="166"/>
      <c r="D213" s="191"/>
      <c r="E213" s="166"/>
      <c r="F213" s="191"/>
      <c r="G213" s="166"/>
      <c r="H213" s="190"/>
      <c r="I213" s="166"/>
      <c r="J213" s="191"/>
      <c r="K213" s="166"/>
      <c r="L213" s="191"/>
      <c r="M213" s="166"/>
      <c r="N213" s="191"/>
      <c r="O213" s="166"/>
      <c r="P213" s="208"/>
      <c r="Q213" s="166"/>
      <c r="R213" s="190"/>
      <c r="S213" s="166"/>
      <c r="T213" s="190"/>
      <c r="U213" s="166"/>
      <c r="V213" s="190"/>
      <c r="W213" s="166"/>
      <c r="X213" s="190"/>
      <c r="Y213" s="166"/>
      <c r="Z213" s="190"/>
      <c r="AA213" s="166"/>
      <c r="AB213" s="190"/>
      <c r="AC213" s="166"/>
      <c r="AD213" s="190"/>
      <c r="AE213" s="205"/>
      <c r="AF213" s="371"/>
    </row>
    <row r="214" spans="1:75" ht="13.5" customHeight="1">
      <c r="A214" s="382"/>
      <c r="B214" s="399" t="s">
        <v>313</v>
      </c>
      <c r="C214" s="400"/>
      <c r="D214" s="400" t="s">
        <v>361</v>
      </c>
      <c r="E214" s="400"/>
      <c r="F214" s="400" t="s">
        <v>354</v>
      </c>
      <c r="G214" s="400"/>
      <c r="H214" s="399" t="s">
        <v>680</v>
      </c>
      <c r="I214" s="400"/>
      <c r="J214" s="400" t="s">
        <v>361</v>
      </c>
      <c r="K214" s="400"/>
      <c r="L214" s="400" t="s">
        <v>354</v>
      </c>
      <c r="M214" s="400"/>
      <c r="N214" s="399" t="s">
        <v>339</v>
      </c>
      <c r="O214" s="400"/>
      <c r="P214" s="400" t="s">
        <v>403</v>
      </c>
      <c r="Q214" s="400"/>
      <c r="R214" s="400" t="s">
        <v>354</v>
      </c>
      <c r="S214" s="400"/>
      <c r="T214" s="400" t="s">
        <v>403</v>
      </c>
      <c r="U214" s="400"/>
      <c r="V214" s="400" t="s">
        <v>354</v>
      </c>
      <c r="W214" s="400"/>
      <c r="X214" s="400" t="s">
        <v>361</v>
      </c>
      <c r="Y214" s="400"/>
      <c r="Z214" s="400" t="s">
        <v>354</v>
      </c>
      <c r="AA214" s="400"/>
      <c r="AB214" s="399" t="s">
        <v>304</v>
      </c>
      <c r="AC214" s="400"/>
      <c r="AD214" s="399" t="s">
        <v>304</v>
      </c>
      <c r="AE214" s="400"/>
      <c r="AF214" s="384"/>
    </row>
    <row r="215" spans="1:75" ht="13.5" customHeight="1">
      <c r="A215" s="211"/>
      <c r="B215" s="205"/>
      <c r="C215" s="260"/>
      <c r="D215" s="205"/>
      <c r="E215" s="260"/>
      <c r="F215" s="205"/>
      <c r="G215" s="205"/>
      <c r="H215" s="205"/>
      <c r="I215" s="205"/>
      <c r="J215" s="205"/>
      <c r="K215" s="260"/>
      <c r="L215" s="205"/>
      <c r="M215" s="260"/>
      <c r="N215" s="205"/>
      <c r="O215" s="260"/>
      <c r="P215" s="205"/>
      <c r="Q215" s="260"/>
      <c r="R215" s="205"/>
      <c r="S215" s="260"/>
      <c r="T215" s="205"/>
      <c r="U215" s="260"/>
      <c r="V215" s="205"/>
      <c r="W215" s="260"/>
      <c r="X215" s="205"/>
      <c r="Y215" s="260"/>
      <c r="Z215" s="205"/>
      <c r="AA215" s="260"/>
      <c r="AB215" s="205"/>
      <c r="AC215" s="261"/>
      <c r="AD215" s="205"/>
      <c r="AE215" s="205"/>
      <c r="AF215" s="212"/>
    </row>
    <row r="216" spans="1:75" ht="13.5" hidden="1" customHeight="1">
      <c r="A216" s="211"/>
      <c r="B216" s="205"/>
      <c r="C216" s="205"/>
      <c r="D216" s="205"/>
      <c r="E216" s="205"/>
      <c r="F216" s="205"/>
      <c r="G216" s="205"/>
      <c r="H216" s="205"/>
      <c r="I216" s="205"/>
      <c r="J216" s="205"/>
      <c r="K216" s="205"/>
      <c r="L216" s="205"/>
      <c r="M216" s="205"/>
      <c r="N216" s="205"/>
      <c r="O216" s="205"/>
      <c r="P216" s="205"/>
      <c r="Q216" s="205"/>
      <c r="R216" s="205"/>
      <c r="S216" s="205"/>
      <c r="T216" s="205"/>
      <c r="U216" s="205"/>
      <c r="V216" s="205"/>
      <c r="W216" s="205"/>
      <c r="X216" s="205"/>
      <c r="Y216" s="205"/>
      <c r="Z216" s="205"/>
      <c r="AA216" s="205"/>
      <c r="AB216" s="205"/>
      <c r="AC216" s="205"/>
      <c r="AD216" s="205"/>
      <c r="AE216" s="205"/>
      <c r="AF216" s="212"/>
    </row>
    <row r="217" spans="1:75" ht="13.5" hidden="1" customHeight="1">
      <c r="A217" s="211"/>
      <c r="B217" s="205"/>
      <c r="C217" s="205"/>
      <c r="D217" s="205"/>
      <c r="E217" s="205"/>
      <c r="F217" s="205"/>
      <c r="G217" s="205"/>
      <c r="H217" s="205"/>
      <c r="I217" s="205"/>
      <c r="J217" s="205"/>
      <c r="K217" s="205"/>
      <c r="L217" s="205"/>
      <c r="M217" s="205"/>
      <c r="N217" s="205"/>
      <c r="O217" s="205"/>
      <c r="P217" s="205"/>
      <c r="Q217" s="205"/>
      <c r="R217" s="205"/>
      <c r="S217" s="205"/>
      <c r="T217" s="205"/>
      <c r="U217" s="205"/>
      <c r="V217" s="205"/>
      <c r="W217" s="205"/>
      <c r="X217" s="205"/>
      <c r="Y217" s="205"/>
      <c r="Z217" s="205"/>
      <c r="AA217" s="205"/>
      <c r="AB217" s="205"/>
      <c r="AC217" s="205"/>
      <c r="AD217" s="205"/>
      <c r="AE217" s="205"/>
      <c r="AF217" s="212"/>
    </row>
    <row r="218" spans="1:75" ht="13.5" hidden="1" customHeight="1">
      <c r="A218" s="211"/>
      <c r="B218" s="260"/>
      <c r="C218" s="205"/>
      <c r="D218" s="260"/>
      <c r="E218" s="260"/>
      <c r="F218" s="260"/>
      <c r="G218" s="260"/>
      <c r="H218" s="260"/>
      <c r="I218" s="260"/>
      <c r="J218" s="260"/>
      <c r="K218" s="260"/>
      <c r="L218" s="260"/>
      <c r="M218" s="260"/>
      <c r="N218" s="260"/>
      <c r="O218" s="260"/>
      <c r="P218" s="260"/>
      <c r="Q218" s="260"/>
      <c r="R218" s="260"/>
      <c r="S218" s="260"/>
      <c r="T218" s="260"/>
      <c r="U218" s="260"/>
      <c r="V218" s="260"/>
      <c r="W218" s="260"/>
      <c r="X218" s="260"/>
      <c r="Y218" s="260"/>
      <c r="Z218" s="260"/>
      <c r="AA218" s="260"/>
      <c r="AB218" s="260"/>
      <c r="AC218" s="260"/>
      <c r="AD218" s="260"/>
      <c r="AE218" s="260"/>
      <c r="AF218" s="212"/>
    </row>
    <row r="219" spans="1:75" ht="13.5" hidden="1" customHeight="1">
      <c r="A219" s="211"/>
      <c r="B219" s="205"/>
      <c r="C219" s="205"/>
      <c r="D219" s="205"/>
      <c r="E219" s="205"/>
      <c r="F219" s="205"/>
      <c r="G219" s="205"/>
      <c r="H219" s="205"/>
      <c r="I219" s="205"/>
      <c r="J219" s="205"/>
      <c r="K219" s="205"/>
      <c r="L219" s="205"/>
      <c r="M219" s="205"/>
      <c r="N219" s="205"/>
      <c r="O219" s="205"/>
      <c r="P219" s="205"/>
      <c r="Q219" s="205"/>
      <c r="R219" s="205"/>
      <c r="S219" s="205"/>
      <c r="T219" s="205"/>
      <c r="U219" s="205"/>
      <c r="V219" s="205"/>
      <c r="W219" s="205"/>
      <c r="X219" s="205"/>
      <c r="Y219" s="205"/>
      <c r="Z219" s="205"/>
      <c r="AA219" s="205"/>
      <c r="AB219" s="205"/>
      <c r="AC219" s="205"/>
      <c r="AD219" s="205"/>
      <c r="AE219" s="205"/>
      <c r="AF219" s="212"/>
    </row>
    <row r="220" spans="1:75" ht="13.5" hidden="1" customHeight="1">
      <c r="A220" s="211"/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05"/>
      <c r="N220" s="260"/>
      <c r="O220" s="260"/>
      <c r="P220" s="260"/>
      <c r="Q220" s="205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12"/>
    </row>
    <row r="221" spans="1:75" ht="13.5" hidden="1" customHeight="1" thickBot="1">
      <c r="A221" s="211"/>
      <c r="B221" s="260"/>
      <c r="C221" s="260"/>
      <c r="D221" s="260"/>
      <c r="E221" s="260"/>
      <c r="F221" s="260"/>
      <c r="G221" s="260"/>
      <c r="H221" s="260"/>
      <c r="I221" s="260"/>
      <c r="J221" s="260"/>
      <c r="K221" s="260"/>
      <c r="L221" s="260"/>
      <c r="M221" s="205"/>
      <c r="N221" s="260"/>
      <c r="O221" s="260"/>
      <c r="P221" s="260"/>
      <c r="Q221" s="205"/>
      <c r="R221" s="260"/>
      <c r="S221" s="260"/>
      <c r="T221" s="260"/>
      <c r="U221" s="260"/>
      <c r="V221" s="260"/>
      <c r="W221" s="260"/>
      <c r="X221" s="260"/>
      <c r="Y221" s="260"/>
      <c r="Z221" s="260"/>
      <c r="AA221" s="260"/>
      <c r="AB221" s="260"/>
      <c r="AC221" s="260"/>
      <c r="AD221" s="260"/>
      <c r="AE221" s="260"/>
      <c r="AF221" s="212"/>
    </row>
    <row r="222" spans="1:75" ht="13.5" hidden="1" customHeight="1">
      <c r="A222" s="211"/>
      <c r="B222" s="269"/>
      <c r="C222" s="270"/>
      <c r="D222" s="269"/>
      <c r="E222" s="270"/>
      <c r="F222" s="269"/>
      <c r="G222" s="270"/>
      <c r="H222" s="269"/>
      <c r="I222" s="270"/>
      <c r="J222" s="269"/>
      <c r="K222" s="270"/>
      <c r="L222" s="269"/>
      <c r="M222" s="270"/>
      <c r="N222" s="269"/>
      <c r="O222" s="270"/>
      <c r="P222" s="269"/>
      <c r="Q222" s="270"/>
      <c r="R222" s="269"/>
      <c r="S222" s="270"/>
      <c r="T222" s="269"/>
      <c r="U222" s="270"/>
      <c r="V222" s="269"/>
      <c r="W222" s="270"/>
      <c r="X222" s="269"/>
      <c r="Y222" s="270"/>
      <c r="Z222" s="269"/>
      <c r="AA222" s="270"/>
      <c r="AB222" s="269"/>
      <c r="AC222" s="270"/>
      <c r="AD222" s="269"/>
      <c r="AE222" s="270"/>
      <c r="AF222" s="212"/>
    </row>
    <row r="223" spans="1:75" ht="13.5" hidden="1" customHeight="1">
      <c r="A223" s="211"/>
      <c r="B223" s="271"/>
      <c r="C223" s="272"/>
      <c r="D223" s="273"/>
      <c r="E223" s="272"/>
      <c r="F223" s="273"/>
      <c r="G223" s="272"/>
      <c r="H223" s="273"/>
      <c r="I223" s="272"/>
      <c r="J223" s="273"/>
      <c r="K223" s="272"/>
      <c r="L223" s="273"/>
      <c r="M223" s="272"/>
      <c r="N223" s="273"/>
      <c r="O223" s="272"/>
      <c r="P223" s="273"/>
      <c r="Q223" s="272"/>
      <c r="R223" s="273"/>
      <c r="S223" s="272"/>
      <c r="T223" s="273"/>
      <c r="U223" s="272"/>
      <c r="V223" s="273"/>
      <c r="W223" s="272"/>
      <c r="X223" s="273"/>
      <c r="Y223" s="272"/>
      <c r="Z223" s="273"/>
      <c r="AA223" s="272"/>
      <c r="AB223" s="273"/>
      <c r="AC223" s="272"/>
      <c r="AD223" s="273"/>
      <c r="AE223" s="272"/>
      <c r="AF223" s="212"/>
    </row>
    <row r="224" spans="1:75" ht="13.5" hidden="1" customHeight="1" thickBot="1">
      <c r="A224" s="211"/>
      <c r="B224" s="274"/>
      <c r="C224" s="205"/>
      <c r="D224" s="274"/>
      <c r="E224" s="205"/>
      <c r="F224" s="274"/>
      <c r="G224" s="205"/>
      <c r="H224" s="274"/>
      <c r="I224" s="205"/>
      <c r="J224" s="274"/>
      <c r="K224" s="205"/>
      <c r="L224" s="274"/>
      <c r="M224" s="205"/>
      <c r="N224" s="274"/>
      <c r="O224" s="205"/>
      <c r="P224" s="274"/>
      <c r="Q224" s="205"/>
      <c r="R224" s="274"/>
      <c r="S224" s="205"/>
      <c r="T224" s="274"/>
      <c r="U224" s="205"/>
      <c r="V224" s="274"/>
      <c r="W224" s="205"/>
      <c r="X224" s="274"/>
      <c r="Y224" s="205"/>
      <c r="Z224" s="274"/>
      <c r="AA224" s="205"/>
      <c r="AB224" s="274"/>
      <c r="AC224" s="205"/>
      <c r="AD224" s="274"/>
      <c r="AE224" s="205"/>
      <c r="AF224" s="212"/>
    </row>
    <row r="225" spans="1:74" ht="13.5" hidden="1" customHeight="1">
      <c r="A225" s="211"/>
      <c r="B225" s="260"/>
      <c r="C225" s="260"/>
      <c r="D225" s="260"/>
      <c r="E225" s="260"/>
      <c r="F225" s="260"/>
      <c r="G225" s="260"/>
      <c r="H225" s="260"/>
      <c r="I225" s="260"/>
      <c r="J225" s="260"/>
      <c r="K225" s="260"/>
      <c r="L225" s="260"/>
      <c r="M225" s="260"/>
      <c r="N225" s="265"/>
      <c r="O225" s="260"/>
      <c r="P225" s="260"/>
      <c r="Q225" s="260"/>
      <c r="R225" s="260"/>
      <c r="S225" s="260"/>
      <c r="T225" s="260"/>
      <c r="U225" s="260"/>
      <c r="V225" s="260"/>
      <c r="W225" s="260"/>
      <c r="X225" s="260"/>
      <c r="Y225" s="260"/>
      <c r="Z225" s="260"/>
      <c r="AA225" s="260"/>
      <c r="AB225" s="265"/>
      <c r="AC225" s="260"/>
      <c r="AD225" s="260"/>
      <c r="AE225" s="260"/>
      <c r="AF225" s="212"/>
    </row>
    <row r="226" spans="1:74" ht="13.5" hidden="1" customHeight="1">
      <c r="A226" s="211"/>
      <c r="B226" s="205"/>
      <c r="C226" s="260"/>
      <c r="D226" s="205"/>
      <c r="E226" s="260"/>
      <c r="F226" s="205"/>
      <c r="G226" s="260"/>
      <c r="H226" s="205"/>
      <c r="I226" s="260"/>
      <c r="J226" s="205"/>
      <c r="K226" s="205"/>
      <c r="L226" s="205"/>
      <c r="M226" s="205"/>
      <c r="N226" s="205"/>
      <c r="O226" s="205"/>
      <c r="P226" s="205"/>
      <c r="Q226" s="205"/>
      <c r="R226" s="205"/>
      <c r="S226" s="205"/>
      <c r="T226" s="205"/>
      <c r="U226" s="260"/>
      <c r="V226" s="205"/>
      <c r="W226" s="260"/>
      <c r="X226" s="205"/>
      <c r="Y226" s="260"/>
      <c r="Z226" s="205"/>
      <c r="AA226" s="205"/>
      <c r="AB226" s="205"/>
      <c r="AC226" s="205"/>
      <c r="AD226" s="205"/>
      <c r="AE226" s="205"/>
      <c r="AF226" s="212"/>
    </row>
    <row r="227" spans="1:74" ht="13.5" hidden="1" customHeight="1" thickBot="1">
      <c r="A227" s="266"/>
      <c r="B227" s="267"/>
      <c r="C227" s="267"/>
      <c r="D227" s="267"/>
      <c r="E227" s="267"/>
      <c r="F227" s="267"/>
      <c r="G227" s="267"/>
      <c r="H227" s="267"/>
      <c r="I227" s="267"/>
      <c r="J227" s="267"/>
      <c r="K227" s="267"/>
      <c r="L227" s="267"/>
      <c r="M227" s="267"/>
      <c r="N227" s="267"/>
      <c r="O227" s="267"/>
      <c r="P227" s="267"/>
      <c r="Q227" s="267"/>
      <c r="R227" s="267"/>
      <c r="S227" s="267"/>
      <c r="T227" s="267"/>
      <c r="U227" s="267"/>
      <c r="V227" s="267"/>
      <c r="W227" s="267"/>
      <c r="X227" s="267"/>
      <c r="Y227" s="267"/>
      <c r="Z227" s="267"/>
      <c r="AA227" s="267"/>
      <c r="AB227" s="267"/>
      <c r="AC227" s="267"/>
      <c r="AD227" s="267"/>
      <c r="AE227" s="267"/>
      <c r="AF227" s="268"/>
    </row>
    <row r="228" spans="1:74" ht="13.5" customHeight="1">
      <c r="E228" s="167"/>
      <c r="G228" s="167"/>
      <c r="I228" s="167"/>
      <c r="M228" s="167"/>
      <c r="BV228" s="204"/>
    </row>
    <row r="229" spans="1:74" ht="13.5" customHeight="1">
      <c r="E229" s="167"/>
      <c r="G229" s="167"/>
      <c r="I229" s="167"/>
      <c r="M229" s="167"/>
    </row>
    <row r="230" spans="1:74" ht="13.5" customHeight="1">
      <c r="E230" s="167"/>
      <c r="G230" s="167"/>
      <c r="I230" s="167"/>
      <c r="M230" s="167"/>
    </row>
    <row r="231" spans="1:74" ht="13.5" customHeight="1">
      <c r="E231" s="167"/>
      <c r="G231" s="167"/>
      <c r="I231" s="167"/>
      <c r="M231" s="167"/>
    </row>
    <row r="232" spans="1:74" ht="13.5" customHeight="1">
      <c r="E232" s="167"/>
      <c r="G232" s="167"/>
      <c r="I232" s="167"/>
      <c r="M232" s="167"/>
    </row>
    <row r="233" spans="1:74" ht="13.5" customHeight="1">
      <c r="E233" s="167"/>
      <c r="G233" s="167"/>
      <c r="I233" s="167"/>
      <c r="M233" s="167"/>
    </row>
    <row r="234" spans="1:74" ht="13.5" customHeight="1">
      <c r="E234" s="167"/>
      <c r="G234" s="167"/>
      <c r="I234" s="167"/>
      <c r="M234" s="167"/>
    </row>
    <row r="235" spans="1:74" ht="13.5" customHeight="1">
      <c r="E235" s="167"/>
      <c r="G235" s="167"/>
      <c r="I235" s="167"/>
      <c r="M235" s="167"/>
    </row>
    <row r="236" spans="1:74" ht="13.5" customHeight="1">
      <c r="E236" s="167"/>
      <c r="G236" s="167"/>
      <c r="I236" s="167"/>
      <c r="M236" s="167"/>
    </row>
    <row r="237" spans="1:74" ht="13.5" customHeight="1">
      <c r="E237" s="167"/>
      <c r="G237" s="167"/>
      <c r="I237" s="167"/>
      <c r="M237" s="167"/>
    </row>
    <row r="238" spans="1:74" ht="13.5" customHeight="1">
      <c r="E238" s="167"/>
      <c r="G238" s="167"/>
      <c r="I238" s="167"/>
      <c r="M238" s="167"/>
    </row>
    <row r="239" spans="1:74" ht="13.5" customHeight="1">
      <c r="G239" s="167"/>
      <c r="I239" s="167"/>
    </row>
    <row r="240" spans="1:74" ht="13.5" customHeight="1">
      <c r="G240" s="167"/>
      <c r="I240" s="167"/>
    </row>
    <row r="241" spans="7:9" ht="13.5" customHeight="1">
      <c r="G241" s="167"/>
      <c r="I241" s="167"/>
    </row>
    <row r="242" spans="7:9" ht="13.5" customHeight="1">
      <c r="G242" s="167"/>
      <c r="I242" s="167"/>
    </row>
    <row r="243" spans="7:9" ht="13.5" customHeight="1">
      <c r="G243" s="167"/>
      <c r="I243" s="167"/>
    </row>
    <row r="244" spans="7:9" ht="13.5" customHeight="1">
      <c r="G244" s="167"/>
      <c r="I244" s="167"/>
    </row>
    <row r="245" spans="7:9" ht="12.6" customHeight="1">
      <c r="G245" s="167"/>
      <c r="I245" s="167"/>
    </row>
    <row r="246" spans="7:9" ht="12.6" customHeight="1">
      <c r="G246" s="167"/>
      <c r="I246" s="167"/>
    </row>
    <row r="247" spans="7:9" ht="12.6" customHeight="1">
      <c r="G247" s="167"/>
      <c r="I247" s="167"/>
    </row>
    <row r="248" spans="7:9" ht="12.6" customHeight="1">
      <c r="G248" s="167"/>
      <c r="I248" s="167"/>
    </row>
    <row r="249" spans="7:9" ht="12.6" customHeight="1">
      <c r="G249" s="167"/>
      <c r="I249" s="167"/>
    </row>
    <row r="250" spans="7:9" ht="12.6" customHeight="1">
      <c r="G250" s="167"/>
      <c r="I250" s="167"/>
    </row>
    <row r="251" spans="7:9" ht="12.6" customHeight="1">
      <c r="G251" s="167"/>
      <c r="I251" s="167"/>
    </row>
    <row r="252" spans="7:9" ht="12.6" customHeight="1">
      <c r="G252" s="167"/>
      <c r="I252" s="167"/>
    </row>
    <row r="253" spans="7:9" ht="12.6" customHeight="1">
      <c r="G253" s="167"/>
      <c r="I253" s="167"/>
    </row>
    <row r="254" spans="7:9" ht="12.6" customHeight="1">
      <c r="G254" s="167"/>
      <c r="I254" s="167"/>
    </row>
    <row r="255" spans="7:9" ht="12.6" customHeight="1">
      <c r="G255" s="167"/>
      <c r="I255" s="167"/>
    </row>
    <row r="256" spans="7:9" ht="12.6" customHeight="1">
      <c r="G256" s="167"/>
      <c r="I256" s="167"/>
    </row>
    <row r="257" spans="7:9" ht="12.6" customHeight="1">
      <c r="G257" s="167"/>
      <c r="I257" s="167"/>
    </row>
    <row r="258" spans="7:9" ht="12.6" customHeight="1">
      <c r="G258" s="167"/>
      <c r="I258" s="167"/>
    </row>
    <row r="259" spans="7:9" ht="12.6" customHeight="1">
      <c r="G259" s="167"/>
      <c r="I259" s="167"/>
    </row>
    <row r="260" spans="7:9" ht="12.6" customHeight="1">
      <c r="G260" s="167"/>
      <c r="I260" s="167"/>
    </row>
    <row r="261" spans="7:9" ht="12.6" customHeight="1">
      <c r="G261" s="167"/>
      <c r="I261" s="167"/>
    </row>
    <row r="262" spans="7:9" ht="12.6" customHeight="1">
      <c r="G262" s="167"/>
      <c r="I262" s="167"/>
    </row>
    <row r="263" spans="7:9" ht="12.6" customHeight="1">
      <c r="G263" s="167"/>
      <c r="I263" s="167"/>
    </row>
    <row r="264" spans="7:9" ht="12.6" customHeight="1">
      <c r="G264" s="167"/>
      <c r="I264" s="167"/>
    </row>
    <row r="265" spans="7:9" ht="12.6" customHeight="1">
      <c r="G265" s="167"/>
      <c r="I265" s="167"/>
    </row>
    <row r="266" spans="7:9" ht="12.6" customHeight="1">
      <c r="G266" s="167"/>
      <c r="I266" s="167"/>
    </row>
    <row r="267" spans="7:9" ht="12.6" customHeight="1">
      <c r="G267" s="167"/>
      <c r="I267" s="167"/>
    </row>
    <row r="268" spans="7:9" ht="12.6" customHeight="1">
      <c r="G268" s="167"/>
      <c r="I268" s="167"/>
    </row>
    <row r="269" spans="7:9" ht="12.6" customHeight="1">
      <c r="G269" s="167"/>
      <c r="I269" s="167"/>
    </row>
    <row r="270" spans="7:9" ht="12.6" customHeight="1">
      <c r="G270" s="167"/>
      <c r="I270" s="167"/>
    </row>
    <row r="271" spans="7:9" ht="12.6" customHeight="1">
      <c r="G271" s="167"/>
      <c r="I271" s="167"/>
    </row>
    <row r="272" spans="7:9" ht="12.6" customHeight="1">
      <c r="G272" s="167"/>
      <c r="I272" s="167"/>
    </row>
    <row r="273" spans="7:7" ht="12.6" customHeight="1">
      <c r="G273" s="167"/>
    </row>
    <row r="274" spans="7:7" ht="12.6" customHeight="1">
      <c r="G274" s="167"/>
    </row>
    <row r="275" spans="7:7" ht="12.6" customHeight="1"/>
    <row r="276" spans="7:7" ht="12.6" customHeight="1"/>
    <row r="277" spans="7:7" ht="12.6" customHeight="1"/>
    <row r="278" spans="7:7" ht="12.6" customHeight="1"/>
    <row r="279" spans="7:7" ht="12.6" customHeight="1"/>
    <row r="280" spans="7:7" ht="12.6" customHeight="1"/>
    <row r="281" spans="7:7" ht="12.6" customHeight="1"/>
    <row r="282" spans="7:7" ht="12.6" customHeight="1"/>
    <row r="283" spans="7:7" ht="12.6" customHeight="1"/>
    <row r="284" spans="7:7" ht="12.6" customHeight="1"/>
    <row r="285" spans="7:7" ht="12.6" customHeight="1"/>
    <row r="286" spans="7:7" ht="12.6" customHeight="1"/>
    <row r="287" spans="7:7" ht="12.6" customHeight="1"/>
    <row r="288" spans="7:7" ht="12.6" customHeight="1"/>
    <row r="289" ht="12.6" customHeight="1"/>
    <row r="290" ht="12.6" customHeight="1"/>
    <row r="291" ht="12.6" customHeight="1"/>
    <row r="292" ht="12.6" customHeight="1"/>
    <row r="293" ht="12.6" customHeight="1"/>
    <row r="294" ht="12.6" customHeight="1"/>
    <row r="295" ht="12.6" customHeight="1"/>
    <row r="296" ht="12.6" customHeight="1"/>
    <row r="297" ht="12.6" customHeight="1"/>
    <row r="298" ht="12.6" customHeight="1"/>
    <row r="299" ht="12.6" customHeight="1"/>
    <row r="300" ht="12.6" customHeight="1"/>
    <row r="301" ht="12.6" customHeight="1"/>
    <row r="302" ht="12.6" customHeight="1"/>
    <row r="303" ht="12.6" customHeight="1"/>
    <row r="304" ht="12.6" customHeight="1"/>
    <row r="305" ht="12.6" customHeight="1"/>
    <row r="306" ht="12.6" customHeight="1"/>
    <row r="307" ht="12.6" customHeight="1"/>
    <row r="308" ht="12.6" customHeight="1"/>
    <row r="309" ht="12.6" customHeight="1"/>
    <row r="310" ht="12.6" customHeight="1"/>
    <row r="311" ht="12.6" customHeight="1"/>
    <row r="312" ht="12.6" customHeight="1"/>
    <row r="313" ht="12.6" customHeight="1"/>
    <row r="314" ht="12.6" customHeight="1"/>
    <row r="315" ht="12.6" customHeight="1"/>
    <row r="316" ht="12.6" customHeight="1"/>
    <row r="317" ht="12.6" customHeight="1"/>
    <row r="318" ht="12.6" customHeight="1"/>
    <row r="319" ht="12.6" customHeight="1"/>
    <row r="320" ht="12.6" customHeight="1"/>
    <row r="321" ht="12.6" customHeight="1"/>
    <row r="322" ht="12.6" customHeight="1"/>
    <row r="323" ht="12.6" customHeight="1"/>
    <row r="324" ht="12.6" customHeight="1"/>
    <row r="325" ht="12.6" customHeight="1"/>
    <row r="326" ht="12.6" customHeight="1"/>
    <row r="327" ht="12.6" customHeight="1"/>
    <row r="328" ht="12.6" customHeight="1"/>
    <row r="329" ht="12.6" customHeight="1"/>
    <row r="330" ht="12.6" customHeight="1"/>
    <row r="331" ht="12.6" customHeight="1"/>
    <row r="332" ht="12.6" customHeight="1"/>
    <row r="333" ht="12.6" customHeight="1"/>
    <row r="334" ht="12.6" customHeight="1"/>
    <row r="335" ht="12.6" customHeight="1"/>
    <row r="336" ht="12.6" customHeight="1"/>
    <row r="337" ht="12.6" customHeight="1"/>
    <row r="338" ht="12.6" customHeight="1"/>
    <row r="339" ht="12.6" customHeight="1"/>
    <row r="340" ht="12.6" customHeight="1"/>
    <row r="341" ht="12.6" customHeight="1"/>
    <row r="342" ht="12.6" customHeight="1"/>
    <row r="343" ht="12.6" customHeight="1"/>
    <row r="344" ht="12.6" customHeight="1"/>
    <row r="345" ht="12.6" customHeight="1"/>
    <row r="346" ht="12.6" customHeight="1"/>
    <row r="347" ht="12.6" customHeight="1"/>
    <row r="348" ht="12.6" customHeight="1"/>
    <row r="349" ht="12.6" customHeight="1"/>
    <row r="350" ht="12.6" customHeight="1"/>
    <row r="351" ht="12.6" customHeight="1"/>
    <row r="352" ht="12.6" customHeight="1"/>
    <row r="353" ht="12.6" customHeight="1"/>
    <row r="354" ht="12.6" customHeight="1"/>
    <row r="355" ht="12.6" customHeight="1"/>
    <row r="356" ht="12.6" customHeight="1"/>
    <row r="357" ht="12.6" customHeight="1"/>
    <row r="358" ht="12.6" customHeight="1"/>
    <row r="359" ht="12.6" customHeight="1"/>
    <row r="360" ht="12.6" customHeight="1"/>
    <row r="361" ht="12.6" customHeight="1"/>
    <row r="362" ht="12.6" customHeight="1"/>
    <row r="363" ht="12.6" customHeight="1"/>
    <row r="364" ht="12.6" customHeight="1"/>
    <row r="365" ht="12.6" customHeight="1"/>
    <row r="366" ht="12.6" customHeight="1"/>
    <row r="367" ht="12.6" customHeight="1"/>
    <row r="368" ht="12.6" customHeight="1"/>
    <row r="369" ht="12.6" customHeight="1"/>
    <row r="370" ht="12.6" customHeight="1"/>
    <row r="371" ht="12.6" customHeight="1"/>
    <row r="372" ht="12.6" customHeight="1"/>
    <row r="373" ht="12.6" customHeight="1"/>
    <row r="374" ht="12.6" customHeight="1"/>
    <row r="375" ht="12.6" customHeight="1"/>
    <row r="376" ht="12.6" customHeight="1"/>
    <row r="377" ht="12.6" customHeight="1"/>
    <row r="378" ht="12.6" customHeight="1"/>
    <row r="379" ht="12.6" customHeight="1"/>
    <row r="380" ht="12.6" customHeight="1"/>
    <row r="381" ht="12.6" customHeight="1"/>
    <row r="382" ht="12.6" customHeight="1"/>
    <row r="383" ht="12.6" customHeight="1"/>
    <row r="384" ht="12.6" customHeight="1"/>
    <row r="385" ht="12.6" customHeight="1"/>
    <row r="386" ht="12.6" customHeight="1"/>
    <row r="387" ht="12.6" customHeight="1"/>
    <row r="388" ht="12.6" customHeight="1"/>
    <row r="389" ht="12.6" customHeight="1"/>
    <row r="390" ht="12.6" customHeight="1"/>
    <row r="391" ht="12.6" customHeight="1"/>
    <row r="392" ht="12.6" customHeight="1"/>
    <row r="393" ht="12.6" customHeight="1"/>
    <row r="394" ht="12.6" customHeight="1"/>
    <row r="395" ht="12.6" customHeight="1"/>
    <row r="396" ht="12.6" customHeight="1"/>
    <row r="397" ht="12.6" customHeight="1"/>
    <row r="398" ht="12.6" customHeight="1"/>
    <row r="399" ht="12.6" customHeight="1"/>
    <row r="400" ht="12.6" customHeight="1"/>
    <row r="401" ht="12.6" customHeight="1"/>
    <row r="402" ht="12.6" customHeight="1"/>
    <row r="403" ht="12.6" customHeight="1"/>
    <row r="404" ht="12.6" customHeight="1"/>
    <row r="405" ht="12.6" customHeight="1"/>
    <row r="406" ht="12.6" customHeight="1"/>
    <row r="407" ht="12.6" customHeight="1"/>
    <row r="408" ht="12.6" customHeight="1"/>
    <row r="409" ht="12.6" customHeight="1"/>
    <row r="410" ht="12.6" customHeight="1"/>
    <row r="411" ht="12.6" customHeight="1"/>
    <row r="412" ht="12.6" customHeight="1"/>
    <row r="413" ht="12.6" customHeight="1"/>
    <row r="414" ht="12.6" customHeight="1"/>
    <row r="415" ht="12.6" customHeight="1"/>
    <row r="416" ht="12.6" customHeight="1"/>
    <row r="417" ht="12.6" customHeight="1"/>
    <row r="418" ht="12.6" customHeight="1"/>
    <row r="419" ht="12.6" customHeight="1"/>
    <row r="420" ht="12.6" customHeight="1"/>
    <row r="421" ht="12.6" customHeight="1"/>
    <row r="422" ht="12.6" customHeight="1"/>
    <row r="423" ht="12.6" customHeight="1"/>
    <row r="424" ht="12.6" customHeight="1"/>
    <row r="425" ht="12.6" customHeight="1"/>
    <row r="426" ht="12.6" customHeight="1"/>
    <row r="427" ht="12.6" customHeight="1"/>
    <row r="428" ht="12.6" customHeight="1"/>
    <row r="429" ht="12.6" customHeight="1"/>
    <row r="430" ht="12.6" customHeight="1"/>
    <row r="431" ht="12.6" customHeight="1"/>
    <row r="432" ht="12.6" customHeight="1"/>
    <row r="433" ht="12.6" customHeight="1"/>
    <row r="434" ht="12.6" customHeight="1"/>
    <row r="435" ht="12.6" customHeight="1"/>
    <row r="436" ht="12.6" customHeight="1"/>
    <row r="437" ht="12.6" customHeight="1"/>
    <row r="438" ht="12.6" customHeight="1"/>
    <row r="439" ht="12.6" customHeight="1"/>
    <row r="440" ht="12.6" customHeight="1"/>
    <row r="441" ht="12.6" customHeight="1"/>
    <row r="442" ht="12.6" customHeight="1"/>
    <row r="443" ht="12.6" customHeight="1"/>
    <row r="444" ht="12.6" customHeight="1"/>
    <row r="445" ht="12.6" customHeight="1"/>
    <row r="446" ht="12.6" customHeight="1"/>
    <row r="447" ht="12.6" customHeight="1"/>
    <row r="448" ht="12.6" customHeight="1"/>
    <row r="449" ht="12.6" customHeight="1"/>
    <row r="450" ht="12.6" customHeight="1"/>
    <row r="451" ht="12.6" customHeight="1"/>
    <row r="452" ht="12.6" customHeight="1"/>
    <row r="453" ht="12.6" customHeight="1"/>
    <row r="454" ht="12.6" customHeight="1"/>
    <row r="455" ht="12.6" customHeight="1"/>
    <row r="456" ht="12.6" customHeight="1"/>
    <row r="457" ht="12.6" customHeight="1"/>
    <row r="458" ht="12.6" customHeight="1"/>
    <row r="459" ht="12.6" customHeight="1"/>
    <row r="460" ht="12.6" customHeight="1"/>
    <row r="461" ht="12.6" customHeight="1"/>
    <row r="462" ht="12.6" customHeight="1"/>
    <row r="463" ht="12.6" customHeight="1"/>
    <row r="464" ht="12.6" customHeight="1"/>
    <row r="465" ht="12.6" customHeight="1"/>
    <row r="466" ht="12.6" customHeight="1"/>
    <row r="467" ht="12.6" customHeight="1"/>
    <row r="468" ht="12.6" customHeight="1"/>
    <row r="469" ht="12.6" customHeight="1"/>
    <row r="470" ht="12.6" customHeight="1"/>
    <row r="471" ht="12.6" customHeight="1"/>
    <row r="472" ht="12.6" customHeight="1"/>
    <row r="473" ht="12.6" customHeight="1"/>
    <row r="474" ht="12.6" customHeight="1"/>
    <row r="475" ht="12.6" customHeight="1"/>
    <row r="476" ht="12.6" customHeight="1"/>
    <row r="477" ht="12.6" customHeight="1"/>
    <row r="478" ht="12.6" customHeight="1"/>
    <row r="479" ht="12.6" customHeight="1"/>
    <row r="480" ht="12.6" customHeight="1"/>
    <row r="481" ht="12.6" customHeight="1"/>
    <row r="482" ht="12.6" customHeight="1"/>
    <row r="483" ht="12.6" customHeight="1"/>
    <row r="484" ht="12.6" customHeight="1"/>
    <row r="485" ht="12.6" customHeight="1"/>
    <row r="486" ht="12.6" customHeight="1"/>
    <row r="487" ht="12.6" customHeight="1"/>
    <row r="488" ht="12.6" customHeight="1"/>
    <row r="489" ht="12.6" customHeight="1"/>
    <row r="490" ht="12.6" customHeight="1"/>
    <row r="491" ht="12.6" customHeight="1"/>
    <row r="492" ht="12.6" customHeight="1"/>
    <row r="493" ht="12.6" customHeight="1"/>
    <row r="494" ht="12.6" customHeight="1"/>
    <row r="495" ht="12.6" customHeight="1"/>
    <row r="496" ht="12.6" customHeight="1"/>
    <row r="497" ht="12.6" customHeight="1"/>
    <row r="498" ht="12.6" customHeight="1"/>
    <row r="499" ht="12.6" customHeight="1"/>
    <row r="500" ht="12.6" customHeight="1"/>
    <row r="501" ht="12.6" customHeight="1"/>
    <row r="502" ht="12.6" customHeight="1"/>
    <row r="503" ht="12.6" customHeight="1"/>
    <row r="504" ht="12.6" customHeight="1"/>
    <row r="505" ht="12.6" customHeight="1"/>
    <row r="506" ht="12.6" customHeight="1"/>
    <row r="507" ht="12.6" customHeight="1"/>
    <row r="508" ht="12.6" customHeight="1"/>
    <row r="509" ht="12.6" customHeight="1"/>
    <row r="510" ht="12.6" customHeight="1"/>
    <row r="511" ht="12.6" customHeight="1"/>
    <row r="512" ht="12.6" customHeight="1"/>
    <row r="513" ht="12.6" customHeight="1"/>
    <row r="514" ht="12.6" customHeight="1"/>
    <row r="515" ht="12.6" customHeight="1"/>
    <row r="516" ht="12.6" customHeight="1"/>
    <row r="517" ht="12.6" customHeight="1"/>
    <row r="518" ht="12.6" customHeight="1"/>
    <row r="519" ht="12.6" customHeight="1"/>
    <row r="520" ht="12.6" customHeight="1"/>
    <row r="521" ht="12.6" customHeight="1"/>
    <row r="522" ht="12.6" customHeight="1"/>
    <row r="523" ht="12.6" customHeight="1"/>
    <row r="524" ht="12.6" customHeight="1"/>
    <row r="525" ht="12.6" customHeight="1"/>
    <row r="526" ht="12.6" customHeight="1"/>
    <row r="527" ht="12.6" customHeight="1"/>
    <row r="528" ht="12.6" customHeight="1"/>
    <row r="529" ht="12.6" customHeight="1"/>
    <row r="530" ht="12.6" customHeight="1"/>
    <row r="531" ht="12.6" customHeight="1"/>
    <row r="532" ht="12.6" customHeight="1"/>
    <row r="533" ht="12.6" customHeight="1"/>
    <row r="534" ht="12.6" customHeight="1"/>
    <row r="535" ht="12.6" customHeight="1"/>
    <row r="536" ht="12.6" customHeight="1"/>
    <row r="537" ht="12.6" customHeight="1"/>
    <row r="538" ht="12.6" customHeight="1"/>
    <row r="539" ht="12.6" customHeight="1"/>
    <row r="540" ht="12.6" customHeight="1"/>
    <row r="541" ht="12.6" customHeight="1"/>
    <row r="542" ht="12.6" customHeight="1"/>
    <row r="543" ht="12.6" customHeight="1"/>
    <row r="544" ht="12.6" customHeight="1"/>
    <row r="545" ht="12.6" customHeight="1"/>
    <row r="546" ht="12.6" customHeight="1"/>
    <row r="547" ht="12.6" customHeight="1"/>
    <row r="548" ht="12.6" customHeight="1"/>
    <row r="549" ht="12.6" customHeight="1"/>
    <row r="550" ht="12.6" customHeight="1"/>
    <row r="551" ht="12.6" customHeight="1"/>
    <row r="552" ht="12.6" customHeight="1"/>
    <row r="553" ht="12.6" customHeight="1"/>
    <row r="554" ht="12.6" customHeight="1"/>
    <row r="555" ht="12.6" customHeight="1"/>
    <row r="556" ht="12.6" customHeight="1"/>
    <row r="557" ht="12.6" customHeight="1"/>
    <row r="558" ht="12.6" customHeight="1"/>
    <row r="559" ht="12.6" customHeight="1"/>
    <row r="560" ht="12.6" customHeight="1"/>
    <row r="561" ht="12.6" customHeight="1"/>
    <row r="562" ht="12.6" customHeight="1"/>
    <row r="563" ht="12.6" customHeight="1"/>
    <row r="564" ht="12.6" customHeight="1"/>
    <row r="565" ht="12.6" customHeight="1"/>
    <row r="566" ht="12.6" customHeight="1"/>
    <row r="567" ht="12.6" customHeight="1"/>
    <row r="568" ht="12.6" customHeight="1"/>
    <row r="569" ht="12.6" customHeight="1"/>
    <row r="570" ht="12.6" customHeight="1"/>
    <row r="571" ht="12.6" customHeight="1"/>
    <row r="572" ht="12.6" customHeight="1"/>
    <row r="573" ht="12.6" customHeight="1"/>
    <row r="574" ht="12.6" customHeight="1"/>
    <row r="575" ht="12.6" customHeight="1"/>
    <row r="576" ht="12.6" customHeight="1"/>
    <row r="577" ht="12.6" customHeight="1"/>
    <row r="578" ht="12.6" customHeight="1"/>
    <row r="579" ht="12.6" customHeight="1"/>
    <row r="580" ht="12.6" customHeight="1"/>
    <row r="581" ht="12.6" customHeight="1"/>
    <row r="582" ht="12.6" customHeight="1"/>
    <row r="583" ht="12.6" customHeight="1"/>
    <row r="584" ht="12.6" customHeight="1"/>
    <row r="585" ht="12.6" customHeight="1"/>
    <row r="586" ht="12.6" customHeight="1"/>
    <row r="587" ht="12.6" customHeight="1"/>
    <row r="588" ht="12.6" customHeight="1"/>
    <row r="589" ht="12.6" customHeight="1"/>
    <row r="590" ht="12.6" customHeight="1"/>
    <row r="591" ht="12.6" customHeight="1"/>
    <row r="592" ht="12.6" customHeight="1"/>
    <row r="593" ht="12.6" customHeight="1"/>
    <row r="594" ht="12.6" customHeight="1"/>
    <row r="595" ht="12.6" customHeight="1"/>
    <row r="596" ht="12.6" customHeight="1"/>
    <row r="597" ht="12.6" customHeight="1"/>
    <row r="598" ht="12.6" customHeight="1"/>
    <row r="599" ht="12.6" customHeight="1"/>
    <row r="600" ht="12.6" customHeight="1"/>
    <row r="601" ht="12.6" customHeight="1"/>
    <row r="602" ht="12.6" customHeight="1"/>
    <row r="603" ht="12.6" customHeight="1"/>
    <row r="604" ht="12.6" customHeight="1"/>
    <row r="605" ht="12.6" customHeight="1"/>
    <row r="606" ht="12.6" customHeight="1"/>
    <row r="607" ht="12.6" customHeight="1"/>
    <row r="608" ht="12.6" customHeight="1"/>
    <row r="609" ht="12.6" customHeight="1"/>
    <row r="610" ht="12.6" customHeight="1"/>
    <row r="611" ht="12.6" customHeight="1"/>
    <row r="612" ht="12.6" customHeight="1"/>
    <row r="613" ht="12.6" customHeight="1"/>
    <row r="614" ht="12.6" customHeight="1"/>
    <row r="615" ht="12.6" customHeight="1"/>
    <row r="616" ht="12.6" customHeight="1"/>
    <row r="617" ht="12.6" customHeight="1"/>
    <row r="618" ht="12.6" customHeight="1"/>
    <row r="619" ht="12.6" customHeight="1"/>
    <row r="620" ht="12.6" customHeight="1"/>
    <row r="621" ht="12.6" customHeight="1"/>
    <row r="622" ht="12.6" customHeight="1"/>
    <row r="623" ht="12.6" customHeight="1"/>
    <row r="624" ht="12.6" customHeight="1"/>
    <row r="625" ht="12.6" customHeight="1"/>
    <row r="626" ht="12.6" customHeight="1"/>
    <row r="627" ht="12.6" customHeight="1"/>
    <row r="628" ht="12.6" customHeight="1"/>
    <row r="629" ht="12.6" customHeight="1"/>
    <row r="630" ht="12.6" customHeight="1"/>
    <row r="631" ht="12.6" customHeight="1"/>
    <row r="632" ht="12.6" customHeight="1"/>
    <row r="633" ht="12.6" customHeight="1"/>
    <row r="634" ht="12.6" customHeight="1"/>
    <row r="635" ht="12.6" customHeight="1"/>
    <row r="636" ht="12.6" customHeight="1"/>
    <row r="637" ht="12.6" customHeight="1"/>
    <row r="638" ht="12.6" customHeight="1"/>
    <row r="639" ht="12.6" customHeight="1"/>
    <row r="640" ht="12.6" customHeight="1"/>
    <row r="641" ht="12.6" customHeight="1"/>
    <row r="642" ht="12.6" customHeight="1"/>
    <row r="643" ht="12.6" customHeight="1"/>
    <row r="644" ht="12.6" customHeight="1"/>
    <row r="645" ht="12.6" customHeight="1"/>
    <row r="646" ht="12.6" customHeight="1"/>
    <row r="647" ht="12.6" customHeight="1"/>
    <row r="648" ht="12.6" customHeight="1"/>
    <row r="649" ht="12.6" customHeight="1"/>
    <row r="650" ht="12.6" customHeight="1"/>
    <row r="651" ht="12.6" customHeight="1"/>
    <row r="652" ht="12.6" customHeight="1"/>
    <row r="653" ht="12.6" customHeight="1"/>
    <row r="654" ht="12.6" customHeight="1"/>
    <row r="655" ht="12.6" customHeight="1"/>
    <row r="656" ht="12.6" customHeight="1"/>
    <row r="657" ht="12.6" customHeight="1"/>
    <row r="658" ht="12.6" customHeight="1"/>
    <row r="659" ht="12.6" customHeight="1"/>
    <row r="660" ht="12.6" customHeight="1"/>
    <row r="661" ht="12.6" customHeight="1"/>
    <row r="662" ht="12.6" customHeight="1"/>
    <row r="663" ht="12.6" customHeight="1"/>
    <row r="664" ht="12.6" customHeight="1"/>
    <row r="665" ht="12.6" customHeight="1"/>
    <row r="666" ht="12.6" customHeight="1"/>
    <row r="667" ht="12.6" customHeight="1"/>
    <row r="668" ht="12.6" customHeight="1"/>
    <row r="669" ht="12.6" customHeight="1"/>
    <row r="670" ht="12.6" customHeight="1"/>
    <row r="671" ht="12.6" customHeight="1"/>
    <row r="672" ht="12.6" customHeight="1"/>
    <row r="673" ht="12.6" customHeight="1"/>
    <row r="674" ht="12.6" customHeight="1"/>
    <row r="675" ht="12.6" customHeight="1"/>
    <row r="676" ht="12.6" customHeight="1"/>
    <row r="677" ht="12.6" customHeight="1"/>
    <row r="678" ht="12.6" customHeight="1"/>
    <row r="679" ht="12.6" customHeight="1"/>
    <row r="680" ht="12.6" customHeight="1"/>
    <row r="681" ht="12.6" customHeight="1"/>
    <row r="682" ht="12.6" customHeight="1"/>
    <row r="683" ht="12.6" customHeight="1"/>
    <row r="684" ht="12.6" customHeight="1"/>
    <row r="685" ht="12.6" customHeight="1"/>
    <row r="686" ht="12.6" customHeight="1"/>
    <row r="687" ht="12.6" customHeight="1"/>
    <row r="688" ht="12.6" customHeight="1"/>
    <row r="689" ht="12.6" customHeight="1"/>
    <row r="690" ht="12.6" customHeight="1"/>
    <row r="691" ht="12.6" customHeight="1"/>
    <row r="692" ht="12.6" customHeight="1"/>
    <row r="693" ht="12.6" customHeight="1"/>
    <row r="694" ht="12.6" customHeight="1"/>
    <row r="695" ht="12.6" customHeight="1"/>
    <row r="696" ht="12.6" customHeight="1"/>
    <row r="697" ht="12.6" customHeight="1"/>
    <row r="698" ht="12.6" customHeight="1"/>
    <row r="699" ht="12.6" customHeight="1"/>
    <row r="700" ht="12.6" customHeight="1"/>
    <row r="701" ht="12.6" customHeight="1"/>
    <row r="702" ht="12.6" customHeight="1"/>
    <row r="703" ht="12.6" customHeight="1"/>
    <row r="704" ht="12.6" customHeight="1"/>
    <row r="705" ht="12.6" customHeight="1"/>
    <row r="706" ht="12.6" customHeight="1"/>
    <row r="707" ht="12.6" customHeight="1"/>
    <row r="708" ht="12.6" customHeight="1"/>
    <row r="709" ht="12.6" customHeight="1"/>
    <row r="710" ht="12.6" customHeight="1"/>
    <row r="711" ht="12.6" customHeight="1"/>
    <row r="712" ht="12.6" customHeight="1"/>
    <row r="713" ht="12.6" customHeight="1"/>
    <row r="714" ht="12.6" customHeight="1"/>
    <row r="715" ht="12.6" customHeight="1"/>
    <row r="716" ht="12.6" customHeight="1"/>
    <row r="717" ht="12.6" customHeight="1"/>
    <row r="718" ht="12.6" customHeight="1"/>
    <row r="719" ht="12.6" customHeight="1"/>
    <row r="720" ht="12.6" customHeight="1"/>
    <row r="721" ht="12.6" customHeight="1"/>
    <row r="722" ht="12.6" customHeight="1"/>
    <row r="723" ht="12.6" customHeight="1"/>
    <row r="724" ht="12.6" customHeight="1"/>
    <row r="725" ht="12.6" customHeight="1"/>
    <row r="726" ht="12.6" customHeight="1"/>
    <row r="727" ht="12.6" customHeight="1"/>
    <row r="728" ht="12.6" customHeight="1"/>
    <row r="729" ht="12.6" customHeight="1"/>
    <row r="730" ht="12.6" customHeight="1"/>
    <row r="731" ht="12.6" customHeight="1"/>
    <row r="732" ht="12.6" customHeight="1"/>
    <row r="733" ht="12.6" customHeight="1"/>
    <row r="734" ht="12.6" customHeight="1"/>
    <row r="735" ht="12.6" customHeight="1"/>
    <row r="736" ht="12.6" customHeight="1"/>
    <row r="737" ht="12.6" customHeight="1"/>
    <row r="738" ht="12.6" customHeight="1"/>
    <row r="739" ht="12.6" customHeight="1"/>
    <row r="740" ht="12.6" customHeight="1"/>
    <row r="741" ht="12.6" customHeight="1"/>
    <row r="742" ht="12.6" customHeight="1"/>
    <row r="743" ht="12.6" customHeight="1"/>
    <row r="744" ht="12.6" customHeight="1"/>
    <row r="745" ht="12.6" customHeight="1"/>
    <row r="746" ht="12.6" customHeight="1"/>
    <row r="747" ht="12.6" customHeight="1"/>
    <row r="748" ht="12.6" customHeight="1"/>
    <row r="749" ht="12.6" customHeight="1"/>
    <row r="750" ht="12.6" customHeight="1"/>
    <row r="751" ht="12.6" customHeight="1"/>
    <row r="752" ht="12.6" customHeight="1"/>
    <row r="753" ht="12.6" customHeight="1"/>
    <row r="754" ht="12.6" customHeight="1"/>
    <row r="755" ht="12.6" customHeight="1"/>
    <row r="756" ht="12.6" customHeight="1"/>
    <row r="757" ht="12.6" customHeight="1"/>
    <row r="758" ht="12.6" customHeight="1"/>
    <row r="759" ht="12.6" customHeight="1"/>
    <row r="760" ht="12.6" customHeight="1"/>
    <row r="761" ht="12.6" customHeight="1"/>
    <row r="762" ht="12.6" customHeight="1"/>
    <row r="763" ht="12.6" customHeight="1"/>
    <row r="764" ht="12.6" customHeight="1"/>
    <row r="765" ht="12.6" customHeight="1"/>
    <row r="766" ht="12.6" customHeight="1"/>
    <row r="767" ht="12.6" customHeight="1"/>
    <row r="768" ht="12.6" customHeight="1"/>
    <row r="769" ht="12.6" customHeight="1"/>
    <row r="770" ht="12.6" customHeight="1"/>
    <row r="771" ht="12.6" customHeight="1"/>
    <row r="772" ht="12.6" customHeight="1"/>
    <row r="773" ht="12.6" customHeight="1"/>
    <row r="774" ht="12.6" customHeight="1"/>
    <row r="775" ht="12.6" customHeight="1"/>
    <row r="776" ht="12.6" customHeight="1"/>
    <row r="777" ht="12.6" customHeight="1"/>
    <row r="778" ht="12.6" customHeight="1"/>
    <row r="779" ht="12.6" customHeight="1"/>
    <row r="780" ht="12.6" customHeight="1"/>
    <row r="781" ht="12.6" customHeight="1"/>
    <row r="782" ht="12.6" customHeight="1"/>
    <row r="783" ht="12.6" customHeight="1"/>
    <row r="784" ht="12.6" customHeight="1"/>
    <row r="785" ht="12.6" customHeight="1"/>
    <row r="786" ht="12.6" customHeight="1"/>
    <row r="787" ht="12.6" customHeight="1"/>
    <row r="788" ht="12.6" customHeight="1"/>
    <row r="789" ht="12.6" customHeight="1"/>
    <row r="790" ht="12.6" customHeight="1"/>
    <row r="791" ht="12.6" customHeight="1"/>
    <row r="792" ht="12.6" customHeight="1"/>
    <row r="793" ht="12.6" customHeight="1"/>
    <row r="794" ht="12.6" customHeight="1"/>
    <row r="795" ht="12.6" customHeight="1"/>
    <row r="796" ht="12.6" customHeight="1"/>
    <row r="797" ht="12.6" customHeight="1"/>
    <row r="798" ht="12.6" customHeight="1"/>
    <row r="799" ht="12.6" customHeight="1"/>
    <row r="800" ht="12.6" customHeight="1"/>
    <row r="801" ht="12.6" customHeight="1"/>
    <row r="802" ht="12.6" customHeight="1"/>
    <row r="803" ht="12.6" customHeight="1"/>
    <row r="804" ht="12.6" customHeight="1"/>
    <row r="805" ht="12.6" customHeight="1"/>
    <row r="806" ht="12.6" customHeight="1"/>
    <row r="807" ht="12.6" customHeight="1"/>
    <row r="808" ht="12.6" customHeight="1"/>
    <row r="809" ht="12.6" customHeight="1"/>
    <row r="810" ht="12.6" customHeight="1"/>
    <row r="811" ht="12.6" customHeight="1"/>
    <row r="812" ht="12.6" customHeight="1"/>
    <row r="813" ht="12.6" customHeight="1"/>
    <row r="814" ht="12.6" customHeight="1"/>
    <row r="815" ht="12.6" customHeight="1"/>
    <row r="816" ht="12.6" customHeight="1"/>
    <row r="817" ht="12.6" customHeight="1"/>
    <row r="818" ht="12.6" customHeight="1"/>
    <row r="819" ht="12.6" customHeight="1"/>
    <row r="820" ht="12.6" customHeight="1"/>
    <row r="821" ht="12.6" customHeight="1"/>
    <row r="822" ht="12.6" customHeight="1"/>
    <row r="823" ht="12.6" customHeight="1"/>
    <row r="824" ht="12.6" customHeight="1"/>
    <row r="825" ht="12.6" customHeight="1"/>
    <row r="826" ht="12.6" customHeight="1"/>
    <row r="827" ht="12.6" customHeight="1"/>
    <row r="828" ht="12.6" customHeight="1"/>
    <row r="829" ht="12.6" customHeight="1"/>
    <row r="830" ht="12.6" customHeight="1"/>
    <row r="831" ht="12.6" customHeight="1"/>
    <row r="832" ht="12.6" customHeight="1"/>
  </sheetData>
  <mergeCells count="186">
    <mergeCell ref="H42:L42"/>
    <mergeCell ref="N86:N88"/>
    <mergeCell ref="N27:N29"/>
    <mergeCell ref="P27:P29"/>
    <mergeCell ref="R199:R201"/>
    <mergeCell ref="X199:X201"/>
    <mergeCell ref="Z199:Z201"/>
    <mergeCell ref="AB199:AB201"/>
    <mergeCell ref="T75:T77"/>
    <mergeCell ref="V75:V77"/>
    <mergeCell ref="AB50:AB52"/>
    <mergeCell ref="V62:V64"/>
    <mergeCell ref="X62:X64"/>
    <mergeCell ref="Z62:Z64"/>
    <mergeCell ref="AB62:AB64"/>
    <mergeCell ref="AN124:AN134"/>
    <mergeCell ref="AO124:AO134"/>
    <mergeCell ref="AG124:AG134"/>
    <mergeCell ref="AH124:AH134"/>
    <mergeCell ref="AI124:AI134"/>
    <mergeCell ref="AJ124:AJ134"/>
    <mergeCell ref="AK124:AK134"/>
    <mergeCell ref="AL124:AL134"/>
    <mergeCell ref="AM124:AM134"/>
    <mergeCell ref="AO102:AO112"/>
    <mergeCell ref="AG113:AG123"/>
    <mergeCell ref="AH113:AH123"/>
    <mergeCell ref="AI113:AI123"/>
    <mergeCell ref="AJ113:AJ123"/>
    <mergeCell ref="AK113:AK123"/>
    <mergeCell ref="AL113:AL123"/>
    <mergeCell ref="AM113:AM123"/>
    <mergeCell ref="AN113:AN123"/>
    <mergeCell ref="AO113:AO123"/>
    <mergeCell ref="AG102:AG112"/>
    <mergeCell ref="AH102:AH112"/>
    <mergeCell ref="AI102:AI112"/>
    <mergeCell ref="AJ102:AJ112"/>
    <mergeCell ref="AK102:AK112"/>
    <mergeCell ref="AL102:AL112"/>
    <mergeCell ref="AM102:AM112"/>
    <mergeCell ref="AN102:AN112"/>
    <mergeCell ref="AD62:AD64"/>
    <mergeCell ref="R75:R77"/>
    <mergeCell ref="AM80:AM87"/>
    <mergeCell ref="AN80:AN87"/>
    <mergeCell ref="AO80:AO87"/>
    <mergeCell ref="AG88:AG101"/>
    <mergeCell ref="AH88:AH101"/>
    <mergeCell ref="AI88:AI101"/>
    <mergeCell ref="AJ88:AJ101"/>
    <mergeCell ref="AK88:AK101"/>
    <mergeCell ref="AL88:AL101"/>
    <mergeCell ref="AM88:AM101"/>
    <mergeCell ref="AN88:AN101"/>
    <mergeCell ref="AO88:AO101"/>
    <mergeCell ref="AM67:AM68"/>
    <mergeCell ref="AN67:AN68"/>
    <mergeCell ref="AO67:AO68"/>
    <mergeCell ref="AG69:AG79"/>
    <mergeCell ref="AH69:AH79"/>
    <mergeCell ref="AI69:AI79"/>
    <mergeCell ref="AJ69:AJ79"/>
    <mergeCell ref="AK69:AK79"/>
    <mergeCell ref="AL69:AL79"/>
    <mergeCell ref="AM69:AM79"/>
    <mergeCell ref="AN69:AN79"/>
    <mergeCell ref="AO69:AO79"/>
    <mergeCell ref="AM44:AM54"/>
    <mergeCell ref="AN44:AN54"/>
    <mergeCell ref="AO44:AO54"/>
    <mergeCell ref="AG55:AG66"/>
    <mergeCell ref="AH55:AH66"/>
    <mergeCell ref="AI55:AI66"/>
    <mergeCell ref="AJ55:AJ66"/>
    <mergeCell ref="AK55:AK66"/>
    <mergeCell ref="AL55:AL66"/>
    <mergeCell ref="AM55:AM66"/>
    <mergeCell ref="AN55:AN66"/>
    <mergeCell ref="AO55:AO66"/>
    <mergeCell ref="AG10:AI11"/>
    <mergeCell ref="AJ10:AL11"/>
    <mergeCell ref="AM10:AM19"/>
    <mergeCell ref="AN10:AN19"/>
    <mergeCell ref="AO10:AO19"/>
    <mergeCell ref="M11:N11"/>
    <mergeCell ref="M12:N12"/>
    <mergeCell ref="AH12:AH19"/>
    <mergeCell ref="AI12:AI19"/>
    <mergeCell ref="AJ12:AJ19"/>
    <mergeCell ref="AK12:AK19"/>
    <mergeCell ref="AL12:AL19"/>
    <mergeCell ref="M13:N13"/>
    <mergeCell ref="M14:N14"/>
    <mergeCell ref="M15:N15"/>
    <mergeCell ref="M16:N16"/>
    <mergeCell ref="M17:N17"/>
    <mergeCell ref="M18:N18"/>
    <mergeCell ref="M19:N19"/>
    <mergeCell ref="AG12:AG19"/>
    <mergeCell ref="AM1:AO1"/>
    <mergeCell ref="AG2:AO2"/>
    <mergeCell ref="AG3:AI3"/>
    <mergeCell ref="AM3:AM5"/>
    <mergeCell ref="AN3:AN5"/>
    <mergeCell ref="AO3:AO5"/>
    <mergeCell ref="AG4:AG5"/>
    <mergeCell ref="AH4:AH5"/>
    <mergeCell ref="AI4:AI5"/>
    <mergeCell ref="AJ4:AJ5"/>
    <mergeCell ref="AK4:AK5"/>
    <mergeCell ref="AL4:AL5"/>
    <mergeCell ref="AG80:AG87"/>
    <mergeCell ref="AG44:AG54"/>
    <mergeCell ref="AH44:AH54"/>
    <mergeCell ref="AI44:AI54"/>
    <mergeCell ref="AJ44:AJ54"/>
    <mergeCell ref="AK44:AK54"/>
    <mergeCell ref="AL44:AL54"/>
    <mergeCell ref="AJ67:AJ68"/>
    <mergeCell ref="AK67:AK68"/>
    <mergeCell ref="AL67:AL68"/>
    <mergeCell ref="AH80:AH87"/>
    <mergeCell ref="AI80:AI87"/>
    <mergeCell ref="AJ80:AJ87"/>
    <mergeCell ref="AK80:AK87"/>
    <mergeCell ref="AL80:AL87"/>
    <mergeCell ref="AG67:AG68"/>
    <mergeCell ref="AH67:AH68"/>
    <mergeCell ref="AI67:AI68"/>
    <mergeCell ref="B19:D19"/>
    <mergeCell ref="F19:G19"/>
    <mergeCell ref="H19:I19"/>
    <mergeCell ref="J19:K19"/>
    <mergeCell ref="B18:D18"/>
    <mergeCell ref="F18:G18"/>
    <mergeCell ref="H18:I18"/>
    <mergeCell ref="J18:K18"/>
    <mergeCell ref="B17:D17"/>
    <mergeCell ref="F17:G17"/>
    <mergeCell ref="H17:I17"/>
    <mergeCell ref="J17:K17"/>
    <mergeCell ref="B16:D16"/>
    <mergeCell ref="F16:G16"/>
    <mergeCell ref="H16:I16"/>
    <mergeCell ref="J16:K16"/>
    <mergeCell ref="B15:D15"/>
    <mergeCell ref="F15:G15"/>
    <mergeCell ref="H15:I15"/>
    <mergeCell ref="J15:K15"/>
    <mergeCell ref="B14:D14"/>
    <mergeCell ref="F14:G14"/>
    <mergeCell ref="H14:I14"/>
    <mergeCell ref="J14:K14"/>
    <mergeCell ref="B13:D13"/>
    <mergeCell ref="F13:G13"/>
    <mergeCell ref="H13:I13"/>
    <mergeCell ref="J13:K13"/>
    <mergeCell ref="F12:G12"/>
    <mergeCell ref="H12:I12"/>
    <mergeCell ref="J12:K12"/>
    <mergeCell ref="B11:D11"/>
    <mergeCell ref="F11:G11"/>
    <mergeCell ref="H11:I11"/>
    <mergeCell ref="J11:K11"/>
    <mergeCell ref="B12:D12"/>
    <mergeCell ref="A1:AF1"/>
    <mergeCell ref="Q8:Q9"/>
    <mergeCell ref="M10:N10"/>
    <mergeCell ref="A6:K7"/>
    <mergeCell ref="A8:A9"/>
    <mergeCell ref="B8:D9"/>
    <mergeCell ref="E8:E9"/>
    <mergeCell ref="F8:G9"/>
    <mergeCell ref="H8:I9"/>
    <mergeCell ref="AE5:AF5"/>
    <mergeCell ref="L6:Q7"/>
    <mergeCell ref="B10:D10"/>
    <mergeCell ref="F10:G10"/>
    <mergeCell ref="H10:I10"/>
    <mergeCell ref="J10:K10"/>
    <mergeCell ref="J8:K9"/>
    <mergeCell ref="L8:L9"/>
    <mergeCell ref="M8:N9"/>
    <mergeCell ref="O8:O9"/>
    <mergeCell ref="P8:P9"/>
  </mergeCells>
  <printOptions horizontalCentered="1"/>
  <pageMargins left="0.25" right="0.25" top="0.75" bottom="0.75" header="0.3" footer="0.3"/>
  <pageSetup paperSize="9" fitToHeight="0" orientation="landscape" r:id="rId1"/>
  <headerFooter>
    <oddFooter>&amp;F&amp;RPage &amp;P</oddFooter>
  </headerFooter>
  <rowBreaks count="3" manualBreakCount="3">
    <brk id="55" max="31" man="1"/>
    <brk id="112" max="31" man="1"/>
    <brk id="170" max="31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62CE-37CB-4211-B299-24E23AAFD336}">
  <sheetPr codeName="Sheet15"/>
  <dimension ref="A1:N3"/>
  <sheetViews>
    <sheetView workbookViewId="0">
      <selection activeCell="O11" sqref="O11"/>
    </sheetView>
  </sheetViews>
  <sheetFormatPr defaultRowHeight="15"/>
  <cols>
    <col min="6" max="6" width="10.140625" bestFit="1" customWidth="1"/>
    <col min="7" max="7" width="15.140625" customWidth="1"/>
    <col min="8" max="8" width="12.42578125" customWidth="1"/>
    <col min="11" max="11" width="16.140625" bestFit="1" customWidth="1"/>
    <col min="13" max="13" width="15.28515625" customWidth="1"/>
  </cols>
  <sheetData>
    <row r="1" spans="1:14" ht="15.75">
      <c r="A1" s="795" t="s">
        <v>681</v>
      </c>
      <c r="B1" s="796"/>
      <c r="C1" s="796"/>
      <c r="D1" s="796"/>
      <c r="E1" s="796"/>
      <c r="F1" s="796"/>
      <c r="G1" s="796"/>
      <c r="H1" s="796"/>
      <c r="I1" s="796"/>
      <c r="J1" s="796"/>
      <c r="K1" s="796"/>
      <c r="L1" s="797"/>
      <c r="M1" s="259"/>
      <c r="N1" s="255"/>
    </row>
    <row r="2" spans="1:14" ht="62.25">
      <c r="A2" s="309" t="s">
        <v>248</v>
      </c>
      <c r="B2" s="309" t="s">
        <v>342</v>
      </c>
      <c r="C2" s="309" t="s">
        <v>343</v>
      </c>
      <c r="D2" s="309" t="s">
        <v>267</v>
      </c>
      <c r="E2" s="310" t="s">
        <v>682</v>
      </c>
      <c r="F2" s="309" t="s">
        <v>345</v>
      </c>
      <c r="G2" s="309" t="s">
        <v>346</v>
      </c>
      <c r="H2" s="311" t="s">
        <v>347</v>
      </c>
      <c r="I2" s="309" t="s">
        <v>348</v>
      </c>
      <c r="J2" s="309" t="s">
        <v>33</v>
      </c>
      <c r="K2" s="309" t="s">
        <v>349</v>
      </c>
      <c r="L2" s="309" t="s">
        <v>350</v>
      </c>
      <c r="M2" s="309" t="s">
        <v>351</v>
      </c>
      <c r="N2" s="309" t="s">
        <v>474</v>
      </c>
    </row>
    <row r="3" spans="1:14" ht="60">
      <c r="A3" s="11">
        <v>1</v>
      </c>
      <c r="B3" s="11" t="s">
        <v>546</v>
      </c>
      <c r="C3" s="11" t="s">
        <v>296</v>
      </c>
      <c r="D3" s="11" t="s">
        <v>683</v>
      </c>
      <c r="E3" s="11"/>
      <c r="F3" s="308">
        <v>46125</v>
      </c>
      <c r="G3" s="10" t="s">
        <v>684</v>
      </c>
      <c r="H3" s="11"/>
      <c r="I3" s="11"/>
      <c r="J3" s="11"/>
      <c r="K3" s="11" t="s">
        <v>685</v>
      </c>
      <c r="L3" s="11"/>
      <c r="M3" s="11"/>
      <c r="N3" s="11">
        <v>25</v>
      </c>
    </row>
  </sheetData>
  <mergeCells count="1">
    <mergeCell ref="A1:L1"/>
  </mergeCells>
  <conditionalFormatting sqref="B2">
    <cfRule type="duplicateValues" dxfId="119" priority="1"/>
    <cfRule type="duplicateValues" dxfId="118" priority="2"/>
    <cfRule type="duplicateValues" dxfId="117" priority="3"/>
    <cfRule type="duplicateValues" dxfId="116" priority="4"/>
    <cfRule type="duplicateValues" dxfId="115" priority="5"/>
    <cfRule type="duplicateValues" dxfId="114" priority="6"/>
    <cfRule type="duplicateValues" dxfId="113" priority="7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1955-840D-4648-8F27-B479FCD9715C}">
  <sheetPr codeName="Sheet16"/>
  <dimension ref="A2:E47"/>
  <sheetViews>
    <sheetView workbookViewId="0">
      <selection activeCell="K21" sqref="K21"/>
    </sheetView>
  </sheetViews>
  <sheetFormatPr defaultRowHeight="15"/>
  <cols>
    <col min="4" max="5" width="10.140625" bestFit="1" customWidth="1"/>
  </cols>
  <sheetData>
    <row r="2" spans="1:5">
      <c r="A2" s="144" t="s">
        <v>92</v>
      </c>
      <c r="B2" s="144" t="s">
        <v>686</v>
      </c>
      <c r="C2" s="144" t="s">
        <v>263</v>
      </c>
      <c r="D2" s="144" t="s">
        <v>687</v>
      </c>
      <c r="E2" s="144" t="s">
        <v>688</v>
      </c>
    </row>
    <row r="3" spans="1:5">
      <c r="A3" s="30">
        <v>1</v>
      </c>
      <c r="B3" s="25" t="s">
        <v>689</v>
      </c>
      <c r="C3" s="10" t="str">
        <f>VLOOKUP(B3,Sheet4!$A:$B,2,FALSE)</f>
        <v>DA-3</v>
      </c>
      <c r="D3" s="142">
        <v>46037</v>
      </c>
      <c r="E3" s="142">
        <v>46043</v>
      </c>
    </row>
    <row r="4" spans="1:5">
      <c r="A4" s="30">
        <f>A3+1</f>
        <v>2</v>
      </c>
      <c r="B4" s="25" t="s">
        <v>525</v>
      </c>
      <c r="C4" s="10" t="str">
        <f>VLOOKUP(B4,Sheet4!$A:$B,2,FALSE)</f>
        <v>DA-3</v>
      </c>
      <c r="D4" s="142">
        <v>46031</v>
      </c>
      <c r="E4" s="142">
        <v>46037</v>
      </c>
    </row>
    <row r="5" spans="1:5">
      <c r="A5" s="30">
        <f t="shared" ref="A5:A47" si="0">A4+1</f>
        <v>3</v>
      </c>
      <c r="B5" s="25" t="s">
        <v>526</v>
      </c>
      <c r="C5" s="10" t="str">
        <f>VLOOKUP(B5,Sheet4!$A:$B,2,FALSE)</f>
        <v>DD60+3</v>
      </c>
      <c r="D5" s="142">
        <v>46043</v>
      </c>
      <c r="E5" s="142">
        <v>46053</v>
      </c>
    </row>
    <row r="6" spans="1:5">
      <c r="A6" s="30">
        <f t="shared" si="0"/>
        <v>4</v>
      </c>
      <c r="B6" s="25" t="s">
        <v>690</v>
      </c>
      <c r="C6" s="10" t="str">
        <f>VLOOKUP(B6,Sheet4!$A:$B,2,FALSE)</f>
        <v>DA+0</v>
      </c>
      <c r="D6" s="142">
        <v>46019</v>
      </c>
      <c r="E6" s="142">
        <v>46024</v>
      </c>
    </row>
    <row r="7" spans="1:5">
      <c r="A7" s="30">
        <f t="shared" si="0"/>
        <v>5</v>
      </c>
      <c r="B7" s="25" t="s">
        <v>691</v>
      </c>
      <c r="C7" s="10" t="str">
        <f>VLOOKUP(B7,Sheet4!$A:$B,2,FALSE)</f>
        <v>DA+3</v>
      </c>
      <c r="D7" s="142">
        <v>46019</v>
      </c>
      <c r="E7" s="142">
        <v>46031</v>
      </c>
    </row>
    <row r="8" spans="1:5">
      <c r="A8" s="30">
        <f t="shared" si="0"/>
        <v>6</v>
      </c>
      <c r="B8" s="25" t="s">
        <v>692</v>
      </c>
      <c r="C8" s="10" t="str">
        <f>VLOOKUP(B8,Sheet4!$A:$B,2,FALSE)</f>
        <v>DA+9</v>
      </c>
      <c r="D8" s="142">
        <v>46021</v>
      </c>
      <c r="E8" s="142">
        <v>46041</v>
      </c>
    </row>
    <row r="9" spans="1:5">
      <c r="A9" s="30">
        <f t="shared" si="0"/>
        <v>7</v>
      </c>
      <c r="B9" s="25" t="s">
        <v>693</v>
      </c>
      <c r="C9" s="10" t="str">
        <f>VLOOKUP(B9,Sheet4!$A:$B,2,FALSE)</f>
        <v>DA+0</v>
      </c>
      <c r="D9" s="142">
        <v>46041</v>
      </c>
      <c r="E9" s="142">
        <v>46052</v>
      </c>
    </row>
    <row r="10" spans="1:5">
      <c r="A10" s="30">
        <f t="shared" si="0"/>
        <v>8</v>
      </c>
      <c r="B10" s="25" t="s">
        <v>694</v>
      </c>
      <c r="C10" s="10" t="str">
        <f>VLOOKUP(B10,Sheet4!$A:$B,2,FALSE)</f>
        <v>DA+3</v>
      </c>
      <c r="D10" s="142">
        <v>46021</v>
      </c>
      <c r="E10" s="142">
        <v>46040</v>
      </c>
    </row>
    <row r="11" spans="1:5">
      <c r="A11" s="30">
        <f t="shared" si="0"/>
        <v>9</v>
      </c>
      <c r="B11" s="25" t="s">
        <v>372</v>
      </c>
      <c r="C11" s="10" t="str">
        <f>VLOOKUP(B11,Sheet4!$A:$B,2,FALSE)</f>
        <v>DB2+3</v>
      </c>
      <c r="D11" s="142">
        <v>46026</v>
      </c>
      <c r="E11" s="142">
        <v>46034</v>
      </c>
    </row>
    <row r="12" spans="1:5">
      <c r="A12" s="30">
        <f t="shared" si="0"/>
        <v>10</v>
      </c>
      <c r="B12" s="25" t="s">
        <v>695</v>
      </c>
      <c r="C12" s="10" t="str">
        <f>VLOOKUP(B12,Sheet4!$A:$B,2,FALSE)</f>
        <v>DA+6</v>
      </c>
      <c r="D12" s="142">
        <v>46044</v>
      </c>
      <c r="E12" s="142">
        <v>46053</v>
      </c>
    </row>
    <row r="13" spans="1:5">
      <c r="A13" s="30">
        <f t="shared" si="0"/>
        <v>11</v>
      </c>
      <c r="B13" s="25" t="s">
        <v>696</v>
      </c>
      <c r="C13" s="10" t="str">
        <f>VLOOKUP(B13,Sheet4!$A:$B,2,FALSE)</f>
        <v>DA-3</v>
      </c>
      <c r="D13" s="142">
        <v>46019</v>
      </c>
      <c r="E13" s="142">
        <v>46026</v>
      </c>
    </row>
    <row r="14" spans="1:5">
      <c r="A14" s="30">
        <f t="shared" si="0"/>
        <v>12</v>
      </c>
      <c r="B14" s="25" t="s">
        <v>373</v>
      </c>
      <c r="C14" s="10" t="str">
        <f>VLOOKUP(B14,Sheet4!$A:$B,2,FALSE)</f>
        <v>DC2+6</v>
      </c>
      <c r="D14" s="142">
        <v>46034</v>
      </c>
      <c r="E14" s="142">
        <v>46044</v>
      </c>
    </row>
    <row r="15" spans="1:5">
      <c r="A15" s="30">
        <f t="shared" si="0"/>
        <v>13</v>
      </c>
      <c r="B15" s="25" t="s">
        <v>178</v>
      </c>
      <c r="C15" s="10" t="str">
        <f>VLOOKUP(B15,Sheet4!$A:$B,2,FALSE)</f>
        <v>DA+0</v>
      </c>
      <c r="D15" s="142">
        <v>46024</v>
      </c>
      <c r="E15" s="142">
        <v>46026</v>
      </c>
    </row>
    <row r="16" spans="1:5">
      <c r="A16" s="30">
        <f t="shared" si="0"/>
        <v>14</v>
      </c>
      <c r="B16" s="25" t="s">
        <v>697</v>
      </c>
      <c r="C16" s="10" t="str">
        <f>VLOOKUP(B16,Sheet4!$A:$B,2,FALSE)</f>
        <v>DA+0</v>
      </c>
      <c r="D16" s="142">
        <v>46026</v>
      </c>
      <c r="E16" s="142">
        <v>46031</v>
      </c>
    </row>
    <row r="17" spans="1:5">
      <c r="A17" s="30">
        <f t="shared" si="0"/>
        <v>15</v>
      </c>
      <c r="B17" s="25" t="s">
        <v>698</v>
      </c>
      <c r="C17" s="10" t="str">
        <f>VLOOKUP(B17,Sheet4!$A:$B,2,FALSE)</f>
        <v>DA-3</v>
      </c>
      <c r="D17" s="142">
        <v>46031</v>
      </c>
      <c r="E17" s="142">
        <v>46035</v>
      </c>
    </row>
    <row r="18" spans="1:5">
      <c r="A18" s="30">
        <f t="shared" si="0"/>
        <v>16</v>
      </c>
      <c r="B18" s="25" t="s">
        <v>422</v>
      </c>
      <c r="C18" s="10" t="str">
        <f>VLOOKUP(B18,Sheet4!$A:$B,2,FALSE)</f>
        <v>DC1+9</v>
      </c>
      <c r="D18" s="142">
        <v>46010</v>
      </c>
      <c r="E18" s="142">
        <v>46051</v>
      </c>
    </row>
    <row r="19" spans="1:5">
      <c r="A19" s="30">
        <f t="shared" si="0"/>
        <v>17</v>
      </c>
      <c r="B19" s="25" t="s">
        <v>404</v>
      </c>
      <c r="C19" s="10" t="str">
        <f>VLOOKUP(B19,Sheet4!$A:$B,2,FALSE)</f>
        <v>DD60+18</v>
      </c>
      <c r="D19" s="142">
        <v>46035</v>
      </c>
      <c r="E19" s="142">
        <v>46050</v>
      </c>
    </row>
    <row r="20" spans="1:5">
      <c r="A20" s="30">
        <f t="shared" si="0"/>
        <v>18</v>
      </c>
      <c r="B20" s="25" t="s">
        <v>408</v>
      </c>
      <c r="C20" s="10" t="str">
        <f>VLOOKUP(B20,Sheet4!$A:$B,2,FALSE)</f>
        <v>DA-3</v>
      </c>
      <c r="D20" s="142">
        <v>46037</v>
      </c>
      <c r="E20" s="142">
        <v>46041</v>
      </c>
    </row>
    <row r="21" spans="1:5">
      <c r="A21" s="30">
        <f t="shared" si="0"/>
        <v>19</v>
      </c>
      <c r="B21" s="25" t="s">
        <v>411</v>
      </c>
      <c r="C21" s="10" t="str">
        <f>VLOOKUP(B21,Sheet4!$A:$B,2,FALSE)</f>
        <v>DA+0</v>
      </c>
      <c r="D21" s="142">
        <v>46031</v>
      </c>
      <c r="E21" s="142">
        <v>46037</v>
      </c>
    </row>
    <row r="22" spans="1:5">
      <c r="A22" s="30">
        <f t="shared" si="0"/>
        <v>20</v>
      </c>
      <c r="B22" s="25" t="s">
        <v>179</v>
      </c>
      <c r="C22" s="10" t="str">
        <f>VLOOKUP(B22,Sheet4!$A:$B,2,FALSE)</f>
        <v>DA+3</v>
      </c>
      <c r="D22" s="142">
        <v>46019</v>
      </c>
      <c r="E22" s="142">
        <v>46026</v>
      </c>
    </row>
    <row r="23" spans="1:5">
      <c r="A23" s="30">
        <f t="shared" si="0"/>
        <v>21</v>
      </c>
      <c r="B23" s="25" t="s">
        <v>180</v>
      </c>
      <c r="C23" s="10" t="str">
        <f>VLOOKUP(B23,Sheet4!$A:$B,2,FALSE)</f>
        <v>DA+3</v>
      </c>
      <c r="D23" s="142">
        <v>46026</v>
      </c>
      <c r="E23" s="142">
        <v>46031</v>
      </c>
    </row>
    <row r="24" spans="1:5">
      <c r="A24" s="30">
        <f t="shared" si="0"/>
        <v>22</v>
      </c>
      <c r="B24" s="25" t="s">
        <v>699</v>
      </c>
      <c r="C24" s="10" t="str">
        <f>VLOOKUP(B24,Sheet4!$A:$B,2,FALSE)</f>
        <v>DB1+0</v>
      </c>
      <c r="D24" s="142">
        <v>46041</v>
      </c>
      <c r="E24" s="142">
        <v>46047</v>
      </c>
    </row>
    <row r="25" spans="1:5">
      <c r="A25" s="30">
        <f t="shared" si="0"/>
        <v>23</v>
      </c>
      <c r="B25" s="25" t="s">
        <v>427</v>
      </c>
      <c r="C25" s="10" t="str">
        <f>VLOOKUP(B25,Sheet4!$A:$B,2,FALSE)</f>
        <v>DA+3</v>
      </c>
      <c r="D25" s="142">
        <v>46047</v>
      </c>
      <c r="E25" s="142">
        <v>46053</v>
      </c>
    </row>
    <row r="26" spans="1:5">
      <c r="A26" s="30">
        <f t="shared" si="0"/>
        <v>24</v>
      </c>
      <c r="B26" s="25" t="s">
        <v>181</v>
      </c>
      <c r="C26" s="10" t="str">
        <f>VLOOKUP(B26,Sheet4!$A:$B,2,FALSE)</f>
        <v>DA+6</v>
      </c>
      <c r="D26" s="142">
        <v>46028</v>
      </c>
      <c r="E26" s="142">
        <v>46043</v>
      </c>
    </row>
    <row r="27" spans="1:5">
      <c r="A27" s="30">
        <f t="shared" si="0"/>
        <v>25</v>
      </c>
      <c r="B27" s="25" t="s">
        <v>375</v>
      </c>
      <c r="C27" s="10" t="str">
        <f>VLOOKUP(B27,Sheet4!$A:$B,2,FALSE)</f>
        <v>DA+3</v>
      </c>
      <c r="D27" s="142">
        <v>46011</v>
      </c>
      <c r="E27" s="142">
        <v>46028</v>
      </c>
    </row>
    <row r="28" spans="1:5">
      <c r="A28" s="30">
        <f t="shared" si="0"/>
        <v>26</v>
      </c>
      <c r="B28" s="25" t="s">
        <v>387</v>
      </c>
      <c r="C28" s="10" t="str">
        <f>VLOOKUP(B28,Sheet4!$A:$B,2,FALSE)</f>
        <v>DB1+3</v>
      </c>
      <c r="D28" s="142">
        <v>46043</v>
      </c>
      <c r="E28" s="142">
        <v>46053</v>
      </c>
    </row>
    <row r="29" spans="1:5">
      <c r="A29" s="30">
        <f t="shared" si="0"/>
        <v>27</v>
      </c>
      <c r="B29" s="25" t="s">
        <v>700</v>
      </c>
      <c r="C29" s="10" t="str">
        <f>VLOOKUP(B29,Sheet4!$A:$B,2,FALSE)</f>
        <v>DC2+6</v>
      </c>
      <c r="D29" s="142">
        <v>46028</v>
      </c>
      <c r="E29" s="142">
        <v>46037</v>
      </c>
    </row>
    <row r="30" spans="1:5">
      <c r="A30" s="30">
        <f t="shared" si="0"/>
        <v>28</v>
      </c>
      <c r="B30" s="25" t="s">
        <v>184</v>
      </c>
      <c r="C30" s="10" t="str">
        <f>VLOOKUP(B30,Sheet4!$A:$B,2,FALSE)</f>
        <v>DB1+9</v>
      </c>
      <c r="D30" s="142">
        <v>46019</v>
      </c>
      <c r="E30" s="142">
        <v>46028</v>
      </c>
    </row>
    <row r="31" spans="1:5">
      <c r="A31" s="30">
        <f t="shared" si="0"/>
        <v>29</v>
      </c>
      <c r="B31" s="25" t="s">
        <v>701</v>
      </c>
      <c r="C31" s="10" t="str">
        <f>VLOOKUP(B31,Sheet4!$A:$B,2,FALSE)</f>
        <v>DA+9</v>
      </c>
      <c r="D31" s="142">
        <v>46020</v>
      </c>
      <c r="E31" s="142">
        <v>46045</v>
      </c>
    </row>
    <row r="32" spans="1:5">
      <c r="A32" s="30">
        <f t="shared" si="0"/>
        <v>30</v>
      </c>
      <c r="B32" s="25" t="s">
        <v>702</v>
      </c>
      <c r="C32" s="10" t="str">
        <f>VLOOKUP(B32,Sheet4!$A:$B,2,FALSE)</f>
        <v>DA-3</v>
      </c>
      <c r="D32" s="142">
        <v>46021</v>
      </c>
      <c r="E32" s="142">
        <v>46037</v>
      </c>
    </row>
    <row r="33" spans="1:5">
      <c r="A33" s="30">
        <f t="shared" si="0"/>
        <v>31</v>
      </c>
      <c r="B33" s="25" t="s">
        <v>703</v>
      </c>
      <c r="C33" s="10" t="str">
        <f>VLOOKUP(B33,Sheet4!$A:$B,2,FALSE)</f>
        <v>DA+0</v>
      </c>
      <c r="D33" s="142">
        <v>46028</v>
      </c>
      <c r="E33" s="142">
        <v>46041</v>
      </c>
    </row>
    <row r="34" spans="1:5">
      <c r="A34" s="30">
        <f t="shared" si="0"/>
        <v>32</v>
      </c>
      <c r="B34" s="25" t="s">
        <v>185</v>
      </c>
      <c r="C34" s="10" t="str">
        <f>VLOOKUP(B34,Sheet4!$A:$B,2,FALSE)</f>
        <v>DD45+0</v>
      </c>
      <c r="D34" s="142">
        <v>46025</v>
      </c>
      <c r="E34" s="142">
        <v>46051</v>
      </c>
    </row>
    <row r="35" spans="1:5">
      <c r="A35" s="30">
        <f t="shared" si="0"/>
        <v>33</v>
      </c>
      <c r="B35" s="25" t="s">
        <v>186</v>
      </c>
      <c r="C35" s="10" t="str">
        <f>VLOOKUP(B35,Sheet4!$A:$B,2,FALSE)</f>
        <v>DD60+0</v>
      </c>
      <c r="D35" s="142">
        <v>46033</v>
      </c>
      <c r="E35" s="142">
        <v>46047</v>
      </c>
    </row>
    <row r="36" spans="1:5">
      <c r="A36" s="30">
        <f t="shared" si="0"/>
        <v>34</v>
      </c>
      <c r="B36" s="25" t="s">
        <v>656</v>
      </c>
      <c r="C36" s="10" t="str">
        <f>VLOOKUP(B36,Sheet4!$A:$B,2,FALSE)</f>
        <v>DD60+9</v>
      </c>
      <c r="D36" s="142">
        <v>46039</v>
      </c>
      <c r="E36" s="142">
        <v>46052</v>
      </c>
    </row>
    <row r="37" spans="1:5">
      <c r="A37" s="30">
        <f t="shared" si="0"/>
        <v>35</v>
      </c>
      <c r="B37" s="25" t="s">
        <v>704</v>
      </c>
      <c r="C37" s="10" t="str">
        <f>VLOOKUP(B37,Sheet4!$A:$B,2,FALSE)</f>
        <v>DA-3</v>
      </c>
      <c r="D37" s="142">
        <v>46037</v>
      </c>
      <c r="E37" s="142">
        <v>46043</v>
      </c>
    </row>
    <row r="38" spans="1:5">
      <c r="A38" s="30">
        <f t="shared" si="0"/>
        <v>36</v>
      </c>
      <c r="B38" s="25" t="s">
        <v>167</v>
      </c>
      <c r="C38" s="10" t="str">
        <f>VLOOKUP(B38,Sheet4!$A:$B,2,FALSE)</f>
        <v>DD60+6</v>
      </c>
      <c r="D38" s="142">
        <v>46043</v>
      </c>
      <c r="E38" s="142">
        <v>46052</v>
      </c>
    </row>
    <row r="39" spans="1:5">
      <c r="A39" s="30">
        <f t="shared" si="0"/>
        <v>37</v>
      </c>
      <c r="B39" s="25" t="s">
        <v>705</v>
      </c>
      <c r="C39" s="10" t="str">
        <f>VLOOKUP(B39,Sheet4!$A:$B,2,FALSE)</f>
        <v>DA+0</v>
      </c>
      <c r="D39" s="142">
        <v>46036</v>
      </c>
      <c r="E39" s="142">
        <v>46050</v>
      </c>
    </row>
    <row r="40" spans="1:5">
      <c r="A40" s="30">
        <f t="shared" si="0"/>
        <v>38</v>
      </c>
      <c r="B40" s="25" t="s">
        <v>706</v>
      </c>
      <c r="C40" s="10" t="str">
        <f>VLOOKUP(B40,Sheet4!$A:$B,2,FALSE)</f>
        <v>DA+0</v>
      </c>
      <c r="D40" s="142">
        <v>46020</v>
      </c>
      <c r="E40" s="142">
        <v>46043</v>
      </c>
    </row>
    <row r="41" spans="1:5">
      <c r="A41" s="30">
        <f t="shared" si="0"/>
        <v>39</v>
      </c>
      <c r="B41" s="25" t="s">
        <v>707</v>
      </c>
      <c r="C41" s="10" t="str">
        <f>VLOOKUP(B41,Sheet4!$A:$B,2,FALSE)</f>
        <v>DD45+9</v>
      </c>
      <c r="D41" s="142">
        <v>46025</v>
      </c>
      <c r="E41" s="142">
        <v>46053</v>
      </c>
    </row>
    <row r="42" spans="1:5">
      <c r="A42" s="30">
        <f t="shared" si="0"/>
        <v>40</v>
      </c>
      <c r="B42" s="25" t="s">
        <v>708</v>
      </c>
      <c r="C42" s="10" t="str">
        <f>VLOOKUP(B42,Sheet4!$A:$B,2,FALSE)</f>
        <v>DB1+9</v>
      </c>
      <c r="D42" s="142">
        <v>46017</v>
      </c>
      <c r="E42" s="142">
        <v>46036</v>
      </c>
    </row>
    <row r="43" spans="1:5">
      <c r="A43" s="30">
        <f t="shared" si="0"/>
        <v>41</v>
      </c>
      <c r="B43" s="25" t="s">
        <v>709</v>
      </c>
      <c r="C43" s="10" t="str">
        <f>VLOOKUP(B43,Sheet4!$A:$B,2,FALSE)</f>
        <v>DA+3</v>
      </c>
      <c r="D43" s="142">
        <v>46015</v>
      </c>
      <c r="E43" s="142">
        <v>46026</v>
      </c>
    </row>
    <row r="44" spans="1:5">
      <c r="A44" s="30">
        <f t="shared" si="0"/>
        <v>42</v>
      </c>
      <c r="B44" s="25" t="s">
        <v>710</v>
      </c>
      <c r="C44" s="10" t="str">
        <f>VLOOKUP(B44,Sheet4!$A:$B,2,FALSE)</f>
        <v>DA+9</v>
      </c>
      <c r="D44" s="142">
        <v>46014</v>
      </c>
      <c r="E44" s="142">
        <v>46025</v>
      </c>
    </row>
    <row r="45" spans="1:5">
      <c r="A45" s="30">
        <f t="shared" si="0"/>
        <v>43</v>
      </c>
      <c r="B45" s="25" t="s">
        <v>711</v>
      </c>
      <c r="C45" s="10" t="str">
        <f>VLOOKUP(B45,Sheet4!$A:$B,2,FALSE)</f>
        <v>DA+6</v>
      </c>
      <c r="D45" s="142">
        <v>46035</v>
      </c>
      <c r="E45" s="142">
        <v>46045</v>
      </c>
    </row>
    <row r="46" spans="1:5">
      <c r="A46" s="30">
        <f t="shared" si="0"/>
        <v>44</v>
      </c>
      <c r="B46" s="25" t="s">
        <v>712</v>
      </c>
      <c r="C46" s="10" t="str">
        <f>VLOOKUP(B46,Sheet4!$A:$B,2,FALSE)</f>
        <v>DA+0</v>
      </c>
      <c r="D46" s="142">
        <v>46026</v>
      </c>
      <c r="E46" s="142">
        <v>46035</v>
      </c>
    </row>
    <row r="47" spans="1:5">
      <c r="A47" s="30">
        <f t="shared" si="0"/>
        <v>45</v>
      </c>
      <c r="B47" s="25" t="s">
        <v>713</v>
      </c>
      <c r="C47" s="10" t="str">
        <f>VLOOKUP(B47,Sheet4!$A:$B,2,FALSE)</f>
        <v>DB1+9</v>
      </c>
      <c r="D47" s="142">
        <v>46024</v>
      </c>
      <c r="E47" s="142">
        <v>46041</v>
      </c>
    </row>
  </sheetData>
  <autoFilter ref="B2:E47" xr:uid="{DF611955-840D-4648-8F27-B479FCD9715C}">
    <sortState xmlns:xlrd2="http://schemas.microsoft.com/office/spreadsheetml/2017/richdata2" ref="B3:E47">
      <sortCondition ref="B2:B47"/>
    </sortState>
  </autoFilter>
  <conditionalFormatting sqref="B3:B47">
    <cfRule type="duplicateValues" dxfId="112" priority="2"/>
  </conditionalFormatting>
  <conditionalFormatting sqref="B6:B47">
    <cfRule type="duplicateValues" dxfId="111" priority="1"/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4E6-8756-4245-8C9F-8ACF68D28324}">
  <sheetPr codeName="Sheet17" filterMode="1"/>
  <dimension ref="A3:MO940"/>
  <sheetViews>
    <sheetView topLeftCell="A357" workbookViewId="0">
      <selection activeCell="D375" sqref="D375"/>
    </sheetView>
  </sheetViews>
  <sheetFormatPr defaultRowHeight="15"/>
  <sheetData>
    <row r="3" spans="1:353">
      <c r="C3" t="s">
        <v>689</v>
      </c>
      <c r="D3" t="s">
        <v>714</v>
      </c>
      <c r="E3" t="s">
        <v>523</v>
      </c>
      <c r="F3" t="s">
        <v>524</v>
      </c>
      <c r="G3" t="s">
        <v>525</v>
      </c>
      <c r="H3" t="s">
        <v>715</v>
      </c>
      <c r="I3" t="s">
        <v>716</v>
      </c>
      <c r="J3" t="s">
        <v>526</v>
      </c>
      <c r="K3" t="s">
        <v>717</v>
      </c>
      <c r="L3" t="s">
        <v>718</v>
      </c>
      <c r="M3" t="s">
        <v>719</v>
      </c>
      <c r="N3" t="s">
        <v>690</v>
      </c>
      <c r="O3" t="s">
        <v>720</v>
      </c>
      <c r="P3" t="s">
        <v>721</v>
      </c>
      <c r="Q3" t="s">
        <v>691</v>
      </c>
      <c r="R3" t="s">
        <v>527</v>
      </c>
      <c r="S3" t="s">
        <v>722</v>
      </c>
      <c r="T3" t="s">
        <v>692</v>
      </c>
      <c r="U3" t="s">
        <v>693</v>
      </c>
      <c r="V3" t="s">
        <v>723</v>
      </c>
      <c r="W3" t="s">
        <v>724</v>
      </c>
      <c r="X3" t="s">
        <v>725</v>
      </c>
      <c r="Y3" t="s">
        <v>726</v>
      </c>
      <c r="Z3" t="s">
        <v>727</v>
      </c>
      <c r="AA3" t="s">
        <v>728</v>
      </c>
      <c r="AB3" t="s">
        <v>729</v>
      </c>
      <c r="AC3" t="s">
        <v>730</v>
      </c>
      <c r="AD3" t="s">
        <v>276</v>
      </c>
      <c r="AE3" t="s">
        <v>530</v>
      </c>
      <c r="AF3" t="s">
        <v>531</v>
      </c>
      <c r="AG3" t="s">
        <v>281</v>
      </c>
      <c r="AH3" t="s">
        <v>731</v>
      </c>
      <c r="AI3" t="s">
        <v>732</v>
      </c>
      <c r="AJ3" t="s">
        <v>733</v>
      </c>
      <c r="AK3" t="s">
        <v>734</v>
      </c>
      <c r="AL3" t="s">
        <v>694</v>
      </c>
      <c r="AM3" t="s">
        <v>735</v>
      </c>
      <c r="AN3" t="s">
        <v>736</v>
      </c>
      <c r="AO3" t="s">
        <v>737</v>
      </c>
      <c r="AP3" t="s">
        <v>136</v>
      </c>
      <c r="AQ3" t="s">
        <v>174</v>
      </c>
      <c r="AR3" t="s">
        <v>168</v>
      </c>
      <c r="AS3" t="s">
        <v>569</v>
      </c>
      <c r="AT3" t="s">
        <v>573</v>
      </c>
      <c r="AU3" t="s">
        <v>545</v>
      </c>
      <c r="AV3" t="s">
        <v>546</v>
      </c>
      <c r="AW3" t="s">
        <v>547</v>
      </c>
      <c r="AX3" t="s">
        <v>738</v>
      </c>
      <c r="AY3" t="s">
        <v>739</v>
      </c>
      <c r="AZ3" t="s">
        <v>740</v>
      </c>
      <c r="BA3" t="s">
        <v>741</v>
      </c>
      <c r="BB3" t="s">
        <v>549</v>
      </c>
      <c r="BC3" t="s">
        <v>742</v>
      </c>
      <c r="BD3" t="s">
        <v>743</v>
      </c>
      <c r="BE3" t="s">
        <v>446</v>
      </c>
      <c r="BF3" t="s">
        <v>452</v>
      </c>
      <c r="BG3" t="s">
        <v>382</v>
      </c>
      <c r="BH3" t="s">
        <v>744</v>
      </c>
      <c r="BI3" t="s">
        <v>745</v>
      </c>
      <c r="BJ3" t="s">
        <v>376</v>
      </c>
      <c r="BK3" t="s">
        <v>137</v>
      </c>
      <c r="BL3" t="s">
        <v>374</v>
      </c>
      <c r="BM3" t="s">
        <v>746</v>
      </c>
      <c r="BN3" t="s">
        <v>372</v>
      </c>
      <c r="BO3" t="s">
        <v>695</v>
      </c>
      <c r="BP3" t="s">
        <v>696</v>
      </c>
      <c r="BQ3" t="s">
        <v>373</v>
      </c>
      <c r="BR3" t="s">
        <v>175</v>
      </c>
      <c r="BS3" t="s">
        <v>138</v>
      </c>
      <c r="BT3" t="s">
        <v>139</v>
      </c>
      <c r="BU3" t="s">
        <v>140</v>
      </c>
      <c r="BV3" t="s">
        <v>141</v>
      </c>
      <c r="BW3" t="s">
        <v>169</v>
      </c>
      <c r="BX3" t="s">
        <v>177</v>
      </c>
      <c r="BY3" t="s">
        <v>178</v>
      </c>
      <c r="BZ3" t="s">
        <v>697</v>
      </c>
      <c r="CA3" t="s">
        <v>747</v>
      </c>
      <c r="CB3" t="s">
        <v>698</v>
      </c>
      <c r="CC3" t="s">
        <v>466</v>
      </c>
      <c r="CD3" t="s">
        <v>422</v>
      </c>
      <c r="CE3" t="s">
        <v>404</v>
      </c>
      <c r="CF3" t="s">
        <v>378</v>
      </c>
      <c r="CG3" t="s">
        <v>392</v>
      </c>
      <c r="CH3" t="s">
        <v>396</v>
      </c>
      <c r="CI3" t="s">
        <v>553</v>
      </c>
      <c r="CJ3" t="s">
        <v>408</v>
      </c>
      <c r="CK3" t="s">
        <v>411</v>
      </c>
      <c r="CL3" t="s">
        <v>179</v>
      </c>
      <c r="CM3" t="s">
        <v>180</v>
      </c>
      <c r="CN3" t="s">
        <v>699</v>
      </c>
      <c r="CO3" t="s">
        <v>555</v>
      </c>
      <c r="CP3" t="s">
        <v>429</v>
      </c>
      <c r="CQ3" t="s">
        <v>427</v>
      </c>
      <c r="CR3" t="s">
        <v>389</v>
      </c>
      <c r="CS3" t="s">
        <v>181</v>
      </c>
      <c r="CT3" t="s">
        <v>375</v>
      </c>
      <c r="CU3" t="s">
        <v>387</v>
      </c>
      <c r="CV3" t="s">
        <v>170</v>
      </c>
      <c r="CW3" t="s">
        <v>558</v>
      </c>
      <c r="CX3" t="s">
        <v>559</v>
      </c>
      <c r="CY3" t="s">
        <v>561</v>
      </c>
      <c r="CZ3" t="s">
        <v>748</v>
      </c>
      <c r="DA3" t="s">
        <v>562</v>
      </c>
      <c r="DB3" t="s">
        <v>449</v>
      </c>
      <c r="DC3" t="s">
        <v>457</v>
      </c>
      <c r="DD3" t="s">
        <v>749</v>
      </c>
      <c r="DE3" t="s">
        <v>750</v>
      </c>
      <c r="DF3" t="s">
        <v>459</v>
      </c>
      <c r="DG3" t="s">
        <v>454</v>
      </c>
      <c r="DH3" t="s">
        <v>365</v>
      </c>
      <c r="DI3" t="s">
        <v>364</v>
      </c>
      <c r="DJ3" t="s">
        <v>751</v>
      </c>
      <c r="DK3" t="s">
        <v>752</v>
      </c>
      <c r="DL3" t="s">
        <v>753</v>
      </c>
      <c r="DM3" t="s">
        <v>590</v>
      </c>
      <c r="DN3" t="s">
        <v>182</v>
      </c>
      <c r="DO3" t="s">
        <v>166</v>
      </c>
      <c r="DP3" t="s">
        <v>606</v>
      </c>
      <c r="DQ3" t="s">
        <v>607</v>
      </c>
      <c r="DR3" t="s">
        <v>611</v>
      </c>
      <c r="DS3" t="s">
        <v>613</v>
      </c>
      <c r="DT3" t="s">
        <v>614</v>
      </c>
      <c r="DU3" t="s">
        <v>615</v>
      </c>
      <c r="DV3" t="s">
        <v>754</v>
      </c>
      <c r="DW3" t="s">
        <v>755</v>
      </c>
      <c r="DX3" t="s">
        <v>756</v>
      </c>
      <c r="DY3" t="s">
        <v>757</v>
      </c>
      <c r="DZ3" t="s">
        <v>758</v>
      </c>
      <c r="EA3" t="s">
        <v>183</v>
      </c>
      <c r="EB3" t="s">
        <v>142</v>
      </c>
      <c r="EC3" t="s">
        <v>618</v>
      </c>
      <c r="ED3" t="s">
        <v>619</v>
      </c>
      <c r="EE3" t="s">
        <v>620</v>
      </c>
      <c r="EF3" t="s">
        <v>625</v>
      </c>
      <c r="EG3" t="s">
        <v>759</v>
      </c>
      <c r="EH3" t="s">
        <v>760</v>
      </c>
      <c r="EI3" t="s">
        <v>143</v>
      </c>
      <c r="EJ3" t="s">
        <v>761</v>
      </c>
      <c r="EK3" t="s">
        <v>762</v>
      </c>
      <c r="EL3" t="s">
        <v>145</v>
      </c>
      <c r="EM3" t="s">
        <v>763</v>
      </c>
      <c r="EN3" t="s">
        <v>764</v>
      </c>
      <c r="EO3" t="s">
        <v>765</v>
      </c>
      <c r="EP3" t="s">
        <v>766</v>
      </c>
      <c r="EQ3" t="s">
        <v>700</v>
      </c>
      <c r="ER3" t="s">
        <v>184</v>
      </c>
      <c r="ES3" t="s">
        <v>767</v>
      </c>
      <c r="ET3" t="s">
        <v>768</v>
      </c>
      <c r="EU3" t="s">
        <v>769</v>
      </c>
      <c r="EV3" t="s">
        <v>626</v>
      </c>
      <c r="EW3" t="s">
        <v>627</v>
      </c>
      <c r="EX3" t="s">
        <v>628</v>
      </c>
      <c r="EY3" t="s">
        <v>146</v>
      </c>
      <c r="EZ3" t="s">
        <v>629</v>
      </c>
      <c r="FA3" t="s">
        <v>147</v>
      </c>
      <c r="FB3" t="s">
        <v>770</v>
      </c>
      <c r="FC3" t="s">
        <v>771</v>
      </c>
      <c r="FD3" t="s">
        <v>772</v>
      </c>
      <c r="FE3" t="s">
        <v>633</v>
      </c>
      <c r="FF3" t="s">
        <v>634</v>
      </c>
      <c r="FG3" t="s">
        <v>773</v>
      </c>
      <c r="FH3" t="s">
        <v>701</v>
      </c>
      <c r="FI3" t="s">
        <v>702</v>
      </c>
      <c r="FJ3" t="s">
        <v>774</v>
      </c>
      <c r="FK3" t="s">
        <v>703</v>
      </c>
      <c r="FL3" t="s">
        <v>775</v>
      </c>
      <c r="FM3" t="s">
        <v>185</v>
      </c>
      <c r="FN3" t="s">
        <v>186</v>
      </c>
      <c r="FO3" t="s">
        <v>187</v>
      </c>
      <c r="FP3" t="s">
        <v>636</v>
      </c>
      <c r="FQ3" t="s">
        <v>148</v>
      </c>
      <c r="FR3" t="s">
        <v>637</v>
      </c>
      <c r="FS3" t="s">
        <v>639</v>
      </c>
      <c r="FT3" t="s">
        <v>468</v>
      </c>
      <c r="FU3" t="s">
        <v>645</v>
      </c>
      <c r="FV3" t="s">
        <v>776</v>
      </c>
      <c r="FW3" t="s">
        <v>777</v>
      </c>
      <c r="FX3" t="s">
        <v>778</v>
      </c>
      <c r="FY3" t="s">
        <v>656</v>
      </c>
      <c r="FZ3" t="s">
        <v>149</v>
      </c>
      <c r="GA3" t="s">
        <v>661</v>
      </c>
      <c r="GB3" t="s">
        <v>150</v>
      </c>
      <c r="GC3" t="s">
        <v>151</v>
      </c>
      <c r="GD3" t="s">
        <v>152</v>
      </c>
      <c r="GE3" t="s">
        <v>425</v>
      </c>
      <c r="GF3" t="s">
        <v>679</v>
      </c>
      <c r="GG3" t="s">
        <v>467</v>
      </c>
      <c r="GH3" t="s">
        <v>779</v>
      </c>
      <c r="GI3" t="s">
        <v>780</v>
      </c>
      <c r="GJ3" t="s">
        <v>781</v>
      </c>
      <c r="GK3" t="s">
        <v>782</v>
      </c>
      <c r="GL3" t="s">
        <v>704</v>
      </c>
      <c r="GM3" t="s">
        <v>153</v>
      </c>
      <c r="GN3" t="s">
        <v>167</v>
      </c>
      <c r="GO3" t="s">
        <v>783</v>
      </c>
      <c r="GP3" t="s">
        <v>154</v>
      </c>
      <c r="GQ3" t="s">
        <v>784</v>
      </c>
      <c r="GR3" t="s">
        <v>785</v>
      </c>
      <c r="GS3" t="s">
        <v>786</v>
      </c>
      <c r="GT3" t="s">
        <v>787</v>
      </c>
      <c r="GU3" t="s">
        <v>788</v>
      </c>
      <c r="GV3" t="s">
        <v>789</v>
      </c>
      <c r="GW3" t="s">
        <v>790</v>
      </c>
      <c r="GX3" t="s">
        <v>791</v>
      </c>
      <c r="GY3" t="s">
        <v>792</v>
      </c>
      <c r="GZ3" t="s">
        <v>793</v>
      </c>
      <c r="HA3" t="s">
        <v>794</v>
      </c>
      <c r="HB3" t="s">
        <v>795</v>
      </c>
      <c r="HC3" t="s">
        <v>796</v>
      </c>
      <c r="HD3" t="s">
        <v>797</v>
      </c>
      <c r="HE3" t="s">
        <v>798</v>
      </c>
      <c r="HF3" t="s">
        <v>799</v>
      </c>
      <c r="HG3" t="s">
        <v>800</v>
      </c>
      <c r="HH3" t="s">
        <v>155</v>
      </c>
      <c r="HI3" t="s">
        <v>165</v>
      </c>
      <c r="HJ3" t="s">
        <v>801</v>
      </c>
      <c r="HK3" t="s">
        <v>802</v>
      </c>
      <c r="HL3" t="s">
        <v>803</v>
      </c>
      <c r="HM3" t="s">
        <v>804</v>
      </c>
      <c r="HN3" t="s">
        <v>805</v>
      </c>
      <c r="HO3" t="s">
        <v>806</v>
      </c>
      <c r="HP3" t="s">
        <v>807</v>
      </c>
      <c r="HQ3" t="s">
        <v>808</v>
      </c>
      <c r="HR3" t="s">
        <v>809</v>
      </c>
      <c r="HS3" t="s">
        <v>810</v>
      </c>
      <c r="HT3" t="s">
        <v>188</v>
      </c>
      <c r="HU3" t="s">
        <v>811</v>
      </c>
      <c r="HV3" t="s">
        <v>812</v>
      </c>
      <c r="HW3" t="s">
        <v>189</v>
      </c>
      <c r="HX3" t="s">
        <v>813</v>
      </c>
      <c r="HY3" t="s">
        <v>814</v>
      </c>
      <c r="HZ3" t="s">
        <v>156</v>
      </c>
      <c r="IA3" t="s">
        <v>815</v>
      </c>
      <c r="IB3" t="s">
        <v>157</v>
      </c>
      <c r="IC3" t="s">
        <v>158</v>
      </c>
      <c r="ID3" t="s">
        <v>816</v>
      </c>
      <c r="IE3" t="s">
        <v>817</v>
      </c>
      <c r="IF3" t="s">
        <v>818</v>
      </c>
      <c r="IG3" t="s">
        <v>819</v>
      </c>
      <c r="IH3" t="s">
        <v>190</v>
      </c>
      <c r="II3" t="s">
        <v>820</v>
      </c>
      <c r="IJ3" t="s">
        <v>821</v>
      </c>
      <c r="IK3" t="s">
        <v>822</v>
      </c>
      <c r="IL3" t="s">
        <v>823</v>
      </c>
      <c r="IM3" t="s">
        <v>824</v>
      </c>
      <c r="IN3" t="s">
        <v>825</v>
      </c>
      <c r="IO3" t="s">
        <v>826</v>
      </c>
      <c r="IP3" t="s">
        <v>827</v>
      </c>
      <c r="IQ3" t="s">
        <v>828</v>
      </c>
      <c r="IR3" t="s">
        <v>829</v>
      </c>
      <c r="IS3" t="s">
        <v>830</v>
      </c>
      <c r="IT3" t="s">
        <v>831</v>
      </c>
      <c r="IU3" t="s">
        <v>832</v>
      </c>
      <c r="IV3" t="s">
        <v>833</v>
      </c>
      <c r="IW3" t="s">
        <v>834</v>
      </c>
      <c r="IX3" t="s">
        <v>835</v>
      </c>
      <c r="IY3" t="s">
        <v>836</v>
      </c>
      <c r="IZ3" t="s">
        <v>837</v>
      </c>
      <c r="JA3" t="s">
        <v>191</v>
      </c>
      <c r="JB3" t="s">
        <v>838</v>
      </c>
      <c r="JC3" t="s">
        <v>839</v>
      </c>
      <c r="JD3" t="s">
        <v>840</v>
      </c>
      <c r="JE3" t="s">
        <v>841</v>
      </c>
      <c r="JF3" t="s">
        <v>842</v>
      </c>
      <c r="JG3" t="s">
        <v>843</v>
      </c>
      <c r="JH3" t="s">
        <v>844</v>
      </c>
      <c r="JI3" t="s">
        <v>845</v>
      </c>
      <c r="JJ3" t="s">
        <v>846</v>
      </c>
      <c r="JK3" t="s">
        <v>847</v>
      </c>
      <c r="JL3" t="s">
        <v>848</v>
      </c>
      <c r="JM3" t="s">
        <v>849</v>
      </c>
      <c r="JN3" t="s">
        <v>850</v>
      </c>
      <c r="JO3" t="s">
        <v>851</v>
      </c>
      <c r="JP3" t="s">
        <v>852</v>
      </c>
      <c r="JQ3" t="s">
        <v>853</v>
      </c>
      <c r="JR3" t="s">
        <v>854</v>
      </c>
      <c r="JS3" t="s">
        <v>855</v>
      </c>
      <c r="JT3" t="s">
        <v>856</v>
      </c>
      <c r="JU3" t="s">
        <v>857</v>
      </c>
      <c r="JV3" t="s">
        <v>858</v>
      </c>
      <c r="JW3" t="s">
        <v>859</v>
      </c>
      <c r="JX3" t="s">
        <v>860</v>
      </c>
      <c r="JY3" t="s">
        <v>861</v>
      </c>
      <c r="JZ3" t="s">
        <v>862</v>
      </c>
      <c r="KA3" t="s">
        <v>863</v>
      </c>
      <c r="KB3" t="s">
        <v>864</v>
      </c>
      <c r="KC3" t="s">
        <v>865</v>
      </c>
      <c r="KD3" t="s">
        <v>866</v>
      </c>
      <c r="KE3" t="s">
        <v>867</v>
      </c>
      <c r="KF3" t="s">
        <v>868</v>
      </c>
      <c r="KG3" t="s">
        <v>869</v>
      </c>
      <c r="KH3" t="s">
        <v>870</v>
      </c>
      <c r="KI3" t="s">
        <v>871</v>
      </c>
      <c r="KJ3" t="s">
        <v>872</v>
      </c>
      <c r="KK3" t="s">
        <v>873</v>
      </c>
      <c r="KL3" t="s">
        <v>874</v>
      </c>
      <c r="KM3" t="s">
        <v>875</v>
      </c>
      <c r="KN3" t="s">
        <v>876</v>
      </c>
      <c r="KO3" t="s">
        <v>877</v>
      </c>
      <c r="KP3" t="s">
        <v>878</v>
      </c>
      <c r="KQ3" t="s">
        <v>171</v>
      </c>
      <c r="KR3" t="s">
        <v>705</v>
      </c>
      <c r="KS3" t="s">
        <v>879</v>
      </c>
      <c r="KT3" t="s">
        <v>880</v>
      </c>
      <c r="KU3" t="s">
        <v>881</v>
      </c>
      <c r="KV3" t="s">
        <v>882</v>
      </c>
      <c r="KW3" t="s">
        <v>706</v>
      </c>
      <c r="KX3" t="s">
        <v>883</v>
      </c>
      <c r="KY3" t="s">
        <v>884</v>
      </c>
      <c r="KZ3" t="s">
        <v>172</v>
      </c>
      <c r="LA3" t="s">
        <v>885</v>
      </c>
      <c r="LB3" t="s">
        <v>192</v>
      </c>
      <c r="LC3" t="s">
        <v>159</v>
      </c>
      <c r="LD3" t="s">
        <v>160</v>
      </c>
      <c r="LE3" t="s">
        <v>886</v>
      </c>
      <c r="LF3" t="s">
        <v>887</v>
      </c>
      <c r="LG3" t="s">
        <v>888</v>
      </c>
      <c r="LH3" t="s">
        <v>889</v>
      </c>
      <c r="LI3" t="s">
        <v>707</v>
      </c>
      <c r="LJ3" t="s">
        <v>890</v>
      </c>
      <c r="LK3" t="s">
        <v>891</v>
      </c>
      <c r="LL3" t="s">
        <v>708</v>
      </c>
      <c r="LM3" t="s">
        <v>892</v>
      </c>
      <c r="LN3" t="s">
        <v>893</v>
      </c>
      <c r="LO3" t="s">
        <v>894</v>
      </c>
      <c r="LP3" t="s">
        <v>895</v>
      </c>
      <c r="LQ3" t="s">
        <v>709</v>
      </c>
      <c r="LR3" t="s">
        <v>896</v>
      </c>
      <c r="LS3" t="s">
        <v>161</v>
      </c>
      <c r="LT3" t="s">
        <v>193</v>
      </c>
      <c r="LU3" t="s">
        <v>710</v>
      </c>
      <c r="LV3" t="s">
        <v>162</v>
      </c>
      <c r="LW3" t="s">
        <v>711</v>
      </c>
      <c r="LX3" t="s">
        <v>712</v>
      </c>
      <c r="LY3" t="s">
        <v>897</v>
      </c>
      <c r="LZ3" t="s">
        <v>898</v>
      </c>
      <c r="MA3" t="s">
        <v>899</v>
      </c>
      <c r="MB3" t="s">
        <v>900</v>
      </c>
      <c r="MC3" t="s">
        <v>901</v>
      </c>
      <c r="MD3" t="s">
        <v>902</v>
      </c>
      <c r="ME3" t="s">
        <v>903</v>
      </c>
      <c r="MF3" t="s">
        <v>713</v>
      </c>
      <c r="MG3" t="s">
        <v>904</v>
      </c>
      <c r="MH3" t="s">
        <v>905</v>
      </c>
      <c r="MI3" t="s">
        <v>906</v>
      </c>
      <c r="MJ3" t="s">
        <v>163</v>
      </c>
      <c r="MK3" t="s">
        <v>907</v>
      </c>
      <c r="ML3" t="s">
        <v>908</v>
      </c>
      <c r="MM3" t="s">
        <v>164</v>
      </c>
      <c r="MN3" t="s">
        <v>909</v>
      </c>
      <c r="MO3" t="s">
        <v>910</v>
      </c>
    </row>
    <row r="4" spans="1:353">
      <c r="C4" t="s">
        <v>400</v>
      </c>
      <c r="D4" t="s">
        <v>403</v>
      </c>
      <c r="E4" t="s">
        <v>304</v>
      </c>
      <c r="F4" t="s">
        <v>302</v>
      </c>
      <c r="G4" t="s">
        <v>400</v>
      </c>
      <c r="H4" t="s">
        <v>400</v>
      </c>
      <c r="I4" t="s">
        <v>565</v>
      </c>
      <c r="J4" t="s">
        <v>564</v>
      </c>
      <c r="K4" t="s">
        <v>400</v>
      </c>
      <c r="L4" t="s">
        <v>354</v>
      </c>
      <c r="M4" t="s">
        <v>403</v>
      </c>
      <c r="N4" t="s">
        <v>354</v>
      </c>
      <c r="O4" t="s">
        <v>400</v>
      </c>
      <c r="P4" t="s">
        <v>354</v>
      </c>
      <c r="Q4" t="s">
        <v>361</v>
      </c>
      <c r="R4" t="s">
        <v>393</v>
      </c>
      <c r="S4" t="s">
        <v>911</v>
      </c>
      <c r="T4" t="s">
        <v>565</v>
      </c>
      <c r="U4" t="s">
        <v>354</v>
      </c>
      <c r="V4" t="s">
        <v>354</v>
      </c>
      <c r="W4" t="s">
        <v>400</v>
      </c>
      <c r="X4" t="s">
        <v>354</v>
      </c>
      <c r="Y4" t="s">
        <v>339</v>
      </c>
      <c r="Z4" t="s">
        <v>354</v>
      </c>
      <c r="AA4" t="s">
        <v>354</v>
      </c>
      <c r="AB4" t="s">
        <v>354</v>
      </c>
      <c r="AC4" t="s">
        <v>565</v>
      </c>
      <c r="AD4" t="s">
        <v>589</v>
      </c>
      <c r="AE4" t="s">
        <v>400</v>
      </c>
      <c r="AF4" t="s">
        <v>354</v>
      </c>
      <c r="AG4" t="s">
        <v>354</v>
      </c>
      <c r="AH4" t="s">
        <v>604</v>
      </c>
      <c r="AI4" t="s">
        <v>565</v>
      </c>
      <c r="AJ4" t="s">
        <v>565</v>
      </c>
      <c r="AK4" t="s">
        <v>589</v>
      </c>
      <c r="AL4" t="s">
        <v>361</v>
      </c>
      <c r="AM4" t="s">
        <v>354</v>
      </c>
      <c r="AN4" t="s">
        <v>354</v>
      </c>
      <c r="AO4" t="s">
        <v>304</v>
      </c>
      <c r="AP4" t="s">
        <v>400</v>
      </c>
      <c r="AQ4" t="s">
        <v>397</v>
      </c>
      <c r="AR4" t="s">
        <v>912</v>
      </c>
      <c r="AS4" t="s">
        <v>913</v>
      </c>
      <c r="AT4" t="s">
        <v>914</v>
      </c>
      <c r="AU4" t="s">
        <v>915</v>
      </c>
      <c r="AV4" t="s">
        <v>361</v>
      </c>
      <c r="AW4" t="s">
        <v>354</v>
      </c>
      <c r="AX4" t="s">
        <v>361</v>
      </c>
      <c r="AY4" t="s">
        <v>400</v>
      </c>
      <c r="AZ4" t="s">
        <v>400</v>
      </c>
      <c r="BA4" t="s">
        <v>304</v>
      </c>
      <c r="BB4" t="s">
        <v>400</v>
      </c>
      <c r="BC4" t="s">
        <v>400</v>
      </c>
      <c r="BD4" t="s">
        <v>400</v>
      </c>
      <c r="BE4" t="s">
        <v>334</v>
      </c>
      <c r="BF4" t="s">
        <v>354</v>
      </c>
      <c r="BG4" t="s">
        <v>339</v>
      </c>
      <c r="BH4" t="s">
        <v>339</v>
      </c>
      <c r="BI4" t="s">
        <v>361</v>
      </c>
      <c r="BJ4" t="s">
        <v>306</v>
      </c>
      <c r="BK4" t="s">
        <v>564</v>
      </c>
      <c r="BL4" t="s">
        <v>309</v>
      </c>
      <c r="BM4" t="s">
        <v>397</v>
      </c>
      <c r="BN4" t="s">
        <v>916</v>
      </c>
      <c r="BO4" t="s">
        <v>403</v>
      </c>
      <c r="BP4" t="s">
        <v>400</v>
      </c>
      <c r="BQ4" t="s">
        <v>917</v>
      </c>
      <c r="BR4" t="s">
        <v>330</v>
      </c>
      <c r="BS4" t="s">
        <v>403</v>
      </c>
      <c r="BT4" t="s">
        <v>304</v>
      </c>
      <c r="BU4" t="s">
        <v>339</v>
      </c>
      <c r="BV4" t="s">
        <v>918</v>
      </c>
      <c r="BW4" t="s">
        <v>918</v>
      </c>
      <c r="BX4" t="s">
        <v>354</v>
      </c>
      <c r="BY4" t="s">
        <v>354</v>
      </c>
      <c r="BZ4" t="s">
        <v>354</v>
      </c>
      <c r="CA4" t="s">
        <v>400</v>
      </c>
      <c r="CB4" t="s">
        <v>400</v>
      </c>
      <c r="CC4" t="s">
        <v>361</v>
      </c>
      <c r="CD4" t="s">
        <v>328</v>
      </c>
      <c r="CE4" t="s">
        <v>919</v>
      </c>
      <c r="CF4" t="s">
        <v>919</v>
      </c>
      <c r="CG4" t="s">
        <v>296</v>
      </c>
      <c r="CH4" t="s">
        <v>354</v>
      </c>
      <c r="CI4" t="s">
        <v>354</v>
      </c>
      <c r="CJ4" t="s">
        <v>400</v>
      </c>
      <c r="CK4" t="s">
        <v>354</v>
      </c>
      <c r="CL4" t="s">
        <v>361</v>
      </c>
      <c r="CM4" t="s">
        <v>361</v>
      </c>
      <c r="CN4" t="s">
        <v>339</v>
      </c>
      <c r="CO4" t="s">
        <v>918</v>
      </c>
      <c r="CP4" t="s">
        <v>918</v>
      </c>
      <c r="CQ4" t="s">
        <v>361</v>
      </c>
      <c r="CR4" t="s">
        <v>354</v>
      </c>
      <c r="CS4" t="s">
        <v>403</v>
      </c>
      <c r="CT4" t="s">
        <v>361</v>
      </c>
      <c r="CU4" t="s">
        <v>680</v>
      </c>
      <c r="CV4" t="s">
        <v>918</v>
      </c>
      <c r="CW4" t="s">
        <v>918</v>
      </c>
      <c r="CX4" t="s">
        <v>339</v>
      </c>
      <c r="CY4" t="s">
        <v>309</v>
      </c>
      <c r="CZ4" t="s">
        <v>919</v>
      </c>
      <c r="DA4" t="s">
        <v>564</v>
      </c>
      <c r="DB4" t="s">
        <v>564</v>
      </c>
      <c r="DC4" t="s">
        <v>361</v>
      </c>
      <c r="DD4" t="s">
        <v>354</v>
      </c>
      <c r="DE4" t="s">
        <v>296</v>
      </c>
      <c r="DF4" t="s">
        <v>920</v>
      </c>
      <c r="DG4" t="s">
        <v>919</v>
      </c>
      <c r="DH4" t="s">
        <v>921</v>
      </c>
      <c r="DI4" t="s">
        <v>393</v>
      </c>
      <c r="DJ4" t="s">
        <v>922</v>
      </c>
      <c r="DK4" t="s">
        <v>922</v>
      </c>
      <c r="DL4" t="s">
        <v>923</v>
      </c>
      <c r="DM4" t="s">
        <v>377</v>
      </c>
      <c r="DN4" t="s">
        <v>680</v>
      </c>
      <c r="DO4" t="s">
        <v>918</v>
      </c>
      <c r="DP4" t="s">
        <v>924</v>
      </c>
      <c r="DQ4" t="s">
        <v>395</v>
      </c>
      <c r="DR4" t="s">
        <v>917</v>
      </c>
      <c r="DS4" t="s">
        <v>911</v>
      </c>
      <c r="DT4" t="s">
        <v>565</v>
      </c>
      <c r="DU4" t="s">
        <v>403</v>
      </c>
      <c r="DV4" t="s">
        <v>403</v>
      </c>
      <c r="DW4" t="s">
        <v>400</v>
      </c>
      <c r="DX4" t="s">
        <v>400</v>
      </c>
      <c r="DY4" t="s">
        <v>925</v>
      </c>
      <c r="DZ4" t="s">
        <v>354</v>
      </c>
      <c r="EA4" t="s">
        <v>302</v>
      </c>
      <c r="EB4" t="s">
        <v>920</v>
      </c>
      <c r="EC4" t="s">
        <v>924</v>
      </c>
      <c r="ED4" t="s">
        <v>918</v>
      </c>
      <c r="EE4" t="s">
        <v>309</v>
      </c>
      <c r="EF4" t="s">
        <v>551</v>
      </c>
      <c r="EG4" t="s">
        <v>296</v>
      </c>
      <c r="EH4" t="s">
        <v>565</v>
      </c>
      <c r="EI4" t="s">
        <v>926</v>
      </c>
      <c r="EJ4" t="s">
        <v>923</v>
      </c>
      <c r="EK4" t="s">
        <v>361</v>
      </c>
      <c r="EL4" t="s">
        <v>354</v>
      </c>
      <c r="EM4" t="s">
        <v>354</v>
      </c>
      <c r="EN4" t="s">
        <v>354</v>
      </c>
      <c r="EO4" t="s">
        <v>354</v>
      </c>
      <c r="EP4" t="s">
        <v>361</v>
      </c>
      <c r="EQ4" t="s">
        <v>917</v>
      </c>
      <c r="ER4" t="s">
        <v>397</v>
      </c>
      <c r="ES4" t="s">
        <v>306</v>
      </c>
      <c r="ET4" t="s">
        <v>354</v>
      </c>
      <c r="EU4" t="s">
        <v>400</v>
      </c>
      <c r="EV4" t="s">
        <v>309</v>
      </c>
      <c r="EW4" t="s">
        <v>309</v>
      </c>
      <c r="EX4" t="s">
        <v>354</v>
      </c>
      <c r="EY4" t="s">
        <v>354</v>
      </c>
      <c r="EZ4" t="s">
        <v>400</v>
      </c>
      <c r="FA4" t="s">
        <v>339</v>
      </c>
      <c r="FB4" t="s">
        <v>361</v>
      </c>
      <c r="FC4" t="s">
        <v>927</v>
      </c>
      <c r="FD4" t="s">
        <v>354</v>
      </c>
      <c r="FE4" t="s">
        <v>928</v>
      </c>
      <c r="FF4" t="s">
        <v>361</v>
      </c>
      <c r="FG4" t="s">
        <v>680</v>
      </c>
      <c r="FH4" t="s">
        <v>565</v>
      </c>
      <c r="FI4" t="s">
        <v>400</v>
      </c>
      <c r="FJ4" t="s">
        <v>361</v>
      </c>
      <c r="FK4" t="s">
        <v>354</v>
      </c>
      <c r="FL4" t="s">
        <v>354</v>
      </c>
      <c r="FM4" t="s">
        <v>306</v>
      </c>
      <c r="FN4" t="s">
        <v>302</v>
      </c>
      <c r="FO4" t="s">
        <v>354</v>
      </c>
      <c r="FP4" t="s">
        <v>354</v>
      </c>
      <c r="FQ4" t="s">
        <v>361</v>
      </c>
      <c r="FR4" t="s">
        <v>551</v>
      </c>
      <c r="FS4" t="s">
        <v>929</v>
      </c>
      <c r="FT4" t="s">
        <v>930</v>
      </c>
      <c r="FU4" t="s">
        <v>334</v>
      </c>
      <c r="FV4" t="s">
        <v>931</v>
      </c>
      <c r="FW4" t="s">
        <v>931</v>
      </c>
      <c r="FX4" t="s">
        <v>565</v>
      </c>
      <c r="FY4" t="s">
        <v>920</v>
      </c>
      <c r="FZ4" t="s">
        <v>920</v>
      </c>
      <c r="GA4" t="s">
        <v>680</v>
      </c>
      <c r="GB4" t="s">
        <v>932</v>
      </c>
      <c r="GC4" t="s">
        <v>924</v>
      </c>
      <c r="GD4" t="s">
        <v>924</v>
      </c>
      <c r="GE4" t="s">
        <v>397</v>
      </c>
      <c r="GF4" t="s">
        <v>930</v>
      </c>
      <c r="GG4" t="s">
        <v>933</v>
      </c>
      <c r="GH4" t="s">
        <v>565</v>
      </c>
      <c r="GI4" t="s">
        <v>361</v>
      </c>
      <c r="GJ4" t="s">
        <v>339</v>
      </c>
      <c r="GK4" t="s">
        <v>400</v>
      </c>
      <c r="GL4" t="s">
        <v>400</v>
      </c>
      <c r="GM4" t="s">
        <v>309</v>
      </c>
      <c r="GN4" t="s">
        <v>309</v>
      </c>
      <c r="GO4" t="s">
        <v>361</v>
      </c>
      <c r="GP4" t="s">
        <v>403</v>
      </c>
      <c r="GQ4" t="s">
        <v>377</v>
      </c>
      <c r="GR4" t="s">
        <v>403</v>
      </c>
      <c r="GS4" t="s">
        <v>328</v>
      </c>
      <c r="GT4" t="s">
        <v>930</v>
      </c>
      <c r="GU4" t="s">
        <v>930</v>
      </c>
      <c r="GV4" t="s">
        <v>339</v>
      </c>
      <c r="GW4" t="s">
        <v>912</v>
      </c>
      <c r="GX4" t="s">
        <v>934</v>
      </c>
      <c r="GY4" t="s">
        <v>393</v>
      </c>
      <c r="GZ4" t="s">
        <v>565</v>
      </c>
      <c r="HA4" t="s">
        <v>377</v>
      </c>
      <c r="HB4" t="s">
        <v>395</v>
      </c>
      <c r="HC4" t="s">
        <v>918</v>
      </c>
      <c r="HD4" t="s">
        <v>935</v>
      </c>
      <c r="HE4" t="s">
        <v>920</v>
      </c>
      <c r="HF4" t="s">
        <v>354</v>
      </c>
      <c r="HG4" t="s">
        <v>400</v>
      </c>
      <c r="HH4" t="s">
        <v>936</v>
      </c>
      <c r="HI4" t="s">
        <v>393</v>
      </c>
      <c r="HJ4" t="s">
        <v>400</v>
      </c>
      <c r="HK4" t="s">
        <v>354</v>
      </c>
      <c r="HL4" t="s">
        <v>565</v>
      </c>
      <c r="HM4" t="s">
        <v>400</v>
      </c>
      <c r="HN4" t="s">
        <v>397</v>
      </c>
      <c r="HO4" t="s">
        <v>937</v>
      </c>
      <c r="HP4" t="s">
        <v>931</v>
      </c>
      <c r="HQ4" t="s">
        <v>918</v>
      </c>
      <c r="HR4" t="s">
        <v>403</v>
      </c>
      <c r="HS4" t="s">
        <v>400</v>
      </c>
      <c r="HT4" t="s">
        <v>400</v>
      </c>
      <c r="HU4" t="s">
        <v>400</v>
      </c>
      <c r="HV4" t="s">
        <v>354</v>
      </c>
      <c r="HW4" t="s">
        <v>361</v>
      </c>
      <c r="HX4" t="s">
        <v>361</v>
      </c>
      <c r="HY4" t="s">
        <v>564</v>
      </c>
      <c r="HZ4" t="s">
        <v>564</v>
      </c>
      <c r="IA4" t="s">
        <v>938</v>
      </c>
      <c r="IB4" t="s">
        <v>939</v>
      </c>
      <c r="IC4" t="s">
        <v>565</v>
      </c>
      <c r="ID4" t="s">
        <v>932</v>
      </c>
      <c r="IE4" t="s">
        <v>361</v>
      </c>
      <c r="IF4" t="s">
        <v>354</v>
      </c>
      <c r="IG4" t="s">
        <v>565</v>
      </c>
      <c r="IH4" t="s">
        <v>565</v>
      </c>
      <c r="II4" t="s">
        <v>354</v>
      </c>
      <c r="IJ4" t="s">
        <v>564</v>
      </c>
      <c r="IK4" t="s">
        <v>589</v>
      </c>
      <c r="IL4" t="s">
        <v>565</v>
      </c>
      <c r="IM4" t="s">
        <v>306</v>
      </c>
      <c r="IN4" t="s">
        <v>403</v>
      </c>
      <c r="IO4" t="s">
        <v>919</v>
      </c>
      <c r="IP4" t="s">
        <v>918</v>
      </c>
      <c r="IQ4" t="s">
        <v>940</v>
      </c>
      <c r="IR4" t="s">
        <v>354</v>
      </c>
      <c r="IS4" t="s">
        <v>354</v>
      </c>
      <c r="IT4" t="s">
        <v>400</v>
      </c>
      <c r="IU4" t="s">
        <v>334</v>
      </c>
      <c r="IV4" t="s">
        <v>361</v>
      </c>
      <c r="IW4" t="s">
        <v>395</v>
      </c>
      <c r="IX4" t="s">
        <v>304</v>
      </c>
      <c r="IY4" t="s">
        <v>565</v>
      </c>
      <c r="IZ4" t="s">
        <v>400</v>
      </c>
      <c r="JA4" t="s">
        <v>400</v>
      </c>
      <c r="JB4" t="s">
        <v>361</v>
      </c>
      <c r="JC4" t="s">
        <v>354</v>
      </c>
      <c r="JD4" t="s">
        <v>354</v>
      </c>
      <c r="JE4" t="s">
        <v>403</v>
      </c>
      <c r="JF4" t="s">
        <v>916</v>
      </c>
      <c r="JG4" t="s">
        <v>403</v>
      </c>
      <c r="JH4" t="s">
        <v>354</v>
      </c>
      <c r="JI4" t="s">
        <v>354</v>
      </c>
      <c r="JJ4" t="s">
        <v>306</v>
      </c>
      <c r="JK4" t="s">
        <v>403</v>
      </c>
      <c r="JL4" t="s">
        <v>361</v>
      </c>
      <c r="JM4" t="s">
        <v>306</v>
      </c>
      <c r="JN4" t="s">
        <v>354</v>
      </c>
      <c r="JO4" t="s">
        <v>306</v>
      </c>
      <c r="JP4" t="s">
        <v>565</v>
      </c>
      <c r="JQ4" t="s">
        <v>911</v>
      </c>
      <c r="JR4" t="s">
        <v>941</v>
      </c>
      <c r="JS4" t="s">
        <v>940</v>
      </c>
      <c r="JT4" t="s">
        <v>565</v>
      </c>
      <c r="JU4" t="s">
        <v>306</v>
      </c>
      <c r="JV4" t="s">
        <v>339</v>
      </c>
      <c r="JW4" t="s">
        <v>339</v>
      </c>
      <c r="JX4" t="s">
        <v>354</v>
      </c>
      <c r="JY4" t="s">
        <v>354</v>
      </c>
      <c r="JZ4" t="s">
        <v>354</v>
      </c>
      <c r="KA4" t="s">
        <v>361</v>
      </c>
      <c r="KB4" t="s">
        <v>334</v>
      </c>
      <c r="KC4" t="s">
        <v>919</v>
      </c>
      <c r="KD4" t="s">
        <v>923</v>
      </c>
      <c r="KE4" t="s">
        <v>565</v>
      </c>
      <c r="KF4" t="s">
        <v>354</v>
      </c>
      <c r="KG4" t="s">
        <v>354</v>
      </c>
      <c r="KH4" t="s">
        <v>361</v>
      </c>
      <c r="KI4" t="s">
        <v>933</v>
      </c>
      <c r="KJ4" t="s">
        <v>942</v>
      </c>
      <c r="KK4" t="s">
        <v>943</v>
      </c>
      <c r="KL4" t="s">
        <v>306</v>
      </c>
      <c r="KM4" t="s">
        <v>354</v>
      </c>
      <c r="KN4" t="s">
        <v>304</v>
      </c>
      <c r="KO4" t="s">
        <v>361</v>
      </c>
      <c r="KP4" t="s">
        <v>302</v>
      </c>
      <c r="KQ4" t="s">
        <v>354</v>
      </c>
      <c r="KR4" t="s">
        <v>354</v>
      </c>
      <c r="KS4" t="s">
        <v>354</v>
      </c>
      <c r="KT4" t="s">
        <v>361</v>
      </c>
      <c r="KU4" t="s">
        <v>564</v>
      </c>
      <c r="KV4" t="s">
        <v>564</v>
      </c>
      <c r="KW4" t="s">
        <v>354</v>
      </c>
      <c r="KX4" t="s">
        <v>354</v>
      </c>
      <c r="KY4" t="s">
        <v>354</v>
      </c>
      <c r="KZ4" t="s">
        <v>306</v>
      </c>
      <c r="LA4" t="s">
        <v>354</v>
      </c>
      <c r="LB4" t="s">
        <v>354</v>
      </c>
      <c r="LC4" t="s">
        <v>361</v>
      </c>
      <c r="LD4" t="s">
        <v>361</v>
      </c>
      <c r="LE4" t="s">
        <v>354</v>
      </c>
      <c r="LF4" t="s">
        <v>361</v>
      </c>
      <c r="LG4" t="s">
        <v>306</v>
      </c>
      <c r="LH4" t="s">
        <v>354</v>
      </c>
      <c r="LI4" t="s">
        <v>296</v>
      </c>
      <c r="LJ4" t="s">
        <v>944</v>
      </c>
      <c r="LK4" t="s">
        <v>944</v>
      </c>
      <c r="LL4" t="s">
        <v>397</v>
      </c>
      <c r="LM4" t="s">
        <v>403</v>
      </c>
      <c r="LN4" t="s">
        <v>564</v>
      </c>
      <c r="LO4" t="s">
        <v>565</v>
      </c>
      <c r="LP4" t="s">
        <v>361</v>
      </c>
      <c r="LQ4" t="s">
        <v>361</v>
      </c>
      <c r="LR4" t="s">
        <v>589</v>
      </c>
      <c r="LS4" t="s">
        <v>945</v>
      </c>
      <c r="LT4" t="s">
        <v>354</v>
      </c>
      <c r="LU4" t="s">
        <v>565</v>
      </c>
      <c r="LV4" t="s">
        <v>946</v>
      </c>
      <c r="LW4" t="s">
        <v>403</v>
      </c>
      <c r="LX4" t="s">
        <v>354</v>
      </c>
      <c r="LY4" t="s">
        <v>306</v>
      </c>
      <c r="LZ4" t="s">
        <v>947</v>
      </c>
      <c r="MA4" t="s">
        <v>304</v>
      </c>
      <c r="MB4" t="s">
        <v>354</v>
      </c>
      <c r="MC4" t="s">
        <v>361</v>
      </c>
      <c r="MD4" t="s">
        <v>403</v>
      </c>
      <c r="ME4" t="s">
        <v>354</v>
      </c>
      <c r="MF4" t="s">
        <v>397</v>
      </c>
      <c r="MG4" t="s">
        <v>948</v>
      </c>
      <c r="MH4" t="s">
        <v>948</v>
      </c>
      <c r="MI4" t="s">
        <v>397</v>
      </c>
      <c r="MJ4" t="s">
        <v>302</v>
      </c>
      <c r="MK4" t="s">
        <v>354</v>
      </c>
      <c r="ML4" t="s">
        <v>302</v>
      </c>
      <c r="MM4" t="s">
        <v>565</v>
      </c>
      <c r="MN4" t="s">
        <v>328</v>
      </c>
      <c r="MO4" t="s">
        <v>949</v>
      </c>
    </row>
    <row r="8" spans="1:353">
      <c r="I8" s="29"/>
    </row>
    <row r="9" spans="1:353">
      <c r="A9" s="798" t="s">
        <v>950</v>
      </c>
      <c r="B9" s="798" t="s">
        <v>343</v>
      </c>
      <c r="I9" s="29"/>
    </row>
    <row r="10" spans="1:353">
      <c r="A10" s="798"/>
      <c r="B10" s="798"/>
      <c r="I10" s="59" t="s">
        <v>523</v>
      </c>
    </row>
    <row r="11" spans="1:353" hidden="1">
      <c r="A11" s="29" t="s">
        <v>689</v>
      </c>
      <c r="B11" s="145" t="s">
        <v>400</v>
      </c>
      <c r="H11" t="str">
        <f t="shared" ref="H11:H21" si="0">A11</f>
        <v>117/1</v>
      </c>
      <c r="I11" s="29"/>
    </row>
    <row r="12" spans="1:353" hidden="1">
      <c r="A12" s="29" t="s">
        <v>714</v>
      </c>
      <c r="B12" s="145" t="s">
        <v>403</v>
      </c>
      <c r="H12" t="str">
        <f t="shared" si="0"/>
        <v>117/2</v>
      </c>
      <c r="I12" s="29"/>
    </row>
    <row r="13" spans="1:353" hidden="1">
      <c r="A13" s="29" t="s">
        <v>523</v>
      </c>
      <c r="B13" s="145" t="s">
        <v>304</v>
      </c>
      <c r="H13" t="str">
        <f t="shared" si="0"/>
        <v>118/0</v>
      </c>
      <c r="I13" s="29"/>
    </row>
    <row r="14" spans="1:353" hidden="1">
      <c r="A14" s="29" t="s">
        <v>524</v>
      </c>
      <c r="B14" s="145" t="s">
        <v>302</v>
      </c>
      <c r="H14" t="str">
        <f t="shared" si="0"/>
        <v>119/0</v>
      </c>
      <c r="I14" s="29"/>
    </row>
    <row r="15" spans="1:353" hidden="1">
      <c r="A15" s="29" t="s">
        <v>525</v>
      </c>
      <c r="B15" s="145" t="s">
        <v>400</v>
      </c>
      <c r="H15" t="str">
        <f t="shared" si="0"/>
        <v>119/1</v>
      </c>
      <c r="I15" s="29"/>
    </row>
    <row r="16" spans="1:353" hidden="1">
      <c r="A16" s="29" t="s">
        <v>715</v>
      </c>
      <c r="B16" s="145" t="s">
        <v>400</v>
      </c>
      <c r="H16" t="str">
        <f t="shared" si="0"/>
        <v>119/2</v>
      </c>
      <c r="I16" s="29"/>
    </row>
    <row r="17" spans="1:9" hidden="1">
      <c r="A17" s="29" t="s">
        <v>716</v>
      </c>
      <c r="B17" s="145" t="s">
        <v>565</v>
      </c>
      <c r="H17" t="str">
        <f t="shared" si="0"/>
        <v>119/3</v>
      </c>
      <c r="I17" s="29"/>
    </row>
    <row r="18" spans="1:9" hidden="1">
      <c r="A18" s="29" t="s">
        <v>526</v>
      </c>
      <c r="B18" s="145" t="s">
        <v>564</v>
      </c>
      <c r="H18" t="str">
        <f t="shared" si="0"/>
        <v>120/0</v>
      </c>
      <c r="I18" s="29"/>
    </row>
    <row r="19" spans="1:9" hidden="1">
      <c r="A19" s="29" t="s">
        <v>717</v>
      </c>
      <c r="B19" s="145" t="s">
        <v>400</v>
      </c>
      <c r="H19" t="str">
        <f t="shared" si="0"/>
        <v>120/1</v>
      </c>
      <c r="I19" s="29"/>
    </row>
    <row r="20" spans="1:9" hidden="1">
      <c r="A20" s="29" t="s">
        <v>718</v>
      </c>
      <c r="B20" s="145" t="s">
        <v>354</v>
      </c>
      <c r="H20" t="str">
        <f t="shared" si="0"/>
        <v>120/2</v>
      </c>
      <c r="I20" s="29"/>
    </row>
    <row r="21" spans="1:9" hidden="1">
      <c r="A21" s="29" t="s">
        <v>719</v>
      </c>
      <c r="B21" s="145" t="s">
        <v>403</v>
      </c>
      <c r="H21" t="str">
        <f t="shared" si="0"/>
        <v>120/3</v>
      </c>
      <c r="I21" s="29"/>
    </row>
    <row r="22" spans="1:9" hidden="1">
      <c r="A22" s="29" t="s">
        <v>690</v>
      </c>
      <c r="B22" s="145" t="s">
        <v>354</v>
      </c>
      <c r="I22" s="59" t="s">
        <v>762</v>
      </c>
    </row>
    <row r="23" spans="1:9" hidden="1">
      <c r="A23" s="29" t="s">
        <v>720</v>
      </c>
      <c r="B23" s="145" t="s">
        <v>400</v>
      </c>
      <c r="I23" s="29" t="s">
        <v>145</v>
      </c>
    </row>
    <row r="24" spans="1:9" hidden="1">
      <c r="A24" s="29" t="s">
        <v>721</v>
      </c>
      <c r="B24" s="145" t="s">
        <v>354</v>
      </c>
      <c r="I24" s="59" t="s">
        <v>763</v>
      </c>
    </row>
    <row r="25" spans="1:9" hidden="1">
      <c r="A25" s="29" t="s">
        <v>691</v>
      </c>
      <c r="B25" s="145" t="s">
        <v>361</v>
      </c>
      <c r="I25" s="59" t="s">
        <v>764</v>
      </c>
    </row>
    <row r="26" spans="1:9" hidden="1">
      <c r="A26" s="29" t="s">
        <v>527</v>
      </c>
      <c r="B26" s="145" t="s">
        <v>393</v>
      </c>
      <c r="I26" s="59" t="s">
        <v>765</v>
      </c>
    </row>
    <row r="27" spans="1:9" hidden="1">
      <c r="A27" s="29" t="s">
        <v>722</v>
      </c>
      <c r="B27" s="145" t="s">
        <v>911</v>
      </c>
      <c r="I27" s="59" t="s">
        <v>766</v>
      </c>
    </row>
    <row r="28" spans="1:9" hidden="1">
      <c r="A28" s="29" t="s">
        <v>729</v>
      </c>
      <c r="B28" s="145" t="s">
        <v>354</v>
      </c>
      <c r="I28" s="59" t="s">
        <v>146</v>
      </c>
    </row>
    <row r="29" spans="1:9">
      <c r="A29" s="29" t="s">
        <v>730</v>
      </c>
      <c r="B29" s="143" t="s">
        <v>565</v>
      </c>
      <c r="H29" t="str">
        <f>A29</f>
        <v>121/11</v>
      </c>
      <c r="I29" s="29"/>
    </row>
    <row r="30" spans="1:9" hidden="1">
      <c r="A30" s="29" t="s">
        <v>692</v>
      </c>
      <c r="B30" s="145" t="s">
        <v>565</v>
      </c>
      <c r="I30" s="59" t="s">
        <v>700</v>
      </c>
    </row>
    <row r="31" spans="1:9" hidden="1">
      <c r="A31" s="29" t="s">
        <v>693</v>
      </c>
      <c r="B31" s="145" t="s">
        <v>354</v>
      </c>
      <c r="I31" s="59" t="s">
        <v>184</v>
      </c>
    </row>
    <row r="32" spans="1:9" hidden="1">
      <c r="A32" s="29" t="s">
        <v>723</v>
      </c>
      <c r="B32" s="145" t="s">
        <v>354</v>
      </c>
      <c r="I32" s="59" t="s">
        <v>767</v>
      </c>
    </row>
    <row r="33" spans="1:9" hidden="1">
      <c r="A33" s="29" t="s">
        <v>724</v>
      </c>
      <c r="B33" s="145" t="s">
        <v>400</v>
      </c>
      <c r="I33" s="59" t="s">
        <v>768</v>
      </c>
    </row>
    <row r="34" spans="1:9" hidden="1">
      <c r="A34" s="29" t="s">
        <v>725</v>
      </c>
      <c r="B34" s="145" t="s">
        <v>354</v>
      </c>
      <c r="I34" s="59" t="s">
        <v>769</v>
      </c>
    </row>
    <row r="35" spans="1:9" hidden="1">
      <c r="A35" s="29" t="s">
        <v>726</v>
      </c>
      <c r="B35" s="145" t="s">
        <v>339</v>
      </c>
      <c r="I35" s="59" t="s">
        <v>626</v>
      </c>
    </row>
    <row r="36" spans="1:9" hidden="1">
      <c r="A36" s="29" t="s">
        <v>727</v>
      </c>
      <c r="B36" s="145" t="s">
        <v>354</v>
      </c>
      <c r="I36" s="59" t="s">
        <v>627</v>
      </c>
    </row>
    <row r="37" spans="1:9" hidden="1">
      <c r="A37" s="29" t="s">
        <v>728</v>
      </c>
      <c r="B37" s="145" t="s">
        <v>354</v>
      </c>
      <c r="I37" s="59" t="s">
        <v>628</v>
      </c>
    </row>
    <row r="38" spans="1:9" hidden="1">
      <c r="A38" s="29" t="s">
        <v>276</v>
      </c>
      <c r="B38" s="145" t="s">
        <v>589</v>
      </c>
      <c r="I38" s="59" t="s">
        <v>629</v>
      </c>
    </row>
    <row r="39" spans="1:9" hidden="1">
      <c r="A39" s="29" t="s">
        <v>530</v>
      </c>
      <c r="B39" s="145" t="s">
        <v>400</v>
      </c>
      <c r="H39" t="str">
        <f>A39</f>
        <v>124/1</v>
      </c>
      <c r="I39" s="29"/>
    </row>
    <row r="40" spans="1:9" hidden="1">
      <c r="A40" s="29" t="s">
        <v>531</v>
      </c>
      <c r="B40" s="145" t="s">
        <v>354</v>
      </c>
      <c r="H40" t="str">
        <f>A40</f>
        <v>124/2</v>
      </c>
      <c r="I40" s="29"/>
    </row>
    <row r="41" spans="1:9" hidden="1">
      <c r="A41" s="29" t="s">
        <v>281</v>
      </c>
      <c r="B41" s="145" t="s">
        <v>354</v>
      </c>
      <c r="H41" t="str">
        <f>A41</f>
        <v>124/3</v>
      </c>
      <c r="I41" s="29"/>
    </row>
    <row r="42" spans="1:9" hidden="1">
      <c r="A42" s="29" t="s">
        <v>731</v>
      </c>
      <c r="B42" s="145" t="s">
        <v>604</v>
      </c>
      <c r="I42" s="59" t="s">
        <v>634</v>
      </c>
    </row>
    <row r="43" spans="1:9" hidden="1">
      <c r="A43" s="29" t="s">
        <v>732</v>
      </c>
      <c r="B43" s="145" t="s">
        <v>565</v>
      </c>
      <c r="I43" s="59" t="s">
        <v>773</v>
      </c>
    </row>
    <row r="44" spans="1:9" hidden="1">
      <c r="A44" s="29" t="s">
        <v>733</v>
      </c>
      <c r="B44" s="145" t="s">
        <v>565</v>
      </c>
      <c r="I44" s="59" t="s">
        <v>701</v>
      </c>
    </row>
    <row r="45" spans="1:9" hidden="1">
      <c r="A45" s="29" t="s">
        <v>734</v>
      </c>
      <c r="B45" s="145" t="s">
        <v>589</v>
      </c>
      <c r="I45" s="59" t="s">
        <v>702</v>
      </c>
    </row>
    <row r="46" spans="1:9" hidden="1">
      <c r="A46" s="29" t="s">
        <v>694</v>
      </c>
      <c r="B46" s="145" t="s">
        <v>361</v>
      </c>
      <c r="I46" s="59" t="s">
        <v>774</v>
      </c>
    </row>
    <row r="47" spans="1:9" hidden="1">
      <c r="A47" s="29" t="s">
        <v>735</v>
      </c>
      <c r="B47" s="145" t="s">
        <v>354</v>
      </c>
      <c r="H47" t="str">
        <f>A47</f>
        <v>126/2</v>
      </c>
      <c r="I47" s="29"/>
    </row>
    <row r="48" spans="1:9" hidden="1">
      <c r="A48" s="29" t="s">
        <v>736</v>
      </c>
      <c r="B48" s="145" t="s">
        <v>354</v>
      </c>
      <c r="I48" s="59" t="s">
        <v>775</v>
      </c>
    </row>
    <row r="49" spans="1:9" hidden="1">
      <c r="A49" s="29" t="s">
        <v>737</v>
      </c>
      <c r="B49" s="145" t="s">
        <v>304</v>
      </c>
      <c r="H49" t="str">
        <f t="shared" ref="H49:H63" si="1">A49</f>
        <v>127/0</v>
      </c>
      <c r="I49" s="29"/>
    </row>
    <row r="50" spans="1:9" hidden="1">
      <c r="A50" s="29" t="s">
        <v>136</v>
      </c>
      <c r="B50" s="145" t="s">
        <v>400</v>
      </c>
      <c r="H50" t="str">
        <f t="shared" si="1"/>
        <v>127/1</v>
      </c>
      <c r="I50" s="29"/>
    </row>
    <row r="51" spans="1:9" hidden="1">
      <c r="A51" s="29" t="s">
        <v>174</v>
      </c>
      <c r="B51" s="145" t="s">
        <v>397</v>
      </c>
      <c r="H51" t="str">
        <f t="shared" si="1"/>
        <v>127/2</v>
      </c>
      <c r="I51" s="29"/>
    </row>
    <row r="52" spans="1:9" hidden="1">
      <c r="A52" s="29" t="s">
        <v>168</v>
      </c>
      <c r="B52" s="145" t="s">
        <v>912</v>
      </c>
      <c r="H52" t="str">
        <f t="shared" si="1"/>
        <v>128/0</v>
      </c>
      <c r="I52" s="29"/>
    </row>
    <row r="53" spans="1:9">
      <c r="A53" s="29" t="s">
        <v>569</v>
      </c>
      <c r="B53" s="143" t="s">
        <v>913</v>
      </c>
      <c r="H53" t="str">
        <f t="shared" si="1"/>
        <v>129/0</v>
      </c>
      <c r="I53" s="29"/>
    </row>
    <row r="54" spans="1:9">
      <c r="A54" s="29" t="s">
        <v>573</v>
      </c>
      <c r="B54" s="143" t="s">
        <v>914</v>
      </c>
      <c r="H54" t="str">
        <f t="shared" si="1"/>
        <v>130/0</v>
      </c>
      <c r="I54" s="29"/>
    </row>
    <row r="55" spans="1:9">
      <c r="A55" s="29" t="s">
        <v>545</v>
      </c>
      <c r="B55" s="143" t="s">
        <v>915</v>
      </c>
      <c r="H55" t="str">
        <f t="shared" si="1"/>
        <v>131/0</v>
      </c>
      <c r="I55" s="29"/>
    </row>
    <row r="56" spans="1:9">
      <c r="A56" s="29" t="s">
        <v>546</v>
      </c>
      <c r="B56" s="143" t="s">
        <v>361</v>
      </c>
      <c r="H56" t="str">
        <f t="shared" si="1"/>
        <v>131/1</v>
      </c>
      <c r="I56" s="29"/>
    </row>
    <row r="57" spans="1:9" hidden="1">
      <c r="A57" s="29" t="s">
        <v>547</v>
      </c>
      <c r="B57" s="145" t="s">
        <v>354</v>
      </c>
      <c r="H57" t="str">
        <f t="shared" si="1"/>
        <v>131/2</v>
      </c>
      <c r="I57" s="29"/>
    </row>
    <row r="58" spans="1:9">
      <c r="A58" s="29" t="s">
        <v>738</v>
      </c>
      <c r="B58" s="143" t="s">
        <v>361</v>
      </c>
      <c r="H58" t="str">
        <f t="shared" si="1"/>
        <v>131/3</v>
      </c>
      <c r="I58" s="29"/>
    </row>
    <row r="59" spans="1:9">
      <c r="A59" s="29" t="s">
        <v>739</v>
      </c>
      <c r="B59" s="143" t="s">
        <v>400</v>
      </c>
      <c r="H59" t="str">
        <f t="shared" si="1"/>
        <v>131/4</v>
      </c>
      <c r="I59" s="29"/>
    </row>
    <row r="60" spans="1:9">
      <c r="A60" s="29" t="s">
        <v>740</v>
      </c>
      <c r="B60" s="143" t="s">
        <v>400</v>
      </c>
      <c r="H60" t="str">
        <f t="shared" si="1"/>
        <v>131/5</v>
      </c>
      <c r="I60" s="29"/>
    </row>
    <row r="61" spans="1:9" hidden="1">
      <c r="A61" s="29" t="s">
        <v>741</v>
      </c>
      <c r="B61" s="145" t="s">
        <v>304</v>
      </c>
      <c r="H61" t="str">
        <f t="shared" si="1"/>
        <v>132/0</v>
      </c>
      <c r="I61" s="29"/>
    </row>
    <row r="62" spans="1:9" hidden="1">
      <c r="A62" s="29" t="s">
        <v>549</v>
      </c>
      <c r="B62" s="145" t="s">
        <v>400</v>
      </c>
      <c r="H62" t="str">
        <f t="shared" si="1"/>
        <v>132/1</v>
      </c>
      <c r="I62" s="29"/>
    </row>
    <row r="63" spans="1:9">
      <c r="A63" s="29" t="s">
        <v>742</v>
      </c>
      <c r="B63" s="143" t="s">
        <v>400</v>
      </c>
      <c r="H63" t="str">
        <f t="shared" si="1"/>
        <v>132/2</v>
      </c>
      <c r="I63" s="29"/>
    </row>
    <row r="64" spans="1:9" hidden="1">
      <c r="A64" s="29" t="s">
        <v>743</v>
      </c>
      <c r="B64" s="145" t="s">
        <v>400</v>
      </c>
      <c r="I64" s="59" t="s">
        <v>468</v>
      </c>
    </row>
    <row r="65" spans="1:9" hidden="1">
      <c r="A65" s="29" t="s">
        <v>446</v>
      </c>
      <c r="B65" s="145" t="s">
        <v>334</v>
      </c>
      <c r="H65" t="str">
        <f>A65</f>
        <v>133/0</v>
      </c>
      <c r="I65" s="29"/>
    </row>
    <row r="66" spans="1:9" hidden="1">
      <c r="A66" s="29" t="s">
        <v>452</v>
      </c>
      <c r="B66" s="145" t="s">
        <v>354</v>
      </c>
      <c r="H66" t="str">
        <f>A66</f>
        <v>133/1</v>
      </c>
      <c r="I66" s="29"/>
    </row>
    <row r="67" spans="1:9" hidden="1">
      <c r="A67" s="29" t="s">
        <v>382</v>
      </c>
      <c r="B67" s="145" t="s">
        <v>339</v>
      </c>
      <c r="H67" t="str">
        <f>A67</f>
        <v>133/2</v>
      </c>
      <c r="I67" s="29"/>
    </row>
    <row r="68" spans="1:9" hidden="1">
      <c r="A68" s="29" t="s">
        <v>744</v>
      </c>
      <c r="B68" s="143" t="s">
        <v>339</v>
      </c>
      <c r="H68" t="str">
        <f>A68</f>
        <v>133/3</v>
      </c>
      <c r="I68" s="29"/>
    </row>
    <row r="69" spans="1:9" hidden="1">
      <c r="A69" s="29" t="s">
        <v>745</v>
      </c>
      <c r="B69" s="145" t="s">
        <v>361</v>
      </c>
      <c r="H69" t="str">
        <f>A69</f>
        <v>133/4</v>
      </c>
      <c r="I69" s="29"/>
    </row>
    <row r="70" spans="1:9" hidden="1">
      <c r="A70" s="29" t="s">
        <v>376</v>
      </c>
      <c r="B70" s="145" t="s">
        <v>306</v>
      </c>
      <c r="I70" s="59" t="s">
        <v>149</v>
      </c>
    </row>
    <row r="71" spans="1:9">
      <c r="A71" s="29" t="s">
        <v>137</v>
      </c>
      <c r="B71" s="143" t="s">
        <v>564</v>
      </c>
      <c r="H71" t="str">
        <f t="shared" ref="H71:H90" si="2">A71</f>
        <v>135/0</v>
      </c>
      <c r="I71" s="29"/>
    </row>
    <row r="72" spans="1:9" hidden="1">
      <c r="A72" s="29" t="s">
        <v>374</v>
      </c>
      <c r="B72" s="145" t="s">
        <v>309</v>
      </c>
      <c r="H72" t="str">
        <f t="shared" si="2"/>
        <v>136/0</v>
      </c>
      <c r="I72" s="29"/>
    </row>
    <row r="73" spans="1:9" hidden="1">
      <c r="A73" s="29" t="s">
        <v>746</v>
      </c>
      <c r="B73" s="145" t="s">
        <v>397</v>
      </c>
      <c r="H73" t="str">
        <f t="shared" si="2"/>
        <v>136/1</v>
      </c>
      <c r="I73" s="29"/>
    </row>
    <row r="74" spans="1:9" hidden="1">
      <c r="A74" s="29" t="s">
        <v>372</v>
      </c>
      <c r="B74" s="145" t="s">
        <v>916</v>
      </c>
      <c r="H74" t="str">
        <f t="shared" si="2"/>
        <v>137/0</v>
      </c>
      <c r="I74" s="29"/>
    </row>
    <row r="75" spans="1:9" hidden="1">
      <c r="A75" s="29" t="s">
        <v>695</v>
      </c>
      <c r="B75" s="145" t="s">
        <v>403</v>
      </c>
      <c r="H75" t="str">
        <f t="shared" si="2"/>
        <v>137/1</v>
      </c>
      <c r="I75" s="29"/>
    </row>
    <row r="76" spans="1:9" hidden="1">
      <c r="A76" s="29" t="s">
        <v>696</v>
      </c>
      <c r="B76" s="145" t="s">
        <v>400</v>
      </c>
      <c r="H76" t="str">
        <f t="shared" si="2"/>
        <v>137/2</v>
      </c>
      <c r="I76" s="29"/>
    </row>
    <row r="77" spans="1:9" hidden="1">
      <c r="A77" s="29" t="s">
        <v>373</v>
      </c>
      <c r="B77" s="145" t="s">
        <v>917</v>
      </c>
      <c r="H77" t="str">
        <f t="shared" si="2"/>
        <v>138/0</v>
      </c>
      <c r="I77" s="29"/>
    </row>
    <row r="78" spans="1:9" hidden="1">
      <c r="A78" s="29" t="s">
        <v>175</v>
      </c>
      <c r="B78" s="145" t="s">
        <v>330</v>
      </c>
      <c r="H78" t="str">
        <f t="shared" si="2"/>
        <v>139/0</v>
      </c>
      <c r="I78" s="29"/>
    </row>
    <row r="79" spans="1:9" hidden="1">
      <c r="A79" s="29" t="s">
        <v>138</v>
      </c>
      <c r="B79" s="145" t="s">
        <v>403</v>
      </c>
      <c r="H79" t="str">
        <f t="shared" si="2"/>
        <v>139/1</v>
      </c>
      <c r="I79" s="29"/>
    </row>
    <row r="80" spans="1:9" hidden="1">
      <c r="A80" s="29" t="s">
        <v>139</v>
      </c>
      <c r="B80" s="145" t="s">
        <v>304</v>
      </c>
      <c r="H80" t="str">
        <f t="shared" si="2"/>
        <v>139/2</v>
      </c>
      <c r="I80" s="29"/>
    </row>
    <row r="81" spans="1:9" hidden="1">
      <c r="A81" s="29" t="s">
        <v>140</v>
      </c>
      <c r="B81" s="145" t="s">
        <v>339</v>
      </c>
      <c r="H81" t="str">
        <f t="shared" si="2"/>
        <v>139/3</v>
      </c>
      <c r="I81" s="29"/>
    </row>
    <row r="82" spans="1:9" hidden="1">
      <c r="A82" s="29" t="s">
        <v>141</v>
      </c>
      <c r="B82" s="145" t="s">
        <v>918</v>
      </c>
      <c r="H82" t="str">
        <f t="shared" si="2"/>
        <v>140/0</v>
      </c>
      <c r="I82" s="29"/>
    </row>
    <row r="83" spans="1:9" hidden="1">
      <c r="A83" s="29" t="s">
        <v>169</v>
      </c>
      <c r="B83" s="145" t="s">
        <v>918</v>
      </c>
      <c r="H83" t="str">
        <f t="shared" si="2"/>
        <v>141/0</v>
      </c>
      <c r="I83" s="29"/>
    </row>
    <row r="84" spans="1:9" hidden="1">
      <c r="A84" s="29" t="s">
        <v>177</v>
      </c>
      <c r="B84" s="145" t="s">
        <v>354</v>
      </c>
      <c r="H84" t="str">
        <f t="shared" si="2"/>
        <v>141/1</v>
      </c>
      <c r="I84" s="29"/>
    </row>
    <row r="85" spans="1:9" hidden="1">
      <c r="A85" s="29" t="s">
        <v>178</v>
      </c>
      <c r="B85" s="145" t="s">
        <v>354</v>
      </c>
      <c r="H85" t="str">
        <f t="shared" si="2"/>
        <v>141/2</v>
      </c>
      <c r="I85" s="29"/>
    </row>
    <row r="86" spans="1:9" hidden="1">
      <c r="A86" s="29" t="s">
        <v>697</v>
      </c>
      <c r="B86" s="145" t="s">
        <v>354</v>
      </c>
      <c r="H86" t="str">
        <f t="shared" si="2"/>
        <v>141/3</v>
      </c>
      <c r="I86" s="29"/>
    </row>
    <row r="87" spans="1:9" hidden="1">
      <c r="A87" s="29" t="s">
        <v>747</v>
      </c>
      <c r="B87" s="145" t="s">
        <v>400</v>
      </c>
      <c r="H87" t="str">
        <f t="shared" si="2"/>
        <v>141/4</v>
      </c>
      <c r="I87" s="29"/>
    </row>
    <row r="88" spans="1:9" hidden="1">
      <c r="A88" s="29" t="s">
        <v>698</v>
      </c>
      <c r="B88" s="145" t="s">
        <v>400</v>
      </c>
      <c r="H88" t="str">
        <f t="shared" si="2"/>
        <v>141/5</v>
      </c>
      <c r="I88" s="29"/>
    </row>
    <row r="89" spans="1:9" hidden="1">
      <c r="A89" s="29" t="s">
        <v>466</v>
      </c>
      <c r="B89" s="145" t="s">
        <v>361</v>
      </c>
      <c r="H89" t="str">
        <f t="shared" si="2"/>
        <v>141/6</v>
      </c>
      <c r="I89" s="29"/>
    </row>
    <row r="90" spans="1:9" hidden="1">
      <c r="A90" s="29" t="s">
        <v>422</v>
      </c>
      <c r="B90" s="145" t="s">
        <v>328</v>
      </c>
      <c r="H90" t="str">
        <f t="shared" si="2"/>
        <v>142/0</v>
      </c>
      <c r="I90" s="29"/>
    </row>
    <row r="91" spans="1:9" hidden="1">
      <c r="A91" s="29" t="s">
        <v>404</v>
      </c>
      <c r="B91" s="145" t="s">
        <v>919</v>
      </c>
      <c r="I91" s="59" t="s">
        <v>802</v>
      </c>
    </row>
    <row r="92" spans="1:9" hidden="1">
      <c r="A92" s="29" t="s">
        <v>378</v>
      </c>
      <c r="B92" s="145" t="s">
        <v>919</v>
      </c>
      <c r="H92" t="str">
        <f>A92</f>
        <v>144/0</v>
      </c>
      <c r="I92" s="29"/>
    </row>
    <row r="93" spans="1:9">
      <c r="A93" s="29" t="s">
        <v>392</v>
      </c>
      <c r="B93" s="143" t="s">
        <v>296</v>
      </c>
      <c r="H93" t="str">
        <f>A93</f>
        <v>145/0</v>
      </c>
      <c r="I93" s="29"/>
    </row>
    <row r="94" spans="1:9">
      <c r="A94" s="29" t="s">
        <v>396</v>
      </c>
      <c r="B94" s="143" t="s">
        <v>354</v>
      </c>
      <c r="H94" t="str">
        <f>A94</f>
        <v>145/1</v>
      </c>
      <c r="I94" s="29"/>
    </row>
    <row r="95" spans="1:9" hidden="1">
      <c r="A95" s="29" t="s">
        <v>553</v>
      </c>
      <c r="B95" s="145" t="s">
        <v>354</v>
      </c>
      <c r="I95" s="59" t="s">
        <v>804</v>
      </c>
    </row>
    <row r="96" spans="1:9" hidden="1">
      <c r="A96" s="29" t="s">
        <v>408</v>
      </c>
      <c r="B96" s="145" t="s">
        <v>400</v>
      </c>
      <c r="H96" t="str">
        <f t="shared" ref="H96:H121" si="3">A96</f>
        <v>145/3</v>
      </c>
      <c r="I96" s="29"/>
    </row>
    <row r="97" spans="1:9" hidden="1">
      <c r="A97" s="29" t="s">
        <v>411</v>
      </c>
      <c r="B97" s="145" t="s">
        <v>354</v>
      </c>
      <c r="H97" t="str">
        <f t="shared" si="3"/>
        <v>145/4</v>
      </c>
      <c r="I97" s="29"/>
    </row>
    <row r="98" spans="1:9" hidden="1">
      <c r="A98" s="29" t="s">
        <v>179</v>
      </c>
      <c r="B98" s="145" t="s">
        <v>361</v>
      </c>
      <c r="H98" t="str">
        <f t="shared" si="3"/>
        <v>145/5</v>
      </c>
      <c r="I98" s="29"/>
    </row>
    <row r="99" spans="1:9" hidden="1">
      <c r="A99" s="29" t="s">
        <v>180</v>
      </c>
      <c r="B99" s="145" t="s">
        <v>361</v>
      </c>
      <c r="H99" t="str">
        <f t="shared" si="3"/>
        <v>145/6</v>
      </c>
      <c r="I99" s="29"/>
    </row>
    <row r="100" spans="1:9" hidden="1">
      <c r="A100" s="29" t="s">
        <v>699</v>
      </c>
      <c r="B100" s="145" t="s">
        <v>339</v>
      </c>
      <c r="H100" t="str">
        <f t="shared" si="3"/>
        <v>145/7</v>
      </c>
      <c r="I100" s="29"/>
    </row>
    <row r="101" spans="1:9" hidden="1">
      <c r="A101" s="29" t="s">
        <v>555</v>
      </c>
      <c r="B101" s="145" t="s">
        <v>918</v>
      </c>
      <c r="H101" t="str">
        <f t="shared" si="3"/>
        <v>147/0</v>
      </c>
      <c r="I101" s="29"/>
    </row>
    <row r="102" spans="1:9" hidden="1">
      <c r="A102" s="29" t="s">
        <v>429</v>
      </c>
      <c r="B102" s="145" t="s">
        <v>918</v>
      </c>
      <c r="H102" t="str">
        <f t="shared" si="3"/>
        <v>148/0</v>
      </c>
      <c r="I102" s="29"/>
    </row>
    <row r="103" spans="1:9" hidden="1">
      <c r="A103" s="29" t="s">
        <v>427</v>
      </c>
      <c r="B103" s="145" t="s">
        <v>361</v>
      </c>
      <c r="H103" t="str">
        <f t="shared" si="3"/>
        <v>148/1</v>
      </c>
      <c r="I103" s="29"/>
    </row>
    <row r="104" spans="1:9" hidden="1">
      <c r="A104" s="29" t="s">
        <v>389</v>
      </c>
      <c r="B104" s="145" t="s">
        <v>354</v>
      </c>
      <c r="H104" t="str">
        <f t="shared" si="3"/>
        <v>148/2</v>
      </c>
      <c r="I104" s="29"/>
    </row>
    <row r="105" spans="1:9" hidden="1">
      <c r="A105" s="29" t="s">
        <v>181</v>
      </c>
      <c r="B105" s="145" t="s">
        <v>403</v>
      </c>
      <c r="H105" t="str">
        <f t="shared" si="3"/>
        <v>148/3</v>
      </c>
      <c r="I105" s="29"/>
    </row>
    <row r="106" spans="1:9" hidden="1">
      <c r="A106" s="29" t="s">
        <v>375</v>
      </c>
      <c r="B106" s="145" t="s">
        <v>361</v>
      </c>
      <c r="H106" t="str">
        <f t="shared" si="3"/>
        <v>148/4</v>
      </c>
      <c r="I106" s="29"/>
    </row>
    <row r="107" spans="1:9" hidden="1">
      <c r="A107" s="29" t="s">
        <v>387</v>
      </c>
      <c r="B107" s="145" t="s">
        <v>680</v>
      </c>
      <c r="H107" t="str">
        <f t="shared" si="3"/>
        <v>148/5</v>
      </c>
      <c r="I107" s="29"/>
    </row>
    <row r="108" spans="1:9" hidden="1">
      <c r="A108" s="29" t="s">
        <v>170</v>
      </c>
      <c r="B108" s="145" t="s">
        <v>918</v>
      </c>
      <c r="H108" t="str">
        <f t="shared" si="3"/>
        <v>149/0</v>
      </c>
      <c r="I108" s="29"/>
    </row>
    <row r="109" spans="1:9">
      <c r="A109" s="29" t="s">
        <v>558</v>
      </c>
      <c r="B109" s="143" t="s">
        <v>918</v>
      </c>
      <c r="H109" t="str">
        <f t="shared" si="3"/>
        <v>150/0</v>
      </c>
      <c r="I109" s="29"/>
    </row>
    <row r="110" spans="1:9">
      <c r="A110" s="29" t="s">
        <v>559</v>
      </c>
      <c r="B110" s="143" t="s">
        <v>339</v>
      </c>
      <c r="H110" t="str">
        <f t="shared" si="3"/>
        <v>150/1</v>
      </c>
      <c r="I110" s="29"/>
    </row>
    <row r="111" spans="1:9">
      <c r="A111" s="29" t="s">
        <v>561</v>
      </c>
      <c r="B111" s="143" t="s">
        <v>309</v>
      </c>
      <c r="H111" t="str">
        <f t="shared" si="3"/>
        <v>151/0</v>
      </c>
      <c r="I111" s="29"/>
    </row>
    <row r="112" spans="1:9">
      <c r="A112" s="29" t="s">
        <v>748</v>
      </c>
      <c r="B112" s="143" t="s">
        <v>919</v>
      </c>
      <c r="H112" t="str">
        <f t="shared" si="3"/>
        <v>151A/0</v>
      </c>
      <c r="I112" s="29"/>
    </row>
    <row r="113" spans="1:9">
      <c r="A113" s="29" t="s">
        <v>562</v>
      </c>
      <c r="B113" s="143" t="s">
        <v>564</v>
      </c>
      <c r="H113" t="str">
        <f t="shared" si="3"/>
        <v>152/0</v>
      </c>
      <c r="I113" s="29"/>
    </row>
    <row r="114" spans="1:9">
      <c r="A114" s="29" t="s">
        <v>449</v>
      </c>
      <c r="B114" s="143" t="s">
        <v>564</v>
      </c>
      <c r="H114" t="str">
        <f t="shared" si="3"/>
        <v>153/0</v>
      </c>
      <c r="I114" s="29"/>
    </row>
    <row r="115" spans="1:9">
      <c r="A115" s="29" t="s">
        <v>457</v>
      </c>
      <c r="B115" s="143" t="s">
        <v>361</v>
      </c>
      <c r="H115" t="str">
        <f t="shared" si="3"/>
        <v>153/1</v>
      </c>
      <c r="I115" s="29"/>
    </row>
    <row r="116" spans="1:9">
      <c r="A116" s="29" t="s">
        <v>749</v>
      </c>
      <c r="B116" s="143" t="s">
        <v>354</v>
      </c>
      <c r="H116" t="str">
        <f t="shared" si="3"/>
        <v>153/2</v>
      </c>
      <c r="I116" s="29"/>
    </row>
    <row r="117" spans="1:9">
      <c r="A117" s="29" t="s">
        <v>750</v>
      </c>
      <c r="B117" s="143" t="s">
        <v>296</v>
      </c>
      <c r="H117" t="str">
        <f t="shared" si="3"/>
        <v>153A/0</v>
      </c>
      <c r="I117" s="29"/>
    </row>
    <row r="118" spans="1:9">
      <c r="A118" s="29" t="s">
        <v>459</v>
      </c>
      <c r="B118" s="143" t="s">
        <v>920</v>
      </c>
      <c r="H118" t="str">
        <f t="shared" si="3"/>
        <v>154/0</v>
      </c>
      <c r="I118" s="29"/>
    </row>
    <row r="119" spans="1:9">
      <c r="A119" s="29" t="s">
        <v>454</v>
      </c>
      <c r="B119" s="143" t="s">
        <v>919</v>
      </c>
      <c r="H119" t="str">
        <f t="shared" si="3"/>
        <v>155/0</v>
      </c>
      <c r="I119" s="29"/>
    </row>
    <row r="120" spans="1:9">
      <c r="A120" s="29" t="s">
        <v>365</v>
      </c>
      <c r="B120" s="143" t="s">
        <v>921</v>
      </c>
      <c r="H120" t="str">
        <f t="shared" si="3"/>
        <v>156/0</v>
      </c>
      <c r="I120" s="29"/>
    </row>
    <row r="121" spans="1:9">
      <c r="A121" s="29" t="s">
        <v>364</v>
      </c>
      <c r="B121" s="143" t="s">
        <v>393</v>
      </c>
      <c r="H121" t="str">
        <f t="shared" si="3"/>
        <v>156/1</v>
      </c>
      <c r="I121" s="29"/>
    </row>
    <row r="122" spans="1:9">
      <c r="A122" s="29" t="s">
        <v>751</v>
      </c>
      <c r="B122" s="143" t="s">
        <v>922</v>
      </c>
      <c r="I122" s="29" t="s">
        <v>281</v>
      </c>
    </row>
    <row r="123" spans="1:9">
      <c r="A123" s="29" t="s">
        <v>752</v>
      </c>
      <c r="B123" s="143" t="s">
        <v>922</v>
      </c>
      <c r="H123" t="str">
        <f t="shared" ref="H123:H134" si="4">A123</f>
        <v xml:space="preserve">158/0 </v>
      </c>
      <c r="I123" s="29"/>
    </row>
    <row r="124" spans="1:9">
      <c r="A124" s="29" t="s">
        <v>753</v>
      </c>
      <c r="B124" s="143" t="s">
        <v>923</v>
      </c>
      <c r="H124" t="str">
        <f t="shared" si="4"/>
        <v xml:space="preserve">159/0 </v>
      </c>
      <c r="I124" s="29"/>
    </row>
    <row r="125" spans="1:9" hidden="1">
      <c r="A125" s="29" t="s">
        <v>590</v>
      </c>
      <c r="B125" s="145" t="s">
        <v>377</v>
      </c>
      <c r="H125" t="str">
        <f t="shared" si="4"/>
        <v>160/0</v>
      </c>
      <c r="I125" s="29"/>
    </row>
    <row r="126" spans="1:9" hidden="1">
      <c r="A126" s="29" t="s">
        <v>182</v>
      </c>
      <c r="B126" s="145" t="s">
        <v>680</v>
      </c>
      <c r="H126" t="str">
        <f t="shared" si="4"/>
        <v>161/0</v>
      </c>
      <c r="I126" s="29"/>
    </row>
    <row r="127" spans="1:9" hidden="1">
      <c r="A127" s="29" t="s">
        <v>166</v>
      </c>
      <c r="B127" s="145" t="s">
        <v>918</v>
      </c>
      <c r="H127" t="str">
        <f t="shared" si="4"/>
        <v>162/0</v>
      </c>
      <c r="I127" s="29"/>
    </row>
    <row r="128" spans="1:9" hidden="1">
      <c r="A128" s="29" t="s">
        <v>606</v>
      </c>
      <c r="B128" s="143" t="s">
        <v>924</v>
      </c>
      <c r="H128" t="str">
        <f t="shared" si="4"/>
        <v>163/0</v>
      </c>
      <c r="I128" s="29"/>
    </row>
    <row r="129" spans="1:9">
      <c r="A129" s="29" t="s">
        <v>607</v>
      </c>
      <c r="B129" s="143" t="s">
        <v>395</v>
      </c>
      <c r="H129" t="str">
        <f t="shared" si="4"/>
        <v>163/1</v>
      </c>
      <c r="I129" s="29"/>
    </row>
    <row r="130" spans="1:9">
      <c r="A130" s="29" t="s">
        <v>611</v>
      </c>
      <c r="B130" s="143" t="s">
        <v>917</v>
      </c>
      <c r="H130" t="str">
        <f t="shared" si="4"/>
        <v>164/0</v>
      </c>
      <c r="I130" s="29"/>
    </row>
    <row r="131" spans="1:9">
      <c r="A131" s="29" t="s">
        <v>613</v>
      </c>
      <c r="B131" s="143" t="s">
        <v>911</v>
      </c>
      <c r="H131" t="str">
        <f t="shared" si="4"/>
        <v>165/0</v>
      </c>
      <c r="I131" s="29"/>
    </row>
    <row r="132" spans="1:9">
      <c r="A132" s="29" t="s">
        <v>614</v>
      </c>
      <c r="B132" s="143" t="s">
        <v>565</v>
      </c>
      <c r="H132" t="str">
        <f t="shared" si="4"/>
        <v>165/1</v>
      </c>
      <c r="I132" s="29"/>
    </row>
    <row r="133" spans="1:9" hidden="1">
      <c r="A133" s="29" t="s">
        <v>615</v>
      </c>
      <c r="B133" s="145" t="s">
        <v>403</v>
      </c>
      <c r="H133" t="str">
        <f t="shared" si="4"/>
        <v>165/2</v>
      </c>
      <c r="I133" s="29"/>
    </row>
    <row r="134" spans="1:9">
      <c r="A134" s="29" t="s">
        <v>754</v>
      </c>
      <c r="B134" s="143" t="s">
        <v>403</v>
      </c>
      <c r="H134" t="str">
        <f t="shared" si="4"/>
        <v>165/3</v>
      </c>
      <c r="I134" s="29"/>
    </row>
    <row r="135" spans="1:9" hidden="1">
      <c r="A135" s="29" t="s">
        <v>755</v>
      </c>
      <c r="B135" s="145" t="s">
        <v>400</v>
      </c>
      <c r="I135" s="59" t="s">
        <v>818</v>
      </c>
    </row>
    <row r="136" spans="1:9" hidden="1">
      <c r="A136" s="29" t="s">
        <v>756</v>
      </c>
      <c r="B136" s="145" t="s">
        <v>400</v>
      </c>
      <c r="H136" t="str">
        <f t="shared" ref="H136:H144" si="5">A136</f>
        <v>165/5</v>
      </c>
      <c r="I136" s="29"/>
    </row>
    <row r="137" spans="1:9" hidden="1">
      <c r="A137" s="29" t="s">
        <v>757</v>
      </c>
      <c r="B137" s="145" t="s">
        <v>925</v>
      </c>
      <c r="H137" t="str">
        <f t="shared" si="5"/>
        <v>165/6</v>
      </c>
      <c r="I137" s="29"/>
    </row>
    <row r="138" spans="1:9" hidden="1">
      <c r="A138" s="29" t="s">
        <v>758</v>
      </c>
      <c r="B138" s="145" t="s">
        <v>354</v>
      </c>
      <c r="H138" t="str">
        <f t="shared" si="5"/>
        <v>165/7</v>
      </c>
      <c r="I138" s="29"/>
    </row>
    <row r="139" spans="1:9" hidden="1">
      <c r="A139" s="29" t="s">
        <v>183</v>
      </c>
      <c r="B139" s="145" t="s">
        <v>302</v>
      </c>
      <c r="H139" t="str">
        <f t="shared" si="5"/>
        <v>166/0</v>
      </c>
      <c r="I139" s="29"/>
    </row>
    <row r="140" spans="1:9" hidden="1">
      <c r="A140" s="29" t="s">
        <v>142</v>
      </c>
      <c r="B140" s="145" t="s">
        <v>920</v>
      </c>
      <c r="H140" t="str">
        <f t="shared" si="5"/>
        <v>167/0</v>
      </c>
      <c r="I140" s="29"/>
    </row>
    <row r="141" spans="1:9" hidden="1">
      <c r="A141" s="29" t="s">
        <v>618</v>
      </c>
      <c r="B141" s="145" t="s">
        <v>924</v>
      </c>
      <c r="H141" t="str">
        <f t="shared" si="5"/>
        <v>168/0</v>
      </c>
      <c r="I141" s="29"/>
    </row>
    <row r="142" spans="1:9">
      <c r="A142" s="29" t="s">
        <v>619</v>
      </c>
      <c r="B142" s="143" t="s">
        <v>918</v>
      </c>
      <c r="H142" t="str">
        <f t="shared" si="5"/>
        <v>169/0</v>
      </c>
      <c r="I142" s="29"/>
    </row>
    <row r="143" spans="1:9" hidden="1">
      <c r="A143" s="29" t="s">
        <v>620</v>
      </c>
      <c r="B143" s="145" t="s">
        <v>309</v>
      </c>
      <c r="H143" t="str">
        <f t="shared" si="5"/>
        <v>170/0</v>
      </c>
      <c r="I143" s="29"/>
    </row>
    <row r="144" spans="1:9" hidden="1">
      <c r="A144" s="29" t="s">
        <v>625</v>
      </c>
      <c r="B144" s="145" t="s">
        <v>551</v>
      </c>
      <c r="H144" t="str">
        <f t="shared" si="5"/>
        <v>171/0</v>
      </c>
      <c r="I144" s="29"/>
    </row>
    <row r="145" spans="1:9" hidden="1">
      <c r="A145" s="29" t="s">
        <v>759</v>
      </c>
      <c r="B145" s="145" t="s">
        <v>296</v>
      </c>
      <c r="I145" s="59" t="s">
        <v>827</v>
      </c>
    </row>
    <row r="146" spans="1:9" hidden="1">
      <c r="A146" s="29" t="s">
        <v>760</v>
      </c>
      <c r="B146" s="145" t="s">
        <v>565</v>
      </c>
      <c r="H146" t="str">
        <f t="shared" ref="H146:H156" si="6">A146</f>
        <v>172/1</v>
      </c>
      <c r="I146" s="29"/>
    </row>
    <row r="147" spans="1:9" hidden="1">
      <c r="A147" s="29" t="s">
        <v>143</v>
      </c>
      <c r="B147" s="143" t="s">
        <v>926</v>
      </c>
      <c r="H147" t="str">
        <f t="shared" si="6"/>
        <v>173/0</v>
      </c>
      <c r="I147" s="29"/>
    </row>
    <row r="148" spans="1:9">
      <c r="A148" s="29" t="s">
        <v>761</v>
      </c>
      <c r="B148" s="145" t="s">
        <v>923</v>
      </c>
      <c r="H148" t="str">
        <f t="shared" si="6"/>
        <v xml:space="preserve">174/0 </v>
      </c>
      <c r="I148" s="29"/>
    </row>
    <row r="149" spans="1:9" hidden="1">
      <c r="A149" s="29" t="s">
        <v>762</v>
      </c>
      <c r="B149" s="145" t="s">
        <v>361</v>
      </c>
      <c r="H149" t="str">
        <f t="shared" si="6"/>
        <v>174/1</v>
      </c>
      <c r="I149" s="29"/>
    </row>
    <row r="150" spans="1:9" hidden="1">
      <c r="A150" s="29" t="s">
        <v>145</v>
      </c>
      <c r="B150" s="145" t="s">
        <v>354</v>
      </c>
      <c r="H150" t="str">
        <f t="shared" si="6"/>
        <v>174/2</v>
      </c>
      <c r="I150" s="29"/>
    </row>
    <row r="151" spans="1:9" hidden="1">
      <c r="A151" s="29" t="s">
        <v>763</v>
      </c>
      <c r="B151" s="145" t="s">
        <v>354</v>
      </c>
      <c r="H151" t="str">
        <f t="shared" si="6"/>
        <v>174/3</v>
      </c>
      <c r="I151" s="29"/>
    </row>
    <row r="152" spans="1:9" hidden="1">
      <c r="A152" s="29" t="s">
        <v>764</v>
      </c>
      <c r="B152" s="145" t="s">
        <v>354</v>
      </c>
      <c r="H152" t="str">
        <f t="shared" si="6"/>
        <v>174/4</v>
      </c>
      <c r="I152" s="29"/>
    </row>
    <row r="153" spans="1:9" hidden="1">
      <c r="A153" s="29" t="s">
        <v>765</v>
      </c>
      <c r="B153" s="145" t="s">
        <v>354</v>
      </c>
      <c r="H153" t="str">
        <f t="shared" si="6"/>
        <v>174/5</v>
      </c>
      <c r="I153" s="29"/>
    </row>
    <row r="154" spans="1:9" hidden="1">
      <c r="A154" s="29" t="s">
        <v>766</v>
      </c>
      <c r="B154" s="145" t="s">
        <v>361</v>
      </c>
      <c r="H154" t="str">
        <f t="shared" si="6"/>
        <v>174/6</v>
      </c>
      <c r="I154" s="29"/>
    </row>
    <row r="155" spans="1:9" hidden="1">
      <c r="A155" s="29" t="s">
        <v>700</v>
      </c>
      <c r="B155" s="145" t="s">
        <v>917</v>
      </c>
      <c r="H155" t="str">
        <f t="shared" si="6"/>
        <v>175/0</v>
      </c>
      <c r="I155" s="29"/>
    </row>
    <row r="156" spans="1:9" hidden="1">
      <c r="A156" s="29" t="s">
        <v>184</v>
      </c>
      <c r="B156" s="145" t="s">
        <v>397</v>
      </c>
      <c r="H156" t="str">
        <f t="shared" si="6"/>
        <v>175/1</v>
      </c>
      <c r="I156" s="29"/>
    </row>
    <row r="157" spans="1:9" hidden="1">
      <c r="A157" s="29" t="s">
        <v>767</v>
      </c>
      <c r="B157" s="145" t="s">
        <v>306</v>
      </c>
      <c r="I157" s="59" t="s">
        <v>191</v>
      </c>
    </row>
    <row r="158" spans="1:9" hidden="1">
      <c r="A158" s="29" t="s">
        <v>768</v>
      </c>
      <c r="B158" s="145" t="s">
        <v>354</v>
      </c>
      <c r="I158" s="59" t="s">
        <v>838</v>
      </c>
    </row>
    <row r="159" spans="1:9" hidden="1">
      <c r="A159" s="29" t="s">
        <v>769</v>
      </c>
      <c r="B159" s="145" t="s">
        <v>400</v>
      </c>
      <c r="I159" s="59" t="s">
        <v>845</v>
      </c>
    </row>
    <row r="160" spans="1:9" hidden="1">
      <c r="A160" s="29" t="s">
        <v>626</v>
      </c>
      <c r="B160" s="145" t="s">
        <v>309</v>
      </c>
      <c r="I160" s="59" t="s">
        <v>846</v>
      </c>
    </row>
    <row r="161" spans="1:9" hidden="1">
      <c r="A161" s="29" t="s">
        <v>627</v>
      </c>
      <c r="B161" s="145" t="s">
        <v>309</v>
      </c>
      <c r="I161" s="59" t="s">
        <v>847</v>
      </c>
    </row>
    <row r="162" spans="1:9" hidden="1">
      <c r="A162" s="29" t="s">
        <v>628</v>
      </c>
      <c r="B162" s="145" t="s">
        <v>354</v>
      </c>
      <c r="I162" s="29" t="s">
        <v>849</v>
      </c>
    </row>
    <row r="163" spans="1:9" hidden="1">
      <c r="A163" s="29" t="s">
        <v>146</v>
      </c>
      <c r="B163" s="145" t="s">
        <v>354</v>
      </c>
      <c r="I163" s="29" t="s">
        <v>850</v>
      </c>
    </row>
    <row r="164" spans="1:9" hidden="1">
      <c r="A164" s="29" t="s">
        <v>629</v>
      </c>
      <c r="B164" s="145" t="s">
        <v>400</v>
      </c>
      <c r="I164" s="59" t="s">
        <v>855</v>
      </c>
    </row>
    <row r="165" spans="1:9" hidden="1">
      <c r="A165" s="29" t="s">
        <v>147</v>
      </c>
      <c r="B165" s="145" t="s">
        <v>339</v>
      </c>
      <c r="I165" s="29" t="s">
        <v>863</v>
      </c>
    </row>
    <row r="166" spans="1:9" hidden="1">
      <c r="A166" s="29" t="s">
        <v>770</v>
      </c>
      <c r="B166" s="145" t="s">
        <v>361</v>
      </c>
      <c r="I166" s="59" t="s">
        <v>864</v>
      </c>
    </row>
    <row r="167" spans="1:9">
      <c r="A167" s="29" t="s">
        <v>771</v>
      </c>
      <c r="B167" s="143" t="s">
        <v>927</v>
      </c>
      <c r="H167" t="str">
        <f>A167</f>
        <v>179/2</v>
      </c>
      <c r="I167" s="29"/>
    </row>
    <row r="168" spans="1:9" hidden="1">
      <c r="A168" s="29" t="s">
        <v>772</v>
      </c>
      <c r="B168" s="145" t="s">
        <v>354</v>
      </c>
      <c r="I168" s="29" t="s">
        <v>866</v>
      </c>
    </row>
    <row r="169" spans="1:9">
      <c r="A169" s="29" t="s">
        <v>633</v>
      </c>
      <c r="B169" s="143" t="s">
        <v>928</v>
      </c>
      <c r="H169" t="str">
        <f>A169</f>
        <v>180/0</v>
      </c>
      <c r="I169" s="29"/>
    </row>
    <row r="170" spans="1:9" hidden="1">
      <c r="A170" s="29" t="s">
        <v>634</v>
      </c>
      <c r="B170" s="145" t="s">
        <v>361</v>
      </c>
      <c r="I170" s="29" t="s">
        <v>867</v>
      </c>
    </row>
    <row r="171" spans="1:9" hidden="1">
      <c r="A171" s="29" t="s">
        <v>773</v>
      </c>
      <c r="B171" s="145" t="s">
        <v>680</v>
      </c>
      <c r="I171" s="59" t="s">
        <v>868</v>
      </c>
    </row>
    <row r="172" spans="1:9" hidden="1">
      <c r="A172" s="29" t="s">
        <v>701</v>
      </c>
      <c r="B172" s="145" t="s">
        <v>565</v>
      </c>
      <c r="I172" s="29" t="s">
        <v>869</v>
      </c>
    </row>
    <row r="173" spans="1:9" hidden="1">
      <c r="A173" s="29" t="s">
        <v>702</v>
      </c>
      <c r="B173" s="145" t="s">
        <v>400</v>
      </c>
      <c r="I173" s="59" t="s">
        <v>871</v>
      </c>
    </row>
    <row r="174" spans="1:9" hidden="1">
      <c r="A174" s="29" t="s">
        <v>774</v>
      </c>
      <c r="B174" s="145" t="s">
        <v>361</v>
      </c>
      <c r="I174" s="29" t="s">
        <v>872</v>
      </c>
    </row>
    <row r="175" spans="1:9" hidden="1">
      <c r="A175" s="29" t="s">
        <v>703</v>
      </c>
      <c r="B175" s="145" t="s">
        <v>354</v>
      </c>
      <c r="H175" t="str">
        <f t="shared" ref="H175:H182" si="7">A175</f>
        <v>180/6</v>
      </c>
      <c r="I175" s="29"/>
    </row>
    <row r="176" spans="1:9" hidden="1">
      <c r="A176" s="29" t="s">
        <v>775</v>
      </c>
      <c r="B176" s="145" t="s">
        <v>354</v>
      </c>
      <c r="H176" t="str">
        <f t="shared" si="7"/>
        <v>180/7</v>
      </c>
      <c r="I176" s="29"/>
    </row>
    <row r="177" spans="1:9" hidden="1">
      <c r="A177" s="29" t="s">
        <v>185</v>
      </c>
      <c r="B177" s="145" t="s">
        <v>306</v>
      </c>
      <c r="H177" t="str">
        <f t="shared" si="7"/>
        <v>182/0</v>
      </c>
      <c r="I177" s="29"/>
    </row>
    <row r="178" spans="1:9" hidden="1">
      <c r="A178" s="29" t="s">
        <v>186</v>
      </c>
      <c r="B178" s="145" t="s">
        <v>302</v>
      </c>
      <c r="H178" t="str">
        <f t="shared" si="7"/>
        <v>183/0</v>
      </c>
      <c r="I178" s="29"/>
    </row>
    <row r="179" spans="1:9" hidden="1">
      <c r="A179" s="29" t="s">
        <v>187</v>
      </c>
      <c r="B179" s="145" t="s">
        <v>354</v>
      </c>
      <c r="H179" t="str">
        <f t="shared" si="7"/>
        <v>183/1</v>
      </c>
      <c r="I179" s="29"/>
    </row>
    <row r="180" spans="1:9" hidden="1">
      <c r="A180" s="29" t="s">
        <v>636</v>
      </c>
      <c r="B180" s="145" t="s">
        <v>354</v>
      </c>
      <c r="H180" t="str">
        <f t="shared" si="7"/>
        <v>183/2</v>
      </c>
      <c r="I180" s="29"/>
    </row>
    <row r="181" spans="1:9" hidden="1">
      <c r="A181" s="29" t="s">
        <v>148</v>
      </c>
      <c r="B181" s="145" t="s">
        <v>361</v>
      </c>
      <c r="H181" t="str">
        <f t="shared" si="7"/>
        <v>183/3</v>
      </c>
      <c r="I181" s="29"/>
    </row>
    <row r="182" spans="1:9" hidden="1">
      <c r="A182" s="29" t="s">
        <v>637</v>
      </c>
      <c r="B182" s="145" t="s">
        <v>551</v>
      </c>
      <c r="H182" t="str">
        <f t="shared" si="7"/>
        <v>184/0</v>
      </c>
      <c r="I182" s="29"/>
    </row>
    <row r="183" spans="1:9" hidden="1">
      <c r="A183" s="29" t="s">
        <v>639</v>
      </c>
      <c r="B183" s="145" t="s">
        <v>929</v>
      </c>
      <c r="I183" s="59" t="s">
        <v>882</v>
      </c>
    </row>
    <row r="184" spans="1:9" hidden="1">
      <c r="A184" s="29" t="s">
        <v>468</v>
      </c>
      <c r="B184" s="145" t="s">
        <v>930</v>
      </c>
      <c r="H184" t="str">
        <f t="shared" ref="H184:H206" si="8">A184</f>
        <v>186/0</v>
      </c>
      <c r="I184" s="29"/>
    </row>
    <row r="185" spans="1:9" hidden="1">
      <c r="A185" s="29" t="s">
        <v>645</v>
      </c>
      <c r="B185" s="145" t="s">
        <v>334</v>
      </c>
      <c r="H185" t="str">
        <f t="shared" si="8"/>
        <v>187/0</v>
      </c>
      <c r="I185" s="29"/>
    </row>
    <row r="186" spans="1:9">
      <c r="A186" s="29" t="s">
        <v>776</v>
      </c>
      <c r="B186" s="145" t="s">
        <v>931</v>
      </c>
      <c r="H186" t="str">
        <f t="shared" si="8"/>
        <v xml:space="preserve">188/0 </v>
      </c>
      <c r="I186" s="29"/>
    </row>
    <row r="187" spans="1:9">
      <c r="A187" s="29" t="s">
        <v>777</v>
      </c>
      <c r="B187" s="143" t="s">
        <v>931</v>
      </c>
      <c r="H187" t="str">
        <f t="shared" si="8"/>
        <v xml:space="preserve">189/0 </v>
      </c>
      <c r="I187" s="29"/>
    </row>
    <row r="188" spans="1:9" hidden="1">
      <c r="A188" s="29" t="s">
        <v>778</v>
      </c>
      <c r="B188" s="145" t="s">
        <v>565</v>
      </c>
      <c r="H188" t="str">
        <f t="shared" si="8"/>
        <v>189/1</v>
      </c>
      <c r="I188" s="29"/>
    </row>
    <row r="189" spans="1:9" hidden="1">
      <c r="A189" s="29" t="s">
        <v>656</v>
      </c>
      <c r="B189" s="145" t="s">
        <v>920</v>
      </c>
      <c r="H189" t="str">
        <f t="shared" si="8"/>
        <v>190/0</v>
      </c>
      <c r="I189" s="29"/>
    </row>
    <row r="190" spans="1:9" hidden="1">
      <c r="A190" s="29" t="s">
        <v>149</v>
      </c>
      <c r="B190" s="145" t="s">
        <v>920</v>
      </c>
      <c r="H190" t="str">
        <f t="shared" si="8"/>
        <v>191/0</v>
      </c>
      <c r="I190" s="29"/>
    </row>
    <row r="191" spans="1:9" hidden="1">
      <c r="A191" s="29" t="s">
        <v>661</v>
      </c>
      <c r="B191" s="145" t="s">
        <v>680</v>
      </c>
      <c r="H191" t="str">
        <f t="shared" si="8"/>
        <v>191/1</v>
      </c>
      <c r="I191" s="29"/>
    </row>
    <row r="192" spans="1:9" hidden="1">
      <c r="A192" s="29" t="s">
        <v>150</v>
      </c>
      <c r="B192" s="145" t="s">
        <v>932</v>
      </c>
      <c r="H192" t="str">
        <f t="shared" si="8"/>
        <v>192/0</v>
      </c>
      <c r="I192" s="29"/>
    </row>
    <row r="193" spans="1:9" hidden="1">
      <c r="A193" s="29" t="s">
        <v>151</v>
      </c>
      <c r="B193" s="145" t="s">
        <v>924</v>
      </c>
      <c r="H193" t="str">
        <f t="shared" si="8"/>
        <v>193/0</v>
      </c>
      <c r="I193" s="29"/>
    </row>
    <row r="194" spans="1:9" hidden="1">
      <c r="A194" s="29" t="s">
        <v>152</v>
      </c>
      <c r="B194" s="145" t="s">
        <v>924</v>
      </c>
      <c r="H194" t="str">
        <f t="shared" si="8"/>
        <v>194/0</v>
      </c>
      <c r="I194" s="29"/>
    </row>
    <row r="195" spans="1:9" hidden="1">
      <c r="A195" s="29" t="s">
        <v>425</v>
      </c>
      <c r="B195" s="145" t="s">
        <v>397</v>
      </c>
      <c r="H195" t="str">
        <f t="shared" si="8"/>
        <v>194/1</v>
      </c>
      <c r="I195" s="29"/>
    </row>
    <row r="196" spans="1:9">
      <c r="A196" s="29" t="s">
        <v>679</v>
      </c>
      <c r="B196" s="143" t="s">
        <v>930</v>
      </c>
      <c r="H196" t="str">
        <f t="shared" si="8"/>
        <v>195/0</v>
      </c>
      <c r="I196" s="29"/>
    </row>
    <row r="197" spans="1:9" hidden="1">
      <c r="A197" s="29" t="s">
        <v>467</v>
      </c>
      <c r="B197" s="145" t="s">
        <v>933</v>
      </c>
      <c r="H197" t="str">
        <f t="shared" si="8"/>
        <v>196/0</v>
      </c>
      <c r="I197" s="29"/>
    </row>
    <row r="198" spans="1:9" hidden="1">
      <c r="A198" s="29" t="s">
        <v>779</v>
      </c>
      <c r="B198" s="145" t="s">
        <v>565</v>
      </c>
      <c r="H198" t="str">
        <f t="shared" si="8"/>
        <v>196/1</v>
      </c>
      <c r="I198" s="29"/>
    </row>
    <row r="199" spans="1:9" hidden="1">
      <c r="A199" s="29" t="s">
        <v>780</v>
      </c>
      <c r="B199" s="145" t="s">
        <v>361</v>
      </c>
      <c r="H199" t="str">
        <f t="shared" si="8"/>
        <v>196/2</v>
      </c>
      <c r="I199" s="29"/>
    </row>
    <row r="200" spans="1:9" hidden="1">
      <c r="A200" s="29" t="s">
        <v>781</v>
      </c>
      <c r="B200" s="145" t="s">
        <v>339</v>
      </c>
      <c r="H200" t="str">
        <f t="shared" si="8"/>
        <v>197/0</v>
      </c>
      <c r="I200" s="29"/>
    </row>
    <row r="201" spans="1:9" hidden="1">
      <c r="A201" s="29" t="s">
        <v>782</v>
      </c>
      <c r="B201" s="145" t="s">
        <v>400</v>
      </c>
      <c r="H201" t="str">
        <f t="shared" si="8"/>
        <v>197/1</v>
      </c>
      <c r="I201" s="29"/>
    </row>
    <row r="202" spans="1:9" hidden="1">
      <c r="A202" s="29" t="s">
        <v>704</v>
      </c>
      <c r="B202" s="145" t="s">
        <v>400</v>
      </c>
      <c r="H202" t="str">
        <f t="shared" si="8"/>
        <v>197/2</v>
      </c>
      <c r="I202" s="29"/>
    </row>
    <row r="203" spans="1:9" hidden="1">
      <c r="A203" s="29" t="s">
        <v>153</v>
      </c>
      <c r="B203" s="145" t="s">
        <v>309</v>
      </c>
      <c r="H203" t="str">
        <f t="shared" si="8"/>
        <v>198/0</v>
      </c>
      <c r="I203" s="29"/>
    </row>
    <row r="204" spans="1:9" hidden="1">
      <c r="A204" s="29" t="s">
        <v>167</v>
      </c>
      <c r="B204" s="145" t="s">
        <v>309</v>
      </c>
      <c r="H204" t="str">
        <f t="shared" si="8"/>
        <v>199/0</v>
      </c>
      <c r="I204" s="29"/>
    </row>
    <row r="205" spans="1:9" hidden="1">
      <c r="A205" s="29" t="s">
        <v>783</v>
      </c>
      <c r="B205" s="145" t="s">
        <v>361</v>
      </c>
      <c r="H205" t="str">
        <f t="shared" si="8"/>
        <v>199/1</v>
      </c>
      <c r="I205" s="29"/>
    </row>
    <row r="206" spans="1:9" hidden="1">
      <c r="A206" s="29" t="s">
        <v>154</v>
      </c>
      <c r="B206" s="145" t="s">
        <v>403</v>
      </c>
      <c r="H206" t="str">
        <f t="shared" si="8"/>
        <v>199/2</v>
      </c>
      <c r="I206" s="29"/>
    </row>
    <row r="207" spans="1:9">
      <c r="A207" s="29" t="s">
        <v>784</v>
      </c>
      <c r="B207" s="143" t="s">
        <v>377</v>
      </c>
      <c r="I207" s="59" t="s">
        <v>446</v>
      </c>
    </row>
    <row r="208" spans="1:9">
      <c r="A208" s="29" t="s">
        <v>785</v>
      </c>
      <c r="B208" s="143" t="s">
        <v>403</v>
      </c>
      <c r="I208" s="59" t="s">
        <v>452</v>
      </c>
    </row>
    <row r="209" spans="1:9">
      <c r="A209" s="29" t="s">
        <v>786</v>
      </c>
      <c r="B209" s="143" t="s">
        <v>328</v>
      </c>
      <c r="I209" s="59" t="s">
        <v>382</v>
      </c>
    </row>
    <row r="210" spans="1:9">
      <c r="A210" s="29" t="s">
        <v>787</v>
      </c>
      <c r="B210" s="143" t="s">
        <v>930</v>
      </c>
      <c r="I210" s="29" t="s">
        <v>745</v>
      </c>
    </row>
    <row r="211" spans="1:9">
      <c r="A211" s="29" t="s">
        <v>788</v>
      </c>
      <c r="B211" s="143" t="s">
        <v>930</v>
      </c>
      <c r="H211" t="str">
        <f>A211</f>
        <v>203/0</v>
      </c>
      <c r="I211" s="29"/>
    </row>
    <row r="212" spans="1:9">
      <c r="A212" s="29" t="s">
        <v>789</v>
      </c>
      <c r="B212" s="143" t="s">
        <v>339</v>
      </c>
      <c r="I212" s="59" t="s">
        <v>374</v>
      </c>
    </row>
    <row r="213" spans="1:9">
      <c r="A213" s="29" t="s">
        <v>790</v>
      </c>
      <c r="B213" s="143" t="s">
        <v>912</v>
      </c>
      <c r="I213" s="59" t="s">
        <v>746</v>
      </c>
    </row>
    <row r="214" spans="1:9">
      <c r="A214" s="29" t="s">
        <v>791</v>
      </c>
      <c r="B214" s="143" t="s">
        <v>934</v>
      </c>
      <c r="I214" s="59" t="s">
        <v>372</v>
      </c>
    </row>
    <row r="215" spans="1:9">
      <c r="A215" s="29" t="s">
        <v>792</v>
      </c>
      <c r="B215" s="143" t="s">
        <v>393</v>
      </c>
      <c r="H215" t="str">
        <f>A215</f>
        <v>205/1</v>
      </c>
      <c r="I215" s="29"/>
    </row>
    <row r="216" spans="1:9">
      <c r="A216" s="29" t="s">
        <v>793</v>
      </c>
      <c r="B216" s="143" t="s">
        <v>565</v>
      </c>
      <c r="H216" t="str">
        <f>A216</f>
        <v>205/2</v>
      </c>
      <c r="I216" s="29"/>
    </row>
    <row r="217" spans="1:9">
      <c r="A217" s="29" t="s">
        <v>794</v>
      </c>
      <c r="B217" s="143" t="s">
        <v>377</v>
      </c>
      <c r="I217" s="59" t="s">
        <v>373</v>
      </c>
    </row>
    <row r="218" spans="1:9">
      <c r="A218" s="29" t="s">
        <v>795</v>
      </c>
      <c r="B218" s="143" t="s">
        <v>395</v>
      </c>
      <c r="H218" t="str">
        <f>A218</f>
        <v>206/1</v>
      </c>
      <c r="I218" s="29"/>
    </row>
    <row r="219" spans="1:9" hidden="1">
      <c r="A219" s="29" t="s">
        <v>796</v>
      </c>
      <c r="B219" s="143" t="s">
        <v>918</v>
      </c>
      <c r="H219" t="str">
        <f>A219</f>
        <v>207/0</v>
      </c>
      <c r="I219" s="29"/>
    </row>
    <row r="220" spans="1:9">
      <c r="A220" s="29" t="s">
        <v>797</v>
      </c>
      <c r="B220" s="143" t="s">
        <v>935</v>
      </c>
      <c r="H220" t="str">
        <f>A220</f>
        <v>208/0</v>
      </c>
      <c r="I220" s="29"/>
    </row>
    <row r="221" spans="1:9" hidden="1">
      <c r="A221" s="29" t="s">
        <v>798</v>
      </c>
      <c r="B221" s="143" t="s">
        <v>920</v>
      </c>
      <c r="H221" t="str">
        <f>A221</f>
        <v>209/0</v>
      </c>
      <c r="I221" s="29"/>
    </row>
    <row r="222" spans="1:9" hidden="1">
      <c r="A222" s="29" t="s">
        <v>799</v>
      </c>
      <c r="B222" s="143" t="s">
        <v>354</v>
      </c>
      <c r="I222" s="59" t="s">
        <v>141</v>
      </c>
    </row>
    <row r="223" spans="1:9" hidden="1">
      <c r="A223" s="29" t="s">
        <v>800</v>
      </c>
      <c r="B223" s="145" t="s">
        <v>400</v>
      </c>
      <c r="H223" t="str">
        <f>A223</f>
        <v>209/2</v>
      </c>
      <c r="I223" s="29"/>
    </row>
    <row r="224" spans="1:9" hidden="1">
      <c r="A224" s="29" t="s">
        <v>155</v>
      </c>
      <c r="B224" s="145" t="s">
        <v>936</v>
      </c>
      <c r="I224" s="59" t="s">
        <v>193</v>
      </c>
    </row>
    <row r="225" spans="1:9" hidden="1">
      <c r="A225" s="29" t="s">
        <v>165</v>
      </c>
      <c r="B225" s="145" t="s">
        <v>393</v>
      </c>
      <c r="H225" t="str">
        <f t="shared" ref="H225:H242" si="9">A225</f>
        <v>211/0</v>
      </c>
      <c r="I225" s="29"/>
    </row>
    <row r="226" spans="1:9" hidden="1">
      <c r="A226" s="29" t="s">
        <v>801</v>
      </c>
      <c r="B226" s="145" t="s">
        <v>400</v>
      </c>
      <c r="H226" t="str">
        <f t="shared" si="9"/>
        <v>211/1</v>
      </c>
      <c r="I226" s="29"/>
    </row>
    <row r="227" spans="1:9" hidden="1">
      <c r="A227" s="29" t="s">
        <v>802</v>
      </c>
      <c r="B227" s="145" t="s">
        <v>354</v>
      </c>
      <c r="H227" t="str">
        <f t="shared" si="9"/>
        <v>211/2</v>
      </c>
      <c r="I227" s="29"/>
    </row>
    <row r="228" spans="1:9" hidden="1">
      <c r="A228" s="29" t="s">
        <v>803</v>
      </c>
      <c r="B228" s="145" t="s">
        <v>565</v>
      </c>
      <c r="H228" t="str">
        <f t="shared" si="9"/>
        <v>211/3</v>
      </c>
      <c r="I228" s="29"/>
    </row>
    <row r="229" spans="1:9" hidden="1">
      <c r="A229" s="29" t="s">
        <v>804</v>
      </c>
      <c r="B229" s="145" t="s">
        <v>400</v>
      </c>
      <c r="H229" t="str">
        <f t="shared" si="9"/>
        <v>211/4</v>
      </c>
      <c r="I229" s="29"/>
    </row>
    <row r="230" spans="1:9" hidden="1">
      <c r="A230" s="29" t="s">
        <v>805</v>
      </c>
      <c r="B230" s="145" t="s">
        <v>397</v>
      </c>
      <c r="H230" t="str">
        <f t="shared" si="9"/>
        <v>211/5</v>
      </c>
      <c r="I230" s="29"/>
    </row>
    <row r="231" spans="1:9">
      <c r="A231" s="29" t="s">
        <v>806</v>
      </c>
      <c r="B231" s="143" t="s">
        <v>937</v>
      </c>
      <c r="H231" t="str">
        <f t="shared" si="9"/>
        <v>212/0</v>
      </c>
      <c r="I231" s="29"/>
    </row>
    <row r="232" spans="1:9" hidden="1">
      <c r="A232" s="29" t="s">
        <v>807</v>
      </c>
      <c r="B232" s="145" t="s">
        <v>931</v>
      </c>
      <c r="H232" t="str">
        <f t="shared" si="9"/>
        <v>213/0</v>
      </c>
      <c r="I232" s="29"/>
    </row>
    <row r="233" spans="1:9" hidden="1">
      <c r="A233" s="29" t="s">
        <v>808</v>
      </c>
      <c r="B233" s="145" t="s">
        <v>918</v>
      </c>
      <c r="H233" t="str">
        <f t="shared" si="9"/>
        <v>214/0</v>
      </c>
      <c r="I233" s="29"/>
    </row>
    <row r="234" spans="1:9" hidden="1">
      <c r="A234" s="29" t="s">
        <v>809</v>
      </c>
      <c r="B234" s="145" t="s">
        <v>403</v>
      </c>
      <c r="H234" t="str">
        <f t="shared" si="9"/>
        <v>214/1</v>
      </c>
      <c r="I234" s="29"/>
    </row>
    <row r="235" spans="1:9" hidden="1">
      <c r="A235" s="29" t="s">
        <v>810</v>
      </c>
      <c r="B235" s="145" t="s">
        <v>400</v>
      </c>
      <c r="H235" t="str">
        <f t="shared" si="9"/>
        <v>214/2</v>
      </c>
      <c r="I235" s="29"/>
    </row>
    <row r="236" spans="1:9" hidden="1">
      <c r="A236" s="29" t="s">
        <v>188</v>
      </c>
      <c r="B236" s="145" t="s">
        <v>400</v>
      </c>
      <c r="H236" t="str">
        <f t="shared" si="9"/>
        <v>214/3</v>
      </c>
      <c r="I236" s="29"/>
    </row>
    <row r="237" spans="1:9" hidden="1">
      <c r="A237" s="29" t="s">
        <v>811</v>
      </c>
      <c r="B237" s="145" t="s">
        <v>400</v>
      </c>
      <c r="H237" t="str">
        <f t="shared" si="9"/>
        <v>214/4</v>
      </c>
      <c r="I237" s="29"/>
    </row>
    <row r="238" spans="1:9" hidden="1">
      <c r="A238" s="29" t="s">
        <v>812</v>
      </c>
      <c r="B238" s="145" t="s">
        <v>354</v>
      </c>
      <c r="H238" t="str">
        <f t="shared" si="9"/>
        <v>214/5</v>
      </c>
      <c r="I238" s="29"/>
    </row>
    <row r="239" spans="1:9" hidden="1">
      <c r="A239" s="29" t="s">
        <v>189</v>
      </c>
      <c r="B239" s="145" t="s">
        <v>361</v>
      </c>
      <c r="H239" t="str">
        <f t="shared" si="9"/>
        <v>214/6</v>
      </c>
      <c r="I239" s="29"/>
    </row>
    <row r="240" spans="1:9" hidden="1">
      <c r="A240" s="29" t="s">
        <v>813</v>
      </c>
      <c r="B240" s="145" t="s">
        <v>361</v>
      </c>
      <c r="H240" t="str">
        <f t="shared" si="9"/>
        <v>214/7</v>
      </c>
      <c r="I240" s="29"/>
    </row>
    <row r="241" spans="1:9" hidden="1">
      <c r="A241" s="29" t="s">
        <v>814</v>
      </c>
      <c r="B241" s="145" t="s">
        <v>564</v>
      </c>
      <c r="H241" t="str">
        <f t="shared" si="9"/>
        <v>215/0</v>
      </c>
      <c r="I241" s="29"/>
    </row>
    <row r="242" spans="1:9" hidden="1">
      <c r="A242" s="29" t="s">
        <v>156</v>
      </c>
      <c r="B242" s="145" t="s">
        <v>564</v>
      </c>
      <c r="H242" t="str">
        <f t="shared" si="9"/>
        <v>216/0</v>
      </c>
      <c r="I242" s="29"/>
    </row>
    <row r="243" spans="1:9" hidden="1">
      <c r="A243" s="29" t="s">
        <v>815</v>
      </c>
      <c r="B243" s="145" t="s">
        <v>938</v>
      </c>
      <c r="I243" s="29"/>
    </row>
    <row r="244" spans="1:9" hidden="1">
      <c r="A244" s="29" t="s">
        <v>157</v>
      </c>
      <c r="B244" s="145" t="s">
        <v>939</v>
      </c>
      <c r="I244" s="29"/>
    </row>
    <row r="245" spans="1:9" hidden="1">
      <c r="A245" s="29" t="s">
        <v>158</v>
      </c>
      <c r="B245" s="145" t="s">
        <v>565</v>
      </c>
      <c r="I245" s="29"/>
    </row>
    <row r="246" spans="1:9" hidden="1">
      <c r="A246" s="29" t="s">
        <v>816</v>
      </c>
      <c r="B246" s="145" t="s">
        <v>932</v>
      </c>
      <c r="I246" s="29"/>
    </row>
    <row r="247" spans="1:9" hidden="1">
      <c r="A247" s="29" t="s">
        <v>817</v>
      </c>
      <c r="B247" s="145" t="s">
        <v>361</v>
      </c>
      <c r="I247" s="29"/>
    </row>
    <row r="248" spans="1:9" hidden="1">
      <c r="A248" s="29" t="s">
        <v>818</v>
      </c>
      <c r="B248" s="145" t="s">
        <v>354</v>
      </c>
      <c r="I248" s="29"/>
    </row>
    <row r="249" spans="1:9" hidden="1">
      <c r="A249" s="29" t="s">
        <v>819</v>
      </c>
      <c r="B249" s="145" t="s">
        <v>565</v>
      </c>
      <c r="H249" t="str">
        <f>A249</f>
        <v>217/3</v>
      </c>
      <c r="I249" s="29"/>
    </row>
    <row r="250" spans="1:9" hidden="1">
      <c r="A250" s="29" t="s">
        <v>190</v>
      </c>
      <c r="B250" s="145" t="s">
        <v>565</v>
      </c>
      <c r="H250" t="str">
        <f>A250</f>
        <v>217/4</v>
      </c>
      <c r="I250" s="131"/>
    </row>
    <row r="251" spans="1:9" hidden="1">
      <c r="A251" s="29" t="s">
        <v>820</v>
      </c>
      <c r="B251" s="145" t="s">
        <v>354</v>
      </c>
      <c r="H251" t="str">
        <f>A251</f>
        <v>217/5</v>
      </c>
      <c r="I251" s="131"/>
    </row>
    <row r="252" spans="1:9" hidden="1">
      <c r="A252" s="29" t="s">
        <v>821</v>
      </c>
      <c r="B252" s="145" t="s">
        <v>564</v>
      </c>
      <c r="I252" s="131" t="s">
        <v>524</v>
      </c>
    </row>
    <row r="253" spans="1:9" hidden="1">
      <c r="A253" s="29" t="s">
        <v>822</v>
      </c>
      <c r="B253" s="143" t="s">
        <v>589</v>
      </c>
      <c r="H253" t="str">
        <f>A253</f>
        <v>219/0</v>
      </c>
      <c r="I253" s="131"/>
    </row>
    <row r="254" spans="1:9" hidden="1">
      <c r="A254" s="29" t="s">
        <v>823</v>
      </c>
      <c r="B254" s="145" t="s">
        <v>565</v>
      </c>
      <c r="H254" t="str">
        <f>A254</f>
        <v>219/1</v>
      </c>
      <c r="I254" s="131"/>
    </row>
    <row r="255" spans="1:9" hidden="1">
      <c r="A255" s="29" t="s">
        <v>824</v>
      </c>
      <c r="B255" s="145" t="s">
        <v>306</v>
      </c>
      <c r="I255" s="131" t="s">
        <v>691</v>
      </c>
    </row>
    <row r="256" spans="1:9" hidden="1">
      <c r="A256" s="29" t="s">
        <v>825</v>
      </c>
      <c r="B256" s="145" t="s">
        <v>403</v>
      </c>
      <c r="I256" s="131" t="s">
        <v>718</v>
      </c>
    </row>
    <row r="257" spans="1:9" hidden="1">
      <c r="A257" s="29" t="s">
        <v>826</v>
      </c>
      <c r="B257" s="145" t="s">
        <v>919</v>
      </c>
      <c r="I257" s="131" t="s">
        <v>719</v>
      </c>
    </row>
    <row r="258" spans="1:9" hidden="1">
      <c r="A258" s="29" t="s">
        <v>827</v>
      </c>
      <c r="B258" s="145" t="s">
        <v>918</v>
      </c>
      <c r="I258" s="131" t="s">
        <v>690</v>
      </c>
    </row>
    <row r="259" spans="1:9" hidden="1">
      <c r="A259" s="29" t="s">
        <v>828</v>
      </c>
      <c r="B259" s="145" t="s">
        <v>940</v>
      </c>
      <c r="H259" t="str">
        <f>A259</f>
        <v>223/0</v>
      </c>
      <c r="I259" s="131"/>
    </row>
    <row r="260" spans="1:9" hidden="1">
      <c r="A260" s="29" t="s">
        <v>829</v>
      </c>
      <c r="B260" s="145" t="s">
        <v>354</v>
      </c>
      <c r="I260" s="131" t="s">
        <v>721</v>
      </c>
    </row>
    <row r="261" spans="1:9" hidden="1">
      <c r="A261" s="29" t="s">
        <v>830</v>
      </c>
      <c r="B261" s="145" t="s">
        <v>354</v>
      </c>
      <c r="I261" s="131" t="s">
        <v>729</v>
      </c>
    </row>
    <row r="262" spans="1:9" hidden="1">
      <c r="A262" s="29" t="s">
        <v>831</v>
      </c>
      <c r="B262" s="145" t="s">
        <v>400</v>
      </c>
      <c r="I262" s="131" t="s">
        <v>525</v>
      </c>
    </row>
    <row r="263" spans="1:9" hidden="1">
      <c r="A263" s="29" t="s">
        <v>832</v>
      </c>
      <c r="B263" s="145" t="s">
        <v>334</v>
      </c>
      <c r="I263" s="131" t="s">
        <v>723</v>
      </c>
    </row>
    <row r="264" spans="1:9" hidden="1">
      <c r="A264" s="29" t="s">
        <v>833</v>
      </c>
      <c r="B264" s="145" t="s">
        <v>361</v>
      </c>
      <c r="I264" s="131" t="s">
        <v>726</v>
      </c>
    </row>
    <row r="265" spans="1:9" hidden="1">
      <c r="A265" s="29" t="s">
        <v>834</v>
      </c>
      <c r="B265" s="145" t="s">
        <v>395</v>
      </c>
      <c r="I265" s="131" t="s">
        <v>547</v>
      </c>
    </row>
    <row r="266" spans="1:9" hidden="1">
      <c r="A266" s="29" t="s">
        <v>835</v>
      </c>
      <c r="B266" s="145" t="s">
        <v>304</v>
      </c>
      <c r="I266" s="131" t="s">
        <v>741</v>
      </c>
    </row>
    <row r="267" spans="1:9" hidden="1">
      <c r="A267" s="29" t="s">
        <v>836</v>
      </c>
      <c r="B267" s="145" t="s">
        <v>565</v>
      </c>
      <c r="H267" t="str">
        <f>A267</f>
        <v>225/1</v>
      </c>
      <c r="I267" s="131"/>
    </row>
    <row r="268" spans="1:9" hidden="1">
      <c r="A268" s="29" t="s">
        <v>837</v>
      </c>
      <c r="B268" s="145" t="s">
        <v>400</v>
      </c>
      <c r="H268" t="str">
        <f>A268</f>
        <v>225/2</v>
      </c>
      <c r="I268" s="131"/>
    </row>
    <row r="269" spans="1:9" hidden="1">
      <c r="A269" s="29" t="s">
        <v>191</v>
      </c>
      <c r="B269" s="145" t="s">
        <v>400</v>
      </c>
      <c r="I269" s="131" t="s">
        <v>177</v>
      </c>
    </row>
    <row r="270" spans="1:9" hidden="1">
      <c r="A270" s="29" t="s">
        <v>838</v>
      </c>
      <c r="B270" s="145" t="s">
        <v>361</v>
      </c>
      <c r="H270" t="str">
        <f>A270</f>
        <v>225/4</v>
      </c>
      <c r="I270" s="154"/>
    </row>
    <row r="271" spans="1:9">
      <c r="A271" s="29" t="s">
        <v>839</v>
      </c>
      <c r="B271" s="143" t="s">
        <v>354</v>
      </c>
      <c r="H271" t="str">
        <f>A271</f>
        <v>225/5</v>
      </c>
    </row>
    <row r="272" spans="1:9">
      <c r="A272" s="29" t="s">
        <v>840</v>
      </c>
      <c r="B272" s="143" t="s">
        <v>354</v>
      </c>
      <c r="I272" s="17" t="s">
        <v>178</v>
      </c>
    </row>
    <row r="273" spans="1:9">
      <c r="A273" s="29" t="s">
        <v>841</v>
      </c>
      <c r="B273" s="143" t="s">
        <v>403</v>
      </c>
      <c r="H273" t="str">
        <f t="shared" ref="H273:H280" si="10">A273</f>
        <v>225/7</v>
      </c>
    </row>
    <row r="274" spans="1:9">
      <c r="A274" s="29" t="s">
        <v>842</v>
      </c>
      <c r="B274" s="143" t="s">
        <v>916</v>
      </c>
      <c r="H274" t="str">
        <f t="shared" si="10"/>
        <v>226/0</v>
      </c>
    </row>
    <row r="275" spans="1:9" hidden="1">
      <c r="A275" s="29" t="s">
        <v>843</v>
      </c>
      <c r="B275" s="143" t="s">
        <v>403</v>
      </c>
      <c r="H275" t="str">
        <f t="shared" si="10"/>
        <v>226/1</v>
      </c>
    </row>
    <row r="276" spans="1:9" hidden="1">
      <c r="A276" s="29" t="s">
        <v>844</v>
      </c>
      <c r="B276" s="143" t="s">
        <v>354</v>
      </c>
      <c r="H276" t="str">
        <f t="shared" si="10"/>
        <v>226/2</v>
      </c>
    </row>
    <row r="277" spans="1:9" hidden="1">
      <c r="A277" s="29" t="s">
        <v>845</v>
      </c>
      <c r="B277" s="145" t="s">
        <v>354</v>
      </c>
      <c r="H277" t="str">
        <f t="shared" si="10"/>
        <v>226/3</v>
      </c>
      <c r="I277" s="154"/>
    </row>
    <row r="278" spans="1:9" hidden="1">
      <c r="A278" s="29" t="s">
        <v>846</v>
      </c>
      <c r="B278" s="145" t="s">
        <v>306</v>
      </c>
      <c r="H278" t="str">
        <f t="shared" si="10"/>
        <v>227/0</v>
      </c>
      <c r="I278" s="131"/>
    </row>
    <row r="279" spans="1:9" hidden="1">
      <c r="A279" s="29" t="s">
        <v>847</v>
      </c>
      <c r="B279" s="145" t="s">
        <v>403</v>
      </c>
      <c r="H279" t="str">
        <f t="shared" si="10"/>
        <v>227/1</v>
      </c>
      <c r="I279" s="131"/>
    </row>
    <row r="280" spans="1:9" hidden="1">
      <c r="A280" s="29" t="s">
        <v>848</v>
      </c>
      <c r="B280" s="143" t="s">
        <v>361</v>
      </c>
      <c r="H280" t="str">
        <f t="shared" si="10"/>
        <v>227/2</v>
      </c>
      <c r="I280" s="29"/>
    </row>
    <row r="281" spans="1:9" hidden="1">
      <c r="A281" s="29" t="s">
        <v>849</v>
      </c>
      <c r="B281" s="145" t="s">
        <v>306</v>
      </c>
      <c r="I281" s="131" t="s">
        <v>375</v>
      </c>
    </row>
    <row r="282" spans="1:9" hidden="1">
      <c r="A282" s="29" t="s">
        <v>850</v>
      </c>
      <c r="B282" s="145" t="s">
        <v>354</v>
      </c>
      <c r="H282" t="str">
        <f t="shared" ref="H282:H295" si="11">A282</f>
        <v>228/1</v>
      </c>
      <c r="I282" s="131"/>
    </row>
    <row r="283" spans="1:9">
      <c r="A283" s="29" t="s">
        <v>851</v>
      </c>
      <c r="B283" s="143" t="s">
        <v>306</v>
      </c>
      <c r="H283" t="str">
        <f t="shared" si="11"/>
        <v>229/0</v>
      </c>
      <c r="I283" s="29"/>
    </row>
    <row r="284" spans="1:9">
      <c r="A284" s="29" t="s">
        <v>852</v>
      </c>
      <c r="B284" s="143" t="s">
        <v>565</v>
      </c>
      <c r="H284" t="str">
        <f t="shared" si="11"/>
        <v>229/1</v>
      </c>
      <c r="I284" s="29"/>
    </row>
    <row r="285" spans="1:9">
      <c r="A285" s="29" t="s">
        <v>853</v>
      </c>
      <c r="B285" s="143" t="s">
        <v>911</v>
      </c>
      <c r="H285" t="str">
        <f t="shared" si="11"/>
        <v>229A/0</v>
      </c>
      <c r="I285" s="29"/>
    </row>
    <row r="286" spans="1:9">
      <c r="A286" s="29" t="s">
        <v>854</v>
      </c>
      <c r="B286" s="143" t="s">
        <v>941</v>
      </c>
      <c r="H286" t="str">
        <f t="shared" si="11"/>
        <v>229B/0</v>
      </c>
      <c r="I286" s="29"/>
    </row>
    <row r="287" spans="1:9" hidden="1">
      <c r="A287" s="29" t="s">
        <v>855</v>
      </c>
      <c r="B287" s="145" t="s">
        <v>940</v>
      </c>
      <c r="H287" t="str">
        <f t="shared" si="11"/>
        <v>230/0</v>
      </c>
      <c r="I287" s="131"/>
    </row>
    <row r="288" spans="1:9">
      <c r="A288" s="29" t="s">
        <v>856</v>
      </c>
      <c r="B288" s="143" t="s">
        <v>565</v>
      </c>
      <c r="H288" t="str">
        <f t="shared" si="11"/>
        <v>230/1</v>
      </c>
      <c r="I288" s="29"/>
    </row>
    <row r="289" spans="1:9">
      <c r="A289" s="29" t="s">
        <v>857</v>
      </c>
      <c r="B289" s="143" t="s">
        <v>306</v>
      </c>
      <c r="H289" t="str">
        <f t="shared" si="11"/>
        <v>230A/0</v>
      </c>
      <c r="I289" s="29"/>
    </row>
    <row r="290" spans="1:9" hidden="1">
      <c r="A290" s="29" t="s">
        <v>858</v>
      </c>
      <c r="B290" s="143" t="s">
        <v>339</v>
      </c>
      <c r="H290" t="str">
        <f t="shared" si="11"/>
        <v>231/0</v>
      </c>
      <c r="I290" s="29"/>
    </row>
    <row r="291" spans="1:9" hidden="1">
      <c r="A291" s="29" t="s">
        <v>859</v>
      </c>
      <c r="B291" s="143" t="s">
        <v>339</v>
      </c>
      <c r="H291" t="str">
        <f t="shared" si="11"/>
        <v>232/0</v>
      </c>
      <c r="I291" s="29"/>
    </row>
    <row r="292" spans="1:9">
      <c r="A292" s="29" t="s">
        <v>860</v>
      </c>
      <c r="B292" s="143" t="s">
        <v>354</v>
      </c>
      <c r="H292" t="str">
        <f t="shared" si="11"/>
        <v>232/1</v>
      </c>
      <c r="I292" s="29"/>
    </row>
    <row r="293" spans="1:9">
      <c r="A293" s="29" t="s">
        <v>861</v>
      </c>
      <c r="B293" s="143" t="s">
        <v>354</v>
      </c>
      <c r="H293" t="str">
        <f t="shared" si="11"/>
        <v>232/2</v>
      </c>
      <c r="I293" s="29"/>
    </row>
    <row r="294" spans="1:9">
      <c r="A294" s="29" t="s">
        <v>862</v>
      </c>
      <c r="B294" s="143" t="s">
        <v>354</v>
      </c>
      <c r="H294" t="str">
        <f t="shared" si="11"/>
        <v>232/3</v>
      </c>
      <c r="I294" s="29"/>
    </row>
    <row r="295" spans="1:9" hidden="1">
      <c r="A295" s="29" t="s">
        <v>863</v>
      </c>
      <c r="B295" s="145" t="s">
        <v>361</v>
      </c>
      <c r="H295" t="str">
        <f t="shared" si="11"/>
        <v>232/4</v>
      </c>
      <c r="I295" s="131"/>
    </row>
    <row r="296" spans="1:9" hidden="1">
      <c r="A296" s="29" t="s">
        <v>864</v>
      </c>
      <c r="B296" s="145" t="s">
        <v>334</v>
      </c>
      <c r="I296" s="131" t="s">
        <v>697</v>
      </c>
    </row>
    <row r="297" spans="1:9">
      <c r="A297" s="29" t="s">
        <v>865</v>
      </c>
      <c r="B297" s="143" t="s">
        <v>919</v>
      </c>
      <c r="H297" t="str">
        <f>A297</f>
        <v>234/0</v>
      </c>
      <c r="I297" s="29"/>
    </row>
    <row r="298" spans="1:9" hidden="1">
      <c r="A298" s="29" t="s">
        <v>866</v>
      </c>
      <c r="B298" s="145" t="s">
        <v>923</v>
      </c>
      <c r="I298" s="131" t="s">
        <v>372</v>
      </c>
    </row>
    <row r="299" spans="1:9" hidden="1">
      <c r="A299" s="29" t="s">
        <v>867</v>
      </c>
      <c r="B299" s="145" t="s">
        <v>565</v>
      </c>
      <c r="H299" t="str">
        <f>A299</f>
        <v>235/1</v>
      </c>
      <c r="I299" s="131"/>
    </row>
    <row r="300" spans="1:9" hidden="1">
      <c r="A300" s="29" t="s">
        <v>868</v>
      </c>
      <c r="B300" s="145" t="s">
        <v>354</v>
      </c>
      <c r="I300" s="131" t="s">
        <v>180</v>
      </c>
    </row>
    <row r="301" spans="1:9" hidden="1">
      <c r="A301" s="29" t="s">
        <v>869</v>
      </c>
      <c r="B301" s="145" t="s">
        <v>354</v>
      </c>
      <c r="H301" t="str">
        <f t="shared" ref="H301:H323" si="12">A301</f>
        <v>235/3</v>
      </c>
      <c r="I301" s="131"/>
    </row>
    <row r="302" spans="1:9">
      <c r="A302" s="29" t="s">
        <v>870</v>
      </c>
      <c r="B302" s="143" t="s">
        <v>361</v>
      </c>
      <c r="H302" t="str">
        <f t="shared" si="12"/>
        <v>235/4</v>
      </c>
      <c r="I302" s="29"/>
    </row>
    <row r="303" spans="1:9" hidden="1">
      <c r="A303" s="29" t="s">
        <v>871</v>
      </c>
      <c r="B303" s="145" t="s">
        <v>933</v>
      </c>
      <c r="H303" t="str">
        <f t="shared" si="12"/>
        <v>236/0</v>
      </c>
      <c r="I303" s="131"/>
    </row>
    <row r="304" spans="1:9" hidden="1">
      <c r="A304" s="29" t="s">
        <v>872</v>
      </c>
      <c r="B304" s="145" t="s">
        <v>942</v>
      </c>
      <c r="H304" t="str">
        <f t="shared" si="12"/>
        <v>237/0</v>
      </c>
      <c r="I304" s="131"/>
    </row>
    <row r="305" spans="1:9" hidden="1">
      <c r="A305" s="29" t="s">
        <v>873</v>
      </c>
      <c r="B305" s="145" t="s">
        <v>943</v>
      </c>
      <c r="H305" t="str">
        <f t="shared" si="12"/>
        <v>238/0</v>
      </c>
      <c r="I305" s="131"/>
    </row>
    <row r="306" spans="1:9" hidden="1">
      <c r="A306" s="29" t="s">
        <v>874</v>
      </c>
      <c r="B306" s="143" t="s">
        <v>306</v>
      </c>
      <c r="H306" t="str">
        <f t="shared" si="12"/>
        <v>239/0</v>
      </c>
      <c r="I306" s="29"/>
    </row>
    <row r="307" spans="1:9" hidden="1">
      <c r="A307" s="29" t="s">
        <v>875</v>
      </c>
      <c r="B307" s="143" t="s">
        <v>354</v>
      </c>
      <c r="H307" t="str">
        <f t="shared" si="12"/>
        <v>239/1</v>
      </c>
      <c r="I307" s="29"/>
    </row>
    <row r="308" spans="1:9" hidden="1">
      <c r="A308" s="29" t="s">
        <v>876</v>
      </c>
      <c r="B308" s="145" t="s">
        <v>304</v>
      </c>
      <c r="H308" t="str">
        <f t="shared" si="12"/>
        <v>240/0</v>
      </c>
      <c r="I308" s="131"/>
    </row>
    <row r="309" spans="1:9" hidden="1">
      <c r="A309" s="29" t="s">
        <v>877</v>
      </c>
      <c r="B309" s="143" t="s">
        <v>361</v>
      </c>
      <c r="H309" t="str">
        <f t="shared" si="12"/>
        <v>240/1</v>
      </c>
      <c r="I309" s="131"/>
    </row>
    <row r="310" spans="1:9" hidden="1">
      <c r="A310" s="29" t="s">
        <v>878</v>
      </c>
      <c r="B310" s="145" t="s">
        <v>302</v>
      </c>
      <c r="H310" t="str">
        <f t="shared" si="12"/>
        <v>241/0</v>
      </c>
      <c r="I310" s="131"/>
    </row>
    <row r="311" spans="1:9" hidden="1">
      <c r="A311" s="29" t="s">
        <v>171</v>
      </c>
      <c r="B311" s="145" t="s">
        <v>354</v>
      </c>
      <c r="H311" t="str">
        <f t="shared" si="12"/>
        <v>241/1</v>
      </c>
      <c r="I311" s="131"/>
    </row>
    <row r="312" spans="1:9" hidden="1">
      <c r="A312" s="29" t="s">
        <v>705</v>
      </c>
      <c r="B312" s="145" t="s">
        <v>354</v>
      </c>
      <c r="H312" t="str">
        <f t="shared" si="12"/>
        <v>241/2</v>
      </c>
      <c r="I312" s="131"/>
    </row>
    <row r="313" spans="1:9" hidden="1">
      <c r="A313" s="29" t="s">
        <v>879</v>
      </c>
      <c r="B313" s="145" t="s">
        <v>354</v>
      </c>
      <c r="H313" t="str">
        <f t="shared" si="12"/>
        <v>241/3</v>
      </c>
      <c r="I313" s="131"/>
    </row>
    <row r="314" spans="1:9" hidden="1">
      <c r="A314" s="29" t="s">
        <v>880</v>
      </c>
      <c r="B314" s="145" t="s">
        <v>361</v>
      </c>
      <c r="H314" t="str">
        <f t="shared" si="12"/>
        <v>241/4</v>
      </c>
      <c r="I314" s="131"/>
    </row>
    <row r="315" spans="1:9" hidden="1">
      <c r="A315" s="29" t="s">
        <v>881</v>
      </c>
      <c r="B315" s="145" t="s">
        <v>564</v>
      </c>
      <c r="H315" t="str">
        <f t="shared" si="12"/>
        <v>242/0</v>
      </c>
      <c r="I315" s="131"/>
    </row>
    <row r="316" spans="1:9" hidden="1">
      <c r="A316" s="29" t="s">
        <v>882</v>
      </c>
      <c r="B316" s="145" t="s">
        <v>564</v>
      </c>
      <c r="H316" t="str">
        <f t="shared" si="12"/>
        <v>243/0</v>
      </c>
      <c r="I316" s="131"/>
    </row>
    <row r="317" spans="1:9" hidden="1">
      <c r="A317" s="29" t="s">
        <v>706</v>
      </c>
      <c r="B317" s="145" t="s">
        <v>354</v>
      </c>
      <c r="H317" t="str">
        <f t="shared" si="12"/>
        <v>243/1</v>
      </c>
      <c r="I317" s="131"/>
    </row>
    <row r="318" spans="1:9" hidden="1">
      <c r="A318" s="29" t="s">
        <v>883</v>
      </c>
      <c r="B318" s="145" t="s">
        <v>354</v>
      </c>
      <c r="H318" t="str">
        <f t="shared" si="12"/>
        <v>243/2</v>
      </c>
      <c r="I318" s="131"/>
    </row>
    <row r="319" spans="1:9" hidden="1">
      <c r="A319" s="29" t="s">
        <v>884</v>
      </c>
      <c r="B319" s="145" t="s">
        <v>354</v>
      </c>
      <c r="H319" t="str">
        <f t="shared" si="12"/>
        <v>243/3</v>
      </c>
      <c r="I319" s="131"/>
    </row>
    <row r="320" spans="1:9" hidden="1">
      <c r="A320" s="29" t="s">
        <v>172</v>
      </c>
      <c r="B320" s="145" t="s">
        <v>306</v>
      </c>
      <c r="H320" t="str">
        <f t="shared" si="12"/>
        <v>244/0</v>
      </c>
      <c r="I320" s="25"/>
    </row>
    <row r="321" spans="1:9" hidden="1">
      <c r="A321" s="29" t="s">
        <v>885</v>
      </c>
      <c r="B321" s="145" t="s">
        <v>354</v>
      </c>
      <c r="H321" t="str">
        <f t="shared" si="12"/>
        <v>244/1</v>
      </c>
      <c r="I321" s="131"/>
    </row>
    <row r="322" spans="1:9" hidden="1">
      <c r="A322" s="29" t="s">
        <v>192</v>
      </c>
      <c r="B322" s="145" t="s">
        <v>354</v>
      </c>
      <c r="H322" t="str">
        <f t="shared" si="12"/>
        <v>244/2</v>
      </c>
      <c r="I322" s="131"/>
    </row>
    <row r="323" spans="1:9" hidden="1">
      <c r="A323" s="29" t="s">
        <v>159</v>
      </c>
      <c r="B323" s="145" t="s">
        <v>361</v>
      </c>
      <c r="H323" t="str">
        <f t="shared" si="12"/>
        <v>244/3</v>
      </c>
      <c r="I323" s="131"/>
    </row>
    <row r="324" spans="1:9" hidden="1">
      <c r="A324" s="29" t="s">
        <v>160</v>
      </c>
      <c r="B324" s="145" t="s">
        <v>361</v>
      </c>
      <c r="I324" s="131" t="s">
        <v>706</v>
      </c>
    </row>
    <row r="325" spans="1:9" hidden="1">
      <c r="A325" s="29" t="s">
        <v>886</v>
      </c>
      <c r="B325" s="145" t="s">
        <v>354</v>
      </c>
      <c r="I325" s="132" t="s">
        <v>704</v>
      </c>
    </row>
    <row r="326" spans="1:9" hidden="1">
      <c r="A326" s="29" t="s">
        <v>887</v>
      </c>
      <c r="B326" s="145" t="s">
        <v>361</v>
      </c>
      <c r="H326" t="str">
        <f t="shared" ref="H326:H340" si="13">A326</f>
        <v>244/6</v>
      </c>
      <c r="I326" s="132"/>
    </row>
    <row r="327" spans="1:9" hidden="1">
      <c r="A327" s="29" t="s">
        <v>888</v>
      </c>
      <c r="B327" s="145" t="s">
        <v>306</v>
      </c>
      <c r="H327" t="str">
        <f t="shared" si="13"/>
        <v>245/0</v>
      </c>
      <c r="I327" s="132"/>
    </row>
    <row r="328" spans="1:9" hidden="1">
      <c r="A328" s="29" t="s">
        <v>889</v>
      </c>
      <c r="B328" s="145" t="s">
        <v>354</v>
      </c>
      <c r="H328" t="str">
        <f t="shared" si="13"/>
        <v>245/1</v>
      </c>
      <c r="I328" s="132"/>
    </row>
    <row r="329" spans="1:9" hidden="1">
      <c r="A329" s="29" t="s">
        <v>707</v>
      </c>
      <c r="B329" s="145" t="s">
        <v>296</v>
      </c>
      <c r="H329" t="str">
        <f t="shared" si="13"/>
        <v>246/0</v>
      </c>
      <c r="I329" s="132"/>
    </row>
    <row r="330" spans="1:9">
      <c r="A330" s="29" t="s">
        <v>890</v>
      </c>
      <c r="B330" s="143" t="s">
        <v>944</v>
      </c>
      <c r="H330" t="str">
        <f t="shared" si="13"/>
        <v>247/0</v>
      </c>
      <c r="I330" s="29"/>
    </row>
    <row r="331" spans="1:9" hidden="1">
      <c r="A331" s="29" t="s">
        <v>891</v>
      </c>
      <c r="B331" s="143" t="s">
        <v>944</v>
      </c>
      <c r="H331" t="str">
        <f t="shared" si="13"/>
        <v>248/0</v>
      </c>
      <c r="I331" s="132"/>
    </row>
    <row r="332" spans="1:9" hidden="1">
      <c r="A332" s="29" t="s">
        <v>708</v>
      </c>
      <c r="B332" s="145" t="s">
        <v>397</v>
      </c>
      <c r="H332" t="str">
        <f t="shared" si="13"/>
        <v>248/1</v>
      </c>
      <c r="I332" s="25"/>
    </row>
    <row r="333" spans="1:9" hidden="1">
      <c r="A333" s="29" t="s">
        <v>892</v>
      </c>
      <c r="B333" s="145" t="s">
        <v>403</v>
      </c>
      <c r="H333" t="str">
        <f t="shared" si="13"/>
        <v>248/2</v>
      </c>
      <c r="I333" s="25"/>
    </row>
    <row r="334" spans="1:9" hidden="1">
      <c r="A334" s="29" t="s">
        <v>893</v>
      </c>
      <c r="B334" s="145" t="s">
        <v>564</v>
      </c>
      <c r="H334" t="str">
        <f t="shared" si="13"/>
        <v>249/0</v>
      </c>
      <c r="I334" s="25"/>
    </row>
    <row r="335" spans="1:9" hidden="1">
      <c r="A335" s="29" t="s">
        <v>894</v>
      </c>
      <c r="B335" s="145" t="s">
        <v>565</v>
      </c>
      <c r="H335" t="str">
        <f t="shared" si="13"/>
        <v>249/1</v>
      </c>
      <c r="I335" s="25"/>
    </row>
    <row r="336" spans="1:9" hidden="1">
      <c r="A336" s="29" t="s">
        <v>895</v>
      </c>
      <c r="B336" s="145" t="s">
        <v>361</v>
      </c>
      <c r="H336" t="str">
        <f t="shared" si="13"/>
        <v>249/2</v>
      </c>
      <c r="I336" s="25"/>
    </row>
    <row r="337" spans="1:9" hidden="1">
      <c r="A337" s="29" t="s">
        <v>709</v>
      </c>
      <c r="B337" s="145" t="s">
        <v>361</v>
      </c>
      <c r="H337" t="str">
        <f t="shared" si="13"/>
        <v>249/3</v>
      </c>
      <c r="I337" s="25"/>
    </row>
    <row r="338" spans="1:9" hidden="1">
      <c r="A338" s="29" t="s">
        <v>896</v>
      </c>
      <c r="B338" s="145" t="s">
        <v>589</v>
      </c>
      <c r="H338" t="str">
        <f t="shared" si="13"/>
        <v>250/0</v>
      </c>
      <c r="I338" s="132"/>
    </row>
    <row r="339" spans="1:9" hidden="1">
      <c r="A339" s="29" t="s">
        <v>161</v>
      </c>
      <c r="B339" s="145" t="s">
        <v>945</v>
      </c>
      <c r="H339" t="str">
        <f t="shared" si="13"/>
        <v>250/1</v>
      </c>
      <c r="I339" s="132"/>
    </row>
    <row r="340" spans="1:9" hidden="1">
      <c r="A340" s="29" t="s">
        <v>193</v>
      </c>
      <c r="B340" s="145" t="s">
        <v>354</v>
      </c>
      <c r="H340" t="str">
        <f t="shared" si="13"/>
        <v>250/2</v>
      </c>
      <c r="I340" s="132"/>
    </row>
    <row r="341" spans="1:9" hidden="1">
      <c r="A341" s="29" t="s">
        <v>710</v>
      </c>
      <c r="B341" s="145" t="s">
        <v>565</v>
      </c>
      <c r="I341" s="132" t="s">
        <v>526</v>
      </c>
    </row>
    <row r="342" spans="1:9" hidden="1">
      <c r="A342" s="29" t="s">
        <v>162</v>
      </c>
      <c r="B342" s="145" t="s">
        <v>946</v>
      </c>
      <c r="H342" t="str">
        <f>A342</f>
        <v>250A/0</v>
      </c>
      <c r="I342" s="132"/>
    </row>
    <row r="343" spans="1:9" hidden="1">
      <c r="A343" s="29" t="s">
        <v>711</v>
      </c>
      <c r="B343" s="145" t="s">
        <v>403</v>
      </c>
      <c r="H343" t="str">
        <f>A343</f>
        <v>250A/1</v>
      </c>
      <c r="I343" s="132"/>
    </row>
    <row r="344" spans="1:9" hidden="1">
      <c r="A344" s="29" t="s">
        <v>712</v>
      </c>
      <c r="B344" s="145" t="s">
        <v>354</v>
      </c>
      <c r="H344" t="str">
        <f>A344</f>
        <v>250A/2</v>
      </c>
      <c r="I344" s="132"/>
    </row>
    <row r="345" spans="1:9" hidden="1">
      <c r="A345" s="29" t="s">
        <v>897</v>
      </c>
      <c r="B345" s="145" t="s">
        <v>306</v>
      </c>
      <c r="H345" t="str">
        <f>A345</f>
        <v>251/0</v>
      </c>
      <c r="I345" s="132"/>
    </row>
    <row r="346" spans="1:9">
      <c r="A346" s="29" t="s">
        <v>898</v>
      </c>
      <c r="B346" s="143" t="s">
        <v>947</v>
      </c>
      <c r="I346" s="59" t="s">
        <v>590</v>
      </c>
    </row>
    <row r="347" spans="1:9" hidden="1">
      <c r="A347" s="29" t="s">
        <v>899</v>
      </c>
      <c r="B347" s="145" t="s">
        <v>304</v>
      </c>
      <c r="H347" t="str">
        <f>A347</f>
        <v>252/0</v>
      </c>
      <c r="I347" s="132"/>
    </row>
    <row r="348" spans="1:9" hidden="1">
      <c r="A348" s="29" t="s">
        <v>900</v>
      </c>
      <c r="B348" s="145" t="s">
        <v>354</v>
      </c>
      <c r="H348" t="str">
        <f>A348</f>
        <v>252/1</v>
      </c>
      <c r="I348" s="132"/>
    </row>
    <row r="349" spans="1:9" hidden="1">
      <c r="A349" s="29" t="s">
        <v>901</v>
      </c>
      <c r="B349" s="145" t="s">
        <v>361</v>
      </c>
      <c r="I349" s="132" t="s">
        <v>192</v>
      </c>
    </row>
    <row r="350" spans="1:9" hidden="1">
      <c r="A350" s="29" t="s">
        <v>902</v>
      </c>
      <c r="B350" s="145" t="s">
        <v>403</v>
      </c>
      <c r="I350" s="132" t="s">
        <v>147</v>
      </c>
    </row>
    <row r="351" spans="1:9" hidden="1">
      <c r="A351" s="29" t="s">
        <v>903</v>
      </c>
      <c r="B351" s="145" t="s">
        <v>354</v>
      </c>
      <c r="H351" t="str">
        <f>A351</f>
        <v>252/4</v>
      </c>
      <c r="I351" s="25"/>
    </row>
    <row r="352" spans="1:9" hidden="1">
      <c r="A352" s="29" t="s">
        <v>713</v>
      </c>
      <c r="B352" s="145" t="s">
        <v>397</v>
      </c>
      <c r="H352" t="str">
        <f>A352</f>
        <v>252/5</v>
      </c>
      <c r="I352" s="25"/>
    </row>
    <row r="353" spans="1:9">
      <c r="A353" s="29" t="s">
        <v>904</v>
      </c>
      <c r="B353" s="143" t="s">
        <v>948</v>
      </c>
      <c r="I353" s="59" t="s">
        <v>182</v>
      </c>
    </row>
    <row r="354" spans="1:9">
      <c r="A354" s="29" t="s">
        <v>905</v>
      </c>
      <c r="B354" s="143" t="s">
        <v>948</v>
      </c>
      <c r="H354" t="str">
        <f>A354</f>
        <v>254/0</v>
      </c>
      <c r="I354" s="29"/>
    </row>
    <row r="355" spans="1:9" hidden="1">
      <c r="A355" s="29" t="s">
        <v>906</v>
      </c>
      <c r="B355" s="145" t="s">
        <v>397</v>
      </c>
      <c r="I355" s="25" t="s">
        <v>773</v>
      </c>
    </row>
    <row r="356" spans="1:9" hidden="1">
      <c r="A356" s="29" t="s">
        <v>163</v>
      </c>
      <c r="B356" s="145" t="s">
        <v>302</v>
      </c>
      <c r="H356" t="str">
        <f>A356</f>
        <v>255/0</v>
      </c>
      <c r="I356" s="25"/>
    </row>
    <row r="357" spans="1:9">
      <c r="A357" s="29" t="s">
        <v>907</v>
      </c>
      <c r="B357" s="143" t="s">
        <v>354</v>
      </c>
      <c r="H357" t="str">
        <f>A357</f>
        <v>255/1</v>
      </c>
      <c r="I357" s="29"/>
    </row>
    <row r="358" spans="1:9" hidden="1">
      <c r="A358" s="29" t="s">
        <v>908</v>
      </c>
      <c r="B358" s="145" t="s">
        <v>302</v>
      </c>
      <c r="H358" t="str">
        <f>A358</f>
        <v>256/0</v>
      </c>
      <c r="I358" s="25"/>
    </row>
    <row r="359" spans="1:9" hidden="1">
      <c r="A359" s="29" t="s">
        <v>164</v>
      </c>
      <c r="B359" s="145" t="s">
        <v>565</v>
      </c>
      <c r="H359" t="str">
        <f>A359</f>
        <v>256/1</v>
      </c>
      <c r="I359" s="25"/>
    </row>
    <row r="360" spans="1:9" hidden="1">
      <c r="A360" s="29" t="s">
        <v>909</v>
      </c>
      <c r="B360" s="145" t="s">
        <v>328</v>
      </c>
      <c r="I360" s="25" t="s">
        <v>810</v>
      </c>
    </row>
    <row r="361" spans="1:9">
      <c r="A361" s="29" t="s">
        <v>910</v>
      </c>
      <c r="B361" s="143" t="s">
        <v>949</v>
      </c>
      <c r="H361" t="str">
        <f>A361</f>
        <v>258/0</v>
      </c>
      <c r="I361" s="29"/>
    </row>
    <row r="362" spans="1:9">
      <c r="I362" s="25"/>
    </row>
    <row r="363" spans="1:9" ht="15.75" thickBot="1">
      <c r="I363" s="25"/>
    </row>
    <row r="364" spans="1:9">
      <c r="A364" s="46" t="s">
        <v>705</v>
      </c>
      <c r="I364" s="25"/>
    </row>
    <row r="365" spans="1:9">
      <c r="A365" s="11" t="s">
        <v>878</v>
      </c>
      <c r="I365" s="25"/>
    </row>
    <row r="366" spans="1:9">
      <c r="A366" s="11" t="s">
        <v>523</v>
      </c>
      <c r="I366" s="25"/>
    </row>
    <row r="367" spans="1:9">
      <c r="A367" s="11" t="s">
        <v>719</v>
      </c>
      <c r="I367" s="25"/>
    </row>
    <row r="368" spans="1:9">
      <c r="A368" s="11" t="s">
        <v>724</v>
      </c>
      <c r="I368" s="25"/>
    </row>
    <row r="369" spans="1:9">
      <c r="A369" s="11" t="s">
        <v>718</v>
      </c>
      <c r="I369" s="25"/>
    </row>
    <row r="370" spans="1:9">
      <c r="A370" s="11" t="s">
        <v>723</v>
      </c>
      <c r="I370" s="25"/>
    </row>
    <row r="371" spans="1:9">
      <c r="A371" s="11" t="s">
        <v>692</v>
      </c>
      <c r="I371" s="25"/>
    </row>
    <row r="372" spans="1:9">
      <c r="A372" s="35" t="s">
        <v>187</v>
      </c>
      <c r="I372" s="25"/>
    </row>
    <row r="373" spans="1:9">
      <c r="A373" s="11" t="s">
        <v>524</v>
      </c>
      <c r="I373" s="25"/>
    </row>
    <row r="374" spans="1:9">
      <c r="A374" s="11" t="s">
        <v>693</v>
      </c>
      <c r="I374" s="25"/>
    </row>
    <row r="375" spans="1:9">
      <c r="A375" s="11" t="s">
        <v>720</v>
      </c>
      <c r="I375" s="25"/>
    </row>
    <row r="376" spans="1:9">
      <c r="A376" s="11" t="s">
        <v>526</v>
      </c>
      <c r="I376" s="25"/>
    </row>
    <row r="377" spans="1:9">
      <c r="A377" s="11" t="s">
        <v>887</v>
      </c>
      <c r="I377" s="25"/>
    </row>
    <row r="378" spans="1:9">
      <c r="A378" s="11" t="s">
        <v>411</v>
      </c>
      <c r="I378" s="25"/>
    </row>
    <row r="379" spans="1:9">
      <c r="A379" s="11" t="s">
        <v>894</v>
      </c>
      <c r="I379" s="25"/>
    </row>
    <row r="380" spans="1:9">
      <c r="A380" s="11" t="s">
        <v>715</v>
      </c>
      <c r="I380" s="25"/>
    </row>
    <row r="381" spans="1:9">
      <c r="A381" s="11" t="s">
        <v>716</v>
      </c>
      <c r="I381" s="25"/>
    </row>
    <row r="382" spans="1:9">
      <c r="A382" s="11" t="s">
        <v>725</v>
      </c>
      <c r="I382" s="25"/>
    </row>
    <row r="383" spans="1:9">
      <c r="A383" s="11" t="s">
        <v>893</v>
      </c>
      <c r="I383" s="25"/>
    </row>
    <row r="384" spans="1:9">
      <c r="A384" s="11" t="s">
        <v>895</v>
      </c>
      <c r="I384" s="25"/>
    </row>
    <row r="385" spans="1:9">
      <c r="A385" s="11" t="s">
        <v>721</v>
      </c>
      <c r="I385" s="25"/>
    </row>
    <row r="386" spans="1:9">
      <c r="A386" s="35" t="s">
        <v>736</v>
      </c>
      <c r="I386" s="25"/>
    </row>
    <row r="387" spans="1:9">
      <c r="A387" s="11" t="s">
        <v>696</v>
      </c>
      <c r="I387" s="25"/>
    </row>
    <row r="388" spans="1:9">
      <c r="A388" s="11" t="s">
        <v>722</v>
      </c>
      <c r="I388" s="132"/>
    </row>
    <row r="389" spans="1:9">
      <c r="A389" s="11" t="s">
        <v>726</v>
      </c>
      <c r="I389" s="132"/>
    </row>
    <row r="390" spans="1:9">
      <c r="A390" s="11" t="s">
        <v>408</v>
      </c>
      <c r="I390" s="132"/>
    </row>
    <row r="391" spans="1:9">
      <c r="A391" s="15" t="s">
        <v>691</v>
      </c>
    </row>
    <row r="392" spans="1:9">
      <c r="A392" s="15" t="s">
        <v>886</v>
      </c>
    </row>
    <row r="393" spans="1:9">
      <c r="A393" s="11" t="s">
        <v>896</v>
      </c>
    </row>
    <row r="394" spans="1:9">
      <c r="A394" s="15" t="s">
        <v>727</v>
      </c>
    </row>
    <row r="395" spans="1:9">
      <c r="A395" s="15" t="s">
        <v>902</v>
      </c>
    </row>
    <row r="396" spans="1:9">
      <c r="A396" s="15" t="s">
        <v>746</v>
      </c>
    </row>
    <row r="397" spans="1:9">
      <c r="A397" s="15" t="s">
        <v>553</v>
      </c>
    </row>
    <row r="398" spans="1:9">
      <c r="A398" s="15" t="s">
        <v>712</v>
      </c>
    </row>
    <row r="399" spans="1:9">
      <c r="A399" s="15" t="s">
        <v>899</v>
      </c>
    </row>
    <row r="400" spans="1:9">
      <c r="A400" s="15" t="s">
        <v>892</v>
      </c>
    </row>
    <row r="401" spans="1:1">
      <c r="A401" s="15" t="s">
        <v>747</v>
      </c>
    </row>
    <row r="402" spans="1:1">
      <c r="A402" s="15" t="s">
        <v>729</v>
      </c>
    </row>
    <row r="403" spans="1:1">
      <c r="A403" s="15" t="s">
        <v>880</v>
      </c>
    </row>
    <row r="404" spans="1:1">
      <c r="A404" s="15" t="s">
        <v>530</v>
      </c>
    </row>
    <row r="405" spans="1:1">
      <c r="A405" s="15" t="s">
        <v>695</v>
      </c>
    </row>
    <row r="406" spans="1:1">
      <c r="A406" s="15" t="s">
        <v>697</v>
      </c>
    </row>
    <row r="407" spans="1:1">
      <c r="A407" s="15" t="s">
        <v>699</v>
      </c>
    </row>
    <row r="408" spans="1:1">
      <c r="A408" s="15" t="s">
        <v>728</v>
      </c>
    </row>
    <row r="409" spans="1:1">
      <c r="A409" s="15" t="s">
        <v>708</v>
      </c>
    </row>
    <row r="410" spans="1:1">
      <c r="A410" s="15" t="s">
        <v>884</v>
      </c>
    </row>
    <row r="411" spans="1:1">
      <c r="A411" s="15" t="s">
        <v>694</v>
      </c>
    </row>
    <row r="412" spans="1:1">
      <c r="A412" s="15" t="s">
        <v>698</v>
      </c>
    </row>
    <row r="413" spans="1:1">
      <c r="A413" s="15" t="s">
        <v>372</v>
      </c>
    </row>
    <row r="414" spans="1:1">
      <c r="A414" s="15" t="s">
        <v>276</v>
      </c>
    </row>
    <row r="415" spans="1:1">
      <c r="A415" s="15" t="s">
        <v>883</v>
      </c>
    </row>
    <row r="416" spans="1:1">
      <c r="A416" s="15" t="s">
        <v>710</v>
      </c>
    </row>
    <row r="417" spans="1:1">
      <c r="A417" s="35" t="s">
        <v>735</v>
      </c>
    </row>
    <row r="418" spans="1:1">
      <c r="A418" s="15" t="s">
        <v>429</v>
      </c>
    </row>
    <row r="419" spans="1:1">
      <c r="A419" s="15" t="s">
        <v>734</v>
      </c>
    </row>
    <row r="420" spans="1:1">
      <c r="A420" s="15" t="s">
        <v>885</v>
      </c>
    </row>
    <row r="421" spans="1:1">
      <c r="A421" s="15" t="s">
        <v>741</v>
      </c>
    </row>
    <row r="422" spans="1:1">
      <c r="A422" s="35" t="s">
        <v>689</v>
      </c>
    </row>
    <row r="423" spans="1:1">
      <c r="A423" s="35" t="s">
        <v>714</v>
      </c>
    </row>
    <row r="424" spans="1:1">
      <c r="A424" s="35" t="s">
        <v>897</v>
      </c>
    </row>
    <row r="425" spans="1:1">
      <c r="A425" s="35" t="s">
        <v>625</v>
      </c>
    </row>
    <row r="426" spans="1:1">
      <c r="A426" s="35" t="s">
        <v>527</v>
      </c>
    </row>
    <row r="427" spans="1:1">
      <c r="A427" s="35" t="s">
        <v>701</v>
      </c>
    </row>
    <row r="428" spans="1:1">
      <c r="A428" s="35" t="s">
        <v>759</v>
      </c>
    </row>
    <row r="429" spans="1:1">
      <c r="A429" s="35" t="s">
        <v>702</v>
      </c>
    </row>
    <row r="430" spans="1:1">
      <c r="A430" s="35" t="s">
        <v>772</v>
      </c>
    </row>
    <row r="431" spans="1:1">
      <c r="A431" s="35" t="s">
        <v>760</v>
      </c>
    </row>
    <row r="432" spans="1:1">
      <c r="A432" s="35" t="s">
        <v>773</v>
      </c>
    </row>
    <row r="433" spans="1:1">
      <c r="A433" s="35" t="s">
        <v>758</v>
      </c>
    </row>
    <row r="434" spans="1:1">
      <c r="A434" s="35" t="s">
        <v>774</v>
      </c>
    </row>
    <row r="435" spans="1:1">
      <c r="A435" s="35" t="s">
        <v>775</v>
      </c>
    </row>
    <row r="436" spans="1:1">
      <c r="A436" s="35" t="s">
        <v>770</v>
      </c>
    </row>
    <row r="437" spans="1:1">
      <c r="A437" s="35" t="s">
        <v>549</v>
      </c>
    </row>
    <row r="438" spans="1:1">
      <c r="A438" s="35" t="s">
        <v>764</v>
      </c>
    </row>
    <row r="439" spans="1:1">
      <c r="A439" s="35" t="s">
        <v>766</v>
      </c>
    </row>
    <row r="440" spans="1:1">
      <c r="A440" s="35" t="s">
        <v>765</v>
      </c>
    </row>
    <row r="441" spans="1:1">
      <c r="A441" s="35" t="s">
        <v>762</v>
      </c>
    </row>
    <row r="442" spans="1:1">
      <c r="A442" s="35" t="s">
        <v>768</v>
      </c>
    </row>
    <row r="443" spans="1:1">
      <c r="A443" s="35" t="s">
        <v>626</v>
      </c>
    </row>
    <row r="444" spans="1:1">
      <c r="A444" s="35" t="s">
        <v>700</v>
      </c>
    </row>
    <row r="445" spans="1:1">
      <c r="A445" s="35" t="s">
        <v>769</v>
      </c>
    </row>
    <row r="446" spans="1:1">
      <c r="A446" s="35" t="s">
        <v>375</v>
      </c>
    </row>
    <row r="447" spans="1:1">
      <c r="A447" s="35" t="s">
        <v>629</v>
      </c>
    </row>
    <row r="448" spans="1:1">
      <c r="A448" s="35" t="s">
        <v>756</v>
      </c>
    </row>
    <row r="449" spans="1:1">
      <c r="A449" s="35" t="s">
        <v>389</v>
      </c>
    </row>
    <row r="450" spans="1:1">
      <c r="A450" s="35" t="s">
        <v>634</v>
      </c>
    </row>
    <row r="451" spans="1:1">
      <c r="A451" s="35" t="s">
        <v>615</v>
      </c>
    </row>
    <row r="452" spans="1:1">
      <c r="A452" s="35" t="s">
        <v>713</v>
      </c>
    </row>
    <row r="453" spans="1:1">
      <c r="A453" s="35" t="s">
        <v>882</v>
      </c>
    </row>
    <row r="454" spans="1:1">
      <c r="A454" s="35" t="s">
        <v>908</v>
      </c>
    </row>
    <row r="455" spans="1:1">
      <c r="A455" s="35" t="s">
        <v>707</v>
      </c>
    </row>
    <row r="456" spans="1:1">
      <c r="A456" s="35" t="s">
        <v>711</v>
      </c>
    </row>
    <row r="457" spans="1:1">
      <c r="A457" s="35" t="s">
        <v>547</v>
      </c>
    </row>
    <row r="458" spans="1:1">
      <c r="A458" s="35" t="s">
        <v>879</v>
      </c>
    </row>
    <row r="459" spans="1:1">
      <c r="A459" s="35" t="s">
        <v>627</v>
      </c>
    </row>
    <row r="460" spans="1:1">
      <c r="A460" s="35" t="s">
        <v>717</v>
      </c>
    </row>
    <row r="461" spans="1:1">
      <c r="A461" s="35" t="s">
        <v>833</v>
      </c>
    </row>
    <row r="462" spans="1:1">
      <c r="A462" s="35" t="s">
        <v>525</v>
      </c>
    </row>
    <row r="463" spans="1:1">
      <c r="A463" s="35" t="s">
        <v>834</v>
      </c>
    </row>
    <row r="464" spans="1:1">
      <c r="A464" s="35" t="s">
        <v>835</v>
      </c>
    </row>
    <row r="465" spans="1:1">
      <c r="A465" s="35" t="s">
        <v>690</v>
      </c>
    </row>
    <row r="466" spans="1:1">
      <c r="A466" s="35" t="s">
        <v>831</v>
      </c>
    </row>
    <row r="467" spans="1:1">
      <c r="A467" s="35" t="s">
        <v>826</v>
      </c>
    </row>
    <row r="468" spans="1:1">
      <c r="A468" s="35" t="s">
        <v>832</v>
      </c>
    </row>
    <row r="469" spans="1:1">
      <c r="A469" s="35" t="s">
        <v>373</v>
      </c>
    </row>
    <row r="470" spans="1:1">
      <c r="A470" s="35" t="s">
        <v>829</v>
      </c>
    </row>
    <row r="471" spans="1:1">
      <c r="A471" s="35" t="s">
        <v>825</v>
      </c>
    </row>
    <row r="472" spans="1:1">
      <c r="A472" s="35" t="s">
        <v>827</v>
      </c>
    </row>
    <row r="473" spans="1:1">
      <c r="A473" s="35" t="s">
        <v>639</v>
      </c>
    </row>
    <row r="474" spans="1:1">
      <c r="A474" s="35" t="s">
        <v>824</v>
      </c>
    </row>
    <row r="475" spans="1:1">
      <c r="A475" s="35" t="s">
        <v>466</v>
      </c>
    </row>
    <row r="476" spans="1:1">
      <c r="A476" s="35" t="s">
        <v>830</v>
      </c>
    </row>
    <row r="477" spans="1:1">
      <c r="A477" s="35" t="s">
        <v>823</v>
      </c>
    </row>
    <row r="478" spans="1:1">
      <c r="A478" s="35" t="s">
        <v>828</v>
      </c>
    </row>
    <row r="479" spans="1:1">
      <c r="A479" s="35" t="s">
        <v>821</v>
      </c>
    </row>
    <row r="480" spans="1:1">
      <c r="A480" s="35" t="s">
        <v>378</v>
      </c>
    </row>
    <row r="481" spans="1:1">
      <c r="A481" s="35" t="s">
        <v>467</v>
      </c>
    </row>
    <row r="482" spans="1:1">
      <c r="A482" s="35" t="s">
        <v>422</v>
      </c>
    </row>
    <row r="483" spans="1:1">
      <c r="A483" s="35" t="s">
        <v>836</v>
      </c>
    </row>
    <row r="484" spans="1:1">
      <c r="A484" s="35" t="s">
        <v>732</v>
      </c>
    </row>
    <row r="485" spans="1:1">
      <c r="A485" s="35" t="s">
        <v>645</v>
      </c>
    </row>
    <row r="486" spans="1:1">
      <c r="A486" s="35" t="s">
        <v>374</v>
      </c>
    </row>
    <row r="487" spans="1:1">
      <c r="A487" s="35" t="s">
        <v>810</v>
      </c>
    </row>
    <row r="488" spans="1:1">
      <c r="A488" s="35" t="s">
        <v>838</v>
      </c>
    </row>
    <row r="489" spans="1:1">
      <c r="A489" s="35" t="s">
        <v>387</v>
      </c>
    </row>
    <row r="490" spans="1:1">
      <c r="A490" s="35" t="s">
        <v>814</v>
      </c>
    </row>
    <row r="491" spans="1:1">
      <c r="A491" s="35" t="s">
        <v>468</v>
      </c>
    </row>
    <row r="492" spans="1:1">
      <c r="A492" s="35" t="s">
        <v>425</v>
      </c>
    </row>
    <row r="493" spans="1:1">
      <c r="A493" s="35" t="s">
        <v>767</v>
      </c>
    </row>
    <row r="494" spans="1:1">
      <c r="A494" s="35" t="s">
        <v>812</v>
      </c>
    </row>
    <row r="495" spans="1:1">
      <c r="A495" s="35" t="s">
        <v>813</v>
      </c>
    </row>
    <row r="496" spans="1:1">
      <c r="A496" s="35" t="s">
        <v>404</v>
      </c>
    </row>
    <row r="497" spans="1:1">
      <c r="A497" s="35" t="s">
        <v>811</v>
      </c>
    </row>
    <row r="498" spans="1:1">
      <c r="A498" s="35" t="s">
        <v>637</v>
      </c>
    </row>
    <row r="499" spans="1:1">
      <c r="A499" s="35" t="s">
        <v>192</v>
      </c>
    </row>
    <row r="500" spans="1:1">
      <c r="A500" s="35" t="s">
        <v>179</v>
      </c>
    </row>
    <row r="501" spans="1:1">
      <c r="A501" s="35" t="s">
        <v>191</v>
      </c>
    </row>
    <row r="502" spans="1:1">
      <c r="A502" s="35" t="s">
        <v>175</v>
      </c>
    </row>
    <row r="503" spans="1:1">
      <c r="A503" s="35" t="s">
        <v>186</v>
      </c>
    </row>
    <row r="504" spans="1:1">
      <c r="A504" s="35" t="s">
        <v>181</v>
      </c>
    </row>
    <row r="505" spans="1:1">
      <c r="A505" s="35" t="s">
        <v>190</v>
      </c>
    </row>
    <row r="506" spans="1:1">
      <c r="A506" s="35" t="s">
        <v>193</v>
      </c>
    </row>
    <row r="507" spans="1:1">
      <c r="A507" s="35" t="s">
        <v>188</v>
      </c>
    </row>
    <row r="508" spans="1:1">
      <c r="A508" s="35" t="s">
        <v>174</v>
      </c>
    </row>
    <row r="509" spans="1:1">
      <c r="A509" s="35" t="s">
        <v>189</v>
      </c>
    </row>
    <row r="510" spans="1:1">
      <c r="A510" s="35" t="s">
        <v>636</v>
      </c>
    </row>
    <row r="511" spans="1:1">
      <c r="A511" s="35" t="s">
        <v>709</v>
      </c>
    </row>
    <row r="512" spans="1:1">
      <c r="A512" s="35" t="s">
        <v>185</v>
      </c>
    </row>
    <row r="513" spans="1:1">
      <c r="A513" s="35" t="s">
        <v>837</v>
      </c>
    </row>
    <row r="514" spans="1:1">
      <c r="A514" s="35" t="s">
        <v>177</v>
      </c>
    </row>
    <row r="515" spans="1:1">
      <c r="A515" s="35" t="s">
        <v>182</v>
      </c>
    </row>
    <row r="516" spans="1:1">
      <c r="A516" s="35" t="s">
        <v>706</v>
      </c>
    </row>
    <row r="517" spans="1:1">
      <c r="A517" s="35" t="s">
        <v>778</v>
      </c>
    </row>
    <row r="518" spans="1:1">
      <c r="A518" s="35" t="s">
        <v>180</v>
      </c>
    </row>
    <row r="519" spans="1:1">
      <c r="A519" s="35" t="s">
        <v>184</v>
      </c>
    </row>
    <row r="520" spans="1:1">
      <c r="A520" s="35" t="s">
        <v>819</v>
      </c>
    </row>
    <row r="521" spans="1:1">
      <c r="A521" s="35" t="s">
        <v>178</v>
      </c>
    </row>
    <row r="522" spans="1:1">
      <c r="A522" s="35" t="s">
        <v>818</v>
      </c>
    </row>
    <row r="523" spans="1:1">
      <c r="A523" s="35" t="s">
        <v>183</v>
      </c>
    </row>
    <row r="524" spans="1:1">
      <c r="A524" s="35" t="s">
        <v>703</v>
      </c>
    </row>
    <row r="525" spans="1:1">
      <c r="A525" s="35" t="s">
        <v>661</v>
      </c>
    </row>
    <row r="526" spans="1:1">
      <c r="A526" s="35" t="s">
        <v>783</v>
      </c>
    </row>
    <row r="527" spans="1:1">
      <c r="A527" s="35" t="s">
        <v>909</v>
      </c>
    </row>
    <row r="528" spans="1:1">
      <c r="A528" s="35" t="s">
        <v>757</v>
      </c>
    </row>
    <row r="529" spans="1:1">
      <c r="A529" s="35" t="s">
        <v>906</v>
      </c>
    </row>
    <row r="530" spans="1:1">
      <c r="A530" s="35" t="s">
        <v>815</v>
      </c>
    </row>
    <row r="531" spans="1:1">
      <c r="A531" s="35" t="s">
        <v>737</v>
      </c>
    </row>
    <row r="532" spans="1:1">
      <c r="A532" s="35" t="s">
        <v>656</v>
      </c>
    </row>
    <row r="533" spans="1:1">
      <c r="A533" s="35" t="s">
        <v>427</v>
      </c>
    </row>
    <row r="534" spans="1:1">
      <c r="A534" s="35" t="s">
        <v>779</v>
      </c>
    </row>
    <row r="535" spans="1:1">
      <c r="A535" s="35" t="s">
        <v>781</v>
      </c>
    </row>
    <row r="536" spans="1:1">
      <c r="A536" s="35" t="s">
        <v>620</v>
      </c>
    </row>
    <row r="537" spans="1:1">
      <c r="A537" s="35" t="s">
        <v>143</v>
      </c>
    </row>
    <row r="538" spans="1:1">
      <c r="A538" s="35" t="s">
        <v>901</v>
      </c>
    </row>
    <row r="539" spans="1:1">
      <c r="A539" s="35" t="s">
        <v>144</v>
      </c>
    </row>
    <row r="540" spans="1:1">
      <c r="A540" s="35" t="s">
        <v>704</v>
      </c>
    </row>
    <row r="541" spans="1:1">
      <c r="A541" s="35" t="s">
        <v>780</v>
      </c>
    </row>
    <row r="542" spans="1:1">
      <c r="A542" s="35" t="s">
        <v>900</v>
      </c>
    </row>
    <row r="543" spans="1:1">
      <c r="A543" s="35" t="s">
        <v>171</v>
      </c>
    </row>
    <row r="544" spans="1:1">
      <c r="A544" s="35" t="s">
        <v>168</v>
      </c>
    </row>
    <row r="545" spans="1:1">
      <c r="A545" s="35" t="s">
        <v>148</v>
      </c>
    </row>
    <row r="546" spans="1:1">
      <c r="A546" s="35" t="s">
        <v>147</v>
      </c>
    </row>
    <row r="547" spans="1:1">
      <c r="A547" s="35" t="s">
        <v>157</v>
      </c>
    </row>
    <row r="548" spans="1:1">
      <c r="A548" s="35" t="s">
        <v>170</v>
      </c>
    </row>
    <row r="549" spans="1:1">
      <c r="A549" s="35" t="s">
        <v>169</v>
      </c>
    </row>
    <row r="550" spans="1:1">
      <c r="A550" s="35" t="s">
        <v>142</v>
      </c>
    </row>
    <row r="551" spans="1:1">
      <c r="A551" s="35" t="s">
        <v>155</v>
      </c>
    </row>
    <row r="552" spans="1:1">
      <c r="A552" s="35" t="s">
        <v>136</v>
      </c>
    </row>
    <row r="553" spans="1:1">
      <c r="A553" s="35" t="s">
        <v>138</v>
      </c>
    </row>
    <row r="554" spans="1:1">
      <c r="A554" s="35" t="s">
        <v>150</v>
      </c>
    </row>
    <row r="555" spans="1:1">
      <c r="A555" s="35" t="s">
        <v>146</v>
      </c>
    </row>
    <row r="556" spans="1:1">
      <c r="A556" s="35" t="s">
        <v>172</v>
      </c>
    </row>
    <row r="557" spans="1:1">
      <c r="A557" s="35" t="s">
        <v>163</v>
      </c>
    </row>
    <row r="558" spans="1:1">
      <c r="A558" s="35" t="s">
        <v>803</v>
      </c>
    </row>
    <row r="559" spans="1:1">
      <c r="A559" s="35" t="s">
        <v>158</v>
      </c>
    </row>
    <row r="560" spans="1:1">
      <c r="A560" s="35" t="s">
        <v>166</v>
      </c>
    </row>
    <row r="561" spans="1:1">
      <c r="A561" s="35" t="s">
        <v>154</v>
      </c>
    </row>
    <row r="562" spans="1:1">
      <c r="A562" s="35" t="s">
        <v>801</v>
      </c>
    </row>
    <row r="563" spans="1:1">
      <c r="A563" s="35" t="s">
        <v>855</v>
      </c>
    </row>
    <row r="564" spans="1:1">
      <c r="A564" s="35" t="s">
        <v>888</v>
      </c>
    </row>
    <row r="565" spans="1:1">
      <c r="A565" s="35" t="s">
        <v>743</v>
      </c>
    </row>
    <row r="566" spans="1:1">
      <c r="A566" s="35" t="s">
        <v>149</v>
      </c>
    </row>
    <row r="567" spans="1:1">
      <c r="A567" s="35" t="s">
        <v>590</v>
      </c>
    </row>
    <row r="568" spans="1:1">
      <c r="A568" s="35" t="s">
        <v>733</v>
      </c>
    </row>
    <row r="569" spans="1:1">
      <c r="A569" s="35" t="s">
        <v>167</v>
      </c>
    </row>
    <row r="570" spans="1:1">
      <c r="A570" s="35" t="s">
        <v>869</v>
      </c>
    </row>
    <row r="571" spans="1:1">
      <c r="A571" s="35" t="s">
        <v>889</v>
      </c>
    </row>
    <row r="572" spans="1:1">
      <c r="A572" s="35" t="s">
        <v>628</v>
      </c>
    </row>
    <row r="573" spans="1:1">
      <c r="A573" s="35" t="s">
        <v>152</v>
      </c>
    </row>
    <row r="574" spans="1:1">
      <c r="A574" s="35" t="s">
        <v>446</v>
      </c>
    </row>
    <row r="575" spans="1:1">
      <c r="A575" s="35" t="s">
        <v>763</v>
      </c>
    </row>
    <row r="576" spans="1:1">
      <c r="A576" s="35" t="s">
        <v>846</v>
      </c>
    </row>
    <row r="577" spans="1:1">
      <c r="A577" s="35" t="s">
        <v>162</v>
      </c>
    </row>
    <row r="578" spans="1:1">
      <c r="A578" s="35" t="s">
        <v>820</v>
      </c>
    </row>
    <row r="579" spans="1:1">
      <c r="A579" s="35" t="s">
        <v>804</v>
      </c>
    </row>
    <row r="580" spans="1:1">
      <c r="A580" s="35" t="s">
        <v>755</v>
      </c>
    </row>
    <row r="581" spans="1:1">
      <c r="A581" s="35" t="s">
        <v>141</v>
      </c>
    </row>
    <row r="582" spans="1:1">
      <c r="A582" s="35" t="s">
        <v>151</v>
      </c>
    </row>
    <row r="583" spans="1:1">
      <c r="A583" s="35" t="s">
        <v>153</v>
      </c>
    </row>
    <row r="584" spans="1:1">
      <c r="A584" s="35" t="s">
        <v>156</v>
      </c>
    </row>
    <row r="585" spans="1:1">
      <c r="A585" s="35" t="s">
        <v>159</v>
      </c>
    </row>
    <row r="586" spans="1:1">
      <c r="A586" s="35" t="s">
        <v>782</v>
      </c>
    </row>
    <row r="587" spans="1:1">
      <c r="A587" s="35" t="s">
        <v>160</v>
      </c>
    </row>
    <row r="588" spans="1:1">
      <c r="A588" s="35" t="s">
        <v>452</v>
      </c>
    </row>
    <row r="589" spans="1:1">
      <c r="A589" s="35" t="s">
        <v>731</v>
      </c>
    </row>
    <row r="590" spans="1:1">
      <c r="A590" s="35" t="s">
        <v>864</v>
      </c>
    </row>
    <row r="591" spans="1:1">
      <c r="A591" s="35" t="s">
        <v>845</v>
      </c>
    </row>
    <row r="592" spans="1:1">
      <c r="A592" s="35" t="s">
        <v>802</v>
      </c>
    </row>
    <row r="593" spans="1:1">
      <c r="A593" s="35" t="s">
        <v>871</v>
      </c>
    </row>
    <row r="594" spans="1:1">
      <c r="A594" s="35" t="s">
        <v>140</v>
      </c>
    </row>
    <row r="595" spans="1:1">
      <c r="A595" s="35" t="s">
        <v>847</v>
      </c>
    </row>
    <row r="596" spans="1:1">
      <c r="A596" s="35" t="s">
        <v>652</v>
      </c>
    </row>
    <row r="597" spans="1:1">
      <c r="A597" s="35" t="s">
        <v>618</v>
      </c>
    </row>
    <row r="598" spans="1:1">
      <c r="A598" s="35" t="s">
        <v>139</v>
      </c>
    </row>
    <row r="599" spans="1:1">
      <c r="A599" s="35" t="s">
        <v>800</v>
      </c>
    </row>
    <row r="600" spans="1:1">
      <c r="A600" s="35" t="s">
        <v>868</v>
      </c>
    </row>
    <row r="601" spans="1:1">
      <c r="A601" s="35" t="s">
        <v>863</v>
      </c>
    </row>
    <row r="602" spans="1:1">
      <c r="A602" s="35" t="s">
        <v>867</v>
      </c>
    </row>
    <row r="603" spans="1:1">
      <c r="A603" s="141" t="s">
        <v>382</v>
      </c>
    </row>
    <row r="604" spans="1:1">
      <c r="A604" s="141" t="s">
        <v>805</v>
      </c>
    </row>
    <row r="605" spans="1:1">
      <c r="A605" s="141" t="s">
        <v>165</v>
      </c>
    </row>
    <row r="606" spans="1:1">
      <c r="A606" s="141" t="s">
        <v>873</v>
      </c>
    </row>
    <row r="607" spans="1:1">
      <c r="A607" s="141" t="s">
        <v>145</v>
      </c>
    </row>
    <row r="608" spans="1:1">
      <c r="A608" s="141" t="s">
        <v>161</v>
      </c>
    </row>
    <row r="609" spans="1:1">
      <c r="A609" s="141" t="s">
        <v>903</v>
      </c>
    </row>
    <row r="610" spans="1:1">
      <c r="A610" s="141" t="s">
        <v>876</v>
      </c>
    </row>
    <row r="611" spans="1:1">
      <c r="A611" s="141" t="s">
        <v>807</v>
      </c>
    </row>
    <row r="612" spans="1:1">
      <c r="A612" s="141" t="s">
        <v>281</v>
      </c>
    </row>
    <row r="613" spans="1:1">
      <c r="A613" s="141" t="s">
        <v>164</v>
      </c>
    </row>
    <row r="614" spans="1:1">
      <c r="A614" s="141" t="s">
        <v>606</v>
      </c>
    </row>
    <row r="615" spans="1:1">
      <c r="A615" s="141" t="s">
        <v>555</v>
      </c>
    </row>
    <row r="616" spans="1:1">
      <c r="A616" s="141" t="s">
        <v>531</v>
      </c>
    </row>
    <row r="617" spans="1:1">
      <c r="A617" s="141" t="s">
        <v>866</v>
      </c>
    </row>
    <row r="618" spans="1:1">
      <c r="A618" s="141" t="s">
        <v>849</v>
      </c>
    </row>
    <row r="619" spans="1:1">
      <c r="A619" s="10" t="s">
        <v>376</v>
      </c>
    </row>
    <row r="620" spans="1:1">
      <c r="A620" s="141" t="s">
        <v>872</v>
      </c>
    </row>
    <row r="621" spans="1:1">
      <c r="A621" s="141" t="s">
        <v>881</v>
      </c>
    </row>
    <row r="622" spans="1:1">
      <c r="A622" s="141" t="s">
        <v>808</v>
      </c>
    </row>
    <row r="623" spans="1:1">
      <c r="A623" s="141" t="s">
        <v>859</v>
      </c>
    </row>
    <row r="624" spans="1:1">
      <c r="A624" s="141" t="s">
        <v>745</v>
      </c>
    </row>
    <row r="625" spans="1:1">
      <c r="A625" s="141" t="s">
        <v>891</v>
      </c>
    </row>
    <row r="626" spans="1:1">
      <c r="A626" s="141" t="s">
        <v>850</v>
      </c>
    </row>
    <row r="627" spans="1:1">
      <c r="A627" s="141" t="s">
        <v>817</v>
      </c>
    </row>
    <row r="628" spans="1:1">
      <c r="A628" s="141" t="s">
        <v>816</v>
      </c>
    </row>
    <row r="629" spans="1:1">
      <c r="A629" s="141" t="s">
        <v>809</v>
      </c>
    </row>
    <row r="630" spans="1:1">
      <c r="A630" s="141" t="s">
        <v>877</v>
      </c>
    </row>
    <row r="631" spans="1:1">
      <c r="A631" s="141" t="s">
        <v>798</v>
      </c>
    </row>
    <row r="632" spans="1:1">
      <c r="A632" s="141" t="s">
        <v>799</v>
      </c>
    </row>
    <row r="633" spans="1:1">
      <c r="A633" s="141" t="s">
        <v>822</v>
      </c>
    </row>
    <row r="634" spans="1:1">
      <c r="A634" s="141" t="s">
        <v>874</v>
      </c>
    </row>
    <row r="635" spans="1:1">
      <c r="A635" s="141" t="s">
        <v>796</v>
      </c>
    </row>
    <row r="636" spans="1:1">
      <c r="A636" s="141" t="s">
        <v>843</v>
      </c>
    </row>
    <row r="637" spans="1:1">
      <c r="A637" s="141" t="s">
        <v>744</v>
      </c>
    </row>
    <row r="638" spans="1:1">
      <c r="A638" s="141" t="s">
        <v>875</v>
      </c>
    </row>
    <row r="639" spans="1:1" ht="15.75" thickBot="1">
      <c r="A639" s="153" t="s">
        <v>844</v>
      </c>
    </row>
    <row r="640" spans="1:1" ht="15.75" thickBot="1">
      <c r="A640" s="153" t="s">
        <v>858</v>
      </c>
    </row>
    <row r="641" spans="1:1" ht="15.75" thickBot="1">
      <c r="A641" s="153" t="s">
        <v>848</v>
      </c>
    </row>
    <row r="668" spans="9:10">
      <c r="I668" t="s">
        <v>951</v>
      </c>
    </row>
    <row r="669" spans="9:10">
      <c r="J669" t="s">
        <v>952</v>
      </c>
    </row>
    <row r="670" spans="9:10">
      <c r="I670" s="143" t="s">
        <v>730</v>
      </c>
      <c r="J670" s="143" t="s">
        <v>565</v>
      </c>
    </row>
    <row r="671" spans="9:10">
      <c r="I671" s="143" t="s">
        <v>569</v>
      </c>
      <c r="J671" s="143" t="s">
        <v>913</v>
      </c>
    </row>
    <row r="672" spans="9:10">
      <c r="I672" s="143" t="s">
        <v>573</v>
      </c>
      <c r="J672" s="143" t="s">
        <v>914</v>
      </c>
    </row>
    <row r="673" spans="9:10">
      <c r="I673" s="143" t="s">
        <v>545</v>
      </c>
      <c r="J673" s="143" t="s">
        <v>915</v>
      </c>
    </row>
    <row r="674" spans="9:10">
      <c r="I674" s="143" t="s">
        <v>546</v>
      </c>
      <c r="J674" s="143" t="s">
        <v>361</v>
      </c>
    </row>
    <row r="675" spans="9:10">
      <c r="I675" s="143" t="s">
        <v>738</v>
      </c>
      <c r="J675" s="143" t="s">
        <v>361</v>
      </c>
    </row>
    <row r="676" spans="9:10">
      <c r="I676" s="143" t="s">
        <v>739</v>
      </c>
      <c r="J676" s="143" t="s">
        <v>400</v>
      </c>
    </row>
    <row r="677" spans="9:10">
      <c r="I677" s="143" t="s">
        <v>740</v>
      </c>
      <c r="J677" s="143" t="s">
        <v>400</v>
      </c>
    </row>
    <row r="678" spans="9:10">
      <c r="I678" s="143" t="s">
        <v>742</v>
      </c>
      <c r="J678" s="143" t="s">
        <v>400</v>
      </c>
    </row>
    <row r="679" spans="9:10">
      <c r="I679" s="143" t="s">
        <v>744</v>
      </c>
      <c r="J679" s="143" t="s">
        <v>339</v>
      </c>
    </row>
    <row r="680" spans="9:10">
      <c r="I680" s="143" t="s">
        <v>137</v>
      </c>
      <c r="J680" s="143" t="s">
        <v>564</v>
      </c>
    </row>
    <row r="681" spans="9:10">
      <c r="I681" s="143" t="s">
        <v>392</v>
      </c>
      <c r="J681" s="143" t="s">
        <v>296</v>
      </c>
    </row>
    <row r="682" spans="9:10">
      <c r="I682" s="143" t="s">
        <v>396</v>
      </c>
      <c r="J682" s="143" t="s">
        <v>354</v>
      </c>
    </row>
    <row r="683" spans="9:10">
      <c r="I683" s="143" t="s">
        <v>558</v>
      </c>
      <c r="J683" s="143" t="s">
        <v>918</v>
      </c>
    </row>
    <row r="684" spans="9:10">
      <c r="I684" s="143" t="s">
        <v>559</v>
      </c>
      <c r="J684" s="143" t="s">
        <v>339</v>
      </c>
    </row>
    <row r="685" spans="9:10">
      <c r="I685" s="143" t="s">
        <v>561</v>
      </c>
      <c r="J685" s="143" t="s">
        <v>309</v>
      </c>
    </row>
    <row r="686" spans="9:10">
      <c r="I686" s="143" t="s">
        <v>748</v>
      </c>
      <c r="J686" s="143" t="s">
        <v>919</v>
      </c>
    </row>
    <row r="687" spans="9:10">
      <c r="I687" s="143" t="s">
        <v>562</v>
      </c>
      <c r="J687" s="143" t="s">
        <v>564</v>
      </c>
    </row>
    <row r="688" spans="9:10">
      <c r="I688" s="143" t="s">
        <v>449</v>
      </c>
      <c r="J688" s="143" t="s">
        <v>564</v>
      </c>
    </row>
    <row r="689" spans="9:10">
      <c r="I689" s="143" t="s">
        <v>457</v>
      </c>
      <c r="J689" s="143" t="s">
        <v>361</v>
      </c>
    </row>
    <row r="690" spans="9:10">
      <c r="I690" s="143" t="s">
        <v>749</v>
      </c>
      <c r="J690" s="143" t="s">
        <v>354</v>
      </c>
    </row>
    <row r="691" spans="9:10">
      <c r="I691" s="143" t="s">
        <v>750</v>
      </c>
      <c r="J691" s="143" t="s">
        <v>296</v>
      </c>
    </row>
    <row r="692" spans="9:10">
      <c r="I692" s="143" t="s">
        <v>459</v>
      </c>
      <c r="J692" s="143" t="s">
        <v>920</v>
      </c>
    </row>
    <row r="693" spans="9:10">
      <c r="I693" s="143" t="s">
        <v>454</v>
      </c>
      <c r="J693" s="143" t="s">
        <v>919</v>
      </c>
    </row>
    <row r="694" spans="9:10">
      <c r="I694" s="143" t="s">
        <v>365</v>
      </c>
      <c r="J694" s="143" t="s">
        <v>921</v>
      </c>
    </row>
    <row r="695" spans="9:10">
      <c r="I695" s="143" t="s">
        <v>364</v>
      </c>
      <c r="J695" s="143" t="s">
        <v>393</v>
      </c>
    </row>
    <row r="696" spans="9:10">
      <c r="I696" s="143" t="s">
        <v>751</v>
      </c>
      <c r="J696" s="143" t="s">
        <v>922</v>
      </c>
    </row>
    <row r="697" spans="9:10">
      <c r="I697" s="143" t="s">
        <v>752</v>
      </c>
      <c r="J697" s="143" t="s">
        <v>922</v>
      </c>
    </row>
    <row r="698" spans="9:10">
      <c r="I698" s="143" t="s">
        <v>753</v>
      </c>
      <c r="J698" s="143" t="s">
        <v>923</v>
      </c>
    </row>
    <row r="699" spans="9:10">
      <c r="I699" s="143" t="s">
        <v>606</v>
      </c>
      <c r="J699" s="143" t="s">
        <v>924</v>
      </c>
    </row>
    <row r="700" spans="9:10">
      <c r="I700" s="143" t="s">
        <v>607</v>
      </c>
      <c r="J700" s="143" t="s">
        <v>395</v>
      </c>
    </row>
    <row r="701" spans="9:10">
      <c r="I701" s="143" t="s">
        <v>611</v>
      </c>
      <c r="J701" s="143" t="s">
        <v>917</v>
      </c>
    </row>
    <row r="702" spans="9:10">
      <c r="I702" s="143" t="s">
        <v>613</v>
      </c>
      <c r="J702" s="143" t="s">
        <v>911</v>
      </c>
    </row>
    <row r="703" spans="9:10">
      <c r="I703" s="143" t="s">
        <v>614</v>
      </c>
      <c r="J703" s="143" t="s">
        <v>565</v>
      </c>
    </row>
    <row r="704" spans="9:10">
      <c r="I704" s="143" t="s">
        <v>754</v>
      </c>
      <c r="J704" s="143" t="s">
        <v>403</v>
      </c>
    </row>
    <row r="705" spans="9:10">
      <c r="I705" s="143" t="s">
        <v>619</v>
      </c>
      <c r="J705" s="143" t="s">
        <v>918</v>
      </c>
    </row>
    <row r="706" spans="9:10">
      <c r="I706" s="143" t="s">
        <v>771</v>
      </c>
      <c r="J706" s="143" t="s">
        <v>927</v>
      </c>
    </row>
    <row r="707" spans="9:10">
      <c r="I707" s="143" t="s">
        <v>633</v>
      </c>
      <c r="J707" s="143" t="s">
        <v>928</v>
      </c>
    </row>
    <row r="708" spans="9:10">
      <c r="I708" s="143" t="s">
        <v>777</v>
      </c>
      <c r="J708" s="143" t="s">
        <v>931</v>
      </c>
    </row>
    <row r="709" spans="9:10">
      <c r="I709" s="143" t="s">
        <v>679</v>
      </c>
      <c r="J709" s="143" t="s">
        <v>930</v>
      </c>
    </row>
    <row r="710" spans="9:10">
      <c r="I710" s="143" t="s">
        <v>784</v>
      </c>
      <c r="J710" s="143" t="s">
        <v>377</v>
      </c>
    </row>
    <row r="711" spans="9:10">
      <c r="I711" s="143" t="s">
        <v>785</v>
      </c>
      <c r="J711" s="143" t="s">
        <v>403</v>
      </c>
    </row>
    <row r="712" spans="9:10">
      <c r="I712" s="143" t="s">
        <v>786</v>
      </c>
      <c r="J712" s="143" t="s">
        <v>328</v>
      </c>
    </row>
    <row r="713" spans="9:10">
      <c r="I713" s="143" t="s">
        <v>787</v>
      </c>
      <c r="J713" s="143" t="s">
        <v>930</v>
      </c>
    </row>
    <row r="714" spans="9:10">
      <c r="I714" s="143" t="s">
        <v>788</v>
      </c>
      <c r="J714" s="143" t="s">
        <v>930</v>
      </c>
    </row>
    <row r="715" spans="9:10">
      <c r="I715" s="143" t="s">
        <v>789</v>
      </c>
      <c r="J715" s="143" t="s">
        <v>339</v>
      </c>
    </row>
    <row r="716" spans="9:10">
      <c r="I716" s="143" t="s">
        <v>790</v>
      </c>
      <c r="J716" s="143" t="s">
        <v>912</v>
      </c>
    </row>
    <row r="717" spans="9:10">
      <c r="I717" s="143" t="s">
        <v>791</v>
      </c>
      <c r="J717" s="143" t="s">
        <v>934</v>
      </c>
    </row>
    <row r="718" spans="9:10">
      <c r="I718" s="143" t="s">
        <v>792</v>
      </c>
      <c r="J718" s="143" t="s">
        <v>393</v>
      </c>
    </row>
    <row r="719" spans="9:10">
      <c r="I719" s="143" t="s">
        <v>793</v>
      </c>
      <c r="J719" s="143" t="s">
        <v>565</v>
      </c>
    </row>
    <row r="720" spans="9:10">
      <c r="I720" s="143" t="s">
        <v>794</v>
      </c>
      <c r="J720" s="143" t="s">
        <v>377</v>
      </c>
    </row>
    <row r="721" spans="9:10">
      <c r="I721" s="143" t="s">
        <v>795</v>
      </c>
      <c r="J721" s="143" t="s">
        <v>395</v>
      </c>
    </row>
    <row r="722" spans="9:10">
      <c r="I722" s="143" t="s">
        <v>796</v>
      </c>
      <c r="J722" s="143" t="s">
        <v>918</v>
      </c>
    </row>
    <row r="723" spans="9:10">
      <c r="I723" s="143" t="s">
        <v>797</v>
      </c>
      <c r="J723" s="143" t="s">
        <v>935</v>
      </c>
    </row>
    <row r="724" spans="9:10">
      <c r="I724" s="143" t="s">
        <v>798</v>
      </c>
      <c r="J724" s="143" t="s">
        <v>920</v>
      </c>
    </row>
    <row r="725" spans="9:10">
      <c r="I725" s="143" t="s">
        <v>799</v>
      </c>
      <c r="J725" s="143" t="s">
        <v>354</v>
      </c>
    </row>
    <row r="726" spans="9:10">
      <c r="I726" s="143" t="s">
        <v>806</v>
      </c>
      <c r="J726" s="143" t="s">
        <v>937</v>
      </c>
    </row>
    <row r="727" spans="9:10">
      <c r="I727" s="143" t="s">
        <v>839</v>
      </c>
      <c r="J727" s="143" t="s">
        <v>354</v>
      </c>
    </row>
    <row r="728" spans="9:10">
      <c r="I728" s="143" t="s">
        <v>840</v>
      </c>
      <c r="J728" s="143" t="s">
        <v>354</v>
      </c>
    </row>
    <row r="729" spans="9:10">
      <c r="I729" s="143" t="s">
        <v>841</v>
      </c>
      <c r="J729" s="143" t="s">
        <v>403</v>
      </c>
    </row>
    <row r="730" spans="9:10">
      <c r="I730" s="143" t="s">
        <v>842</v>
      </c>
      <c r="J730" s="143" t="s">
        <v>916</v>
      </c>
    </row>
    <row r="731" spans="9:10">
      <c r="I731" s="143" t="s">
        <v>843</v>
      </c>
      <c r="J731" s="143" t="s">
        <v>403</v>
      </c>
    </row>
    <row r="732" spans="9:10">
      <c r="I732" s="143" t="s">
        <v>844</v>
      </c>
      <c r="J732" s="143" t="s">
        <v>354</v>
      </c>
    </row>
    <row r="733" spans="9:10">
      <c r="I733" s="143" t="s">
        <v>848</v>
      </c>
      <c r="J733" s="143" t="s">
        <v>361</v>
      </c>
    </row>
    <row r="734" spans="9:10">
      <c r="I734" s="143" t="s">
        <v>851</v>
      </c>
      <c r="J734" s="143" t="s">
        <v>306</v>
      </c>
    </row>
    <row r="735" spans="9:10">
      <c r="I735" s="143" t="s">
        <v>852</v>
      </c>
      <c r="J735" s="143" t="s">
        <v>565</v>
      </c>
    </row>
    <row r="736" spans="9:10">
      <c r="I736" s="143" t="s">
        <v>853</v>
      </c>
      <c r="J736" s="143" t="s">
        <v>911</v>
      </c>
    </row>
    <row r="737" spans="9:10">
      <c r="I737" s="143" t="s">
        <v>854</v>
      </c>
      <c r="J737" s="143" t="s">
        <v>941</v>
      </c>
    </row>
    <row r="738" spans="9:10">
      <c r="I738" s="143" t="s">
        <v>856</v>
      </c>
      <c r="J738" s="143" t="s">
        <v>565</v>
      </c>
    </row>
    <row r="739" spans="9:10">
      <c r="I739" s="143" t="s">
        <v>857</v>
      </c>
      <c r="J739" s="143" t="s">
        <v>306</v>
      </c>
    </row>
    <row r="740" spans="9:10">
      <c r="I740" s="143" t="s">
        <v>858</v>
      </c>
      <c r="J740" s="143" t="s">
        <v>339</v>
      </c>
    </row>
    <row r="741" spans="9:10">
      <c r="I741" s="143" t="s">
        <v>859</v>
      </c>
      <c r="J741" s="143" t="s">
        <v>339</v>
      </c>
    </row>
    <row r="742" spans="9:10">
      <c r="I742" s="143" t="s">
        <v>860</v>
      </c>
      <c r="J742" s="143" t="s">
        <v>354</v>
      </c>
    </row>
    <row r="743" spans="9:10">
      <c r="I743" s="143" t="s">
        <v>861</v>
      </c>
      <c r="J743" s="143" t="s">
        <v>354</v>
      </c>
    </row>
    <row r="744" spans="9:10">
      <c r="I744" s="143" t="s">
        <v>862</v>
      </c>
      <c r="J744" s="143" t="s">
        <v>354</v>
      </c>
    </row>
    <row r="745" spans="9:10">
      <c r="I745" s="143" t="s">
        <v>865</v>
      </c>
      <c r="J745" s="143" t="s">
        <v>919</v>
      </c>
    </row>
    <row r="746" spans="9:10">
      <c r="I746" s="143" t="s">
        <v>870</v>
      </c>
      <c r="J746" s="143" t="s">
        <v>361</v>
      </c>
    </row>
    <row r="747" spans="9:10">
      <c r="I747" s="143" t="s">
        <v>874</v>
      </c>
      <c r="J747" s="143" t="s">
        <v>306</v>
      </c>
    </row>
    <row r="748" spans="9:10">
      <c r="I748" s="143" t="s">
        <v>875</v>
      </c>
      <c r="J748" s="143" t="s">
        <v>354</v>
      </c>
    </row>
    <row r="749" spans="9:10">
      <c r="I749" s="143" t="s">
        <v>890</v>
      </c>
      <c r="J749" s="143" t="s">
        <v>944</v>
      </c>
    </row>
    <row r="750" spans="9:10">
      <c r="I750" s="143" t="s">
        <v>898</v>
      </c>
      <c r="J750" s="143" t="s">
        <v>947</v>
      </c>
    </row>
    <row r="751" spans="9:10">
      <c r="I751" s="143" t="s">
        <v>904</v>
      </c>
      <c r="J751" s="143" t="s">
        <v>948</v>
      </c>
    </row>
    <row r="752" spans="9:10">
      <c r="I752" s="143" t="s">
        <v>905</v>
      </c>
      <c r="J752" s="143" t="s">
        <v>948</v>
      </c>
    </row>
    <row r="753" spans="9:16">
      <c r="I753" s="143" t="s">
        <v>907</v>
      </c>
      <c r="J753" s="143" t="s">
        <v>354</v>
      </c>
    </row>
    <row r="754" spans="9:16">
      <c r="I754" s="143" t="s">
        <v>910</v>
      </c>
      <c r="J754" s="143" t="s">
        <v>949</v>
      </c>
    </row>
    <row r="755" spans="9:16">
      <c r="P755" s="149" t="s">
        <v>569</v>
      </c>
    </row>
    <row r="756" spans="9:16">
      <c r="I756" s="149" t="s">
        <v>569</v>
      </c>
      <c r="P756" s="150" t="s">
        <v>573</v>
      </c>
    </row>
    <row r="757" spans="9:16">
      <c r="I757" s="150" t="s">
        <v>573</v>
      </c>
      <c r="P757" s="149" t="s">
        <v>744</v>
      </c>
    </row>
    <row r="758" spans="9:16">
      <c r="I758" s="149" t="s">
        <v>744</v>
      </c>
      <c r="P758" s="149" t="s">
        <v>545</v>
      </c>
    </row>
    <row r="759" spans="9:16">
      <c r="I759" s="149" t="s">
        <v>545</v>
      </c>
      <c r="P759" s="149" t="s">
        <v>546</v>
      </c>
    </row>
    <row r="760" spans="9:16">
      <c r="I760" s="149" t="s">
        <v>546</v>
      </c>
      <c r="P760" s="149" t="s">
        <v>738</v>
      </c>
    </row>
    <row r="761" spans="9:16">
      <c r="I761" s="149" t="s">
        <v>738</v>
      </c>
      <c r="P761" s="149" t="s">
        <v>739</v>
      </c>
    </row>
    <row r="762" spans="9:16">
      <c r="I762" s="149" t="s">
        <v>739</v>
      </c>
      <c r="P762" s="149" t="s">
        <v>396</v>
      </c>
    </row>
    <row r="763" spans="9:16">
      <c r="I763" s="149" t="s">
        <v>396</v>
      </c>
      <c r="P763" s="149" t="s">
        <v>392</v>
      </c>
    </row>
    <row r="764" spans="9:16">
      <c r="I764" s="149" t="s">
        <v>392</v>
      </c>
      <c r="P764" s="151" t="s">
        <v>457</v>
      </c>
    </row>
    <row r="765" spans="9:16">
      <c r="I765" s="151" t="s">
        <v>457</v>
      </c>
      <c r="P765" s="149" t="s">
        <v>730</v>
      </c>
    </row>
    <row r="766" spans="9:16">
      <c r="I766" s="149" t="s">
        <v>730</v>
      </c>
      <c r="P766" s="152" t="s">
        <v>558</v>
      </c>
    </row>
    <row r="767" spans="9:16">
      <c r="I767" s="152" t="s">
        <v>558</v>
      </c>
      <c r="P767" s="152" t="s">
        <v>559</v>
      </c>
    </row>
    <row r="768" spans="9:16">
      <c r="I768" s="152" t="s">
        <v>559</v>
      </c>
      <c r="P768" s="149" t="s">
        <v>611</v>
      </c>
    </row>
    <row r="769" spans="9:16">
      <c r="I769" s="149" t="s">
        <v>611</v>
      </c>
      <c r="P769" s="149" t="s">
        <v>607</v>
      </c>
    </row>
    <row r="770" spans="9:16">
      <c r="I770" s="149" t="s">
        <v>607</v>
      </c>
      <c r="P770" s="149" t="s">
        <v>613</v>
      </c>
    </row>
    <row r="771" spans="9:16">
      <c r="I771" s="149" t="s">
        <v>613</v>
      </c>
      <c r="P771" s="149" t="s">
        <v>614</v>
      </c>
    </row>
    <row r="772" spans="9:16">
      <c r="I772" s="149" t="s">
        <v>614</v>
      </c>
      <c r="P772" s="149" t="s">
        <v>606</v>
      </c>
    </row>
    <row r="773" spans="9:16">
      <c r="I773" s="149" t="s">
        <v>606</v>
      </c>
      <c r="P773" s="149" t="s">
        <v>754</v>
      </c>
    </row>
    <row r="774" spans="9:16">
      <c r="I774" s="149" t="s">
        <v>754</v>
      </c>
      <c r="P774" s="149" t="s">
        <v>619</v>
      </c>
    </row>
    <row r="775" spans="9:16">
      <c r="I775" s="149" t="s">
        <v>619</v>
      </c>
      <c r="P775" s="149" t="s">
        <v>559</v>
      </c>
    </row>
    <row r="776" spans="9:16">
      <c r="I776" s="149" t="s">
        <v>559</v>
      </c>
      <c r="P776" s="149" t="s">
        <v>798</v>
      </c>
    </row>
    <row r="777" spans="9:16">
      <c r="I777" s="149" t="s">
        <v>798</v>
      </c>
      <c r="P777" s="149" t="s">
        <v>797</v>
      </c>
    </row>
    <row r="778" spans="9:16">
      <c r="I778" s="149" t="s">
        <v>797</v>
      </c>
      <c r="P778" s="152" t="s">
        <v>787</v>
      </c>
    </row>
    <row r="779" spans="9:16">
      <c r="I779" s="152" t="s">
        <v>787</v>
      </c>
      <c r="P779" s="149" t="s">
        <v>806</v>
      </c>
    </row>
    <row r="780" spans="9:16">
      <c r="I780" s="149" t="s">
        <v>806</v>
      </c>
      <c r="P780" s="149" t="s">
        <v>796</v>
      </c>
    </row>
    <row r="781" spans="9:16">
      <c r="I781" s="149" t="s">
        <v>796</v>
      </c>
      <c r="P781" s="149" t="s">
        <v>799</v>
      </c>
    </row>
    <row r="782" spans="9:16">
      <c r="I782" s="149" t="s">
        <v>799</v>
      </c>
      <c r="P782" s="152" t="s">
        <v>788</v>
      </c>
    </row>
    <row r="783" spans="9:16">
      <c r="I783" s="152" t="s">
        <v>788</v>
      </c>
      <c r="P783" s="152" t="s">
        <v>784</v>
      </c>
    </row>
    <row r="784" spans="9:16">
      <c r="I784" s="152" t="s">
        <v>784</v>
      </c>
      <c r="P784" s="149" t="s">
        <v>843</v>
      </c>
    </row>
    <row r="785" spans="9:16">
      <c r="I785" s="149" t="s">
        <v>843</v>
      </c>
      <c r="P785" s="149" t="s">
        <v>841</v>
      </c>
    </row>
    <row r="786" spans="9:16">
      <c r="I786" s="149" t="s">
        <v>841</v>
      </c>
      <c r="P786" s="149" t="s">
        <v>842</v>
      </c>
    </row>
    <row r="787" spans="9:16">
      <c r="I787" s="149" t="s">
        <v>842</v>
      </c>
      <c r="P787" s="149" t="s">
        <v>844</v>
      </c>
    </row>
    <row r="788" spans="9:16">
      <c r="I788" s="149" t="s">
        <v>844</v>
      </c>
      <c r="P788" s="149" t="s">
        <v>848</v>
      </c>
    </row>
    <row r="789" spans="9:16">
      <c r="I789" s="149" t="s">
        <v>848</v>
      </c>
      <c r="P789" s="149" t="s">
        <v>851</v>
      </c>
    </row>
    <row r="790" spans="9:16">
      <c r="I790" s="149" t="s">
        <v>851</v>
      </c>
      <c r="P790" s="149" t="s">
        <v>853</v>
      </c>
    </row>
    <row r="791" spans="9:16">
      <c r="I791" s="149" t="s">
        <v>853</v>
      </c>
      <c r="P791" s="149" t="s">
        <v>874</v>
      </c>
    </row>
    <row r="792" spans="9:16">
      <c r="I792" s="149" t="s">
        <v>874</v>
      </c>
      <c r="P792" s="149" t="s">
        <v>875</v>
      </c>
    </row>
    <row r="793" spans="9:16">
      <c r="I793" s="149" t="s">
        <v>875</v>
      </c>
      <c r="P793" s="149" t="s">
        <v>865</v>
      </c>
    </row>
    <row r="794" spans="9:16">
      <c r="I794" s="149" t="s">
        <v>865</v>
      </c>
      <c r="P794" s="149" t="s">
        <v>870</v>
      </c>
    </row>
    <row r="795" spans="9:16">
      <c r="I795" s="149" t="s">
        <v>870</v>
      </c>
      <c r="P795" s="149" t="s">
        <v>862</v>
      </c>
    </row>
    <row r="796" spans="9:16">
      <c r="I796" s="149" t="s">
        <v>862</v>
      </c>
      <c r="P796" s="149" t="s">
        <v>859</v>
      </c>
    </row>
    <row r="797" spans="9:16">
      <c r="I797" s="149" t="s">
        <v>859</v>
      </c>
      <c r="P797" s="149" t="s">
        <v>858</v>
      </c>
    </row>
    <row r="798" spans="9:16">
      <c r="I798" s="149" t="s">
        <v>858</v>
      </c>
      <c r="P798" s="149" t="s">
        <v>861</v>
      </c>
    </row>
    <row r="799" spans="9:16">
      <c r="I799" s="149" t="s">
        <v>861</v>
      </c>
      <c r="P799" s="149" t="s">
        <v>860</v>
      </c>
    </row>
    <row r="800" spans="9:16">
      <c r="I800" s="149" t="s">
        <v>860</v>
      </c>
    </row>
    <row r="801" spans="9:17">
      <c r="I801" s="147"/>
    </row>
    <row r="802" spans="9:17">
      <c r="I802" s="147"/>
    </row>
    <row r="803" spans="9:17">
      <c r="I803" s="147"/>
    </row>
    <row r="804" spans="9:17">
      <c r="I804" s="147"/>
    </row>
    <row r="805" spans="9:17">
      <c r="L805" t="s">
        <v>953</v>
      </c>
    </row>
    <row r="806" spans="9:17">
      <c r="L806" s="143" t="s">
        <v>730</v>
      </c>
    </row>
    <row r="807" spans="9:17">
      <c r="L807" s="143" t="s">
        <v>569</v>
      </c>
    </row>
    <row r="808" spans="9:17">
      <c r="L808" s="143" t="s">
        <v>573</v>
      </c>
    </row>
    <row r="809" spans="9:17">
      <c r="L809" s="143" t="s">
        <v>545</v>
      </c>
    </row>
    <row r="810" spans="9:17">
      <c r="L810" s="143" t="s">
        <v>546</v>
      </c>
    </row>
    <row r="811" spans="9:17">
      <c r="L811" s="143" t="s">
        <v>738</v>
      </c>
    </row>
    <row r="812" spans="9:17">
      <c r="L812" s="143" t="s">
        <v>739</v>
      </c>
    </row>
    <row r="813" spans="9:17">
      <c r="L813" s="143" t="s">
        <v>740</v>
      </c>
      <c r="Q813" s="143" t="s">
        <v>740</v>
      </c>
    </row>
    <row r="814" spans="9:17">
      <c r="L814" s="143" t="s">
        <v>742</v>
      </c>
      <c r="Q814" s="143" t="s">
        <v>742</v>
      </c>
    </row>
    <row r="815" spans="9:17">
      <c r="L815" s="143" t="s">
        <v>744</v>
      </c>
      <c r="Q815" s="143" t="s">
        <v>137</v>
      </c>
    </row>
    <row r="816" spans="9:17">
      <c r="L816" s="143" t="s">
        <v>137</v>
      </c>
      <c r="Q816" s="143" t="s">
        <v>558</v>
      </c>
    </row>
    <row r="817" spans="12:17">
      <c r="L817" s="143" t="s">
        <v>392</v>
      </c>
      <c r="Q817" s="143" t="s">
        <v>561</v>
      </c>
    </row>
    <row r="818" spans="12:17">
      <c r="L818" s="143" t="s">
        <v>396</v>
      </c>
      <c r="Q818" s="143" t="s">
        <v>748</v>
      </c>
    </row>
    <row r="819" spans="12:17">
      <c r="L819" s="143" t="s">
        <v>558</v>
      </c>
      <c r="Q819" s="143" t="s">
        <v>562</v>
      </c>
    </row>
    <row r="820" spans="12:17">
      <c r="L820" s="143" t="s">
        <v>559</v>
      </c>
      <c r="Q820" s="143" t="s">
        <v>449</v>
      </c>
    </row>
    <row r="821" spans="12:17">
      <c r="L821" s="143" t="s">
        <v>561</v>
      </c>
      <c r="Q821" s="143" t="s">
        <v>457</v>
      </c>
    </row>
    <row r="822" spans="12:17">
      <c r="L822" s="143" t="s">
        <v>748</v>
      </c>
      <c r="Q822" s="143" t="s">
        <v>749</v>
      </c>
    </row>
    <row r="823" spans="12:17">
      <c r="L823" s="143" t="s">
        <v>562</v>
      </c>
      <c r="Q823" s="143" t="s">
        <v>750</v>
      </c>
    </row>
    <row r="824" spans="12:17">
      <c r="L824" s="143" t="s">
        <v>449</v>
      </c>
      <c r="Q824" s="143" t="s">
        <v>459</v>
      </c>
    </row>
    <row r="825" spans="12:17">
      <c r="L825" s="143" t="s">
        <v>457</v>
      </c>
      <c r="Q825" s="143" t="s">
        <v>454</v>
      </c>
    </row>
    <row r="826" spans="12:17">
      <c r="L826" s="143" t="s">
        <v>749</v>
      </c>
      <c r="Q826" s="143" t="s">
        <v>365</v>
      </c>
    </row>
    <row r="827" spans="12:17">
      <c r="L827" s="143" t="s">
        <v>750</v>
      </c>
      <c r="Q827" s="143" t="s">
        <v>364</v>
      </c>
    </row>
    <row r="828" spans="12:17">
      <c r="L828" s="143" t="s">
        <v>459</v>
      </c>
      <c r="Q828" s="143" t="s">
        <v>751</v>
      </c>
    </row>
    <row r="829" spans="12:17">
      <c r="L829" s="143" t="s">
        <v>454</v>
      </c>
      <c r="Q829" s="143" t="s">
        <v>752</v>
      </c>
    </row>
    <row r="830" spans="12:17">
      <c r="L830" s="143" t="s">
        <v>365</v>
      </c>
      <c r="Q830" s="143" t="s">
        <v>753</v>
      </c>
    </row>
    <row r="831" spans="12:17">
      <c r="L831" s="143" t="s">
        <v>364</v>
      </c>
      <c r="Q831" s="143" t="s">
        <v>771</v>
      </c>
    </row>
    <row r="832" spans="12:17">
      <c r="L832" s="143" t="s">
        <v>751</v>
      </c>
      <c r="Q832" s="143" t="s">
        <v>633</v>
      </c>
    </row>
    <row r="833" spans="12:17">
      <c r="L833" s="143" t="s">
        <v>752</v>
      </c>
      <c r="Q833" s="143" t="s">
        <v>777</v>
      </c>
    </row>
    <row r="834" spans="12:17">
      <c r="L834" s="143" t="s">
        <v>753</v>
      </c>
      <c r="Q834" s="143" t="s">
        <v>679</v>
      </c>
    </row>
    <row r="835" spans="12:17">
      <c r="L835" s="143" t="s">
        <v>606</v>
      </c>
      <c r="Q835" s="143" t="s">
        <v>789</v>
      </c>
    </row>
    <row r="836" spans="12:17">
      <c r="L836" s="143" t="s">
        <v>607</v>
      </c>
      <c r="Q836" s="143" t="s">
        <v>790</v>
      </c>
    </row>
    <row r="837" spans="12:17">
      <c r="L837" s="143" t="s">
        <v>611</v>
      </c>
      <c r="Q837" s="143" t="s">
        <v>791</v>
      </c>
    </row>
    <row r="838" spans="12:17">
      <c r="L838" s="143" t="s">
        <v>613</v>
      </c>
      <c r="Q838" s="143" t="s">
        <v>792</v>
      </c>
    </row>
    <row r="839" spans="12:17">
      <c r="L839" s="143" t="s">
        <v>614</v>
      </c>
      <c r="Q839" s="143" t="s">
        <v>793</v>
      </c>
    </row>
    <row r="840" spans="12:17">
      <c r="L840" s="143" t="s">
        <v>754</v>
      </c>
      <c r="Q840" s="143" t="s">
        <v>839</v>
      </c>
    </row>
    <row r="841" spans="12:17">
      <c r="L841" s="143" t="s">
        <v>619</v>
      </c>
      <c r="Q841" s="143" t="s">
        <v>840</v>
      </c>
    </row>
    <row r="842" spans="12:17">
      <c r="L842" s="143" t="s">
        <v>771</v>
      </c>
      <c r="Q842" s="143" t="s">
        <v>854</v>
      </c>
    </row>
    <row r="843" spans="12:17">
      <c r="L843" s="143" t="s">
        <v>633</v>
      </c>
      <c r="Q843" s="143" t="s">
        <v>856</v>
      </c>
    </row>
    <row r="844" spans="12:17">
      <c r="L844" s="143" t="s">
        <v>777</v>
      </c>
      <c r="Q844" s="143" t="s">
        <v>890</v>
      </c>
    </row>
    <row r="845" spans="12:17">
      <c r="L845" s="143" t="s">
        <v>679</v>
      </c>
      <c r="Q845" s="143" t="s">
        <v>898</v>
      </c>
    </row>
    <row r="846" spans="12:17">
      <c r="L846" s="143" t="s">
        <v>784</v>
      </c>
      <c r="Q846" s="143" t="s">
        <v>904</v>
      </c>
    </row>
    <row r="847" spans="12:17">
      <c r="L847" s="143" t="s">
        <v>785</v>
      </c>
      <c r="Q847" s="143" t="s">
        <v>905</v>
      </c>
    </row>
    <row r="848" spans="12:17">
      <c r="L848" s="143" t="s">
        <v>786</v>
      </c>
      <c r="Q848" s="143" t="s">
        <v>907</v>
      </c>
    </row>
    <row r="849" spans="12:17">
      <c r="L849" s="143" t="s">
        <v>787</v>
      </c>
      <c r="Q849" s="143" t="s">
        <v>910</v>
      </c>
    </row>
    <row r="850" spans="12:17">
      <c r="L850" s="143" t="s">
        <v>788</v>
      </c>
    </row>
    <row r="851" spans="12:17">
      <c r="L851" s="143" t="s">
        <v>789</v>
      </c>
    </row>
    <row r="852" spans="12:17">
      <c r="L852" s="143" t="s">
        <v>790</v>
      </c>
    </row>
    <row r="853" spans="12:17">
      <c r="L853" s="143" t="s">
        <v>791</v>
      </c>
    </row>
    <row r="854" spans="12:17">
      <c r="L854" s="143" t="s">
        <v>792</v>
      </c>
    </row>
    <row r="855" spans="12:17">
      <c r="L855" s="143" t="s">
        <v>793</v>
      </c>
    </row>
    <row r="856" spans="12:17">
      <c r="L856" s="143" t="s">
        <v>794</v>
      </c>
    </row>
    <row r="857" spans="12:17">
      <c r="L857" s="143" t="s">
        <v>795</v>
      </c>
    </row>
    <row r="858" spans="12:17">
      <c r="L858" s="143" t="s">
        <v>796</v>
      </c>
    </row>
    <row r="859" spans="12:17">
      <c r="L859" s="143" t="s">
        <v>797</v>
      </c>
    </row>
    <row r="860" spans="12:17">
      <c r="L860" s="143" t="s">
        <v>798</v>
      </c>
    </row>
    <row r="861" spans="12:17">
      <c r="L861" s="143" t="s">
        <v>799</v>
      </c>
    </row>
    <row r="862" spans="12:17">
      <c r="L862" s="143" t="s">
        <v>806</v>
      </c>
    </row>
    <row r="863" spans="12:17">
      <c r="L863" s="143" t="s">
        <v>839</v>
      </c>
    </row>
    <row r="864" spans="12:17">
      <c r="L864" s="143" t="s">
        <v>840</v>
      </c>
    </row>
    <row r="865" spans="12:12">
      <c r="L865" s="143" t="s">
        <v>841</v>
      </c>
    </row>
    <row r="866" spans="12:12">
      <c r="L866" s="143" t="s">
        <v>842</v>
      </c>
    </row>
    <row r="867" spans="12:12">
      <c r="L867" s="143" t="s">
        <v>843</v>
      </c>
    </row>
    <row r="868" spans="12:12">
      <c r="L868" s="143" t="s">
        <v>844</v>
      </c>
    </row>
    <row r="869" spans="12:12">
      <c r="L869" s="143" t="s">
        <v>848</v>
      </c>
    </row>
    <row r="870" spans="12:12">
      <c r="L870" s="143" t="s">
        <v>851</v>
      </c>
    </row>
    <row r="871" spans="12:12">
      <c r="L871" s="143" t="s">
        <v>852</v>
      </c>
    </row>
    <row r="872" spans="12:12">
      <c r="L872" s="143" t="s">
        <v>853</v>
      </c>
    </row>
    <row r="873" spans="12:12">
      <c r="L873" s="143" t="s">
        <v>854</v>
      </c>
    </row>
    <row r="874" spans="12:12">
      <c r="L874" s="143" t="s">
        <v>856</v>
      </c>
    </row>
    <row r="875" spans="12:12">
      <c r="L875" s="143" t="s">
        <v>857</v>
      </c>
    </row>
    <row r="876" spans="12:12">
      <c r="L876" s="143" t="s">
        <v>858</v>
      </c>
    </row>
    <row r="877" spans="12:12">
      <c r="L877" s="143" t="s">
        <v>859</v>
      </c>
    </row>
    <row r="878" spans="12:12">
      <c r="L878" s="143" t="s">
        <v>860</v>
      </c>
    </row>
    <row r="879" spans="12:12">
      <c r="L879" s="143" t="s">
        <v>861</v>
      </c>
    </row>
    <row r="880" spans="12:12">
      <c r="L880" s="143" t="s">
        <v>862</v>
      </c>
    </row>
    <row r="881" spans="12:12">
      <c r="L881" s="143" t="s">
        <v>865</v>
      </c>
    </row>
    <row r="882" spans="12:12">
      <c r="L882" s="143" t="s">
        <v>870</v>
      </c>
    </row>
    <row r="883" spans="12:12">
      <c r="L883" s="143" t="s">
        <v>874</v>
      </c>
    </row>
    <row r="884" spans="12:12">
      <c r="L884" s="143" t="s">
        <v>875</v>
      </c>
    </row>
    <row r="885" spans="12:12">
      <c r="L885" s="143" t="s">
        <v>890</v>
      </c>
    </row>
    <row r="886" spans="12:12">
      <c r="L886" s="143" t="s">
        <v>898</v>
      </c>
    </row>
    <row r="887" spans="12:12">
      <c r="L887" s="143" t="s">
        <v>904</v>
      </c>
    </row>
    <row r="888" spans="12:12">
      <c r="L888" s="143" t="s">
        <v>905</v>
      </c>
    </row>
    <row r="889" spans="12:12">
      <c r="L889" s="143" t="s">
        <v>907</v>
      </c>
    </row>
    <row r="890" spans="12:12">
      <c r="L890" s="143" t="s">
        <v>910</v>
      </c>
    </row>
    <row r="892" spans="12:12">
      <c r="L892" s="146" t="s">
        <v>569</v>
      </c>
    </row>
    <row r="893" spans="12:12">
      <c r="L893" s="147" t="s">
        <v>573</v>
      </c>
    </row>
    <row r="894" spans="12:12">
      <c r="L894" s="146" t="s">
        <v>744</v>
      </c>
    </row>
    <row r="895" spans="12:12">
      <c r="L895" s="146" t="s">
        <v>545</v>
      </c>
    </row>
    <row r="896" spans="12:12">
      <c r="L896" s="146" t="s">
        <v>546</v>
      </c>
    </row>
    <row r="897" spans="12:12">
      <c r="L897" s="146" t="s">
        <v>738</v>
      </c>
    </row>
    <row r="898" spans="12:12">
      <c r="L898" s="146" t="s">
        <v>739</v>
      </c>
    </row>
    <row r="899" spans="12:12">
      <c r="L899" s="146" t="s">
        <v>392</v>
      </c>
    </row>
    <row r="900" spans="12:12">
      <c r="L900" s="146" t="s">
        <v>396</v>
      </c>
    </row>
    <row r="901" spans="12:12">
      <c r="L901" s="146" t="s">
        <v>730</v>
      </c>
    </row>
    <row r="902" spans="12:12">
      <c r="L902" s="146" t="s">
        <v>611</v>
      </c>
    </row>
    <row r="903" spans="12:12">
      <c r="L903" s="146" t="s">
        <v>607</v>
      </c>
    </row>
    <row r="904" spans="12:12">
      <c r="L904" s="146" t="s">
        <v>613</v>
      </c>
    </row>
    <row r="905" spans="12:12">
      <c r="L905" s="146" t="s">
        <v>614</v>
      </c>
    </row>
    <row r="906" spans="12:12">
      <c r="L906" s="146" t="s">
        <v>606</v>
      </c>
    </row>
    <row r="907" spans="12:12">
      <c r="L907" s="146" t="s">
        <v>754</v>
      </c>
    </row>
    <row r="908" spans="12:12">
      <c r="L908" s="146" t="s">
        <v>619</v>
      </c>
    </row>
    <row r="909" spans="12:12">
      <c r="L909" s="146" t="s">
        <v>559</v>
      </c>
    </row>
    <row r="910" spans="12:12">
      <c r="L910" s="146" t="s">
        <v>806</v>
      </c>
    </row>
    <row r="911" spans="12:12">
      <c r="L911" s="148" t="s">
        <v>795</v>
      </c>
    </row>
    <row r="912" spans="12:12">
      <c r="L912" s="148" t="s">
        <v>794</v>
      </c>
    </row>
    <row r="913" spans="12:12">
      <c r="L913" s="146" t="s">
        <v>798</v>
      </c>
    </row>
    <row r="914" spans="12:12">
      <c r="L914" s="146" t="s">
        <v>797</v>
      </c>
    </row>
    <row r="915" spans="12:12">
      <c r="L915" s="29" t="s">
        <v>787</v>
      </c>
    </row>
    <row r="916" spans="12:12">
      <c r="L916" s="146" t="s">
        <v>796</v>
      </c>
    </row>
    <row r="917" spans="12:12">
      <c r="L917" s="148" t="s">
        <v>784</v>
      </c>
    </row>
    <row r="918" spans="12:12">
      <c r="L918" s="148" t="s">
        <v>785</v>
      </c>
    </row>
    <row r="919" spans="12:12">
      <c r="L919" s="148" t="s">
        <v>786</v>
      </c>
    </row>
    <row r="920" spans="12:12">
      <c r="L920" s="146" t="s">
        <v>799</v>
      </c>
    </row>
    <row r="921" spans="12:12">
      <c r="L921" s="29" t="s">
        <v>788</v>
      </c>
    </row>
    <row r="922" spans="12:12">
      <c r="L922" s="29" t="s">
        <v>784</v>
      </c>
    </row>
    <row r="923" spans="12:12">
      <c r="L923" s="146" t="s">
        <v>843</v>
      </c>
    </row>
    <row r="924" spans="12:12">
      <c r="L924" s="146" t="s">
        <v>841</v>
      </c>
    </row>
    <row r="925" spans="12:12">
      <c r="L925" s="146" t="s">
        <v>842</v>
      </c>
    </row>
    <row r="926" spans="12:12">
      <c r="L926" s="146" t="s">
        <v>844</v>
      </c>
    </row>
    <row r="927" spans="12:12">
      <c r="L927" s="146" t="s">
        <v>848</v>
      </c>
    </row>
    <row r="928" spans="12:12">
      <c r="L928" s="148" t="s">
        <v>851</v>
      </c>
    </row>
    <row r="929" spans="12:12">
      <c r="L929" s="148" t="s">
        <v>852</v>
      </c>
    </row>
    <row r="930" spans="12:12">
      <c r="L930" s="148" t="s">
        <v>853</v>
      </c>
    </row>
    <row r="931" spans="12:12">
      <c r="L931" s="146" t="s">
        <v>874</v>
      </c>
    </row>
    <row r="932" spans="12:12">
      <c r="L932" s="146" t="s">
        <v>862</v>
      </c>
    </row>
    <row r="933" spans="12:12">
      <c r="L933" s="146" t="s">
        <v>865</v>
      </c>
    </row>
    <row r="934" spans="12:12">
      <c r="L934" s="146" t="s">
        <v>870</v>
      </c>
    </row>
    <row r="935" spans="12:12">
      <c r="L935" s="146" t="s">
        <v>875</v>
      </c>
    </row>
    <row r="936" spans="12:12">
      <c r="L936" s="146" t="s">
        <v>859</v>
      </c>
    </row>
    <row r="937" spans="12:12">
      <c r="L937" s="146" t="s">
        <v>858</v>
      </c>
    </row>
    <row r="938" spans="12:12">
      <c r="L938" s="146" t="s">
        <v>860</v>
      </c>
    </row>
    <row r="939" spans="12:12">
      <c r="L939" s="146" t="s">
        <v>861</v>
      </c>
    </row>
    <row r="940" spans="12:12">
      <c r="L940" s="146" t="s">
        <v>857</v>
      </c>
    </row>
  </sheetData>
  <autoFilter ref="A10:MO361" xr:uid="{0F3254E6-8756-4245-8C9F-8ACF68D28324}">
    <filterColumn colId="0">
      <colorFilter dxfId="233"/>
    </filterColumn>
    <sortState xmlns:xlrd2="http://schemas.microsoft.com/office/spreadsheetml/2017/richdata2" ref="A12:MO361">
      <sortCondition ref="A10"/>
    </sortState>
  </autoFilter>
  <mergeCells count="2">
    <mergeCell ref="A9:A10"/>
    <mergeCell ref="B9:B10"/>
  </mergeCells>
  <conditionalFormatting sqref="A11:A361">
    <cfRule type="duplicateValues" dxfId="110" priority="144"/>
    <cfRule type="duplicateValues" dxfId="109" priority="122"/>
    <cfRule type="duplicateValues" dxfId="108" priority="111"/>
  </conditionalFormatting>
  <conditionalFormatting sqref="A11:A363">
    <cfRule type="duplicateValues" dxfId="107" priority="83"/>
    <cfRule type="duplicateValues" dxfId="106" priority="133"/>
  </conditionalFormatting>
  <conditionalFormatting sqref="A11:A641">
    <cfRule type="duplicateValues" dxfId="105" priority="1"/>
  </conditionalFormatting>
  <conditionalFormatting sqref="A364:A613">
    <cfRule type="duplicateValues" dxfId="104" priority="11"/>
  </conditionalFormatting>
  <conditionalFormatting sqref="A508:A641">
    <cfRule type="duplicateValues" dxfId="103" priority="3"/>
  </conditionalFormatting>
  <conditionalFormatting sqref="A614:A618 A620:A641">
    <cfRule type="duplicateValues" dxfId="102" priority="2"/>
  </conditionalFormatting>
  <conditionalFormatting sqref="A620:A641 A364:A618">
    <cfRule type="duplicateValues" dxfId="101" priority="4"/>
    <cfRule type="duplicateValues" dxfId="100" priority="5"/>
    <cfRule type="duplicateValues" dxfId="99" priority="6"/>
    <cfRule type="duplicateValues" dxfId="98" priority="7"/>
    <cfRule type="duplicateValues" dxfId="97" priority="8"/>
    <cfRule type="duplicateValues" dxfId="96" priority="9"/>
    <cfRule type="duplicateValues" dxfId="95" priority="10"/>
    <cfRule type="duplicateValues" dxfId="94" priority="12"/>
  </conditionalFormatting>
  <conditionalFormatting sqref="I8:I269">
    <cfRule type="duplicateValues" dxfId="93" priority="108"/>
    <cfRule type="duplicateValues" dxfId="92" priority="107"/>
    <cfRule type="duplicateValues" dxfId="91" priority="110"/>
    <cfRule type="duplicateValues" dxfId="90" priority="109"/>
  </conditionalFormatting>
  <conditionalFormatting sqref="I278:I387">
    <cfRule type="duplicateValues" dxfId="89" priority="106"/>
  </conditionalFormatting>
  <conditionalFormatting sqref="I278:I390 I8:I269">
    <cfRule type="duplicateValues" dxfId="88" priority="95"/>
  </conditionalFormatting>
  <conditionalFormatting sqref="I326">
    <cfRule type="duplicateValues" dxfId="87" priority="105"/>
    <cfRule type="duplicateValues" dxfId="86" priority="104"/>
  </conditionalFormatting>
  <conditionalFormatting sqref="I337">
    <cfRule type="duplicateValues" dxfId="85" priority="103"/>
    <cfRule type="duplicateValues" dxfId="84" priority="102"/>
  </conditionalFormatting>
  <conditionalFormatting sqref="I338:I342">
    <cfRule type="duplicateValues" dxfId="83" priority="101"/>
    <cfRule type="duplicateValues" dxfId="82" priority="100"/>
  </conditionalFormatting>
  <conditionalFormatting sqref="I355">
    <cfRule type="duplicateValues" dxfId="81" priority="98"/>
    <cfRule type="duplicateValues" dxfId="80" priority="99"/>
  </conditionalFormatting>
  <conditionalFormatting sqref="I356:I387">
    <cfRule type="duplicateValues" dxfId="79" priority="97"/>
    <cfRule type="duplicateValues" dxfId="78" priority="96"/>
  </conditionalFormatting>
  <conditionalFormatting sqref="I670:I754">
    <cfRule type="duplicateValues" dxfId="77" priority="702"/>
    <cfRule type="duplicateValues" dxfId="76" priority="699"/>
    <cfRule type="duplicateValues" dxfId="75" priority="698"/>
  </conditionalFormatting>
  <conditionalFormatting sqref="I756:I800 I670:I754">
    <cfRule type="duplicateValues" dxfId="74" priority="13"/>
  </conditionalFormatting>
  <conditionalFormatting sqref="I765">
    <cfRule type="duplicateValues" dxfId="73" priority="31"/>
  </conditionalFormatting>
  <conditionalFormatting sqref="I767:I768">
    <cfRule type="duplicateValues" dxfId="72" priority="14"/>
    <cfRule type="duplicateValues" dxfId="71" priority="15"/>
    <cfRule type="duplicateValues" dxfId="70" priority="16"/>
  </conditionalFormatting>
  <conditionalFormatting sqref="I779">
    <cfRule type="duplicateValues" dxfId="69" priority="21"/>
    <cfRule type="duplicateValues" dxfId="68" priority="22"/>
    <cfRule type="duplicateValues" dxfId="67" priority="23"/>
  </conditionalFormatting>
  <conditionalFormatting sqref="I783">
    <cfRule type="duplicateValues" dxfId="66" priority="26"/>
    <cfRule type="duplicateValues" dxfId="65" priority="24"/>
    <cfRule type="duplicateValues" dxfId="64" priority="25"/>
  </conditionalFormatting>
  <conditionalFormatting sqref="I784">
    <cfRule type="duplicateValues" dxfId="63" priority="27"/>
    <cfRule type="duplicateValues" dxfId="62" priority="28"/>
    <cfRule type="duplicateValues" dxfId="61" priority="29"/>
  </conditionalFormatting>
  <conditionalFormatting sqref="I793">
    <cfRule type="duplicateValues" dxfId="60" priority="20"/>
  </conditionalFormatting>
  <conditionalFormatting sqref="I794:I795 I785:I792 I797:I798 I769:I778 I766 I756:I764 I780:I782">
    <cfRule type="duplicateValues" dxfId="59" priority="30"/>
  </conditionalFormatting>
  <conditionalFormatting sqref="I796">
    <cfRule type="duplicateValues" dxfId="58" priority="19"/>
  </conditionalFormatting>
  <conditionalFormatting sqref="I799">
    <cfRule type="duplicateValues" dxfId="57" priority="18"/>
  </conditionalFormatting>
  <conditionalFormatting sqref="I800">
    <cfRule type="duplicateValues" dxfId="56" priority="17"/>
  </conditionalFormatting>
  <conditionalFormatting sqref="I801:I804">
    <cfRule type="duplicateValues" dxfId="55" priority="77"/>
  </conditionalFormatting>
  <conditionalFormatting sqref="L806:L890">
    <cfRule type="duplicateValues" dxfId="54" priority="65"/>
    <cfRule type="duplicateValues" dxfId="53" priority="67"/>
    <cfRule type="duplicateValues" dxfId="52" priority="66"/>
  </conditionalFormatting>
  <conditionalFormatting sqref="L892:L914 L923:L940 L916:L920">
    <cfRule type="duplicateValues" dxfId="51" priority="64"/>
  </conditionalFormatting>
  <conditionalFormatting sqref="L892:L940 L806:L890">
    <cfRule type="duplicateValues" dxfId="50" priority="54"/>
  </conditionalFormatting>
  <conditionalFormatting sqref="L915">
    <cfRule type="duplicateValues" dxfId="49" priority="57"/>
    <cfRule type="duplicateValues" dxfId="48" priority="56"/>
    <cfRule type="duplicateValues" dxfId="47" priority="55"/>
  </conditionalFormatting>
  <conditionalFormatting sqref="L921">
    <cfRule type="duplicateValues" dxfId="46" priority="59"/>
    <cfRule type="duplicateValues" dxfId="45" priority="60"/>
    <cfRule type="duplicateValues" dxfId="44" priority="58"/>
  </conditionalFormatting>
  <conditionalFormatting sqref="L922">
    <cfRule type="duplicateValues" dxfId="43" priority="63"/>
    <cfRule type="duplicateValues" dxfId="42" priority="62"/>
    <cfRule type="duplicateValues" dxfId="41" priority="61"/>
  </conditionalFormatting>
  <conditionalFormatting sqref="P764">
    <cfRule type="duplicateValues" dxfId="40" priority="49"/>
  </conditionalFormatting>
  <conditionalFormatting sqref="P766:P767">
    <cfRule type="duplicateValues" dxfId="39" priority="34"/>
    <cfRule type="duplicateValues" dxfId="38" priority="33"/>
    <cfRule type="duplicateValues" dxfId="37" priority="32"/>
  </conditionalFormatting>
  <conditionalFormatting sqref="P778">
    <cfRule type="duplicateValues" dxfId="36" priority="40"/>
    <cfRule type="duplicateValues" dxfId="35" priority="41"/>
    <cfRule type="duplicateValues" dxfId="34" priority="39"/>
  </conditionalFormatting>
  <conditionalFormatting sqref="P782">
    <cfRule type="duplicateValues" dxfId="33" priority="42"/>
    <cfRule type="duplicateValues" dxfId="32" priority="44"/>
    <cfRule type="duplicateValues" dxfId="31" priority="43"/>
  </conditionalFormatting>
  <conditionalFormatting sqref="P783">
    <cfRule type="duplicateValues" dxfId="30" priority="47"/>
    <cfRule type="duplicateValues" dxfId="29" priority="46"/>
    <cfRule type="duplicateValues" dxfId="28" priority="45"/>
  </conditionalFormatting>
  <conditionalFormatting sqref="P792">
    <cfRule type="duplicateValues" dxfId="27" priority="38"/>
  </conditionalFormatting>
  <conditionalFormatting sqref="P793:P794 P784:P791 P796:P797 P768:P777 P765 P755:P763 P779:P781">
    <cfRule type="duplicateValues" dxfId="26" priority="48"/>
  </conditionalFormatting>
  <conditionalFormatting sqref="P795">
    <cfRule type="duplicateValues" dxfId="25" priority="37"/>
  </conditionalFormatting>
  <conditionalFormatting sqref="P798">
    <cfRule type="duplicateValues" dxfId="24" priority="36"/>
  </conditionalFormatting>
  <conditionalFormatting sqref="P799">
    <cfRule type="duplicateValues" dxfId="23" priority="35"/>
  </conditionalFormatting>
  <conditionalFormatting sqref="Q813:Q849">
    <cfRule type="duplicateValues" dxfId="22" priority="52"/>
    <cfRule type="duplicateValues" dxfId="21" priority="51"/>
    <cfRule type="duplicateValues" dxfId="20" priority="50"/>
    <cfRule type="duplicateValues" dxfId="19" priority="53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9FC91-84AD-4F82-A84F-B1311429AE39}">
  <sheetPr codeName="Sheet18" filterMode="1"/>
  <dimension ref="B3:B380"/>
  <sheetViews>
    <sheetView workbookViewId="0">
      <selection activeCell="B12" sqref="B12:B265"/>
    </sheetView>
  </sheetViews>
  <sheetFormatPr defaultRowHeight="15"/>
  <sheetData>
    <row r="3" spans="2:2">
      <c r="B3" t="s">
        <v>954</v>
      </c>
    </row>
    <row r="4" spans="2:2" hidden="1">
      <c r="B4" t="s">
        <v>689</v>
      </c>
    </row>
    <row r="5" spans="2:2" hidden="1">
      <c r="B5" t="s">
        <v>714</v>
      </c>
    </row>
    <row r="6" spans="2:2" hidden="1">
      <c r="B6" t="s">
        <v>523</v>
      </c>
    </row>
    <row r="7" spans="2:2" hidden="1">
      <c r="B7" t="s">
        <v>524</v>
      </c>
    </row>
    <row r="8" spans="2:2" hidden="1">
      <c r="B8" t="s">
        <v>525</v>
      </c>
    </row>
    <row r="9" spans="2:2" hidden="1">
      <c r="B9" t="s">
        <v>715</v>
      </c>
    </row>
    <row r="10" spans="2:2" hidden="1">
      <c r="B10" t="s">
        <v>716</v>
      </c>
    </row>
    <row r="11" spans="2:2" hidden="1">
      <c r="B11" t="s">
        <v>526</v>
      </c>
    </row>
    <row r="12" spans="2:2">
      <c r="B12" t="s">
        <v>717</v>
      </c>
    </row>
    <row r="13" spans="2:2" hidden="1">
      <c r="B13" t="s">
        <v>718</v>
      </c>
    </row>
    <row r="14" spans="2:2" hidden="1">
      <c r="B14" t="s">
        <v>719</v>
      </c>
    </row>
    <row r="15" spans="2:2" hidden="1">
      <c r="B15" t="s">
        <v>690</v>
      </c>
    </row>
    <row r="16" spans="2:2" hidden="1">
      <c r="B16" t="s">
        <v>720</v>
      </c>
    </row>
    <row r="17" spans="2:2" hidden="1">
      <c r="B17" t="s">
        <v>721</v>
      </c>
    </row>
    <row r="18" spans="2:2" hidden="1">
      <c r="B18" t="s">
        <v>691</v>
      </c>
    </row>
    <row r="19" spans="2:2">
      <c r="B19" t="s">
        <v>527</v>
      </c>
    </row>
    <row r="20" spans="2:2">
      <c r="B20" t="s">
        <v>722</v>
      </c>
    </row>
    <row r="21" spans="2:2" hidden="1">
      <c r="B21" t="s">
        <v>692</v>
      </c>
    </row>
    <row r="22" spans="2:2" hidden="1">
      <c r="B22" t="s">
        <v>693</v>
      </c>
    </row>
    <row r="23" spans="2:2" hidden="1">
      <c r="B23" t="s">
        <v>723</v>
      </c>
    </row>
    <row r="24" spans="2:2" hidden="1">
      <c r="B24" t="s">
        <v>724</v>
      </c>
    </row>
    <row r="25" spans="2:2" hidden="1">
      <c r="B25" t="s">
        <v>725</v>
      </c>
    </row>
    <row r="26" spans="2:2" hidden="1">
      <c r="B26" t="s">
        <v>726</v>
      </c>
    </row>
    <row r="27" spans="2:2">
      <c r="B27" t="s">
        <v>727</v>
      </c>
    </row>
    <row r="28" spans="2:2">
      <c r="B28" t="s">
        <v>728</v>
      </c>
    </row>
    <row r="29" spans="2:2" hidden="1">
      <c r="B29" t="s">
        <v>729</v>
      </c>
    </row>
    <row r="30" spans="2:2">
      <c r="B30" t="s">
        <v>276</v>
      </c>
    </row>
    <row r="31" spans="2:2">
      <c r="B31" t="s">
        <v>530</v>
      </c>
    </row>
    <row r="32" spans="2:2">
      <c r="B32" t="s">
        <v>531</v>
      </c>
    </row>
    <row r="33" spans="2:2">
      <c r="B33" t="s">
        <v>281</v>
      </c>
    </row>
    <row r="34" spans="2:2">
      <c r="B34" t="s">
        <v>731</v>
      </c>
    </row>
    <row r="35" spans="2:2">
      <c r="B35" t="s">
        <v>732</v>
      </c>
    </row>
    <row r="36" spans="2:2">
      <c r="B36" t="s">
        <v>733</v>
      </c>
    </row>
    <row r="37" spans="2:2" hidden="1">
      <c r="B37" t="s">
        <v>734</v>
      </c>
    </row>
    <row r="38" spans="2:2" hidden="1">
      <c r="B38" t="s">
        <v>694</v>
      </c>
    </row>
    <row r="39" spans="2:2">
      <c r="B39" t="s">
        <v>735</v>
      </c>
    </row>
    <row r="40" spans="2:2">
      <c r="B40" t="s">
        <v>736</v>
      </c>
    </row>
    <row r="41" spans="2:2">
      <c r="B41" t="s">
        <v>737</v>
      </c>
    </row>
    <row r="42" spans="2:2">
      <c r="B42" t="s">
        <v>136</v>
      </c>
    </row>
    <row r="43" spans="2:2">
      <c r="B43" t="s">
        <v>174</v>
      </c>
    </row>
    <row r="44" spans="2:2">
      <c r="B44" t="s">
        <v>168</v>
      </c>
    </row>
    <row r="45" spans="2:2" hidden="1">
      <c r="B45" t="s">
        <v>547</v>
      </c>
    </row>
    <row r="46" spans="2:2" hidden="1">
      <c r="B46" t="s">
        <v>741</v>
      </c>
    </row>
    <row r="47" spans="2:2">
      <c r="B47" t="s">
        <v>549</v>
      </c>
    </row>
    <row r="48" spans="2:2">
      <c r="B48" t="s">
        <v>743</v>
      </c>
    </row>
    <row r="49" spans="2:2">
      <c r="B49" t="s">
        <v>446</v>
      </c>
    </row>
    <row r="50" spans="2:2">
      <c r="B50" t="s">
        <v>452</v>
      </c>
    </row>
    <row r="51" spans="2:2">
      <c r="B51" t="s">
        <v>382</v>
      </c>
    </row>
    <row r="52" spans="2:2">
      <c r="B52" t="s">
        <v>745</v>
      </c>
    </row>
    <row r="53" spans="2:2">
      <c r="B53" t="s">
        <v>376</v>
      </c>
    </row>
    <row r="54" spans="2:2" hidden="1">
      <c r="B54" t="s">
        <v>374</v>
      </c>
    </row>
    <row r="55" spans="2:2" hidden="1">
      <c r="B55" t="s">
        <v>746</v>
      </c>
    </row>
    <row r="56" spans="2:2" hidden="1">
      <c r="B56" t="s">
        <v>372</v>
      </c>
    </row>
    <row r="57" spans="2:2" hidden="1">
      <c r="B57" t="s">
        <v>695</v>
      </c>
    </row>
    <row r="58" spans="2:2" hidden="1">
      <c r="B58" t="s">
        <v>696</v>
      </c>
    </row>
    <row r="59" spans="2:2" hidden="1">
      <c r="B59" t="s">
        <v>373</v>
      </c>
    </row>
    <row r="60" spans="2:2" hidden="1">
      <c r="B60" t="s">
        <v>175</v>
      </c>
    </row>
    <row r="61" spans="2:2" hidden="1">
      <c r="B61" t="s">
        <v>138</v>
      </c>
    </row>
    <row r="62" spans="2:2">
      <c r="B62" t="s">
        <v>139</v>
      </c>
    </row>
    <row r="63" spans="2:2">
      <c r="B63" t="s">
        <v>140</v>
      </c>
    </row>
    <row r="64" spans="2:2">
      <c r="B64" t="s">
        <v>141</v>
      </c>
    </row>
    <row r="65" spans="2:2" hidden="1">
      <c r="B65" t="s">
        <v>169</v>
      </c>
    </row>
    <row r="66" spans="2:2" hidden="1">
      <c r="B66" t="s">
        <v>177</v>
      </c>
    </row>
    <row r="67" spans="2:2" hidden="1">
      <c r="B67" t="s">
        <v>178</v>
      </c>
    </row>
    <row r="68" spans="2:2" hidden="1">
      <c r="B68" t="s">
        <v>697</v>
      </c>
    </row>
    <row r="69" spans="2:2" hidden="1">
      <c r="B69" t="s">
        <v>747</v>
      </c>
    </row>
    <row r="70" spans="2:2" hidden="1">
      <c r="B70" t="s">
        <v>698</v>
      </c>
    </row>
    <row r="71" spans="2:2" hidden="1">
      <c r="B71" t="s">
        <v>466</v>
      </c>
    </row>
    <row r="72" spans="2:2" hidden="1">
      <c r="B72" t="s">
        <v>422</v>
      </c>
    </row>
    <row r="73" spans="2:2" hidden="1">
      <c r="B73" t="s">
        <v>404</v>
      </c>
    </row>
    <row r="74" spans="2:2">
      <c r="B74" t="s">
        <v>378</v>
      </c>
    </row>
    <row r="75" spans="2:2">
      <c r="B75" t="s">
        <v>553</v>
      </c>
    </row>
    <row r="76" spans="2:2" hidden="1">
      <c r="B76" t="s">
        <v>408</v>
      </c>
    </row>
    <row r="77" spans="2:2" hidden="1">
      <c r="B77" t="s">
        <v>411</v>
      </c>
    </row>
    <row r="78" spans="2:2" hidden="1">
      <c r="B78" t="s">
        <v>179</v>
      </c>
    </row>
    <row r="79" spans="2:2" hidden="1">
      <c r="B79" t="s">
        <v>180</v>
      </c>
    </row>
    <row r="80" spans="2:2" hidden="1">
      <c r="B80" t="s">
        <v>699</v>
      </c>
    </row>
    <row r="81" spans="2:2">
      <c r="B81" t="s">
        <v>555</v>
      </c>
    </row>
    <row r="82" spans="2:2" hidden="1">
      <c r="B82" t="s">
        <v>429</v>
      </c>
    </row>
    <row r="83" spans="2:2" hidden="1">
      <c r="B83" t="s">
        <v>427</v>
      </c>
    </row>
    <row r="84" spans="2:2" hidden="1">
      <c r="B84" t="s">
        <v>389</v>
      </c>
    </row>
    <row r="85" spans="2:2" hidden="1">
      <c r="B85" t="s">
        <v>181</v>
      </c>
    </row>
    <row r="86" spans="2:2" hidden="1">
      <c r="B86" t="s">
        <v>375</v>
      </c>
    </row>
    <row r="87" spans="2:2" hidden="1">
      <c r="B87" t="s">
        <v>387</v>
      </c>
    </row>
    <row r="88" spans="2:2">
      <c r="B88" t="s">
        <v>170</v>
      </c>
    </row>
    <row r="89" spans="2:2">
      <c r="B89" t="s">
        <v>590</v>
      </c>
    </row>
    <row r="90" spans="2:2">
      <c r="B90" t="s">
        <v>182</v>
      </c>
    </row>
    <row r="91" spans="2:2">
      <c r="B91" t="s">
        <v>166</v>
      </c>
    </row>
    <row r="92" spans="2:2">
      <c r="B92" t="s">
        <v>615</v>
      </c>
    </row>
    <row r="93" spans="2:2">
      <c r="B93" t="s">
        <v>755</v>
      </c>
    </row>
    <row r="94" spans="2:2">
      <c r="B94" t="s">
        <v>756</v>
      </c>
    </row>
    <row r="95" spans="2:2">
      <c r="B95" t="s">
        <v>757</v>
      </c>
    </row>
    <row r="96" spans="2:2">
      <c r="B96" t="s">
        <v>758</v>
      </c>
    </row>
    <row r="97" spans="2:2">
      <c r="B97" t="s">
        <v>183</v>
      </c>
    </row>
    <row r="98" spans="2:2">
      <c r="B98" t="s">
        <v>142</v>
      </c>
    </row>
    <row r="99" spans="2:2">
      <c r="B99" t="s">
        <v>618</v>
      </c>
    </row>
    <row r="100" spans="2:2">
      <c r="B100" t="s">
        <v>620</v>
      </c>
    </row>
    <row r="101" spans="2:2">
      <c r="B101" t="s">
        <v>625</v>
      </c>
    </row>
    <row r="102" spans="2:2">
      <c r="B102" t="s">
        <v>759</v>
      </c>
    </row>
    <row r="103" spans="2:2">
      <c r="B103" t="s">
        <v>760</v>
      </c>
    </row>
    <row r="104" spans="2:2">
      <c r="B104" t="s">
        <v>761</v>
      </c>
    </row>
    <row r="105" spans="2:2">
      <c r="B105" t="s">
        <v>762</v>
      </c>
    </row>
    <row r="106" spans="2:2">
      <c r="B106" t="s">
        <v>145</v>
      </c>
    </row>
    <row r="107" spans="2:2">
      <c r="B107" t="s">
        <v>763</v>
      </c>
    </row>
    <row r="108" spans="2:2">
      <c r="B108" t="s">
        <v>764</v>
      </c>
    </row>
    <row r="109" spans="2:2">
      <c r="B109" t="s">
        <v>765</v>
      </c>
    </row>
    <row r="110" spans="2:2" hidden="1">
      <c r="B110" t="s">
        <v>766</v>
      </c>
    </row>
    <row r="111" spans="2:2" hidden="1">
      <c r="B111" t="s">
        <v>700</v>
      </c>
    </row>
    <row r="112" spans="2:2" hidden="1">
      <c r="B112" t="s">
        <v>184</v>
      </c>
    </row>
    <row r="113" spans="2:2" hidden="1">
      <c r="B113" t="s">
        <v>767</v>
      </c>
    </row>
    <row r="114" spans="2:2" hidden="1">
      <c r="B114" t="s">
        <v>768</v>
      </c>
    </row>
    <row r="115" spans="2:2" hidden="1">
      <c r="B115" t="s">
        <v>769</v>
      </c>
    </row>
    <row r="116" spans="2:2" hidden="1">
      <c r="B116" t="s">
        <v>626</v>
      </c>
    </row>
    <row r="117" spans="2:2">
      <c r="B117" t="s">
        <v>627</v>
      </c>
    </row>
    <row r="118" spans="2:2" hidden="1">
      <c r="B118" t="s">
        <v>628</v>
      </c>
    </row>
    <row r="119" spans="2:2" hidden="1">
      <c r="B119" t="s">
        <v>146</v>
      </c>
    </row>
    <row r="120" spans="2:2">
      <c r="B120" t="s">
        <v>629</v>
      </c>
    </row>
    <row r="121" spans="2:2" hidden="1">
      <c r="B121" t="s">
        <v>147</v>
      </c>
    </row>
    <row r="122" spans="2:2" hidden="1">
      <c r="B122" t="s">
        <v>770</v>
      </c>
    </row>
    <row r="123" spans="2:2">
      <c r="B123" t="s">
        <v>772</v>
      </c>
    </row>
    <row r="124" spans="2:2">
      <c r="B124" t="s">
        <v>634</v>
      </c>
    </row>
    <row r="125" spans="2:2" hidden="1">
      <c r="B125" t="s">
        <v>773</v>
      </c>
    </row>
    <row r="126" spans="2:2" hidden="1">
      <c r="B126" t="s">
        <v>701</v>
      </c>
    </row>
    <row r="127" spans="2:2" hidden="1">
      <c r="B127" t="s">
        <v>702</v>
      </c>
    </row>
    <row r="128" spans="2:2" hidden="1">
      <c r="B128" t="s">
        <v>774</v>
      </c>
    </row>
    <row r="129" spans="2:2" hidden="1">
      <c r="B129" t="s">
        <v>703</v>
      </c>
    </row>
    <row r="130" spans="2:2" hidden="1">
      <c r="B130" t="s">
        <v>775</v>
      </c>
    </row>
    <row r="131" spans="2:2" hidden="1">
      <c r="B131" t="s">
        <v>185</v>
      </c>
    </row>
    <row r="132" spans="2:2" hidden="1">
      <c r="B132" t="s">
        <v>186</v>
      </c>
    </row>
    <row r="133" spans="2:2">
      <c r="B133" t="s">
        <v>187</v>
      </c>
    </row>
    <row r="134" spans="2:2" hidden="1">
      <c r="B134" t="s">
        <v>636</v>
      </c>
    </row>
    <row r="135" spans="2:2">
      <c r="B135" t="s">
        <v>148</v>
      </c>
    </row>
    <row r="136" spans="2:2">
      <c r="B136" t="s">
        <v>637</v>
      </c>
    </row>
    <row r="137" spans="2:2">
      <c r="B137" t="s">
        <v>639</v>
      </c>
    </row>
    <row r="138" spans="2:2">
      <c r="B138" t="s">
        <v>468</v>
      </c>
    </row>
    <row r="139" spans="2:2" hidden="1">
      <c r="B139" t="s">
        <v>645</v>
      </c>
    </row>
    <row r="140" spans="2:2">
      <c r="B140" t="s">
        <v>776</v>
      </c>
    </row>
    <row r="141" spans="2:2" hidden="1">
      <c r="B141" t="s">
        <v>778</v>
      </c>
    </row>
    <row r="142" spans="2:2" hidden="1">
      <c r="B142" t="s">
        <v>656</v>
      </c>
    </row>
    <row r="143" spans="2:2" hidden="1">
      <c r="B143" t="s">
        <v>149</v>
      </c>
    </row>
    <row r="144" spans="2:2">
      <c r="B144" t="s">
        <v>661</v>
      </c>
    </row>
    <row r="145" spans="2:2">
      <c r="B145" t="s">
        <v>150</v>
      </c>
    </row>
    <row r="146" spans="2:2">
      <c r="B146" t="s">
        <v>151</v>
      </c>
    </row>
    <row r="147" spans="2:2">
      <c r="B147" t="s">
        <v>152</v>
      </c>
    </row>
    <row r="148" spans="2:2" hidden="1">
      <c r="B148" t="s">
        <v>425</v>
      </c>
    </row>
    <row r="149" spans="2:2" hidden="1">
      <c r="B149" t="s">
        <v>467</v>
      </c>
    </row>
    <row r="150" spans="2:2">
      <c r="B150" t="s">
        <v>779</v>
      </c>
    </row>
    <row r="151" spans="2:2" hidden="1">
      <c r="B151" t="s">
        <v>780</v>
      </c>
    </row>
    <row r="152" spans="2:2" hidden="1">
      <c r="B152" t="s">
        <v>781</v>
      </c>
    </row>
    <row r="153" spans="2:2" hidden="1">
      <c r="B153" t="s">
        <v>782</v>
      </c>
    </row>
    <row r="154" spans="2:2" hidden="1">
      <c r="B154" t="s">
        <v>704</v>
      </c>
    </row>
    <row r="155" spans="2:2" hidden="1">
      <c r="B155" t="s">
        <v>153</v>
      </c>
    </row>
    <row r="156" spans="2:2" hidden="1">
      <c r="B156" t="s">
        <v>167</v>
      </c>
    </row>
    <row r="157" spans="2:2">
      <c r="B157" t="s">
        <v>783</v>
      </c>
    </row>
    <row r="158" spans="2:2">
      <c r="B158" t="s">
        <v>154</v>
      </c>
    </row>
    <row r="159" spans="2:2">
      <c r="B159" t="s">
        <v>800</v>
      </c>
    </row>
    <row r="160" spans="2:2">
      <c r="B160" t="s">
        <v>155</v>
      </c>
    </row>
    <row r="161" spans="2:2">
      <c r="B161" t="s">
        <v>165</v>
      </c>
    </row>
    <row r="162" spans="2:2">
      <c r="B162" t="s">
        <v>801</v>
      </c>
    </row>
    <row r="163" spans="2:2">
      <c r="B163" t="s">
        <v>802</v>
      </c>
    </row>
    <row r="164" spans="2:2">
      <c r="B164" t="s">
        <v>803</v>
      </c>
    </row>
    <row r="165" spans="2:2">
      <c r="B165" t="s">
        <v>804</v>
      </c>
    </row>
    <row r="166" spans="2:2">
      <c r="B166" t="s">
        <v>805</v>
      </c>
    </row>
    <row r="167" spans="2:2">
      <c r="B167" t="s">
        <v>807</v>
      </c>
    </row>
    <row r="168" spans="2:2">
      <c r="B168" t="s">
        <v>808</v>
      </c>
    </row>
    <row r="169" spans="2:2">
      <c r="B169" t="s">
        <v>809</v>
      </c>
    </row>
    <row r="170" spans="2:2" hidden="1">
      <c r="B170" t="s">
        <v>810</v>
      </c>
    </row>
    <row r="171" spans="2:2">
      <c r="B171" t="s">
        <v>188</v>
      </c>
    </row>
    <row r="172" spans="2:2" hidden="1">
      <c r="B172" t="s">
        <v>811</v>
      </c>
    </row>
    <row r="173" spans="2:2" hidden="1">
      <c r="B173" t="s">
        <v>812</v>
      </c>
    </row>
    <row r="174" spans="2:2">
      <c r="B174" t="s">
        <v>189</v>
      </c>
    </row>
    <row r="175" spans="2:2">
      <c r="B175" t="s">
        <v>813</v>
      </c>
    </row>
    <row r="176" spans="2:2">
      <c r="B176" t="s">
        <v>814</v>
      </c>
    </row>
    <row r="177" spans="2:2">
      <c r="B177" t="s">
        <v>156</v>
      </c>
    </row>
    <row r="178" spans="2:2">
      <c r="B178" t="s">
        <v>815</v>
      </c>
    </row>
    <row r="179" spans="2:2">
      <c r="B179" t="s">
        <v>157</v>
      </c>
    </row>
    <row r="180" spans="2:2">
      <c r="B180" t="s">
        <v>158</v>
      </c>
    </row>
    <row r="181" spans="2:2">
      <c r="B181" t="s">
        <v>816</v>
      </c>
    </row>
    <row r="182" spans="2:2">
      <c r="B182" t="s">
        <v>817</v>
      </c>
    </row>
    <row r="183" spans="2:2">
      <c r="B183" t="s">
        <v>818</v>
      </c>
    </row>
    <row r="184" spans="2:2">
      <c r="B184" t="s">
        <v>819</v>
      </c>
    </row>
    <row r="185" spans="2:2">
      <c r="B185" t="s">
        <v>190</v>
      </c>
    </row>
    <row r="186" spans="2:2">
      <c r="B186" t="s">
        <v>820</v>
      </c>
    </row>
    <row r="187" spans="2:2">
      <c r="B187" t="s">
        <v>821</v>
      </c>
    </row>
    <row r="188" spans="2:2">
      <c r="B188" t="s">
        <v>823</v>
      </c>
    </row>
    <row r="189" spans="2:2">
      <c r="B189" t="s">
        <v>824</v>
      </c>
    </row>
    <row r="190" spans="2:2" hidden="1">
      <c r="B190" t="s">
        <v>825</v>
      </c>
    </row>
    <row r="191" spans="2:2">
      <c r="B191" t="s">
        <v>826</v>
      </c>
    </row>
    <row r="192" spans="2:2">
      <c r="B192" t="s">
        <v>827</v>
      </c>
    </row>
    <row r="193" spans="2:2">
      <c r="B193" t="s">
        <v>828</v>
      </c>
    </row>
    <row r="194" spans="2:2">
      <c r="B194" t="s">
        <v>829</v>
      </c>
    </row>
    <row r="195" spans="2:2">
      <c r="B195" t="s">
        <v>830</v>
      </c>
    </row>
    <row r="196" spans="2:2">
      <c r="B196" t="s">
        <v>831</v>
      </c>
    </row>
    <row r="197" spans="2:2">
      <c r="B197" t="s">
        <v>832</v>
      </c>
    </row>
    <row r="198" spans="2:2">
      <c r="B198" t="s">
        <v>833</v>
      </c>
    </row>
    <row r="199" spans="2:2">
      <c r="B199" t="s">
        <v>834</v>
      </c>
    </row>
    <row r="200" spans="2:2">
      <c r="B200" t="s">
        <v>835</v>
      </c>
    </row>
    <row r="201" spans="2:2">
      <c r="B201" t="s">
        <v>836</v>
      </c>
    </row>
    <row r="202" spans="2:2">
      <c r="B202" t="s">
        <v>837</v>
      </c>
    </row>
    <row r="203" spans="2:2">
      <c r="B203" t="s">
        <v>191</v>
      </c>
    </row>
    <row r="204" spans="2:2">
      <c r="B204" t="s">
        <v>838</v>
      </c>
    </row>
    <row r="205" spans="2:2">
      <c r="B205" t="s">
        <v>845</v>
      </c>
    </row>
    <row r="206" spans="2:2">
      <c r="B206" t="s">
        <v>846</v>
      </c>
    </row>
    <row r="207" spans="2:2">
      <c r="B207" t="s">
        <v>847</v>
      </c>
    </row>
    <row r="208" spans="2:2">
      <c r="B208" t="s">
        <v>849</v>
      </c>
    </row>
    <row r="209" spans="2:2">
      <c r="B209" t="s">
        <v>850</v>
      </c>
    </row>
    <row r="210" spans="2:2">
      <c r="B210" t="s">
        <v>855</v>
      </c>
    </row>
    <row r="211" spans="2:2">
      <c r="B211" t="s">
        <v>863</v>
      </c>
    </row>
    <row r="212" spans="2:2">
      <c r="B212" t="s">
        <v>864</v>
      </c>
    </row>
    <row r="213" spans="2:2">
      <c r="B213" t="s">
        <v>866</v>
      </c>
    </row>
    <row r="214" spans="2:2">
      <c r="B214" t="s">
        <v>867</v>
      </c>
    </row>
    <row r="215" spans="2:2">
      <c r="B215" t="s">
        <v>868</v>
      </c>
    </row>
    <row r="216" spans="2:2">
      <c r="B216" t="s">
        <v>869</v>
      </c>
    </row>
    <row r="217" spans="2:2">
      <c r="B217" t="s">
        <v>871</v>
      </c>
    </row>
    <row r="218" spans="2:2">
      <c r="B218" t="s">
        <v>872</v>
      </c>
    </row>
    <row r="219" spans="2:2">
      <c r="B219" t="s">
        <v>873</v>
      </c>
    </row>
    <row r="220" spans="2:2">
      <c r="B220" t="s">
        <v>876</v>
      </c>
    </row>
    <row r="221" spans="2:2" hidden="1">
      <c r="B221" t="s">
        <v>878</v>
      </c>
    </row>
    <row r="222" spans="2:2">
      <c r="B222" t="s">
        <v>171</v>
      </c>
    </row>
    <row r="223" spans="2:2" hidden="1">
      <c r="B223" t="s">
        <v>705</v>
      </c>
    </row>
    <row r="224" spans="2:2" hidden="1">
      <c r="B224" t="s">
        <v>879</v>
      </c>
    </row>
    <row r="225" spans="2:2" hidden="1">
      <c r="B225" t="s">
        <v>880</v>
      </c>
    </row>
    <row r="226" spans="2:2">
      <c r="B226" t="s">
        <v>881</v>
      </c>
    </row>
    <row r="227" spans="2:2" hidden="1">
      <c r="B227" t="s">
        <v>882</v>
      </c>
    </row>
    <row r="228" spans="2:2" hidden="1">
      <c r="B228" t="s">
        <v>706</v>
      </c>
    </row>
    <row r="229" spans="2:2" hidden="1">
      <c r="B229" t="s">
        <v>883</v>
      </c>
    </row>
    <row r="230" spans="2:2">
      <c r="B230" t="s">
        <v>884</v>
      </c>
    </row>
    <row r="231" spans="2:2">
      <c r="B231" t="s">
        <v>172</v>
      </c>
    </row>
    <row r="232" spans="2:2" hidden="1">
      <c r="B232" t="s">
        <v>885</v>
      </c>
    </row>
    <row r="233" spans="2:2" hidden="1">
      <c r="B233" t="s">
        <v>192</v>
      </c>
    </row>
    <row r="234" spans="2:2">
      <c r="B234" t="s">
        <v>159</v>
      </c>
    </row>
    <row r="235" spans="2:2">
      <c r="B235" t="s">
        <v>160</v>
      </c>
    </row>
    <row r="236" spans="2:2" hidden="1">
      <c r="B236" t="s">
        <v>886</v>
      </c>
    </row>
    <row r="237" spans="2:2">
      <c r="B237" t="s">
        <v>887</v>
      </c>
    </row>
    <row r="238" spans="2:2">
      <c r="B238" t="s">
        <v>888</v>
      </c>
    </row>
    <row r="239" spans="2:2" hidden="1">
      <c r="B239" t="s">
        <v>889</v>
      </c>
    </row>
    <row r="240" spans="2:2" hidden="1">
      <c r="B240" t="s">
        <v>707</v>
      </c>
    </row>
    <row r="241" spans="2:2" hidden="1">
      <c r="B241" t="s">
        <v>708</v>
      </c>
    </row>
    <row r="242" spans="2:2" hidden="1">
      <c r="B242" t="s">
        <v>892</v>
      </c>
    </row>
    <row r="243" spans="2:2">
      <c r="B243" t="s">
        <v>893</v>
      </c>
    </row>
    <row r="244" spans="2:2">
      <c r="B244" t="s">
        <v>894</v>
      </c>
    </row>
    <row r="245" spans="2:2">
      <c r="B245" t="s">
        <v>895</v>
      </c>
    </row>
    <row r="246" spans="2:2" hidden="1">
      <c r="B246" t="s">
        <v>709</v>
      </c>
    </row>
    <row r="247" spans="2:2">
      <c r="B247" t="s">
        <v>896</v>
      </c>
    </row>
    <row r="248" spans="2:2">
      <c r="B248" t="s">
        <v>161</v>
      </c>
    </row>
    <row r="249" spans="2:2" hidden="1">
      <c r="B249" t="s">
        <v>193</v>
      </c>
    </row>
    <row r="250" spans="2:2" hidden="1">
      <c r="B250" t="s">
        <v>710</v>
      </c>
    </row>
    <row r="251" spans="2:2">
      <c r="B251" t="s">
        <v>162</v>
      </c>
    </row>
    <row r="252" spans="2:2" hidden="1">
      <c r="B252" t="s">
        <v>711</v>
      </c>
    </row>
    <row r="253" spans="2:2" hidden="1">
      <c r="B253" t="s">
        <v>712</v>
      </c>
    </row>
    <row r="254" spans="2:2" hidden="1">
      <c r="B254" t="s">
        <v>897</v>
      </c>
    </row>
    <row r="255" spans="2:2" hidden="1">
      <c r="B255" t="s">
        <v>899</v>
      </c>
    </row>
    <row r="256" spans="2:2" hidden="1">
      <c r="B256" t="s">
        <v>900</v>
      </c>
    </row>
    <row r="257" spans="2:2" hidden="1">
      <c r="B257" t="s">
        <v>901</v>
      </c>
    </row>
    <row r="258" spans="2:2">
      <c r="B258" t="s">
        <v>902</v>
      </c>
    </row>
    <row r="259" spans="2:2">
      <c r="B259" t="s">
        <v>903</v>
      </c>
    </row>
    <row r="260" spans="2:2" hidden="1">
      <c r="B260" t="s">
        <v>713</v>
      </c>
    </row>
    <row r="261" spans="2:2">
      <c r="B261" t="s">
        <v>906</v>
      </c>
    </row>
    <row r="262" spans="2:2">
      <c r="B262" t="s">
        <v>163</v>
      </c>
    </row>
    <row r="263" spans="2:2">
      <c r="B263" t="s">
        <v>908</v>
      </c>
    </row>
    <row r="264" spans="2:2">
      <c r="B264" t="s">
        <v>164</v>
      </c>
    </row>
    <row r="265" spans="2:2">
      <c r="B265" t="s">
        <v>909</v>
      </c>
    </row>
    <row r="268" spans="2:2">
      <c r="B268" s="131" t="s">
        <v>714</v>
      </c>
    </row>
    <row r="269" spans="2:2">
      <c r="B269" s="131" t="s">
        <v>523</v>
      </c>
    </row>
    <row r="270" spans="2:2">
      <c r="B270" s="131" t="s">
        <v>524</v>
      </c>
    </row>
    <row r="271" spans="2:2">
      <c r="B271" s="131" t="s">
        <v>715</v>
      </c>
    </row>
    <row r="272" spans="2:2">
      <c r="B272" s="131" t="s">
        <v>716</v>
      </c>
    </row>
    <row r="273" spans="2:2">
      <c r="B273" s="131" t="s">
        <v>691</v>
      </c>
    </row>
    <row r="274" spans="2:2">
      <c r="B274" s="131" t="s">
        <v>718</v>
      </c>
    </row>
    <row r="275" spans="2:2">
      <c r="B275" s="131" t="s">
        <v>719</v>
      </c>
    </row>
    <row r="276" spans="2:2">
      <c r="B276" s="131" t="s">
        <v>690</v>
      </c>
    </row>
    <row r="277" spans="2:2">
      <c r="B277" s="131" t="s">
        <v>720</v>
      </c>
    </row>
    <row r="278" spans="2:2">
      <c r="B278" s="131" t="s">
        <v>721</v>
      </c>
    </row>
    <row r="279" spans="2:2">
      <c r="B279" s="131" t="s">
        <v>729</v>
      </c>
    </row>
    <row r="280" spans="2:2">
      <c r="B280" s="131" t="s">
        <v>525</v>
      </c>
    </row>
    <row r="281" spans="2:2">
      <c r="B281" s="131" t="s">
        <v>723</v>
      </c>
    </row>
    <row r="282" spans="2:2">
      <c r="B282" s="131" t="s">
        <v>726</v>
      </c>
    </row>
    <row r="283" spans="2:2">
      <c r="B283" s="131" t="s">
        <v>547</v>
      </c>
    </row>
    <row r="284" spans="2:2">
      <c r="B284" s="131" t="s">
        <v>741</v>
      </c>
    </row>
    <row r="285" spans="2:2">
      <c r="B285" s="131" t="s">
        <v>746</v>
      </c>
    </row>
    <row r="286" spans="2:2">
      <c r="B286" s="131" t="s">
        <v>696</v>
      </c>
    </row>
    <row r="287" spans="2:2">
      <c r="B287" s="131" t="s">
        <v>177</v>
      </c>
    </row>
    <row r="288" spans="2:2">
      <c r="B288" s="131" t="s">
        <v>178</v>
      </c>
    </row>
    <row r="289" spans="2:2">
      <c r="B289" s="131" t="s">
        <v>466</v>
      </c>
    </row>
    <row r="290" spans="2:2">
      <c r="B290" s="131" t="s">
        <v>179</v>
      </c>
    </row>
    <row r="291" spans="2:2">
      <c r="B291" s="131" t="s">
        <v>389</v>
      </c>
    </row>
    <row r="292" spans="2:2">
      <c r="B292" s="131" t="s">
        <v>375</v>
      </c>
    </row>
    <row r="293" spans="2:2">
      <c r="B293" s="131" t="s">
        <v>184</v>
      </c>
    </row>
    <row r="294" spans="2:2">
      <c r="B294" s="131" t="s">
        <v>767</v>
      </c>
    </row>
    <row r="295" spans="2:2">
      <c r="B295" s="131" t="s">
        <v>770</v>
      </c>
    </row>
    <row r="296" spans="2:2">
      <c r="B296" s="131" t="s">
        <v>697</v>
      </c>
    </row>
    <row r="297" spans="2:2">
      <c r="B297" s="131" t="s">
        <v>372</v>
      </c>
    </row>
    <row r="298" spans="2:2">
      <c r="B298" s="131" t="s">
        <v>774</v>
      </c>
    </row>
    <row r="299" spans="2:2">
      <c r="B299" s="131" t="s">
        <v>180</v>
      </c>
    </row>
    <row r="300" spans="2:2">
      <c r="B300" s="131" t="s">
        <v>645</v>
      </c>
    </row>
    <row r="301" spans="2:2">
      <c r="B301" s="131" t="s">
        <v>878</v>
      </c>
    </row>
    <row r="302" spans="2:2">
      <c r="B302" s="131" t="s">
        <v>880</v>
      </c>
    </row>
    <row r="303" spans="2:2">
      <c r="B303" s="131" t="s">
        <v>882</v>
      </c>
    </row>
    <row r="304" spans="2:2">
      <c r="B304" s="131" t="s">
        <v>883</v>
      </c>
    </row>
    <row r="305" spans="2:2">
      <c r="B305" s="131" t="s">
        <v>885</v>
      </c>
    </row>
    <row r="306" spans="2:2">
      <c r="B306" s="131" t="s">
        <v>886</v>
      </c>
    </row>
    <row r="307" spans="2:2">
      <c r="B307" s="131" t="s">
        <v>698</v>
      </c>
    </row>
    <row r="308" spans="2:2">
      <c r="B308" s="131" t="s">
        <v>709</v>
      </c>
    </row>
    <row r="309" spans="2:2">
      <c r="B309" s="131" t="s">
        <v>710</v>
      </c>
    </row>
    <row r="310" spans="2:2">
      <c r="B310" s="131" t="s">
        <v>411</v>
      </c>
    </row>
    <row r="311" spans="2:2">
      <c r="B311" s="131" t="s">
        <v>700</v>
      </c>
    </row>
    <row r="312" spans="2:2">
      <c r="B312" s="131" t="s">
        <v>702</v>
      </c>
    </row>
    <row r="313" spans="2:2">
      <c r="B313" s="131" t="s">
        <v>712</v>
      </c>
    </row>
    <row r="314" spans="2:2">
      <c r="B314" s="131" t="s">
        <v>708</v>
      </c>
    </row>
    <row r="315" spans="2:2">
      <c r="B315" s="131" t="s">
        <v>694</v>
      </c>
    </row>
    <row r="316" spans="2:2">
      <c r="B316" s="25" t="s">
        <v>703</v>
      </c>
    </row>
    <row r="317" spans="2:2">
      <c r="B317" s="131" t="s">
        <v>713</v>
      </c>
    </row>
    <row r="318" spans="2:2">
      <c r="B318" s="131" t="s">
        <v>692</v>
      </c>
    </row>
    <row r="319" spans="2:2">
      <c r="B319" s="131" t="s">
        <v>408</v>
      </c>
    </row>
    <row r="320" spans="2:2">
      <c r="B320" s="131" t="s">
        <v>706</v>
      </c>
    </row>
    <row r="321" spans="2:2">
      <c r="B321" s="132" t="s">
        <v>704</v>
      </c>
    </row>
    <row r="322" spans="2:2">
      <c r="B322" s="132" t="s">
        <v>689</v>
      </c>
    </row>
    <row r="323" spans="2:2">
      <c r="B323" s="132" t="s">
        <v>181</v>
      </c>
    </row>
    <row r="324" spans="2:2">
      <c r="B324" s="132" t="s">
        <v>373</v>
      </c>
    </row>
    <row r="325" spans="2:2">
      <c r="B325" s="132" t="s">
        <v>701</v>
      </c>
    </row>
    <row r="326" spans="2:2">
      <c r="B326" s="132" t="s">
        <v>711</v>
      </c>
    </row>
    <row r="327" spans="2:2">
      <c r="B327" s="25" t="s">
        <v>186</v>
      </c>
    </row>
    <row r="328" spans="2:2">
      <c r="B328" s="25" t="s">
        <v>699</v>
      </c>
    </row>
    <row r="329" spans="2:2">
      <c r="B329" s="25" t="s">
        <v>404</v>
      </c>
    </row>
    <row r="330" spans="2:2">
      <c r="B330" s="25" t="s">
        <v>705</v>
      </c>
    </row>
    <row r="331" spans="2:2">
      <c r="B331" s="25" t="s">
        <v>422</v>
      </c>
    </row>
    <row r="332" spans="2:2">
      <c r="B332" s="25" t="s">
        <v>185</v>
      </c>
    </row>
    <row r="333" spans="2:2">
      <c r="B333" s="132" t="s">
        <v>656</v>
      </c>
    </row>
    <row r="334" spans="2:2">
      <c r="B334" s="132" t="s">
        <v>167</v>
      </c>
    </row>
    <row r="335" spans="2:2">
      <c r="B335" s="132" t="s">
        <v>693</v>
      </c>
    </row>
    <row r="336" spans="2:2">
      <c r="B336" s="132" t="s">
        <v>526</v>
      </c>
    </row>
    <row r="337" spans="2:2">
      <c r="B337" s="132" t="s">
        <v>387</v>
      </c>
    </row>
    <row r="338" spans="2:2">
      <c r="B338" s="132" t="s">
        <v>427</v>
      </c>
    </row>
    <row r="339" spans="2:2">
      <c r="B339" s="132" t="s">
        <v>695</v>
      </c>
    </row>
    <row r="340" spans="2:2">
      <c r="B340" s="132" t="s">
        <v>707</v>
      </c>
    </row>
    <row r="341" spans="2:2">
      <c r="B341" s="132" t="s">
        <v>901</v>
      </c>
    </row>
    <row r="342" spans="2:2">
      <c r="B342" s="132" t="s">
        <v>892</v>
      </c>
    </row>
    <row r="343" spans="2:2">
      <c r="B343" s="132" t="s">
        <v>192</v>
      </c>
    </row>
    <row r="344" spans="2:2">
      <c r="B344" s="132" t="s">
        <v>147</v>
      </c>
    </row>
    <row r="345" spans="2:2">
      <c r="B345" s="25" t="s">
        <v>782</v>
      </c>
    </row>
    <row r="346" spans="2:2">
      <c r="B346" s="25" t="s">
        <v>900</v>
      </c>
    </row>
    <row r="347" spans="2:2">
      <c r="B347" s="25" t="s">
        <v>773</v>
      </c>
    </row>
    <row r="348" spans="2:2">
      <c r="B348" s="25" t="s">
        <v>766</v>
      </c>
    </row>
    <row r="349" spans="2:2">
      <c r="B349" s="25" t="s">
        <v>138</v>
      </c>
    </row>
    <row r="350" spans="2:2">
      <c r="B350" s="25" t="s">
        <v>193</v>
      </c>
    </row>
    <row r="351" spans="2:2">
      <c r="B351" s="25" t="s">
        <v>810</v>
      </c>
    </row>
    <row r="352" spans="2:2">
      <c r="B352" s="25" t="s">
        <v>747</v>
      </c>
    </row>
    <row r="353" spans="2:2">
      <c r="B353" s="25" t="s">
        <v>778</v>
      </c>
    </row>
    <row r="354" spans="2:2">
      <c r="B354" s="25" t="s">
        <v>626</v>
      </c>
    </row>
    <row r="355" spans="2:2">
      <c r="B355" s="25" t="s">
        <v>879</v>
      </c>
    </row>
    <row r="356" spans="2:2">
      <c r="B356" s="25" t="s">
        <v>724</v>
      </c>
    </row>
    <row r="357" spans="2:2">
      <c r="B357" s="25" t="s">
        <v>153</v>
      </c>
    </row>
    <row r="358" spans="2:2">
      <c r="B358" s="25" t="s">
        <v>889</v>
      </c>
    </row>
    <row r="359" spans="2:2">
      <c r="B359" s="25" t="s">
        <v>811</v>
      </c>
    </row>
    <row r="360" spans="2:2">
      <c r="B360" s="25" t="s">
        <v>775</v>
      </c>
    </row>
    <row r="361" spans="2:2">
      <c r="B361" s="25" t="s">
        <v>628</v>
      </c>
    </row>
    <row r="362" spans="2:2">
      <c r="B362" s="25" t="s">
        <v>169</v>
      </c>
    </row>
    <row r="363" spans="2:2">
      <c r="B363" s="25" t="s">
        <v>636</v>
      </c>
    </row>
    <row r="364" spans="2:2">
      <c r="B364" s="25" t="s">
        <v>899</v>
      </c>
    </row>
    <row r="365" spans="2:2">
      <c r="B365" s="25" t="s">
        <v>175</v>
      </c>
    </row>
    <row r="366" spans="2:2">
      <c r="B366" s="25" t="s">
        <v>769</v>
      </c>
    </row>
    <row r="367" spans="2:2">
      <c r="B367" s="25" t="s">
        <v>467</v>
      </c>
    </row>
    <row r="368" spans="2:2">
      <c r="B368" s="25" t="s">
        <v>897</v>
      </c>
    </row>
    <row r="369" spans="2:2">
      <c r="B369" s="25" t="s">
        <v>781</v>
      </c>
    </row>
    <row r="370" spans="2:2">
      <c r="B370" s="25" t="s">
        <v>812</v>
      </c>
    </row>
    <row r="371" spans="2:2">
      <c r="B371" s="25" t="s">
        <v>734</v>
      </c>
    </row>
    <row r="372" spans="2:2">
      <c r="B372" s="25" t="s">
        <v>825</v>
      </c>
    </row>
    <row r="373" spans="2:2">
      <c r="B373" s="25" t="s">
        <v>768</v>
      </c>
    </row>
    <row r="374" spans="2:2">
      <c r="B374" s="25" t="s">
        <v>149</v>
      </c>
    </row>
    <row r="375" spans="2:2">
      <c r="B375" s="25" t="s">
        <v>429</v>
      </c>
    </row>
    <row r="376" spans="2:2">
      <c r="B376" s="25" t="s">
        <v>780</v>
      </c>
    </row>
    <row r="377" spans="2:2">
      <c r="B377" s="25" t="s">
        <v>725</v>
      </c>
    </row>
    <row r="378" spans="2:2">
      <c r="B378" s="132" t="s">
        <v>374</v>
      </c>
    </row>
    <row r="379" spans="2:2">
      <c r="B379" s="132" t="s">
        <v>425</v>
      </c>
    </row>
    <row r="380" spans="2:2">
      <c r="B380" s="132" t="s">
        <v>146</v>
      </c>
    </row>
  </sheetData>
  <autoFilter ref="B3:B265" xr:uid="{C629FC91-84AD-4F82-A84F-B1311429AE39}">
    <filterColumn colId="0">
      <colorFilter dxfId="232"/>
    </filterColumn>
  </autoFilter>
  <conditionalFormatting sqref="B268:B377">
    <cfRule type="duplicateValues" dxfId="18" priority="12"/>
  </conditionalFormatting>
  <conditionalFormatting sqref="B268:B380 B4:B265">
    <cfRule type="duplicateValues" dxfId="17" priority="1"/>
  </conditionalFormatting>
  <conditionalFormatting sqref="B316">
    <cfRule type="duplicateValues" dxfId="16" priority="10"/>
    <cfRule type="duplicateValues" dxfId="15" priority="11"/>
  </conditionalFormatting>
  <conditionalFormatting sqref="B327">
    <cfRule type="duplicateValues" dxfId="14" priority="8"/>
    <cfRule type="duplicateValues" dxfId="13" priority="9"/>
  </conditionalFormatting>
  <conditionalFormatting sqref="B328:B332">
    <cfRule type="duplicateValues" dxfId="12" priority="6"/>
    <cfRule type="duplicateValues" dxfId="11" priority="7"/>
  </conditionalFormatting>
  <conditionalFormatting sqref="B345">
    <cfRule type="duplicateValues" dxfId="10" priority="4"/>
    <cfRule type="duplicateValues" dxfId="9" priority="5"/>
  </conditionalFormatting>
  <conditionalFormatting sqref="B346:B377">
    <cfRule type="duplicateValues" dxfId="8" priority="2"/>
    <cfRule type="duplicateValues" dxfId="7" priority="3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2AF3B-8F0B-4365-AE10-F5840CB55896}">
  <sheetPr codeName="Sheet19"/>
  <dimension ref="A1:W6"/>
  <sheetViews>
    <sheetView zoomScale="70" zoomScaleNormal="70" zoomScaleSheetLayoutView="70" workbookViewId="0">
      <pane xSplit="3" ySplit="4" topLeftCell="D5" activePane="bottomRight" state="frozen"/>
      <selection pane="topRight" activeCell="F81" sqref="F81"/>
      <selection pane="bottomLeft" activeCell="F81" sqref="F81"/>
      <selection pane="bottomRight" activeCell="D16" sqref="D16"/>
    </sheetView>
  </sheetViews>
  <sheetFormatPr defaultRowHeight="15"/>
  <cols>
    <col min="1" max="1" width="6.5703125" customWidth="1"/>
    <col min="2" max="2" width="15.140625" customWidth="1"/>
    <col min="3" max="3" width="11.5703125" bestFit="1" customWidth="1"/>
    <col min="4" max="4" width="14.5703125" bestFit="1" customWidth="1"/>
    <col min="5" max="6" width="13.42578125" bestFit="1" customWidth="1"/>
    <col min="7" max="8" width="12.42578125" customWidth="1"/>
    <col min="9" max="9" width="14.140625" style="130" bestFit="1" customWidth="1"/>
    <col min="10" max="10" width="15.140625" style="130" bestFit="1" customWidth="1"/>
    <col min="11" max="11" width="13.42578125" bestFit="1" customWidth="1"/>
    <col min="12" max="12" width="14.140625" bestFit="1" customWidth="1"/>
    <col min="13" max="13" width="15.140625" style="130" bestFit="1" customWidth="1"/>
    <col min="14" max="16" width="15.140625" style="130" customWidth="1"/>
    <col min="17" max="17" width="12.5703125" bestFit="1" customWidth="1"/>
    <col min="18" max="18" width="9.85546875" bestFit="1" customWidth="1"/>
    <col min="19" max="19" width="31.5703125" bestFit="1" customWidth="1"/>
    <col min="20" max="21" width="31.5703125" customWidth="1"/>
    <col min="22" max="22" width="10.42578125" bestFit="1" customWidth="1"/>
    <col min="23" max="23" width="8.140625" bestFit="1" customWidth="1"/>
  </cols>
  <sheetData>
    <row r="1" spans="1:23" ht="16.5" thickBot="1">
      <c r="A1" s="109"/>
      <c r="B1" s="110"/>
      <c r="C1" s="109"/>
      <c r="D1" s="111" t="s">
        <v>955</v>
      </c>
      <c r="E1" s="112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13"/>
    </row>
    <row r="2" spans="1:23" ht="16.5" thickBot="1">
      <c r="A2" s="110"/>
      <c r="B2" s="110"/>
      <c r="C2" s="114"/>
      <c r="D2" s="110"/>
      <c r="E2" s="114"/>
      <c r="F2" s="110"/>
      <c r="G2" s="114"/>
      <c r="H2" s="114"/>
      <c r="I2" s="115"/>
      <c r="J2" s="115"/>
      <c r="K2" s="114"/>
      <c r="L2" s="110"/>
      <c r="M2" s="115"/>
      <c r="N2" s="115"/>
      <c r="O2" s="115"/>
      <c r="P2" s="115"/>
      <c r="Q2" s="114"/>
    </row>
    <row r="3" spans="1:23" ht="45.75" thickBot="1">
      <c r="A3" s="116" t="s">
        <v>956</v>
      </c>
      <c r="B3" s="117" t="s">
        <v>957</v>
      </c>
      <c r="C3" s="117" t="s">
        <v>958</v>
      </c>
      <c r="D3" s="117" t="s">
        <v>959</v>
      </c>
      <c r="E3" s="117" t="s">
        <v>960</v>
      </c>
      <c r="F3" s="52" t="s">
        <v>961</v>
      </c>
      <c r="G3" s="118" t="s">
        <v>962</v>
      </c>
      <c r="H3" s="119" t="s">
        <v>963</v>
      </c>
      <c r="I3" s="120" t="s">
        <v>964</v>
      </c>
      <c r="J3" s="52" t="s">
        <v>965</v>
      </c>
      <c r="K3" s="117" t="s">
        <v>966</v>
      </c>
      <c r="L3" s="52" t="s">
        <v>967</v>
      </c>
      <c r="M3" s="53" t="s">
        <v>968</v>
      </c>
      <c r="N3" s="116" t="s">
        <v>969</v>
      </c>
      <c r="O3" s="121" t="s">
        <v>970</v>
      </c>
      <c r="P3" s="54" t="s">
        <v>971</v>
      </c>
      <c r="Q3" s="122" t="s">
        <v>972</v>
      </c>
      <c r="R3" s="117" t="s">
        <v>266</v>
      </c>
      <c r="S3" s="117" t="s">
        <v>473</v>
      </c>
      <c r="T3" s="117" t="s">
        <v>973</v>
      </c>
      <c r="U3" s="117" t="s">
        <v>974</v>
      </c>
      <c r="V3" s="117" t="s">
        <v>975</v>
      </c>
      <c r="W3" s="54" t="s">
        <v>33</v>
      </c>
    </row>
    <row r="4" spans="1:23" s="17" customFormat="1">
      <c r="A4" s="123"/>
      <c r="B4" s="123"/>
      <c r="C4" s="123"/>
      <c r="D4" s="123"/>
      <c r="E4" s="134"/>
      <c r="F4" s="123"/>
      <c r="G4" s="135"/>
      <c r="H4" s="135"/>
      <c r="I4" s="136"/>
      <c r="J4" s="136"/>
      <c r="K4" s="134"/>
      <c r="L4" s="136"/>
      <c r="M4" s="136"/>
      <c r="N4" s="136"/>
      <c r="O4" s="136"/>
      <c r="P4" s="136"/>
      <c r="Q4" s="134"/>
      <c r="R4" s="123"/>
      <c r="S4" s="137"/>
      <c r="T4" s="137"/>
      <c r="U4" s="137"/>
      <c r="V4" s="123"/>
      <c r="W4" s="123"/>
    </row>
    <row r="5" spans="1:23" s="17" customFormat="1">
      <c r="A5" s="60"/>
      <c r="B5" s="60"/>
      <c r="C5" s="60"/>
      <c r="D5" s="60"/>
      <c r="E5" s="138"/>
      <c r="F5" s="60"/>
      <c r="G5" s="139"/>
      <c r="H5" s="139"/>
      <c r="I5" s="133"/>
      <c r="J5" s="133"/>
      <c r="K5" s="138"/>
      <c r="L5" s="133"/>
      <c r="M5" s="133"/>
      <c r="N5" s="133"/>
      <c r="O5" s="133"/>
      <c r="P5" s="133"/>
      <c r="Q5" s="138"/>
      <c r="R5" s="60"/>
      <c r="S5" s="140"/>
      <c r="T5" s="140"/>
      <c r="U5" s="140"/>
      <c r="V5" s="60"/>
      <c r="W5" s="60"/>
    </row>
    <row r="6" spans="1:23">
      <c r="A6" s="124"/>
      <c r="B6" s="124"/>
      <c r="C6" s="124"/>
      <c r="D6" s="124" t="s">
        <v>205</v>
      </c>
      <c r="E6" s="125">
        <f>SUM(E4:E5)/1000</f>
        <v>0</v>
      </c>
      <c r="F6" s="126"/>
      <c r="G6" s="127"/>
      <c r="H6" s="128"/>
      <c r="I6" s="126"/>
      <c r="J6" s="126"/>
      <c r="K6" s="126"/>
      <c r="L6" s="126"/>
      <c r="M6" s="126"/>
      <c r="N6" s="126"/>
      <c r="O6" s="126"/>
      <c r="P6" s="126"/>
      <c r="Q6" s="126"/>
      <c r="R6" s="126"/>
      <c r="S6" s="129"/>
      <c r="T6" s="129"/>
      <c r="U6" s="129"/>
      <c r="V6" s="126"/>
      <c r="W6" s="126"/>
    </row>
  </sheetData>
  <conditionalFormatting sqref="B7:B1048576 B1:B2">
    <cfRule type="duplicateValues" dxfId="6" priority="26"/>
  </conditionalFormatting>
  <conditionalFormatting sqref="C3">
    <cfRule type="duplicateValues" dxfId="5" priority="30"/>
  </conditionalFormatting>
  <conditionalFormatting sqref="C4:C5">
    <cfRule type="duplicateValues" dxfId="4" priority="392"/>
  </conditionalFormatting>
  <conditionalFormatting sqref="C6">
    <cfRule type="duplicateValues" dxfId="3" priority="393"/>
  </conditionalFormatting>
  <conditionalFormatting sqref="D3:D5">
    <cfRule type="duplicateValues" dxfId="2" priority="394"/>
  </conditionalFormatting>
  <conditionalFormatting sqref="D6">
    <cfRule type="duplicateValues" dxfId="1" priority="395"/>
  </conditionalFormatting>
  <pageMargins left="0.7" right="0.7" top="0.75" bottom="0.75" header="0.3" footer="0.3"/>
  <pageSetup paperSize="9" scale="38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20"/>
  <dimension ref="A1:Q13"/>
  <sheetViews>
    <sheetView view="pageBreakPreview" zoomScale="70" zoomScaleNormal="70" zoomScaleSheetLayoutView="70" workbookViewId="0">
      <selection activeCell="J9" sqref="J9"/>
    </sheetView>
  </sheetViews>
  <sheetFormatPr defaultRowHeight="15"/>
  <cols>
    <col min="1" max="1" width="4.5703125" customWidth="1"/>
    <col min="2" max="2" width="17.42578125" customWidth="1"/>
    <col min="3" max="3" width="9.42578125" bestFit="1" customWidth="1"/>
    <col min="4" max="4" width="8.5703125" customWidth="1"/>
    <col min="5" max="5" width="11.5703125" customWidth="1"/>
    <col min="6" max="6" width="10.5703125" customWidth="1"/>
    <col min="7" max="7" width="10.5703125" bestFit="1" customWidth="1"/>
    <col min="8" max="8" width="15.42578125" bestFit="1" customWidth="1"/>
    <col min="9" max="9" width="10.5703125" bestFit="1" customWidth="1"/>
    <col min="10" max="10" width="10.42578125" customWidth="1"/>
    <col min="11" max="11" width="10.5703125" customWidth="1"/>
    <col min="12" max="12" width="24.42578125" bestFit="1" customWidth="1"/>
    <col min="13" max="13" width="25.5703125" customWidth="1"/>
    <col min="14" max="14" width="13.5703125" customWidth="1"/>
    <col min="15" max="15" width="10.42578125" bestFit="1" customWidth="1"/>
    <col min="16" max="16" width="11.5703125" customWidth="1"/>
    <col min="17" max="17" width="21.42578125" customWidth="1"/>
  </cols>
  <sheetData>
    <row r="1" spans="1:17" ht="21.6" customHeight="1">
      <c r="A1" s="799" t="s">
        <v>976</v>
      </c>
      <c r="B1" s="800"/>
      <c r="C1" s="800"/>
      <c r="D1" s="800"/>
      <c r="E1" s="800"/>
      <c r="F1" s="800"/>
      <c r="G1" s="800"/>
      <c r="H1" s="800"/>
      <c r="I1" s="800"/>
      <c r="J1" s="800"/>
      <c r="K1" s="800"/>
      <c r="L1" s="800"/>
      <c r="M1" s="800"/>
      <c r="N1" s="800"/>
      <c r="O1" s="800"/>
      <c r="P1" s="800"/>
      <c r="Q1" s="801"/>
    </row>
    <row r="2" spans="1:17" ht="21" customHeight="1">
      <c r="A2" s="802" t="s">
        <v>977</v>
      </c>
      <c r="B2" s="804" t="s">
        <v>204</v>
      </c>
      <c r="C2" s="804" t="s">
        <v>978</v>
      </c>
      <c r="D2" s="804" t="s">
        <v>979</v>
      </c>
      <c r="E2" s="804" t="s">
        <v>980</v>
      </c>
      <c r="F2" s="806" t="s">
        <v>112</v>
      </c>
      <c r="G2" s="806"/>
      <c r="H2" s="806" t="s">
        <v>114</v>
      </c>
      <c r="I2" s="806"/>
      <c r="J2" s="804" t="s">
        <v>981</v>
      </c>
      <c r="K2" s="804" t="s">
        <v>982</v>
      </c>
      <c r="L2" s="804" t="s">
        <v>983</v>
      </c>
      <c r="M2" s="804" t="s">
        <v>347</v>
      </c>
      <c r="N2" s="804" t="s">
        <v>479</v>
      </c>
      <c r="O2" s="804" t="s">
        <v>474</v>
      </c>
      <c r="P2" s="804" t="s">
        <v>475</v>
      </c>
      <c r="Q2" s="807" t="s">
        <v>33</v>
      </c>
    </row>
    <row r="3" spans="1:17" ht="25.35" customHeight="1">
      <c r="A3" s="803"/>
      <c r="B3" s="805"/>
      <c r="C3" s="805"/>
      <c r="D3" s="805"/>
      <c r="E3" s="805"/>
      <c r="F3" s="28" t="s">
        <v>984</v>
      </c>
      <c r="G3" s="28" t="s">
        <v>985</v>
      </c>
      <c r="H3" s="28" t="s">
        <v>984</v>
      </c>
      <c r="I3" s="28" t="s">
        <v>985</v>
      </c>
      <c r="J3" s="805"/>
      <c r="K3" s="805"/>
      <c r="L3" s="805"/>
      <c r="M3" s="805"/>
      <c r="N3" s="805"/>
      <c r="O3" s="805"/>
      <c r="P3" s="805"/>
      <c r="Q3" s="808"/>
    </row>
    <row r="4" spans="1:17" ht="27" customHeight="1">
      <c r="A4" s="41"/>
      <c r="B4" s="25"/>
      <c r="C4" s="108"/>
      <c r="D4" s="10"/>
      <c r="E4" s="24"/>
      <c r="F4" s="24"/>
      <c r="G4" s="24"/>
      <c r="H4" s="24"/>
      <c r="I4" s="24"/>
      <c r="J4" s="10"/>
      <c r="K4" s="10"/>
      <c r="L4" s="10"/>
      <c r="M4" s="10"/>
      <c r="N4" s="25"/>
      <c r="O4" s="10"/>
      <c r="P4" s="10"/>
      <c r="Q4" s="36"/>
    </row>
    <row r="5" spans="1:17" ht="43.5" customHeight="1">
      <c r="A5" s="41"/>
      <c r="B5" s="25"/>
      <c r="C5" s="108"/>
      <c r="D5" s="10"/>
      <c r="E5" s="24"/>
      <c r="F5" s="24"/>
      <c r="G5" s="24"/>
      <c r="H5" s="24"/>
      <c r="I5" s="24"/>
      <c r="J5" s="10"/>
      <c r="K5" s="10"/>
      <c r="L5" s="10"/>
      <c r="M5" s="10"/>
      <c r="N5" s="10"/>
      <c r="O5" s="10"/>
      <c r="P5" s="10"/>
      <c r="Q5" s="36"/>
    </row>
    <row r="6" spans="1:17" ht="43.5" customHeight="1">
      <c r="A6" s="41"/>
      <c r="B6" s="25"/>
      <c r="C6" s="108"/>
      <c r="D6" s="10"/>
      <c r="E6" s="24"/>
      <c r="F6" s="24"/>
      <c r="G6" s="24"/>
      <c r="H6" s="24"/>
      <c r="I6" s="24"/>
      <c r="J6" s="10"/>
      <c r="K6" s="10"/>
      <c r="L6" s="10"/>
      <c r="M6" s="10"/>
      <c r="N6" s="10"/>
      <c r="O6" s="10"/>
      <c r="P6" s="10"/>
      <c r="Q6" s="36"/>
    </row>
    <row r="7" spans="1:17" ht="33.6" customHeight="1">
      <c r="A7" s="42"/>
      <c r="B7" s="25"/>
      <c r="C7" s="25"/>
      <c r="D7" s="10"/>
      <c r="E7" s="26"/>
      <c r="F7" s="26"/>
      <c r="G7" s="26"/>
      <c r="H7" s="26"/>
      <c r="I7" s="26"/>
      <c r="J7" s="25"/>
      <c r="K7" s="25"/>
      <c r="L7" s="25"/>
      <c r="M7" s="25"/>
      <c r="N7" s="25"/>
      <c r="O7" s="25"/>
      <c r="P7" s="25"/>
      <c r="Q7" s="43"/>
    </row>
    <row r="8" spans="1:17" ht="45.6" customHeight="1">
      <c r="A8" s="42"/>
      <c r="B8" s="25"/>
      <c r="C8" s="108"/>
      <c r="D8" s="10"/>
      <c r="E8" s="25"/>
      <c r="F8" s="26"/>
      <c r="G8" s="26"/>
      <c r="H8" s="26"/>
      <c r="I8" s="26"/>
      <c r="J8" s="25"/>
      <c r="K8" s="25"/>
      <c r="L8" s="25"/>
      <c r="M8" s="25"/>
      <c r="N8" s="25"/>
      <c r="O8" s="25"/>
      <c r="P8" s="25"/>
      <c r="Q8" s="43"/>
    </row>
    <row r="9" spans="1:17" ht="41.1" customHeight="1">
      <c r="A9" s="42"/>
      <c r="B9" s="25"/>
      <c r="C9" s="25"/>
      <c r="D9" s="10"/>
      <c r="E9" s="26"/>
      <c r="F9" s="26"/>
      <c r="G9" s="26"/>
      <c r="H9" s="26"/>
      <c r="I9" s="26"/>
      <c r="J9" s="25"/>
      <c r="K9" s="25"/>
      <c r="L9" s="25"/>
      <c r="M9" s="25"/>
      <c r="N9" s="25"/>
      <c r="O9" s="25"/>
      <c r="P9" s="25"/>
      <c r="Q9" s="43"/>
    </row>
    <row r="10" spans="1:17" ht="37.5" customHeight="1" thickBot="1">
      <c r="A10" s="37"/>
      <c r="B10" s="38"/>
      <c r="C10" s="108"/>
      <c r="D10" s="10"/>
      <c r="E10" s="39"/>
      <c r="F10" s="39"/>
      <c r="G10" s="39"/>
      <c r="H10" s="39"/>
      <c r="I10" s="39"/>
      <c r="J10" s="38"/>
      <c r="K10" s="38"/>
      <c r="L10" s="38"/>
      <c r="M10" s="38"/>
      <c r="N10" s="38"/>
      <c r="O10" s="38"/>
      <c r="P10" s="38"/>
      <c r="Q10" s="40"/>
    </row>
    <row r="11" spans="1:17" ht="37.5" customHeight="1" thickBot="1">
      <c r="A11" s="37"/>
      <c r="B11" s="38"/>
      <c r="C11" s="108"/>
      <c r="D11" s="10"/>
      <c r="E11" s="39"/>
      <c r="F11" s="39"/>
      <c r="G11" s="39"/>
      <c r="H11" s="39"/>
      <c r="I11" s="39"/>
      <c r="J11" s="38"/>
      <c r="K11" s="38"/>
      <c r="L11" s="38"/>
      <c r="M11" s="38"/>
      <c r="N11" s="38"/>
      <c r="O11" s="38"/>
      <c r="P11" s="38"/>
      <c r="Q11" s="40"/>
    </row>
    <row r="12" spans="1:17" ht="37.5" customHeight="1" thickBot="1">
      <c r="A12" s="37"/>
      <c r="B12" s="38"/>
      <c r="C12" s="108"/>
      <c r="D12" s="10"/>
      <c r="E12" s="39"/>
      <c r="F12" s="39"/>
      <c r="G12" s="39"/>
      <c r="H12" s="39"/>
      <c r="I12" s="39"/>
      <c r="J12" s="38"/>
      <c r="K12" s="38"/>
      <c r="L12" s="38"/>
      <c r="M12" s="38"/>
      <c r="N12" s="38"/>
      <c r="O12" s="38"/>
      <c r="P12" s="38"/>
      <c r="Q12" s="40"/>
    </row>
    <row r="13" spans="1:17" ht="37.5" customHeight="1" thickBot="1">
      <c r="A13" s="37"/>
      <c r="B13" s="38"/>
      <c r="C13" s="108"/>
      <c r="D13" s="10"/>
      <c r="E13" s="39"/>
      <c r="F13" s="39"/>
      <c r="G13" s="39"/>
      <c r="H13" s="39"/>
      <c r="I13" s="39"/>
      <c r="J13" s="38"/>
      <c r="K13" s="38"/>
      <c r="L13" s="38"/>
      <c r="M13" s="38"/>
      <c r="N13" s="38"/>
      <c r="O13" s="38"/>
      <c r="P13" s="38"/>
      <c r="Q13" s="40"/>
    </row>
  </sheetData>
  <autoFilter ref="A3:Q10" xr:uid="{863001E7-EE4C-450E-BFA1-A707FADF1156}"/>
  <mergeCells count="16">
    <mergeCell ref="A1:Q1"/>
    <mergeCell ref="A2:A3"/>
    <mergeCell ref="B2:B3"/>
    <mergeCell ref="C2:C3"/>
    <mergeCell ref="J2:J3"/>
    <mergeCell ref="E2:E3"/>
    <mergeCell ref="F2:G2"/>
    <mergeCell ref="H2:I2"/>
    <mergeCell ref="K2:K3"/>
    <mergeCell ref="L2:L3"/>
    <mergeCell ref="D2:D3"/>
    <mergeCell ref="M2:M3"/>
    <mergeCell ref="N2:N3"/>
    <mergeCell ref="O2:O3"/>
    <mergeCell ref="Q2:Q3"/>
    <mergeCell ref="P2:P3"/>
  </mergeCells>
  <conditionalFormatting sqref="B1:B1048576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9906A-33EE-4458-9635-B3FEEDE72D53}">
  <sheetPr codeName="Sheet21">
    <tabColor rgb="FF00FF00"/>
    <pageSetUpPr fitToPage="1"/>
  </sheetPr>
  <dimension ref="A1:P50"/>
  <sheetViews>
    <sheetView zoomScale="104" zoomScaleNormal="90" workbookViewId="0">
      <pane xSplit="7" ySplit="2" topLeftCell="L3" activePane="bottomRight" state="frozen"/>
      <selection pane="topRight" activeCell="H1" sqref="H1"/>
      <selection pane="bottomLeft" activeCell="A3" sqref="A3"/>
      <selection pane="bottomRight" activeCell="P51" sqref="P51"/>
    </sheetView>
  </sheetViews>
  <sheetFormatPr defaultColWidth="9.140625" defaultRowHeight="15.75"/>
  <cols>
    <col min="1" max="2" width="9.140625" style="275"/>
    <col min="3" max="3" width="10.42578125" style="275" customWidth="1"/>
    <col min="4" max="4" width="9.140625" style="275"/>
    <col min="5" max="5" width="8.42578125" style="275" customWidth="1"/>
    <col min="6" max="6" width="21.42578125" style="277" customWidth="1"/>
    <col min="7" max="7" width="9.140625" style="278"/>
    <col min="8" max="8" width="9.140625" style="275"/>
    <col min="9" max="9" width="55.5703125" style="275" customWidth="1"/>
    <col min="10" max="10" width="9.140625" style="276"/>
    <col min="11" max="11" width="9.140625" style="275"/>
    <col min="12" max="12" width="13.42578125" style="275" bestFit="1" customWidth="1"/>
    <col min="13" max="13" width="10.140625" style="275" bestFit="1" customWidth="1"/>
    <col min="14" max="15" width="9.140625" style="275"/>
    <col min="16" max="16" width="28.28515625" style="412" customWidth="1"/>
    <col min="17" max="16384" width="9.140625" style="275"/>
  </cols>
  <sheetData>
    <row r="1" spans="1:16" ht="16.5" thickBot="1">
      <c r="A1" s="809" t="s">
        <v>89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1"/>
    </row>
    <row r="2" spans="1:16" ht="39" thickBot="1">
      <c r="A2" s="289" t="s">
        <v>986</v>
      </c>
      <c r="B2" s="290" t="s">
        <v>987</v>
      </c>
      <c r="C2" s="290" t="s">
        <v>988</v>
      </c>
      <c r="D2" s="290" t="s">
        <v>989</v>
      </c>
      <c r="E2" s="290" t="s">
        <v>343</v>
      </c>
      <c r="F2" s="290" t="s">
        <v>990</v>
      </c>
      <c r="G2" s="290" t="s">
        <v>991</v>
      </c>
      <c r="H2" s="290" t="s">
        <v>992</v>
      </c>
      <c r="I2" s="290" t="s">
        <v>993</v>
      </c>
      <c r="J2" s="290" t="s">
        <v>510</v>
      </c>
      <c r="K2" s="290" t="s">
        <v>994</v>
      </c>
      <c r="L2" s="290" t="s">
        <v>266</v>
      </c>
      <c r="M2" s="290" t="s">
        <v>995</v>
      </c>
      <c r="N2" s="290" t="s">
        <v>996</v>
      </c>
      <c r="O2" s="290" t="s">
        <v>997</v>
      </c>
      <c r="P2" s="291" t="s">
        <v>33</v>
      </c>
    </row>
    <row r="3" spans="1:16" ht="12" customHeight="1">
      <c r="A3" s="292">
        <v>1</v>
      </c>
      <c r="B3" s="293" t="s">
        <v>523</v>
      </c>
      <c r="C3" s="294" t="s">
        <v>272</v>
      </c>
      <c r="D3" s="293" t="s">
        <v>524</v>
      </c>
      <c r="E3" s="294" t="s">
        <v>918</v>
      </c>
      <c r="F3" s="294" t="s">
        <v>998</v>
      </c>
      <c r="G3" s="294">
        <v>225.97</v>
      </c>
      <c r="H3" s="294" t="s">
        <v>999</v>
      </c>
      <c r="I3" s="300" t="s">
        <v>1000</v>
      </c>
      <c r="J3" s="293">
        <v>1</v>
      </c>
      <c r="K3" s="293" t="s">
        <v>209</v>
      </c>
      <c r="L3" s="298" t="s">
        <v>207</v>
      </c>
      <c r="M3" s="295">
        <v>46129</v>
      </c>
      <c r="N3" s="298" t="s">
        <v>1001</v>
      </c>
      <c r="O3" s="296"/>
      <c r="P3" s="408" t="s">
        <v>1002</v>
      </c>
    </row>
    <row r="4" spans="1:16" ht="26.25">
      <c r="A4" s="297">
        <v>2</v>
      </c>
      <c r="B4" s="298" t="s">
        <v>526</v>
      </c>
      <c r="C4" s="294" t="s">
        <v>538</v>
      </c>
      <c r="D4" s="298" t="s">
        <v>527</v>
      </c>
      <c r="E4" s="294" t="s">
        <v>1003</v>
      </c>
      <c r="F4" s="294" t="s">
        <v>998</v>
      </c>
      <c r="G4" s="294">
        <v>284.73</v>
      </c>
      <c r="H4" s="294" t="s">
        <v>1004</v>
      </c>
      <c r="I4" s="301" t="s">
        <v>1005</v>
      </c>
      <c r="J4" s="298">
        <v>1</v>
      </c>
      <c r="K4" s="298" t="s">
        <v>209</v>
      </c>
      <c r="L4" s="298" t="s">
        <v>207</v>
      </c>
      <c r="M4" s="295">
        <v>46129</v>
      </c>
      <c r="N4" s="298" t="s">
        <v>1001</v>
      </c>
      <c r="O4" s="298"/>
      <c r="P4" s="408" t="s">
        <v>1002</v>
      </c>
    </row>
    <row r="5" spans="1:16" ht="16.899999999999999" customHeight="1">
      <c r="A5" s="297">
        <v>3</v>
      </c>
      <c r="B5" s="298" t="s">
        <v>528</v>
      </c>
      <c r="C5" s="294" t="s">
        <v>538</v>
      </c>
      <c r="D5" s="298" t="s">
        <v>529</v>
      </c>
      <c r="E5" s="294" t="s">
        <v>1003</v>
      </c>
      <c r="F5" s="294" t="s">
        <v>998</v>
      </c>
      <c r="G5" s="294">
        <v>164.96</v>
      </c>
      <c r="H5" s="294" t="s">
        <v>1004</v>
      </c>
      <c r="I5" s="301" t="s">
        <v>1006</v>
      </c>
      <c r="J5" s="298">
        <v>1</v>
      </c>
      <c r="K5" s="298" t="s">
        <v>209</v>
      </c>
      <c r="L5" s="298" t="s">
        <v>207</v>
      </c>
      <c r="M5" s="295">
        <v>46129</v>
      </c>
      <c r="N5" s="298" t="s">
        <v>1001</v>
      </c>
      <c r="O5" s="298"/>
      <c r="P5" s="408" t="s">
        <v>1002</v>
      </c>
    </row>
    <row r="6" spans="1:16" ht="26.25">
      <c r="A6" s="297">
        <v>4</v>
      </c>
      <c r="B6" s="298" t="s">
        <v>396</v>
      </c>
      <c r="C6" s="294" t="s">
        <v>397</v>
      </c>
      <c r="D6" s="298" t="s">
        <v>553</v>
      </c>
      <c r="E6" s="294" t="s">
        <v>361</v>
      </c>
      <c r="F6" s="294" t="s">
        <v>998</v>
      </c>
      <c r="G6" s="287">
        <v>448</v>
      </c>
      <c r="H6" s="294" t="s">
        <v>999</v>
      </c>
      <c r="I6" s="301" t="s">
        <v>1007</v>
      </c>
      <c r="J6" s="298">
        <v>1</v>
      </c>
      <c r="K6" s="298" t="s">
        <v>201</v>
      </c>
      <c r="L6" s="298" t="s">
        <v>207</v>
      </c>
      <c r="M6" s="295">
        <v>45859</v>
      </c>
      <c r="N6" s="298" t="s">
        <v>1001</v>
      </c>
      <c r="O6" s="298" t="s">
        <v>1001</v>
      </c>
      <c r="P6" s="408" t="s">
        <v>1002</v>
      </c>
    </row>
    <row r="7" spans="1:16" ht="26.25">
      <c r="A7" s="297">
        <v>5</v>
      </c>
      <c r="B7" s="298" t="s">
        <v>555</v>
      </c>
      <c r="C7" s="294" t="s">
        <v>302</v>
      </c>
      <c r="D7" s="298" t="s">
        <v>421</v>
      </c>
      <c r="E7" s="294" t="s">
        <v>400</v>
      </c>
      <c r="F7" s="294" t="s">
        <v>1008</v>
      </c>
      <c r="G7" s="294">
        <v>323</v>
      </c>
      <c r="H7" s="294" t="s">
        <v>1009</v>
      </c>
      <c r="I7" s="301" t="s">
        <v>1010</v>
      </c>
      <c r="J7" s="298">
        <v>1</v>
      </c>
      <c r="K7" s="298" t="s">
        <v>201</v>
      </c>
      <c r="L7" s="298" t="s">
        <v>207</v>
      </c>
      <c r="M7" s="295">
        <v>45887</v>
      </c>
      <c r="N7" s="298" t="s">
        <v>1001</v>
      </c>
      <c r="O7" s="298" t="s">
        <v>1001</v>
      </c>
      <c r="P7" s="408" t="s">
        <v>1002</v>
      </c>
    </row>
    <row r="8" spans="1:16" ht="26.25">
      <c r="A8" s="297">
        <v>6</v>
      </c>
      <c r="B8" s="298" t="s">
        <v>556</v>
      </c>
      <c r="C8" s="294" t="s">
        <v>377</v>
      </c>
      <c r="D8" s="298" t="s">
        <v>557</v>
      </c>
      <c r="E8" s="294" t="s">
        <v>334</v>
      </c>
      <c r="F8" s="294" t="s">
        <v>1008</v>
      </c>
      <c r="G8" s="294">
        <v>259.33999999999997</v>
      </c>
      <c r="H8" s="294" t="s">
        <v>1011</v>
      </c>
      <c r="I8" s="301" t="s">
        <v>1012</v>
      </c>
      <c r="J8" s="298">
        <v>1</v>
      </c>
      <c r="K8" s="298" t="s">
        <v>201</v>
      </c>
      <c r="L8" s="298" t="s">
        <v>207</v>
      </c>
      <c r="M8" s="295">
        <v>45915</v>
      </c>
      <c r="N8" s="298" t="s">
        <v>1001</v>
      </c>
      <c r="O8" s="298" t="s">
        <v>1001</v>
      </c>
      <c r="P8" s="408" t="s">
        <v>1002</v>
      </c>
    </row>
    <row r="9" spans="1:16" ht="26.25">
      <c r="A9" s="297">
        <v>7</v>
      </c>
      <c r="B9" s="298" t="s">
        <v>556</v>
      </c>
      <c r="C9" s="294" t="s">
        <v>377</v>
      </c>
      <c r="D9" s="298" t="s">
        <v>557</v>
      </c>
      <c r="E9" s="294" t="s">
        <v>334</v>
      </c>
      <c r="F9" s="294" t="s">
        <v>1008</v>
      </c>
      <c r="G9" s="294">
        <v>259.33999999999997</v>
      </c>
      <c r="H9" s="294" t="s">
        <v>1013</v>
      </c>
      <c r="I9" s="301" t="s">
        <v>1014</v>
      </c>
      <c r="J9" s="298">
        <v>1</v>
      </c>
      <c r="K9" s="298" t="s">
        <v>201</v>
      </c>
      <c r="L9" s="298" t="s">
        <v>207</v>
      </c>
      <c r="M9" s="295">
        <v>45915</v>
      </c>
      <c r="N9" s="298" t="s">
        <v>1001</v>
      </c>
      <c r="O9" s="298" t="s">
        <v>1001</v>
      </c>
      <c r="P9" s="408" t="s">
        <v>1002</v>
      </c>
    </row>
    <row r="10" spans="1:16" ht="26.25">
      <c r="A10" s="297">
        <v>8</v>
      </c>
      <c r="B10" s="298" t="s">
        <v>170</v>
      </c>
      <c r="C10" s="294" t="s">
        <v>309</v>
      </c>
      <c r="D10" s="298" t="s">
        <v>558</v>
      </c>
      <c r="E10" s="294" t="s">
        <v>309</v>
      </c>
      <c r="F10" s="294" t="s">
        <v>1015</v>
      </c>
      <c r="G10" s="294">
        <v>275.39</v>
      </c>
      <c r="H10" s="294" t="s">
        <v>1016</v>
      </c>
      <c r="I10" s="301" t="s">
        <v>1017</v>
      </c>
      <c r="J10" s="298">
        <v>1</v>
      </c>
      <c r="K10" s="298" t="s">
        <v>201</v>
      </c>
      <c r="L10" s="298" t="s">
        <v>207</v>
      </c>
      <c r="M10" s="295">
        <v>45930</v>
      </c>
      <c r="N10" s="298" t="s">
        <v>1001</v>
      </c>
      <c r="O10" s="298" t="s">
        <v>1001</v>
      </c>
      <c r="P10" s="408" t="s">
        <v>1002</v>
      </c>
    </row>
    <row r="11" spans="1:16">
      <c r="A11" s="320">
        <v>9</v>
      </c>
      <c r="B11" s="321" t="s">
        <v>560</v>
      </c>
      <c r="C11" s="322" t="s">
        <v>361</v>
      </c>
      <c r="D11" s="321" t="s">
        <v>561</v>
      </c>
      <c r="E11" s="322" t="s">
        <v>564</v>
      </c>
      <c r="F11" s="322" t="s">
        <v>998</v>
      </c>
      <c r="G11" s="322">
        <v>375.54</v>
      </c>
      <c r="H11" s="322" t="s">
        <v>999</v>
      </c>
      <c r="I11" s="323" t="s">
        <v>1018</v>
      </c>
      <c r="J11" s="321">
        <v>1</v>
      </c>
      <c r="K11" s="321" t="s">
        <v>201</v>
      </c>
      <c r="L11" s="321" t="s">
        <v>207</v>
      </c>
      <c r="M11" s="324">
        <v>45911</v>
      </c>
      <c r="N11" s="321" t="s">
        <v>1001</v>
      </c>
      <c r="O11" s="321" t="s">
        <v>1001</v>
      </c>
      <c r="P11" s="618" t="s">
        <v>1019</v>
      </c>
    </row>
    <row r="12" spans="1:16" ht="26.25">
      <c r="A12" s="297">
        <v>10</v>
      </c>
      <c r="B12" s="298" t="s">
        <v>561</v>
      </c>
      <c r="C12" s="294" t="s">
        <v>564</v>
      </c>
      <c r="D12" s="298" t="s">
        <v>562</v>
      </c>
      <c r="E12" s="294" t="s">
        <v>309</v>
      </c>
      <c r="F12" s="294" t="s">
        <v>1020</v>
      </c>
      <c r="G12" s="294">
        <v>297.52</v>
      </c>
      <c r="H12" s="294" t="s">
        <v>1021</v>
      </c>
      <c r="I12" s="301" t="s">
        <v>1022</v>
      </c>
      <c r="J12" s="298">
        <v>1</v>
      </c>
      <c r="K12" s="298" t="s">
        <v>201</v>
      </c>
      <c r="L12" s="298" t="s">
        <v>207</v>
      </c>
      <c r="M12" s="295">
        <v>45909</v>
      </c>
      <c r="N12" s="298" t="s">
        <v>1001</v>
      </c>
      <c r="O12" s="298" t="s">
        <v>1001</v>
      </c>
      <c r="P12" s="408" t="s">
        <v>1002</v>
      </c>
    </row>
    <row r="13" spans="1:16" ht="26.25">
      <c r="A13" s="297">
        <v>11</v>
      </c>
      <c r="B13" s="298" t="s">
        <v>561</v>
      </c>
      <c r="C13" s="294" t="s">
        <v>564</v>
      </c>
      <c r="D13" s="298" t="s">
        <v>562</v>
      </c>
      <c r="E13" s="294" t="s">
        <v>309</v>
      </c>
      <c r="F13" s="294" t="s">
        <v>1015</v>
      </c>
      <c r="G13" s="294">
        <v>297.52</v>
      </c>
      <c r="H13" s="286" t="s">
        <v>1016</v>
      </c>
      <c r="I13" s="301" t="s">
        <v>1023</v>
      </c>
      <c r="J13" s="298">
        <v>1</v>
      </c>
      <c r="K13" s="298" t="s">
        <v>201</v>
      </c>
      <c r="L13" s="298" t="s">
        <v>207</v>
      </c>
      <c r="M13" s="295">
        <v>45930</v>
      </c>
      <c r="N13" s="295" t="s">
        <v>1001</v>
      </c>
      <c r="O13" s="295" t="s">
        <v>1001</v>
      </c>
      <c r="P13" s="408" t="s">
        <v>1002</v>
      </c>
    </row>
    <row r="14" spans="1:16" ht="26.25">
      <c r="A14" s="297">
        <v>12</v>
      </c>
      <c r="B14" s="298" t="s">
        <v>457</v>
      </c>
      <c r="C14" s="294" t="s">
        <v>354</v>
      </c>
      <c r="D14" s="298" t="s">
        <v>459</v>
      </c>
      <c r="E14" s="294" t="s">
        <v>377</v>
      </c>
      <c r="F14" s="294" t="s">
        <v>1008</v>
      </c>
      <c r="G14" s="294">
        <v>234.98</v>
      </c>
      <c r="H14" s="294" t="s">
        <v>1024</v>
      </c>
      <c r="I14" s="301" t="s">
        <v>1025</v>
      </c>
      <c r="J14" s="298">
        <v>1</v>
      </c>
      <c r="K14" s="298" t="s">
        <v>201</v>
      </c>
      <c r="L14" s="298" t="s">
        <v>207</v>
      </c>
      <c r="M14" s="295">
        <v>45750</v>
      </c>
      <c r="N14" s="295" t="s">
        <v>1001</v>
      </c>
      <c r="O14" s="298" t="s">
        <v>1001</v>
      </c>
      <c r="P14" s="408" t="s">
        <v>1002</v>
      </c>
    </row>
    <row r="15" spans="1:16" ht="26.25">
      <c r="A15" s="297">
        <v>13</v>
      </c>
      <c r="B15" s="298" t="s">
        <v>459</v>
      </c>
      <c r="C15" s="294" t="s">
        <v>377</v>
      </c>
      <c r="D15" s="298" t="s">
        <v>463</v>
      </c>
      <c r="E15" s="294" t="s">
        <v>354</v>
      </c>
      <c r="F15" s="294" t="s">
        <v>1008</v>
      </c>
      <c r="G15" s="294">
        <v>375.72</v>
      </c>
      <c r="H15" s="294" t="s">
        <v>1009</v>
      </c>
      <c r="I15" s="301" t="s">
        <v>1026</v>
      </c>
      <c r="J15" s="298">
        <v>1</v>
      </c>
      <c r="K15" s="298" t="s">
        <v>201</v>
      </c>
      <c r="L15" s="298" t="s">
        <v>207</v>
      </c>
      <c r="M15" s="295">
        <v>45751</v>
      </c>
      <c r="N15" s="295" t="s">
        <v>1001</v>
      </c>
      <c r="O15" s="298" t="s">
        <v>1001</v>
      </c>
      <c r="P15" s="408" t="s">
        <v>1002</v>
      </c>
    </row>
    <row r="16" spans="1:16" ht="26.25">
      <c r="A16" s="297">
        <v>14</v>
      </c>
      <c r="B16" s="298" t="s">
        <v>432</v>
      </c>
      <c r="C16" s="294" t="s">
        <v>377</v>
      </c>
      <c r="D16" s="298" t="s">
        <v>431</v>
      </c>
      <c r="E16" s="294" t="s">
        <v>296</v>
      </c>
      <c r="F16" s="294" t="s">
        <v>1008</v>
      </c>
      <c r="G16" s="294">
        <v>378.53</v>
      </c>
      <c r="H16" s="294" t="s">
        <v>1009</v>
      </c>
      <c r="I16" s="301" t="s">
        <v>1027</v>
      </c>
      <c r="J16" s="298">
        <v>1</v>
      </c>
      <c r="K16" s="298" t="s">
        <v>201</v>
      </c>
      <c r="L16" s="298" t="s">
        <v>207</v>
      </c>
      <c r="M16" s="295">
        <v>45913</v>
      </c>
      <c r="N16" s="295" t="s">
        <v>1001</v>
      </c>
      <c r="O16" s="298" t="s">
        <v>1001</v>
      </c>
      <c r="P16" s="408" t="s">
        <v>1002</v>
      </c>
    </row>
    <row r="17" spans="1:16" ht="25.5">
      <c r="A17" s="297">
        <v>15</v>
      </c>
      <c r="B17" s="298" t="s">
        <v>432</v>
      </c>
      <c r="C17" s="294" t="s">
        <v>377</v>
      </c>
      <c r="D17" s="298" t="s">
        <v>431</v>
      </c>
      <c r="E17" s="294" t="s">
        <v>296</v>
      </c>
      <c r="F17" s="294" t="s">
        <v>998</v>
      </c>
      <c r="G17" s="294">
        <v>378.53</v>
      </c>
      <c r="H17" s="294" t="s">
        <v>999</v>
      </c>
      <c r="I17" s="301" t="s">
        <v>1028</v>
      </c>
      <c r="J17" s="298">
        <v>1</v>
      </c>
      <c r="K17" s="298" t="s">
        <v>201</v>
      </c>
      <c r="L17" s="298" t="s">
        <v>207</v>
      </c>
      <c r="M17" s="295">
        <v>45902</v>
      </c>
      <c r="N17" s="295" t="s">
        <v>1001</v>
      </c>
      <c r="O17" s="295" t="s">
        <v>1001</v>
      </c>
      <c r="P17" s="410" t="s">
        <v>1002</v>
      </c>
    </row>
    <row r="18" spans="1:16" ht="26.25">
      <c r="A18" s="297">
        <v>16</v>
      </c>
      <c r="B18" s="298" t="s">
        <v>581</v>
      </c>
      <c r="C18" s="294" t="s">
        <v>313</v>
      </c>
      <c r="D18" s="298" t="s">
        <v>582</v>
      </c>
      <c r="E18" s="294" t="s">
        <v>354</v>
      </c>
      <c r="F18" s="294" t="s">
        <v>1008</v>
      </c>
      <c r="G18" s="294">
        <v>406</v>
      </c>
      <c r="H18" s="294" t="s">
        <v>1011</v>
      </c>
      <c r="I18" s="301" t="s">
        <v>1029</v>
      </c>
      <c r="J18" s="298">
        <v>1</v>
      </c>
      <c r="K18" s="298" t="s">
        <v>201</v>
      </c>
      <c r="L18" s="298" t="s">
        <v>207</v>
      </c>
      <c r="M18" s="295">
        <v>45905</v>
      </c>
      <c r="N18" s="295" t="s">
        <v>1001</v>
      </c>
      <c r="O18" s="295" t="s">
        <v>1001</v>
      </c>
      <c r="P18" s="408" t="s">
        <v>1002</v>
      </c>
    </row>
    <row r="19" spans="1:16" ht="26.25">
      <c r="A19" s="297">
        <v>17</v>
      </c>
      <c r="B19" s="298" t="s">
        <v>585</v>
      </c>
      <c r="C19" s="294" t="s">
        <v>403</v>
      </c>
      <c r="D19" s="298" t="s">
        <v>586</v>
      </c>
      <c r="E19" s="294" t="s">
        <v>354</v>
      </c>
      <c r="F19" s="294" t="s">
        <v>1008</v>
      </c>
      <c r="G19" s="294">
        <v>426</v>
      </c>
      <c r="H19" s="294" t="s">
        <v>1009</v>
      </c>
      <c r="I19" s="301" t="s">
        <v>1030</v>
      </c>
      <c r="J19" s="298">
        <v>19</v>
      </c>
      <c r="K19" s="298" t="s">
        <v>201</v>
      </c>
      <c r="L19" s="298" t="s">
        <v>207</v>
      </c>
      <c r="M19" s="295">
        <v>45877</v>
      </c>
      <c r="N19" s="295" t="s">
        <v>1001</v>
      </c>
      <c r="O19" s="295" t="s">
        <v>1001</v>
      </c>
      <c r="P19" s="408" t="s">
        <v>1002</v>
      </c>
    </row>
    <row r="20" spans="1:16" ht="26.25">
      <c r="A20" s="297">
        <v>18</v>
      </c>
      <c r="B20" s="298" t="s">
        <v>585</v>
      </c>
      <c r="C20" s="294" t="s">
        <v>403</v>
      </c>
      <c r="D20" s="298" t="s">
        <v>586</v>
      </c>
      <c r="E20" s="294" t="s">
        <v>354</v>
      </c>
      <c r="F20" s="294" t="s">
        <v>1008</v>
      </c>
      <c r="G20" s="294">
        <v>426</v>
      </c>
      <c r="H20" s="294" t="s">
        <v>1031</v>
      </c>
      <c r="I20" s="301" t="s">
        <v>1032</v>
      </c>
      <c r="J20" s="298">
        <v>1</v>
      </c>
      <c r="K20" s="298" t="s">
        <v>201</v>
      </c>
      <c r="L20" s="298" t="s">
        <v>207</v>
      </c>
      <c r="M20" s="295">
        <v>45877</v>
      </c>
      <c r="N20" s="295" t="s">
        <v>1001</v>
      </c>
      <c r="O20" s="295" t="s">
        <v>1001</v>
      </c>
      <c r="P20" s="408" t="s">
        <v>1002</v>
      </c>
    </row>
    <row r="21" spans="1:16" ht="26.25">
      <c r="A21" s="297">
        <v>19</v>
      </c>
      <c r="B21" s="298" t="s">
        <v>182</v>
      </c>
      <c r="C21" s="294" t="s">
        <v>306</v>
      </c>
      <c r="D21" s="298" t="s">
        <v>594</v>
      </c>
      <c r="E21" s="294" t="s">
        <v>361</v>
      </c>
      <c r="F21" s="294" t="s">
        <v>1008</v>
      </c>
      <c r="G21" s="294">
        <v>410</v>
      </c>
      <c r="H21" s="294" t="s">
        <v>1031</v>
      </c>
      <c r="I21" s="301" t="s">
        <v>1033</v>
      </c>
      <c r="J21" s="298">
        <v>1</v>
      </c>
      <c r="K21" s="298" t="s">
        <v>201</v>
      </c>
      <c r="L21" s="298" t="s">
        <v>207</v>
      </c>
      <c r="M21" s="295">
        <v>45878</v>
      </c>
      <c r="N21" s="298" t="s">
        <v>1001</v>
      </c>
      <c r="O21" s="298" t="s">
        <v>1001</v>
      </c>
      <c r="P21" s="408" t="s">
        <v>1002</v>
      </c>
    </row>
    <row r="22" spans="1:16" ht="26.25">
      <c r="A22" s="297">
        <v>20</v>
      </c>
      <c r="B22" s="298" t="s">
        <v>602</v>
      </c>
      <c r="C22" s="294" t="s">
        <v>334</v>
      </c>
      <c r="D22" s="298" t="s">
        <v>603</v>
      </c>
      <c r="E22" s="294" t="s">
        <v>604</v>
      </c>
      <c r="F22" s="294" t="s">
        <v>1008</v>
      </c>
      <c r="G22" s="294">
        <v>404.98</v>
      </c>
      <c r="H22" s="294" t="s">
        <v>1034</v>
      </c>
      <c r="I22" s="301" t="s">
        <v>1035</v>
      </c>
      <c r="J22" s="298">
        <v>1</v>
      </c>
      <c r="K22" s="298" t="s">
        <v>201</v>
      </c>
      <c r="L22" s="298" t="s">
        <v>207</v>
      </c>
      <c r="M22" s="295">
        <v>45877</v>
      </c>
      <c r="N22" s="295" t="s">
        <v>1001</v>
      </c>
      <c r="O22" s="298" t="s">
        <v>1001</v>
      </c>
      <c r="P22" s="408" t="s">
        <v>1002</v>
      </c>
    </row>
    <row r="23" spans="1:16">
      <c r="A23" s="320">
        <v>21</v>
      </c>
      <c r="B23" s="321" t="s">
        <v>603</v>
      </c>
      <c r="C23" s="322" t="s">
        <v>604</v>
      </c>
      <c r="D23" s="321" t="s">
        <v>605</v>
      </c>
      <c r="E23" s="322" t="s">
        <v>354</v>
      </c>
      <c r="F23" s="322" t="s">
        <v>1008</v>
      </c>
      <c r="G23" s="322">
        <v>382.01</v>
      </c>
      <c r="H23" s="322" t="s">
        <v>1011</v>
      </c>
      <c r="I23" s="323" t="s">
        <v>1036</v>
      </c>
      <c r="J23" s="321">
        <v>1</v>
      </c>
      <c r="K23" s="321" t="s">
        <v>201</v>
      </c>
      <c r="L23" s="321" t="s">
        <v>207</v>
      </c>
      <c r="M23" s="324">
        <v>45882</v>
      </c>
      <c r="N23" s="324" t="s">
        <v>1001</v>
      </c>
      <c r="O23" s="321" t="s">
        <v>1001</v>
      </c>
      <c r="P23" s="409" t="s">
        <v>1037</v>
      </c>
    </row>
    <row r="24" spans="1:16">
      <c r="A24" s="320">
        <v>22</v>
      </c>
      <c r="B24" s="321" t="s">
        <v>166</v>
      </c>
      <c r="C24" s="322" t="s">
        <v>309</v>
      </c>
      <c r="D24" s="321" t="s">
        <v>606</v>
      </c>
      <c r="E24" s="322" t="s">
        <v>309</v>
      </c>
      <c r="F24" s="322" t="s">
        <v>998</v>
      </c>
      <c r="G24" s="322">
        <v>155.72999999999999</v>
      </c>
      <c r="H24" s="322" t="s">
        <v>999</v>
      </c>
      <c r="I24" s="323" t="s">
        <v>1038</v>
      </c>
      <c r="J24" s="321">
        <v>1</v>
      </c>
      <c r="K24" s="321" t="s">
        <v>201</v>
      </c>
      <c r="L24" s="321" t="s">
        <v>207</v>
      </c>
      <c r="M24" s="324">
        <v>45880</v>
      </c>
      <c r="N24" s="324" t="s">
        <v>1001</v>
      </c>
      <c r="O24" s="321" t="s">
        <v>1001</v>
      </c>
      <c r="P24" s="409" t="s">
        <v>1019</v>
      </c>
    </row>
    <row r="25" spans="1:16">
      <c r="A25" s="320">
        <v>23</v>
      </c>
      <c r="B25" s="321" t="s">
        <v>611</v>
      </c>
      <c r="C25" s="322" t="s">
        <v>326</v>
      </c>
      <c r="D25" s="321" t="s">
        <v>612</v>
      </c>
      <c r="E25" s="322" t="s">
        <v>565</v>
      </c>
      <c r="F25" s="322" t="s">
        <v>1008</v>
      </c>
      <c r="G25" s="322">
        <v>329</v>
      </c>
      <c r="H25" s="322" t="s">
        <v>1011</v>
      </c>
      <c r="I25" s="323" t="s">
        <v>1039</v>
      </c>
      <c r="J25" s="321">
        <v>1</v>
      </c>
      <c r="K25" s="321" t="s">
        <v>201</v>
      </c>
      <c r="L25" s="321" t="s">
        <v>207</v>
      </c>
      <c r="M25" s="324">
        <v>45888</v>
      </c>
      <c r="N25" s="324" t="s">
        <v>1001</v>
      </c>
      <c r="O25" s="321" t="s">
        <v>1001</v>
      </c>
      <c r="P25" s="409" t="s">
        <v>1037</v>
      </c>
    </row>
    <row r="26" spans="1:16">
      <c r="A26" s="320">
        <v>24</v>
      </c>
      <c r="B26" s="321" t="s">
        <v>611</v>
      </c>
      <c r="C26" s="322" t="s">
        <v>326</v>
      </c>
      <c r="D26" s="321" t="s">
        <v>612</v>
      </c>
      <c r="E26" s="322" t="s">
        <v>565</v>
      </c>
      <c r="F26" s="322" t="s">
        <v>998</v>
      </c>
      <c r="G26" s="322">
        <v>329</v>
      </c>
      <c r="H26" s="322" t="s">
        <v>999</v>
      </c>
      <c r="I26" s="323" t="s">
        <v>1040</v>
      </c>
      <c r="J26" s="321">
        <v>1</v>
      </c>
      <c r="K26" s="321" t="s">
        <v>201</v>
      </c>
      <c r="L26" s="321" t="s">
        <v>207</v>
      </c>
      <c r="M26" s="324">
        <v>45889</v>
      </c>
      <c r="N26" s="324" t="s">
        <v>1001</v>
      </c>
      <c r="O26" s="321" t="s">
        <v>1001</v>
      </c>
      <c r="P26" s="409" t="s">
        <v>1019</v>
      </c>
    </row>
    <row r="27" spans="1:16">
      <c r="A27" s="320">
        <v>25</v>
      </c>
      <c r="B27" s="321" t="s">
        <v>612</v>
      </c>
      <c r="C27" s="322" t="s">
        <v>565</v>
      </c>
      <c r="D27" s="321" t="s">
        <v>613</v>
      </c>
      <c r="E27" s="322" t="s">
        <v>306</v>
      </c>
      <c r="F27" s="322" t="s">
        <v>998</v>
      </c>
      <c r="G27" s="322">
        <v>428.04</v>
      </c>
      <c r="H27" s="322" t="s">
        <v>999</v>
      </c>
      <c r="I27" s="323" t="s">
        <v>1041</v>
      </c>
      <c r="J27" s="321">
        <v>1</v>
      </c>
      <c r="K27" s="321" t="s">
        <v>201</v>
      </c>
      <c r="L27" s="321" t="s">
        <v>207</v>
      </c>
      <c r="M27" s="324">
        <v>45891</v>
      </c>
      <c r="N27" s="324" t="s">
        <v>1001</v>
      </c>
      <c r="O27" s="321" t="s">
        <v>1001</v>
      </c>
      <c r="P27" s="409" t="s">
        <v>1019</v>
      </c>
    </row>
    <row r="28" spans="1:16">
      <c r="A28" s="320">
        <v>26</v>
      </c>
      <c r="B28" s="321" t="s">
        <v>614</v>
      </c>
      <c r="C28" s="322" t="s">
        <v>354</v>
      </c>
      <c r="D28" s="321" t="s">
        <v>615</v>
      </c>
      <c r="E28" s="322" t="s">
        <v>400</v>
      </c>
      <c r="F28" s="322" t="s">
        <v>998</v>
      </c>
      <c r="G28" s="322">
        <v>365.78</v>
      </c>
      <c r="H28" s="322" t="s">
        <v>999</v>
      </c>
      <c r="I28" s="323" t="s">
        <v>1042</v>
      </c>
      <c r="J28" s="321">
        <v>1</v>
      </c>
      <c r="K28" s="321" t="s">
        <v>201</v>
      </c>
      <c r="L28" s="321" t="s">
        <v>207</v>
      </c>
      <c r="M28" s="324">
        <v>45894</v>
      </c>
      <c r="N28" s="324" t="s">
        <v>1001</v>
      </c>
      <c r="O28" s="321" t="s">
        <v>1001</v>
      </c>
      <c r="P28" s="409" t="s">
        <v>1019</v>
      </c>
    </row>
    <row r="29" spans="1:16" ht="26.25">
      <c r="A29" s="297">
        <v>27</v>
      </c>
      <c r="B29" s="298" t="s">
        <v>183</v>
      </c>
      <c r="C29" s="294" t="s">
        <v>309</v>
      </c>
      <c r="D29" s="298" t="s">
        <v>142</v>
      </c>
      <c r="E29" s="294" t="s">
        <v>564</v>
      </c>
      <c r="F29" s="294" t="s">
        <v>1015</v>
      </c>
      <c r="G29" s="294">
        <v>276.3</v>
      </c>
      <c r="H29" s="294" t="s">
        <v>1016</v>
      </c>
      <c r="I29" s="301" t="s">
        <v>1043</v>
      </c>
      <c r="J29" s="298">
        <v>1</v>
      </c>
      <c r="K29" s="298" t="s">
        <v>201</v>
      </c>
      <c r="L29" s="298" t="s">
        <v>207</v>
      </c>
      <c r="M29" s="295">
        <v>45930</v>
      </c>
      <c r="N29" s="295" t="s">
        <v>1001</v>
      </c>
      <c r="O29" s="298" t="s">
        <v>1001</v>
      </c>
      <c r="P29" s="408" t="s">
        <v>1002</v>
      </c>
    </row>
    <row r="30" spans="1:16">
      <c r="A30" s="320">
        <v>28</v>
      </c>
      <c r="B30" s="321" t="s">
        <v>183</v>
      </c>
      <c r="C30" s="322" t="s">
        <v>309</v>
      </c>
      <c r="D30" s="321" t="s">
        <v>142</v>
      </c>
      <c r="E30" s="322" t="s">
        <v>564</v>
      </c>
      <c r="F30" s="322" t="s">
        <v>1044</v>
      </c>
      <c r="G30" s="322">
        <v>276.3</v>
      </c>
      <c r="H30" s="322" t="s">
        <v>999</v>
      </c>
      <c r="I30" s="323" t="s">
        <v>1045</v>
      </c>
      <c r="J30" s="321">
        <v>1</v>
      </c>
      <c r="K30" s="321" t="s">
        <v>201</v>
      </c>
      <c r="L30" s="321" t="s">
        <v>207</v>
      </c>
      <c r="M30" s="324">
        <v>45895</v>
      </c>
      <c r="N30" s="324" t="s">
        <v>1001</v>
      </c>
      <c r="O30" s="321" t="s">
        <v>1001</v>
      </c>
      <c r="P30" s="409" t="s">
        <v>1019</v>
      </c>
    </row>
    <row r="31" spans="1:16" ht="26.25">
      <c r="A31" s="297">
        <v>29</v>
      </c>
      <c r="B31" s="298" t="s">
        <v>619</v>
      </c>
      <c r="C31" s="294" t="s">
        <v>604</v>
      </c>
      <c r="D31" s="298" t="s">
        <v>620</v>
      </c>
      <c r="E31" s="294" t="s">
        <v>302</v>
      </c>
      <c r="F31" s="294" t="s">
        <v>1008</v>
      </c>
      <c r="G31" s="294">
        <v>381.59</v>
      </c>
      <c r="H31" s="294" t="s">
        <v>1031</v>
      </c>
      <c r="I31" s="301" t="s">
        <v>1033</v>
      </c>
      <c r="J31" s="298">
        <v>1</v>
      </c>
      <c r="K31" s="298" t="s">
        <v>201</v>
      </c>
      <c r="L31" s="298" t="s">
        <v>207</v>
      </c>
      <c r="M31" s="295">
        <v>45756</v>
      </c>
      <c r="N31" s="295" t="s">
        <v>1001</v>
      </c>
      <c r="O31" s="298" t="s">
        <v>1001</v>
      </c>
      <c r="P31" s="408" t="s">
        <v>1002</v>
      </c>
    </row>
    <row r="32" spans="1:16">
      <c r="A32" s="320">
        <v>30</v>
      </c>
      <c r="B32" s="321" t="s">
        <v>622</v>
      </c>
      <c r="C32" s="322" t="s">
        <v>354</v>
      </c>
      <c r="D32" s="321" t="s">
        <v>623</v>
      </c>
      <c r="E32" s="322" t="s">
        <v>354</v>
      </c>
      <c r="F32" s="322" t="s">
        <v>1008</v>
      </c>
      <c r="G32" s="322">
        <v>378</v>
      </c>
      <c r="H32" s="322" t="s">
        <v>1011</v>
      </c>
      <c r="I32" s="323" t="s">
        <v>1046</v>
      </c>
      <c r="J32" s="321">
        <v>2</v>
      </c>
      <c r="K32" s="321" t="s">
        <v>201</v>
      </c>
      <c r="L32" s="321" t="s">
        <v>207</v>
      </c>
      <c r="M32" s="324">
        <v>45756</v>
      </c>
      <c r="N32" s="324" t="s">
        <v>1001</v>
      </c>
      <c r="O32" s="321" t="s">
        <v>1001</v>
      </c>
      <c r="P32" s="409" t="s">
        <v>1037</v>
      </c>
    </row>
    <row r="33" spans="1:16" ht="39">
      <c r="A33" s="302">
        <v>31</v>
      </c>
      <c r="B33" s="303" t="s">
        <v>625</v>
      </c>
      <c r="C33" s="304" t="s">
        <v>393</v>
      </c>
      <c r="D33" s="303" t="s">
        <v>759</v>
      </c>
      <c r="E33" s="304" t="s">
        <v>328</v>
      </c>
      <c r="F33" s="304" t="s">
        <v>998</v>
      </c>
      <c r="G33" s="304">
        <v>240.05</v>
      </c>
      <c r="H33" s="305" t="s">
        <v>999</v>
      </c>
      <c r="I33" s="306" t="s">
        <v>1047</v>
      </c>
      <c r="J33" s="303">
        <v>1</v>
      </c>
      <c r="K33" s="303" t="s">
        <v>201</v>
      </c>
      <c r="L33" s="303" t="s">
        <v>1048</v>
      </c>
      <c r="M33" s="307"/>
      <c r="N33" s="307"/>
      <c r="O33" s="303"/>
      <c r="P33" s="411" t="s">
        <v>1049</v>
      </c>
    </row>
    <row r="34" spans="1:16" ht="39">
      <c r="A34" s="302">
        <v>32</v>
      </c>
      <c r="B34" s="303" t="s">
        <v>143</v>
      </c>
      <c r="C34" s="304" t="s">
        <v>932</v>
      </c>
      <c r="D34" s="303" t="s">
        <v>144</v>
      </c>
      <c r="E34" s="304" t="s">
        <v>397</v>
      </c>
      <c r="F34" s="304" t="s">
        <v>998</v>
      </c>
      <c r="G34" s="304">
        <v>249</v>
      </c>
      <c r="H34" s="305" t="s">
        <v>999</v>
      </c>
      <c r="I34" s="306" t="s">
        <v>1050</v>
      </c>
      <c r="J34" s="303">
        <v>1</v>
      </c>
      <c r="K34" s="303" t="s">
        <v>201</v>
      </c>
      <c r="L34" s="303" t="s">
        <v>1048</v>
      </c>
      <c r="M34" s="307"/>
      <c r="N34" s="307"/>
      <c r="O34" s="303"/>
      <c r="P34" s="411" t="s">
        <v>1049</v>
      </c>
    </row>
    <row r="35" spans="1:16" ht="26.25">
      <c r="A35" s="302">
        <v>33</v>
      </c>
      <c r="B35" s="303" t="s">
        <v>767</v>
      </c>
      <c r="C35" s="304" t="s">
        <v>302</v>
      </c>
      <c r="D35" s="303" t="s">
        <v>1051</v>
      </c>
      <c r="E35" s="304" t="s">
        <v>302</v>
      </c>
      <c r="F35" s="304" t="s">
        <v>1008</v>
      </c>
      <c r="G35" s="304">
        <v>172.61</v>
      </c>
      <c r="H35" s="305" t="s">
        <v>1009</v>
      </c>
      <c r="I35" s="306" t="s">
        <v>1052</v>
      </c>
      <c r="J35" s="303">
        <v>1</v>
      </c>
      <c r="K35" s="303" t="s">
        <v>201</v>
      </c>
      <c r="L35" s="303" t="s">
        <v>1048</v>
      </c>
      <c r="M35" s="307"/>
      <c r="N35" s="307"/>
      <c r="O35" s="303"/>
      <c r="P35" s="411" t="s">
        <v>1053</v>
      </c>
    </row>
    <row r="36" spans="1:16" ht="25.5">
      <c r="A36" s="402">
        <v>34</v>
      </c>
      <c r="B36" s="403" t="s">
        <v>626</v>
      </c>
      <c r="C36" s="404" t="s">
        <v>1054</v>
      </c>
      <c r="D36" s="403" t="s">
        <v>627</v>
      </c>
      <c r="E36" s="404" t="s">
        <v>1055</v>
      </c>
      <c r="F36" s="404" t="s">
        <v>998</v>
      </c>
      <c r="G36" s="404">
        <v>225.81</v>
      </c>
      <c r="H36" s="407" t="s">
        <v>1056</v>
      </c>
      <c r="I36" s="405" t="s">
        <v>1057</v>
      </c>
      <c r="J36" s="403">
        <v>1</v>
      </c>
      <c r="K36" s="403" t="s">
        <v>201</v>
      </c>
      <c r="L36" s="403" t="s">
        <v>207</v>
      </c>
      <c r="M36" s="406">
        <v>46150</v>
      </c>
      <c r="N36" s="406" t="s">
        <v>1001</v>
      </c>
      <c r="O36" s="403"/>
      <c r="P36" s="410" t="s">
        <v>1002</v>
      </c>
    </row>
    <row r="37" spans="1:16" ht="25.5">
      <c r="A37" s="402">
        <v>35</v>
      </c>
      <c r="B37" s="403" t="s">
        <v>626</v>
      </c>
      <c r="C37" s="404" t="s">
        <v>1054</v>
      </c>
      <c r="D37" s="403" t="s">
        <v>627</v>
      </c>
      <c r="E37" s="404" t="s">
        <v>1055</v>
      </c>
      <c r="F37" s="404" t="s">
        <v>1008</v>
      </c>
      <c r="G37" s="404">
        <v>225.81</v>
      </c>
      <c r="H37" s="407" t="s">
        <v>1031</v>
      </c>
      <c r="I37" s="405" t="s">
        <v>1033</v>
      </c>
      <c r="J37" s="403">
        <v>1</v>
      </c>
      <c r="K37" s="403" t="s">
        <v>201</v>
      </c>
      <c r="L37" s="403" t="s">
        <v>207</v>
      </c>
      <c r="M37" s="406">
        <v>46150</v>
      </c>
      <c r="N37" s="295" t="s">
        <v>1001</v>
      </c>
      <c r="O37" s="403"/>
      <c r="P37" s="410" t="s">
        <v>1002</v>
      </c>
    </row>
    <row r="38" spans="1:16" ht="25.5">
      <c r="A38" s="297">
        <v>36</v>
      </c>
      <c r="B38" s="298" t="s">
        <v>628</v>
      </c>
      <c r="C38" s="294" t="s">
        <v>354</v>
      </c>
      <c r="D38" s="298" t="s">
        <v>146</v>
      </c>
      <c r="E38" s="294" t="s">
        <v>361</v>
      </c>
      <c r="F38" s="294" t="s">
        <v>1008</v>
      </c>
      <c r="G38" s="294">
        <v>385</v>
      </c>
      <c r="H38" s="286" t="s">
        <v>1013</v>
      </c>
      <c r="I38" s="301" t="s">
        <v>1058</v>
      </c>
      <c r="J38" s="298">
        <v>1</v>
      </c>
      <c r="K38" s="298" t="s">
        <v>201</v>
      </c>
      <c r="L38" s="403" t="s">
        <v>207</v>
      </c>
      <c r="M38" s="295">
        <v>46153</v>
      </c>
      <c r="N38" s="295" t="s">
        <v>1001</v>
      </c>
      <c r="O38" s="298"/>
      <c r="P38" s="410" t="s">
        <v>1002</v>
      </c>
    </row>
    <row r="39" spans="1:16" s="619" customFormat="1">
      <c r="A39" s="302">
        <v>37</v>
      </c>
      <c r="B39" s="303" t="s">
        <v>146</v>
      </c>
      <c r="C39" s="304" t="s">
        <v>361</v>
      </c>
      <c r="D39" s="303" t="s">
        <v>629</v>
      </c>
      <c r="E39" s="304" t="s">
        <v>361</v>
      </c>
      <c r="F39" s="304" t="s">
        <v>1008</v>
      </c>
      <c r="G39" s="304">
        <v>429</v>
      </c>
      <c r="H39" s="305" t="s">
        <v>1024</v>
      </c>
      <c r="I39" s="306" t="s">
        <v>1059</v>
      </c>
      <c r="J39" s="303">
        <v>1</v>
      </c>
      <c r="K39" s="303" t="s">
        <v>201</v>
      </c>
      <c r="L39" s="303" t="s">
        <v>1048</v>
      </c>
      <c r="M39" s="307"/>
      <c r="N39" s="307"/>
      <c r="O39" s="303"/>
      <c r="P39" s="411" t="s">
        <v>1060</v>
      </c>
    </row>
    <row r="40" spans="1:16" s="619" customFormat="1">
      <c r="A40" s="302">
        <v>38</v>
      </c>
      <c r="B40" s="303" t="s">
        <v>146</v>
      </c>
      <c r="C40" s="304" t="s">
        <v>361</v>
      </c>
      <c r="D40" s="303" t="s">
        <v>629</v>
      </c>
      <c r="E40" s="304" t="s">
        <v>361</v>
      </c>
      <c r="F40" s="304" t="s">
        <v>1008</v>
      </c>
      <c r="G40" s="304">
        <v>429</v>
      </c>
      <c r="H40" s="305" t="s">
        <v>1009</v>
      </c>
      <c r="I40" s="306" t="s">
        <v>1061</v>
      </c>
      <c r="J40" s="303">
        <v>1</v>
      </c>
      <c r="K40" s="303" t="s">
        <v>201</v>
      </c>
      <c r="L40" s="303" t="s">
        <v>1048</v>
      </c>
      <c r="M40" s="307"/>
      <c r="N40" s="303"/>
      <c r="O40" s="303"/>
      <c r="P40" s="411" t="s">
        <v>1060</v>
      </c>
    </row>
    <row r="41" spans="1:16" s="619" customFormat="1">
      <c r="A41" s="302">
        <v>39</v>
      </c>
      <c r="B41" s="303" t="s">
        <v>146</v>
      </c>
      <c r="C41" s="304" t="s">
        <v>361</v>
      </c>
      <c r="D41" s="303" t="s">
        <v>629</v>
      </c>
      <c r="E41" s="304" t="s">
        <v>361</v>
      </c>
      <c r="F41" s="304" t="s">
        <v>1008</v>
      </c>
      <c r="G41" s="304">
        <v>429</v>
      </c>
      <c r="H41" s="305" t="s">
        <v>1011</v>
      </c>
      <c r="I41" s="306" t="s">
        <v>1062</v>
      </c>
      <c r="J41" s="303">
        <v>1</v>
      </c>
      <c r="K41" s="303" t="s">
        <v>201</v>
      </c>
      <c r="L41" s="303" t="s">
        <v>1048</v>
      </c>
      <c r="M41" s="307"/>
      <c r="N41" s="307"/>
      <c r="O41" s="303"/>
      <c r="P41" s="411" t="s">
        <v>1060</v>
      </c>
    </row>
    <row r="42" spans="1:16" ht="39">
      <c r="A42" s="302">
        <v>40</v>
      </c>
      <c r="B42" s="303" t="s">
        <v>1063</v>
      </c>
      <c r="C42" s="304" t="s">
        <v>400</v>
      </c>
      <c r="D42" s="303" t="s">
        <v>1064</v>
      </c>
      <c r="E42" s="304" t="s">
        <v>400</v>
      </c>
      <c r="F42" s="304" t="s">
        <v>1008</v>
      </c>
      <c r="G42" s="304">
        <v>360</v>
      </c>
      <c r="H42" s="304" t="s">
        <v>1009</v>
      </c>
      <c r="I42" s="306" t="s">
        <v>1065</v>
      </c>
      <c r="J42" s="303">
        <v>1</v>
      </c>
      <c r="K42" s="303" t="s">
        <v>201</v>
      </c>
      <c r="L42" s="303" t="s">
        <v>1048</v>
      </c>
      <c r="M42" s="307"/>
      <c r="N42" s="307"/>
      <c r="O42" s="303"/>
      <c r="P42" s="411" t="s">
        <v>1066</v>
      </c>
    </row>
    <row r="43" spans="1:16" ht="26.25">
      <c r="A43" s="297">
        <v>41</v>
      </c>
      <c r="B43" s="298" t="s">
        <v>639</v>
      </c>
      <c r="C43" s="294" t="s">
        <v>304</v>
      </c>
      <c r="D43" s="298" t="s">
        <v>468</v>
      </c>
      <c r="E43" s="294" t="s">
        <v>334</v>
      </c>
      <c r="F43" s="294" t="s">
        <v>1020</v>
      </c>
      <c r="G43" s="294">
        <v>244.02</v>
      </c>
      <c r="H43" s="294" t="s">
        <v>1021</v>
      </c>
      <c r="I43" s="301" t="s">
        <v>1067</v>
      </c>
      <c r="J43" s="298">
        <v>1</v>
      </c>
      <c r="K43" s="298" t="s">
        <v>201</v>
      </c>
      <c r="L43" s="298" t="s">
        <v>207</v>
      </c>
      <c r="M43" s="295">
        <v>45859</v>
      </c>
      <c r="N43" s="295" t="s">
        <v>1001</v>
      </c>
      <c r="O43" s="298" t="s">
        <v>1001</v>
      </c>
      <c r="P43" s="408" t="s">
        <v>1002</v>
      </c>
    </row>
    <row r="44" spans="1:16">
      <c r="A44" s="320">
        <v>42</v>
      </c>
      <c r="B44" s="321" t="s">
        <v>642</v>
      </c>
      <c r="C44" s="322" t="s">
        <v>354</v>
      </c>
      <c r="D44" s="321" t="s">
        <v>643</v>
      </c>
      <c r="E44" s="322" t="s">
        <v>339</v>
      </c>
      <c r="F44" s="322" t="s">
        <v>998</v>
      </c>
      <c r="G44" s="322">
        <v>364</v>
      </c>
      <c r="H44" s="322" t="s">
        <v>999</v>
      </c>
      <c r="I44" s="323" t="s">
        <v>1068</v>
      </c>
      <c r="J44" s="321">
        <v>1</v>
      </c>
      <c r="K44" s="321" t="s">
        <v>201</v>
      </c>
      <c r="L44" s="321" t="s">
        <v>207</v>
      </c>
      <c r="M44" s="324">
        <v>45854</v>
      </c>
      <c r="N44" s="324" t="s">
        <v>1001</v>
      </c>
      <c r="O44" s="321" t="s">
        <v>1001</v>
      </c>
      <c r="P44" s="409" t="s">
        <v>1019</v>
      </c>
    </row>
    <row r="45" spans="1:16">
      <c r="A45" s="320">
        <v>43</v>
      </c>
      <c r="B45" s="321" t="s">
        <v>643</v>
      </c>
      <c r="C45" s="322" t="s">
        <v>339</v>
      </c>
      <c r="D45" s="321" t="s">
        <v>644</v>
      </c>
      <c r="E45" s="322" t="s">
        <v>354</v>
      </c>
      <c r="F45" s="322" t="s">
        <v>998</v>
      </c>
      <c r="G45" s="322">
        <v>390</v>
      </c>
      <c r="H45" s="322" t="s">
        <v>999</v>
      </c>
      <c r="I45" s="323" t="s">
        <v>1069</v>
      </c>
      <c r="J45" s="321">
        <v>1</v>
      </c>
      <c r="K45" s="321" t="s">
        <v>201</v>
      </c>
      <c r="L45" s="321" t="s">
        <v>207</v>
      </c>
      <c r="M45" s="324">
        <v>45854</v>
      </c>
      <c r="N45" s="324" t="s">
        <v>1001</v>
      </c>
      <c r="O45" s="321" t="s">
        <v>1001</v>
      </c>
      <c r="P45" s="409" t="s">
        <v>1019</v>
      </c>
    </row>
    <row r="46" spans="1:16" ht="26.25">
      <c r="A46" s="297">
        <v>44</v>
      </c>
      <c r="B46" s="298" t="s">
        <v>655</v>
      </c>
      <c r="C46" s="294" t="s">
        <v>334</v>
      </c>
      <c r="D46" s="298" t="s">
        <v>656</v>
      </c>
      <c r="E46" s="294" t="s">
        <v>306</v>
      </c>
      <c r="F46" s="294" t="s">
        <v>1020</v>
      </c>
      <c r="G46" s="294">
        <v>242.91</v>
      </c>
      <c r="H46" s="294" t="s">
        <v>1021</v>
      </c>
      <c r="I46" s="301" t="s">
        <v>1070</v>
      </c>
      <c r="J46" s="298">
        <v>1</v>
      </c>
      <c r="K46" s="298" t="s">
        <v>201</v>
      </c>
      <c r="L46" s="298" t="s">
        <v>207</v>
      </c>
      <c r="M46" s="295">
        <v>45859</v>
      </c>
      <c r="N46" s="295" t="s">
        <v>1001</v>
      </c>
      <c r="O46" s="295" t="s">
        <v>1001</v>
      </c>
      <c r="P46" s="408" t="s">
        <v>1002</v>
      </c>
    </row>
    <row r="47" spans="1:16">
      <c r="A47" s="320">
        <v>45</v>
      </c>
      <c r="B47" s="321" t="s">
        <v>673</v>
      </c>
      <c r="C47" s="322" t="s">
        <v>680</v>
      </c>
      <c r="D47" s="321" t="s">
        <v>441</v>
      </c>
      <c r="E47" s="322" t="s">
        <v>361</v>
      </c>
      <c r="F47" s="322" t="s">
        <v>998</v>
      </c>
      <c r="G47" s="322">
        <v>437</v>
      </c>
      <c r="H47" s="322" t="s">
        <v>999</v>
      </c>
      <c r="I47" s="323" t="s">
        <v>1071</v>
      </c>
      <c r="J47" s="321">
        <v>1</v>
      </c>
      <c r="K47" s="321" t="s">
        <v>201</v>
      </c>
      <c r="L47" s="321" t="s">
        <v>207</v>
      </c>
      <c r="M47" s="324">
        <v>45897</v>
      </c>
      <c r="N47" s="324" t="s">
        <v>1001</v>
      </c>
      <c r="O47" s="321" t="s">
        <v>1001</v>
      </c>
      <c r="P47" s="409" t="s">
        <v>1019</v>
      </c>
    </row>
    <row r="48" spans="1:16">
      <c r="A48" s="402">
        <v>46</v>
      </c>
      <c r="B48" s="403" t="s">
        <v>679</v>
      </c>
      <c r="C48" s="404" t="s">
        <v>304</v>
      </c>
      <c r="D48" s="403" t="s">
        <v>467</v>
      </c>
      <c r="E48" s="404" t="s">
        <v>339</v>
      </c>
      <c r="F48" s="404" t="s">
        <v>1020</v>
      </c>
      <c r="G48" s="404">
        <v>210.48</v>
      </c>
      <c r="H48" s="404" t="s">
        <v>1021</v>
      </c>
      <c r="I48" s="405" t="s">
        <v>1072</v>
      </c>
      <c r="J48" s="403">
        <v>1</v>
      </c>
      <c r="K48" s="403" t="s">
        <v>202</v>
      </c>
      <c r="L48" s="403" t="s">
        <v>207</v>
      </c>
      <c r="M48" s="406">
        <v>46182</v>
      </c>
      <c r="N48" s="406" t="s">
        <v>1001</v>
      </c>
      <c r="O48" s="403"/>
      <c r="P48" s="410" t="s">
        <v>1104</v>
      </c>
    </row>
    <row r="49" spans="1:16" ht="25.5">
      <c r="A49" s="402">
        <v>47</v>
      </c>
      <c r="B49" s="403" t="s">
        <v>781</v>
      </c>
      <c r="C49" s="404" t="s">
        <v>1073</v>
      </c>
      <c r="D49" s="403" t="s">
        <v>153</v>
      </c>
      <c r="E49" s="404" t="s">
        <v>1074</v>
      </c>
      <c r="F49" s="404" t="s">
        <v>998</v>
      </c>
      <c r="G49" s="404">
        <v>233.53</v>
      </c>
      <c r="H49" s="404" t="s">
        <v>1075</v>
      </c>
      <c r="I49" s="405" t="s">
        <v>1076</v>
      </c>
      <c r="J49" s="403">
        <v>1</v>
      </c>
      <c r="K49" s="403" t="s">
        <v>202</v>
      </c>
      <c r="L49" s="403" t="s">
        <v>207</v>
      </c>
      <c r="M49" s="406">
        <v>46161</v>
      </c>
      <c r="N49" s="406" t="s">
        <v>1001</v>
      </c>
      <c r="O49" s="403"/>
      <c r="P49" s="410" t="s">
        <v>1002</v>
      </c>
    </row>
    <row r="50" spans="1:16">
      <c r="A50"/>
      <c r="B50"/>
      <c r="C50"/>
      <c r="D50"/>
      <c r="E50"/>
      <c r="F50"/>
      <c r="G50"/>
      <c r="H50"/>
      <c r="I50"/>
      <c r="J50" s="288"/>
      <c r="K50"/>
      <c r="L50"/>
      <c r="M50" s="299"/>
      <c r="N50" s="299"/>
      <c r="O50" s="299"/>
      <c r="P50" s="18"/>
    </row>
  </sheetData>
  <autoFilter ref="A2:P49" xr:uid="{5DD9906A-33EE-4458-9635-B3FEEDE72D53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3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36407-3E6D-4D26-8BFC-39A9F361D343}">
  <sheetPr codeName="Sheet22"/>
  <dimension ref="A1:F21"/>
  <sheetViews>
    <sheetView workbookViewId="0">
      <selection activeCell="K16" sqref="K16"/>
    </sheetView>
  </sheetViews>
  <sheetFormatPr defaultRowHeight="15"/>
  <cols>
    <col min="2" max="3" width="35.5703125" customWidth="1"/>
    <col min="4" max="4" width="12.140625" customWidth="1"/>
  </cols>
  <sheetData>
    <row r="1" spans="1:6" ht="21.75" thickBot="1">
      <c r="A1" s="334" t="s">
        <v>1077</v>
      </c>
      <c r="B1" s="333" t="s">
        <v>1078</v>
      </c>
      <c r="C1" s="333" t="s">
        <v>1091</v>
      </c>
      <c r="D1" s="333" t="s">
        <v>266</v>
      </c>
    </row>
    <row r="2" spans="1:6" ht="15.75">
      <c r="A2" s="331">
        <v>1</v>
      </c>
      <c r="B2" s="332" t="s">
        <v>1095</v>
      </c>
      <c r="C2" s="332" t="s">
        <v>1092</v>
      </c>
      <c r="D2" s="338" t="s">
        <v>1079</v>
      </c>
      <c r="F2" s="603" t="s">
        <v>67</v>
      </c>
    </row>
    <row r="3" spans="1:6" ht="15.75">
      <c r="A3" s="331">
        <v>2</v>
      </c>
      <c r="B3" s="332" t="s">
        <v>1096</v>
      </c>
      <c r="C3" s="332" t="s">
        <v>1093</v>
      </c>
      <c r="D3" s="338" t="s">
        <v>1079</v>
      </c>
      <c r="F3" s="603" t="s">
        <v>67</v>
      </c>
    </row>
    <row r="4" spans="1:6" ht="15.75">
      <c r="A4" s="325">
        <v>3</v>
      </c>
      <c r="B4" s="326" t="s">
        <v>1096</v>
      </c>
      <c r="C4" s="332" t="s">
        <v>1094</v>
      </c>
      <c r="D4" s="338" t="s">
        <v>1079</v>
      </c>
      <c r="F4" s="603" t="s">
        <v>67</v>
      </c>
    </row>
    <row r="5" spans="1:6" ht="15.75">
      <c r="A5" s="327">
        <v>4</v>
      </c>
      <c r="B5" s="328" t="s">
        <v>67</v>
      </c>
      <c r="C5" s="328"/>
      <c r="D5" s="328"/>
      <c r="F5" s="604"/>
    </row>
    <row r="6" spans="1:6">
      <c r="A6" s="327">
        <v>5</v>
      </c>
      <c r="B6" s="328"/>
      <c r="C6" s="328"/>
      <c r="D6" s="328"/>
    </row>
    <row r="7" spans="1:6">
      <c r="A7" s="327">
        <v>6</v>
      </c>
      <c r="B7" s="328"/>
      <c r="C7" s="328"/>
      <c r="D7" s="328"/>
    </row>
    <row r="8" spans="1:6">
      <c r="A8" s="327">
        <v>7</v>
      </c>
      <c r="B8" s="328"/>
      <c r="C8" s="328"/>
      <c r="D8" s="328"/>
    </row>
    <row r="9" spans="1:6">
      <c r="A9" s="327">
        <v>8</v>
      </c>
      <c r="B9" s="328"/>
      <c r="C9" s="328"/>
      <c r="D9" s="328"/>
    </row>
    <row r="10" spans="1:6">
      <c r="A10" s="327">
        <v>9</v>
      </c>
      <c r="B10" s="328"/>
      <c r="C10" s="328"/>
      <c r="D10" s="328"/>
    </row>
    <row r="11" spans="1:6">
      <c r="A11" s="327">
        <v>10</v>
      </c>
      <c r="B11" s="328"/>
      <c r="C11" s="328"/>
      <c r="D11" s="328"/>
    </row>
    <row r="12" spans="1:6">
      <c r="A12" s="327">
        <v>11</v>
      </c>
      <c r="B12" s="328"/>
      <c r="C12" s="328"/>
      <c r="D12" s="328"/>
    </row>
    <row r="13" spans="1:6">
      <c r="A13" s="327">
        <v>12</v>
      </c>
      <c r="B13" s="328"/>
      <c r="C13" s="328"/>
      <c r="D13" s="328"/>
    </row>
    <row r="14" spans="1:6">
      <c r="A14" s="327">
        <v>13</v>
      </c>
      <c r="B14" s="328"/>
      <c r="C14" s="328"/>
      <c r="D14" s="328"/>
    </row>
    <row r="15" spans="1:6">
      <c r="A15" s="327">
        <v>14</v>
      </c>
      <c r="B15" s="328"/>
      <c r="C15" s="328"/>
      <c r="D15" s="328"/>
    </row>
    <row r="16" spans="1:6">
      <c r="A16" s="327">
        <v>15</v>
      </c>
      <c r="B16" s="328"/>
      <c r="C16" s="328"/>
      <c r="D16" s="328"/>
    </row>
    <row r="17" spans="1:4">
      <c r="A17" s="327">
        <v>16</v>
      </c>
      <c r="B17" s="328"/>
      <c r="C17" s="328"/>
      <c r="D17" s="328"/>
    </row>
    <row r="18" spans="1:4">
      <c r="A18" s="327">
        <v>17</v>
      </c>
      <c r="B18" s="328"/>
      <c r="C18" s="328"/>
      <c r="D18" s="328"/>
    </row>
    <row r="19" spans="1:4">
      <c r="A19" s="327">
        <v>18</v>
      </c>
      <c r="B19" s="328"/>
      <c r="C19" s="328"/>
      <c r="D19" s="328"/>
    </row>
    <row r="20" spans="1:4">
      <c r="A20" s="327">
        <v>19</v>
      </c>
      <c r="B20" s="328"/>
      <c r="C20" s="328"/>
      <c r="D20" s="328"/>
    </row>
    <row r="21" spans="1:4" ht="15.75" thickBot="1">
      <c r="A21" s="329">
        <v>20</v>
      </c>
      <c r="B21" s="330"/>
      <c r="C21" s="330"/>
      <c r="D21" s="330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27347-2AF1-4696-925A-94B9856C85EE}">
  <sheetPr codeName="Sheet23"/>
  <dimension ref="A3:I6"/>
  <sheetViews>
    <sheetView workbookViewId="0">
      <selection activeCell="A3" sqref="A3:I6"/>
    </sheetView>
  </sheetViews>
  <sheetFormatPr defaultRowHeight="15"/>
  <cols>
    <col min="2" max="2" width="16.42578125" customWidth="1"/>
  </cols>
  <sheetData>
    <row r="3" spans="1:9">
      <c r="A3" t="s">
        <v>1080</v>
      </c>
    </row>
    <row r="5" spans="1:9">
      <c r="A5" s="29" t="s">
        <v>1081</v>
      </c>
      <c r="B5" s="29" t="s">
        <v>1082</v>
      </c>
      <c r="C5" s="29" t="s">
        <v>1083</v>
      </c>
      <c r="D5" s="29" t="s">
        <v>196</v>
      </c>
      <c r="E5" s="29" t="s">
        <v>197</v>
      </c>
      <c r="F5" s="29" t="s">
        <v>198</v>
      </c>
      <c r="G5" s="29" t="s">
        <v>199</v>
      </c>
      <c r="H5" s="29" t="s">
        <v>200</v>
      </c>
      <c r="I5" s="29" t="s">
        <v>1084</v>
      </c>
    </row>
    <row r="6" spans="1:9">
      <c r="A6" s="29">
        <v>1</v>
      </c>
      <c r="B6" s="29" t="s">
        <v>1085</v>
      </c>
      <c r="C6" s="45">
        <f t="shared" ref="C6:I6" si="0">17.112/7</f>
        <v>2.4445714285714284</v>
      </c>
      <c r="D6" s="45">
        <f t="shared" si="0"/>
        <v>2.4445714285714284</v>
      </c>
      <c r="E6" s="45">
        <f t="shared" si="0"/>
        <v>2.4445714285714284</v>
      </c>
      <c r="F6" s="45">
        <f t="shared" si="0"/>
        <v>2.4445714285714284</v>
      </c>
      <c r="G6" s="45">
        <f t="shared" si="0"/>
        <v>2.4445714285714284</v>
      </c>
      <c r="H6" s="45">
        <f t="shared" si="0"/>
        <v>2.4445714285714284</v>
      </c>
      <c r="I6" s="45">
        <f t="shared" si="0"/>
        <v>2.4445714285714284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8</vt:i4>
      </vt:variant>
    </vt:vector>
  </HeadingPairs>
  <TitlesOfParts>
    <vt:vector size="31" baseType="lpstr">
      <vt:lpstr>765KV TA 414 VNTL</vt:lpstr>
      <vt:lpstr>765KV ASOTL</vt:lpstr>
      <vt:lpstr>Project Details</vt:lpstr>
      <vt:lpstr>AOTL - KEC</vt:lpstr>
      <vt:lpstr>DPR Sheet</vt:lpstr>
      <vt:lpstr>Sheet5</vt:lpstr>
      <vt:lpstr>Sheet3</vt:lpstr>
      <vt:lpstr>Sheet1</vt:lpstr>
      <vt:lpstr>Survey</vt:lpstr>
      <vt:lpstr>Soil Inv.</vt:lpstr>
      <vt:lpstr>Survey Anx</vt:lpstr>
      <vt:lpstr>FDN</vt:lpstr>
      <vt:lpstr>Erection </vt:lpstr>
      <vt:lpstr>Visual chart 1 </vt:lpstr>
      <vt:lpstr>Pile Foundation</vt:lpstr>
      <vt:lpstr>Sheet6</vt:lpstr>
      <vt:lpstr>Sheet4</vt:lpstr>
      <vt:lpstr>Sheet7</vt:lpstr>
      <vt:lpstr>Stringing Compiled</vt:lpstr>
      <vt:lpstr>String</vt:lpstr>
      <vt:lpstr>Crossing</vt:lpstr>
      <vt:lpstr>Tree Enumeration</vt:lpstr>
      <vt:lpstr>Sheet2</vt:lpstr>
      <vt:lpstr>'765KV TA 414 VNTL'!Print_Area</vt:lpstr>
      <vt:lpstr>'AOTL - KEC'!Print_Area</vt:lpstr>
      <vt:lpstr>'DPR Sheet'!Print_Area</vt:lpstr>
      <vt:lpstr>'Erection '!Print_Area</vt:lpstr>
      <vt:lpstr>FDN!Print_Area</vt:lpstr>
      <vt:lpstr>'Stringing Compiled'!Print_Area</vt:lpstr>
      <vt:lpstr>'Visual chart 1 '!Print_Area</vt:lpstr>
      <vt:lpstr>FDN!Print_Titles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 Shridhar K</dc:creator>
  <cp:keywords/>
  <dc:description/>
  <cp:lastModifiedBy>Jayant Vaishnav</cp:lastModifiedBy>
  <cp:revision/>
  <cp:lastPrinted>2026-06-02T13:50:34Z</cp:lastPrinted>
  <dcterms:created xsi:type="dcterms:W3CDTF">2023-12-20T18:09:34Z</dcterms:created>
  <dcterms:modified xsi:type="dcterms:W3CDTF">2026-06-11T13:38:04Z</dcterms:modified>
  <cp:category/>
  <cp:contentStatus/>
</cp:coreProperties>
</file>