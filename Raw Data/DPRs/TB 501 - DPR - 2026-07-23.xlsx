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3 July 2026/"/>
    </mc:Choice>
  </mc:AlternateContent>
  <xr:revisionPtr revIDLastSave="4306" documentId="8_{16FA9FDA-04F7-4315-B5A3-F2AC902332DB}" xr6:coauthVersionLast="47" xr6:coauthVersionMax="47" xr10:uidLastSave="{05184415-2927-4519-9DDC-A440ACDD0149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<sst xmlns="http://schemas.openxmlformats.org/spreadsheetml/2006/main" count="11707" uniqueCount="769">
  <si>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</si>
  <si>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</si>
  <si>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</si>
  <si>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</si>
  <si>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</si>
  <si>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</si>
  <si>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</si>
  <si>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</si>
  <si>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</si>
  <si>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</si>
  <si>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</si>
  <si>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</si>
  <si>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</si>
  <si>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</si>
  <si>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</si>
  <si>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</si>
  <si>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</si>
  <si>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</si>
  <si>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</si>
  <si>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</si>
  <si>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</si>
  <si>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</si>
  <si>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</si>
  <si>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</si>
  <si>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</si>
  <si>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</si>
  <si>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</si>
  <si>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</si>
  <si>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</si>
  <si>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</si>
  <si>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</si>
  <si>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</si>
  <si>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</si>
  <si>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</si>
  <si>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</si>
  <si>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</si>
  <si>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</si>
  <si>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</si>
  <si>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</si>
  <si>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</si>
  <si>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</si>
  <si>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</si>
  <si>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</si>
  <si>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</si>
  <si>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</si>
  <si>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</si>
  <si>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</si>
  <si>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</si>
  <si>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</si>
  <si>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</si>
  <si>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</si>
  <si>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</si>
  <si>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</si>
  <si>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</si>
  <si>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</si>
  <si>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</si>
  <si>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</si>
  <si>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</si>
  <si>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</si>
  <si>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</si>
  <si>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</si>
  <si>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</si>
  <si>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</si>
  <si>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</si>
  <si>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</si>
  <si>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</si>
  <si>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</si>
  <si>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</si>
  <si>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</si>
  <si>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</si>
  <si>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</si>
  <si>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</si>
  <si>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</si>
  <si>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</si>
  <si>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</si>
  <si>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</si>
  <si>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</si>
  <si>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</si>
  <si>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</si>
  <si>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</si>
  <si>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</si>
  <si>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</si>
  <si>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</si>
  <si>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</si>
  <si>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</si>
  <si>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</si>
  <si>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</si>
  <si>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</si>
  <si>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</si>
  <si>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</si>
  <si>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</si>
  <si>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</si>
  <si>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</si>
  <si>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</si>
  <si>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</si>
  <si>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</si>
  <si>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</si>
  <si>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</si>
  <si>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</si>
  <si>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</si>
  <si>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</si>
  <si>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</si>
  <si>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</si>
  <si>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</si>
  <si>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</si>
  <si>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</si>
  <si>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</si>
  <si>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</si>
  <si>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</si>
  <si>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</si>
  <si>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</si>
  <si>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</si>
  <si>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</si>
  <si>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</si>
  <si>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</si>
  <si>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</si>
  <si>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</si>
  <si>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</si>
  <si>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</si>
  <si>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</si>
  <si>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</si>
  <si>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</si>
  <si>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</si>
  <si>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</si>
  <si>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</si>
  <si>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</si>
  <si>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</si>
  <si>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</si>
  <si>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</si>
  <si>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</si>
  <si>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</si>
  <si>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</si>
  <si>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</si>
  <si>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</si>
  <si>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</si>
  <si>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</si>
  <si>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</si>
  <si>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</si>
  <si>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</si>
  <si>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</si>
  <si>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</si>
  <si>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</si>
  <si>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</si>
  <si>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</si>
  <si>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</si>
  <si>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</si>
  <si>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</si>
  <si>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</si>
  <si>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</si>
  <si>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</si>
  <si>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</si>
  <si>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</si>
  <si>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</si>
  <si>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</si>
  <si>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</si>
  <si>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</si>
  <si>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</si>
  <si>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</si>
  <si>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</si>
  <si>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</si>
  <si>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</si>
  <si>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</si>
  <si>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</si>
  <si>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</si>
  <si>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</si>
  <si>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</si>
  <si>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</si>
  <si>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</si>
  <si>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</si>
  <si>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</si>
  <si>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</si>
  <si>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</si>
  <si>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</si>
  <si>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</si>
  <si>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</si>
  <si>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</si>
  <si>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</si>
  <si>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</si>
  <si>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</si>
  <si>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</si>
  <si>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</si>
  <si>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</si>
  <si>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</si>
  <si>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</si>
  <si>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</si>
  <si>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</si>
  <si>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</si>
  <si>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</si>
  <si>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</si>
  <si>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</si>
  <si>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</si>
  <si>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</si>
  <si>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</si>
  <si>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</si>
  <si>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</si>
  <si>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</si>
  <si>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</si>
  <si>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</si>
  <si>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</si>
  <si>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</si>
  <si>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</si>
  <si>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</si>
  <si>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</si>
  <si>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</si>
  <si>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</si>
  <si>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</si>
  <si>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</si>
  <si>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</si>
  <si>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</si>
  <si>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</si>
  <si>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</si>
  <si>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</si>
  <si>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</si>
  <si>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</si>
  <si>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</si>
  <si>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</si>
  <si>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</si>
  <si>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</si>
  <si>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</si>
  <si>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</si>
  <si>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</si>
  <si>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</si>
  <si>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</si>
  <si>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</si>
  <si>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</si>
  <si>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</si>
  <si>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</si>
  <si>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</si>
  <si>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</si>
  <si>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</si>
  <si>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</si>
  <si>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</si>
  <si>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</si>
  <si>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</si>
  <si>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</si>
  <si>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</si>
  <si>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</si>
  <si>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</si>
  <si>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</si>
  <si>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</si>
  <si>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</si>
  <si>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</si>
  <si>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</si>
  <si>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</si>
  <si>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</si>
  <si>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</si>
  <si>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</si>
  <si>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</si>
  <si>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</si>
  <si>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</si>
  <si>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</si>
  <si>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</si>
  <si>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</si>
  <si>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</si>
  <si>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</si>
  <si>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</si>
  <si>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</si>
  <si>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</si>
  <si>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</si>
  <si>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</si>
  <si>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</si>
  <si>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</si>
  <si>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</si>
  <si>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</si>
  <si>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</si>
  <si>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</si>
  <si>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</si>
  <si>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</si>
  <si>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</si>
  <si>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</si>
  <si>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</si>
  <si>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</si>
  <si>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</si>
  <si>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</si>
  <si>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</si>
  <si>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</si>
  <si>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</si>
  <si>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</si>
  <si>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</si>
  <si>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</si>
  <si>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</si>
  <si>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</si>
  <si>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</si>
  <si>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</si>
  <si>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</si>
  <si>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</si>
  <si>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</si>
  <si>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</si>
  <si>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</si>
  <si>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</si>
  <si>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</si>
  <si>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</si>
  <si>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</si>
  <si>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</si>
  <si>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</si>
  <si>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</si>
  <si>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</si>
  <si>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</si>
  <si>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</si>
  <si>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</si>
  <si>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</si>
  <si>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</si>
  <si>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</si>
  <si>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</si>
  <si>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</si>
  <si>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</si>
  <si>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</si>
  <si>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</si>
  <si>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</si>
  <si>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</si>
  <si>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</si>
  <si>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</si>
  <si>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</si>
  <si>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</si>
  <si>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</si>
  <si>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</si>
  <si>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</si>
  <si>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</si>
  <si>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</si>
  <si>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</si>
  <si>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</si>
  <si>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</si>
  <si>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</si>
  <si>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</si>
  <si>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</si>
  <si>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</si>
  <si>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</si>
  <si>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</si>
  <si>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</si>
  <si>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</si>
  <si>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</si>
  <si>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</si>
  <si>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</si>
  <si>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</si>
  <si>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</si>
  <si>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</si>
  <si>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</si>
  <si>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</si>
  <si>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</si>
  <si>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</si>
  <si>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</si>
  <si>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</si>
  <si>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</si>
  <si>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</si>
  <si>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</si>
  <si>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</si>
  <si>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</si>
  <si>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</si>
  <si>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</si>
  <si>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</si>
  <si>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</si>
  <si>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</si>
  <si>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</si>
  <si>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</si>
  <si>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</si>
  <si>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</si>
  <si>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</si>
  <si>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</si>
  <si>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</si>
  <si>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</si>
  <si>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</si>
  <si>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</si>
  <si>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</si>
  <si>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</si>
  <si>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</si>
  <si>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</si>
  <si>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</si>
  <si>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</si>
  <si>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</si>
  <si>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</si>
  <si>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</si>
  <si>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</si>
  <si>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</si>
  <si>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</si>
  <si>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</si>
  <si>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</si>
  <si>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</si>
  <si>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</si>
  <si>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</si>
  <si>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</si>
  <si>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</si>
  <si>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</si>
  <si>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</si>
  <si>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</si>
  <si>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</si>
  <si>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</si>
  <si>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</si>
  <si>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</si>
  <si>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</si>
  <si>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</si>
  <si>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</si>
  <si>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</si>
  <si>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</si>
  <si>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</si>
  <si>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</si>
  <si>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</si>
  <si>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</si>
  <si>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</si>
  <si>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</si>
  <si>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</si>
  <si>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</si>
  <si>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</si>
  <si>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</si>
  <si>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</si>
  <si>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</si>
  <si>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</si>
  <si>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</si>
  <si>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</si>
  <si>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</si>
  <si>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</si>
  <si>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</si>
  <si>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</si>
  <si>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</si>
  <si>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</si>
  <si>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</si>
  <si>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</si>
  <si>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</si>
  <si>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</si>
  <si>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</si>
  <si>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</si>
  <si>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</si>
  <si>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</si>
  <si>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</si>
  <si>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</si>
  <si>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</si>
  <si>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</si>
  <si>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</si>
  <si>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</si>
  <si>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</si>
  <si>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</si>
  <si>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</si>
  <si>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</si>
  <si>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</si>
  <si>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</si>
  <si>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</si>
  <si>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</si>
  <si>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</si>
  <si>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</si>
  <si>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</si>
  <si>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</si>
  <si>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</si>
  <si>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</si>
  <si>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</si>
  <si>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</si>
  <si>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</si>
  <si>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</si>
  <si>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</si>
  <si>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</si>
  <si>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</si>
  <si>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</si>
  <si>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</si>
  <si>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</si>
  <si>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</si>
  <si>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</si>
  <si>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</si>
  <si>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</si>
  <si>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</si>
  <si>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</si>
  <si>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</si>
  <si>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</si>
  <si>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</si>
  <si>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</si>
  <si>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</si>
  <si>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</si>
  <si>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</si>
  <si>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</si>
  <si>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</si>
  <si>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</si>
  <si>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</si>
  <si>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</si>
  <si>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</si>
  <si>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</si>
  <si>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</si>
  <si>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</si>
  <si>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</si>
  <si>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</si>
  <si>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</si>
  <si>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</si>
  <si>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</si>
  <si>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</si>
  <si>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</si>
  <si>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</si>
  <si>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</si>
  <si>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</si>
  <si>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</si>
  <si>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</si>
  <si>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</si>
  <si>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</si>
  <si>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</si>
  <si>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</si>
  <si>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</si>
  <si>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</si>
  <si>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</si>
  <si>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</si>
  <si>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</si>
  <si>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</si>
  <si>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</si>
  <si>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</si>
  <si>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</si>
  <si>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</si>
  <si>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</si>
  <si>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</si>
  <si>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</si>
  <si>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</si>
  <si>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</si>
  <si>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</si>
  <si>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</si>
  <si>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</si>
  <si>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</si>
  <si>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</si>
  <si>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</si>
  <si>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</si>
  <si>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</si>
  <si>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</si>
  <si>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</si>
  <si>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</si>
  <si>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</si>
  <si>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</si>
  <si>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</si>
  <si>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</si>
  <si>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</si>
  <si>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</si>
  <si>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</si>
  <si>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</si>
  <si>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</si>
  <si>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</si>
  <si>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</si>
  <si>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</si>
  <si>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</si>
  <si>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</si>
  <si>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</si>
  <si>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</si>
  <si>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</si>
  <si>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</si>
  <si>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</si>
  <si>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</si>
  <si>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</si>
  <si>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</si>
  <si>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</si>
  <si>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</si>
  <si>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</si>
  <si>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</si>
  <si>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</si>
  <si>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</si>
  <si>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</si>
  <si>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</si>
  <si>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</si>
  <si>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</si>
  <si>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</si>
  <si>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</si>
  <si>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</si>
  <si>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</si>
  <si>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</si>
  <si>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</si>
  <si>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</si>
  <si>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</si>
  <si>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</si>
  <si>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</si>
  <si>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</si>
  <si>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</si>
  <si>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</si>
  <si>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</si>
  <si>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</si>
  <si>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</si>
  <si>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</si>
  <si>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</si>
  <si>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</si>
  <si>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</si>
  <si>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</si>
  <si>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</si>
  <si>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</si>
  <si>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</si>
  <si>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</si>
  <si>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</si>
  <si>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</si>
  <si>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</si>
  <si>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</si>
  <si>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</si>
  <si>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</si>
  <si>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</si>
  <si>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</si>
  <si>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</si>
  <si>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</si>
  <si>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</si>
  <si>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</si>
  <si>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</si>
  <si>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</si>
  <si>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</si>
  <si>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</si>
  <si>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</si>
  <si>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</si>
  <si>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</si>
  <si>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</si>
  <si>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</si>
  <si>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</si>
  <si>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</si>
  <si>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</si>
  <si>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</si>
  <si>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</si>
  <si>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</si>
  <si>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</si>
  <si>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</si>
  <si>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</si>
  <si>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</si>
  <si>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</si>
  <si>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</si>
  <si>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</si>
  <si>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</si>
  <si>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</si>
  <si>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</si>
  <si>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</si>
  <si>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</si>
  <si>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</si>
  <si>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</si>
  <si>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</si>
  <si>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</si>
  <si>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</si>
  <si>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</si>
  <si>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</si>
  <si>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</si>
  <si>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</si>
  <si>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</si>
  <si>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</si>
  <si>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</si>
  <si>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</si>
  <si>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</si>
  <si>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</si>
  <si>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</si>
  <si>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</si>
  <si>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</si>
  <si>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</si>
  <si>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</si>
  <si>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</si>
  <si>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</si>
  <si>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</si>
  <si>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</si>
  <si>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</si>
  <si>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</si>
  <si>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</si>
  <si>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</si>
  <si>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</si>
  <si>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</si>
  <si>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</si>
  <si>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</si>
  <si>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</si>
  <si>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</si>
  <si>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</si>
  <si>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</si>
  <si>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</si>
  <si>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</si>
  <si>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</si>
  <si>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</si>
  <si>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</si>
  <si>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</si>
  <si>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</si>
  <si>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</si>
  <si>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</si>
  <si>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</si>
  <si>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</si>
  <si>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</si>
  <si>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</si>
  <si>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</si>
  <si>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</si>
  <si>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</si>
  <si>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</si>
  <si>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</si>
  <si>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</si>
  <si>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</si>
  <si>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</si>
  <si>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</si>
  <si>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</si>
  <si>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</si>
  <si>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</si>
  <si>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</si>
  <si>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</si>
  <si>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</si>
  <si>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</si>
  <si>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</si>
  <si>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</si>
  <si>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</si>
  <si>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</si>
  <si>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</si>
  <si>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</si>
  <si>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</si>
  <si>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</si>
  <si>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</si>
  <si>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</si>
  <si>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</si>
  <si>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</si>
  <si>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</si>
  <si>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</si>
  <si>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</si>
  <si>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</si>
  <si>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</si>
  <si>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</si>
  <si>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</si>
  <si>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</si>
  <si>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</si>
  <si>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</si>
  <si>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</si>
  <si>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</si>
  <si>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</si>
  <si>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</si>
  <si>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</si>
  <si>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</si>
  <si>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</si>
  <si>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</si>
  <si>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</si>
  <si>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</si>
  <si>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</si>
  <si>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</si>
  <si>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</si>
  <si>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</si>
  <si>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</si>
  <si>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</si>
  <si>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</si>
  <si>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</si>
  <si>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</si>
  <si>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</si>
  <si>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</si>
  <si>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</si>
  <si>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</si>
  <si>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</si>
  <si>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</si>
  <si>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</si>
  <si>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</si>
  <si>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</si>
  <si>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</si>
  <si>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</si>
  <si>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</si>
  <si>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</si>
  <si>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</si>
  <si>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</si>
  <si>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</si>
  <si>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</si>
  <si>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</si>
  <si>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</si>
  <si>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</si>
  <si>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</si>
  <si>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</si>
  <si>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</si>
  <si>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</si>
  <si>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</si>
  <si>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</si>
  <si>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</si>
  <si>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</si>
  <si>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</si>
  <si>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</si>
  <si>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</si>
  <si>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</si>
  <si>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</si>
  <si>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</si>
  <si>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</si>
  <si>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</si>
  <si>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</si>
  <si>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</si>
  <si>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</si>
  <si>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</si>
  <si>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</si>
  <si>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</si>
  <si>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</si>
  <si>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</si>
  <si>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</si>
  <si>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</si>
  <si>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</si>
  <si>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</si>
  <si>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</si>
  <si>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</si>
  <si>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SC-1 Erection U/P, Entire Balance work is from CPP to Hydro inside HZL (Additional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</si>
</sst>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">
        <v>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1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302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1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3"/>
    </row>
    <row r="2" spans="1:26" ht="14.25" customHeight="1">
      <c r="A2" s="621" t="s">
        <v>296</v>
      </c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3"/>
    </row>
    <row r="3" spans="1:26" ht="30" customHeight="1">
      <c r="A3" s="632" t="s">
        <v>2</v>
      </c>
      <c r="B3" s="632" t="s">
        <v>3</v>
      </c>
      <c r="C3" s="632" t="s">
        <v>4</v>
      </c>
      <c r="D3" s="2" t="s">
        <v>5</v>
      </c>
      <c r="E3" s="2" t="s">
        <v>6</v>
      </c>
      <c r="F3" s="624" t="s">
        <v>7</v>
      </c>
      <c r="G3" s="622"/>
      <c r="H3" s="622"/>
      <c r="I3" s="623"/>
      <c r="J3" s="2" t="s">
        <v>8</v>
      </c>
      <c r="K3" s="624" t="s">
        <v>9</v>
      </c>
      <c r="L3" s="622"/>
      <c r="M3" s="622"/>
      <c r="N3" s="623"/>
      <c r="O3" s="2" t="s">
        <v>10</v>
      </c>
      <c r="P3" s="4" t="s">
        <v>11</v>
      </c>
      <c r="Q3" s="625" t="s">
        <v>12</v>
      </c>
      <c r="R3" s="622"/>
      <c r="S3" s="623"/>
      <c r="T3" s="626" t="s">
        <v>13</v>
      </c>
      <c r="U3" s="622"/>
      <c r="V3" s="623"/>
      <c r="W3" s="627" t="s">
        <v>14</v>
      </c>
      <c r="X3" s="628"/>
      <c r="Y3" s="629"/>
      <c r="Z3" s="630" t="s">
        <v>15</v>
      </c>
    </row>
    <row r="4" spans="1:26" ht="22.5" customHeight="1">
      <c r="A4" s="631"/>
      <c r="B4" s="631"/>
      <c r="C4" s="631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1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19" activePane="bottomRight" state="frozen"/>
      <selection pane="topRight" activeCell="C1" sqref="C1"/>
      <selection pane="bottomLeft" activeCell="A8" sqref="A8"/>
      <selection pane="bottomRight" activeCell="P28" sqref="P28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612" t="s">
        <v>345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13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14" t="s">
        <v>346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339"/>
      <c r="O2" s="616" t="s">
        <v>347</v>
      </c>
      <c r="P2" s="615"/>
      <c r="Q2" s="61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17" t="s">
        <v>348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8"/>
      <c r="N3" s="619"/>
      <c r="O3" s="620" t="s">
        <v>349</v>
      </c>
      <c r="P3" s="615"/>
      <c r="Q3" s="61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5" t="s">
        <v>350</v>
      </c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340"/>
      <c r="N4" s="340"/>
      <c r="O4" s="602" t="s">
        <v>351</v>
      </c>
      <c r="P4" s="603"/>
      <c r="Q4" s="603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6" t="s">
        <v>353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08"/>
      <c r="Q5" s="384" t="s">
        <v>354</v>
      </c>
      <c r="R5" s="385">
        <v>46226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09" t="s">
        <v>355</v>
      </c>
      <c r="B6" s="611" t="s">
        <v>356</v>
      </c>
      <c r="C6" s="611" t="s">
        <v>357</v>
      </c>
      <c r="D6" s="611" t="s">
        <v>358</v>
      </c>
      <c r="E6" s="593" t="s">
        <v>359</v>
      </c>
      <c r="F6" s="595"/>
      <c r="G6" s="593" t="s">
        <v>360</v>
      </c>
      <c r="H6" s="595"/>
      <c r="I6" s="604" t="s">
        <v>766</v>
      </c>
      <c r="J6" s="594"/>
      <c r="K6" s="595"/>
      <c r="L6" s="593" t="s">
        <v>361</v>
      </c>
      <c r="M6" s="594"/>
      <c r="N6" s="595"/>
      <c r="O6" s="593" t="s">
        <v>362</v>
      </c>
      <c r="P6" s="594"/>
      <c r="Q6" s="595"/>
      <c r="R6" s="591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0"/>
      <c r="B7" s="597"/>
      <c r="C7" s="597"/>
      <c r="D7" s="597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2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596"/>
      <c r="P10" s="596"/>
      <c r="Q10" s="598">
        <f t="shared" si="1"/>
        <v>0</v>
      </c>
      <c r="R10" s="600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597"/>
      <c r="P11" s="597"/>
      <c r="Q11" s="599"/>
      <c r="R11" s="601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88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570">
        <v>0</v>
      </c>
      <c r="P15" s="596">
        <v>0</v>
      </c>
      <c r="Q15" s="570">
        <f>+O15-P15</f>
        <v>0</v>
      </c>
      <c r="R15" s="589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597"/>
      <c r="P16" s="597"/>
      <c r="Q16" s="597"/>
      <c r="R16" s="590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579" t="s">
        <v>391</v>
      </c>
      <c r="B19" s="580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581"/>
      <c r="Q19" s="74" t="s">
        <v>354</v>
      </c>
      <c r="R19" s="75">
        <f>+R5</f>
        <v>46226</v>
      </c>
    </row>
    <row r="20" spans="1:18" ht="30" customHeight="1">
      <c r="A20" s="582" t="s">
        <v>355</v>
      </c>
      <c r="B20" s="584" t="s">
        <v>356</v>
      </c>
      <c r="C20" s="584" t="s">
        <v>357</v>
      </c>
      <c r="D20" s="584" t="s">
        <v>358</v>
      </c>
      <c r="E20" s="585" t="s">
        <v>359</v>
      </c>
      <c r="F20" s="586"/>
      <c r="G20" s="585" t="s">
        <v>360</v>
      </c>
      <c r="H20" s="586"/>
      <c r="I20" s="585" t="str">
        <f>+I6</f>
        <v>Progress of Current Month (July'26)</v>
      </c>
      <c r="J20" s="587"/>
      <c r="K20" s="586"/>
      <c r="L20" s="585" t="s">
        <v>361</v>
      </c>
      <c r="M20" s="587"/>
      <c r="N20" s="586"/>
      <c r="O20" s="585" t="s">
        <v>362</v>
      </c>
      <c r="P20" s="587"/>
      <c r="Q20" s="586"/>
      <c r="R20" s="572" t="s">
        <v>363</v>
      </c>
    </row>
    <row r="21" spans="1:18" ht="12.75" customHeight="1">
      <c r="A21" s="583"/>
      <c r="B21" s="575"/>
      <c r="C21" s="575"/>
      <c r="D21" s="575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73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76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577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577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570">
        <v>1</v>
      </c>
      <c r="P29" s="570">
        <v>1</v>
      </c>
      <c r="Q29" s="574">
        <f>+O29-P29</f>
        <v>0</v>
      </c>
      <c r="R29" s="577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571"/>
      <c r="P30" s="571"/>
      <c r="Q30" s="575"/>
      <c r="R30" s="577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578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0:R21"/>
    <mergeCell ref="Q29:Q30"/>
    <mergeCell ref="R26:R31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3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3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4" t="s">
        <v>410</v>
      </c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3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4" t="s">
        <v>437</v>
      </c>
      <c r="B11" s="622"/>
      <c r="C11" s="622"/>
      <c r="D11" s="622"/>
      <c r="E11" s="622"/>
      <c r="F11" s="622"/>
      <c r="G11" s="622"/>
      <c r="H11" s="622"/>
      <c r="I11" s="622"/>
      <c r="J11" s="622"/>
      <c r="K11" s="622"/>
      <c r="L11" s="622"/>
      <c r="M11" s="622"/>
      <c r="N11" s="622"/>
      <c r="O11" s="622"/>
      <c r="P11" s="622"/>
      <c r="Q11" s="622"/>
      <c r="R11" s="622"/>
      <c r="S11" s="623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I6" activePane="bottomRight" state="frozen"/>
      <selection pane="topRight" activeCell="D1" sqref="D1"/>
      <selection pane="bottomLeft" activeCell="A6" sqref="A6"/>
      <selection pane="bottomRight" activeCell="AM8" sqref="AM8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621" t="str">
        <f>+Summary!A2</f>
        <v>Name of the Line: 220KV DC AL59 line from Neemuch - Chanderiya + 132KV DC ACSS Line from Chanderiya to Hindustan Zinc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  <c r="AD1" s="636"/>
      <c r="AE1" s="636"/>
      <c r="AF1" s="636"/>
      <c r="AG1" s="636"/>
      <c r="AH1" s="636"/>
      <c r="AI1" s="636"/>
      <c r="AJ1" s="636"/>
      <c r="AK1" s="636"/>
      <c r="AL1" s="622"/>
      <c r="AM1" s="622"/>
      <c r="AN1" s="622"/>
      <c r="AO1" s="622"/>
      <c r="AP1" s="622"/>
      <c r="AQ1" s="636"/>
      <c r="AR1" s="636"/>
      <c r="AS1" s="636"/>
      <c r="AT1" s="636"/>
      <c r="AU1" s="636"/>
      <c r="AV1" s="636"/>
      <c r="AW1" s="636"/>
      <c r="AX1" s="636"/>
      <c r="AY1" s="636"/>
      <c r="AZ1" s="636"/>
      <c r="BA1" s="635"/>
    </row>
    <row r="2" spans="1:53" ht="14.25" customHeight="1">
      <c r="A2" s="621" t="str">
        <f>+Summary!A5</f>
        <v>Progress of 220kV Line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  <c r="AD2" s="636"/>
      <c r="AE2" s="636"/>
      <c r="AF2" s="636"/>
      <c r="AG2" s="636"/>
      <c r="AH2" s="636"/>
      <c r="AI2" s="636"/>
      <c r="AJ2" s="636"/>
      <c r="AK2" s="636"/>
      <c r="AL2" s="622"/>
      <c r="AM2" s="622"/>
      <c r="AN2" s="622"/>
      <c r="AO2" s="622"/>
      <c r="AP2" s="622"/>
      <c r="AQ2" s="636"/>
      <c r="AR2" s="636"/>
      <c r="AS2" s="636"/>
      <c r="AT2" s="636"/>
      <c r="AU2" s="636"/>
      <c r="AV2" s="636"/>
      <c r="AW2" s="636"/>
      <c r="AX2" s="636"/>
      <c r="AY2" s="636"/>
      <c r="AZ2" s="636"/>
      <c r="BA2" s="635"/>
    </row>
    <row r="3" spans="1:53" ht="23.1" customHeight="1">
      <c r="A3" s="621" t="s">
        <v>467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5"/>
      <c r="T3" s="621" t="s">
        <v>379</v>
      </c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5"/>
      <c r="AL3" s="621" t="s">
        <v>381</v>
      </c>
      <c r="AM3" s="622"/>
      <c r="AN3" s="622"/>
      <c r="AO3" s="622"/>
      <c r="AP3" s="623"/>
      <c r="AQ3" s="621" t="s">
        <v>468</v>
      </c>
      <c r="AR3" s="636"/>
      <c r="AS3" s="636"/>
      <c r="AT3" s="635"/>
      <c r="AU3" s="55" t="s">
        <v>469</v>
      </c>
      <c r="AV3" s="621" t="s">
        <v>470</v>
      </c>
      <c r="AW3" s="636"/>
      <c r="AX3" s="636"/>
      <c r="AY3" s="636"/>
      <c r="AZ3" s="635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7" t="s">
        <v>472</v>
      </c>
      <c r="H4" s="638"/>
      <c r="I4" s="638"/>
      <c r="J4" s="639"/>
      <c r="K4" s="637" t="s">
        <v>473</v>
      </c>
      <c r="L4" s="638"/>
      <c r="M4" s="638"/>
      <c r="N4" s="639"/>
      <c r="O4" s="640" t="s">
        <v>9</v>
      </c>
      <c r="P4" s="636"/>
      <c r="Q4" s="636"/>
      <c r="R4" s="635"/>
      <c r="S4" s="111" t="s">
        <v>474</v>
      </c>
      <c r="T4" s="55" t="s">
        <v>475</v>
      </c>
      <c r="U4" s="2" t="s">
        <v>476</v>
      </c>
      <c r="V4" s="621" t="s">
        <v>477</v>
      </c>
      <c r="W4" s="636"/>
      <c r="X4" s="635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1" t="s">
        <v>486</v>
      </c>
      <c r="AH4" s="635"/>
      <c r="AI4" s="621" t="s">
        <v>487</v>
      </c>
      <c r="AJ4" s="635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34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5" t="s">
        <v>507</v>
      </c>
      <c r="I4" s="646"/>
      <c r="J4" s="646"/>
      <c r="K4" s="647"/>
      <c r="L4" s="645" t="s">
        <v>472</v>
      </c>
      <c r="M4" s="648"/>
      <c r="N4" s="648"/>
      <c r="O4" s="648"/>
      <c r="P4" s="649"/>
      <c r="Q4" s="645" t="s">
        <v>473</v>
      </c>
      <c r="R4" s="648"/>
      <c r="S4" s="649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4" t="s">
        <v>512</v>
      </c>
      <c r="AC6" s="623"/>
      <c r="AD6" s="624" t="s">
        <v>513</v>
      </c>
      <c r="AE6" s="622"/>
      <c r="AF6" s="622"/>
      <c r="AG6" s="622"/>
      <c r="AH6" s="622"/>
      <c r="AI6" s="622"/>
      <c r="AJ6" s="622"/>
      <c r="AK6" s="623"/>
      <c r="AL6" s="150"/>
      <c r="AM6" s="55" t="s">
        <v>514</v>
      </c>
      <c r="AN6" s="6" t="s">
        <v>515</v>
      </c>
      <c r="AO6" s="6" t="s">
        <v>516</v>
      </c>
      <c r="AP6" s="641" t="s">
        <v>486</v>
      </c>
      <c r="AQ6" s="623"/>
      <c r="AR6" s="621" t="s">
        <v>487</v>
      </c>
      <c r="AS6" s="623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2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3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0" t="str">
        <f>+Summary!A2</f>
        <v>Name of the Line: 220KV DC AL59 line from Neemuch - Chanderiya + 132KV DC ACSS Line from Chanderiya to Hindustan Zinc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3"/>
    </row>
    <row r="2" spans="1:25" ht="14.25" customHeight="1">
      <c r="A2" s="650" t="str">
        <f>+Summary!A5</f>
        <v>Progress of 220kV Line</v>
      </c>
      <c r="B2" s="622"/>
      <c r="C2" s="622"/>
      <c r="D2" s="623"/>
      <c r="E2" s="109"/>
      <c r="F2" s="650" t="s">
        <v>601</v>
      </c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3"/>
      <c r="R2" s="195"/>
      <c r="S2" s="650" t="s">
        <v>602</v>
      </c>
      <c r="T2" s="622"/>
      <c r="U2" s="622"/>
      <c r="V2" s="622"/>
      <c r="W2" s="622"/>
      <c r="X2" s="622"/>
      <c r="Y2" s="623"/>
    </row>
    <row r="3" spans="1:25" ht="14.25" customHeight="1">
      <c r="A3" s="650" t="s">
        <v>603</v>
      </c>
      <c r="B3" s="622"/>
      <c r="C3" s="623"/>
      <c r="D3" s="196">
        <f>Summary!R5</f>
        <v>46226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51" t="s">
        <v>459</v>
      </c>
      <c r="C4" s="623"/>
      <c r="D4" s="201" t="s">
        <v>604</v>
      </c>
      <c r="E4" s="202" t="s">
        <v>605</v>
      </c>
      <c r="F4" s="55" t="s">
        <v>606</v>
      </c>
      <c r="G4" s="624" t="s">
        <v>607</v>
      </c>
      <c r="H4" s="622"/>
      <c r="I4" s="623"/>
      <c r="J4" s="624" t="s">
        <v>388</v>
      </c>
      <c r="K4" s="622"/>
      <c r="L4" s="623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1" t="s">
        <v>611</v>
      </c>
      <c r="T4" s="622"/>
      <c r="U4" s="623"/>
      <c r="V4" s="621" t="s">
        <v>612</v>
      </c>
      <c r="W4" s="622"/>
      <c r="X4" s="623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56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8"/>
    </row>
    <row r="2" spans="1:26" ht="14.25" customHeight="1">
      <c r="A2" s="655" t="str">
        <f>+Summary!A5</f>
        <v>Progress of 220kV Line</v>
      </c>
      <c r="B2" s="653"/>
      <c r="C2" s="653"/>
      <c r="D2" s="653"/>
      <c r="E2" s="438"/>
      <c r="F2" s="655" t="s">
        <v>601</v>
      </c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446"/>
      <c r="T2" s="655" t="s">
        <v>602</v>
      </c>
      <c r="U2" s="653"/>
      <c r="V2" s="653"/>
      <c r="W2" s="653"/>
      <c r="X2" s="653"/>
      <c r="Y2" s="653"/>
      <c r="Z2" s="653"/>
    </row>
    <row r="3" spans="1:26" ht="14.25" customHeight="1">
      <c r="A3" s="655" t="s">
        <v>603</v>
      </c>
      <c r="B3" s="653"/>
      <c r="C3" s="653"/>
      <c r="D3" s="445">
        <f>Summary!R5</f>
        <v>46226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52" t="s">
        <v>459</v>
      </c>
      <c r="C4" s="653"/>
      <c r="D4" s="434" t="s">
        <v>604</v>
      </c>
      <c r="E4" s="434" t="s">
        <v>605</v>
      </c>
      <c r="F4" s="436" t="s">
        <v>606</v>
      </c>
      <c r="G4" s="654" t="s">
        <v>607</v>
      </c>
      <c r="H4" s="653"/>
      <c r="I4" s="653"/>
      <c r="J4" s="654" t="s">
        <v>388</v>
      </c>
      <c r="K4" s="653"/>
      <c r="L4" s="653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55" t="s">
        <v>611</v>
      </c>
      <c r="U4" s="653"/>
      <c r="V4" s="653"/>
      <c r="W4" s="655" t="s">
        <v>612</v>
      </c>
      <c r="X4" s="653"/>
      <c r="Y4" s="653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23" t="str">
        <f>+[1]Summary!A2</f>
        <v>Name of the Line: 220KV DC AL59 line from Neemuch - Chanderiya + 132KV DC ACSS Line from Chanderiya to Hindustan Zinc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5"/>
      <c r="AW1" s="726">
        <f>Summary!R5</f>
        <v>46226</v>
      </c>
      <c r="AX1" s="726"/>
      <c r="AY1" s="726"/>
      <c r="AZ1" s="726"/>
      <c r="BA1" s="726"/>
    </row>
    <row r="2" spans="1:55" ht="18.75">
      <c r="A2" s="287"/>
      <c r="T2" s="730" t="s">
        <v>663</v>
      </c>
      <c r="U2" s="730"/>
      <c r="V2" s="730"/>
      <c r="W2" s="730"/>
      <c r="X2" s="730"/>
      <c r="Y2" s="730"/>
      <c r="Z2" s="730"/>
      <c r="AA2" s="730"/>
      <c r="AB2" s="730"/>
      <c r="AC2" s="730"/>
      <c r="AD2" s="730"/>
      <c r="AK2" s="664" t="s">
        <v>26</v>
      </c>
      <c r="AL2" s="664"/>
      <c r="AM2" s="664"/>
      <c r="AN2" s="729">
        <f>AW1</f>
        <v>46226</v>
      </c>
      <c r="AO2" s="729"/>
      <c r="AP2" s="729"/>
      <c r="AW2" s="290" t="s">
        <v>620</v>
      </c>
      <c r="AX2" s="290" t="s">
        <v>621</v>
      </c>
      <c r="AY2" s="290" t="s">
        <v>622</v>
      </c>
      <c r="AZ2" s="305" t="s">
        <v>623</v>
      </c>
      <c r="BA2" s="727" t="s">
        <v>624</v>
      </c>
      <c r="BB2" s="728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0"/>
      <c r="C4" s="660"/>
      <c r="E4" s="660"/>
      <c r="F4" s="660"/>
      <c r="H4" s="712"/>
      <c r="I4" s="712"/>
      <c r="K4" s="660"/>
      <c r="L4" s="660"/>
      <c r="N4" s="660"/>
      <c r="O4" s="660"/>
      <c r="Q4" s="712"/>
      <c r="R4" s="712"/>
      <c r="T4" s="712"/>
      <c r="U4" s="712"/>
      <c r="W4" s="662"/>
      <c r="X4" s="662"/>
      <c r="Z4" s="662"/>
      <c r="AA4" s="662"/>
      <c r="AC4" s="712"/>
      <c r="AD4" s="660"/>
      <c r="AF4" s="712"/>
      <c r="AG4" s="660"/>
      <c r="AI4" s="712"/>
      <c r="AJ4" s="660"/>
      <c r="AL4" s="712"/>
      <c r="AM4" s="660"/>
      <c r="AO4" s="712"/>
      <c r="AP4" s="660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666" t="s">
        <v>33</v>
      </c>
      <c r="C7" s="666"/>
      <c r="D7" s="300"/>
      <c r="E7" s="666" t="s">
        <v>36</v>
      </c>
      <c r="F7" s="666"/>
      <c r="G7" s="300"/>
      <c r="H7" s="666" t="s">
        <v>38</v>
      </c>
      <c r="I7" s="666"/>
      <c r="J7" s="300"/>
      <c r="K7" s="707" t="s">
        <v>41</v>
      </c>
      <c r="L7" s="666"/>
      <c r="M7" s="300"/>
      <c r="N7" s="707" t="s">
        <v>43</v>
      </c>
      <c r="O7" s="666"/>
      <c r="P7" s="300"/>
      <c r="Q7" s="708" t="s">
        <v>45</v>
      </c>
      <c r="R7" s="709"/>
      <c r="S7" s="300"/>
      <c r="T7" s="665" t="s">
        <v>47</v>
      </c>
      <c r="U7" s="666"/>
      <c r="V7" s="300"/>
      <c r="W7" s="668" t="s">
        <v>48</v>
      </c>
      <c r="X7" s="663"/>
      <c r="Y7" s="300"/>
      <c r="Z7" s="668" t="s">
        <v>50</v>
      </c>
      <c r="AA7" s="663"/>
      <c r="AB7" s="300"/>
      <c r="AC7" s="672" t="s">
        <v>53</v>
      </c>
      <c r="AD7" s="666"/>
      <c r="AF7" s="672" t="s">
        <v>55</v>
      </c>
      <c r="AG7" s="666"/>
      <c r="AH7" s="300"/>
      <c r="AI7" s="666" t="s">
        <v>58</v>
      </c>
      <c r="AJ7" s="666"/>
      <c r="AK7" s="300"/>
      <c r="AL7" s="672" t="s">
        <v>59</v>
      </c>
      <c r="AM7" s="666"/>
      <c r="AN7" s="300"/>
      <c r="AO7" s="672" t="s">
        <v>61</v>
      </c>
      <c r="AP7" s="666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1" t="s">
        <v>34</v>
      </c>
      <c r="C8" s="711"/>
      <c r="D8" s="351"/>
      <c r="E8" s="711" t="s">
        <v>37</v>
      </c>
      <c r="F8" s="711"/>
      <c r="G8" s="351"/>
      <c r="H8" s="711" t="s">
        <v>39</v>
      </c>
      <c r="I8" s="711"/>
      <c r="J8" s="351"/>
      <c r="K8" s="713" t="s">
        <v>42</v>
      </c>
      <c r="L8" s="711"/>
      <c r="M8" s="351"/>
      <c r="N8" s="713" t="s">
        <v>37</v>
      </c>
      <c r="O8" s="711"/>
      <c r="P8" s="351"/>
      <c r="Q8" s="716" t="s">
        <v>46</v>
      </c>
      <c r="R8" s="716"/>
      <c r="S8" s="351"/>
      <c r="T8" s="716" t="s">
        <v>37</v>
      </c>
      <c r="U8" s="716"/>
      <c r="V8" s="351"/>
      <c r="W8" s="711" t="s">
        <v>39</v>
      </c>
      <c r="X8" s="711"/>
      <c r="Y8" s="351"/>
      <c r="Z8" s="711" t="s">
        <v>51</v>
      </c>
      <c r="AA8" s="711"/>
      <c r="AB8" s="351"/>
      <c r="AC8" s="711" t="s">
        <v>54</v>
      </c>
      <c r="AD8" s="711"/>
      <c r="AE8" s="508"/>
      <c r="AF8" s="711" t="s">
        <v>56</v>
      </c>
      <c r="AG8" s="711"/>
      <c r="AH8" s="351"/>
      <c r="AI8" s="711" t="s">
        <v>39</v>
      </c>
      <c r="AJ8" s="711"/>
      <c r="AK8" s="351"/>
      <c r="AL8" s="711" t="s">
        <v>42</v>
      </c>
      <c r="AM8" s="711"/>
      <c r="AN8" s="351"/>
      <c r="AO8" s="711" t="s">
        <v>62</v>
      </c>
      <c r="AP8" s="711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2"/>
      <c r="C13" s="662"/>
      <c r="E13" s="712"/>
      <c r="F13" s="660"/>
      <c r="H13" s="712"/>
      <c r="I13" s="660"/>
      <c r="K13" s="660"/>
      <c r="L13" s="660"/>
      <c r="N13" s="712"/>
      <c r="O13" s="660"/>
      <c r="Q13" s="712"/>
      <c r="R13" s="660"/>
      <c r="T13" s="712"/>
      <c r="U13" s="660"/>
      <c r="W13" s="712"/>
      <c r="X13" s="660"/>
      <c r="Z13" s="712"/>
      <c r="AA13" s="660"/>
      <c r="AC13" s="660"/>
      <c r="AD13" s="660"/>
      <c r="AF13" s="712"/>
      <c r="AG13" s="660"/>
      <c r="AI13" s="660"/>
      <c r="AJ13" s="660"/>
      <c r="AL13" s="660"/>
      <c r="AM13" s="660"/>
      <c r="AO13" s="712"/>
      <c r="AP13" s="660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663" t="s">
        <v>64</v>
      </c>
      <c r="C16" s="663"/>
      <c r="D16" s="300"/>
      <c r="E16" s="666" t="s">
        <v>67</v>
      </c>
      <c r="F16" s="666"/>
      <c r="G16" s="327"/>
      <c r="H16" s="707" t="s">
        <v>69</v>
      </c>
      <c r="I16" s="666"/>
      <c r="J16" s="299"/>
      <c r="K16" s="672" t="s">
        <v>71</v>
      </c>
      <c r="L16" s="666"/>
      <c r="M16" s="300"/>
      <c r="N16" s="672" t="s">
        <v>72</v>
      </c>
      <c r="O16" s="666"/>
      <c r="P16" s="300"/>
      <c r="Q16" s="708" t="s">
        <v>73</v>
      </c>
      <c r="R16" s="709"/>
      <c r="S16" s="300"/>
      <c r="T16" s="665" t="s">
        <v>74</v>
      </c>
      <c r="U16" s="666"/>
      <c r="V16" s="300"/>
      <c r="W16" s="668" t="s">
        <v>75</v>
      </c>
      <c r="X16" s="663"/>
      <c r="Y16" s="300"/>
      <c r="Z16" s="665" t="s">
        <v>77</v>
      </c>
      <c r="AA16" s="666"/>
      <c r="AB16" s="300"/>
      <c r="AC16" s="672" t="s">
        <v>78</v>
      </c>
      <c r="AD16" s="666"/>
      <c r="AE16" s="300"/>
      <c r="AF16" s="672" t="s">
        <v>79</v>
      </c>
      <c r="AG16" s="666"/>
      <c r="AH16" s="300"/>
      <c r="AI16" s="672" t="s">
        <v>80</v>
      </c>
      <c r="AJ16" s="666"/>
      <c r="AK16" s="300"/>
      <c r="AL16" s="672" t="s">
        <v>82</v>
      </c>
      <c r="AM16" s="666"/>
      <c r="AN16" s="300"/>
      <c r="AO16" s="672" t="s">
        <v>83</v>
      </c>
      <c r="AP16" s="666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1" t="s">
        <v>65</v>
      </c>
      <c r="C17" s="711"/>
      <c r="D17" s="351"/>
      <c r="E17" s="711" t="s">
        <v>51</v>
      </c>
      <c r="F17" s="711"/>
      <c r="G17" s="351"/>
      <c r="H17" s="711" t="s">
        <v>70</v>
      </c>
      <c r="I17" s="711"/>
      <c r="J17" s="351"/>
      <c r="K17" s="711" t="s">
        <v>56</v>
      </c>
      <c r="L17" s="711"/>
      <c r="M17" s="351"/>
      <c r="N17" s="713" t="s">
        <v>37</v>
      </c>
      <c r="O17" s="711"/>
      <c r="P17" s="351"/>
      <c r="Q17" s="713" t="s">
        <v>56</v>
      </c>
      <c r="R17" s="711"/>
      <c r="S17" s="351"/>
      <c r="T17" s="716" t="s">
        <v>37</v>
      </c>
      <c r="U17" s="716"/>
      <c r="V17" s="351"/>
      <c r="W17" s="711" t="s">
        <v>76</v>
      </c>
      <c r="X17" s="711"/>
      <c r="Y17" s="351"/>
      <c r="Z17" s="716" t="s">
        <v>70</v>
      </c>
      <c r="AA17" s="716"/>
      <c r="AB17" s="351"/>
      <c r="AC17" s="711" t="s">
        <v>70</v>
      </c>
      <c r="AD17" s="711"/>
      <c r="AE17" s="351"/>
      <c r="AF17" s="711" t="s">
        <v>70</v>
      </c>
      <c r="AG17" s="711"/>
      <c r="AH17" s="351"/>
      <c r="AI17" s="711" t="s">
        <v>81</v>
      </c>
      <c r="AJ17" s="711"/>
      <c r="AK17" s="351"/>
      <c r="AL17" s="711" t="s">
        <v>81</v>
      </c>
      <c r="AM17" s="711"/>
      <c r="AN17" s="351"/>
      <c r="AO17" s="663" t="s">
        <v>76</v>
      </c>
      <c r="AP17" s="663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0"/>
      <c r="C22" s="662"/>
      <c r="E22" s="660"/>
      <c r="F22" s="660"/>
      <c r="H22" s="712"/>
      <c r="I22" s="660"/>
      <c r="K22" s="660"/>
      <c r="L22" s="660"/>
      <c r="N22" s="660"/>
      <c r="O22" s="660"/>
      <c r="Q22" s="712"/>
      <c r="R22" s="660"/>
      <c r="T22" s="712"/>
      <c r="U22" s="660"/>
      <c r="W22" s="712"/>
      <c r="X22" s="660"/>
      <c r="Z22" s="712"/>
      <c r="AA22" s="660"/>
      <c r="AC22" s="712"/>
      <c r="AD22" s="660"/>
      <c r="AF22" s="712"/>
      <c r="AG22" s="660"/>
      <c r="AI22" s="712"/>
      <c r="AJ22" s="660"/>
      <c r="AL22" s="712"/>
      <c r="AM22" s="660"/>
      <c r="AO22" s="712"/>
      <c r="AP22" s="660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668" t="s">
        <v>84</v>
      </c>
      <c r="C25" s="663"/>
      <c r="D25" s="299"/>
      <c r="E25" s="672" t="s">
        <v>86</v>
      </c>
      <c r="F25" s="666"/>
      <c r="G25" s="299"/>
      <c r="H25" s="707" t="s">
        <v>87</v>
      </c>
      <c r="I25" s="666"/>
      <c r="J25" s="300"/>
      <c r="K25" s="672" t="s">
        <v>88</v>
      </c>
      <c r="L25" s="666"/>
      <c r="M25" s="300"/>
      <c r="N25" s="672" t="s">
        <v>90</v>
      </c>
      <c r="O25" s="666"/>
      <c r="P25" s="300"/>
      <c r="Q25" s="708" t="s">
        <v>91</v>
      </c>
      <c r="R25" s="709"/>
      <c r="S25" s="300"/>
      <c r="T25" s="665" t="s">
        <v>93</v>
      </c>
      <c r="U25" s="666"/>
      <c r="V25" s="300"/>
      <c r="W25" s="668" t="s">
        <v>94</v>
      </c>
      <c r="X25" s="663"/>
      <c r="Y25" s="300"/>
      <c r="Z25" s="668" t="s">
        <v>95</v>
      </c>
      <c r="AA25" s="663"/>
      <c r="AB25" s="300"/>
      <c r="AC25" s="715" t="s">
        <v>96</v>
      </c>
      <c r="AD25" s="715"/>
      <c r="AE25" s="300"/>
      <c r="AF25" s="715" t="s">
        <v>98</v>
      </c>
      <c r="AG25" s="715"/>
      <c r="AH25" s="299"/>
      <c r="AI25" s="715" t="s">
        <v>99</v>
      </c>
      <c r="AJ25" s="715"/>
      <c r="AK25" s="325"/>
      <c r="AL25" s="715" t="s">
        <v>100</v>
      </c>
      <c r="AM25" s="715"/>
      <c r="AN25" s="299"/>
      <c r="AO25" s="715" t="s">
        <v>102</v>
      </c>
      <c r="AP25" s="715"/>
      <c r="BA25" s="334"/>
      <c r="BB25" s="334"/>
    </row>
    <row r="26" spans="1:55">
      <c r="A26" s="287"/>
      <c r="B26" s="663" t="s">
        <v>85</v>
      </c>
      <c r="C26" s="663"/>
      <c r="D26" s="299"/>
      <c r="E26" s="663" t="s">
        <v>56</v>
      </c>
      <c r="F26" s="663"/>
      <c r="G26" s="299"/>
      <c r="H26" s="663" t="s">
        <v>42</v>
      </c>
      <c r="I26" s="663"/>
      <c r="J26" s="299"/>
      <c r="K26" s="663" t="s">
        <v>89</v>
      </c>
      <c r="L26" s="663"/>
      <c r="M26" s="299"/>
      <c r="N26" s="706" t="s">
        <v>76</v>
      </c>
      <c r="O26" s="663"/>
      <c r="P26" s="299"/>
      <c r="Q26" s="706" t="s">
        <v>76</v>
      </c>
      <c r="R26" s="663"/>
      <c r="S26" s="299"/>
      <c r="T26" s="706" t="s">
        <v>81</v>
      </c>
      <c r="U26" s="663"/>
      <c r="V26" s="299"/>
      <c r="W26" s="663" t="s">
        <v>89</v>
      </c>
      <c r="X26" s="663"/>
      <c r="Y26" s="299"/>
      <c r="Z26" s="663" t="s">
        <v>56</v>
      </c>
      <c r="AA26" s="663"/>
      <c r="AB26" s="299"/>
      <c r="AC26" s="664" t="s">
        <v>37</v>
      </c>
      <c r="AD26" s="664"/>
      <c r="AE26" s="326"/>
      <c r="AF26" s="714" t="s">
        <v>39</v>
      </c>
      <c r="AG26" s="714"/>
      <c r="AH26" s="326"/>
      <c r="AI26" s="714" t="s">
        <v>76</v>
      </c>
      <c r="AJ26" s="714"/>
      <c r="AK26" s="326"/>
      <c r="AL26" s="714" t="s">
        <v>76</v>
      </c>
      <c r="AM26" s="714"/>
      <c r="AN26" s="326"/>
      <c r="AO26" s="714" t="s">
        <v>89</v>
      </c>
      <c r="AP26" s="714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0"/>
      <c r="C31" s="662"/>
      <c r="E31" s="660"/>
      <c r="F31" s="660"/>
      <c r="H31" s="660"/>
      <c r="I31" s="660"/>
      <c r="K31" s="660"/>
      <c r="L31" s="660"/>
      <c r="N31" s="660"/>
      <c r="O31" s="660"/>
      <c r="Q31" s="660"/>
      <c r="R31" s="660"/>
      <c r="T31" s="660"/>
      <c r="U31" s="660"/>
      <c r="W31" s="660"/>
      <c r="X31" s="660"/>
      <c r="Z31" s="660"/>
      <c r="AA31" s="660"/>
      <c r="AC31" s="660"/>
      <c r="AD31" s="660"/>
      <c r="AF31" s="660"/>
      <c r="AG31" s="660"/>
      <c r="AI31" s="660"/>
      <c r="AJ31" s="660"/>
      <c r="AL31" s="660"/>
      <c r="AM31" s="660"/>
      <c r="AO31" s="660"/>
      <c r="AP31" s="660"/>
      <c r="AR31" s="660"/>
      <c r="AS31" s="660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668" t="s">
        <v>104</v>
      </c>
      <c r="C34" s="663"/>
      <c r="D34" s="300"/>
      <c r="E34" s="672" t="s">
        <v>106</v>
      </c>
      <c r="F34" s="666"/>
      <c r="G34" s="300"/>
      <c r="H34" s="672" t="s">
        <v>107</v>
      </c>
      <c r="I34" s="666"/>
      <c r="J34" s="300"/>
      <c r="K34" s="672" t="s">
        <v>108</v>
      </c>
      <c r="L34" s="666"/>
      <c r="M34" s="300"/>
      <c r="N34" s="672" t="s">
        <v>109</v>
      </c>
      <c r="O34" s="666"/>
      <c r="P34" s="300"/>
      <c r="Q34" s="672" t="s">
        <v>111</v>
      </c>
      <c r="R34" s="666"/>
      <c r="S34" s="300"/>
      <c r="T34" s="672" t="s">
        <v>113</v>
      </c>
      <c r="U34" s="666"/>
      <c r="V34" s="300"/>
      <c r="W34" s="672" t="s">
        <v>115</v>
      </c>
      <c r="X34" s="666"/>
      <c r="Y34" s="299"/>
      <c r="Z34" s="672" t="s">
        <v>117</v>
      </c>
      <c r="AA34" s="666"/>
      <c r="AB34" s="300"/>
      <c r="AC34" s="672" t="s">
        <v>118</v>
      </c>
      <c r="AD34" s="666"/>
      <c r="AE34" s="300"/>
      <c r="AF34" s="672" t="s">
        <v>120</v>
      </c>
      <c r="AG34" s="666"/>
      <c r="AH34" s="299"/>
      <c r="AI34" s="672" t="s">
        <v>122</v>
      </c>
      <c r="AJ34" s="666"/>
      <c r="AK34" s="300"/>
      <c r="AL34" s="672" t="s">
        <v>567</v>
      </c>
      <c r="AM34" s="666"/>
      <c r="AN34" s="299"/>
      <c r="AO34" s="672" t="s">
        <v>123</v>
      </c>
      <c r="AP34" s="666"/>
      <c r="AQ34" s="300"/>
      <c r="AR34" s="661" t="s">
        <v>124</v>
      </c>
      <c r="AS34" s="661"/>
      <c r="AT34" s="300"/>
      <c r="AU34" s="300"/>
      <c r="BA34" s="334"/>
      <c r="BB34" s="334"/>
    </row>
    <row r="35" spans="1:55">
      <c r="A35" s="287"/>
      <c r="B35" s="663" t="s">
        <v>39</v>
      </c>
      <c r="C35" s="663"/>
      <c r="D35" s="299"/>
      <c r="E35" s="663" t="s">
        <v>70</v>
      </c>
      <c r="F35" s="663"/>
      <c r="G35" s="299"/>
      <c r="H35" s="663" t="s">
        <v>42</v>
      </c>
      <c r="I35" s="663"/>
      <c r="J35" s="299"/>
      <c r="K35" s="663" t="s">
        <v>42</v>
      </c>
      <c r="L35" s="663"/>
      <c r="M35" s="299"/>
      <c r="N35" s="663" t="s">
        <v>42</v>
      </c>
      <c r="O35" s="663"/>
      <c r="P35" s="299"/>
      <c r="Q35" s="663" t="s">
        <v>34</v>
      </c>
      <c r="R35" s="663"/>
      <c r="S35" s="299"/>
      <c r="T35" s="663" t="s">
        <v>34</v>
      </c>
      <c r="U35" s="663"/>
      <c r="V35" s="299"/>
      <c r="W35" s="663" t="s">
        <v>116</v>
      </c>
      <c r="X35" s="663"/>
      <c r="Y35" s="299"/>
      <c r="Z35" s="663" t="s">
        <v>42</v>
      </c>
      <c r="AA35" s="663"/>
      <c r="AB35" s="299"/>
      <c r="AC35" s="663" t="s">
        <v>42</v>
      </c>
      <c r="AD35" s="663"/>
      <c r="AE35" s="299"/>
      <c r="AF35" s="663" t="s">
        <v>34</v>
      </c>
      <c r="AG35" s="663"/>
      <c r="AH35" s="299"/>
      <c r="AI35" s="663" t="s">
        <v>34</v>
      </c>
      <c r="AJ35" s="663"/>
      <c r="AK35" s="299"/>
      <c r="AL35" s="663" t="s">
        <v>37</v>
      </c>
      <c r="AM35" s="663"/>
      <c r="AN35" s="299"/>
      <c r="AO35" s="663" t="s">
        <v>62</v>
      </c>
      <c r="AP35" s="663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2"/>
      <c r="C40" s="662"/>
      <c r="E40" s="660"/>
      <c r="F40" s="660"/>
      <c r="H40" s="660"/>
      <c r="I40" s="660"/>
      <c r="K40" s="660"/>
      <c r="L40" s="660"/>
      <c r="N40" s="660"/>
      <c r="O40" s="660"/>
      <c r="Q40" s="660"/>
      <c r="R40" s="660"/>
      <c r="T40" s="660"/>
      <c r="U40" s="660"/>
      <c r="W40" s="660"/>
      <c r="X40" s="660"/>
      <c r="Z40" s="660"/>
      <c r="AA40" s="660"/>
      <c r="AC40" s="660"/>
      <c r="AD40" s="660"/>
      <c r="AF40" s="660"/>
      <c r="AG40" s="660"/>
      <c r="AI40" s="660"/>
      <c r="AJ40" s="660"/>
      <c r="AL40" s="660"/>
      <c r="AM40" s="660"/>
      <c r="AO40" s="660"/>
      <c r="AP40" s="660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668" t="s">
        <v>125</v>
      </c>
      <c r="C43" s="663"/>
      <c r="D43" s="299"/>
      <c r="E43" s="672" t="s">
        <v>126</v>
      </c>
      <c r="F43" s="666"/>
      <c r="G43" s="299"/>
      <c r="H43" s="672" t="s">
        <v>127</v>
      </c>
      <c r="I43" s="666"/>
      <c r="J43" s="299"/>
      <c r="K43" s="672" t="s">
        <v>128</v>
      </c>
      <c r="L43" s="666"/>
      <c r="M43" s="299"/>
      <c r="N43" s="672" t="s">
        <v>130</v>
      </c>
      <c r="O43" s="666"/>
      <c r="P43" s="299"/>
      <c r="Q43" s="672" t="s">
        <v>131</v>
      </c>
      <c r="R43" s="666"/>
      <c r="S43" s="299"/>
      <c r="T43" s="672" t="s">
        <v>132</v>
      </c>
      <c r="U43" s="666"/>
      <c r="V43" s="299"/>
      <c r="W43" s="672" t="s">
        <v>133</v>
      </c>
      <c r="X43" s="666"/>
      <c r="Y43" s="299"/>
      <c r="Z43" s="672" t="s">
        <v>134</v>
      </c>
      <c r="AA43" s="666"/>
      <c r="AB43" s="299"/>
      <c r="AC43" s="672" t="s">
        <v>135</v>
      </c>
      <c r="AD43" s="666"/>
      <c r="AE43" s="299"/>
      <c r="AF43" s="672" t="s">
        <v>136</v>
      </c>
      <c r="AG43" s="666"/>
      <c r="AH43" s="299"/>
      <c r="AI43" s="672" t="s">
        <v>137</v>
      </c>
      <c r="AJ43" s="666"/>
      <c r="AK43" s="325"/>
      <c r="AL43" s="672" t="s">
        <v>138</v>
      </c>
      <c r="AM43" s="666"/>
      <c r="AN43" s="299"/>
      <c r="AO43" s="672" t="s">
        <v>139</v>
      </c>
      <c r="AP43" s="666"/>
      <c r="BA43" s="334"/>
      <c r="BB43" s="334"/>
    </row>
    <row r="44" spans="1:55">
      <c r="A44" s="287"/>
      <c r="B44" s="663" t="s">
        <v>76</v>
      </c>
      <c r="C44" s="663"/>
      <c r="D44" s="299"/>
      <c r="E44" s="663" t="s">
        <v>89</v>
      </c>
      <c r="F44" s="663"/>
      <c r="G44" s="299"/>
      <c r="H44" s="663" t="s">
        <v>76</v>
      </c>
      <c r="I44" s="663"/>
      <c r="J44" s="299"/>
      <c r="K44" s="663" t="s">
        <v>76</v>
      </c>
      <c r="L44" s="663"/>
      <c r="M44" s="299"/>
      <c r="N44" s="663" t="s">
        <v>39</v>
      </c>
      <c r="O44" s="663"/>
      <c r="P44" s="299"/>
      <c r="Q44" s="663" t="s">
        <v>89</v>
      </c>
      <c r="R44" s="663"/>
      <c r="S44" s="299"/>
      <c r="T44" s="663" t="s">
        <v>70</v>
      </c>
      <c r="U44" s="663"/>
      <c r="V44" s="299"/>
      <c r="W44" s="663" t="s">
        <v>37</v>
      </c>
      <c r="X44" s="663"/>
      <c r="Y44" s="299"/>
      <c r="Z44" s="663" t="s">
        <v>42</v>
      </c>
      <c r="AA44" s="663"/>
      <c r="AB44" s="299"/>
      <c r="AC44" s="663" t="s">
        <v>70</v>
      </c>
      <c r="AD44" s="663"/>
      <c r="AE44" s="299"/>
      <c r="AF44" s="663" t="s">
        <v>70</v>
      </c>
      <c r="AG44" s="663"/>
      <c r="AH44" s="299"/>
      <c r="AI44" s="663" t="s">
        <v>89</v>
      </c>
      <c r="AJ44" s="663"/>
      <c r="AK44" s="299"/>
      <c r="AL44" s="663" t="s">
        <v>70</v>
      </c>
      <c r="AM44" s="663"/>
      <c r="AN44" s="299"/>
      <c r="AO44" s="663" t="s">
        <v>42</v>
      </c>
      <c r="AP44" s="663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2"/>
      <c r="C49" s="662"/>
      <c r="E49" s="660"/>
      <c r="F49" s="660"/>
      <c r="H49" s="660"/>
      <c r="I49" s="660"/>
      <c r="K49" s="660"/>
      <c r="L49" s="660"/>
      <c r="N49" s="660"/>
      <c r="O49" s="660"/>
      <c r="Q49" s="660"/>
      <c r="R49" s="660"/>
      <c r="T49" s="660"/>
      <c r="U49" s="660"/>
      <c r="W49" s="660"/>
      <c r="X49" s="660"/>
      <c r="Z49" s="660"/>
      <c r="AA49" s="660"/>
      <c r="AC49" s="660"/>
      <c r="AD49" s="660"/>
      <c r="AF49" s="660"/>
      <c r="AG49" s="660"/>
      <c r="AI49" s="660"/>
      <c r="AJ49" s="660"/>
      <c r="AL49" s="660"/>
      <c r="AM49" s="660"/>
      <c r="AO49" s="660"/>
      <c r="AP49" s="660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668" t="s">
        <v>140</v>
      </c>
      <c r="C52" s="663"/>
      <c r="D52" s="299"/>
      <c r="E52" s="672" t="s">
        <v>141</v>
      </c>
      <c r="F52" s="666"/>
      <c r="G52" s="299"/>
      <c r="H52" s="707" t="s">
        <v>142</v>
      </c>
      <c r="I52" s="666"/>
      <c r="J52" s="300"/>
      <c r="K52" s="672" t="s">
        <v>144</v>
      </c>
      <c r="L52" s="666"/>
      <c r="M52" s="316"/>
      <c r="N52" s="672" t="s">
        <v>145</v>
      </c>
      <c r="O52" s="666"/>
      <c r="P52" s="299"/>
      <c r="Q52" s="708" t="s">
        <v>146</v>
      </c>
      <c r="R52" s="709"/>
      <c r="S52" s="299"/>
      <c r="T52" s="665" t="s">
        <v>147</v>
      </c>
      <c r="U52" s="666"/>
      <c r="V52" s="299"/>
      <c r="W52" s="668" t="s">
        <v>148</v>
      </c>
      <c r="X52" s="663"/>
      <c r="Y52" s="299"/>
      <c r="Z52" s="668" t="s">
        <v>149</v>
      </c>
      <c r="AA52" s="663"/>
      <c r="AB52" s="299"/>
      <c r="AC52" s="672" t="s">
        <v>150</v>
      </c>
      <c r="AD52" s="666"/>
      <c r="AE52" s="299"/>
      <c r="AF52" s="672" t="s">
        <v>151</v>
      </c>
      <c r="AG52" s="666"/>
      <c r="AH52" s="325"/>
      <c r="AI52" s="672" t="s">
        <v>152</v>
      </c>
      <c r="AJ52" s="666"/>
      <c r="AK52" s="325"/>
      <c r="AL52" s="672" t="s">
        <v>153</v>
      </c>
      <c r="AM52" s="666"/>
      <c r="AN52" s="299"/>
      <c r="AO52" s="672" t="s">
        <v>155</v>
      </c>
      <c r="AP52" s="666"/>
      <c r="BA52" s="334"/>
      <c r="BB52" s="334"/>
    </row>
    <row r="53" spans="1:55">
      <c r="A53" s="287"/>
      <c r="B53" s="663" t="s">
        <v>56</v>
      </c>
      <c r="C53" s="663"/>
      <c r="D53" s="299"/>
      <c r="E53" s="663" t="s">
        <v>89</v>
      </c>
      <c r="F53" s="663"/>
      <c r="G53" s="299"/>
      <c r="H53" s="663" t="s">
        <v>76</v>
      </c>
      <c r="I53" s="663"/>
      <c r="J53" s="299"/>
      <c r="K53" s="663" t="s">
        <v>116</v>
      </c>
      <c r="L53" s="663"/>
      <c r="M53" s="299"/>
      <c r="N53" s="663" t="s">
        <v>42</v>
      </c>
      <c r="O53" s="663"/>
      <c r="P53" s="299"/>
      <c r="Q53" s="706" t="s">
        <v>37</v>
      </c>
      <c r="R53" s="706"/>
      <c r="S53" s="299"/>
      <c r="T53" s="706" t="s">
        <v>42</v>
      </c>
      <c r="U53" s="706"/>
      <c r="V53" s="299"/>
      <c r="W53" s="663" t="s">
        <v>76</v>
      </c>
      <c r="X53" s="663"/>
      <c r="Y53" s="299"/>
      <c r="Z53" s="663" t="s">
        <v>81</v>
      </c>
      <c r="AA53" s="663"/>
      <c r="AB53" s="299"/>
      <c r="AC53" s="663" t="s">
        <v>85</v>
      </c>
      <c r="AD53" s="663"/>
      <c r="AE53" s="299"/>
      <c r="AF53" s="663" t="s">
        <v>42</v>
      </c>
      <c r="AG53" s="663"/>
      <c r="AH53" s="299"/>
      <c r="AI53" s="663" t="s">
        <v>42</v>
      </c>
      <c r="AJ53" s="663"/>
      <c r="AK53" s="299"/>
      <c r="AL53" s="663" t="s">
        <v>37</v>
      </c>
      <c r="AM53" s="663"/>
      <c r="AN53" s="299"/>
      <c r="AO53" s="663" t="s">
        <v>34</v>
      </c>
      <c r="AP53" s="663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2"/>
      <c r="C58" s="662"/>
      <c r="E58" s="660"/>
      <c r="F58" s="660"/>
      <c r="H58" s="660"/>
      <c r="I58" s="660"/>
      <c r="K58" s="660"/>
      <c r="L58" s="660"/>
      <c r="N58" s="660"/>
      <c r="O58" s="660"/>
      <c r="Q58" s="660"/>
      <c r="R58" s="660"/>
      <c r="T58" s="660"/>
      <c r="U58" s="660"/>
      <c r="W58" s="660"/>
      <c r="X58" s="660"/>
      <c r="Z58" s="660"/>
      <c r="AA58" s="660"/>
      <c r="AC58" s="660"/>
      <c r="AD58" s="660"/>
      <c r="AF58" s="660"/>
      <c r="AG58" s="660"/>
      <c r="AI58" s="660"/>
      <c r="AJ58" s="660"/>
      <c r="AL58" s="660"/>
      <c r="AM58" s="660"/>
      <c r="AO58" s="660"/>
      <c r="AP58" s="660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668" t="s">
        <v>156</v>
      </c>
      <c r="C61" s="663"/>
      <c r="D61" s="300"/>
      <c r="E61" s="672" t="s">
        <v>157</v>
      </c>
      <c r="F61" s="666"/>
      <c r="G61" s="300"/>
      <c r="H61" s="672" t="s">
        <v>158</v>
      </c>
      <c r="I61" s="666"/>
      <c r="J61" s="300"/>
      <c r="K61" s="672" t="s">
        <v>159</v>
      </c>
      <c r="L61" s="666"/>
      <c r="M61" s="300"/>
      <c r="N61" s="666" t="s">
        <v>161</v>
      </c>
      <c r="O61" s="666"/>
      <c r="P61" s="300"/>
      <c r="Q61" s="672" t="s">
        <v>162</v>
      </c>
      <c r="R61" s="666"/>
      <c r="S61" s="300"/>
      <c r="T61" s="666" t="s">
        <v>164</v>
      </c>
      <c r="U61" s="666"/>
      <c r="V61" s="300"/>
      <c r="W61" s="666" t="s">
        <v>166</v>
      </c>
      <c r="X61" s="666"/>
      <c r="Y61" s="300"/>
      <c r="Z61" s="672" t="s">
        <v>167</v>
      </c>
      <c r="AA61" s="666"/>
      <c r="AB61" s="300"/>
      <c r="AC61" s="666" t="s">
        <v>169</v>
      </c>
      <c r="AD61" s="666"/>
      <c r="AE61" s="300"/>
      <c r="AF61" s="672" t="s">
        <v>170</v>
      </c>
      <c r="AG61" s="666"/>
      <c r="AH61" s="300"/>
      <c r="AI61" s="665" t="s">
        <v>171</v>
      </c>
      <c r="AJ61" s="666"/>
      <c r="AK61" s="299"/>
      <c r="AL61" s="665" t="s">
        <v>172</v>
      </c>
      <c r="AM61" s="666"/>
      <c r="AN61" s="300"/>
      <c r="AO61" s="665" t="s">
        <v>173</v>
      </c>
      <c r="AP61" s="666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3" t="s">
        <v>37</v>
      </c>
      <c r="C62" s="663"/>
      <c r="D62" s="299"/>
      <c r="E62" s="663" t="s">
        <v>85</v>
      </c>
      <c r="F62" s="663"/>
      <c r="G62" s="299"/>
      <c r="H62" s="663" t="s">
        <v>42</v>
      </c>
      <c r="I62" s="663"/>
      <c r="J62" s="299"/>
      <c r="K62" s="663" t="s">
        <v>37</v>
      </c>
      <c r="L62" s="663"/>
      <c r="M62" s="299"/>
      <c r="N62" s="663" t="s">
        <v>39</v>
      </c>
      <c r="O62" s="663"/>
      <c r="P62" s="299"/>
      <c r="Q62" s="663" t="s">
        <v>42</v>
      </c>
      <c r="R62" s="663"/>
      <c r="S62" s="299"/>
      <c r="T62" s="663" t="s">
        <v>34</v>
      </c>
      <c r="U62" s="663"/>
      <c r="V62" s="299"/>
      <c r="W62" s="663" t="s">
        <v>46</v>
      </c>
      <c r="X62" s="663"/>
      <c r="Y62" s="299"/>
      <c r="Z62" s="663" t="s">
        <v>37</v>
      </c>
      <c r="AA62" s="663"/>
      <c r="AB62" s="299"/>
      <c r="AC62" s="663" t="s">
        <v>46</v>
      </c>
      <c r="AD62" s="663"/>
      <c r="AE62" s="299"/>
      <c r="AF62" s="663" t="s">
        <v>76</v>
      </c>
      <c r="AG62" s="663"/>
      <c r="AH62" s="299"/>
      <c r="AI62" s="669" t="s">
        <v>56</v>
      </c>
      <c r="AJ62" s="663"/>
      <c r="AK62" s="299"/>
      <c r="AL62" s="669" t="s">
        <v>76</v>
      </c>
      <c r="AM62" s="663"/>
      <c r="AN62" s="299"/>
      <c r="AO62" s="669" t="s">
        <v>56</v>
      </c>
      <c r="AP62" s="663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2"/>
      <c r="C67" s="662"/>
      <c r="E67" s="660"/>
      <c r="F67" s="660"/>
      <c r="H67" s="660"/>
      <c r="I67" s="660"/>
      <c r="K67" s="660"/>
      <c r="L67" s="660"/>
      <c r="N67" s="660"/>
      <c r="O67" s="660"/>
      <c r="Q67" s="660"/>
      <c r="R67" s="660"/>
      <c r="T67" s="660"/>
      <c r="U67" s="660"/>
      <c r="W67" s="660"/>
      <c r="X67" s="660"/>
      <c r="Z67" s="660"/>
      <c r="AA67" s="660"/>
      <c r="AC67" s="660"/>
      <c r="AD67" s="660"/>
      <c r="AF67" s="660"/>
      <c r="AG67" s="660"/>
      <c r="AI67" s="660"/>
      <c r="AJ67" s="660"/>
      <c r="AL67" s="660"/>
      <c r="AM67" s="660"/>
      <c r="AO67" s="660"/>
      <c r="AP67" s="660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05" t="s">
        <v>174</v>
      </c>
      <c r="C70" s="663"/>
      <c r="D70" s="300"/>
      <c r="E70" s="705" t="s">
        <v>175</v>
      </c>
      <c r="F70" s="663"/>
      <c r="G70" s="300"/>
      <c r="H70" s="665" t="s">
        <v>176</v>
      </c>
      <c r="I70" s="701"/>
      <c r="J70" s="300"/>
      <c r="K70" s="665" t="s">
        <v>177</v>
      </c>
      <c r="L70" s="701"/>
      <c r="M70" s="300"/>
      <c r="N70" s="672" t="s">
        <v>178</v>
      </c>
      <c r="O70" s="666"/>
      <c r="P70" s="300"/>
      <c r="Q70" s="666" t="s">
        <v>180</v>
      </c>
      <c r="R70" s="666"/>
      <c r="S70" s="300"/>
      <c r="T70" s="672" t="s">
        <v>181</v>
      </c>
      <c r="U70" s="666"/>
      <c r="V70" s="300"/>
      <c r="W70" s="665" t="s">
        <v>182</v>
      </c>
      <c r="X70" s="701"/>
      <c r="Y70" s="299"/>
      <c r="Z70" s="672" t="s">
        <v>183</v>
      </c>
      <c r="AA70" s="666"/>
      <c r="AB70" s="299"/>
      <c r="AC70" s="672" t="s">
        <v>184</v>
      </c>
      <c r="AD70" s="666"/>
      <c r="AE70" s="300"/>
      <c r="AF70" s="672" t="s">
        <v>185</v>
      </c>
      <c r="AG70" s="666"/>
      <c r="AH70" s="300"/>
      <c r="AI70" s="672" t="s">
        <v>186</v>
      </c>
      <c r="AJ70" s="666"/>
      <c r="AK70" s="300"/>
      <c r="AL70" s="672" t="s">
        <v>187</v>
      </c>
      <c r="AM70" s="666"/>
      <c r="AO70" s="704" t="s">
        <v>188</v>
      </c>
      <c r="AP70" s="695"/>
      <c r="BA70" s="334"/>
      <c r="BB70" s="334"/>
    </row>
    <row r="71" spans="1:55">
      <c r="A71" s="287"/>
      <c r="B71" s="669" t="s">
        <v>42</v>
      </c>
      <c r="C71" s="663"/>
      <c r="D71" s="299"/>
      <c r="E71" s="669" t="s">
        <v>37</v>
      </c>
      <c r="F71" s="663"/>
      <c r="G71" s="299"/>
      <c r="H71" s="669" t="s">
        <v>42</v>
      </c>
      <c r="I71" s="669"/>
      <c r="J71" s="299"/>
      <c r="K71" s="669" t="s">
        <v>37</v>
      </c>
      <c r="L71" s="669"/>
      <c r="M71" s="299"/>
      <c r="N71" s="663" t="s">
        <v>42</v>
      </c>
      <c r="O71" s="663"/>
      <c r="P71" s="299"/>
      <c r="Q71" s="663" t="s">
        <v>34</v>
      </c>
      <c r="R71" s="663"/>
      <c r="S71" s="299"/>
      <c r="T71" s="663" t="s">
        <v>37</v>
      </c>
      <c r="U71" s="663"/>
      <c r="V71" s="299"/>
      <c r="W71" s="669" t="s">
        <v>42</v>
      </c>
      <c r="X71" s="669"/>
      <c r="Y71" s="299"/>
      <c r="Z71" s="663" t="s">
        <v>42</v>
      </c>
      <c r="AA71" s="663"/>
      <c r="AB71" s="299"/>
      <c r="AC71" s="663" t="s">
        <v>56</v>
      </c>
      <c r="AD71" s="663"/>
      <c r="AE71" s="300"/>
      <c r="AF71" s="663" t="s">
        <v>37</v>
      </c>
      <c r="AG71" s="663"/>
      <c r="AH71" s="300"/>
      <c r="AI71" s="663" t="s">
        <v>42</v>
      </c>
      <c r="AJ71" s="663"/>
      <c r="AL71" s="664" t="s">
        <v>37</v>
      </c>
      <c r="AM71" s="664"/>
      <c r="AN71" s="299"/>
      <c r="AO71" s="664" t="s">
        <v>42</v>
      </c>
      <c r="AP71" s="664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2"/>
      <c r="C76" s="662"/>
      <c r="E76" s="660"/>
      <c r="F76" s="660"/>
      <c r="H76" s="660"/>
      <c r="I76" s="660"/>
      <c r="K76" s="660"/>
      <c r="L76" s="660"/>
      <c r="N76" s="660"/>
      <c r="O76" s="660"/>
      <c r="Q76" s="660"/>
      <c r="R76" s="660"/>
      <c r="T76" s="660"/>
      <c r="U76" s="660"/>
      <c r="W76" s="660"/>
      <c r="X76" s="660"/>
      <c r="Z76" s="660"/>
      <c r="AA76" s="660"/>
      <c r="AC76" s="660"/>
      <c r="AD76" s="660"/>
      <c r="AF76" s="660"/>
      <c r="AG76" s="660"/>
      <c r="AI76" s="660"/>
      <c r="AJ76" s="660"/>
      <c r="AL76" s="660"/>
      <c r="AM76" s="660"/>
      <c r="AO76" s="660"/>
      <c r="AP76" s="660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672" t="s">
        <v>189</v>
      </c>
      <c r="C79" s="666"/>
      <c r="D79" s="300"/>
      <c r="E79" s="666" t="s">
        <v>191</v>
      </c>
      <c r="F79" s="666"/>
      <c r="G79" s="300"/>
      <c r="H79" s="672" t="s">
        <v>192</v>
      </c>
      <c r="I79" s="666"/>
      <c r="J79" s="299"/>
      <c r="K79" s="672" t="s">
        <v>193</v>
      </c>
      <c r="L79" s="666"/>
      <c r="M79" s="299"/>
      <c r="N79" s="672" t="s">
        <v>194</v>
      </c>
      <c r="O79" s="666"/>
      <c r="P79" s="300"/>
      <c r="Q79" s="666" t="s">
        <v>196</v>
      </c>
      <c r="R79" s="666"/>
      <c r="S79" s="300"/>
      <c r="T79" s="672" t="s">
        <v>197</v>
      </c>
      <c r="U79" s="666"/>
      <c r="V79" s="300"/>
      <c r="W79" s="672" t="s">
        <v>198</v>
      </c>
      <c r="X79" s="666"/>
      <c r="Y79" s="299"/>
      <c r="Z79" s="672" t="s">
        <v>199</v>
      </c>
      <c r="AA79" s="666"/>
      <c r="AB79" s="299"/>
      <c r="AC79" s="666" t="s">
        <v>201</v>
      </c>
      <c r="AD79" s="666"/>
      <c r="AE79" s="300"/>
      <c r="AF79" s="672" t="s">
        <v>202</v>
      </c>
      <c r="AG79" s="666"/>
      <c r="AH79" s="299"/>
      <c r="AI79" s="672" t="s">
        <v>203</v>
      </c>
      <c r="AJ79" s="666"/>
      <c r="AK79" s="300"/>
      <c r="AL79" s="672" t="s">
        <v>204</v>
      </c>
      <c r="AM79" s="666"/>
      <c r="AN79" s="300"/>
      <c r="AO79" s="672" t="s">
        <v>205</v>
      </c>
      <c r="AP79" s="666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3" t="s">
        <v>42</v>
      </c>
      <c r="C80" s="663"/>
      <c r="E80" s="663" t="s">
        <v>39</v>
      </c>
      <c r="F80" s="663"/>
      <c r="G80" s="299"/>
      <c r="H80" s="663" t="s">
        <v>37</v>
      </c>
      <c r="I80" s="663"/>
      <c r="J80" s="299"/>
      <c r="K80" s="663" t="s">
        <v>37</v>
      </c>
      <c r="L80" s="663"/>
      <c r="M80" s="299"/>
      <c r="N80" s="663" t="s">
        <v>37</v>
      </c>
      <c r="O80" s="663"/>
      <c r="P80" s="299"/>
      <c r="Q80" s="663" t="s">
        <v>46</v>
      </c>
      <c r="R80" s="663"/>
      <c r="S80" s="299"/>
      <c r="T80" s="663" t="s">
        <v>56</v>
      </c>
      <c r="U80" s="663"/>
      <c r="V80" s="299"/>
      <c r="W80" s="663" t="s">
        <v>37</v>
      </c>
      <c r="X80" s="663"/>
      <c r="Y80" s="299"/>
      <c r="Z80" s="663" t="s">
        <v>56</v>
      </c>
      <c r="AA80" s="663"/>
      <c r="AB80" s="299"/>
      <c r="AC80" s="663" t="s">
        <v>39</v>
      </c>
      <c r="AD80" s="663"/>
      <c r="AE80" s="299"/>
      <c r="AF80" s="663" t="s">
        <v>42</v>
      </c>
      <c r="AG80" s="663"/>
      <c r="AH80" s="299"/>
      <c r="AI80" s="663" t="s">
        <v>37</v>
      </c>
      <c r="AJ80" s="663"/>
      <c r="AK80" s="299"/>
      <c r="AL80" s="663" t="s">
        <v>42</v>
      </c>
      <c r="AM80" s="663"/>
      <c r="AN80" s="299"/>
      <c r="AO80" s="663" t="s">
        <v>42</v>
      </c>
      <c r="AP80" s="663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2"/>
      <c r="C85" s="662"/>
      <c r="E85" s="660"/>
      <c r="F85" s="660"/>
      <c r="H85" s="660"/>
      <c r="I85" s="660"/>
      <c r="K85" s="702"/>
      <c r="L85" s="660"/>
      <c r="N85" s="702"/>
      <c r="O85" s="660"/>
      <c r="Q85" s="702"/>
      <c r="R85" s="660"/>
      <c r="T85" s="702"/>
      <c r="U85" s="660"/>
      <c r="W85" s="660"/>
      <c r="X85" s="660"/>
      <c r="Z85" s="660"/>
      <c r="AA85" s="660"/>
      <c r="AC85" s="660"/>
      <c r="AD85" s="660"/>
      <c r="AF85" s="660"/>
      <c r="AG85" s="660"/>
      <c r="AI85" s="660"/>
      <c r="AJ85" s="660"/>
      <c r="AL85" s="660"/>
      <c r="AM85" s="660"/>
      <c r="AO85" s="660"/>
      <c r="AP85" s="660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668" t="s">
        <v>206</v>
      </c>
      <c r="C88" s="663"/>
      <c r="D88" s="300"/>
      <c r="E88" s="672" t="s">
        <v>207</v>
      </c>
      <c r="F88" s="666"/>
      <c r="G88" s="300"/>
      <c r="H88" s="672" t="s">
        <v>208</v>
      </c>
      <c r="I88" s="666"/>
      <c r="J88" s="299"/>
      <c r="K88" s="672" t="s">
        <v>209</v>
      </c>
      <c r="L88" s="666"/>
      <c r="M88" s="299"/>
      <c r="N88" s="672" t="s">
        <v>210</v>
      </c>
      <c r="O88" s="666"/>
      <c r="P88" s="300"/>
      <c r="Q88" s="672" t="s">
        <v>211</v>
      </c>
      <c r="R88" s="666"/>
      <c r="S88" s="299"/>
      <c r="T88" s="672" t="s">
        <v>212</v>
      </c>
      <c r="U88" s="666"/>
      <c r="V88" s="300"/>
      <c r="W88" s="666" t="s">
        <v>214</v>
      </c>
      <c r="X88" s="666"/>
      <c r="Y88" s="300"/>
      <c r="Z88" s="672" t="s">
        <v>215</v>
      </c>
      <c r="AA88" s="666"/>
      <c r="AB88" s="300"/>
      <c r="AC88" s="672" t="s">
        <v>216</v>
      </c>
      <c r="AD88" s="666"/>
      <c r="AE88" s="300"/>
      <c r="AF88" s="672" t="s">
        <v>217</v>
      </c>
      <c r="AG88" s="666"/>
      <c r="AH88" s="300"/>
      <c r="AI88" s="672" t="s">
        <v>218</v>
      </c>
      <c r="AJ88" s="666"/>
      <c r="AK88" s="300"/>
      <c r="AL88" s="672" t="s">
        <v>219</v>
      </c>
      <c r="AM88" s="666"/>
      <c r="AN88" s="299"/>
      <c r="AO88" s="666" t="s">
        <v>221</v>
      </c>
      <c r="AP88" s="666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3" t="s">
        <v>37</v>
      </c>
      <c r="C89" s="663"/>
      <c r="D89" s="299"/>
      <c r="E89" s="663" t="s">
        <v>37</v>
      </c>
      <c r="F89" s="663"/>
      <c r="G89" s="300"/>
      <c r="H89" s="663" t="s">
        <v>56</v>
      </c>
      <c r="I89" s="663"/>
      <c r="J89" s="299"/>
      <c r="K89" s="663" t="s">
        <v>37</v>
      </c>
      <c r="L89" s="663"/>
      <c r="M89" s="299"/>
      <c r="N89" s="663" t="s">
        <v>37</v>
      </c>
      <c r="O89" s="663"/>
      <c r="P89" s="324"/>
      <c r="Q89" s="663" t="s">
        <v>37</v>
      </c>
      <c r="R89" s="663"/>
      <c r="S89" s="299"/>
      <c r="T89" s="663" t="s">
        <v>37</v>
      </c>
      <c r="U89" s="663"/>
      <c r="V89" s="299"/>
      <c r="W89" s="663" t="s">
        <v>89</v>
      </c>
      <c r="X89" s="663"/>
      <c r="Y89" s="299"/>
      <c r="Z89" s="663" t="s">
        <v>42</v>
      </c>
      <c r="AA89" s="663"/>
      <c r="AB89" s="299"/>
      <c r="AC89" s="663" t="s">
        <v>37</v>
      </c>
      <c r="AD89" s="663"/>
      <c r="AE89" s="300"/>
      <c r="AF89" s="663" t="s">
        <v>37</v>
      </c>
      <c r="AG89" s="663"/>
      <c r="AH89" s="299"/>
      <c r="AI89" s="663" t="s">
        <v>42</v>
      </c>
      <c r="AJ89" s="663"/>
      <c r="AK89" s="299"/>
      <c r="AL89" s="663" t="s">
        <v>42</v>
      </c>
      <c r="AM89" s="663"/>
      <c r="AN89" s="299"/>
      <c r="AO89" s="663" t="s">
        <v>76</v>
      </c>
      <c r="AP89" s="663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2"/>
      <c r="C94" s="662"/>
      <c r="E94" s="660"/>
      <c r="F94" s="660"/>
      <c r="H94" s="660"/>
      <c r="I94" s="660"/>
      <c r="K94" s="660"/>
      <c r="L94" s="660"/>
      <c r="N94" s="660"/>
      <c r="O94" s="660"/>
      <c r="Q94" s="703"/>
      <c r="R94" s="660"/>
      <c r="T94" s="660"/>
      <c r="U94" s="660"/>
      <c r="W94" s="660"/>
      <c r="X94" s="660"/>
      <c r="Z94" s="660"/>
      <c r="AA94" s="660"/>
      <c r="AC94" s="660"/>
      <c r="AD94" s="660"/>
      <c r="AF94" s="660"/>
      <c r="AG94" s="660"/>
      <c r="AI94" s="660"/>
      <c r="AJ94" s="660"/>
      <c r="AL94" s="660"/>
      <c r="AM94" s="660"/>
      <c r="AO94" s="660"/>
      <c r="AP94" s="660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668" t="s">
        <v>222</v>
      </c>
      <c r="C97" s="663"/>
      <c r="D97" s="300"/>
      <c r="E97" s="672" t="s">
        <v>223</v>
      </c>
      <c r="F97" s="666"/>
      <c r="G97" s="300"/>
      <c r="H97" s="672" t="s">
        <v>224</v>
      </c>
      <c r="I97" s="666"/>
      <c r="J97" s="300"/>
      <c r="K97" s="672" t="s">
        <v>225</v>
      </c>
      <c r="L97" s="666"/>
      <c r="M97" s="300"/>
      <c r="N97" s="672" t="s">
        <v>226</v>
      </c>
      <c r="O97" s="666"/>
      <c r="P97" s="300"/>
      <c r="Q97" s="672" t="s">
        <v>227</v>
      </c>
      <c r="R97" s="666"/>
      <c r="S97" s="300"/>
      <c r="T97" s="672" t="s">
        <v>228</v>
      </c>
      <c r="U97" s="666"/>
      <c r="V97" s="300"/>
      <c r="W97" s="672" t="s">
        <v>229</v>
      </c>
      <c r="X97" s="666"/>
      <c r="Y97" s="300"/>
      <c r="Z97" s="666" t="s">
        <v>231</v>
      </c>
      <c r="AA97" s="666"/>
      <c r="AB97" s="300"/>
      <c r="AC97" s="672" t="s">
        <v>232</v>
      </c>
      <c r="AD97" s="666"/>
      <c r="AE97" s="300"/>
      <c r="AF97" s="672" t="s">
        <v>233</v>
      </c>
      <c r="AG97" s="666"/>
      <c r="AH97" s="300"/>
      <c r="AI97" s="672" t="s">
        <v>234</v>
      </c>
      <c r="AJ97" s="666"/>
      <c r="AK97" s="300"/>
      <c r="AL97" s="672" t="s">
        <v>235</v>
      </c>
      <c r="AM97" s="666"/>
      <c r="AN97" s="300"/>
      <c r="AO97" s="672" t="s">
        <v>236</v>
      </c>
      <c r="AP97" s="666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3" t="s">
        <v>42</v>
      </c>
      <c r="C98" s="663"/>
      <c r="D98" s="299"/>
      <c r="E98" s="663" t="s">
        <v>37</v>
      </c>
      <c r="F98" s="663"/>
      <c r="G98" s="299"/>
      <c r="H98" s="663" t="s">
        <v>42</v>
      </c>
      <c r="I98" s="663"/>
      <c r="J98" s="299"/>
      <c r="K98" s="663" t="s">
        <v>42</v>
      </c>
      <c r="L98" s="663"/>
      <c r="M98" s="300"/>
      <c r="N98" s="663" t="s">
        <v>42</v>
      </c>
      <c r="O98" s="663"/>
      <c r="P98" s="299"/>
      <c r="Q98" s="663" t="s">
        <v>37</v>
      </c>
      <c r="R98" s="663"/>
      <c r="S98" s="299"/>
      <c r="T98" s="663" t="s">
        <v>37</v>
      </c>
      <c r="U98" s="663"/>
      <c r="V98" s="299"/>
      <c r="W98" s="663" t="s">
        <v>37</v>
      </c>
      <c r="X98" s="663"/>
      <c r="Y98" s="299"/>
      <c r="Z98" s="663" t="s">
        <v>76</v>
      </c>
      <c r="AA98" s="663"/>
      <c r="AB98" s="299"/>
      <c r="AC98" s="663" t="s">
        <v>37</v>
      </c>
      <c r="AD98" s="663"/>
      <c r="AE98" s="299"/>
      <c r="AF98" s="663" t="s">
        <v>37</v>
      </c>
      <c r="AG98" s="663"/>
      <c r="AH98" s="299"/>
      <c r="AI98" s="663" t="s">
        <v>37</v>
      </c>
      <c r="AJ98" s="663"/>
      <c r="AK98" s="299"/>
      <c r="AL98" s="663" t="s">
        <v>42</v>
      </c>
      <c r="AM98" s="663"/>
      <c r="AN98" s="299"/>
      <c r="AO98" s="663" t="s">
        <v>37</v>
      </c>
      <c r="AP98" s="663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0"/>
      <c r="C103" s="660"/>
      <c r="E103" s="660"/>
      <c r="F103" s="660"/>
      <c r="H103" s="660"/>
      <c r="I103" s="660"/>
      <c r="K103" s="660"/>
      <c r="L103" s="660"/>
      <c r="N103" s="660"/>
      <c r="O103" s="660"/>
      <c r="Q103" s="660"/>
      <c r="R103" s="660"/>
      <c r="T103" s="660"/>
      <c r="U103" s="660"/>
      <c r="W103" s="660"/>
      <c r="X103" s="660"/>
      <c r="Z103" s="660"/>
      <c r="AA103" s="660"/>
      <c r="AC103" s="660"/>
      <c r="AD103" s="660"/>
      <c r="AF103" s="660"/>
      <c r="AG103" s="660"/>
      <c r="AI103" s="660"/>
      <c r="AJ103" s="660"/>
      <c r="AL103" s="660"/>
      <c r="AM103" s="660"/>
      <c r="AN103" s="306"/>
      <c r="AO103" s="660"/>
      <c r="AP103" s="660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672" t="s">
        <v>237</v>
      </c>
      <c r="C106" s="666"/>
      <c r="D106" s="300"/>
      <c r="E106" s="672" t="s">
        <v>238</v>
      </c>
      <c r="F106" s="666"/>
      <c r="G106" s="299"/>
      <c r="H106" s="672" t="s">
        <v>239</v>
      </c>
      <c r="I106" s="666"/>
      <c r="J106" s="300"/>
      <c r="K106" s="672" t="s">
        <v>240</v>
      </c>
      <c r="L106" s="666"/>
      <c r="M106" s="300"/>
      <c r="N106" s="672" t="s">
        <v>241</v>
      </c>
      <c r="O106" s="666"/>
      <c r="P106" s="300"/>
      <c r="Q106" s="672" t="s">
        <v>242</v>
      </c>
      <c r="R106" s="666"/>
      <c r="S106" s="299"/>
      <c r="T106" s="672" t="s">
        <v>243</v>
      </c>
      <c r="U106" s="666"/>
      <c r="V106" s="300"/>
      <c r="W106" s="666" t="s">
        <v>244</v>
      </c>
      <c r="X106" s="666"/>
      <c r="Y106" s="300"/>
      <c r="Z106" s="666" t="s">
        <v>246</v>
      </c>
      <c r="AA106" s="666"/>
      <c r="AB106" s="300"/>
      <c r="AC106" s="672" t="s">
        <v>247</v>
      </c>
      <c r="AD106" s="666"/>
      <c r="AE106" s="300"/>
      <c r="AF106" s="672" t="s">
        <v>248</v>
      </c>
      <c r="AG106" s="666"/>
      <c r="AH106" s="300"/>
      <c r="AI106" s="666" t="s">
        <v>250</v>
      </c>
      <c r="AJ106" s="666"/>
      <c r="AK106" s="300" t="s">
        <v>0</v>
      </c>
      <c r="AL106" s="672" t="s">
        <v>251</v>
      </c>
      <c r="AM106" s="666"/>
      <c r="AN106" s="300" t="s">
        <v>0</v>
      </c>
      <c r="AO106" s="672" t="s">
        <v>252</v>
      </c>
      <c r="AP106" s="666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3" t="s">
        <v>37</v>
      </c>
      <c r="C107" s="663"/>
      <c r="D107" s="299"/>
      <c r="E107" s="663" t="s">
        <v>37</v>
      </c>
      <c r="F107" s="663"/>
      <c r="G107" s="299"/>
      <c r="H107" s="663" t="s">
        <v>37</v>
      </c>
      <c r="I107" s="663"/>
      <c r="J107" s="299"/>
      <c r="K107" s="663" t="s">
        <v>42</v>
      </c>
      <c r="L107" s="663"/>
      <c r="M107" s="299"/>
      <c r="N107" s="663" t="s">
        <v>37</v>
      </c>
      <c r="O107" s="663"/>
      <c r="P107" s="299"/>
      <c r="Q107" s="663" t="s">
        <v>42</v>
      </c>
      <c r="R107" s="663"/>
      <c r="S107" s="299"/>
      <c r="T107" s="663" t="s">
        <v>37</v>
      </c>
      <c r="U107" s="663"/>
      <c r="V107" s="299"/>
      <c r="W107" s="663" t="s">
        <v>37</v>
      </c>
      <c r="X107" s="663"/>
      <c r="Y107" s="299"/>
      <c r="Z107" s="663" t="s">
        <v>46</v>
      </c>
      <c r="AA107" s="663"/>
      <c r="AB107" s="299"/>
      <c r="AC107" s="663" t="s">
        <v>37</v>
      </c>
      <c r="AD107" s="663"/>
      <c r="AE107" s="299"/>
      <c r="AF107" s="663" t="s">
        <v>37</v>
      </c>
      <c r="AG107" s="663"/>
      <c r="AH107" s="299"/>
      <c r="AI107" s="663" t="s">
        <v>39</v>
      </c>
      <c r="AJ107" s="663"/>
      <c r="AK107" s="299"/>
      <c r="AL107" s="663" t="s">
        <v>42</v>
      </c>
      <c r="AM107" s="663"/>
      <c r="AN107" s="299"/>
      <c r="AO107" s="663" t="s">
        <v>42</v>
      </c>
      <c r="AP107" s="663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67"/>
      <c r="C112" s="667"/>
      <c r="D112" s="299"/>
      <c r="E112" s="667"/>
      <c r="F112" s="667"/>
      <c r="G112" s="299"/>
      <c r="H112" s="667"/>
      <c r="I112" s="667"/>
      <c r="J112" s="299"/>
      <c r="K112" s="667"/>
      <c r="L112" s="667"/>
      <c r="M112" s="299"/>
      <c r="N112" s="667"/>
      <c r="O112" s="667"/>
      <c r="P112" s="299"/>
      <c r="Q112" s="667"/>
      <c r="R112" s="667"/>
      <c r="S112" s="299"/>
      <c r="T112" s="667"/>
      <c r="U112" s="667"/>
      <c r="V112" s="299"/>
      <c r="W112" s="667"/>
      <c r="X112" s="667"/>
      <c r="Y112" s="299"/>
      <c r="Z112" s="667"/>
      <c r="AA112" s="667"/>
      <c r="AB112" s="299"/>
      <c r="AC112" s="667"/>
      <c r="AD112" s="667"/>
      <c r="AE112" s="299"/>
      <c r="AF112" s="667"/>
      <c r="AG112" s="667"/>
      <c r="AH112" s="299"/>
      <c r="AI112" s="667"/>
      <c r="AJ112" s="667"/>
      <c r="AK112" s="299"/>
      <c r="AL112" s="667"/>
      <c r="AM112" s="667"/>
      <c r="AN112" s="299"/>
      <c r="AO112" s="667"/>
      <c r="AP112" s="667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672" t="s">
        <v>253</v>
      </c>
      <c r="C115" s="666"/>
      <c r="D115" s="300" t="s">
        <v>0</v>
      </c>
      <c r="E115" s="672" t="s">
        <v>254</v>
      </c>
      <c r="F115" s="666"/>
      <c r="G115" s="300" t="s">
        <v>0</v>
      </c>
      <c r="H115" s="672" t="s">
        <v>255</v>
      </c>
      <c r="I115" s="666"/>
      <c r="J115" s="300" t="s">
        <v>0</v>
      </c>
      <c r="K115" s="701" t="s">
        <v>257</v>
      </c>
      <c r="L115" s="701"/>
      <c r="M115" s="300" t="s">
        <v>0</v>
      </c>
      <c r="N115" s="701" t="s">
        <v>259</v>
      </c>
      <c r="O115" s="701"/>
      <c r="P115" s="300" t="s">
        <v>0</v>
      </c>
      <c r="Q115" s="666" t="s">
        <v>262</v>
      </c>
      <c r="R115" s="666"/>
      <c r="S115" s="300" t="s">
        <v>0</v>
      </c>
      <c r="T115" s="666" t="s">
        <v>264</v>
      </c>
      <c r="U115" s="666"/>
      <c r="V115" s="300" t="s">
        <v>0</v>
      </c>
      <c r="W115" s="666" t="s">
        <v>266</v>
      </c>
      <c r="X115" s="666"/>
      <c r="Y115" s="299" t="s">
        <v>0</v>
      </c>
      <c r="Z115" s="672" t="s">
        <v>267</v>
      </c>
      <c r="AA115" s="666"/>
      <c r="AB115" s="299" t="s">
        <v>0</v>
      </c>
      <c r="AC115" s="672" t="s">
        <v>269</v>
      </c>
      <c r="AD115" s="666"/>
      <c r="AE115" s="300" t="s">
        <v>0</v>
      </c>
      <c r="AF115" s="666" t="s">
        <v>271</v>
      </c>
      <c r="AG115" s="666"/>
      <c r="AH115" s="299" t="s">
        <v>0</v>
      </c>
      <c r="AI115" s="672" t="s">
        <v>273</v>
      </c>
      <c r="AJ115" s="666"/>
      <c r="AK115" s="299" t="s">
        <v>0</v>
      </c>
      <c r="AL115" s="672" t="s">
        <v>274</v>
      </c>
      <c r="AM115" s="666"/>
      <c r="AN115" s="299" t="s">
        <v>0</v>
      </c>
      <c r="AO115" s="672" t="s">
        <v>275</v>
      </c>
      <c r="AP115" s="666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3" t="s">
        <v>42</v>
      </c>
      <c r="C116" s="663"/>
      <c r="D116" s="299"/>
      <c r="E116" s="663" t="s">
        <v>37</v>
      </c>
      <c r="F116" s="663"/>
      <c r="G116" s="299"/>
      <c r="H116" s="663" t="s">
        <v>42</v>
      </c>
      <c r="I116" s="663"/>
      <c r="J116" s="299"/>
      <c r="K116" s="669" t="s">
        <v>54</v>
      </c>
      <c r="L116" s="669"/>
      <c r="M116" s="299"/>
      <c r="N116" s="669" t="s">
        <v>260</v>
      </c>
      <c r="O116" s="669"/>
      <c r="P116" s="299"/>
      <c r="Q116" s="663" t="s">
        <v>260</v>
      </c>
      <c r="R116" s="663"/>
      <c r="S116" s="299"/>
      <c r="T116" s="663" t="s">
        <v>260</v>
      </c>
      <c r="U116" s="663"/>
      <c r="V116" s="299"/>
      <c r="W116" s="663" t="s">
        <v>34</v>
      </c>
      <c r="X116" s="663"/>
      <c r="Y116" s="299"/>
      <c r="Z116" s="663" t="s">
        <v>625</v>
      </c>
      <c r="AA116" s="663"/>
      <c r="AB116" s="299"/>
      <c r="AC116" s="663" t="s">
        <v>625</v>
      </c>
      <c r="AD116" s="663"/>
      <c r="AE116" s="299"/>
      <c r="AF116" s="663" t="s">
        <v>51</v>
      </c>
      <c r="AG116" s="663"/>
      <c r="AH116" s="299"/>
      <c r="AI116" s="663" t="s">
        <v>65</v>
      </c>
      <c r="AJ116" s="663"/>
      <c r="AK116" s="299"/>
      <c r="AL116" s="663" t="s">
        <v>42</v>
      </c>
      <c r="AM116" s="663"/>
      <c r="AN116" s="299"/>
      <c r="AO116" s="663" t="s">
        <v>56</v>
      </c>
      <c r="AP116" s="663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3"/>
      <c r="C121" s="663"/>
      <c r="D121" s="299"/>
      <c r="E121" s="667"/>
      <c r="F121" s="667"/>
      <c r="G121" s="299"/>
      <c r="H121" s="667"/>
      <c r="I121" s="667"/>
      <c r="J121" s="299"/>
      <c r="K121" s="667"/>
      <c r="L121" s="667"/>
      <c r="M121" s="299"/>
      <c r="N121" s="667"/>
      <c r="O121" s="667"/>
      <c r="P121" s="299"/>
      <c r="Q121" s="667"/>
      <c r="R121" s="667"/>
      <c r="S121" s="299"/>
      <c r="T121" s="667"/>
      <c r="U121" s="667"/>
      <c r="V121" s="299"/>
      <c r="W121" s="667"/>
      <c r="X121" s="667"/>
      <c r="Y121" s="299"/>
      <c r="Z121" s="663"/>
      <c r="AA121" s="663"/>
      <c r="AB121" s="299"/>
      <c r="AC121" s="663"/>
      <c r="AD121" s="663"/>
      <c r="AE121" s="664"/>
      <c r="AF121" s="664"/>
      <c r="AG121" s="664"/>
      <c r="AH121" s="664"/>
      <c r="AI121" s="662"/>
      <c r="AJ121" s="662"/>
      <c r="AL121" s="662"/>
      <c r="AM121" s="662"/>
      <c r="AO121" s="662"/>
      <c r="AP121" s="662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668" t="s">
        <v>276</v>
      </c>
      <c r="C124" s="663"/>
      <c r="D124" s="300"/>
      <c r="E124" s="672" t="s">
        <v>277</v>
      </c>
      <c r="F124" s="666"/>
      <c r="G124" s="300"/>
      <c r="H124" s="666" t="s">
        <v>279</v>
      </c>
      <c r="I124" s="666"/>
      <c r="J124" s="300"/>
      <c r="K124" s="672" t="s">
        <v>280</v>
      </c>
      <c r="L124" s="666"/>
      <c r="M124" s="300"/>
      <c r="N124" s="672" t="s">
        <v>281</v>
      </c>
      <c r="O124" s="666"/>
      <c r="P124" s="300"/>
      <c r="Q124" s="672" t="s">
        <v>282</v>
      </c>
      <c r="R124" s="666"/>
      <c r="S124" s="300"/>
      <c r="T124" s="665" t="s">
        <v>283</v>
      </c>
      <c r="U124" s="666"/>
      <c r="V124" s="300"/>
      <c r="W124" s="665" t="s">
        <v>284</v>
      </c>
      <c r="X124" s="666"/>
      <c r="Y124" s="299"/>
      <c r="Z124" s="668" t="s">
        <v>285</v>
      </c>
      <c r="AA124" s="663"/>
      <c r="AB124" s="316"/>
      <c r="AC124" s="668" t="s">
        <v>664</v>
      </c>
      <c r="AD124" s="668"/>
      <c r="AE124" s="299"/>
      <c r="AF124" s="668" t="s">
        <v>288</v>
      </c>
      <c r="AG124" s="663"/>
      <c r="AH124" s="306"/>
      <c r="AI124" s="670" t="s">
        <v>290</v>
      </c>
      <c r="AJ124" s="662"/>
      <c r="AL124" s="662" t="s">
        <v>291</v>
      </c>
      <c r="AM124" s="662"/>
      <c r="AO124" s="662" t="s">
        <v>292</v>
      </c>
      <c r="AP124" s="662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663" t="s">
        <v>56</v>
      </c>
      <c r="C125" s="663"/>
      <c r="D125" s="299"/>
      <c r="E125" s="663" t="s">
        <v>37</v>
      </c>
      <c r="F125" s="663"/>
      <c r="G125" s="299"/>
      <c r="H125" s="663" t="s">
        <v>76</v>
      </c>
      <c r="I125" s="663"/>
      <c r="J125" s="299"/>
      <c r="K125" s="663" t="s">
        <v>42</v>
      </c>
      <c r="L125" s="663"/>
      <c r="M125" s="299"/>
      <c r="N125" s="663" t="s">
        <v>42</v>
      </c>
      <c r="O125" s="663"/>
      <c r="P125" s="299"/>
      <c r="Q125" s="663" t="s">
        <v>42</v>
      </c>
      <c r="R125" s="663"/>
      <c r="S125" s="299"/>
      <c r="T125" s="663" t="s">
        <v>42</v>
      </c>
      <c r="U125" s="663"/>
      <c r="V125" s="299"/>
      <c r="W125" s="669" t="s">
        <v>42</v>
      </c>
      <c r="X125" s="663"/>
      <c r="Y125" s="299"/>
      <c r="Z125" s="663" t="s">
        <v>42</v>
      </c>
      <c r="AA125" s="663"/>
      <c r="AB125" s="299"/>
      <c r="AC125" s="663" t="s">
        <v>76</v>
      </c>
      <c r="AD125" s="663"/>
      <c r="AE125" s="299"/>
      <c r="AF125" s="663" t="s">
        <v>56</v>
      </c>
      <c r="AG125" s="663"/>
      <c r="AI125" s="670" t="s">
        <v>39</v>
      </c>
      <c r="AJ125" s="662"/>
      <c r="AL125" s="662" t="s">
        <v>42</v>
      </c>
      <c r="AM125" s="662"/>
      <c r="AO125" s="662" t="s">
        <v>42</v>
      </c>
      <c r="AP125" s="662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3"/>
      <c r="C130" s="663"/>
      <c r="D130" s="299"/>
      <c r="E130" s="663"/>
      <c r="F130" s="663"/>
      <c r="G130" s="299"/>
      <c r="H130" s="663"/>
      <c r="I130" s="663"/>
      <c r="J130" s="299"/>
      <c r="K130" s="663"/>
      <c r="L130" s="663"/>
      <c r="M130" s="299"/>
      <c r="N130" s="671" t="s">
        <v>625</v>
      </c>
      <c r="O130" s="671"/>
      <c r="P130" s="671"/>
      <c r="Q130" s="663"/>
      <c r="R130" s="663"/>
      <c r="S130" s="299"/>
      <c r="T130" s="663"/>
      <c r="U130" s="663"/>
      <c r="V130" s="299"/>
      <c r="W130" s="663"/>
      <c r="X130" s="663"/>
      <c r="Y130" s="299"/>
      <c r="Z130" s="663"/>
      <c r="AA130" s="663"/>
      <c r="AB130" s="299"/>
      <c r="AC130" s="663"/>
      <c r="AD130" s="663"/>
      <c r="AE130" s="664"/>
      <c r="AF130" s="664"/>
      <c r="AG130" s="664"/>
      <c r="AH130" s="664"/>
      <c r="AI130" s="662"/>
      <c r="AJ130" s="662"/>
      <c r="AL130" s="662"/>
      <c r="AM130" s="662"/>
      <c r="AO130" s="662"/>
      <c r="AP130" s="662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71"/>
      <c r="O131" s="671"/>
      <c r="P131" s="671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71"/>
      <c r="O132" s="671"/>
      <c r="P132" s="671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666" t="s">
        <v>294</v>
      </c>
      <c r="C133" s="666"/>
      <c r="D133" s="300"/>
      <c r="E133" s="699" t="s">
        <v>694</v>
      </c>
      <c r="F133" s="699"/>
      <c r="G133" s="358"/>
      <c r="H133" s="699" t="s">
        <v>295</v>
      </c>
      <c r="I133" s="699"/>
      <c r="J133" s="300"/>
      <c r="K133" s="700" t="s">
        <v>695</v>
      </c>
      <c r="L133" s="70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3" t="s">
        <v>81</v>
      </c>
      <c r="C134" s="663"/>
      <c r="D134" s="300"/>
      <c r="E134" s="659" t="s">
        <v>260</v>
      </c>
      <c r="F134" s="659"/>
      <c r="G134" s="301"/>
      <c r="H134" s="659" t="s">
        <v>260</v>
      </c>
      <c r="I134" s="659"/>
      <c r="J134" s="300"/>
      <c r="K134" s="659" t="s">
        <v>260</v>
      </c>
      <c r="L134" s="659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678" t="s">
        <v>627</v>
      </c>
      <c r="C137" s="679"/>
      <c r="D137" s="676"/>
      <c r="E137" s="676"/>
      <c r="F137" s="676"/>
      <c r="G137" s="676"/>
      <c r="H137" s="676"/>
      <c r="I137" s="676"/>
      <c r="J137" s="676"/>
      <c r="K137" s="676"/>
      <c r="L137" s="677"/>
      <c r="M137" s="297"/>
      <c r="N137" s="675" t="s">
        <v>628</v>
      </c>
      <c r="O137" s="676"/>
      <c r="P137" s="676"/>
      <c r="Q137" s="676"/>
      <c r="R137" s="676"/>
      <c r="S137" s="676"/>
      <c r="T137" s="676"/>
      <c r="U137" s="676"/>
      <c r="V137" s="677"/>
      <c r="W137" s="771" t="s">
        <v>665</v>
      </c>
      <c r="X137" s="772"/>
      <c r="Y137" s="772"/>
      <c r="Z137" s="772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17"/>
      <c r="AO137" s="717"/>
      <c r="AP137" s="717"/>
      <c r="AQ137" s="718"/>
      <c r="AR137" s="718"/>
      <c r="AS137" s="718"/>
      <c r="AT137" s="718"/>
      <c r="AU137" s="719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73"/>
      <c r="X138" s="774"/>
      <c r="Y138" s="774"/>
      <c r="Z138" s="774"/>
      <c r="AA138" s="774"/>
      <c r="AB138" s="774"/>
      <c r="AC138" s="774"/>
      <c r="AD138" s="774"/>
      <c r="AE138" s="774"/>
      <c r="AF138" s="774"/>
      <c r="AG138" s="774"/>
      <c r="AH138" s="774"/>
      <c r="AI138" s="774"/>
      <c r="AJ138" s="774"/>
      <c r="AK138" s="774"/>
      <c r="AL138" s="774"/>
      <c r="AM138" s="774"/>
      <c r="AN138" s="720"/>
      <c r="AO138" s="720"/>
      <c r="AP138" s="720"/>
      <c r="AQ138" s="721"/>
      <c r="AR138" s="721"/>
      <c r="AS138" s="721"/>
      <c r="AT138" s="721"/>
      <c r="AU138" s="722"/>
    </row>
    <row r="139" spans="2:55">
      <c r="B139" s="682" t="s">
        <v>470</v>
      </c>
      <c r="C139" s="683"/>
      <c r="D139" s="684"/>
      <c r="F139" s="748" t="s">
        <v>630</v>
      </c>
      <c r="G139" s="748"/>
      <c r="I139" s="749" t="s">
        <v>631</v>
      </c>
      <c r="J139" s="749"/>
      <c r="N139" s="751" t="s">
        <v>632</v>
      </c>
      <c r="O139" s="751"/>
      <c r="P139" s="685"/>
      <c r="R139" s="759" t="s">
        <v>633</v>
      </c>
      <c r="S139" s="760"/>
      <c r="T139" s="765"/>
      <c r="U139" s="766"/>
      <c r="V139" s="280"/>
      <c r="W139" s="734" t="s">
        <v>2</v>
      </c>
      <c r="X139" s="735"/>
      <c r="Y139" s="736" t="s">
        <v>356</v>
      </c>
      <c r="Z139" s="736"/>
      <c r="AA139" s="736"/>
      <c r="AB139" s="736"/>
      <c r="AC139" s="736" t="s">
        <v>634</v>
      </c>
      <c r="AD139" s="736"/>
      <c r="AE139" s="736" t="s">
        <v>635</v>
      </c>
      <c r="AF139" s="736"/>
      <c r="AG139" s="736"/>
      <c r="AH139" s="736" t="s">
        <v>32</v>
      </c>
      <c r="AI139" s="736"/>
      <c r="AJ139" s="736"/>
      <c r="AK139" s="736" t="s">
        <v>372</v>
      </c>
      <c r="AL139" s="736"/>
      <c r="AM139" s="736"/>
      <c r="AN139" s="736" t="s">
        <v>15</v>
      </c>
      <c r="AO139" s="736"/>
      <c r="AP139" s="736"/>
      <c r="AQ139" s="740"/>
      <c r="AR139" s="740"/>
      <c r="AS139" s="740"/>
      <c r="AT139" s="740"/>
      <c r="AU139" s="741"/>
    </row>
    <row r="140" spans="2:55">
      <c r="B140" s="287"/>
      <c r="N140" s="751"/>
      <c r="O140" s="751"/>
      <c r="P140" s="685"/>
      <c r="R140" s="761"/>
      <c r="S140" s="762"/>
      <c r="T140" s="767"/>
      <c r="U140" s="768"/>
      <c r="V140" s="280"/>
      <c r="W140" s="737">
        <v>1</v>
      </c>
      <c r="X140" s="738"/>
      <c r="Y140" s="739" t="s">
        <v>376</v>
      </c>
      <c r="Z140" s="739"/>
      <c r="AA140" s="739"/>
      <c r="AB140" s="739"/>
      <c r="AC140" s="671" t="s">
        <v>377</v>
      </c>
      <c r="AD140" s="671"/>
      <c r="AE140" s="733">
        <f>AU136</f>
        <v>64.033460000000005</v>
      </c>
      <c r="AF140" s="671"/>
      <c r="AG140" s="671"/>
      <c r="AH140" s="733">
        <f>AU136</f>
        <v>64.033460000000005</v>
      </c>
      <c r="AI140" s="671"/>
      <c r="AJ140" s="671"/>
      <c r="AK140" s="733">
        <f>AE140-AH140</f>
        <v>0</v>
      </c>
      <c r="AL140" s="733"/>
      <c r="AM140" s="733"/>
      <c r="AN140" s="671"/>
      <c r="AO140" s="671"/>
      <c r="AP140" s="671"/>
      <c r="AQ140" s="731"/>
      <c r="AR140" s="731"/>
      <c r="AS140" s="731"/>
      <c r="AT140" s="731"/>
      <c r="AU140" s="732"/>
    </row>
    <row r="141" spans="2:55">
      <c r="B141" s="686" t="s">
        <v>468</v>
      </c>
      <c r="C141" s="687"/>
      <c r="D141" s="688"/>
      <c r="N141" s="751" t="s">
        <v>636</v>
      </c>
      <c r="O141" s="751"/>
      <c r="P141" s="685"/>
      <c r="R141" s="761"/>
      <c r="S141" s="762"/>
      <c r="T141" s="767"/>
      <c r="U141" s="768"/>
      <c r="V141" s="280"/>
      <c r="W141" s="737">
        <v>2</v>
      </c>
      <c r="X141" s="738"/>
      <c r="Y141" s="739" t="s">
        <v>378</v>
      </c>
      <c r="Z141" s="739"/>
      <c r="AA141" s="739"/>
      <c r="AB141" s="739"/>
      <c r="AC141" s="671" t="s">
        <v>377</v>
      </c>
      <c r="AD141" s="671"/>
      <c r="AE141" s="733">
        <f>AU136</f>
        <v>64.033460000000005</v>
      </c>
      <c r="AF141" s="671"/>
      <c r="AG141" s="671"/>
      <c r="AH141" s="733">
        <f>AU136</f>
        <v>64.033460000000005</v>
      </c>
      <c r="AI141" s="671"/>
      <c r="AJ141" s="671"/>
      <c r="AK141" s="733">
        <f t="shared" ref="AK141:AK148" si="1">AE141-AH141</f>
        <v>0</v>
      </c>
      <c r="AL141" s="733"/>
      <c r="AM141" s="733"/>
      <c r="AN141" s="671"/>
      <c r="AO141" s="671"/>
      <c r="AP141" s="671"/>
      <c r="AQ141" s="731"/>
      <c r="AR141" s="731"/>
      <c r="AS141" s="731"/>
      <c r="AT141" s="731"/>
      <c r="AU141" s="732"/>
    </row>
    <row r="142" spans="2:55">
      <c r="B142" s="287"/>
      <c r="F142" s="275"/>
      <c r="G142" s="274"/>
      <c r="N142" s="751"/>
      <c r="O142" s="751"/>
      <c r="P142" s="685"/>
      <c r="R142" s="763"/>
      <c r="S142" s="764"/>
      <c r="T142" s="769"/>
      <c r="U142" s="770"/>
      <c r="V142" s="280"/>
      <c r="W142" s="737">
        <v>3</v>
      </c>
      <c r="X142" s="738"/>
      <c r="Y142" s="739" t="s">
        <v>379</v>
      </c>
      <c r="Z142" s="739"/>
      <c r="AA142" s="739"/>
      <c r="AB142" s="739"/>
      <c r="AC142" s="671" t="s">
        <v>637</v>
      </c>
      <c r="AD142" s="671"/>
      <c r="AE142" s="671">
        <v>199</v>
      </c>
      <c r="AF142" s="671"/>
      <c r="AG142" s="671"/>
      <c r="AH142" s="671">
        <f>+AW137</f>
        <v>199</v>
      </c>
      <c r="AI142" s="671"/>
      <c r="AJ142" s="671"/>
      <c r="AK142" s="733">
        <f t="shared" si="1"/>
        <v>0</v>
      </c>
      <c r="AL142" s="733"/>
      <c r="AM142" s="733"/>
      <c r="AN142" s="671"/>
      <c r="AO142" s="671"/>
      <c r="AP142" s="671"/>
      <c r="AQ142" s="731"/>
      <c r="AR142" s="731"/>
      <c r="AS142" s="731"/>
      <c r="AT142" s="731"/>
      <c r="AU142" s="732"/>
    </row>
    <row r="143" spans="2:55">
      <c r="B143" s="287"/>
      <c r="E143" s="660"/>
      <c r="F143" s="660"/>
      <c r="H143" s="712"/>
      <c r="I143" s="712"/>
      <c r="K143" s="660"/>
      <c r="L143" s="660"/>
      <c r="N143" s="751" t="s">
        <v>638</v>
      </c>
      <c r="O143" s="751"/>
      <c r="P143" s="685"/>
      <c r="R143" s="759" t="s">
        <v>452</v>
      </c>
      <c r="S143" s="760"/>
      <c r="T143" s="765"/>
      <c r="U143" s="766"/>
      <c r="V143" s="280"/>
      <c r="W143" s="737">
        <v>4</v>
      </c>
      <c r="X143" s="738"/>
      <c r="Y143" s="739" t="s">
        <v>381</v>
      </c>
      <c r="Z143" s="739"/>
      <c r="AA143" s="739"/>
      <c r="AB143" s="739"/>
      <c r="AC143" s="671" t="s">
        <v>637</v>
      </c>
      <c r="AD143" s="671"/>
      <c r="AE143" s="671">
        <v>199</v>
      </c>
      <c r="AF143" s="671"/>
      <c r="AG143" s="671"/>
      <c r="AH143" s="671">
        <f>AX137</f>
        <v>199</v>
      </c>
      <c r="AI143" s="671"/>
      <c r="AJ143" s="671"/>
      <c r="AK143" s="733">
        <f t="shared" si="1"/>
        <v>0</v>
      </c>
      <c r="AL143" s="733"/>
      <c r="AM143" s="733"/>
      <c r="AN143" s="671"/>
      <c r="AO143" s="671"/>
      <c r="AP143" s="671"/>
      <c r="AQ143" s="731"/>
      <c r="AR143" s="731"/>
      <c r="AS143" s="731"/>
      <c r="AT143" s="731"/>
      <c r="AU143" s="732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1"/>
      <c r="O144" s="751"/>
      <c r="P144" s="685"/>
      <c r="R144" s="761"/>
      <c r="S144" s="762"/>
      <c r="T144" s="767"/>
      <c r="U144" s="768"/>
      <c r="V144" s="280"/>
      <c r="W144" s="737">
        <v>5</v>
      </c>
      <c r="X144" s="738"/>
      <c r="Y144" s="739" t="s">
        <v>468</v>
      </c>
      <c r="Z144" s="739"/>
      <c r="AA144" s="739"/>
      <c r="AB144" s="739"/>
      <c r="AC144" s="671" t="s">
        <v>637</v>
      </c>
      <c r="AD144" s="671"/>
      <c r="AE144" s="671">
        <v>199</v>
      </c>
      <c r="AF144" s="671"/>
      <c r="AG144" s="671"/>
      <c r="AH144" s="733">
        <f>AY137</f>
        <v>199</v>
      </c>
      <c r="AI144" s="671"/>
      <c r="AJ144" s="671"/>
      <c r="AK144" s="733">
        <f t="shared" si="1"/>
        <v>0</v>
      </c>
      <c r="AL144" s="733"/>
      <c r="AM144" s="733"/>
      <c r="AN144" s="671"/>
      <c r="AO144" s="671"/>
      <c r="AP144" s="671"/>
      <c r="AQ144" s="731"/>
      <c r="AR144" s="731"/>
      <c r="AS144" s="731"/>
      <c r="AT144" s="731"/>
      <c r="AU144" s="732"/>
    </row>
    <row r="145" spans="2:47">
      <c r="B145" s="689" t="s">
        <v>379</v>
      </c>
      <c r="C145" s="690"/>
      <c r="D145" s="691"/>
      <c r="E145" s="291"/>
      <c r="F145" s="291"/>
      <c r="G145" s="282"/>
      <c r="H145" s="289"/>
      <c r="I145" s="289"/>
      <c r="K145" s="290"/>
      <c r="L145" s="289"/>
      <c r="M145" s="282"/>
      <c r="N145" s="751" t="s">
        <v>639</v>
      </c>
      <c r="O145" s="751"/>
      <c r="P145" s="685"/>
      <c r="R145" s="761"/>
      <c r="S145" s="762"/>
      <c r="T145" s="767"/>
      <c r="U145" s="768"/>
      <c r="V145" s="280"/>
      <c r="W145" s="737">
        <v>6</v>
      </c>
      <c r="X145" s="738"/>
      <c r="Y145" s="739" t="s">
        <v>640</v>
      </c>
      <c r="Z145" s="739"/>
      <c r="AA145" s="739"/>
      <c r="AB145" s="739"/>
      <c r="AC145" s="671" t="s">
        <v>637</v>
      </c>
      <c r="AD145" s="671"/>
      <c r="AE145" s="671">
        <v>199</v>
      </c>
      <c r="AF145" s="671"/>
      <c r="AG145" s="671"/>
      <c r="AH145" s="733">
        <f>AZ137</f>
        <v>199</v>
      </c>
      <c r="AI145" s="671"/>
      <c r="AJ145" s="671"/>
      <c r="AK145" s="733">
        <f t="shared" si="1"/>
        <v>0</v>
      </c>
      <c r="AL145" s="733"/>
      <c r="AM145" s="733"/>
      <c r="AN145" s="671"/>
      <c r="AO145" s="671"/>
      <c r="AP145" s="671"/>
      <c r="AQ145" s="731"/>
      <c r="AR145" s="731"/>
      <c r="AS145" s="731"/>
      <c r="AT145" s="731"/>
      <c r="AU145" s="732"/>
    </row>
    <row r="146" spans="2:47">
      <c r="B146" s="286" t="s">
        <v>641</v>
      </c>
      <c r="C146" s="285"/>
      <c r="E146" s="695" t="s">
        <v>38</v>
      </c>
      <c r="F146" s="695"/>
      <c r="G146" s="288">
        <v>293</v>
      </c>
      <c r="H146" s="696" t="s">
        <v>41</v>
      </c>
      <c r="I146" s="695"/>
      <c r="J146" s="283">
        <v>391</v>
      </c>
      <c r="K146" s="697" t="s">
        <v>45</v>
      </c>
      <c r="L146" s="698"/>
      <c r="M146" s="282"/>
      <c r="N146" s="751"/>
      <c r="O146" s="751"/>
      <c r="P146" s="685"/>
      <c r="R146" s="763"/>
      <c r="S146" s="764"/>
      <c r="T146" s="769"/>
      <c r="U146" s="770"/>
      <c r="V146" s="280"/>
      <c r="W146" s="737">
        <v>7</v>
      </c>
      <c r="X146" s="738"/>
      <c r="Y146" s="739" t="s">
        <v>642</v>
      </c>
      <c r="Z146" s="739"/>
      <c r="AA146" s="739"/>
      <c r="AB146" s="739"/>
      <c r="AC146" s="671" t="s">
        <v>377</v>
      </c>
      <c r="AD146" s="671"/>
      <c r="AE146" s="733">
        <f>AU136</f>
        <v>64.033460000000005</v>
      </c>
      <c r="AF146" s="671"/>
      <c r="AG146" s="671"/>
      <c r="AH146" s="742">
        <f>BA137</f>
        <v>64.033460000000005</v>
      </c>
      <c r="AI146" s="742"/>
      <c r="AJ146" s="742"/>
      <c r="AK146" s="742">
        <f t="shared" si="1"/>
        <v>0</v>
      </c>
      <c r="AL146" s="742"/>
      <c r="AM146" s="742"/>
      <c r="AN146" s="739"/>
      <c r="AO146" s="739"/>
      <c r="AP146" s="739"/>
      <c r="AQ146" s="746"/>
      <c r="AR146" s="746"/>
      <c r="AS146" s="746"/>
      <c r="AT146" s="746"/>
      <c r="AU146" s="747"/>
    </row>
    <row r="147" spans="2:47">
      <c r="B147" s="286" t="s">
        <v>399</v>
      </c>
      <c r="C147" s="285"/>
      <c r="E147" s="662" t="s">
        <v>39</v>
      </c>
      <c r="F147" s="662"/>
      <c r="H147" s="662" t="s">
        <v>37</v>
      </c>
      <c r="I147" s="662"/>
      <c r="J147" s="283"/>
      <c r="K147" s="693" t="s">
        <v>46</v>
      </c>
      <c r="L147" s="694"/>
      <c r="M147" s="282"/>
      <c r="N147" s="751" t="s">
        <v>666</v>
      </c>
      <c r="O147" s="751"/>
      <c r="P147" s="685"/>
      <c r="R147" s="673" t="s">
        <v>667</v>
      </c>
      <c r="S147" s="673"/>
      <c r="T147" s="680"/>
      <c r="U147" s="680"/>
      <c r="V147" s="280"/>
      <c r="W147" s="737">
        <v>8</v>
      </c>
      <c r="X147" s="738"/>
      <c r="Y147" s="739" t="s">
        <v>668</v>
      </c>
      <c r="Z147" s="739"/>
      <c r="AA147" s="739"/>
      <c r="AB147" s="739"/>
      <c r="AC147" s="671" t="s">
        <v>377</v>
      </c>
      <c r="AD147" s="671"/>
      <c r="AE147" s="733">
        <f>AU136</f>
        <v>64.033460000000005</v>
      </c>
      <c r="AF147" s="671"/>
      <c r="AG147" s="671"/>
      <c r="AH147" s="742">
        <f>BB137</f>
        <v>64.033460000000005</v>
      </c>
      <c r="AI147" s="742"/>
      <c r="AJ147" s="742"/>
      <c r="AK147" s="742">
        <f t="shared" si="1"/>
        <v>0</v>
      </c>
      <c r="AL147" s="742"/>
      <c r="AM147" s="742"/>
      <c r="AN147" s="671"/>
      <c r="AO147" s="671"/>
      <c r="AP147" s="671"/>
      <c r="AQ147" s="731"/>
      <c r="AR147" s="731"/>
      <c r="AS147" s="731"/>
      <c r="AT147" s="731"/>
      <c r="AU147" s="732"/>
    </row>
    <row r="148" spans="2:47" ht="15.75" thickBot="1">
      <c r="B148" s="279"/>
      <c r="C148" s="278"/>
      <c r="D148" s="277"/>
      <c r="E148" s="278"/>
      <c r="F148" s="692" t="s">
        <v>381</v>
      </c>
      <c r="G148" s="692"/>
      <c r="H148" s="278"/>
      <c r="I148" s="278"/>
      <c r="J148" s="750" t="s">
        <v>645</v>
      </c>
      <c r="K148" s="750"/>
      <c r="L148" s="750"/>
      <c r="M148" s="277"/>
      <c r="N148" s="752"/>
      <c r="O148" s="752"/>
      <c r="P148" s="758"/>
      <c r="Q148" s="277"/>
      <c r="R148" s="674"/>
      <c r="S148" s="674"/>
      <c r="T148" s="681"/>
      <c r="U148" s="681"/>
      <c r="V148" s="276"/>
      <c r="W148" s="754">
        <v>9</v>
      </c>
      <c r="X148" s="755"/>
      <c r="Y148" s="756" t="s">
        <v>390</v>
      </c>
      <c r="Z148" s="756"/>
      <c r="AA148" s="756"/>
      <c r="AB148" s="756"/>
      <c r="AC148" s="743" t="s">
        <v>377</v>
      </c>
      <c r="AD148" s="743"/>
      <c r="AE148" s="733">
        <f>AU136</f>
        <v>64.033460000000005</v>
      </c>
      <c r="AF148" s="671"/>
      <c r="AG148" s="671"/>
      <c r="AH148" s="757">
        <f>BA137</f>
        <v>64.033460000000005</v>
      </c>
      <c r="AI148" s="743"/>
      <c r="AJ148" s="743"/>
      <c r="AK148" s="733">
        <f t="shared" si="1"/>
        <v>0</v>
      </c>
      <c r="AL148" s="733"/>
      <c r="AM148" s="733"/>
      <c r="AN148" s="743"/>
      <c r="AO148" s="743"/>
      <c r="AP148" s="743"/>
      <c r="AQ148" s="744"/>
      <c r="AR148" s="744"/>
      <c r="AS148" s="744"/>
      <c r="AT148" s="744"/>
      <c r="AU148" s="745"/>
    </row>
    <row r="151" spans="2:47">
      <c r="AH151" s="753"/>
      <c r="AI151" s="753"/>
    </row>
    <row r="153" spans="2:47">
      <c r="AH153" s="306"/>
    </row>
    <row r="155" spans="2:47">
      <c r="AH155" s="662"/>
      <c r="AI155" s="662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7" t="str">
        <f>+[1]Summary!A2</f>
        <v>Name of the Line: 220KV DC AL59 line from Neemuch - Chanderiya + 132KV DC ACSS Line from Chanderiya to Hindustan Zinc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848"/>
      <c r="AL1" s="848"/>
      <c r="AM1" s="848"/>
      <c r="AN1" s="848"/>
      <c r="AO1" s="848"/>
      <c r="AP1" s="848"/>
      <c r="AQ1" s="849"/>
      <c r="AS1" s="726">
        <f>Summary!R5</f>
        <v>46226</v>
      </c>
      <c r="AT1" s="726"/>
      <c r="AU1" s="726"/>
      <c r="AV1" s="726"/>
      <c r="AW1" s="726"/>
      <c r="AX1" s="726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50" t="s">
        <v>619</v>
      </c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457"/>
      <c r="AC2" s="297"/>
      <c r="AD2" s="297"/>
      <c r="AE2" s="297"/>
      <c r="AF2" s="297"/>
      <c r="AG2" s="297"/>
      <c r="AH2" s="457"/>
      <c r="AI2" s="297"/>
      <c r="AJ2" s="297"/>
      <c r="AK2" s="851" t="s">
        <v>26</v>
      </c>
      <c r="AL2" s="851"/>
      <c r="AM2" s="851"/>
      <c r="AN2" s="858">
        <f>AS1</f>
        <v>46226</v>
      </c>
      <c r="AO2" s="858"/>
      <c r="AP2" s="858"/>
      <c r="AQ2" s="859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52" t="s">
        <v>757</v>
      </c>
      <c r="I4" s="853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854"/>
      <c r="I5" s="855"/>
      <c r="J5" s="528"/>
      <c r="K5" s="846"/>
      <c r="L5" s="846"/>
      <c r="M5" s="528"/>
      <c r="N5" s="846"/>
      <c r="O5" s="846"/>
      <c r="P5" s="528"/>
      <c r="Q5" s="846"/>
      <c r="R5" s="846"/>
      <c r="S5" s="528"/>
      <c r="T5" s="846"/>
      <c r="U5" s="846"/>
      <c r="V5" s="528"/>
      <c r="W5" s="846"/>
      <c r="X5" s="846"/>
      <c r="Y5" s="528"/>
      <c r="Z5" s="791"/>
      <c r="AA5" s="791"/>
      <c r="AB5" s="528"/>
      <c r="AC5" s="846"/>
      <c r="AD5" s="846"/>
      <c r="AE5" s="531"/>
      <c r="AF5" s="846"/>
      <c r="AG5" s="846"/>
      <c r="AH5" s="528"/>
      <c r="AI5" s="846"/>
      <c r="AJ5" s="846"/>
      <c r="AK5" s="528"/>
      <c r="AL5" s="846"/>
      <c r="AM5" s="846"/>
      <c r="AN5" s="528"/>
      <c r="AO5" s="846"/>
      <c r="AP5" s="846"/>
      <c r="AQ5" s="532"/>
    </row>
    <row r="6" spans="1:60" ht="15.75" customHeight="1">
      <c r="A6" s="366"/>
      <c r="B6" s="554"/>
      <c r="C6" s="554"/>
      <c r="D6" s="554"/>
      <c r="G6" s="533"/>
      <c r="H6" s="854"/>
      <c r="I6" s="855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856"/>
      <c r="I7" s="857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664"/>
      <c r="C8" s="664"/>
      <c r="D8" s="459"/>
      <c r="E8" s="664"/>
      <c r="F8" s="664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91"/>
      <c r="AG8" s="791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664"/>
      <c r="C9" s="664"/>
      <c r="D9" s="458"/>
      <c r="E9" s="664"/>
      <c r="F9" s="664"/>
      <c r="G9" s="530"/>
      <c r="H9" s="794"/>
      <c r="I9" s="794"/>
      <c r="J9" s="526"/>
      <c r="K9" s="794" t="s">
        <v>756</v>
      </c>
      <c r="L9" s="794"/>
      <c r="M9" s="526"/>
      <c r="N9" s="794" t="s">
        <v>755</v>
      </c>
      <c r="O9" s="794"/>
      <c r="P9" s="526"/>
      <c r="Q9" s="794" t="s">
        <v>754</v>
      </c>
      <c r="R9" s="794"/>
      <c r="S9" s="526"/>
      <c r="T9" s="794" t="s">
        <v>753</v>
      </c>
      <c r="U9" s="794"/>
      <c r="V9" s="526"/>
      <c r="W9" s="794" t="s">
        <v>752</v>
      </c>
      <c r="X9" s="794"/>
      <c r="Y9" s="526"/>
      <c r="Z9" s="794" t="s">
        <v>751</v>
      </c>
      <c r="AA9" s="794"/>
      <c r="AB9" s="526"/>
      <c r="AC9" s="794" t="s">
        <v>750</v>
      </c>
      <c r="AD9" s="794"/>
      <c r="AE9" s="527"/>
      <c r="AF9" s="791" t="s">
        <v>733</v>
      </c>
      <c r="AG9" s="791"/>
      <c r="AH9" s="531"/>
      <c r="AI9" s="791" t="s">
        <v>709</v>
      </c>
      <c r="AJ9" s="791"/>
      <c r="AK9" s="531"/>
      <c r="AL9" s="791" t="s">
        <v>749</v>
      </c>
      <c r="AM9" s="791"/>
      <c r="AN9" s="531"/>
      <c r="AO9" s="791" t="s">
        <v>713</v>
      </c>
      <c r="AP9" s="791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95"/>
      <c r="I10" s="795"/>
      <c r="J10" s="541"/>
      <c r="K10" s="795"/>
      <c r="L10" s="795"/>
      <c r="M10" s="541"/>
      <c r="N10" s="795"/>
      <c r="O10" s="795"/>
      <c r="P10" s="541"/>
      <c r="Q10" s="795"/>
      <c r="R10" s="795"/>
      <c r="S10" s="541"/>
      <c r="T10" s="795"/>
      <c r="U10" s="795"/>
      <c r="V10" s="541"/>
      <c r="W10" s="795"/>
      <c r="X10" s="795"/>
      <c r="Y10" s="541"/>
      <c r="Z10" s="795"/>
      <c r="AA10" s="795"/>
      <c r="AB10" s="541"/>
      <c r="AC10" s="795"/>
      <c r="AD10" s="795"/>
      <c r="AE10" s="542"/>
      <c r="AF10" s="793" t="s">
        <v>54</v>
      </c>
      <c r="AG10" s="793"/>
      <c r="AH10" s="541"/>
      <c r="AI10" s="793" t="s">
        <v>54</v>
      </c>
      <c r="AJ10" s="793"/>
      <c r="AK10" s="541"/>
      <c r="AL10" s="793" t="s">
        <v>54</v>
      </c>
      <c r="AM10" s="793"/>
      <c r="AN10" s="541"/>
      <c r="AO10" s="793" t="s">
        <v>34</v>
      </c>
      <c r="AP10" s="793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784" t="s">
        <v>748</v>
      </c>
      <c r="F12" s="785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45"/>
      <c r="C13" s="846"/>
      <c r="D13" s="528"/>
      <c r="E13" s="786"/>
      <c r="F13" s="787"/>
      <c r="G13" s="528"/>
      <c r="H13" s="846"/>
      <c r="I13" s="846"/>
      <c r="J13" s="528"/>
      <c r="K13" s="846"/>
      <c r="L13" s="846"/>
      <c r="M13" s="528"/>
      <c r="N13" s="846"/>
      <c r="O13" s="846"/>
      <c r="P13" s="532"/>
      <c r="Q13" s="797"/>
      <c r="R13" s="797"/>
      <c r="S13" s="458"/>
      <c r="T13" s="797"/>
      <c r="U13" s="797"/>
      <c r="V13" s="458"/>
      <c r="W13" s="797"/>
      <c r="X13" s="797"/>
      <c r="Y13" s="458"/>
      <c r="Z13" s="797"/>
      <c r="AA13" s="797"/>
      <c r="AB13" s="458"/>
      <c r="AC13" s="664"/>
      <c r="AD13" s="664"/>
      <c r="AE13" s="299"/>
      <c r="AF13" s="797"/>
      <c r="AG13" s="797"/>
      <c r="AH13" s="458"/>
      <c r="AI13" s="797"/>
      <c r="AJ13" s="797"/>
      <c r="AK13" s="458"/>
      <c r="AL13" s="797"/>
      <c r="AM13" s="797"/>
      <c r="AN13" s="458"/>
      <c r="AO13" s="797"/>
      <c r="AP13" s="797"/>
      <c r="AQ13" s="467"/>
    </row>
    <row r="14" spans="1:60">
      <c r="A14" s="366"/>
      <c r="B14" s="367"/>
      <c r="C14" s="367"/>
      <c r="D14" s="534"/>
      <c r="E14" s="786"/>
      <c r="F14" s="787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788"/>
      <c r="F15" s="789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790" t="s">
        <v>714</v>
      </c>
      <c r="C17" s="791"/>
      <c r="D17" s="526"/>
      <c r="E17" s="527"/>
      <c r="F17" s="527"/>
      <c r="G17" s="526"/>
      <c r="H17" s="860" t="s">
        <v>38</v>
      </c>
      <c r="I17" s="860"/>
      <c r="J17" s="526"/>
      <c r="K17" s="791" t="s">
        <v>64</v>
      </c>
      <c r="L17" s="791"/>
      <c r="M17" s="526"/>
      <c r="N17" s="861" t="s">
        <v>344</v>
      </c>
      <c r="O17" s="861"/>
      <c r="P17" s="529"/>
      <c r="Q17" s="664" t="s">
        <v>67</v>
      </c>
      <c r="R17" s="664"/>
      <c r="T17" s="714" t="s">
        <v>310</v>
      </c>
      <c r="U17" s="714"/>
      <c r="W17" s="664" t="s">
        <v>69</v>
      </c>
      <c r="X17" s="664"/>
      <c r="Z17" s="843" t="s">
        <v>71</v>
      </c>
      <c r="AA17" s="714"/>
      <c r="AC17" s="843" t="s">
        <v>72</v>
      </c>
      <c r="AD17" s="714"/>
      <c r="AF17" s="843" t="s">
        <v>93</v>
      </c>
      <c r="AG17" s="664"/>
      <c r="AI17" s="714" t="s">
        <v>104</v>
      </c>
      <c r="AJ17" s="664"/>
      <c r="AL17" s="843" t="s">
        <v>696</v>
      </c>
      <c r="AM17" s="664"/>
      <c r="AO17" s="714" t="s">
        <v>697</v>
      </c>
      <c r="AP17" s="664"/>
    </row>
    <row r="18" spans="1:50" ht="15.75" thickBot="1">
      <c r="A18" s="366"/>
      <c r="B18" s="792" t="s">
        <v>34</v>
      </c>
      <c r="C18" s="793"/>
      <c r="D18" s="552"/>
      <c r="E18" s="543"/>
      <c r="F18" s="543"/>
      <c r="G18" s="552"/>
      <c r="H18" s="793" t="s">
        <v>34</v>
      </c>
      <c r="I18" s="793"/>
      <c r="J18" s="552"/>
      <c r="K18" s="793" t="s">
        <v>34</v>
      </c>
      <c r="L18" s="793"/>
      <c r="M18" s="552"/>
      <c r="N18" s="793" t="s">
        <v>62</v>
      </c>
      <c r="O18" s="793"/>
      <c r="P18" s="553"/>
      <c r="Q18" s="664" t="s">
        <v>34</v>
      </c>
      <c r="R18" s="664"/>
      <c r="S18" s="458"/>
      <c r="T18" s="664" t="s">
        <v>37</v>
      </c>
      <c r="U18" s="664"/>
      <c r="V18" s="458"/>
      <c r="W18" s="664" t="s">
        <v>34</v>
      </c>
      <c r="X18" s="664"/>
      <c r="Y18" s="458"/>
      <c r="Z18" s="664" t="s">
        <v>625</v>
      </c>
      <c r="AA18" s="664"/>
      <c r="AB18" s="458"/>
      <c r="AC18" s="664" t="s">
        <v>625</v>
      </c>
      <c r="AD18" s="664"/>
      <c r="AE18" s="299"/>
      <c r="AF18" s="664" t="s">
        <v>34</v>
      </c>
      <c r="AG18" s="664"/>
      <c r="AH18" s="458"/>
      <c r="AI18" s="664" t="s">
        <v>51</v>
      </c>
      <c r="AJ18" s="664"/>
      <c r="AK18" s="458"/>
      <c r="AL18" s="664" t="s">
        <v>56</v>
      </c>
      <c r="AM18" s="664"/>
      <c r="AN18" s="458"/>
      <c r="AO18" s="664" t="s">
        <v>56</v>
      </c>
      <c r="AP18" s="664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7"/>
      <c r="C21" s="797"/>
      <c r="D21" s="458"/>
      <c r="E21" s="797"/>
      <c r="F21" s="797"/>
      <c r="G21" s="458"/>
      <c r="H21" s="797"/>
      <c r="I21" s="797"/>
      <c r="J21" s="458"/>
      <c r="K21" s="797"/>
      <c r="L21" s="797"/>
      <c r="M21" s="458"/>
      <c r="N21" s="797"/>
      <c r="O21" s="797"/>
      <c r="P21" s="458"/>
      <c r="Q21" s="797"/>
      <c r="R21" s="797"/>
      <c r="S21" s="458"/>
      <c r="T21" s="797"/>
      <c r="U21" s="797"/>
      <c r="V21" s="458"/>
      <c r="W21" s="797"/>
      <c r="X21" s="797"/>
      <c r="Y21" s="458"/>
      <c r="Z21" s="664"/>
      <c r="AA21" s="664"/>
      <c r="AB21" s="458"/>
      <c r="AC21" s="664"/>
      <c r="AD21" s="664"/>
      <c r="AE21" s="299"/>
      <c r="AF21" s="664"/>
      <c r="AG21" s="664"/>
      <c r="AH21" s="458"/>
      <c r="AI21" s="664"/>
      <c r="AJ21" s="664"/>
      <c r="AK21" s="458"/>
      <c r="AL21" s="664"/>
      <c r="AM21" s="664"/>
      <c r="AN21" s="458"/>
      <c r="AO21" s="664"/>
      <c r="AP21" s="664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796"/>
      <c r="AD24" s="796"/>
      <c r="AE24" s="361">
        <v>48.42</v>
      </c>
      <c r="AF24" s="796"/>
      <c r="AG24" s="796"/>
      <c r="AH24" s="460">
        <v>58.24</v>
      </c>
      <c r="AI24" s="796"/>
      <c r="AJ24" s="796"/>
      <c r="AK24" s="460">
        <v>70.13</v>
      </c>
      <c r="AL24" s="796"/>
      <c r="AM24" s="796"/>
      <c r="AN24" s="460">
        <v>220.7</v>
      </c>
      <c r="AO24" s="796"/>
      <c r="AP24" s="796"/>
      <c r="AQ24" s="469">
        <v>262.95</v>
      </c>
    </row>
    <row r="25" spans="1:50">
      <c r="A25" s="366"/>
      <c r="B25" s="714" t="s">
        <v>698</v>
      </c>
      <c r="C25" s="664"/>
      <c r="E25" s="714" t="s">
        <v>699</v>
      </c>
      <c r="F25" s="664"/>
      <c r="H25" s="714" t="s">
        <v>106</v>
      </c>
      <c r="I25" s="664"/>
      <c r="K25" s="844" t="s">
        <v>111</v>
      </c>
      <c r="L25" s="664"/>
      <c r="N25" s="714" t="s">
        <v>320</v>
      </c>
      <c r="O25" s="664"/>
      <c r="Q25" s="664" t="s">
        <v>322</v>
      </c>
      <c r="R25" s="664"/>
      <c r="T25" s="299" t="s">
        <v>324</v>
      </c>
      <c r="U25" s="299"/>
      <c r="W25" s="714" t="s">
        <v>326</v>
      </c>
      <c r="X25" s="714"/>
      <c r="Z25" s="714" t="s">
        <v>328</v>
      </c>
      <c r="AA25" s="714"/>
      <c r="AC25" s="664" t="s">
        <v>329</v>
      </c>
      <c r="AD25" s="664"/>
      <c r="AF25" s="714" t="s">
        <v>167</v>
      </c>
      <c r="AG25" s="714"/>
      <c r="AI25" s="714" t="s">
        <v>331</v>
      </c>
      <c r="AJ25" s="714"/>
      <c r="AL25" s="664" t="s">
        <v>332</v>
      </c>
      <c r="AM25" s="664"/>
      <c r="AO25" s="664" t="s">
        <v>334</v>
      </c>
      <c r="AP25" s="664"/>
    </row>
    <row r="26" spans="1:50">
      <c r="A26" s="366"/>
      <c r="B26" s="664" t="s">
        <v>37</v>
      </c>
      <c r="C26" s="664"/>
      <c r="D26" s="458"/>
      <c r="E26" s="664" t="s">
        <v>42</v>
      </c>
      <c r="F26" s="664"/>
      <c r="G26" s="458"/>
      <c r="H26" s="664" t="s">
        <v>34</v>
      </c>
      <c r="I26" s="664"/>
      <c r="J26" s="458"/>
      <c r="K26" s="664" t="s">
        <v>51</v>
      </c>
      <c r="L26" s="664"/>
      <c r="M26" s="458"/>
      <c r="N26" s="664" t="s">
        <v>51</v>
      </c>
      <c r="O26" s="664"/>
      <c r="P26" s="458"/>
      <c r="Q26" s="664" t="s">
        <v>62</v>
      </c>
      <c r="R26" s="664"/>
      <c r="S26" s="458"/>
      <c r="T26" s="664" t="s">
        <v>62</v>
      </c>
      <c r="U26" s="664"/>
      <c r="V26" s="458"/>
      <c r="W26" s="664" t="s">
        <v>34</v>
      </c>
      <c r="X26" s="664"/>
      <c r="Y26" s="458"/>
      <c r="Z26" s="664" t="s">
        <v>37</v>
      </c>
      <c r="AA26" s="664"/>
      <c r="AB26" s="458"/>
      <c r="AC26" s="664" t="s">
        <v>34</v>
      </c>
      <c r="AD26" s="664"/>
      <c r="AE26" s="299"/>
      <c r="AF26" s="664" t="s">
        <v>625</v>
      </c>
      <c r="AG26" s="664"/>
      <c r="AH26" s="458"/>
      <c r="AI26" s="664" t="s">
        <v>625</v>
      </c>
      <c r="AJ26" s="664"/>
      <c r="AK26" s="458"/>
      <c r="AL26" s="664" t="s">
        <v>62</v>
      </c>
      <c r="AM26" s="664"/>
      <c r="AN26" s="458"/>
      <c r="AO26" s="664" t="s">
        <v>51</v>
      </c>
      <c r="AP26" s="664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775" t="s">
        <v>743</v>
      </c>
      <c r="AA29" s="776"/>
      <c r="AB29" s="777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778"/>
      <c r="AA30" s="779"/>
      <c r="AB30" s="780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781"/>
      <c r="AA31" s="782"/>
      <c r="AB31" s="783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43" t="s">
        <v>181</v>
      </c>
      <c r="C33" s="843"/>
      <c r="D33" s="275"/>
      <c r="E33" s="714" t="s">
        <v>182</v>
      </c>
      <c r="F33" s="714"/>
      <c r="G33" s="275"/>
      <c r="H33" s="714" t="s">
        <v>183</v>
      </c>
      <c r="I33" s="714"/>
      <c r="J33" s="275"/>
      <c r="K33" s="714" t="s">
        <v>336</v>
      </c>
      <c r="L33" s="714"/>
      <c r="M33" s="275"/>
      <c r="N33" s="714" t="s">
        <v>192</v>
      </c>
      <c r="O33" s="714"/>
      <c r="P33" s="275"/>
      <c r="Q33" s="714" t="s">
        <v>193</v>
      </c>
      <c r="R33" s="714"/>
      <c r="S33" s="275"/>
      <c r="T33" s="664" t="s">
        <v>338</v>
      </c>
      <c r="U33" s="664"/>
      <c r="V33" s="275"/>
      <c r="W33" s="664" t="s">
        <v>340</v>
      </c>
      <c r="X33" s="664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664" t="s">
        <v>42</v>
      </c>
      <c r="C34" s="664"/>
      <c r="D34" s="458"/>
      <c r="E34" s="664" t="s">
        <v>42</v>
      </c>
      <c r="F34" s="664"/>
      <c r="G34" s="458"/>
      <c r="H34" s="299" t="s">
        <v>42</v>
      </c>
      <c r="I34" s="299"/>
      <c r="J34" s="458"/>
      <c r="K34" s="664" t="s">
        <v>34</v>
      </c>
      <c r="L34" s="664"/>
      <c r="M34" s="458"/>
      <c r="N34" s="664" t="s">
        <v>625</v>
      </c>
      <c r="O34" s="664"/>
      <c r="P34" s="458"/>
      <c r="Q34" s="664" t="s">
        <v>625</v>
      </c>
      <c r="R34" s="664"/>
      <c r="S34" s="458"/>
      <c r="T34" s="664" t="s">
        <v>34</v>
      </c>
      <c r="U34" s="664"/>
      <c r="V34" s="458"/>
      <c r="W34" s="664" t="s">
        <v>626</v>
      </c>
      <c r="X34" s="664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37" t="s">
        <v>627</v>
      </c>
      <c r="C37" s="838"/>
      <c r="D37" s="838"/>
      <c r="E37" s="838"/>
      <c r="F37" s="838"/>
      <c r="G37" s="838"/>
      <c r="H37" s="838"/>
      <c r="I37" s="838"/>
      <c r="J37" s="838"/>
      <c r="K37" s="838"/>
      <c r="L37" s="839"/>
      <c r="N37" s="837" t="s">
        <v>628</v>
      </c>
      <c r="O37" s="838"/>
      <c r="P37" s="838"/>
      <c r="Q37" s="838"/>
      <c r="R37" s="838"/>
      <c r="S37" s="838"/>
      <c r="T37" s="838"/>
      <c r="U37" s="838"/>
      <c r="V37" s="839"/>
      <c r="W37" s="820" t="s">
        <v>629</v>
      </c>
      <c r="X37" s="821"/>
      <c r="Y37" s="821"/>
      <c r="Z37" s="821"/>
      <c r="AA37" s="821"/>
      <c r="AB37" s="821"/>
      <c r="AC37" s="821"/>
      <c r="AD37" s="821"/>
      <c r="AE37" s="821"/>
      <c r="AF37" s="821"/>
      <c r="AG37" s="821"/>
      <c r="AH37" s="821"/>
      <c r="AI37" s="821"/>
      <c r="AJ37" s="821"/>
      <c r="AK37" s="821"/>
      <c r="AL37" s="821"/>
      <c r="AM37" s="821"/>
      <c r="AN37" s="824" t="s">
        <v>354</v>
      </c>
      <c r="AO37" s="824"/>
      <c r="AP37" s="824"/>
      <c r="AQ37" s="825"/>
    </row>
    <row r="38" spans="1:50" ht="15" customHeight="1">
      <c r="A38" s="365"/>
      <c r="B38" s="365"/>
      <c r="O38" s="513"/>
      <c r="V38" s="464"/>
      <c r="W38" s="822"/>
      <c r="X38" s="823"/>
      <c r="Y38" s="823"/>
      <c r="Z38" s="823"/>
      <c r="AA38" s="823"/>
      <c r="AB38" s="823"/>
      <c r="AC38" s="823"/>
      <c r="AD38" s="823"/>
      <c r="AE38" s="823"/>
      <c r="AF38" s="823"/>
      <c r="AG38" s="823"/>
      <c r="AH38" s="823"/>
      <c r="AI38" s="823"/>
      <c r="AJ38" s="823"/>
      <c r="AK38" s="823"/>
      <c r="AL38" s="823"/>
      <c r="AM38" s="823"/>
      <c r="AN38" s="826">
        <f>AS1</f>
        <v>46226</v>
      </c>
      <c r="AO38" s="826"/>
      <c r="AP38" s="826"/>
      <c r="AQ38" s="827"/>
    </row>
    <row r="39" spans="1:50">
      <c r="A39" s="365"/>
      <c r="B39" s="840" t="s">
        <v>470</v>
      </c>
      <c r="C39" s="841"/>
      <c r="D39" s="842"/>
      <c r="F39" s="749" t="s">
        <v>630</v>
      </c>
      <c r="G39" s="749"/>
      <c r="I39" s="749" t="s">
        <v>631</v>
      </c>
      <c r="J39" s="749"/>
      <c r="N39" s="751" t="s">
        <v>632</v>
      </c>
      <c r="O39" s="751"/>
      <c r="P39" s="802"/>
      <c r="R39" s="759" t="s">
        <v>633</v>
      </c>
      <c r="S39" s="760"/>
      <c r="T39" s="759"/>
      <c r="U39" s="760"/>
      <c r="V39" s="464"/>
      <c r="W39" s="828" t="s">
        <v>2</v>
      </c>
      <c r="X39" s="736"/>
      <c r="Y39" s="736" t="s">
        <v>356</v>
      </c>
      <c r="Z39" s="736"/>
      <c r="AA39" s="736"/>
      <c r="AB39" s="736"/>
      <c r="AC39" s="736" t="s">
        <v>634</v>
      </c>
      <c r="AD39" s="736"/>
      <c r="AE39" s="736" t="s">
        <v>635</v>
      </c>
      <c r="AF39" s="736"/>
      <c r="AG39" s="736"/>
      <c r="AH39" s="736" t="s">
        <v>32</v>
      </c>
      <c r="AI39" s="736"/>
      <c r="AJ39" s="736"/>
      <c r="AK39" s="736" t="s">
        <v>372</v>
      </c>
      <c r="AL39" s="736"/>
      <c r="AM39" s="736"/>
      <c r="AN39" s="736" t="s">
        <v>15</v>
      </c>
      <c r="AO39" s="736"/>
      <c r="AP39" s="736"/>
      <c r="AQ39" s="741"/>
    </row>
    <row r="40" spans="1:50">
      <c r="A40" s="365"/>
      <c r="B40" s="365"/>
      <c r="N40" s="751"/>
      <c r="O40" s="751"/>
      <c r="P40" s="802"/>
      <c r="R40" s="761"/>
      <c r="S40" s="762"/>
      <c r="T40" s="761"/>
      <c r="U40" s="762"/>
      <c r="V40" s="464"/>
      <c r="W40" s="803">
        <v>1</v>
      </c>
      <c r="X40" s="671"/>
      <c r="Y40" s="671" t="s">
        <v>376</v>
      </c>
      <c r="Z40" s="671"/>
      <c r="AA40" s="671"/>
      <c r="AB40" s="671"/>
      <c r="AC40" s="671" t="s">
        <v>377</v>
      </c>
      <c r="AD40" s="671"/>
      <c r="AE40" s="814">
        <v>9.23</v>
      </c>
      <c r="AF40" s="815"/>
      <c r="AG40" s="816"/>
      <c r="AH40" s="814">
        <v>9.23</v>
      </c>
      <c r="AI40" s="815"/>
      <c r="AJ40" s="816"/>
      <c r="AK40" s="671">
        <f t="shared" ref="AK40:AK48" si="1">AE40-AH40</f>
        <v>0</v>
      </c>
      <c r="AL40" s="671"/>
      <c r="AM40" s="671"/>
      <c r="AN40" s="671"/>
      <c r="AO40" s="671"/>
      <c r="AP40" s="671"/>
      <c r="AQ40" s="732"/>
    </row>
    <row r="41" spans="1:50">
      <c r="A41" s="365"/>
      <c r="B41" s="833" t="s">
        <v>468</v>
      </c>
      <c r="C41" s="834"/>
      <c r="D41" s="835"/>
      <c r="N41" s="751" t="s">
        <v>636</v>
      </c>
      <c r="O41" s="751"/>
      <c r="P41" s="802"/>
      <c r="R41" s="761"/>
      <c r="S41" s="762"/>
      <c r="T41" s="761"/>
      <c r="U41" s="762"/>
      <c r="V41" s="464"/>
      <c r="W41" s="803">
        <v>2</v>
      </c>
      <c r="X41" s="671"/>
      <c r="Y41" s="671" t="s">
        <v>378</v>
      </c>
      <c r="Z41" s="671"/>
      <c r="AA41" s="671"/>
      <c r="AB41" s="671"/>
      <c r="AC41" s="671" t="s">
        <v>377</v>
      </c>
      <c r="AD41" s="671"/>
      <c r="AE41" s="814">
        <v>9.23</v>
      </c>
      <c r="AF41" s="815"/>
      <c r="AG41" s="816"/>
      <c r="AH41" s="814">
        <v>9.23</v>
      </c>
      <c r="AI41" s="815"/>
      <c r="AJ41" s="816"/>
      <c r="AK41" s="671">
        <f t="shared" si="1"/>
        <v>0</v>
      </c>
      <c r="AL41" s="671"/>
      <c r="AM41" s="671"/>
      <c r="AN41" s="671"/>
      <c r="AO41" s="671"/>
      <c r="AP41" s="671"/>
      <c r="AQ41" s="732"/>
    </row>
    <row r="42" spans="1:50">
      <c r="A42" s="365"/>
      <c r="B42" s="365"/>
      <c r="N42" s="751"/>
      <c r="O42" s="751"/>
      <c r="P42" s="802"/>
      <c r="R42" s="763"/>
      <c r="S42" s="764"/>
      <c r="T42" s="763"/>
      <c r="U42" s="764"/>
      <c r="V42" s="464"/>
      <c r="W42" s="803">
        <v>3</v>
      </c>
      <c r="X42" s="671"/>
      <c r="Y42" s="671" t="s">
        <v>379</v>
      </c>
      <c r="Z42" s="671"/>
      <c r="AA42" s="671"/>
      <c r="AB42" s="671"/>
      <c r="AC42" s="671" t="s">
        <v>637</v>
      </c>
      <c r="AD42" s="671"/>
      <c r="AE42" s="671">
        <v>39</v>
      </c>
      <c r="AF42" s="671"/>
      <c r="AG42" s="671"/>
      <c r="AH42" s="671">
        <f>+AS36</f>
        <v>39</v>
      </c>
      <c r="AI42" s="671"/>
      <c r="AJ42" s="671"/>
      <c r="AK42" s="671">
        <f t="shared" si="1"/>
        <v>0</v>
      </c>
      <c r="AL42" s="671"/>
      <c r="AM42" s="671"/>
      <c r="AN42" s="671"/>
      <c r="AO42" s="671"/>
      <c r="AP42" s="671"/>
      <c r="AQ42" s="732"/>
    </row>
    <row r="43" spans="1:50">
      <c r="A43" s="365"/>
      <c r="B43" s="365"/>
      <c r="E43" s="832"/>
      <c r="F43" s="832"/>
      <c r="H43" s="836"/>
      <c r="I43" s="836"/>
      <c r="K43" s="832"/>
      <c r="L43" s="832"/>
      <c r="N43" s="751" t="s">
        <v>638</v>
      </c>
      <c r="O43" s="751"/>
      <c r="P43" s="802"/>
      <c r="R43" s="759" t="s">
        <v>452</v>
      </c>
      <c r="S43" s="760"/>
      <c r="T43" s="759"/>
      <c r="U43" s="760"/>
      <c r="V43" s="464"/>
      <c r="W43" s="803">
        <v>4</v>
      </c>
      <c r="X43" s="671"/>
      <c r="Y43" s="671" t="s">
        <v>381</v>
      </c>
      <c r="Z43" s="671"/>
      <c r="AA43" s="671"/>
      <c r="AB43" s="671"/>
      <c r="AC43" s="671" t="s">
        <v>637</v>
      </c>
      <c r="AD43" s="671"/>
      <c r="AE43" s="671">
        <v>39</v>
      </c>
      <c r="AF43" s="671"/>
      <c r="AG43" s="671"/>
      <c r="AH43" s="671">
        <f>+AT36</f>
        <v>35</v>
      </c>
      <c r="AI43" s="671"/>
      <c r="AJ43" s="671"/>
      <c r="AK43" s="671">
        <f t="shared" si="1"/>
        <v>4</v>
      </c>
      <c r="AL43" s="671"/>
      <c r="AM43" s="671"/>
      <c r="AN43" s="671"/>
      <c r="AO43" s="671"/>
      <c r="AP43" s="671"/>
      <c r="AQ43" s="732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51"/>
      <c r="O44" s="751"/>
      <c r="P44" s="802"/>
      <c r="R44" s="761"/>
      <c r="S44" s="762"/>
      <c r="T44" s="761"/>
      <c r="U44" s="762"/>
      <c r="V44" s="464"/>
      <c r="W44" s="803">
        <v>5</v>
      </c>
      <c r="X44" s="671"/>
      <c r="Y44" s="671" t="s">
        <v>468</v>
      </c>
      <c r="Z44" s="671"/>
      <c r="AA44" s="671"/>
      <c r="AB44" s="671"/>
      <c r="AC44" s="671" t="s">
        <v>637</v>
      </c>
      <c r="AD44" s="671"/>
      <c r="AE44" s="671">
        <v>39</v>
      </c>
      <c r="AF44" s="671"/>
      <c r="AG44" s="671"/>
      <c r="AH44" s="671">
        <f>+AU36</f>
        <v>34</v>
      </c>
      <c r="AI44" s="671"/>
      <c r="AJ44" s="671"/>
      <c r="AK44" s="671">
        <f t="shared" si="1"/>
        <v>5</v>
      </c>
      <c r="AL44" s="671"/>
      <c r="AM44" s="671"/>
      <c r="AN44" s="671"/>
      <c r="AO44" s="671"/>
      <c r="AP44" s="671"/>
      <c r="AQ44" s="732"/>
    </row>
    <row r="45" spans="1:50">
      <c r="A45" s="365"/>
      <c r="B45" s="829" t="s">
        <v>379</v>
      </c>
      <c r="C45" s="830"/>
      <c r="D45" s="831"/>
      <c r="E45" s="373"/>
      <c r="F45" s="373"/>
      <c r="G45" s="514"/>
      <c r="H45" s="281"/>
      <c r="I45" s="281"/>
      <c r="K45" s="363"/>
      <c r="L45" s="281"/>
      <c r="M45" s="514"/>
      <c r="N45" s="751" t="s">
        <v>639</v>
      </c>
      <c r="O45" s="751"/>
      <c r="P45" s="802"/>
      <c r="R45" s="761"/>
      <c r="S45" s="762"/>
      <c r="T45" s="761"/>
      <c r="U45" s="762"/>
      <c r="V45" s="464"/>
      <c r="W45" s="803">
        <v>6</v>
      </c>
      <c r="X45" s="671"/>
      <c r="Y45" s="671" t="s">
        <v>640</v>
      </c>
      <c r="Z45" s="671"/>
      <c r="AA45" s="671"/>
      <c r="AB45" s="671"/>
      <c r="AC45" s="671" t="s">
        <v>637</v>
      </c>
      <c r="AD45" s="671"/>
      <c r="AE45" s="671">
        <v>39</v>
      </c>
      <c r="AF45" s="671"/>
      <c r="AG45" s="671"/>
      <c r="AH45" s="671">
        <f>+AV36</f>
        <v>34</v>
      </c>
      <c r="AI45" s="671"/>
      <c r="AJ45" s="671"/>
      <c r="AK45" s="671">
        <f t="shared" si="1"/>
        <v>5</v>
      </c>
      <c r="AL45" s="671"/>
      <c r="AM45" s="671"/>
      <c r="AN45" s="731"/>
      <c r="AO45" s="817"/>
      <c r="AP45" s="817"/>
      <c r="AQ45" s="818"/>
    </row>
    <row r="46" spans="1:50">
      <c r="A46" s="365"/>
      <c r="B46" s="370" t="s">
        <v>641</v>
      </c>
      <c r="C46" s="371"/>
      <c r="E46" s="798" t="s">
        <v>38</v>
      </c>
      <c r="F46" s="798"/>
      <c r="G46" s="515">
        <v>293</v>
      </c>
      <c r="H46" s="799" t="s">
        <v>41</v>
      </c>
      <c r="I46" s="798"/>
      <c r="J46" s="516">
        <v>391</v>
      </c>
      <c r="K46" s="800" t="s">
        <v>45</v>
      </c>
      <c r="L46" s="801"/>
      <c r="M46" s="514"/>
      <c r="N46" s="751"/>
      <c r="O46" s="751"/>
      <c r="P46" s="802"/>
      <c r="R46" s="763"/>
      <c r="S46" s="764"/>
      <c r="T46" s="763"/>
      <c r="U46" s="764"/>
      <c r="V46" s="464"/>
      <c r="W46" s="803">
        <v>7</v>
      </c>
      <c r="X46" s="671"/>
      <c r="Y46" s="671" t="s">
        <v>642</v>
      </c>
      <c r="Z46" s="671"/>
      <c r="AA46" s="671"/>
      <c r="AB46" s="671"/>
      <c r="AC46" s="671" t="s">
        <v>377</v>
      </c>
      <c r="AD46" s="671"/>
      <c r="AE46" s="814">
        <v>9.23</v>
      </c>
      <c r="AF46" s="815"/>
      <c r="AG46" s="816"/>
      <c r="AH46" s="819">
        <f>+AX36</f>
        <v>6.7779459999999983</v>
      </c>
      <c r="AI46" s="819"/>
      <c r="AJ46" s="819"/>
      <c r="AK46" s="742">
        <f t="shared" si="1"/>
        <v>2.4520540000000022</v>
      </c>
      <c r="AL46" s="742"/>
      <c r="AM46" s="742"/>
      <c r="AN46" s="671"/>
      <c r="AO46" s="671"/>
      <c r="AP46" s="671"/>
      <c r="AQ46" s="732"/>
    </row>
    <row r="47" spans="1:50">
      <c r="A47" s="365"/>
      <c r="B47" s="370" t="s">
        <v>399</v>
      </c>
      <c r="C47" s="371"/>
      <c r="E47" s="805" t="s">
        <v>39</v>
      </c>
      <c r="F47" s="805"/>
      <c r="H47" s="805" t="s">
        <v>37</v>
      </c>
      <c r="I47" s="805"/>
      <c r="J47" s="516"/>
      <c r="K47" s="806" t="s">
        <v>46</v>
      </c>
      <c r="L47" s="807"/>
      <c r="M47" s="514"/>
      <c r="N47" s="751" t="s">
        <v>643</v>
      </c>
      <c r="O47" s="751"/>
      <c r="P47" s="802"/>
      <c r="R47" s="673" t="s">
        <v>438</v>
      </c>
      <c r="S47" s="673"/>
      <c r="T47" s="685"/>
      <c r="U47" s="685"/>
      <c r="V47" s="464"/>
      <c r="W47" s="803">
        <v>8</v>
      </c>
      <c r="X47" s="671"/>
      <c r="Y47" s="671" t="s">
        <v>644</v>
      </c>
      <c r="Z47" s="671"/>
      <c r="AA47" s="671"/>
      <c r="AB47" s="671"/>
      <c r="AC47" s="671" t="s">
        <v>377</v>
      </c>
      <c r="AD47" s="671"/>
      <c r="AE47" s="814">
        <v>9.23</v>
      </c>
      <c r="AF47" s="815"/>
      <c r="AG47" s="816"/>
      <c r="AH47" s="733">
        <f>AX36</f>
        <v>6.7779459999999983</v>
      </c>
      <c r="AI47" s="671"/>
      <c r="AJ47" s="671"/>
      <c r="AK47" s="742">
        <f t="shared" si="1"/>
        <v>2.4520540000000022</v>
      </c>
      <c r="AL47" s="742"/>
      <c r="AM47" s="742"/>
      <c r="AN47" s="671"/>
      <c r="AO47" s="671"/>
      <c r="AP47" s="671"/>
      <c r="AQ47" s="732"/>
    </row>
    <row r="48" spans="1:50" ht="15.75" thickBot="1">
      <c r="A48" s="374"/>
      <c r="B48" s="374"/>
      <c r="C48" s="277"/>
      <c r="D48" s="461"/>
      <c r="E48" s="277"/>
      <c r="F48" s="750" t="s">
        <v>381</v>
      </c>
      <c r="G48" s="750"/>
      <c r="H48" s="277"/>
      <c r="I48" s="277"/>
      <c r="J48" s="750" t="s">
        <v>645</v>
      </c>
      <c r="K48" s="750"/>
      <c r="L48" s="750"/>
      <c r="M48" s="461"/>
      <c r="N48" s="752"/>
      <c r="O48" s="752"/>
      <c r="P48" s="808"/>
      <c r="Q48" s="277"/>
      <c r="R48" s="674"/>
      <c r="S48" s="674"/>
      <c r="T48" s="758"/>
      <c r="U48" s="758"/>
      <c r="V48" s="465"/>
      <c r="W48" s="804">
        <v>9</v>
      </c>
      <c r="X48" s="743"/>
      <c r="Y48" s="743" t="s">
        <v>390</v>
      </c>
      <c r="Z48" s="743"/>
      <c r="AA48" s="743"/>
      <c r="AB48" s="743"/>
      <c r="AC48" s="743" t="s">
        <v>377</v>
      </c>
      <c r="AD48" s="743"/>
      <c r="AE48" s="810">
        <v>9.23</v>
      </c>
      <c r="AF48" s="811"/>
      <c r="AG48" s="812"/>
      <c r="AH48" s="757">
        <f>AW36</f>
        <v>6.7779459999999983</v>
      </c>
      <c r="AI48" s="743"/>
      <c r="AJ48" s="743"/>
      <c r="AK48" s="813">
        <f t="shared" si="1"/>
        <v>2.4520540000000022</v>
      </c>
      <c r="AL48" s="813"/>
      <c r="AM48" s="813"/>
      <c r="AN48" s="743"/>
      <c r="AO48" s="743"/>
      <c r="AP48" s="743"/>
      <c r="AQ48" s="745"/>
    </row>
    <row r="52" spans="34:35">
      <c r="AH52" s="809"/>
      <c r="AI52" s="809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6" t="str">
        <f>+Summary!A2</f>
        <v>Name of the Line: 220KV DC AL59 line from Neemuch - Chanderiya + 132KV DC ACSS Line from Chanderiya to Hindustan Zinc</v>
      </c>
      <c r="B1" s="867"/>
      <c r="C1" s="867"/>
      <c r="D1" s="867"/>
      <c r="E1" s="867"/>
      <c r="F1" s="867"/>
      <c r="G1" s="867"/>
      <c r="H1" s="868"/>
    </row>
    <row r="2" spans="1:8" ht="14.25" customHeight="1">
      <c r="A2" s="869" t="s">
        <v>646</v>
      </c>
      <c r="B2" s="870"/>
      <c r="C2" s="870"/>
      <c r="D2" s="870"/>
      <c r="E2" s="870"/>
      <c r="F2" s="870"/>
      <c r="G2" s="871"/>
      <c r="H2" s="224">
        <f>+Summary!R5</f>
        <v>46226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9" t="s">
        <v>661</v>
      </c>
      <c r="B22" s="870"/>
      <c r="C22" s="870"/>
      <c r="D22" s="870"/>
      <c r="E22" s="870"/>
      <c r="F22" s="870"/>
      <c r="G22" s="871"/>
      <c r="H22" s="224">
        <f>+Summary!R5</f>
        <v>46226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22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875" t="str">
        <f>+Summary!A5</f>
        <v>Progress of 220kV Line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240" t="s">
        <v>669</v>
      </c>
      <c r="P1" s="241">
        <f>+Summary!R5</f>
        <v>46226</v>
      </c>
      <c r="Q1" s="242"/>
      <c r="R1" s="242" t="s">
        <v>0</v>
      </c>
    </row>
    <row r="2" spans="1:18" ht="29.25" customHeight="1">
      <c r="A2" s="882" t="s">
        <v>355</v>
      </c>
      <c r="B2" s="884" t="s">
        <v>670</v>
      </c>
      <c r="C2" s="884" t="s">
        <v>357</v>
      </c>
      <c r="D2" s="885" t="s">
        <v>671</v>
      </c>
      <c r="E2" s="876" t="s">
        <v>672</v>
      </c>
      <c r="F2" s="871"/>
      <c r="G2" s="876" t="str">
        <f>+Summary!I6</f>
        <v>Progress of Current Month (July'26)</v>
      </c>
      <c r="H2" s="870"/>
      <c r="I2" s="871"/>
      <c r="J2" s="876" t="s">
        <v>361</v>
      </c>
      <c r="K2" s="870"/>
      <c r="L2" s="871"/>
      <c r="M2" s="876" t="str">
        <f>+Summary!O6</f>
        <v>Resources Status</v>
      </c>
      <c r="N2" s="870"/>
      <c r="O2" s="871"/>
      <c r="P2" s="877" t="s">
        <v>15</v>
      </c>
      <c r="Q2" s="242"/>
      <c r="R2" s="242"/>
    </row>
    <row r="3" spans="1:18" ht="12.75" customHeight="1">
      <c r="A3" s="883"/>
      <c r="B3" s="631"/>
      <c r="C3" s="631"/>
      <c r="D3" s="631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78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7">
        <f>Summary!O10</f>
        <v>0</v>
      </c>
      <c r="N6" s="887">
        <f>Summary!P10</f>
        <v>0</v>
      </c>
      <c r="O6" s="887">
        <f>Summary!Q10</f>
        <v>0</v>
      </c>
      <c r="P6" s="880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1"/>
      <c r="N7" s="631"/>
      <c r="O7" s="631"/>
      <c r="P7" s="881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0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1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2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873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4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875" t="str">
        <f>+Summary!A19</f>
        <v>Progress of 132kV Line</v>
      </c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240" t="s">
        <v>669</v>
      </c>
      <c r="P15" s="241">
        <f>+Summary!R19</f>
        <v>46226</v>
      </c>
      <c r="Q15" s="242"/>
      <c r="R15" s="242"/>
    </row>
    <row r="16" spans="1:18" ht="28.5" customHeight="1">
      <c r="A16" s="882" t="s">
        <v>355</v>
      </c>
      <c r="B16" s="884" t="s">
        <v>670</v>
      </c>
      <c r="C16" s="884" t="s">
        <v>357</v>
      </c>
      <c r="D16" s="885" t="s">
        <v>671</v>
      </c>
      <c r="E16" s="876" t="s">
        <v>672</v>
      </c>
      <c r="F16" s="871"/>
      <c r="G16" s="876" t="str">
        <f>+Summary!I20</f>
        <v>Progress of Current Month (July'26)</v>
      </c>
      <c r="H16" s="870"/>
      <c r="I16" s="871"/>
      <c r="J16" s="876" t="s">
        <v>361</v>
      </c>
      <c r="K16" s="870"/>
      <c r="L16" s="871"/>
      <c r="M16" s="876" t="str">
        <f>+Summary!O20</f>
        <v>Resources Status</v>
      </c>
      <c r="N16" s="870"/>
      <c r="O16" s="871"/>
      <c r="P16" s="877" t="s">
        <v>15</v>
      </c>
      <c r="Q16" s="242"/>
      <c r="R16" s="242"/>
    </row>
    <row r="17" spans="1:16" ht="12.75" customHeight="1">
      <c r="A17" s="883"/>
      <c r="B17" s="631"/>
      <c r="C17" s="631"/>
      <c r="D17" s="631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78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79">
        <f>Summary!O24</f>
        <v>0</v>
      </c>
      <c r="N20" s="879">
        <f>Summary!P24</f>
        <v>0</v>
      </c>
      <c r="O20" s="879">
        <f>Summary!Q24</f>
        <v>0</v>
      </c>
      <c r="P20" s="880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631"/>
      <c r="N21" s="631"/>
      <c r="O21" s="631"/>
      <c r="P21" s="881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872" t="str">
        <f>Summary!R26</f>
        <v>SC-1 Erection U/P,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873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873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3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3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886"/>
    </row>
  </sheetData>
  <mergeCells count="31"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2026-07-23T12:23:27Z</dcterms:modified>
</cp:coreProperties>
</file>