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B6D58335-2379-414B-B66B-CCB8E4B7BA95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5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6" i="95" l="1"/>
  <c r="AB206" i="95"/>
  <c r="Y206" i="95"/>
  <c r="M206" i="95"/>
  <c r="J206" i="95"/>
  <c r="G206" i="95"/>
  <c r="AE205" i="95"/>
  <c r="AB205" i="95"/>
  <c r="Y205" i="95"/>
  <c r="M205" i="95"/>
  <c r="J205" i="95"/>
  <c r="G205" i="95"/>
  <c r="AE204" i="95"/>
  <c r="AB204" i="95"/>
  <c r="Y204" i="95"/>
  <c r="M204" i="95"/>
  <c r="J204" i="95"/>
  <c r="G204" i="95"/>
  <c r="AE203" i="95"/>
  <c r="AB203" i="95"/>
  <c r="Y203" i="95"/>
  <c r="M203" i="95"/>
  <c r="J203" i="95"/>
  <c r="G203" i="95"/>
  <c r="AE202" i="95"/>
  <c r="AB202" i="95"/>
  <c r="Y202" i="95"/>
  <c r="M202" i="95"/>
  <c r="J202" i="95"/>
  <c r="G202" i="95"/>
  <c r="AE201" i="95"/>
  <c r="AB201" i="95"/>
  <c r="Y201" i="95"/>
  <c r="M201" i="95"/>
  <c r="J201" i="95"/>
  <c r="G201" i="95"/>
  <c r="AE200" i="95"/>
  <c r="AB200" i="95"/>
  <c r="Y200" i="95"/>
  <c r="M200" i="95"/>
  <c r="J200" i="95"/>
  <c r="G200" i="95"/>
  <c r="AE199" i="95"/>
  <c r="AB199" i="95"/>
  <c r="Y199" i="95"/>
  <c r="M199" i="95"/>
  <c r="J199" i="95"/>
  <c r="G199" i="95"/>
  <c r="AE198" i="95"/>
  <c r="AB198" i="95"/>
  <c r="Y198" i="95"/>
  <c r="M198" i="95"/>
  <c r="J198" i="95"/>
  <c r="G198" i="95"/>
  <c r="AE197" i="95"/>
  <c r="AB197" i="95"/>
  <c r="Y197" i="95"/>
  <c r="M197" i="95"/>
  <c r="J197" i="95"/>
  <c r="G197" i="95"/>
  <c r="AE196" i="95"/>
  <c r="AB196" i="95"/>
  <c r="Y196" i="95"/>
  <c r="M196" i="95"/>
  <c r="J196" i="95"/>
  <c r="G196" i="95"/>
  <c r="AE195" i="95"/>
  <c r="AB195" i="95"/>
  <c r="Y195" i="95"/>
  <c r="M195" i="95"/>
  <c r="J195" i="95"/>
  <c r="G195" i="95"/>
  <c r="AE194" i="95"/>
  <c r="AB194" i="95"/>
  <c r="Y194" i="95"/>
  <c r="M194" i="95"/>
  <c r="J194" i="95"/>
  <c r="G194" i="95"/>
  <c r="AE193" i="95"/>
  <c r="AB193" i="95"/>
  <c r="Y193" i="95"/>
  <c r="M193" i="95"/>
  <c r="J193" i="95"/>
  <c r="G193" i="95"/>
  <c r="AE192" i="95"/>
  <c r="AB192" i="95"/>
  <c r="Y192" i="95"/>
  <c r="M192" i="95"/>
  <c r="J192" i="95"/>
  <c r="G192" i="95"/>
  <c r="AE191" i="95"/>
  <c r="AB191" i="95"/>
  <c r="Y191" i="95"/>
  <c r="M191" i="95"/>
  <c r="J191" i="95"/>
  <c r="G191" i="95"/>
  <c r="AE190" i="95"/>
  <c r="AB190" i="95"/>
  <c r="Y190" i="95"/>
  <c r="M190" i="95"/>
  <c r="J190" i="95"/>
  <c r="G190" i="95"/>
  <c r="AE189" i="95"/>
  <c r="AB189" i="95"/>
  <c r="Y189" i="95"/>
  <c r="M189" i="95"/>
  <c r="J189" i="95"/>
  <c r="G189" i="95"/>
  <c r="AE188" i="95"/>
  <c r="AB188" i="95"/>
  <c r="Y188" i="95"/>
  <c r="M188" i="95"/>
  <c r="J188" i="95"/>
  <c r="G188" i="95"/>
  <c r="AE187" i="95"/>
  <c r="AB187" i="95"/>
  <c r="Y187" i="95"/>
  <c r="M187" i="95"/>
  <c r="J187" i="95"/>
  <c r="G187" i="95"/>
  <c r="AE186" i="95"/>
  <c r="AB186" i="95"/>
  <c r="Y186" i="95"/>
  <c r="M186" i="95"/>
  <c r="J186" i="95"/>
  <c r="G186" i="95"/>
  <c r="AE185" i="95"/>
  <c r="AB185" i="95"/>
  <c r="Y185" i="95"/>
  <c r="M185" i="95"/>
  <c r="J185" i="95"/>
  <c r="G185" i="95"/>
  <c r="AE184" i="95"/>
  <c r="AB184" i="95"/>
  <c r="Y184" i="95"/>
  <c r="M184" i="95"/>
  <c r="J184" i="95"/>
  <c r="G184" i="95"/>
  <c r="AE183" i="95"/>
  <c r="AB183" i="95"/>
  <c r="Y183" i="95"/>
  <c r="M183" i="95"/>
  <c r="J183" i="95"/>
  <c r="G183" i="95"/>
  <c r="AE182" i="95"/>
  <c r="AB182" i="95"/>
  <c r="Y182" i="95"/>
  <c r="M182" i="95"/>
  <c r="J182" i="95"/>
  <c r="G182" i="95"/>
  <c r="AE181" i="95"/>
  <c r="AB181" i="95"/>
  <c r="Y181" i="95"/>
  <c r="M181" i="95"/>
  <c r="J181" i="95"/>
  <c r="G181" i="95"/>
  <c r="AE180" i="95"/>
  <c r="AB180" i="95"/>
  <c r="Y180" i="95"/>
  <c r="M180" i="95"/>
  <c r="J180" i="95"/>
  <c r="G180" i="95"/>
  <c r="AE179" i="95"/>
  <c r="AB179" i="95"/>
  <c r="Y179" i="95"/>
  <c r="M179" i="95"/>
  <c r="J179" i="95"/>
  <c r="G179" i="95"/>
  <c r="AE178" i="95"/>
  <c r="AB178" i="95"/>
  <c r="Y178" i="95"/>
  <c r="M178" i="95"/>
  <c r="J178" i="95"/>
  <c r="G178" i="95"/>
  <c r="AE177" i="95"/>
  <c r="AB177" i="95"/>
  <c r="Y177" i="95"/>
  <c r="M177" i="95"/>
  <c r="J177" i="95"/>
  <c r="G177" i="95"/>
  <c r="AE176" i="95"/>
  <c r="AB176" i="95"/>
  <c r="Y176" i="95"/>
  <c r="M176" i="95"/>
  <c r="J176" i="95"/>
  <c r="G176" i="95"/>
  <c r="A176" i="95"/>
  <c r="A177" i="95" s="1"/>
  <c r="A178" i="95" s="1"/>
  <c r="A179" i="95" s="1"/>
  <c r="A180" i="95" s="1"/>
  <c r="A182" i="95" s="1"/>
  <c r="A183" i="95" s="1"/>
  <c r="A184" i="95" s="1"/>
  <c r="A185" i="95" s="1"/>
  <c r="A186" i="95" s="1"/>
  <c r="AE175" i="95"/>
  <c r="AB175" i="95"/>
  <c r="Y175" i="95"/>
  <c r="M175" i="95"/>
  <c r="J175" i="95"/>
  <c r="G175" i="95"/>
  <c r="AE174" i="95"/>
  <c r="AB174" i="95"/>
  <c r="Y174" i="95"/>
  <c r="M174" i="95"/>
  <c r="J174" i="95"/>
  <c r="G174" i="95"/>
  <c r="A174" i="95"/>
  <c r="A175" i="95" s="1"/>
  <c r="AE173" i="95"/>
  <c r="AB173" i="95"/>
  <c r="Y173" i="95"/>
  <c r="M173" i="95"/>
  <c r="J173" i="95"/>
  <c r="G173" i="95"/>
  <c r="A173" i="95"/>
  <c r="N32" i="95"/>
  <c r="T29" i="95"/>
  <c r="P29" i="95"/>
  <c r="R28" i="95"/>
  <c r="V28" i="95" s="1"/>
  <c r="X29" i="95" s="1"/>
  <c r="N26" i="95"/>
  <c r="AY25" i="95"/>
  <c r="AP15" i="95"/>
  <c r="AG15" i="95"/>
  <c r="AP14" i="95"/>
  <c r="AG13" i="95"/>
  <c r="AP13" i="95" s="1"/>
  <c r="AP12" i="95"/>
  <c r="AM12" i="95"/>
  <c r="AJ12" i="95"/>
  <c r="AG12" i="95"/>
  <c r="AP11" i="95"/>
  <c r="AJ11" i="95"/>
  <c r="AG11" i="95"/>
  <c r="AP10" i="95"/>
  <c r="AM10" i="95"/>
  <c r="AJ10" i="95"/>
  <c r="AO3" i="95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9" i="95" l="1"/>
  <c r="A188" i="95" s="1"/>
  <c r="A190" i="95" s="1"/>
  <c r="A191" i="95" s="1"/>
  <c r="A192" i="95" s="1"/>
  <c r="A193" i="95" s="1"/>
  <c r="A194" i="95" s="1"/>
  <c r="A195" i="95" s="1"/>
  <c r="A196" i="95" s="1"/>
  <c r="A197" i="95" s="1"/>
  <c r="A198" i="95" s="1"/>
  <c r="A199" i="95" s="1"/>
  <c r="A200" i="95" s="1"/>
  <c r="A201" i="95" s="1"/>
  <c r="A202" i="95" s="1"/>
  <c r="A203" i="95" s="1"/>
  <c r="A204" i="95" s="1"/>
  <c r="A205" i="95" s="1"/>
  <c r="A187" i="95"/>
  <c r="Z28" i="95"/>
  <c r="V32" i="95"/>
  <c r="A181" i="95"/>
  <c r="V26" i="95"/>
  <c r="R32" i="95"/>
  <c r="R26" i="95"/>
  <c r="K3" i="92"/>
  <c r="AD28" i="95" l="1"/>
  <c r="AB29" i="95"/>
  <c r="Z32" i="95"/>
  <c r="Z26" i="95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5" l="1"/>
  <c r="AD32" i="95"/>
  <c r="AH28" i="95"/>
  <c r="AF29" i="95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L28" i="95" l="1"/>
  <c r="AH26" i="95"/>
  <c r="AJ29" i="95"/>
  <c r="AH32" i="95"/>
  <c r="F26" i="91"/>
  <c r="F24" i="91"/>
  <c r="F23" i="91"/>
  <c r="F22" i="91"/>
  <c r="F21" i="91"/>
  <c r="F20" i="91"/>
  <c r="F19" i="91"/>
  <c r="F18" i="91"/>
  <c r="AL32" i="95" l="1"/>
  <c r="AL26" i="95"/>
  <c r="AN29" i="95"/>
  <c r="AP28" i="95"/>
  <c r="F16" i="91"/>
  <c r="F15" i="91"/>
  <c r="F13" i="91"/>
  <c r="F12" i="91"/>
  <c r="F11" i="91"/>
  <c r="F10" i="91"/>
  <c r="AV29" i="95" l="1"/>
  <c r="B38" i="95"/>
  <c r="AP32" i="95"/>
  <c r="AP26" i="95"/>
  <c r="AR29" i="95"/>
  <c r="M2" i="80"/>
  <c r="B42" i="95" l="1"/>
  <c r="D39" i="95"/>
  <c r="B36" i="95"/>
  <c r="F38" i="95"/>
  <c r="L2" i="80"/>
  <c r="F36" i="95" l="1"/>
  <c r="H39" i="95"/>
  <c r="J38" i="95"/>
  <c r="F42" i="95"/>
  <c r="N2" i="80"/>
  <c r="L39" i="95" l="1"/>
  <c r="J42" i="95"/>
  <c r="J36" i="95"/>
  <c r="N38" i="95"/>
  <c r="U43" i="80"/>
  <c r="U28" i="80"/>
  <c r="R38" i="95" l="1"/>
  <c r="N36" i="95"/>
  <c r="P39" i="95"/>
  <c r="N42" i="95"/>
  <c r="K2" i="80"/>
  <c r="T39" i="95" l="1"/>
  <c r="R36" i="95"/>
  <c r="V38" i="95"/>
  <c r="R42" i="95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38" i="95" l="1"/>
  <c r="V36" i="95"/>
  <c r="V42" i="95"/>
  <c r="X39" i="95"/>
  <c r="G607" i="80"/>
  <c r="G609" i="80"/>
  <c r="G611" i="80"/>
  <c r="G613" i="80"/>
  <c r="G615" i="80"/>
  <c r="G605" i="80"/>
  <c r="Z42" i="95" l="1"/>
  <c r="Z36" i="95"/>
  <c r="AB39" i="95"/>
  <c r="AD38" i="95"/>
  <c r="A6" i="80"/>
  <c r="AD42" i="95" l="1"/>
  <c r="AF39" i="95"/>
  <c r="AH38" i="95"/>
  <c r="AD36" i="95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H42" i="95" l="1"/>
  <c r="AH36" i="95"/>
  <c r="AL38" i="95"/>
  <c r="AJ39" i="95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L42" i="95" l="1"/>
  <c r="AL36" i="95"/>
  <c r="AP38" i="95"/>
  <c r="AN39" i="95"/>
  <c r="AP36" i="95" l="1"/>
  <c r="B47" i="95"/>
  <c r="AR39" i="95"/>
  <c r="AV39" i="95" s="1"/>
  <c r="AP42" i="95"/>
  <c r="F47" i="95" l="1"/>
  <c r="B51" i="95"/>
  <c r="B45" i="95"/>
  <c r="D48" i="95"/>
  <c r="J47" i="95" l="1"/>
  <c r="F45" i="95"/>
  <c r="H48" i="95"/>
  <c r="F51" i="95"/>
  <c r="N47" i="95" l="1"/>
  <c r="L48" i="95"/>
  <c r="J45" i="95"/>
  <c r="J51" i="95"/>
  <c r="N51" i="95" l="1"/>
  <c r="P48" i="95"/>
  <c r="N45" i="95"/>
  <c r="R47" i="95"/>
  <c r="R45" i="95" l="1"/>
  <c r="T48" i="95"/>
  <c r="R51" i="95"/>
  <c r="V47" i="95"/>
  <c r="X48" i="95" l="1"/>
  <c r="V51" i="95"/>
  <c r="V45" i="95"/>
  <c r="Z47" i="95"/>
  <c r="AD47" i="95" l="1"/>
  <c r="Z45" i="95"/>
  <c r="AB48" i="95"/>
  <c r="Z51" i="95"/>
  <c r="AF48" i="95" l="1"/>
  <c r="AD45" i="95"/>
  <c r="AH47" i="95"/>
  <c r="AD51" i="95"/>
  <c r="AL47" i="95" l="1"/>
  <c r="AH45" i="95"/>
  <c r="AH51" i="95"/>
  <c r="AJ48" i="95"/>
  <c r="AL51" i="95" l="1"/>
  <c r="AL45" i="95"/>
  <c r="AN48" i="95"/>
  <c r="AP47" i="95"/>
  <c r="B56" i="95" l="1"/>
  <c r="AP51" i="95"/>
  <c r="AR48" i="95"/>
  <c r="AV48" i="95" s="1"/>
  <c r="AP45" i="95"/>
  <c r="B54" i="95" l="1"/>
  <c r="F56" i="95"/>
  <c r="D57" i="95"/>
  <c r="B60" i="95"/>
  <c r="F60" i="95" l="1"/>
  <c r="H57" i="95"/>
  <c r="F54" i="95"/>
  <c r="J56" i="95"/>
  <c r="N56" i="95" l="1"/>
  <c r="L57" i="95"/>
  <c r="J60" i="95"/>
  <c r="J54" i="95"/>
  <c r="R56" i="95" l="1"/>
  <c r="N60" i="95"/>
  <c r="P57" i="95"/>
  <c r="N54" i="95"/>
  <c r="V56" i="95" l="1"/>
  <c r="R54" i="95"/>
  <c r="T57" i="95"/>
  <c r="R60" i="95"/>
  <c r="Z56" i="95" l="1"/>
  <c r="X57" i="95"/>
  <c r="V60" i="95"/>
  <c r="V54" i="95"/>
  <c r="Z60" i="95" l="1"/>
  <c r="AB57" i="95"/>
  <c r="AD56" i="95"/>
  <c r="Z54" i="95"/>
  <c r="AH56" i="95" l="1"/>
  <c r="AD60" i="95"/>
  <c r="AD54" i="95"/>
  <c r="AF57" i="95"/>
  <c r="AJ57" i="95" l="1"/>
  <c r="AH60" i="95"/>
  <c r="AL56" i="95"/>
  <c r="AH54" i="95"/>
  <c r="AP56" i="95" l="1"/>
  <c r="AL54" i="95"/>
  <c r="AN57" i="95"/>
  <c r="AL60" i="95"/>
  <c r="AR57" i="95" l="1"/>
  <c r="AV57" i="95" s="1"/>
  <c r="AP54" i="95"/>
  <c r="AP60" i="95"/>
  <c r="B65" i="95"/>
  <c r="F65" i="95" l="1"/>
  <c r="B63" i="95"/>
  <c r="B69" i="95"/>
  <c r="D66" i="95"/>
  <c r="F69" i="95" l="1"/>
  <c r="F63" i="95"/>
  <c r="J65" i="95"/>
  <c r="H66" i="95"/>
  <c r="N65" i="95" l="1"/>
  <c r="J63" i="95"/>
  <c r="J69" i="95"/>
  <c r="L66" i="95"/>
  <c r="N63" i="95" l="1"/>
  <c r="R65" i="95"/>
  <c r="P66" i="95"/>
  <c r="N69" i="95"/>
  <c r="R69" i="95" l="1"/>
  <c r="T66" i="95"/>
  <c r="R63" i="95"/>
  <c r="V65" i="95"/>
  <c r="Z65" i="95" l="1"/>
  <c r="X66" i="95"/>
  <c r="V69" i="95"/>
  <c r="V63" i="95"/>
  <c r="AD65" i="95" l="1"/>
  <c r="Z63" i="95"/>
  <c r="Z69" i="95"/>
  <c r="AB66" i="95"/>
  <c r="AH65" i="95" l="1"/>
  <c r="AD63" i="95"/>
  <c r="AF66" i="95"/>
  <c r="AD69" i="95"/>
  <c r="AL65" i="95" l="1"/>
  <c r="AJ66" i="95"/>
  <c r="AH63" i="95"/>
  <c r="AH69" i="95"/>
  <c r="AL69" i="95" l="1"/>
  <c r="AN66" i="95"/>
  <c r="AP65" i="95"/>
  <c r="AL63" i="95"/>
  <c r="B75" i="95" l="1"/>
  <c r="AP69" i="95"/>
  <c r="AP63" i="95"/>
  <c r="AR66" i="95"/>
  <c r="AV66" i="95" s="1"/>
  <c r="B79" i="95" l="1"/>
  <c r="D76" i="95"/>
  <c r="B73" i="95"/>
  <c r="F75" i="95"/>
  <c r="H76" i="95" l="1"/>
  <c r="F73" i="95"/>
  <c r="J75" i="95"/>
  <c r="F79" i="95"/>
  <c r="J79" i="95" l="1"/>
  <c r="J73" i="95"/>
  <c r="N75" i="95"/>
  <c r="L76" i="95"/>
  <c r="R75" i="95" l="1"/>
  <c r="N73" i="95"/>
  <c r="N79" i="95"/>
  <c r="P76" i="95"/>
  <c r="R79" i="95" l="1"/>
  <c r="R73" i="95"/>
  <c r="V75" i="95"/>
  <c r="T76" i="95"/>
  <c r="Z75" i="95" l="1"/>
  <c r="V73" i="95"/>
  <c r="V79" i="95"/>
  <c r="X76" i="95"/>
  <c r="Z73" i="95" l="1"/>
  <c r="AD75" i="95"/>
  <c r="Z79" i="95"/>
  <c r="AB76" i="95"/>
  <c r="AD79" i="95" l="1"/>
  <c r="AF76" i="95"/>
  <c r="AD73" i="95"/>
  <c r="AH75" i="95"/>
  <c r="AL75" i="95" l="1"/>
  <c r="AH73" i="95"/>
  <c r="AH79" i="95"/>
  <c r="AJ76" i="95"/>
  <c r="AP75" i="95" l="1"/>
  <c r="AL73" i="95"/>
  <c r="AN76" i="95"/>
  <c r="AL79" i="95"/>
  <c r="AP73" i="95" l="1"/>
  <c r="AR76" i="95"/>
  <c r="AV76" i="95" s="1"/>
  <c r="B84" i="95"/>
  <c r="AP79" i="95"/>
  <c r="D85" i="95" l="1"/>
  <c r="F84" i="95"/>
  <c r="B88" i="95"/>
  <c r="B82" i="95"/>
  <c r="J84" i="95" l="1"/>
  <c r="F82" i="95"/>
  <c r="H85" i="95"/>
  <c r="F88" i="95"/>
  <c r="L85" i="95" l="1"/>
  <c r="J88" i="95"/>
  <c r="N84" i="95"/>
  <c r="J82" i="95"/>
  <c r="N88" i="95" l="1"/>
  <c r="P85" i="95"/>
  <c r="N82" i="95"/>
  <c r="R84" i="95"/>
  <c r="T85" i="95" l="1"/>
  <c r="R82" i="95"/>
  <c r="V84" i="95"/>
  <c r="R88" i="95"/>
  <c r="X85" i="95" l="1"/>
  <c r="V88" i="95"/>
  <c r="Z84" i="95"/>
  <c r="V82" i="95"/>
  <c r="AD84" i="95" l="1"/>
  <c r="Z82" i="95"/>
  <c r="Z88" i="95"/>
  <c r="AB85" i="95"/>
  <c r="AD88" i="95" l="1"/>
  <c r="AD82" i="95"/>
  <c r="AH84" i="95"/>
  <c r="AF85" i="95"/>
  <c r="AL84" i="95" l="1"/>
  <c r="AH82" i="95"/>
  <c r="AH88" i="95"/>
  <c r="AJ85" i="95"/>
  <c r="AL88" i="95" l="1"/>
  <c r="AL82" i="95"/>
  <c r="AP84" i="95"/>
  <c r="AN85" i="95"/>
  <c r="B92" i="95" l="1"/>
  <c r="AP88" i="95"/>
  <c r="AR85" i="95"/>
  <c r="AV85" i="95" s="1"/>
  <c r="AP82" i="95"/>
  <c r="F92" i="95" l="1"/>
  <c r="D93" i="95"/>
  <c r="B96" i="95"/>
  <c r="B90" i="95"/>
  <c r="F96" i="95" l="1"/>
  <c r="H93" i="95"/>
  <c r="J92" i="95"/>
  <c r="F90" i="95"/>
  <c r="N92" i="95" l="1"/>
  <c r="L93" i="95"/>
  <c r="J96" i="95"/>
  <c r="J90" i="95"/>
  <c r="N96" i="95" l="1"/>
  <c r="R92" i="95"/>
  <c r="N90" i="95"/>
  <c r="P93" i="95"/>
  <c r="V92" i="95" l="1"/>
  <c r="R90" i="95"/>
  <c r="T93" i="95"/>
  <c r="R96" i="95"/>
  <c r="X93" i="95" l="1"/>
  <c r="V96" i="95"/>
  <c r="V90" i="95"/>
  <c r="Z92" i="95"/>
  <c r="Z96" i="95" l="1"/>
  <c r="AB93" i="95"/>
  <c r="Z90" i="95"/>
  <c r="AD92" i="95"/>
  <c r="AF93" i="95" l="1"/>
  <c r="AD90" i="95"/>
  <c r="AD96" i="95"/>
  <c r="AH92" i="95"/>
  <c r="AJ93" i="95" l="1"/>
  <c r="AH96" i="95"/>
  <c r="AH90" i="95"/>
  <c r="AL92" i="95"/>
  <c r="AP92" i="95" l="1"/>
  <c r="AL90" i="95"/>
  <c r="AL96" i="95"/>
  <c r="AN93" i="95"/>
  <c r="AP96" i="95" l="1"/>
  <c r="AP90" i="95"/>
  <c r="AR93" i="95"/>
  <c r="AV93" i="95" s="1"/>
  <c r="B100" i="95"/>
  <c r="F100" i="95" l="1"/>
  <c r="B98" i="95"/>
  <c r="D101" i="95"/>
  <c r="B104" i="95"/>
  <c r="F98" i="95" l="1"/>
  <c r="J100" i="95"/>
  <c r="H101" i="95"/>
  <c r="F104" i="95"/>
  <c r="N100" i="95" l="1"/>
  <c r="J98" i="95"/>
  <c r="J104" i="95"/>
  <c r="L101" i="95"/>
  <c r="R100" i="95" l="1"/>
  <c r="P101" i="95"/>
  <c r="N98" i="95"/>
  <c r="N104" i="95"/>
  <c r="R104" i="95" l="1"/>
  <c r="T101" i="95"/>
  <c r="V100" i="95"/>
  <c r="R98" i="95"/>
  <c r="Z100" i="95" l="1"/>
  <c r="X101" i="95"/>
  <c r="V98" i="95"/>
  <c r="V104" i="95"/>
  <c r="AB101" i="95" l="1"/>
  <c r="AD100" i="95"/>
  <c r="Z104" i="95"/>
  <c r="Z98" i="95"/>
  <c r="AH100" i="95" l="1"/>
  <c r="AD98" i="95"/>
  <c r="AF101" i="95"/>
  <c r="AD104" i="95"/>
  <c r="AJ101" i="95" l="1"/>
  <c r="AH104" i="95"/>
  <c r="AL100" i="95"/>
  <c r="AH98" i="95"/>
  <c r="AL104" i="95" l="1"/>
  <c r="AN101" i="95"/>
  <c r="AL98" i="95"/>
  <c r="AP100" i="95"/>
  <c r="AR101" i="95" l="1"/>
  <c r="AV101" i="95" s="1"/>
  <c r="AP98" i="95"/>
  <c r="B108" i="95"/>
  <c r="AP104" i="95"/>
  <c r="B112" i="95" l="1"/>
  <c r="D109" i="95"/>
  <c r="B106" i="95"/>
  <c r="F108" i="95"/>
  <c r="F112" i="95" l="1"/>
  <c r="F106" i="95"/>
  <c r="J108" i="95"/>
  <c r="H109" i="95"/>
  <c r="J112" i="95" l="1"/>
  <c r="J106" i="95"/>
  <c r="N108" i="95"/>
  <c r="L109" i="95"/>
  <c r="R108" i="95" l="1"/>
  <c r="N106" i="95"/>
  <c r="N112" i="95"/>
  <c r="P109" i="95"/>
  <c r="R106" i="95" l="1"/>
  <c r="V108" i="95"/>
  <c r="R112" i="95"/>
  <c r="T109" i="95"/>
  <c r="Z108" i="95" l="1"/>
  <c r="V106" i="95"/>
  <c r="V112" i="95"/>
  <c r="X109" i="95"/>
  <c r="AD108" i="95" l="1"/>
  <c r="AB109" i="95"/>
  <c r="Z112" i="95"/>
  <c r="Z106" i="95"/>
  <c r="AD112" i="95" l="1"/>
  <c r="AF109" i="95"/>
  <c r="AH108" i="95"/>
  <c r="AD106" i="95"/>
  <c r="AL108" i="95" l="1"/>
  <c r="AJ109" i="95"/>
  <c r="AH106" i="95"/>
  <c r="AH112" i="95"/>
  <c r="AN109" i="95" l="1"/>
  <c r="AL112" i="95"/>
  <c r="AL106" i="95"/>
  <c r="AP108" i="95"/>
  <c r="AP106" i="95" l="1"/>
  <c r="AR109" i="95"/>
  <c r="AV109" i="95" s="1"/>
  <c r="AP112" i="95"/>
  <c r="B117" i="95"/>
  <c r="F117" i="95" l="1"/>
  <c r="D118" i="95"/>
  <c r="B115" i="95"/>
  <c r="B121" i="95"/>
  <c r="F115" i="95" l="1"/>
  <c r="F121" i="95"/>
  <c r="H118" i="95"/>
  <c r="J117" i="95"/>
  <c r="J121" i="95" l="1"/>
  <c r="L118" i="95"/>
  <c r="J115" i="95"/>
  <c r="N117" i="95"/>
  <c r="P118" i="95" l="1"/>
  <c r="N115" i="95"/>
  <c r="N121" i="95"/>
  <c r="R117" i="95"/>
  <c r="V117" i="95" l="1"/>
  <c r="Z117" i="95" s="1"/>
  <c r="R121" i="95"/>
  <c r="R115" i="95"/>
  <c r="V116" i="95"/>
  <c r="T118" i="95"/>
  <c r="V115" i="95" l="1"/>
  <c r="V121" i="95"/>
  <c r="X118" i="95"/>
  <c r="Z115" i="95"/>
  <c r="Z121" i="95"/>
  <c r="AB118" i="95"/>
  <c r="AD117" i="95"/>
  <c r="AH117" i="95" l="1"/>
  <c r="AD121" i="95"/>
  <c r="AF118" i="95"/>
  <c r="AD115" i="95"/>
  <c r="AH115" i="95" l="1"/>
  <c r="AL117" i="95"/>
  <c r="AH121" i="95"/>
  <c r="AJ118" i="95"/>
  <c r="AL121" i="95" l="1"/>
  <c r="AN118" i="95"/>
  <c r="AL115" i="95"/>
  <c r="AP117" i="95"/>
  <c r="AV118" i="95" l="1"/>
  <c r="AP121" i="95"/>
  <c r="B126" i="95"/>
  <c r="AP115" i="95"/>
  <c r="AR118" i="95"/>
  <c r="B130" i="95" l="1"/>
  <c r="D127" i="95"/>
  <c r="B124" i="95"/>
  <c r="F126" i="95"/>
  <c r="F130" i="95" l="1"/>
  <c r="J126" i="95"/>
  <c r="F124" i="95"/>
  <c r="H127" i="95"/>
  <c r="N126" i="95" l="1"/>
  <c r="J124" i="95"/>
  <c r="J130" i="95"/>
  <c r="L127" i="95"/>
  <c r="R126" i="95" l="1"/>
  <c r="N124" i="95"/>
  <c r="N130" i="95"/>
  <c r="P127" i="95"/>
  <c r="R130" i="95" l="1"/>
  <c r="T127" i="95"/>
  <c r="V126" i="95"/>
  <c r="R124" i="95"/>
  <c r="V130" i="95" l="1"/>
  <c r="X127" i="95"/>
  <c r="Z126" i="95"/>
  <c r="V124" i="95"/>
  <c r="Z130" i="95" l="1"/>
  <c r="AD126" i="95"/>
  <c r="Z124" i="95"/>
  <c r="AB127" i="95"/>
  <c r="AH126" i="95" l="1"/>
  <c r="AD124" i="95"/>
  <c r="AD130" i="95"/>
  <c r="AF127" i="95"/>
  <c r="AL126" i="95" l="1"/>
  <c r="AH124" i="95"/>
  <c r="AJ127" i="95"/>
  <c r="AH130" i="95"/>
  <c r="AL130" i="95" l="1"/>
  <c r="AN127" i="95"/>
  <c r="AP126" i="95"/>
  <c r="AL124" i="95"/>
  <c r="AP124" i="95" l="1"/>
  <c r="B135" i="95"/>
  <c r="AP130" i="95"/>
  <c r="AR127" i="95"/>
  <c r="AV127" i="95" s="1"/>
  <c r="B139" i="95" l="1"/>
  <c r="D136" i="95"/>
  <c r="F135" i="95"/>
  <c r="B133" i="95"/>
  <c r="J135" i="95" l="1"/>
  <c r="F133" i="95"/>
  <c r="F139" i="95"/>
  <c r="H136" i="95"/>
  <c r="J139" i="95" l="1"/>
  <c r="N135" i="95"/>
  <c r="J133" i="95"/>
  <c r="L136" i="95"/>
  <c r="N139" i="95" l="1"/>
  <c r="P136" i="95"/>
  <c r="R135" i="95"/>
  <c r="N133" i="95"/>
  <c r="R139" i="95" l="1"/>
  <c r="V135" i="95"/>
  <c r="R133" i="95"/>
  <c r="T136" i="95"/>
  <c r="Z135" i="95" l="1"/>
  <c r="V133" i="95"/>
  <c r="X136" i="95"/>
  <c r="V139" i="95"/>
  <c r="AD135" i="95" l="1"/>
  <c r="Z133" i="95"/>
  <c r="AB136" i="95"/>
  <c r="Z139" i="95"/>
  <c r="AD139" i="95" l="1"/>
  <c r="AF136" i="95"/>
  <c r="AD133" i="95"/>
  <c r="AH135" i="95"/>
  <c r="AH139" i="95" l="1"/>
  <c r="AJ136" i="95"/>
  <c r="AH133" i="95"/>
  <c r="AL135" i="95"/>
  <c r="AN136" i="95" l="1"/>
  <c r="AL133" i="95"/>
  <c r="AL139" i="95"/>
  <c r="AP135" i="95"/>
  <c r="AP133" i="95" l="1"/>
  <c r="B144" i="95"/>
  <c r="AR136" i="95"/>
  <c r="AV136" i="95" s="1"/>
  <c r="AP139" i="95"/>
  <c r="B148" i="95" l="1"/>
  <c r="F144" i="95"/>
  <c r="B142" i="95"/>
  <c r="D145" i="95"/>
  <c r="J144" i="95" l="1"/>
  <c r="F142" i="95"/>
  <c r="H145" i="95"/>
  <c r="F148" i="95"/>
  <c r="N144" i="95" l="1"/>
  <c r="J142" i="95"/>
  <c r="L145" i="95"/>
  <c r="J148" i="95"/>
  <c r="N148" i="95" l="1"/>
  <c r="P145" i="95"/>
  <c r="N142" i="95"/>
  <c r="R144" i="95"/>
  <c r="V144" i="95" l="1"/>
  <c r="R142" i="95"/>
  <c r="R148" i="95"/>
  <c r="T145" i="95"/>
  <c r="X145" i="95" l="1"/>
  <c r="V142" i="95"/>
  <c r="Z144" i="95"/>
  <c r="V148" i="95"/>
  <c r="Z148" i="95" l="1"/>
  <c r="AB145" i="95"/>
  <c r="Z142" i="95"/>
  <c r="AD144" i="95"/>
  <c r="AF145" i="95" l="1"/>
  <c r="AD142" i="95"/>
  <c r="AD148" i="95"/>
  <c r="AH144" i="95"/>
  <c r="AL144" i="95" l="1"/>
  <c r="AH142" i="95"/>
  <c r="AJ145" i="95"/>
  <c r="AH148" i="95"/>
  <c r="AP144" i="95" l="1"/>
  <c r="AL142" i="95"/>
  <c r="AN145" i="95"/>
  <c r="AL148" i="95"/>
  <c r="B154" i="95" l="1"/>
  <c r="AP148" i="95"/>
  <c r="AR145" i="95"/>
  <c r="AV145" i="95" s="1"/>
  <c r="AP142" i="95"/>
  <c r="F154" i="95" l="1"/>
  <c r="B152" i="95"/>
  <c r="D155" i="95"/>
  <c r="B158" i="95"/>
  <c r="F158" i="95" l="1"/>
  <c r="H155" i="95"/>
  <c r="F152" i="95"/>
  <c r="J154" i="95"/>
  <c r="J158" i="95" l="1"/>
  <c r="L155" i="95"/>
  <c r="J152" i="95"/>
  <c r="N154" i="95"/>
  <c r="P155" i="95" l="1"/>
  <c r="N152" i="95"/>
  <c r="R154" i="95"/>
  <c r="N158" i="95"/>
  <c r="V154" i="95" l="1"/>
  <c r="R152" i="95"/>
  <c r="T155" i="95"/>
  <c r="R158" i="95"/>
  <c r="Z154" i="95" l="1"/>
  <c r="V152" i="95"/>
  <c r="X155" i="95"/>
  <c r="V158" i="95"/>
  <c r="Z158" i="95" l="1"/>
  <c r="AB155" i="95"/>
  <c r="Z152" i="95"/>
  <c r="AD154" i="95"/>
  <c r="AH154" i="95" l="1"/>
  <c r="AD152" i="95"/>
  <c r="AD158" i="95"/>
  <c r="AF155" i="95"/>
  <c r="AJ155" i="95" l="1"/>
  <c r="AH152" i="95"/>
  <c r="AH158" i="95"/>
  <c r="AL154" i="95"/>
  <c r="AL158" i="95" l="1"/>
  <c r="AN155" i="95"/>
  <c r="AL152" i="95"/>
  <c r="AP154" i="95"/>
  <c r="B163" i="95" l="1"/>
  <c r="AP158" i="95"/>
  <c r="AP152" i="95"/>
  <c r="AR155" i="95"/>
  <c r="AV155" i="95" s="1"/>
  <c r="D164" i="95" l="1"/>
  <c r="B161" i="95"/>
  <c r="F163" i="95"/>
  <c r="B167" i="95"/>
  <c r="F167" i="95" l="1"/>
  <c r="F161" i="95"/>
  <c r="H164" i="95"/>
  <c r="J163" i="95"/>
  <c r="L164" i="95" l="1"/>
  <c r="J167" i="95"/>
  <c r="J161" i="95"/>
  <c r="N163" i="95"/>
  <c r="N161" i="95" l="1"/>
  <c r="R163" i="95"/>
  <c r="P164" i="95"/>
  <c r="N167" i="95"/>
  <c r="R167" i="95" l="1"/>
  <c r="V163" i="95"/>
  <c r="T164" i="95"/>
  <c r="R161" i="95"/>
  <c r="X164" i="95" l="1"/>
  <c r="V161" i="95"/>
  <c r="Z163" i="95"/>
  <c r="V167" i="95"/>
  <c r="AB164" i="95" l="1"/>
  <c r="AD163" i="95"/>
  <c r="Z167" i="95"/>
  <c r="Z161" i="95"/>
  <c r="AD161" i="95" l="1"/>
  <c r="AF164" i="95"/>
  <c r="AH163" i="95"/>
  <c r="AD167" i="95"/>
  <c r="AH161" i="95" l="1"/>
  <c r="AL163" i="95"/>
  <c r="AH167" i="95"/>
  <c r="AJ164" i="95"/>
  <c r="AV164" i="95" s="1"/>
  <c r="AV25" i="95" s="1"/>
  <c r="AL167" i="95" l="1"/>
  <c r="AL161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<sst xmlns="http://schemas.openxmlformats.org/spreadsheetml/2006/main" count="3493" uniqueCount="636">
  <si>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</si>
  <si>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</si>
  <si>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</si>
  <si>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</si>
  <si>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</si>
  <si>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</si>
  <si>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</si>
  <si>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</si>
  <si>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</si>
  <si>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</si>
  <si>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</si>
  <si>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</si>
  <si>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</si>
  <si>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</si>
  <si>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</si>
  <si>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</si>
  <si>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</si>
  <si>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</si>
  <si>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</si>
  <si>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</si>
  <si>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</si>
  <si>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</si>
  <si>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</si>
  <si>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</si>
  <si>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</si>
  <si>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</si>
  <si>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</si>
  <si>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</si>
  <si>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</si>
  <si>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</si>
  <si>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</si>
  <si>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</si>
  <si>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</si>
  <si>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</si>
  <si>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</si>
  <si>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</si>
  <si>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</si>
  <si>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</si>
  <si>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</si>
  <si>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</si>
  <si>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</si>
  <si>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</si>
  <si>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</si>
  <si>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</si>
  <si>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</si>
  <si>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</si>
  <si>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</si>
  <si>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</si>
  <si>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</si>
  <si>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</si>
  <si>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</si>
  <si>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</si>
  <si>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</si>
  <si>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</si>
  <si>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</si>
  <si>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</si>
  <si>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</si>
  <si>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</si>
  <si>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</si>
  <si>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</si>
  <si>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</si>
  <si>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</si>
  <si>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</si>
  <si>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</si>
  <si>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</si>
  <si>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</si>
  <si>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</si>
  <si>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</si>
  <si>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</si>
  <si>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</si>
  <si>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</si>
  <si>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</si>
  <si>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</si>
  <si>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</si>
  <si>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</si>
  <si>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</si>
  <si>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</si>
  <si>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</si>
  <si>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</si>
  <si>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</si>
  <si>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</si>
  <si>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</si>
  <si>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</si>
  <si>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</si>
  <si>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</si>
  <si>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</si>
  <si>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</si>
  <si>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</si>
  <si>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</si>
  <si>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</si>
  <si>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</si>
  <si>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</si>
  <si>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</si>
  <si>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</si>
  <si>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</si>
  <si>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</si>
  <si>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</si>
  <si>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</si>
  <si>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</si>
  <si>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</si>
  <si>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</si>
  <si>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</si>
  <si>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</si>
  <si>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</si>
  <si>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</si>
  <si>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</si>
  <si>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</si>
  <si>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</si>
  <si>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</si>
  <si>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</si>
  <si>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</si>
  <si>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</si>
  <si>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</si>
  <si>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</si>
  <si>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</si>
  <si>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</si>
  <si>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</si>
  <si>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</si>
  <si>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</si>
  <si>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</si>
  <si>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</si>
  <si>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</si>
  <si>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</si>
  <si>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</si>
  <si>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</si>
  <si>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</si>
  <si>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</si>
  <si>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</si>
  <si>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</si>
  <si>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</si>
  <si>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</si>
  <si>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</si>
  <si>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</si>
  <si>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</si>
  <si>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</si>
  <si>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</si>
  <si>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</si>
  <si>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</si>
  <si>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</si>
  <si>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</si>
  <si>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</si>
  <si>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</si>
  <si>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</si>
  <si>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</si>
  <si>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</si>
  <si>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</si>
  <si>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</si>
  <si>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</si>
  <si>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</si>
  <si>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</si>
  <si>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</si>
  <si>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</si>
  <si>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</si>
  <si>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</si>
  <si>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</si>
  <si>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</si>
  <si>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</si>
  <si>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</si>
  <si>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</si>
  <si>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</si>
  <si>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</si>
  <si>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</si>
  <si>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</si>
  <si>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</si>
  <si>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</si>
  <si>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</si>
  <si>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</si>
  <si>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</si>
  <si>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</si>
  <si>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</si>
  <si>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</si>
  <si>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</si>
  <si>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</si>
  <si>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</si>
  <si>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</si>
  <si>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</si>
  <si>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</si>
  <si>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</si>
  <si>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</si>
  <si>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</si>
  <si>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</si>
  <si>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</si>
  <si>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</si>
  <si>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</si>
  <si>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</si>
  <si>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</si>
  <si>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</si>
  <si>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</si>
  <si>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</si>
  <si>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</si>
  <si>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</si>
  <si>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</si>
  <si>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</si>
  <si>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</si>
  <si>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</si>
  <si>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</si>
  <si>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</si>
  <si>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</si>
  <si>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</si>
  <si>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</si>
  <si>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</si>
  <si>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</si>
  <si>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</si>
  <si>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</si>
  <si>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</si>
  <si>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</si>
  <si>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</si>
  <si>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</si>
  <si>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</si>
  <si>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</si>
  <si>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</si>
  <si>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</si>
  <si>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</si>
  <si>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</si>
  <si>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</si>
  <si>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</si>
  <si>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</si>
  <si>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</si>
  <si>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</si>
  <si>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</si>
  <si>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</si>
  <si>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</si>
  <si>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</si>
  <si>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</si>
  <si>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</si>
  <si>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</si>
  <si>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</si>
  <si>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</si>
  <si>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</si>
  <si>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</si>
  <si>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</si>
  <si>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</si>
  <si>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</si>
  <si>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</si>
  <si>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</si>
  <si>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</si>
  <si>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</si>
  <si>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</si>
  <si>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</si>
  <si>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</si>
  <si>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</si>
  <si>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</si>
  <si>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</si>
  <si>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</si>
  <si>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</si>
  <si>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</si>
  <si>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</si>
  <si>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</si>
  <si>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</si>
  <si>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</si>
  <si>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</si>
  <si>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</si>
  <si>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</si>
  <si>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</si>
  <si>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</si>
  <si>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</si>
  <si>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</si>
  <si>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</si>
  <si>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</si>
  <si>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</si>
  <si>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</si>
  <si>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</si>
  <si>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</si>
  <si>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</si>
  <si>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</si>
  <si>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</si>
  <si>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</si>
  <si>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</si>
  <si>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</si>
  <si>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</si>
  <si>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</si>
  <si>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</si>
  <si>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</si>
  <si>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</si>
  <si>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</si>
  <si>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</si>
  <si>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</si>
  <si>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</si>
  <si>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</si>
  <si>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</si>
  <si>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</si>
  <si>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</si>
  <si>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</si>
  <si>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</si>
  <si>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</si>
  <si>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</si>
  <si>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</si>
  <si>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</si>
  <si>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</si>
  <si>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</si>
  <si>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</si>
  <si>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</si>
  <si>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</si>
  <si>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</si>
  <si>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</si>
  <si>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</si>
  <si>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</si>
  <si>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</si>
  <si>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</si>
  <si>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</si>
  <si>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</si>
  <si>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</si>
  <si>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</si>
  <si>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</si>
  <si>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</si>
  <si>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</si>
  <si>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</si>
  <si>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</si>
  <si>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</si>
  <si>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</si>
  <si>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</si>
  <si>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</si>
  <si>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</si>
  <si>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</si>
  <si>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</si>
  <si>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</si>
  <si>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</si>
  <si>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</si>
  <si>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</si>
  <si>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</si>
  <si>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</si>
  <si>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</si>
  <si>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</si>
  <si>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</si>
  <si>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</si>
  <si>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</si>
  <si>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</si>
  <si>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</si>
  <si>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</si>
  <si>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</si>
  <si>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</si>
  <si>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</si>
  <si>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</si>
  <si>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</si>
  <si>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</si>
  <si>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</si>
  <si>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</si>
  <si>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</si>
  <si>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</si>
  <si>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</si>
  <si>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</si>
  <si>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</si>
  <si>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</si>
  <si>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</si>
  <si>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</si>
  <si>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</si>
  <si>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</si>
  <si>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</si>
  <si>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</si>
  <si>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</si>
  <si>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</si>
  <si>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</si>
  <si>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</si>
  <si>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</si>
  <si>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</si>
  <si>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</si>
  <si>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</si>
  <si>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</si>
  <si>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</si>
  <si>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</si>
  <si>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</si>
  <si>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</si>
  <si>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</si>
  <si>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</si>
  <si>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</si>
  <si>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</si>
  <si>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</si>
  <si>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</si>
  <si>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</si>
  <si>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</si>
  <si>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</si>
  <si>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</si>
  <si>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</si>
  <si>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</si>
  <si>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</si>
  <si>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</si>
  <si>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</si>
  <si>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</si>
  <si>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</si>
  <si>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</si>
  <si>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</si>
  <si>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</si>
  <si>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</si>
  <si>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</si>
  <si>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</si>
  <si>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</si>
  <si>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</si>
  <si>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</si>
  <si>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</si>
  <si>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</si>
  <si>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</si>
  <si>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</si>
  <si>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</si>
  <si>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</si>
  <si>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</si>
  <si>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</si>
  <si>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</si>
  <si>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</si>
  <si>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</si>
  <si>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</si>
  <si>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</si>
  <si>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</si>
  <si>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</si>
  <si>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</si>
  <si>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</si>
  <si>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</si>
  <si>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</si>
  <si>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</si>
  <si>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</si>
  <si>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</si>
  <si>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</si>
  <si>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</si>
  <si>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</si>
  <si>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</si>
  <si>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</si>
  <si>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</si>
  <si>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</si>
  <si>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</si>
  <si>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</si>
  <si>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</si>
  <si>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</si>
  <si>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</si>
  <si>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</si>
  <si>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</si>
  <si>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</si>
  <si>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</si>
  <si>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</si>
  <si>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</si>
  <si>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</si>
  <si>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</si>
  <si>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</si>
  <si>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</si>
  <si>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</si>
  <si>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</si>
  <si>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</si>
  <si>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</si>
  <si>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</si>
  <si>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</si>
  <si>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</si>
  <si>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</si>
  <si>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</si>
  <si>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</si>
  <si>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</si>
  <si>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</si>
  <si>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</si>
  <si>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</si>
  <si>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</si>
  <si>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</si>
  <si>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</si>
  <si>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</si>
  <si>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</si>
  <si>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</si>
  <si>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</si>
  <si>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</si>
  <si>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</si>
  <si>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</si>
  <si>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</si>
  <si>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</si>
  <si>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</si>
  <si>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</si>
  <si>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</si>
  <si>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</si>
  <si>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</si>
  <si>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</si>
  <si>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</si>
  <si>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</si>
  <si>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</si>
  <si>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</si>
  <si>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</si>
  <si>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</si>
  <si>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</si>
  <si>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</si>
  <si>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</si>
  <si>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</si>
  <si>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</si>
  <si>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</si>
  <si>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</si>
  <si>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</si>
  <si>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</si>
  <si>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</si>
  <si>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</si>
  <si>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</si>
  <si>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</si>
  <si>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</si>
  <si>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</si>
  <si>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</si>
  <si>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</si>
  <si>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</si>
  <si>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</si>
  <si>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</si>
  <si>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</si>
  <si>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</si>
  <si>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</si>
  <si>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</si>
  <si>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</si>
  <si>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</si>
  <si>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</si>
  <si>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</si>
  <si>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</si>
  <si>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</si>
  <si>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</si>
  <si>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</si>
  <si>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</si>
  <si>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</si>
  <si>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</si>
  <si>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</si>
  <si>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</si>
  <si>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</si>
  <si>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</si>
  <si>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</si>
  <si>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</si>
  <si>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</si>
  <si>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</si>
  <si>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</si>
  <si>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</si>
  <si>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</si>
  <si>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</si>
  <si>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</si>
  <si>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</si>
  <si>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</si>
  <si>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</si>
  <si>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</si>
  <si>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</si>
  <si>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</si>
  <si>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</si>
  <si>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</si>
  <si>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</si>
  <si>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</si>
  <si>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</si>
  <si>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</si>
  <si>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</si>
  <si>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</si>
  <si>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</si>
  <si>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</si>
  <si>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</si>
  <si>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</si>
  <si>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</si>
  <si>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</si>
  <si>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</si>
  <si>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</si>
  <si>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</si>
  <si>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</si>
  <si>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</si>
  <si>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</si>
  <si>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</si>
  <si>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</si>
  <si>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</si>
  <si>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</si>
  <si>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</si>
  <si>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</si>
  <si>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</si>
  <si>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</si>
  <si>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</si>
  <si>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</si>
  <si>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</si>
  <si>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</si>
  <si>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</si>
  <si>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</si>
  <si>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</si>
  <si>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</si>
  <si>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</si>
  <si>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</si>
  <si>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</si>
  <si>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</si>
  <si>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</si>
  <si>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</si>
  <si>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</si>
  <si>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</si>
  <si>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</si>
  <si>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</si>
  <si>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</si>
  <si>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</si>
  <si>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</si>
  <si>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</si>
  <si>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</si>
  <si>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</si>
  <si>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</si>
  <si>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</si>
  <si>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</si>
  <si>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</si>
  <si>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</si>
  <si>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</si>
  <si>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</si>
  <si>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</si>
  <si>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</si>
  <si>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</si>
  <si>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</si>
  <si>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</si>
  <si>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</si>
  <si>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</si>
  <si>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</si>
  <si>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</si>
  <si>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</si>
  <si>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</si>
  <si>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</si>
  <si>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</si>
  <si>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</si>
  <si>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</si>
  <si>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</si>
  <si>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</si>
  <si>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</si>
  <si>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</si>
  <si>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</si>
  <si>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</si>
  <si>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</si>
  <si>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</si>
  <si>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</si>
  <si>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</si>
  <si>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</si>
  <si>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</si>
  <si>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</si>
  <si>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</si>
  <si>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</si>
  <si>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</si>
  <si>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</si>
  <si>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</si>
  <si>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</si>
  <si>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</si>
  <si>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:-23 Nov 2025.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</si>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</sst>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5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35" fillId="29" borderId="0" xfId="68" applyFont="1" applyFill="1" applyAlignment="1">
      <alignment horizontal="center" vertical="center" wrapText="1"/>
    </xf>
    <xf numFmtId="0" fontId="0" fillId="29" borderId="0" xfId="0" applyFill="1" applyAlignment="1">
      <alignment horizontal="center"/>
    </xf>
    <xf numFmtId="0" fontId="0" fillId="29" borderId="0" xfId="0" applyFill="1" applyAlignment="1">
      <alignment horizontal="center" vertical="center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5F43D07-EFFA-4160-B2A0-AC040FB1090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2BF0FD12-EE9D-4F31-8239-2A70528E9209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88E42CA-C0EB-43CB-8DE9-2C449746C2B2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7C9DC2C-600C-4E53-BC8C-35FBE06D0A6C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249B7928-602A-4622-A54C-0D84D387D36F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6E02B38C-2602-4A04-A465-F0187EE8994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ED393C7E-C8C5-4299-BCB8-D50FB28AF38A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48D4F626-A712-4FD3-8C66-EF4D4EB7189B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922EB53A-B867-4526-958E-557686A9B277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0BA9B730-EA6D-4374-A616-5BD5E4985071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D3D6A6BE-7CA5-4602-8CFB-899AAE5A190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CB285863-2EE4-4B33-8537-BF59AA94D2CD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436CA91D-3E5A-4886-93C1-CCDBE393197C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DB57370F-8ED3-4B52-AEFE-F9D703D61B33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059B95AB-50C1-4965-81BA-3C67D359EF40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BC95160F-1247-4953-ADB2-B80A41607E60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3CCD153A-47BD-43E5-9624-B799EB2B37A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9BD52A4A-4A28-4783-BFD0-E17317FB37E7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448402B3-E452-4740-A3F2-373674337E0A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09670CF-5F60-46E0-8AD0-7377725C7B27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A0E79C2A-0D3B-4B71-97BE-AA9B8F2CB54C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383A60-C23B-4E2C-8194-9D612AABA35D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A0F2C33-8219-4624-BB04-7FB39D0AC105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4D790E1-CA62-4302-8F00-DB80CE76BFC9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0CCA0B52-576B-4227-8A8B-22B99470C22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A8D8CC66-720D-41C7-B76F-7CB80CEF407B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58FE27B-C8A3-477B-ABE1-ECC993CF641E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EF90042C-0B27-44E3-8E42-70F0A65E739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61681487-0F01-49AC-BCDF-79C259F52213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692F2B4-CE89-4439-A4FF-69C7CDA297CF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D07D96C3-5800-46F4-B9CA-8A8CF3ED2EE4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755235DB-6031-488D-BB30-D05B24EE971D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6B314E1E-D9C6-4937-B04B-01D4726D239C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0D44BA93-C271-4A1F-AB6B-7517B8FE31BF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91BFC6F9-D272-4DDB-A36C-35CF717F122D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39D39FCE-98EA-426E-9D67-5B1251C486C5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E33E41DD-EB72-426E-8D3D-BF2A5CC04EC2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33F9A777-757B-44D3-A3DD-D709D8FB1A83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CA743D4-69AC-4501-A4AE-1E0C0ADD2DB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37A48E4B-CF68-411A-BD57-3F0FE7C49C7C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2763231-C23C-4E06-874C-E58E8644763C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A0EF699E-E605-49A9-8EEF-2E4BA934453C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2A062BDE-4A48-4214-B975-39B1585DAC60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E1A919CD-F848-4FA8-AF24-D54B2A5D3F1D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A9C1C3D-110F-4E97-81A4-1AC336C80461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FDE1CE-1C68-4888-8069-11962BB6F4CB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B3C0B487-9E32-4D55-BEAA-965FD041ACAB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E04B5BD-19CB-4D65-A83A-F9D13534C716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BEF9A082-FACB-4C4A-A09F-AC58FEE41792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03D16F42-0276-45F0-A15D-80B027BB2638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EF51BF9D-327F-4146-A2A0-0483FB952BBB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EA478C12-8FD5-440C-BD53-057DD671B264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4C6F987D-BD8C-40A2-9568-24687C90EDB8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D70BD367-0C7D-4626-B144-23FC3DCD63CF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748CE2B6-E1A1-441D-8182-1BBFFFC8D559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05D5E01F-5758-4954-AFB4-09FEB6CDBC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7BF43FE6-194F-4F21-A6E4-0D06EABABDC6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839EA6B4-6AE4-49D9-B2D1-E315C9F8564C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353A01AE-92FB-407B-BA27-FEA993FF2A00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247A4C2B-08E2-483E-AE75-D61878C47AE0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8336174-B6F8-419D-A0B4-A9B9A8446138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86EFB45D-8C10-4737-BF9E-B3815B2FFC14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B11B17AF-1136-4331-8980-A40EACD5B703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43C4A46-25FF-4DE7-9B1D-C8D5454CCB60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2B7E92AD-45C5-4BD5-90C5-F35057393192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1CE49D2-3243-4F15-B3E8-6D0BABB8CA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749AE53-E4BD-4ABE-9B55-2919B0E37A2D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F186B329-E368-46FA-AF24-FB96141FDA8C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FCF1FAAC-6DDD-4B81-8A1D-C90E8AB61971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0AA8C9C-AF78-42AD-BCCD-8AC4B3CF3271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13DDBAB7-BD18-4C1D-A5A5-E0FAA3943CE1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2C914A9-1A16-4146-BF67-193005BC5E1C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35B930C7-AE2E-4AAD-B96E-BDCC87A1C50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AC12A2EB-C7AB-43A4-8D91-4D3F6353D28C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EC648C42-F47D-40F3-84CD-CB6B82A85E1E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7D2037A-3923-4997-8D74-E683A7B1E98F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2255D4D2-588F-4210-9B86-3318AF607046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D358FD39-BB5B-47FC-8BC1-007B6891D8FA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36B17ED0-149E-426F-B28C-FC90629FE6AC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BAD9C626-B27D-448F-A5CF-1AF591B4432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D30B1695-2871-41DF-A11C-E82053EFBCCA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E6A58309-6A4F-4028-ABAF-78B71BC42379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DDE9CDFB-2DCC-46B8-9674-5BE76BCE0AA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97532C3-2E31-46CA-9A3A-377AC60847FE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D478858-812A-40C1-9427-BEC476529AC0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001464A0-A3CF-47A3-81B2-3401288CD26D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11C8EDFA-26ED-4BA0-8A85-6836AD5F2E4D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80496444-5987-424D-89A3-CDBDECB30093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07CB48FE-B931-44B9-A360-5C000F2F81CE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7B9A1B8A-6FE4-4D9D-A6AC-09E7A963DBBC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31595D9D-8B5C-469F-8294-3971A1D4C464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E731071-1FB8-4279-99AC-726E46A67EB5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8404E5E1-E606-4BF9-9F51-52BF76CDD0EF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BC9AA48-31F8-454A-884F-4C7FAFD2F727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9D1F5F7-A888-441A-90DA-51ED8D59058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412C2C11-5F05-48B4-B872-903C3D9D9F26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9F116172-CAAD-4BB7-9CBB-0264097876DF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B5185B53-7E1F-48ED-9B6C-BC1E449D7E9B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E3DA560E-8365-4331-90D7-746A18514E03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A2C3FF6D-D377-46B5-91BB-8DD6A4F1BC0B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1D5160C8-BD41-48B1-B279-D15ACDC1A8DC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46301497-4820-4367-B8D3-CAD26F9A959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54F565-B0B1-44F7-ABEE-581D6A49B0C3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906D67AC-7D9A-4FFD-84F0-FFC58908D675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14DF904-C8A8-4C94-934A-6212DC59FBCA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C806FAC-ECA2-46DF-AE5F-898CD308042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D5E39E08-71E5-4218-8A70-8C5FC9D73334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34EF7265-6922-4687-AF9B-2CC3C65ACFF7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EDEDEF16-C191-4DE1-A4AF-4D97E3B0160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8922F5B2-13A9-4093-8BD1-A80871E67EA7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F3F0B00F-A39C-4DE4-BEA3-98024F30BC60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6DEFF27A-E454-47F6-801A-C4C8A76683C6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8423948F-5A80-491D-BAFE-71FC43C6BA2A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A707AF6-E461-49E7-822A-6F819719A949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572B6799-2727-4992-85D0-67A04D642D0B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048276E1-4977-4BC9-A587-8E6F03A5B3A3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1247D0E-1D8B-4E5E-BAB7-1B94E54AA7DD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7923D238-AF7A-4373-BBE0-FE6152C54B37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1BA1F591-7F4A-41AF-B916-7AFF9A5ADE03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485169EF-E97C-4836-A09F-77B0B0C2C468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1C63EFDE-D5F8-4C77-92A5-95EE3EE2ACFF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4E661FEB-07F6-403D-95CE-434F50EC7FF3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B4E654AA-A4AD-46DF-A706-9D0084F4CF02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32A6494F-0A15-414C-9580-1FE792E2FACA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502A2DAB-6935-4B2F-9D26-F678DB280FFA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DBB6083F-0D33-4492-8CF8-6B6124FFB1C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F3A7517-B797-4784-B8CF-0801F2731692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A2C02CA-00BC-46C5-BC8A-C4D6C1DA5DA0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7BB76885-28A4-4094-B5ED-56F3B64DC58B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F711137E-5EDC-4D7D-95BB-2F9D7CFF1F7B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676527F-6C14-4ABB-909B-C6FF5CF906F3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F4C6286B-7D4B-495F-920F-F09809AA8F2B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B8A5CB68-587D-4982-92D1-8725B8BD553B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E43FBAEB-DE5C-42C8-9771-4E3570C4BE3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C77B4FA-D503-4A57-B4A0-BC75C1DFFCD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D2367327-72FB-4A55-91DA-5EA523525B1A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B837F960-97A2-4A86-8620-0B2787E3D594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8D8E6339-4786-42A7-9693-A0DA4056B818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E52EEAD9-2B51-4B1E-B19E-2B35EBC1B63F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79994A-906A-4331-9FB7-FE38E76CF789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1FD967D-FC45-45AC-8E77-8230BE73BD9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F3C8FA2B-3A58-45B4-882A-6EB46A5C70C6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921DFC00-7DBD-48AB-ACA6-EFB066E65DEE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B7B6FB9-B313-4727-B840-3B73485BF82A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8772CB3C-3C2B-4D68-8452-64950BF9A66F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F1F9316-DD82-4E05-B00F-29B883873AB5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2FA4257F-BEC2-40A3-9617-6F93213E3F8D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2E933EF-7835-4726-A734-672E0730EFC4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8A9D5828-888C-428A-B51D-AEDBBAB81AC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9BEFE3F4-965B-45C7-AFF4-33DEDF30ABD8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4690FBEF-1096-40AA-A97B-68650128E54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182754F8-40D0-4354-A760-D11D843E9C74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5ECB2673-9CD6-4683-B6BD-0E51913A2A7F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E5710F3E-4949-4AFF-98B4-E64B61249FA4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CBE2F287-4565-46CF-A43C-72DA7191373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52C19CE-40DB-4CCC-B7ED-E9ECFD0C27E7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CA74BF39-BAA9-4FF5-8388-82B525FD03B3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5481C42E-567B-44B2-9C92-4A0F400860C6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E0AC8C66-5534-4158-9F71-35D0C6E6098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1DAB9302-D495-4558-AFC7-87496F79E808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01D6BD5-1407-4EF9-A6C3-9EC365CBB7E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9F095A24-5B35-41A5-ABE9-F0A0EFC013D7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F8246A1-D7E3-426B-AC8D-FB5D756C6297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40359B6E-107B-4897-AA61-0685CAF78852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EF297D3A-F612-403F-8C7B-D47915250BD3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D3AB690F-4985-4A5B-B0D9-43D4F6C59D23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9736A2CD-A5E5-43C8-8945-6104E3A44E9E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74F43C44-669F-4415-BCFE-1D760CF59F11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3CADEADF-47CA-481E-8B40-C1F9A612FF11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41F9AD4E-C84C-4F00-AE56-5CD519510A1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B358A16C-4FCC-4E75-9A91-09D45E6E0478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21EC64AD-6D11-4702-9D7B-DB50EC5AB06B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7A9B0D7B-BE4F-40E6-9ED9-DCECB8390C8A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6113C546-E699-4298-ACD6-F2DE5BD394FF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15B3D5D-45BA-49DB-8D2C-A14CCF955275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21E0D848-9155-437A-928B-375DC35152F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BB550A5C-9613-411C-9406-0158D10540D2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944FE167-1FFB-4C5B-A238-9272F1CDC692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30F0F30-8FE7-4656-B8FB-CCC68C614C5F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5548BE53-4714-4C8F-AF60-001AB1DC973B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5F5D141B-A401-4AC2-8C04-CD6396500897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327324EA-C152-48F9-A4A7-3D16DF407DC5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FC7CD02-7F11-48CF-99D0-36A16CFF3F4E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B3468D1-9391-4EAE-BFA6-317E3B30BCE7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6C591E8F-AD20-4B21-B9B4-223928160CAF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7F0ECFC4-9544-44A8-910D-C2004F60E491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EE6D2B25-9610-4CE8-BBBB-C830BD2CDFD3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F314D6CD-E45B-4ACE-89BC-4A62460841A1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FF352DFE-20CB-4A65-BC78-DB3042EC967F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6050BA7E-39B7-4070-8842-82E97A90D679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B39E500-9026-4D24-9226-48F30D037255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443D1298-2E69-463C-91E9-B9C319C4E071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0D2DCB6-554C-4AE7-9118-CEE51BDDC737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31EF3E19-6B98-457F-A9B2-95AC9E853C6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74DB35A-4E8E-4D1D-B756-DCAE374E0CA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F5D9ADFE-1A64-475E-8A37-D15C0D312076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70C19FF3-8F66-4DA4-A0C5-FC598F1D8ACC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C72B383C-3479-4984-B16E-E894119D20D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E9ADB99-FEB8-4E01-A22F-47CB5F1BFA45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C6F67597-44E7-4ED4-A223-4797684D3DC3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9381C898-7E33-428C-8252-4CF0DD0429F8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6F1D563D-B800-4A97-BC8A-AA9FF6AED650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C483F6C-BD7E-4BDC-A3B4-A47E1F124CDD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63CBC98-74C9-49D7-A3F1-F5B833E0ED83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E496DA8C-F85A-4036-BB3A-38605B0A3BEB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1B041B97-E715-4B61-B78C-0475FD5BD931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E7049DC6-FBC8-488C-9C14-BCCF821E766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7B02E93A-A773-4570-8D02-197760266E64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925B5E17-06DD-4F56-A374-D5509D2A16E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91D5E190-E873-4300-BA7D-AC2F2F0A546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4A00DA9-8C7A-4CD7-908A-F4F9104A2DB5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329F58F-FCFD-45F9-A291-502B2C1B5B39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EF6C1FE2-5E5C-4849-BDFF-6E46F0CF59F2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1E077C25-EB76-4C6E-9F1C-ABC8B012C873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0FA0D885-2D39-4A63-8E7A-BDFC588FB4B1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F9051B7-62F2-4F3D-A16E-00F28684A868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C7F4E9F0-584E-49B8-B9B2-4E2E50B54449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03ADB63-24D6-4F11-93E5-3219DB080A7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4F00F9D7-311B-40B4-AF6D-C91756DA4E0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DD7AADEF-B76E-4D27-96D2-A8B0EDE3202E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B59DA1B5-5D19-4980-B64D-A8C834A87646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6900AE0E-96DF-49F4-90E6-A07C1786D852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E69181C0-CD4F-456F-851E-45DEF9BF1FD0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AB0E2752-6F43-4070-A9A5-257F6C155A9C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56844D93-BE36-434D-A4FE-01E93B23CA6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7B509367-678C-4712-B6F5-C413AAE66079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43801898-0558-44F6-84D1-BD1B85914EB5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6B198DC-4513-450D-A17C-5E5BC35FC7FA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084DBF0-2E08-4916-8D31-E351AFE46F00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34A9B046-F321-48AD-A5A5-4FEC903DFF8C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A4225D32-CE50-4A5B-A8AB-C2006E6457F4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514925AC-C1A9-408E-91D9-E4D66DD4B34F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45F45FF6-9F18-4606-A1F9-04922C30DED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DD4864D-472A-4FE1-95DD-7F8D9F7A316C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0F0B172A-40D9-48A3-9CE1-F2749974FC09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219B97B7-3A85-4914-B619-978912D8886B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D1AB7F37-03B0-46DB-AD67-6FD8757FA9CF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9EAC305-34AB-4255-8C01-658332EEEE6A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FE30751-68BF-4C50-8C55-E454EB229E0D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CDE52E36-84AA-4EF9-B681-314F7D1E085D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C0BDE65E-557E-4FB8-88BD-B1BD95901541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3582235D-B326-4050-A84F-608DFD97701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ACDE2F7A-C58F-4E99-B9C1-07E82207A2E4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995BCD3-5B74-44C9-8D6E-F0CDB7FF6198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04DE765-C24C-4123-B02A-CD22D565B2AB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8C15C59D-A301-43AD-B284-B3C77B9F19E5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58383B4F-78AF-48A4-9FA8-9DD5E30D6FB1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DCE6B771-BC9C-454A-88C6-4FEBAF6B402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75680BE4-CA50-4FED-87CD-B591049B6507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253A3377-666A-405B-A81B-05119DC78123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3C0DF1F-D9B2-4BA4-AA1B-6F7E35F2EF40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D39D451F-BCE3-4995-BAA4-B86763254294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0382E964-6447-4C15-A3E1-E89D888685D0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FBF06DAE-4CB7-42F0-8141-987D19C404E3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60A06EE1-620E-4B99-88E8-607628366E3C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D6E60E8-4467-48F9-A2A1-D5CF7B6991BB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878E8DDE-7E93-44CF-BB06-47AC76AEE337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DC9CEC6-4979-4BD5-B40A-980B595CCD04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01F02291-F2AE-439C-811A-51D6AA80735D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6169D703-F9BA-45D2-B6E8-DDEC29F7128D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69B10519-F270-4CAF-B736-4F085178EAD2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6CFA9719-417E-49B2-B2CE-30E2E0C13CD8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5F865E96-BF6C-48C8-ADDC-614706DDBA10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DD466678-D363-4B70-B4DA-83DFBCC280D6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73C9AEF8-F1B1-49A5-8AFF-60B3AD2A99EB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1D6D222F-5AE0-4721-AEF2-1FE630B72546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8CD850C9-8A97-4595-B3F8-B9E136D69ECC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9B198005-6232-4BD5-BFE8-C1FEF5994F23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997433C8-A5CC-45A6-89EC-608CBFDA2757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E262E4FF-878B-49D2-8AA8-33BE1EE6053C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C0E27462-D439-41F7-A5EE-CD9627E327C2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97138E72-E9CC-4044-879D-3F7D0E68347D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A2AEFCB1-01BC-4CDC-93F5-D1A458B877B9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199FAA0B-6D48-4628-9EDD-CB106A67B24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BD1AE098-F744-44C4-9752-25195E3CAEB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DF1B5C3D-19B2-4F56-AE2E-DEBFA4F75401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B828BA3-914C-4957-B9AF-9AA3D0828F54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3FD4A280-481A-4734-BCDB-DA22638C46F3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B9F2FA98-31F7-432C-873A-C3EDAC11DCD3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E42E3A6-B213-4835-815A-45BD37C7CB6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C2128B1F-6533-4C1D-A97A-1D51301011F9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98C1457-600D-43A9-B3A2-DBB2F81233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500FE89D-537B-4863-B6BD-E4BBAD625295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99E9FEB4-406C-4699-955F-84F6DE082B1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7CA5A98A-BBDE-47C9-9F4F-40FCA3B10920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98C91FE1-6BDD-447E-B324-CD6CF8143CF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FDCC3AE3-D4F0-4C3E-B3B5-032027D4EA0A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8CE3C3BF-2F1B-44E0-87F4-9139FB04C19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34976581-19CA-4EB3-B3B1-74DB8226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6847429-955C-47E9-9EE4-6DA6780AB85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4C0050EC-496F-43AF-8F6F-65678586BAE7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AF75C86A-2493-4C3E-A9B2-CBE752A8AA4B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E0D7FE1B-B410-46F6-B620-DAC57AF16570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5A7EF0D-6200-44ED-9FB3-92E26A52E12F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F711DFC8-898A-40BE-B124-DFC68B67DD4B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1EC89E0B-49DA-451C-8402-0DA59D8EB4C4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17E733E2-0D42-4039-A836-0D9D38CC12D3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155C396B-FE2F-4472-A082-FFA5141B5E41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F6A977D7-CC6F-4129-8902-BA5528501248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13B32925-CFC1-4AC3-AF24-DD90243688F3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30DBA5-01D2-4DE7-964C-C931A5C85474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F0057249-B12E-4C95-8C25-D6CD4F0F6C9F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91F8B508-F62C-43C2-9FB9-C310F28CFEAA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8486F638-611B-4D72-902C-0BC56B5430B2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46F7A14-11A7-495A-AD92-A7E0E87A2BDD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A477C7AA-1082-4A83-9164-E426B3951ED3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D34A55C8-355D-46A3-BFD1-82C3059AD7E5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A5C0076F-93DC-4D91-B0E7-807379291E55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904D0CA9-1183-4BC5-AB94-A0BC4412E7B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C6114DE-8545-45E9-B28F-E50F4134B16F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FB6EE4D7-55B9-4DE6-90D1-8866861D9F3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F9ACA102-41B6-4364-816D-97813C47197A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4EFA269-C0C3-4530-B82D-26242DF57AA0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8B4AE49C-CA16-4A04-9F4F-F9821D40D14B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BD1AB990-B184-4015-B09E-EF17B6F26907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B66EA9A8-0627-42A7-AD56-1E37A5C903B8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53B5AD48-7E72-4BB7-95C2-2D14D62FC276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1EEED04C-04CC-4948-B848-A8FADEE62980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A08CA7F-149E-4D4D-945A-86484690059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455AD14-D51E-4DE3-B75E-9EEC94727858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CCD370A-E192-4034-A818-D29C444BB15B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14937FF0-D347-4B27-AF10-866A008B6428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4FC22F7-DC9E-4211-8E54-D17529FEEE49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C2A02C24-6C6D-4864-84CE-CCC9BFA0E4B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4B3B979D-0B40-4953-8A39-5EDAE1BF888B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BB5C796-9B62-4D32-8E18-679080F18CD1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76116B6-F2FD-4213-894C-F739F4C4BB1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BC4FBAEA-4A13-4722-BBA5-3477C2668347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424A8F0-7DFE-4E39-BE17-627227FDE108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1B6798F-10B2-46FE-9050-888253CFC5DA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7B019BE3-F882-45E2-8662-95D8FE24C0BF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AB08463D-0A15-4A15-8AF3-98D307FB4027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4BC236F3-1375-409B-9ABB-A4B17A85E6A9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566286-6DA2-47D7-B280-A676948A4990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F3D2A7E0-FB5F-4D4F-9053-8AE10C1B9540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4C71F515-95E2-4C4D-B667-0DF7F0B729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09B3FB77-AB49-474A-A317-DD2DECB0E0D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6B4C0E4F-D389-483E-B634-EA2FBD18E1C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57D90BCA-74E7-45A9-A9B5-6BC460B11EA7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C807B386-4695-46C1-A188-1E70E013501D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3FCBF2D-4975-4FBF-8012-2B5DE1905FB0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9CFE7DB4-9D60-403B-9A47-96EB19BCDF6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CF7838E9-DE7A-4999-B4C1-FA5A99F0DF5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E51D337E-AC26-421B-AF41-E6CAA26643B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B12C274-7E6E-4ACF-8230-076A16BA0677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84BB4842-1018-41F8-AA3A-C5BFEC85841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349C4C45-2E3D-4579-B2B0-8753082F7234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23554B06-3BC0-4137-9216-87275D1399B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B2297EAD-1B0D-438B-A786-3B221BA822D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4CCA905-9379-4BC7-8062-089906570A35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2E360357-2AE0-4C7F-81CE-5FA29452B60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1AE57023-08EA-4515-A270-AC900CD17DD7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EFEEA6EB-333B-4BD1-A2C3-0C0EBB37F5D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8E2C1B33-AD9B-4C3A-B4F8-F6179413560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02635103-3B1F-4CBD-AAF7-8A7440B3B97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79C8743E-56A4-4B92-BBF1-B3F7F07CA94A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1CAEDBC1-9262-498B-B23D-535D10275BA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9D56F91C-5AA8-4130-A134-B84D215572F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59C89259-03BE-4CCB-B6CE-B789E11D0AF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3A8F0A9E-8229-4648-8E97-4DC67FD39C50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E04C0DF2-427A-457C-9AB3-33A543D6D48A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F438A7D1-27DD-4C5F-AF08-2B451536E439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806CC16B-0216-48C7-984F-ED30D2199904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1DB8BA65-53A4-4F0C-BBF6-00621733E2F0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A1B75E0D-0618-48DB-8102-06F42751999E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3C3F5CEA-5EA8-4A38-91E5-C7E2837918CC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D5746E78-10D8-46C4-B384-AB4AF135D58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004A7F5-2945-4726-A8FC-790F3687AF21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1690BD07-D9E6-4416-9EDF-1C955359D39D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FA2E874E-6F2A-4FD1-9727-27F04E526725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0ACA579-6EC9-4955-8007-DD4F87BEDF5F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D8EEBD0-9C07-475E-8954-B93774669F9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9A39CED1-F14A-486F-831A-104A2367812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B7B1DDE7-5640-4478-B14D-E3B73F50869B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D451EC0-9CB8-410E-AF7E-E60EDD962C1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D045725A-F923-4D40-934F-FF20683BF3D1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17A0D1-8071-484C-BC79-2DFEB32A33B5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7FA3C13-650D-4B54-9792-D9B0C706294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92F0404-03CC-41E6-9ECF-4CED3A96175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8C5EDCC9-9D38-4C6E-ABED-DFE1C18E81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FE0F9D08-09D8-41ED-9384-F0D1B10EE2BE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FB5ED942-8FA1-4F4B-A8A7-25DDA727A08F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253D4F37-9CFE-4895-A72D-F11D4C40B5F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55EBD5F-5688-4D66-8E7C-B2E68377446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5E25B29-8319-4960-951F-03CE519651F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37DA45F3-2E64-4C8A-A37A-1EE6FDD247E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1AADEE9-B729-4AD3-94A5-8C90BA9EF262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CBC568A7-D1FA-4B0F-B998-450A9CE11C5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5DF05DC1-F607-490A-A813-3FE971E54961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06976C3B-A4E8-45CB-BAD4-78BE351375B5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457DFA27-27ED-4630-BDD5-E28B3080033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C45B84CC-0E20-4BCC-901E-7148AA6DA74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F6C6979D-9CE1-425D-A03A-4DE6ECD7926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B300C869-ED17-4CF1-B8C7-A14546E04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2EA670C-C587-4816-A250-AAE3DA622F8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F60C341E-375E-4BD6-8C27-9BA3E2740CDA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BCEE495-18DE-47A0-B46C-8FCF5523033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98E7C11C-D642-47F0-9D69-3BF3C4EBEA9F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6A411E2B-52DB-4E8D-9794-2FCE72EC0C8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E6466D5-FCC6-4CF7-AF02-F479F8241A0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B393E5D-D816-4F6B-A737-8BAA8CC489FF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737DFD16-798D-4C30-AAB7-BF6A7C90956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2A6D569B-99B1-49A9-A211-27B88AFEB1AD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C6605533-06C3-4852-9C25-8FC157FD345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10343226-5BCF-4CD1-AAD2-75FEEB7C80F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AA0F4E12-3314-4B1D-8254-9FF6B0FD8E3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A419C77-7EC3-43EC-BFC0-CE841ECBDE9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F54F9AC-ABE7-4521-A729-646ED9D76B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08EDBA06-8F39-4B9B-917C-DC02ABBB494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80423E1F-DADB-410B-AC1E-6F962F1952F9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EDFBF94-E120-4C79-8784-A1677FDF2DBF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38C8EF82-75DA-4E07-B752-2D19190800D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05974169-01D5-4B5B-B1E7-1ECFB80C038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96FB4F71-26CA-4D5B-993F-A3F1FD0F973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24123E5E-39DE-4E0F-8693-C4A23462438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6D9B371-7054-433C-9E92-E81D5D24E3AE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78A67522-AEFC-4B61-940A-2BB303F9791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3B9582F-ACE8-4097-A76B-2D33CA2CFCD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C1125938-55F2-4AE2-A3A1-1A7A08A1383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F52BF031-E7BE-4ED3-B091-1D69F89EED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B60598A6-C70E-49A6-A6F1-FAF16CB442A9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DD5C7331-A039-47DA-91C1-11C2CB5E11E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CA6FAF78-E5BD-436F-BA19-1931D526B0C2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8F2A721-D2CA-41B6-8C2C-57169405E40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C6AB54DE-602A-4F6D-B6DF-C482965E6E0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B1D2C80C-C73E-4AAF-8850-0B649390A7F5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D58B9179-1532-4465-A58E-3BA65C94450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5336678-E25A-48E6-9E79-C5F753B844B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9B8AB159-3317-49CF-B619-B4164D526A9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B49A7F12-5F58-4E16-8AD9-CA09A631456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76026E76-64C2-4E76-9988-A52F29657EE0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F8A0B8AF-6B71-48FC-8CA0-653D174E7AE5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240D9467-2424-4139-9F0A-4143288CC7D1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A6980133-FDBA-402A-9A12-53905F1B0A1A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5A29381-04E6-42AC-A602-0C2C1FBF2D0B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2A3F0445-ADFF-44DA-A0B6-86BAD3533563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E5ABF8A5-26E6-41A4-8B43-9C991C681D7E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248B7C26-F52A-4C5C-B6D3-9DEFFAB185F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7049CB61-C4DB-48F4-9E69-ADBE247CB0E7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5BAF0898-85BE-4BB6-8C05-1ECAC733BA2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C6AD81B-FB78-4897-83A1-B462061F9D9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68E7A593-4230-4B52-86F5-B4DEC6E6E00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B51DE604-9666-425D-9CCB-C09019F49954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603A0138-B109-42B9-A14A-6AEB27A40AF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5EA2A98E-4AD7-4421-BFF9-8EC41E4F98B5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C4313476-F83F-4DBD-8BFF-610B93212D8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235911F8-6581-4363-BF7F-A9E3BF008AD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A63EA178-2431-457F-9F96-EA819D6690A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6B8D755A-8D33-4C3D-915F-8BC1759539A0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5AED7DF3-3ADE-4E70-B464-B1CA3EDFB7B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DA61D4F1-6427-4F57-8D02-4764E4C6B377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9E635FC1-4732-4B52-B050-C4FA02781FBB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CE22815-A1F9-40A7-B9EE-871253B7535F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387B6AD6-EC61-4A03-AE74-0781F200ABBF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3D040192-95A6-44AD-8373-BBD03B85488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94C1FF1-C5C0-47A1-AFCB-2ADF65CD884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81BC05C8-A150-4F74-A3CB-FD4B05C0ACB1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2B41F03A-14F0-4ADF-BCB2-66C397287A5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F3B8B742-34EC-4A6E-8E76-C4C59ECB5FC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FE5A536D-A15A-4138-9560-9DDC3D96D7AB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63ABCBE5-4942-4C9C-8BFF-1619A84EF9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090F928E-771C-44DB-B998-3AEE361CCD5D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C1C1E364-E20E-4E52-A073-E9A78A620C2B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BB31E02F-B410-48A8-8CF1-8143AF8F0C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FD3CD2D-F639-4FCA-AE90-4E1521283C0E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7BFBFEEB-C423-4F13-9FC5-33F5500671A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63364ECD-3E22-49A7-97D2-9CC7B7546C0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0F42FC6D-D2CA-426A-91CA-8129FBD72583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DD8F29F-E778-4EAD-B0B8-C0981F465F6E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F17E1A1E-695A-4798-8AB5-3878B9670A36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A908FBC6-8F13-4A29-9991-0195EE8A695F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FB035D88-3E72-48FD-8969-F2BEA0CF5A27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200D3ACD-006F-457B-A2F2-5757DFF7B71A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BC62374C-A015-4C55-B296-45730325E52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3EA23F71-7387-4697-9468-88BFDAF6F4BC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532AE2FA-08DC-4819-B260-9C37B6754611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9796D35-1F90-442B-9997-4BAD5AAD2819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0CF9483F-F126-43F8-B071-AB154436F7A7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240CFC9-1B8A-42F2-BA43-9A95861D05FD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CDFA4CE-0C73-4C22-9841-14A49A2C008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3DCC79C-18E5-4A26-81DF-1AE3863DC20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A9792826-AEF9-4D36-95B0-8BACB15A770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FBA3814B-AA6A-4466-A87F-1A6D5DB7CEF7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1D12B209-B00A-4DF9-908B-B84F79D36F9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44C5AD8E-2892-432E-BE46-F9B4422A70D9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C25E5E4C-C957-437F-805C-E5734DC4D0D9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BEB6CD60-B5C3-487E-BC88-AB7AD9AA603D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3F3F8A7B-C530-4189-8D8A-9478AF3DE882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D9DEBF-6C2A-4280-AE35-5E7438A29057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7B58A82D-962D-4F87-82B0-A17245DAE142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1030B0F2-31DD-4463-8B19-6FD83F96F10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5EE1C23C-329A-4494-89D8-395750D8FD32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0E7087-58E3-4BB2-A4F8-34B4182B6FD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1C0532F2-4BD7-4C2C-A7EB-E6DEACA83338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0FB498A3-B783-41BC-939C-B9CA7E28E74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9C2C464-4BF1-4C74-BB51-BA8142C4802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DB71EAAA-5D47-406F-A44B-2E44D12B236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283A3C22-0EC3-4A8C-99A7-A2B6F89CC8B8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C395A00F-32E4-4199-80A5-739BD1FC5674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E0361896-B6AF-45D8-AD89-E68E42ED3894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34A95181-884F-4410-B0CA-E05FB58B04F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B98AB268-E606-4517-9C72-2ED6E31A2AC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F22420A-3E0A-4B1F-BBA6-E695A971C05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79034D21-B027-444A-AA56-0D6F209C3714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1FCEA22-EDC8-4EBC-885B-1FA9B625771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50388A84-4809-4252-A8C4-625BB9B5A2F7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9A84C83D-70AB-4875-861E-2CA2A90731B5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B2BD97D-348F-43BC-8039-FC44FA1F41AC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BFA1063E-DF5C-4EA5-AF96-3B2440103D51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1B28F5B5-57A6-4C78-A877-EFE61661F3A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FD14B64-A155-49A4-BCE7-6F6FEF87962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ED01953-D249-479C-BDD8-CC9ACB49B0AD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4B0B833F-3E9F-4009-827B-0BABF28C089A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32EB0868-0905-4053-998A-5397E28F702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0E920ED7-6A70-4890-9AD1-61EAEDDE99B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1CF4DA63-19CD-4D05-B132-D66B766ADD73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8B0D8CD1-75F1-4420-A8F9-130E118F41CC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C8B4E30B-E7F8-4F75-819F-C5BD4779FFE3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BD7D76E-CB52-4788-9DC6-2F1EF0A460D9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395F15A2-844B-4A82-ACB7-B5A01558CBB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4D3B50A9-7008-4D5B-8603-A9315BBECD1C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842D3113-5424-4024-BF96-5A7F35C9D245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C18E308-D923-444D-BD56-814AF3BC2100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1706C701-793E-49D2-974A-88813A9EBE39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24473F25-64BC-4165-A50D-44B9247F7606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2296C026-8152-4EDB-B18F-6D01C89E7694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F8237DDC-9737-4A87-BC06-50F8E26FCA8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BFFC6CC-3A57-44E7-9EB1-47B53C81AD64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C053C22C-500C-425E-BB21-AC13C3DA89D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B04F43A3-32EA-446B-9392-82D810ADCEBD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C9AA1E47-A083-40E8-8CCE-B709E730602B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6032D16-F2B5-48AC-91F5-64CB55C42DBF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3BA3C1A5-6241-4B12-BFF9-E49CA4AA0FF6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132</v>
          </cell>
          <cell r="L2">
            <v>3</v>
          </cell>
          <cell r="N2">
            <v>82</v>
          </cell>
          <cell r="T2">
            <v>6</v>
          </cell>
          <cell r="U2">
            <v>86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H14" sqref="H14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1" t="s">
        <v>491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2:13" x14ac:dyDescent="0.35">
      <c r="B3" s="211" t="s">
        <v>616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2:13" x14ac:dyDescent="0.35">
      <c r="B4" s="211" t="s">
        <v>492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2:13" x14ac:dyDescent="0.35">
      <c r="B5" s="210" t="s">
        <v>493</v>
      </c>
      <c r="C5" s="210"/>
      <c r="D5" s="210"/>
      <c r="E5" s="210"/>
      <c r="F5" s="211" t="s">
        <v>494</v>
      </c>
      <c r="G5" s="211"/>
      <c r="H5" s="211"/>
      <c r="I5" s="211"/>
      <c r="J5" s="211"/>
      <c r="K5" s="215" t="s">
        <v>618</v>
      </c>
      <c r="L5" s="216"/>
      <c r="M5" s="217"/>
    </row>
    <row r="6" spans="2:13" x14ac:dyDescent="0.35">
      <c r="B6" s="210" t="s">
        <v>495</v>
      </c>
      <c r="C6" s="210"/>
      <c r="D6" s="210"/>
      <c r="E6" s="210"/>
      <c r="F6" s="211" t="s">
        <v>496</v>
      </c>
      <c r="G6" s="211"/>
      <c r="H6" s="211"/>
      <c r="I6" s="211"/>
      <c r="J6" s="211"/>
      <c r="K6" s="212" t="s">
        <v>497</v>
      </c>
      <c r="L6" s="212"/>
      <c r="M6" s="212"/>
    </row>
    <row r="7" spans="2:13" x14ac:dyDescent="0.35">
      <c r="B7" s="213" t="s">
        <v>444</v>
      </c>
      <c r="C7" s="213" t="s">
        <v>122</v>
      </c>
      <c r="D7" s="100" t="s">
        <v>48</v>
      </c>
      <c r="E7" s="100" t="s">
        <v>445</v>
      </c>
      <c r="F7" s="100" t="s">
        <v>0</v>
      </c>
      <c r="G7" s="214">
        <v>45962</v>
      </c>
      <c r="H7" s="213"/>
      <c r="I7" s="213" t="s">
        <v>125</v>
      </c>
      <c r="J7" s="213" t="s">
        <v>446</v>
      </c>
      <c r="K7" s="101">
        <v>45992</v>
      </c>
      <c r="L7" s="101">
        <f>K7+31</f>
        <v>46023</v>
      </c>
      <c r="M7" s="213" t="s">
        <v>1</v>
      </c>
    </row>
    <row r="8" spans="2:13" x14ac:dyDescent="0.35">
      <c r="B8" s="213"/>
      <c r="C8" s="213"/>
      <c r="D8" s="100" t="s">
        <v>124</v>
      </c>
      <c r="E8" s="100" t="s">
        <v>447</v>
      </c>
      <c r="F8" s="100" t="s">
        <v>448</v>
      </c>
      <c r="G8" s="213" t="s">
        <v>443</v>
      </c>
      <c r="H8" s="213" t="s">
        <v>449</v>
      </c>
      <c r="I8" s="213"/>
      <c r="J8" s="213"/>
      <c r="K8" s="213" t="s">
        <v>443</v>
      </c>
      <c r="L8" s="213" t="s">
        <v>443</v>
      </c>
      <c r="M8" s="213"/>
    </row>
    <row r="9" spans="2:13" x14ac:dyDescent="0.35">
      <c r="B9" s="213"/>
      <c r="C9" s="213"/>
      <c r="D9" s="102"/>
      <c r="E9" s="101">
        <v>45931</v>
      </c>
      <c r="F9" s="101" t="s">
        <v>490</v>
      </c>
      <c r="G9" s="213"/>
      <c r="H9" s="213"/>
      <c r="I9" s="213"/>
      <c r="J9" s="213"/>
      <c r="K9" s="213"/>
      <c r="L9" s="213"/>
      <c r="M9" s="213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4</v>
      </c>
      <c r="I13" s="115">
        <v>5</v>
      </c>
      <c r="J13" s="115">
        <f t="shared" si="0"/>
        <v>136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5</v>
      </c>
      <c r="I16" s="122">
        <v>5</v>
      </c>
      <c r="J16" s="122">
        <f t="shared" si="0"/>
        <v>86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F93" sqref="F93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8" t="str">
        <f>[79]Earthing!A1</f>
        <v>KEC International Limited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12" ht="15.5" x14ac:dyDescent="0.35">
      <c r="A2" s="218" t="s">
        <v>499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45984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0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203"/>
      <c r="D91" s="203"/>
      <c r="E91" s="203"/>
      <c r="F91" s="204"/>
      <c r="G91" s="204"/>
      <c r="H91" s="204"/>
      <c r="I91" s="203"/>
      <c r="J91" s="203"/>
      <c r="K91" s="203"/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1:C1048576">
    <cfRule type="duplicateValues" dxfId="34" priority="1265"/>
  </conditionalFormatting>
  <conditionalFormatting sqref="G5:G90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5-5610-4A19-B4F0-2B414AD0D311}">
  <dimension ref="A1:BD207"/>
  <sheetViews>
    <sheetView topLeftCell="A17" workbookViewId="0">
      <selection activeCell="U43" sqref="U43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0" t="s">
        <v>562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2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3" t="s">
        <v>564</v>
      </c>
      <c r="AN3" s="243"/>
      <c r="AO3" s="244">
        <f ca="1">TODAY()-1</f>
        <v>45984</v>
      </c>
      <c r="AP3" s="244"/>
      <c r="AQ3" s="244"/>
      <c r="AR3" s="244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5" t="s">
        <v>565</v>
      </c>
      <c r="M7" s="246"/>
      <c r="N7" s="246"/>
      <c r="O7" s="247"/>
      <c r="R7" t="s">
        <v>463</v>
      </c>
      <c r="AA7" s="248" t="s">
        <v>566</v>
      </c>
      <c r="AB7" s="249"/>
      <c r="AC7" s="249"/>
      <c r="AD7" s="249"/>
      <c r="AE7" s="249"/>
      <c r="AF7" s="250"/>
      <c r="AG7" s="257" t="s">
        <v>567</v>
      </c>
      <c r="AH7" s="258"/>
      <c r="AI7" s="258"/>
      <c r="AJ7" s="263" t="s">
        <v>568</v>
      </c>
      <c r="AK7" s="263"/>
      <c r="AL7" s="263"/>
      <c r="AM7" s="258" t="s">
        <v>569</v>
      </c>
      <c r="AN7" s="258"/>
      <c r="AO7" s="266"/>
      <c r="AP7" s="269" t="s">
        <v>570</v>
      </c>
      <c r="AQ7" s="258"/>
      <c r="AR7" s="266"/>
      <c r="AT7" s="145"/>
    </row>
    <row r="8" spans="1:46" x14ac:dyDescent="0.35">
      <c r="A8" s="144"/>
      <c r="E8" t="s">
        <v>571</v>
      </c>
      <c r="S8" t="s">
        <v>572</v>
      </c>
      <c r="AA8" s="251"/>
      <c r="AB8" s="252"/>
      <c r="AC8" s="252"/>
      <c r="AD8" s="252"/>
      <c r="AE8" s="252"/>
      <c r="AF8" s="253"/>
      <c r="AG8" s="259"/>
      <c r="AH8" s="260"/>
      <c r="AI8" s="260"/>
      <c r="AJ8" s="264"/>
      <c r="AK8" s="264"/>
      <c r="AL8" s="264"/>
      <c r="AM8" s="260"/>
      <c r="AN8" s="260"/>
      <c r="AO8" s="267"/>
      <c r="AP8" s="270"/>
      <c r="AQ8" s="260"/>
      <c r="AR8" s="267"/>
      <c r="AT8" s="145"/>
    </row>
    <row r="9" spans="1:46" ht="15" thickBot="1" x14ac:dyDescent="0.4">
      <c r="A9" s="144"/>
      <c r="L9" s="154"/>
      <c r="M9" s="155"/>
      <c r="N9" s="155"/>
      <c r="O9" s="272"/>
      <c r="P9" s="273"/>
      <c r="AA9" s="254"/>
      <c r="AB9" s="255"/>
      <c r="AC9" s="255"/>
      <c r="AD9" s="255"/>
      <c r="AE9" s="255"/>
      <c r="AF9" s="256"/>
      <c r="AG9" s="261"/>
      <c r="AH9" s="262"/>
      <c r="AI9" s="262"/>
      <c r="AJ9" s="265"/>
      <c r="AK9" s="265"/>
      <c r="AL9" s="265"/>
      <c r="AM9" s="262"/>
      <c r="AN9" s="262"/>
      <c r="AO9" s="268"/>
      <c r="AP9" s="271"/>
      <c r="AQ9" s="262"/>
      <c r="AR9" s="268"/>
      <c r="AT9" s="145"/>
    </row>
    <row r="10" spans="1:46" x14ac:dyDescent="0.35">
      <c r="A10" s="144"/>
      <c r="C10" t="s">
        <v>573</v>
      </c>
      <c r="U10" t="s">
        <v>574</v>
      </c>
      <c r="AA10" s="228" t="s">
        <v>51</v>
      </c>
      <c r="AB10" s="229"/>
      <c r="AC10" s="229"/>
      <c r="AD10" s="229"/>
      <c r="AE10" s="229"/>
      <c r="AF10" s="230"/>
      <c r="AG10" s="231">
        <v>139</v>
      </c>
      <c r="AH10" s="232"/>
      <c r="AI10" s="232"/>
      <c r="AJ10" s="233">
        <f>'[80]updated Progress'!K2</f>
        <v>132</v>
      </c>
      <c r="AK10" s="233"/>
      <c r="AL10" s="233"/>
      <c r="AM10" s="234">
        <f>'[80]updated Progress'!L2</f>
        <v>3</v>
      </c>
      <c r="AN10" s="234"/>
      <c r="AO10" s="235"/>
      <c r="AP10" s="236">
        <f t="shared" ref="AP10:AP15" si="0">AG10-AJ10</f>
        <v>7</v>
      </c>
      <c r="AQ10" s="232"/>
      <c r="AR10" s="237"/>
      <c r="AT10" s="145"/>
    </row>
    <row r="11" spans="1:46" x14ac:dyDescent="0.35">
      <c r="A11" s="144"/>
      <c r="S11" t="s">
        <v>573</v>
      </c>
      <c r="AA11" s="222" t="s">
        <v>575</v>
      </c>
      <c r="AB11" s="223"/>
      <c r="AC11" s="223"/>
      <c r="AD11" s="223"/>
      <c r="AE11" s="223"/>
      <c r="AF11" s="224"/>
      <c r="AG11" s="225">
        <f>AG10</f>
        <v>139</v>
      </c>
      <c r="AH11" s="226"/>
      <c r="AI11" s="226"/>
      <c r="AJ11" s="227">
        <f>'[80]updated Progress'!N2</f>
        <v>82</v>
      </c>
      <c r="AK11" s="227"/>
      <c r="AL11" s="227"/>
      <c r="AM11" s="238"/>
      <c r="AN11" s="238"/>
      <c r="AO11" s="239"/>
      <c r="AP11" s="236">
        <f t="shared" si="0"/>
        <v>57</v>
      </c>
      <c r="AQ11" s="232"/>
      <c r="AR11" s="237"/>
      <c r="AT11" s="145"/>
    </row>
    <row r="12" spans="1:46" x14ac:dyDescent="0.35">
      <c r="A12" s="144"/>
      <c r="C12" t="s">
        <v>576</v>
      </c>
      <c r="I12" s="219"/>
      <c r="J12" s="220"/>
      <c r="K12" s="159" t="s">
        <v>577</v>
      </c>
      <c r="L12" s="159" t="s">
        <v>578</v>
      </c>
      <c r="M12" s="221" t="s">
        <v>579</v>
      </c>
      <c r="N12" s="220"/>
      <c r="O12" s="157" t="s">
        <v>577</v>
      </c>
      <c r="P12" s="157" t="s">
        <v>578</v>
      </c>
      <c r="Q12" s="221"/>
      <c r="R12" s="219"/>
      <c r="AA12" s="222" t="s">
        <v>580</v>
      </c>
      <c r="AB12" s="223"/>
      <c r="AC12" s="223"/>
      <c r="AD12" s="223"/>
      <c r="AE12" s="223"/>
      <c r="AF12" s="224"/>
      <c r="AG12" s="225">
        <f>AG10</f>
        <v>139</v>
      </c>
      <c r="AH12" s="226"/>
      <c r="AI12" s="226"/>
      <c r="AJ12" s="227">
        <f>'[80]updated Progress'!U2</f>
        <v>86</v>
      </c>
      <c r="AK12" s="227"/>
      <c r="AL12" s="227"/>
      <c r="AM12" s="238">
        <f>'[80]updated Progress'!T2</f>
        <v>6</v>
      </c>
      <c r="AN12" s="238"/>
      <c r="AO12" s="239"/>
      <c r="AP12" s="236">
        <f t="shared" si="0"/>
        <v>53</v>
      </c>
      <c r="AQ12" s="232"/>
      <c r="AR12" s="237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2" t="s">
        <v>583</v>
      </c>
      <c r="AB13" s="223"/>
      <c r="AC13" s="223"/>
      <c r="AD13" s="223"/>
      <c r="AE13" s="223"/>
      <c r="AF13" s="224"/>
      <c r="AG13" s="225">
        <f>AG10</f>
        <v>139</v>
      </c>
      <c r="AH13" s="226"/>
      <c r="AI13" s="226"/>
      <c r="AJ13" s="227"/>
      <c r="AK13" s="227"/>
      <c r="AL13" s="227"/>
      <c r="AM13" s="238"/>
      <c r="AN13" s="238"/>
      <c r="AO13" s="239"/>
      <c r="AP13" s="236">
        <f t="shared" si="0"/>
        <v>139</v>
      </c>
      <c r="AQ13" s="232"/>
      <c r="AR13" s="237"/>
      <c r="AT13" s="145"/>
    </row>
    <row r="14" spans="1:46" x14ac:dyDescent="0.35">
      <c r="A14" s="144"/>
      <c r="C14" t="s">
        <v>584</v>
      </c>
      <c r="K14" s="290"/>
      <c r="L14" s="290"/>
      <c r="O14" s="226"/>
      <c r="P14" s="226"/>
      <c r="R14" s="160"/>
      <c r="S14" s="160"/>
      <c r="T14" s="160"/>
      <c r="U14" s="160"/>
      <c r="W14" t="s">
        <v>585</v>
      </c>
      <c r="AA14" s="222" t="s">
        <v>586</v>
      </c>
      <c r="AB14" s="223"/>
      <c r="AC14" s="223"/>
      <c r="AD14" s="223"/>
      <c r="AE14" s="223"/>
      <c r="AF14" s="224"/>
      <c r="AG14" s="291">
        <v>53.932000000000002</v>
      </c>
      <c r="AH14" s="292"/>
      <c r="AI14" s="292"/>
      <c r="AJ14" s="227"/>
      <c r="AK14" s="227"/>
      <c r="AL14" s="227"/>
      <c r="AM14" s="238"/>
      <c r="AN14" s="238"/>
      <c r="AO14" s="239"/>
      <c r="AP14" s="275">
        <f t="shared" si="0"/>
        <v>53.932000000000002</v>
      </c>
      <c r="AQ14" s="276"/>
      <c r="AR14" s="277"/>
      <c r="AT14" s="145"/>
    </row>
    <row r="15" spans="1:46" ht="15" thickBot="1" x14ac:dyDescent="0.4">
      <c r="A15" s="144"/>
      <c r="K15" s="278"/>
      <c r="L15" s="278"/>
      <c r="O15" s="158"/>
      <c r="P15" s="158"/>
      <c r="AA15" s="279" t="s">
        <v>587</v>
      </c>
      <c r="AB15" s="280"/>
      <c r="AC15" s="280"/>
      <c r="AD15" s="280"/>
      <c r="AE15" s="280"/>
      <c r="AF15" s="281"/>
      <c r="AG15" s="282">
        <f>AG14</f>
        <v>53.932000000000002</v>
      </c>
      <c r="AH15" s="283"/>
      <c r="AI15" s="283"/>
      <c r="AJ15" s="284"/>
      <c r="AK15" s="284"/>
      <c r="AL15" s="284"/>
      <c r="AM15" s="285"/>
      <c r="AN15" s="285"/>
      <c r="AO15" s="286"/>
      <c r="AP15" s="287">
        <f t="shared" si="0"/>
        <v>53.932000000000002</v>
      </c>
      <c r="AQ15" s="288"/>
      <c r="AR15" s="289"/>
      <c r="AT15" s="145"/>
    </row>
    <row r="16" spans="1:46" x14ac:dyDescent="0.35">
      <c r="A16" s="144"/>
      <c r="F16" t="s">
        <v>469</v>
      </c>
      <c r="K16" s="274" t="s">
        <v>588</v>
      </c>
      <c r="L16" s="274"/>
      <c r="M16" s="274"/>
      <c r="N16" s="274"/>
      <c r="O16" s="274"/>
      <c r="P16" s="274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347" t="s">
        <v>594</v>
      </c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  <c r="AA24" s="347"/>
      <c r="AB24" s="347"/>
      <c r="AC24" s="347"/>
      <c r="AD24" s="347"/>
      <c r="AE24" s="347"/>
      <c r="AF24" s="347"/>
      <c r="AG24" s="347"/>
      <c r="AH24" s="347"/>
      <c r="AI24" s="347"/>
      <c r="AJ24" s="347"/>
      <c r="AK24" s="347"/>
      <c r="AL24" s="347"/>
      <c r="AM24" s="347"/>
      <c r="AN24" s="347"/>
      <c r="AO24" s="347"/>
      <c r="AP24" s="347"/>
      <c r="AQ24" s="347"/>
      <c r="AR24" s="347"/>
      <c r="AS24" s="347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19">
        <f>SUM(AV27:AW168)</f>
        <v>66565.550093309022</v>
      </c>
      <c r="AW25" s="219"/>
      <c r="AX25" s="169"/>
      <c r="AY25" s="293">
        <f>SUM(AY27:AZ168)</f>
        <v>171</v>
      </c>
      <c r="AZ25" s="293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4"/>
      <c r="K26" s="295"/>
      <c r="L26" s="171"/>
      <c r="M26" s="171"/>
      <c r="N26" s="294" t="str">
        <f>VLOOKUP(N28,'[80]Location Status'!$A$7:$D$178,2,0)</f>
        <v>Gantry</v>
      </c>
      <c r="O26" s="295"/>
      <c r="P26" s="171"/>
      <c r="Q26" s="171"/>
      <c r="R26" s="294" t="str">
        <f>VLOOKUP(R28,'[80]Location Status'!$A$7:$D$178,2,0)</f>
        <v>1/0</v>
      </c>
      <c r="S26" s="295"/>
      <c r="T26" s="171"/>
      <c r="U26" s="171"/>
      <c r="V26" s="294" t="str">
        <f>VLOOKUP(V28,'[80]Location Status'!$A$7:$D$178,2,0)</f>
        <v>2/0</v>
      </c>
      <c r="W26" s="295"/>
      <c r="X26" s="171"/>
      <c r="Y26" s="171"/>
      <c r="Z26" s="294" t="str">
        <f>VLOOKUP(Z28,'[80]Location Status'!$A$7:$D$178,2,0)</f>
        <v>3/0</v>
      </c>
      <c r="AA26" s="295"/>
      <c r="AB26" s="171"/>
      <c r="AC26" s="171"/>
      <c r="AD26" s="294" t="str">
        <f>VLOOKUP(AD28,'[80]Location Status'!$A$7:$D$178,2,0)</f>
        <v>4/0</v>
      </c>
      <c r="AE26" s="295"/>
      <c r="AF26" s="171"/>
      <c r="AG26" s="171"/>
      <c r="AH26" s="294" t="str">
        <f>VLOOKUP(AH28,'[80]Location Status'!$A$7:$D$178,2,0)</f>
        <v>4/1</v>
      </c>
      <c r="AI26" s="295"/>
      <c r="AJ26" s="171"/>
      <c r="AK26" s="171"/>
      <c r="AL26" s="294" t="str">
        <f>VLOOKUP(AL28,'[80]Location Status'!$A$7:$D$178,2,0)</f>
        <v>4/2</v>
      </c>
      <c r="AM26" s="295"/>
      <c r="AN26" s="171"/>
      <c r="AO26" s="171"/>
      <c r="AP26" s="294" t="str">
        <f>VLOOKUP(AP28,'[80]Location Status'!$A$7:$D$178,2,0)</f>
        <v>5/0</v>
      </c>
      <c r="AQ26" s="295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6"/>
      <c r="M29" s="297"/>
      <c r="N29" s="178" t="s">
        <v>577</v>
      </c>
      <c r="O29" s="178" t="s">
        <v>578</v>
      </c>
      <c r="P29" s="298">
        <f>VLOOKUP(N28,'[80]Location Status'!$A$7:$D$178,4,0)</f>
        <v>116.51609330903607</v>
      </c>
      <c r="Q29" s="297"/>
      <c r="R29" s="71" t="s">
        <v>577</v>
      </c>
      <c r="S29" s="71" t="s">
        <v>578</v>
      </c>
      <c r="T29" s="298">
        <f>VLOOKUP(R28,'[80]Location Status'!$A$7:$D$178,4,0)</f>
        <v>181.08699999999999</v>
      </c>
      <c r="U29" s="297"/>
      <c r="V29" s="178" t="s">
        <v>577</v>
      </c>
      <c r="W29" s="178" t="s">
        <v>578</v>
      </c>
      <c r="X29" s="298">
        <f>VLOOKUP(V28,'[80]Location Status'!$A$7:$D$178,4,0)</f>
        <v>235.87100000000001</v>
      </c>
      <c r="Y29" s="297"/>
      <c r="Z29" s="178" t="s">
        <v>577</v>
      </c>
      <c r="AA29" s="178" t="s">
        <v>578</v>
      </c>
      <c r="AB29" s="298">
        <f>VLOOKUP(Z28,'[80]Location Status'!$A$7:$D$178,4,0)</f>
        <v>248.38800000000001</v>
      </c>
      <c r="AC29" s="297"/>
      <c r="AD29" s="178" t="s">
        <v>577</v>
      </c>
      <c r="AE29" s="178" t="s">
        <v>578</v>
      </c>
      <c r="AF29" s="298">
        <f>VLOOKUP(AD28,'[80]Location Status'!$A$7:$D$178,4,0)</f>
        <v>399.70400000000001</v>
      </c>
      <c r="AG29" s="297"/>
      <c r="AH29" s="178" t="s">
        <v>577</v>
      </c>
      <c r="AI29" s="178" t="s">
        <v>578</v>
      </c>
      <c r="AJ29" s="298">
        <f>VLOOKUP(AH28,'[80]Location Status'!$A$7:$D$178,4,0)</f>
        <v>433.65800000000002</v>
      </c>
      <c r="AK29" s="297"/>
      <c r="AL29" s="178" t="s">
        <v>577</v>
      </c>
      <c r="AM29" s="178" t="s">
        <v>578</v>
      </c>
      <c r="AN29" s="298">
        <f>VLOOKUP(AL28,'[80]Location Status'!$A$7:$D$178,4,0)</f>
        <v>405.41</v>
      </c>
      <c r="AO29" s="297"/>
      <c r="AP29" s="178" t="s">
        <v>577</v>
      </c>
      <c r="AQ29" s="178" t="s">
        <v>578</v>
      </c>
      <c r="AR29" s="296">
        <f>VLOOKUP(AP28,'[80]Location Status'!$A$7:$D$178,4,0)</f>
        <v>369.786</v>
      </c>
      <c r="AS29" s="296"/>
      <c r="AT29" s="176"/>
      <c r="AV29" s="219">
        <f>D29+H29+L29+P29+T29+X29+AB29+AF29+AJ29+AN29+AR29</f>
        <v>2390.420093309036</v>
      </c>
      <c r="AW29" s="219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19"/>
      <c r="AW30" s="219"/>
    </row>
    <row r="31" spans="1:52" x14ac:dyDescent="0.35">
      <c r="A31" s="144"/>
      <c r="N31" s="226"/>
      <c r="O31" s="226"/>
      <c r="R31" s="226"/>
      <c r="S31" s="226"/>
      <c r="V31" s="226"/>
      <c r="W31" s="226"/>
      <c r="Z31" s="226"/>
      <c r="AA31" s="226"/>
      <c r="AD31" s="226"/>
      <c r="AE31" s="226"/>
      <c r="AH31" s="226"/>
      <c r="AI31" s="226"/>
      <c r="AL31" s="226"/>
      <c r="AM31" s="226"/>
      <c r="AP31" s="226"/>
      <c r="AQ31" s="226"/>
      <c r="AT31" s="176"/>
      <c r="AV31" s="219"/>
      <c r="AW31" s="219"/>
    </row>
    <row r="32" spans="1:52" x14ac:dyDescent="0.35">
      <c r="A32" s="144"/>
      <c r="F32" s="179"/>
      <c r="J32" s="172"/>
      <c r="K32" s="171"/>
      <c r="N32" s="294" t="str">
        <f>VLOOKUP(N28,'[80]Location Status'!$A$7:$D$178,3,0)</f>
        <v>GNT</v>
      </c>
      <c r="O32" s="295"/>
      <c r="R32" s="294" t="str">
        <f>VLOOKUP(R28,'[80]Location Status'!$A$7:$D$178,3,0)</f>
        <v>DD60+0</v>
      </c>
      <c r="S32" s="295"/>
      <c r="V32" s="294" t="str">
        <f>VLOOKUP(V28,'[80]Location Status'!$A$7:$D$178,3,0)</f>
        <v>DD60+0</v>
      </c>
      <c r="W32" s="295"/>
      <c r="Z32" s="294" t="str">
        <f>VLOOKUP(Z28,'[80]Location Status'!$A$7:$D$178,3,0)</f>
        <v>DD45+0</v>
      </c>
      <c r="AA32" s="295"/>
      <c r="AD32" s="180" t="str">
        <f>VLOOKUP(AD28,'[80]Location Status'!$A$7:$D$178,3,0)</f>
        <v>DD60+0</v>
      </c>
      <c r="AE32" s="68"/>
      <c r="AH32" s="294" t="str">
        <f>VLOOKUP(AH28,'[80]Location Status'!$A$7:$D$178,3,0)</f>
        <v>DA+3</v>
      </c>
      <c r="AI32" s="295"/>
      <c r="AL32" s="294" t="str">
        <f>VLOOKUP(AL28,'[80]Location Status'!$A$7:$D$178,3,0)</f>
        <v>DA+3</v>
      </c>
      <c r="AM32" s="295"/>
      <c r="AP32" s="294" t="str">
        <f>VLOOKUP(AP28,'[80]Location Status'!$A$7:$D$178,3,0)</f>
        <v>DB2+0</v>
      </c>
      <c r="AQ32" s="295"/>
      <c r="AT32" s="145"/>
      <c r="AV32" s="219"/>
      <c r="AW32" s="219"/>
    </row>
    <row r="33" spans="1:56" x14ac:dyDescent="0.35">
      <c r="A33" s="144"/>
      <c r="AT33" s="145"/>
      <c r="AV33" s="219"/>
      <c r="AW33" s="219"/>
    </row>
    <row r="34" spans="1:56" x14ac:dyDescent="0.35">
      <c r="A34" s="144"/>
      <c r="B34" s="348" t="s">
        <v>594</v>
      </c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8"/>
      <c r="AK34" s="348"/>
      <c r="AL34" s="348"/>
      <c r="AM34" s="348"/>
      <c r="AN34" s="348"/>
      <c r="AO34" s="348"/>
      <c r="AP34" s="348"/>
      <c r="AQ34" s="348"/>
      <c r="AR34" s="348"/>
      <c r="AS34" s="348"/>
      <c r="AT34" s="145"/>
      <c r="AV34" s="219"/>
      <c r="AW34" s="219"/>
    </row>
    <row r="35" spans="1:56" x14ac:dyDescent="0.35">
      <c r="A35" s="144"/>
      <c r="V35" s="160" t="s">
        <v>595</v>
      </c>
      <c r="AT35" s="145"/>
      <c r="AV35" s="219"/>
      <c r="AW35" s="219"/>
    </row>
    <row r="36" spans="1:56" x14ac:dyDescent="0.35">
      <c r="A36" s="170"/>
      <c r="B36" s="294" t="str">
        <f>VLOOKUP(B38,'[80]Location Status'!$A$7:$D$178,2,0)</f>
        <v>5/1</v>
      </c>
      <c r="C36" s="295"/>
      <c r="D36" s="171"/>
      <c r="E36" s="171"/>
      <c r="F36" s="294" t="str">
        <f>VLOOKUP(F38,'[80]Location Status'!$A$7:$D$178,2,0)</f>
        <v>5/2</v>
      </c>
      <c r="G36" s="295"/>
      <c r="H36" s="171"/>
      <c r="I36" s="171"/>
      <c r="J36" s="294" t="str">
        <f>VLOOKUP(J38,'[80]Location Status'!$A$7:$D$178,2,0)</f>
        <v>5/3</v>
      </c>
      <c r="K36" s="295"/>
      <c r="L36" s="171"/>
      <c r="M36" s="171"/>
      <c r="N36" s="294" t="str">
        <f>VLOOKUP(N38,'[80]Location Status'!$A$7:$D$178,2,0)</f>
        <v>5/4</v>
      </c>
      <c r="O36" s="295"/>
      <c r="P36" s="171"/>
      <c r="Q36" s="171"/>
      <c r="R36" s="294" t="str">
        <f>VLOOKUP(R38,'[80]Location Status'!$A$7:$D$178,2,0)</f>
        <v>5A/0</v>
      </c>
      <c r="S36" s="295"/>
      <c r="T36" s="171"/>
      <c r="U36" s="171"/>
      <c r="V36" s="294" t="str">
        <f>VLOOKUP(V38,'[80]Location Status'!$A$7:$D$178,2,0)</f>
        <v>5A/1</v>
      </c>
      <c r="W36" s="295"/>
      <c r="X36" s="171"/>
      <c r="Y36" s="171"/>
      <c r="Z36" s="294" t="str">
        <f>VLOOKUP(Z38,'[80]Location Status'!$A$7:$D$178,2,0)</f>
        <v>5A/2</v>
      </c>
      <c r="AA36" s="295"/>
      <c r="AB36" s="171"/>
      <c r="AC36" s="171"/>
      <c r="AD36" s="294" t="str">
        <f>VLOOKUP(AD38,'[80]Location Status'!$A$7:$D$178,2,0)</f>
        <v>5A/3</v>
      </c>
      <c r="AE36" s="295"/>
      <c r="AF36" s="171"/>
      <c r="AG36" s="171"/>
      <c r="AH36" s="294" t="str">
        <f>VLOOKUP(AH38,'[80]Location Status'!$A$7:$D$178,2,0)</f>
        <v>5A/4</v>
      </c>
      <c r="AI36" s="295"/>
      <c r="AJ36" s="171"/>
      <c r="AK36" s="171"/>
      <c r="AL36" s="294" t="str">
        <f>VLOOKUP(AL38,'[80]Location Status'!$A$7:$D$178,2,0)</f>
        <v>5B/0</v>
      </c>
      <c r="AM36" s="295"/>
      <c r="AN36" s="171"/>
      <c r="AO36" s="171"/>
      <c r="AP36" s="294" t="str">
        <f>VLOOKUP(AP38,'[80]Location Status'!$A$7:$D$178,2,0)</f>
        <v>5B/1</v>
      </c>
      <c r="AQ36" s="295"/>
      <c r="AR36" s="171"/>
      <c r="AS36" s="171"/>
      <c r="AT36" s="173"/>
      <c r="AU36" s="171"/>
      <c r="AV36" s="219"/>
      <c r="AW36" s="219"/>
      <c r="AX36" s="171"/>
      <c r="AY36" s="171"/>
      <c r="AZ36" s="171"/>
    </row>
    <row r="37" spans="1:56" x14ac:dyDescent="0.35">
      <c r="A37" s="144"/>
      <c r="AT37" s="145"/>
      <c r="AV37" s="219"/>
      <c r="AW37" s="219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99"/>
      <c r="AW38" s="299"/>
    </row>
    <row r="39" spans="1:56" x14ac:dyDescent="0.35">
      <c r="A39" s="144"/>
      <c r="B39" s="71" t="s">
        <v>577</v>
      </c>
      <c r="C39" s="71" t="s">
        <v>578</v>
      </c>
      <c r="D39" s="298">
        <f>VLOOKUP(B38,'[80]Location Status'!$A$7:$D$178,4,0)</f>
        <v>390.072</v>
      </c>
      <c r="E39" s="297"/>
      <c r="F39" s="178" t="s">
        <v>577</v>
      </c>
      <c r="G39" s="178" t="s">
        <v>578</v>
      </c>
      <c r="H39" s="298">
        <f>VLOOKUP(F38,'[80]Location Status'!$A$7:$D$178,4,0)</f>
        <v>388.65199999999999</v>
      </c>
      <c r="I39" s="297"/>
      <c r="J39" s="178" t="s">
        <v>577</v>
      </c>
      <c r="K39" s="178" t="s">
        <v>578</v>
      </c>
      <c r="L39" s="298">
        <f>VLOOKUP(J38,'[80]Location Status'!$A$7:$D$178,4,0)</f>
        <v>404.43799999999999</v>
      </c>
      <c r="M39" s="297"/>
      <c r="N39" s="178" t="s">
        <v>577</v>
      </c>
      <c r="O39" s="178" t="s">
        <v>578</v>
      </c>
      <c r="P39" s="298">
        <f>VLOOKUP(N38,'[80]Location Status'!$A$7:$D$178,4,0)</f>
        <v>409.68200000000002</v>
      </c>
      <c r="Q39" s="297"/>
      <c r="R39" s="178" t="s">
        <v>577</v>
      </c>
      <c r="S39" s="178" t="s">
        <v>578</v>
      </c>
      <c r="T39" s="298">
        <f>VLOOKUP(R38,'[80]Location Status'!$A$7:$D$178,4,0)</f>
        <v>411.935</v>
      </c>
      <c r="U39" s="297"/>
      <c r="V39" s="178" t="s">
        <v>577</v>
      </c>
      <c r="W39" s="178" t="s">
        <v>578</v>
      </c>
      <c r="X39" s="298">
        <f>VLOOKUP(V38,'[80]Location Status'!$A$7:$D$178,4,0)</f>
        <v>405.87900000000002</v>
      </c>
      <c r="Y39" s="297"/>
      <c r="Z39" s="178" t="s">
        <v>577</v>
      </c>
      <c r="AA39" s="178" t="s">
        <v>578</v>
      </c>
      <c r="AB39" s="298">
        <f>VLOOKUP(Z38,'[80]Location Status'!$A$7:$D$178,4,0)</f>
        <v>419.55900000000003</v>
      </c>
      <c r="AC39" s="297"/>
      <c r="AD39" s="178" t="s">
        <v>577</v>
      </c>
      <c r="AE39" s="178" t="s">
        <v>578</v>
      </c>
      <c r="AF39" s="298">
        <f>VLOOKUP(AD38,'[80]Location Status'!$A$7:$D$178,4,0)</f>
        <v>384.86200000000002</v>
      </c>
      <c r="AG39" s="297"/>
      <c r="AH39" s="178" t="s">
        <v>577</v>
      </c>
      <c r="AI39" s="178" t="s">
        <v>578</v>
      </c>
      <c r="AJ39" s="298">
        <f>VLOOKUP(AH38,'[80]Location Status'!$A$7:$D$178,4,0)</f>
        <v>386.18400000000003</v>
      </c>
      <c r="AK39" s="297"/>
      <c r="AL39" s="181" t="s">
        <v>577</v>
      </c>
      <c r="AM39" s="181" t="s">
        <v>578</v>
      </c>
      <c r="AN39" s="298">
        <f>VLOOKUP(AL38,'[80]Location Status'!$A$7:$D$178,4,0)</f>
        <v>411.63900000000001</v>
      </c>
      <c r="AO39" s="297"/>
      <c r="AP39" s="181" t="s">
        <v>577</v>
      </c>
      <c r="AQ39" s="181" t="s">
        <v>578</v>
      </c>
      <c r="AR39" s="300">
        <f>VLOOKUP(AP38,'[80]Location Status'!$A$7:$D$178,4,0)</f>
        <v>411.35899999999998</v>
      </c>
      <c r="AS39" s="301"/>
      <c r="AT39" s="145"/>
      <c r="AV39" s="219">
        <f>D39+H39+L39+P39+T39+X39+AB39+AF39+AJ39+AN39+AR39</f>
        <v>4424.2610000000004</v>
      </c>
      <c r="AW39" s="219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19"/>
      <c r="AW40" s="219"/>
    </row>
    <row r="41" spans="1:56" x14ac:dyDescent="0.35">
      <c r="A41" s="144"/>
      <c r="B41" s="226"/>
      <c r="C41" s="226"/>
      <c r="F41" s="226"/>
      <c r="G41" s="226"/>
      <c r="J41" s="226"/>
      <c r="K41" s="226"/>
      <c r="N41" s="226"/>
      <c r="O41" s="226"/>
      <c r="R41" s="226"/>
      <c r="S41" s="226"/>
      <c r="V41" s="226"/>
      <c r="W41" s="226"/>
      <c r="Z41" s="226"/>
      <c r="AA41" s="226"/>
      <c r="AD41" s="226"/>
      <c r="AE41" s="226"/>
      <c r="AH41" s="226"/>
      <c r="AI41" s="226"/>
      <c r="AL41" s="226"/>
      <c r="AM41" s="226"/>
      <c r="AP41" s="226" t="s">
        <v>596</v>
      </c>
      <c r="AQ41" s="226"/>
      <c r="AT41" s="145"/>
      <c r="AV41" s="219"/>
      <c r="AW41" s="219"/>
    </row>
    <row r="42" spans="1:56" x14ac:dyDescent="0.35">
      <c r="A42" s="144"/>
      <c r="B42" s="180" t="str">
        <f>VLOOKUP(B38,'[80]Location Status'!$A$7:$D$178,3,0)</f>
        <v>DA+0</v>
      </c>
      <c r="C42" s="68"/>
      <c r="F42" s="294" t="str">
        <f>VLOOKUP(F38,'[80]Location Status'!$A$7:$D$178,3,0)</f>
        <v>DA+0</v>
      </c>
      <c r="G42" s="295"/>
      <c r="J42" s="294" t="str">
        <f>VLOOKUP(J38,'[80]Location Status'!$A$7:$D$178,3,0)</f>
        <v>DA+0</v>
      </c>
      <c r="K42" s="295"/>
      <c r="N42" s="294" t="str">
        <f>VLOOKUP(N38,'[80]Location Status'!$A$7:$D$178,3,0)</f>
        <v>DA+3</v>
      </c>
      <c r="O42" s="295"/>
      <c r="R42" s="294" t="str">
        <f>VLOOKUP(R38,'[80]Location Status'!$A$7:$D$178,3,0)</f>
        <v>DC1+0</v>
      </c>
      <c r="S42" s="295"/>
      <c r="V42" s="294" t="str">
        <f>VLOOKUP(V38,'[80]Location Status'!$A$7:$D$178,3,0)</f>
        <v>DA+3</v>
      </c>
      <c r="W42" s="295"/>
      <c r="Z42" s="294" t="str">
        <f>VLOOKUP(Z38,'[80]Location Status'!$A$7:$D$178,3,0)</f>
        <v>DA+0</v>
      </c>
      <c r="AA42" s="295"/>
      <c r="AD42" s="294" t="str">
        <f>VLOOKUP(AD38,'[80]Location Status'!$A$7:$D$178,3,0)</f>
        <v>DA+3</v>
      </c>
      <c r="AE42" s="295"/>
      <c r="AH42" s="294" t="str">
        <f>VLOOKUP(AH38,'[80]Location Status'!$A$7:$D$178,3,0)</f>
        <v>DA+0</v>
      </c>
      <c r="AI42" s="295"/>
      <c r="AL42" s="294" t="str">
        <f>VLOOKUP(AL38,'[80]Location Status'!$A$7:$D$178,3,0)</f>
        <v>DB2+0</v>
      </c>
      <c r="AM42" s="295"/>
      <c r="AP42" s="294" t="str">
        <f>VLOOKUP(AP38,'[80]Location Status'!$A$7:$D$178,3,0)</f>
        <v>DA+3</v>
      </c>
      <c r="AQ42" s="295"/>
      <c r="AT42" s="145"/>
      <c r="AV42" s="219"/>
      <c r="AW42" s="219"/>
    </row>
    <row r="43" spans="1:56" x14ac:dyDescent="0.35">
      <c r="A43" s="144"/>
      <c r="Z43" s="168"/>
      <c r="AT43" s="145"/>
      <c r="AV43" s="219"/>
      <c r="AW43" s="219"/>
    </row>
    <row r="44" spans="1:56" x14ac:dyDescent="0.35">
      <c r="B44" s="348" t="s">
        <v>594</v>
      </c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348"/>
      <c r="AB44" s="348"/>
      <c r="AC44" s="348"/>
      <c r="AD44" s="348"/>
      <c r="AE44" s="348"/>
      <c r="AF44" s="348"/>
      <c r="AG44" s="348"/>
      <c r="AH44" s="348"/>
      <c r="AI44" s="348"/>
      <c r="AJ44" s="348"/>
      <c r="AK44" s="348"/>
      <c r="AL44" s="348"/>
      <c r="AM44" s="348"/>
      <c r="AN44" s="348"/>
      <c r="AO44" s="348"/>
      <c r="AP44" s="348"/>
      <c r="AQ44" s="348"/>
      <c r="AR44" s="348"/>
      <c r="AS44" s="348"/>
      <c r="AT44" s="145"/>
      <c r="AV44" s="219"/>
      <c r="AW44" s="219"/>
    </row>
    <row r="45" spans="1:56" x14ac:dyDescent="0.35">
      <c r="A45" s="170"/>
      <c r="B45" s="294" t="str">
        <f>VLOOKUP(B47,'[80]Location Status'!$A$7:$D$178,2,0)</f>
        <v>5B/2</v>
      </c>
      <c r="C45" s="295"/>
      <c r="D45" s="171"/>
      <c r="E45" s="171"/>
      <c r="F45" s="294" t="str">
        <f>VLOOKUP(F47,'[80]Location Status'!$A$7:$D$178,2,0)</f>
        <v>5B/3</v>
      </c>
      <c r="G45" s="295"/>
      <c r="H45" s="171"/>
      <c r="I45" s="171"/>
      <c r="J45" s="294" t="str">
        <f>VLOOKUP(J47,'[80]Location Status'!$A$7:$D$178,2,0)</f>
        <v>5B/4</v>
      </c>
      <c r="K45" s="295"/>
      <c r="L45" s="171"/>
      <c r="M45" s="171"/>
      <c r="N45" s="294" t="str">
        <f>VLOOKUP(N47,'[80]Location Status'!$A$7:$D$178,2,0)</f>
        <v>5B/5</v>
      </c>
      <c r="O45" s="295"/>
      <c r="P45" s="171"/>
      <c r="Q45" s="171"/>
      <c r="R45" s="294" t="str">
        <f>VLOOKUP(R47,'[80]Location Status'!$A$7:$D$178,2,0)</f>
        <v>5B/6</v>
      </c>
      <c r="S45" s="295"/>
      <c r="T45" s="171"/>
      <c r="U45" s="171"/>
      <c r="V45" s="294" t="str">
        <f>VLOOKUP(V47,'[80]Location Status'!$A$7:$D$178,2,0)</f>
        <v>5B/7</v>
      </c>
      <c r="W45" s="295"/>
      <c r="X45" s="171"/>
      <c r="Y45" s="171"/>
      <c r="Z45" s="294" t="str">
        <f>VLOOKUP(Z47,'[80]Location Status'!$A$7:$D$178,2,0)</f>
        <v>5B/8</v>
      </c>
      <c r="AA45" s="295"/>
      <c r="AB45" s="171"/>
      <c r="AC45" s="171"/>
      <c r="AD45" s="294" t="str">
        <f>VLOOKUP(AD47,'[80]Location Status'!$A$7:$D$178,2,0)</f>
        <v>5B/9</v>
      </c>
      <c r="AE45" s="295"/>
      <c r="AF45" s="171"/>
      <c r="AG45" s="171"/>
      <c r="AH45" s="294" t="str">
        <f>VLOOKUP(AH47,'[80]Location Status'!$A$7:$D$178,2,0)</f>
        <v>5B/10</v>
      </c>
      <c r="AI45" s="295"/>
      <c r="AJ45" s="171"/>
      <c r="AK45" s="171"/>
      <c r="AL45" s="294" t="str">
        <f>VLOOKUP(AL47,'[80]Location Status'!$A$7:$D$178,2,0)</f>
        <v>5B/11</v>
      </c>
      <c r="AM45" s="295"/>
      <c r="AN45" s="171"/>
      <c r="AO45" s="171"/>
      <c r="AP45" s="294" t="str">
        <f>VLOOKUP(AP47,'[80]Location Status'!$A$7:$D$178,2,0)</f>
        <v>5C/0</v>
      </c>
      <c r="AQ45" s="295"/>
      <c r="AT45" s="145"/>
      <c r="AU45" s="171"/>
      <c r="AV45" s="219"/>
      <c r="AW45" s="219"/>
      <c r="AX45" s="171"/>
      <c r="AY45" s="171"/>
      <c r="AZ45" s="171"/>
    </row>
    <row r="46" spans="1:56" x14ac:dyDescent="0.35">
      <c r="A46" s="144"/>
      <c r="AT46" s="145"/>
      <c r="AV46" s="219"/>
      <c r="AW46" s="219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99"/>
      <c r="AW47" s="299"/>
    </row>
    <row r="48" spans="1:56" x14ac:dyDescent="0.35">
      <c r="A48" s="144"/>
      <c r="B48" s="157" t="s">
        <v>577</v>
      </c>
      <c r="C48" s="157" t="s">
        <v>578</v>
      </c>
      <c r="D48" s="298">
        <f>VLOOKUP(B47,'[80]Location Status'!$A$7:$D$178,4,0)</f>
        <v>423.904</v>
      </c>
      <c r="E48" s="297"/>
      <c r="F48" s="182" t="s">
        <v>577</v>
      </c>
      <c r="G48" s="182" t="s">
        <v>578</v>
      </c>
      <c r="H48" s="298">
        <f>VLOOKUP(F47,'[80]Location Status'!$A$7:$D$178,4,0)</f>
        <v>412</v>
      </c>
      <c r="I48" s="297"/>
      <c r="J48" s="182" t="s">
        <v>577</v>
      </c>
      <c r="K48" s="182" t="s">
        <v>578</v>
      </c>
      <c r="L48" s="298">
        <f>VLOOKUP(J47,'[80]Location Status'!$A$7:$D$178,4,0)</f>
        <v>428.06099999999998</v>
      </c>
      <c r="M48" s="297"/>
      <c r="N48" s="181" t="s">
        <v>577</v>
      </c>
      <c r="O48" s="181" t="s">
        <v>578</v>
      </c>
      <c r="P48" s="298">
        <f>VLOOKUP(N47,'[80]Location Status'!$A$7:$D$178,4,0)</f>
        <v>407.06799999999998</v>
      </c>
      <c r="Q48" s="297"/>
      <c r="R48" s="178" t="s">
        <v>577</v>
      </c>
      <c r="S48" s="178" t="s">
        <v>578</v>
      </c>
      <c r="T48" s="298">
        <f>VLOOKUP(R47,'[80]Location Status'!$A$7:$D$178,4,0)</f>
        <v>431.339</v>
      </c>
      <c r="U48" s="297"/>
      <c r="V48" s="182" t="s">
        <v>577</v>
      </c>
      <c r="W48" s="182" t="s">
        <v>578</v>
      </c>
      <c r="X48" s="298">
        <f>VLOOKUP(V47,'[80]Location Status'!$A$7:$D$178,4,0)</f>
        <v>397.42700000000002</v>
      </c>
      <c r="Y48" s="297"/>
      <c r="Z48" s="182" t="s">
        <v>577</v>
      </c>
      <c r="AA48" s="182" t="s">
        <v>578</v>
      </c>
      <c r="AB48" s="298">
        <f>VLOOKUP(Z47,'[80]Location Status'!$A$7:$D$178,4,0)</f>
        <v>412.54300000000001</v>
      </c>
      <c r="AC48" s="297"/>
      <c r="AD48" s="182" t="s">
        <v>577</v>
      </c>
      <c r="AE48" s="182" t="s">
        <v>578</v>
      </c>
      <c r="AF48" s="300">
        <f>VLOOKUP(AD47,'[80]Location Status'!$A$7:$D$178,4,0)</f>
        <v>406.31599999999997</v>
      </c>
      <c r="AG48" s="302"/>
      <c r="AH48" s="182" t="s">
        <v>577</v>
      </c>
      <c r="AI48" s="182" t="s">
        <v>578</v>
      </c>
      <c r="AJ48" s="298">
        <f>VLOOKUP(AH47,'[80]Location Status'!$A$7:$D$178,4,0)</f>
        <v>431.584</v>
      </c>
      <c r="AK48" s="297"/>
      <c r="AL48" s="181" t="s">
        <v>577</v>
      </c>
      <c r="AM48" s="181" t="s">
        <v>578</v>
      </c>
      <c r="AN48" s="298">
        <f>VLOOKUP(AL47,'[80]Location Status'!$A$7:$D$178,4,0)</f>
        <v>406.78300000000002</v>
      </c>
      <c r="AO48" s="297"/>
      <c r="AP48" s="181" t="s">
        <v>577</v>
      </c>
      <c r="AQ48" s="181" t="s">
        <v>578</v>
      </c>
      <c r="AR48" s="298">
        <f>VLOOKUP(AP47,'[80]Location Status'!$A$7:$D$178,4,0)</f>
        <v>481.77699999999999</v>
      </c>
      <c r="AS48" s="296"/>
      <c r="AT48" s="145"/>
      <c r="AV48" s="219">
        <f>D48+H48+L48+P48+T48+X48+AB48+AF48+AJ48+AN48+AR48</f>
        <v>4638.8019999999997</v>
      </c>
      <c r="AW48" s="219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19"/>
      <c r="AW49" s="219"/>
      <c r="BB49" s="183"/>
      <c r="BC49" s="184"/>
      <c r="BD49" s="185"/>
    </row>
    <row r="50" spans="1:56" x14ac:dyDescent="0.35">
      <c r="A50" s="144"/>
      <c r="B50" s="226" t="s">
        <v>596</v>
      </c>
      <c r="C50" s="226"/>
      <c r="F50" s="226" t="s">
        <v>441</v>
      </c>
      <c r="G50" s="226"/>
      <c r="J50" s="226" t="s">
        <v>441</v>
      </c>
      <c r="K50" s="226"/>
      <c r="N50" s="226" t="s">
        <v>441</v>
      </c>
      <c r="O50" s="226"/>
      <c r="R50" s="226"/>
      <c r="S50" s="226"/>
      <c r="V50" s="226" t="s">
        <v>441</v>
      </c>
      <c r="W50" s="226"/>
      <c r="Z50" s="226" t="s">
        <v>596</v>
      </c>
      <c r="AA50" s="226"/>
      <c r="AD50" s="226" t="s">
        <v>441</v>
      </c>
      <c r="AE50" s="226"/>
      <c r="AH50" s="226" t="s">
        <v>596</v>
      </c>
      <c r="AI50" s="226"/>
      <c r="AL50" s="226" t="s">
        <v>441</v>
      </c>
      <c r="AM50" s="226"/>
      <c r="AP50" s="226"/>
      <c r="AQ50" s="226"/>
      <c r="AT50" s="145"/>
      <c r="AV50" s="219"/>
      <c r="AW50" s="219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19"/>
      <c r="AW51" s="219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19"/>
      <c r="AW52" s="219"/>
    </row>
    <row r="53" spans="1:56" x14ac:dyDescent="0.35">
      <c r="B53" s="349" t="s">
        <v>594</v>
      </c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AD53" s="188" t="s">
        <v>464</v>
      </c>
      <c r="AE53" s="188"/>
      <c r="AH53" s="188" t="s">
        <v>464</v>
      </c>
      <c r="AI53" s="188"/>
      <c r="AL53" s="188" t="s">
        <v>464</v>
      </c>
      <c r="AM53" s="188"/>
      <c r="AP53" s="188" t="s">
        <v>464</v>
      </c>
      <c r="AQ53" s="188"/>
      <c r="AT53" s="145"/>
      <c r="AV53" s="219"/>
      <c r="AW53" s="219"/>
    </row>
    <row r="54" spans="1:56" x14ac:dyDescent="0.35">
      <c r="A54" s="170"/>
      <c r="B54" s="294" t="str">
        <f>VLOOKUP(B56,'[80]Location Status'!$A$7:$D$178,2,0)</f>
        <v>5C/1</v>
      </c>
      <c r="C54" s="295"/>
      <c r="D54" s="171"/>
      <c r="E54" s="171"/>
      <c r="F54" s="294" t="str">
        <f>VLOOKUP(F56,'[80]Location Status'!$A$7:$D$178,2,0)</f>
        <v>5C/2</v>
      </c>
      <c r="G54" s="295"/>
      <c r="H54" s="171"/>
      <c r="I54" s="171"/>
      <c r="J54" s="294" t="str">
        <f>VLOOKUP(J56,'[80]Location Status'!$A$7:$D$178,2,0)</f>
        <v>5C/3</v>
      </c>
      <c r="K54" s="295"/>
      <c r="L54" s="171"/>
      <c r="M54" s="171"/>
      <c r="N54" s="294" t="str">
        <f>VLOOKUP(N56,'[80]Location Status'!$A$7:$D$178,2,0)</f>
        <v>6/0</v>
      </c>
      <c r="O54" s="295"/>
      <c r="P54" s="171"/>
      <c r="Q54" s="171"/>
      <c r="R54" s="294" t="str">
        <f>VLOOKUP(R56,'[80]Location Status'!$A$7:$D$178,2,0)</f>
        <v>7/0</v>
      </c>
      <c r="S54" s="295"/>
      <c r="T54" s="171"/>
      <c r="U54" s="171"/>
      <c r="V54" s="294" t="str">
        <f>VLOOKUP(V56,'[80]Location Status'!$A$7:$D$178,2,0)</f>
        <v>7/1</v>
      </c>
      <c r="W54" s="295"/>
      <c r="X54" s="171"/>
      <c r="Y54" s="171"/>
      <c r="Z54" s="294" t="str">
        <f>VLOOKUP(Z56,'[80]Location Status'!$A$7:$D$178,2,0)</f>
        <v>7/2</v>
      </c>
      <c r="AA54" s="295"/>
      <c r="AB54" s="171"/>
      <c r="AC54" s="171"/>
      <c r="AD54" s="294" t="str">
        <f>VLOOKUP(AD56,'[80]Location Status'!$A$7:$D$178,2,0)</f>
        <v>8/0</v>
      </c>
      <c r="AE54" s="295"/>
      <c r="AF54" s="171"/>
      <c r="AG54" s="171"/>
      <c r="AH54" s="294" t="str">
        <f>VLOOKUP(AH56,'[80]Location Status'!$A$7:$D$178,2,0)</f>
        <v>8/1</v>
      </c>
      <c r="AI54" s="295"/>
      <c r="AJ54" s="171"/>
      <c r="AK54" s="171"/>
      <c r="AL54" s="294" t="str">
        <f>VLOOKUP(AL56,'[80]Location Status'!$A$7:$D$178,2,0)</f>
        <v>8/2</v>
      </c>
      <c r="AM54" s="295"/>
      <c r="AN54" s="171"/>
      <c r="AO54" s="171"/>
      <c r="AP54" s="294" t="str">
        <f>VLOOKUP(AP56,'[80]Location Status'!$A$7:$D$178,2,0)</f>
        <v>8/3</v>
      </c>
      <c r="AQ54" s="295"/>
      <c r="AR54" s="171"/>
      <c r="AS54" s="171"/>
      <c r="AT54" s="173"/>
      <c r="AU54" s="171"/>
      <c r="AV54" s="219"/>
      <c r="AW54" s="219"/>
      <c r="AX54" s="171"/>
      <c r="AY54" s="171"/>
      <c r="AZ54" s="171"/>
    </row>
    <row r="55" spans="1:56" x14ac:dyDescent="0.35">
      <c r="A55" s="144"/>
      <c r="AT55" s="145"/>
      <c r="AV55" s="219"/>
      <c r="AW55" s="219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99"/>
      <c r="AW56" s="299"/>
    </row>
    <row r="57" spans="1:56" x14ac:dyDescent="0.35">
      <c r="A57" s="144"/>
      <c r="B57" s="157" t="s">
        <v>577</v>
      </c>
      <c r="C57" s="157" t="s">
        <v>578</v>
      </c>
      <c r="D57" s="298">
        <f>VLOOKUP(B56,'[80]Location Status'!$A$7:$D$178,4,0)</f>
        <v>357.09899999999999</v>
      </c>
      <c r="E57" s="297"/>
      <c r="F57" s="182" t="s">
        <v>577</v>
      </c>
      <c r="G57" s="182" t="s">
        <v>578</v>
      </c>
      <c r="H57" s="298">
        <f>VLOOKUP(F56,'[80]Location Status'!$A$7:$D$178,4,0)</f>
        <v>479.70499999999998</v>
      </c>
      <c r="I57" s="297"/>
      <c r="J57" s="178" t="s">
        <v>577</v>
      </c>
      <c r="K57" s="178" t="s">
        <v>578</v>
      </c>
      <c r="L57" s="298">
        <f>VLOOKUP(J56,'[80]Location Status'!$A$7:$D$178,4,0)</f>
        <v>343.28800000000001</v>
      </c>
      <c r="M57" s="297"/>
      <c r="N57" s="178" t="s">
        <v>577</v>
      </c>
      <c r="O57" s="178" t="s">
        <v>578</v>
      </c>
      <c r="P57" s="300">
        <f>VLOOKUP(N56,'[80]Location Status'!$A$7:$D$178,4,0)</f>
        <v>233.81</v>
      </c>
      <c r="Q57" s="302"/>
      <c r="R57" s="178" t="s">
        <v>577</v>
      </c>
      <c r="S57" s="178" t="s">
        <v>578</v>
      </c>
      <c r="T57" s="298">
        <f>VLOOKUP(R56,'[80]Location Status'!$A$7:$D$178,4,0)</f>
        <v>370.22199999999998</v>
      </c>
      <c r="U57" s="297"/>
      <c r="V57" s="178" t="s">
        <v>577</v>
      </c>
      <c r="W57" s="178" t="s">
        <v>578</v>
      </c>
      <c r="X57" s="298">
        <f>VLOOKUP(V56,'[80]Location Status'!$A$7:$D$178,4,0)</f>
        <v>361.27300000000002</v>
      </c>
      <c r="Y57" s="297"/>
      <c r="Z57" s="182" t="s">
        <v>577</v>
      </c>
      <c r="AA57" s="182" t="s">
        <v>578</v>
      </c>
      <c r="AB57" s="298">
        <f>VLOOKUP(Z56,'[80]Location Status'!$A$7:$D$178,4,0)</f>
        <v>424.95800000000003</v>
      </c>
      <c r="AC57" s="297"/>
      <c r="AD57" s="182" t="s">
        <v>577</v>
      </c>
      <c r="AE57" s="182" t="s">
        <v>578</v>
      </c>
      <c r="AF57" s="300">
        <f>VLOOKUP(AD56,'[80]Location Status'!$A$7:$D$178,4,0)</f>
        <v>385.685</v>
      </c>
      <c r="AG57" s="302"/>
      <c r="AH57" s="182" t="s">
        <v>577</v>
      </c>
      <c r="AI57" s="182" t="s">
        <v>578</v>
      </c>
      <c r="AJ57" s="298">
        <f>VLOOKUP(AH56,'[80]Location Status'!$A$7:$D$178,4,0)</f>
        <v>365.00299999999999</v>
      </c>
      <c r="AK57" s="297"/>
      <c r="AL57" s="182" t="s">
        <v>577</v>
      </c>
      <c r="AM57" s="182" t="s">
        <v>578</v>
      </c>
      <c r="AN57" s="298">
        <f>VLOOKUP(AL56,'[80]Location Status'!$A$7:$D$178,4,0)</f>
        <v>345.87700000000001</v>
      </c>
      <c r="AO57" s="297"/>
      <c r="AP57" s="182" t="s">
        <v>577</v>
      </c>
      <c r="AQ57" s="182" t="s">
        <v>578</v>
      </c>
      <c r="AR57" s="298">
        <f>VLOOKUP(AP56,'[80]Location Status'!$A$7:$D$178,4,0)</f>
        <v>346.53800000000001</v>
      </c>
      <c r="AS57" s="296"/>
      <c r="AT57" s="145"/>
      <c r="AV57" s="219">
        <f>D57+H57+L57+P57+T57+X57+AB57+AF57+AJ57+AN57+AR57</f>
        <v>4013.4580000000001</v>
      </c>
      <c r="AW57" s="219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19"/>
      <c r="AW58" s="219"/>
      <c r="BB58" s="183"/>
      <c r="BC58" s="184"/>
      <c r="BD58" s="185"/>
    </row>
    <row r="59" spans="1:56" x14ac:dyDescent="0.35">
      <c r="A59" s="144"/>
      <c r="B59" s="226" t="s">
        <v>441</v>
      </c>
      <c r="C59" s="226"/>
      <c r="F59" s="226" t="s">
        <v>441</v>
      </c>
      <c r="G59" s="226"/>
      <c r="J59" s="226"/>
      <c r="K59" s="226"/>
      <c r="N59" s="226"/>
      <c r="O59" s="226"/>
      <c r="R59" s="226"/>
      <c r="S59" s="226"/>
      <c r="V59" s="226"/>
      <c r="W59" s="226"/>
      <c r="Z59" s="303" t="s">
        <v>441</v>
      </c>
      <c r="AA59" s="225"/>
      <c r="AD59" s="226" t="s">
        <v>441</v>
      </c>
      <c r="AE59" s="226"/>
      <c r="AH59" s="226" t="s">
        <v>441</v>
      </c>
      <c r="AI59" s="226"/>
      <c r="AL59" s="226" t="s">
        <v>441</v>
      </c>
      <c r="AM59" s="226"/>
      <c r="AP59" s="226" t="s">
        <v>596</v>
      </c>
      <c r="AQ59" s="226"/>
      <c r="AT59" s="145"/>
      <c r="AV59" s="219"/>
      <c r="AW59" s="219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19"/>
      <c r="AW60" s="219"/>
      <c r="BB60" s="183"/>
      <c r="BC60" s="184"/>
      <c r="BD60" s="185"/>
    </row>
    <row r="61" spans="1:56" x14ac:dyDescent="0.35">
      <c r="A61" s="144"/>
      <c r="AT61" s="145"/>
      <c r="AV61" s="219"/>
      <c r="AW61" s="219"/>
      <c r="BB61" s="183"/>
      <c r="BC61" s="184"/>
      <c r="BD61" s="185"/>
    </row>
    <row r="62" spans="1:56" x14ac:dyDescent="0.35">
      <c r="A62" s="144"/>
      <c r="B62" t="s">
        <v>597</v>
      </c>
      <c r="R62" s="188" t="s">
        <v>464</v>
      </c>
      <c r="S62" s="188"/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19"/>
      <c r="AW62" s="219"/>
      <c r="BB62" s="183"/>
      <c r="BC62" s="184"/>
      <c r="BD62" s="185"/>
    </row>
    <row r="63" spans="1:56" x14ac:dyDescent="0.35">
      <c r="A63" s="144"/>
      <c r="B63" s="294" t="str">
        <f>VLOOKUP(B65,'[80]Location Status'!$A$7:$D$178,2,0)</f>
        <v>9/0</v>
      </c>
      <c r="C63" s="294"/>
      <c r="F63" s="294" t="str">
        <f>VLOOKUP(F65,'[80]Location Status'!$A$7:$D$178,2,0)</f>
        <v>10/0</v>
      </c>
      <c r="G63" s="294"/>
      <c r="J63" s="294" t="str">
        <f>VLOOKUP(J65,'[80]Location Status'!$A$7:$D$178,2,0)</f>
        <v>10/1</v>
      </c>
      <c r="K63" s="294"/>
      <c r="N63" s="294" t="str">
        <f>VLOOKUP(N65,'[80]Location Status'!$A$7:$D$178,2,0)</f>
        <v>10/2</v>
      </c>
      <c r="O63" s="294"/>
      <c r="R63" s="294" t="str">
        <f>VLOOKUP(R65,'[80]Location Status'!$A$7:$D$178,2,0)</f>
        <v>10/3</v>
      </c>
      <c r="S63" s="294"/>
      <c r="V63" s="294" t="str">
        <f>VLOOKUP(V65,'[80]Location Status'!$A$7:$D$178,2,0)</f>
        <v>10/4</v>
      </c>
      <c r="W63" s="294"/>
      <c r="Z63" s="294" t="str">
        <f>VLOOKUP(Z65,'[80]Location Status'!$A$7:$D$178,2,0)</f>
        <v>11/0</v>
      </c>
      <c r="AA63" s="294"/>
      <c r="AD63" s="294" t="str">
        <f>VLOOKUP(AD65,'[80]Location Status'!$A$7:$D$178,2,0)</f>
        <v>11/1</v>
      </c>
      <c r="AE63" s="294"/>
      <c r="AH63" s="294" t="str">
        <f>VLOOKUP(AH65,'[80]Location Status'!$A$7:$D$178,2,0)</f>
        <v>11/2</v>
      </c>
      <c r="AI63" s="294"/>
      <c r="AL63" s="294" t="str">
        <f>VLOOKUP(AL65,'[80]Location Status'!$A$7:$D$178,2,0)</f>
        <v>11/3</v>
      </c>
      <c r="AM63" s="294"/>
      <c r="AP63" s="294" t="str">
        <f>VLOOKUP(AP65,'[80]Location Status'!$A$7:$D$178,2,0)</f>
        <v>11/4</v>
      </c>
      <c r="AQ63" s="294"/>
      <c r="AT63" s="145"/>
      <c r="AV63" s="219"/>
      <c r="AW63" s="219"/>
      <c r="BB63" s="183"/>
      <c r="BC63" s="184"/>
      <c r="BD63" s="185"/>
    </row>
    <row r="64" spans="1:56" x14ac:dyDescent="0.35">
      <c r="A64" s="144"/>
      <c r="AT64" s="145"/>
      <c r="AV64" s="219"/>
      <c r="AW64" s="219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99"/>
      <c r="AW65" s="299"/>
    </row>
    <row r="66" spans="1:56" x14ac:dyDescent="0.35">
      <c r="A66" s="144"/>
      <c r="B66" s="156" t="s">
        <v>577</v>
      </c>
      <c r="C66" s="156" t="s">
        <v>578</v>
      </c>
      <c r="D66" s="300">
        <f>VLOOKUP(B65,'[80]Location Status'!$A$7:$D$178,4,0)</f>
        <v>195.429</v>
      </c>
      <c r="E66" s="302"/>
      <c r="F66" s="181" t="s">
        <v>577</v>
      </c>
      <c r="G66" s="181" t="s">
        <v>578</v>
      </c>
      <c r="H66" s="298">
        <f>VLOOKUP(F65,'[80]Location Status'!$A$7:$D$178,4,0)</f>
        <v>327.43</v>
      </c>
      <c r="I66" s="297"/>
      <c r="J66" s="182" t="s">
        <v>577</v>
      </c>
      <c r="K66" s="182" t="s">
        <v>578</v>
      </c>
      <c r="L66" s="298">
        <f>VLOOKUP(J65,'[80]Location Status'!$A$7:$D$178,4,0)</f>
        <v>437.142</v>
      </c>
      <c r="M66" s="297"/>
      <c r="N66" s="182" t="s">
        <v>577</v>
      </c>
      <c r="O66" s="182" t="s">
        <v>578</v>
      </c>
      <c r="P66" s="298">
        <f>VLOOKUP(N65,'[80]Location Status'!$A$7:$D$178,4,0)</f>
        <v>398.44499999999999</v>
      </c>
      <c r="Q66" s="297"/>
      <c r="R66" s="182" t="s">
        <v>577</v>
      </c>
      <c r="S66" s="182" t="s">
        <v>578</v>
      </c>
      <c r="T66" s="298">
        <f>VLOOKUP(R65,'[80]Location Status'!$A$7:$D$178,4,0)</f>
        <v>385.096</v>
      </c>
      <c r="U66" s="297"/>
      <c r="V66" s="178" t="s">
        <v>577</v>
      </c>
      <c r="W66" s="178" t="s">
        <v>578</v>
      </c>
      <c r="X66" s="298">
        <f>VLOOKUP(V65,'[80]Location Status'!$A$7:$D$178,4,0)</f>
        <v>418.04500000000002</v>
      </c>
      <c r="Y66" s="297"/>
      <c r="Z66" s="182" t="s">
        <v>577</v>
      </c>
      <c r="AA66" s="182" t="s">
        <v>578</v>
      </c>
      <c r="AB66" s="298">
        <f>VLOOKUP(Z65,'[80]Location Status'!$A$7:$D$178,4,0)</f>
        <v>356.43</v>
      </c>
      <c r="AC66" s="297"/>
      <c r="AD66" s="182" t="s">
        <v>577</v>
      </c>
      <c r="AE66" s="182" t="s">
        <v>578</v>
      </c>
      <c r="AF66" s="298">
        <f>VLOOKUP(AD65,'[80]Location Status'!$A$7:$D$178,4,0)</f>
        <v>400.90300000000002</v>
      </c>
      <c r="AG66" s="297"/>
      <c r="AH66" s="182" t="s">
        <v>577</v>
      </c>
      <c r="AI66" s="182" t="s">
        <v>578</v>
      </c>
      <c r="AJ66" s="298">
        <f>VLOOKUP(AH65,'[80]Location Status'!$A$7:$D$178,4,0)</f>
        <v>414.95100000000002</v>
      </c>
      <c r="AK66" s="297"/>
      <c r="AL66" s="182" t="s">
        <v>577</v>
      </c>
      <c r="AM66" s="182" t="s">
        <v>578</v>
      </c>
      <c r="AN66" s="298">
        <f>VLOOKUP(AL65,'[80]Location Status'!$A$7:$D$178,4,0)</f>
        <v>418.08800000000002</v>
      </c>
      <c r="AO66" s="297"/>
      <c r="AP66" s="182" t="s">
        <v>577</v>
      </c>
      <c r="AQ66" s="182" t="s">
        <v>578</v>
      </c>
      <c r="AR66" s="298">
        <f>VLOOKUP(AP65,'[80]Location Status'!$A$7:$D$178,4,0)</f>
        <v>397.64</v>
      </c>
      <c r="AS66" s="296"/>
      <c r="AT66" s="145"/>
      <c r="AV66" s="219">
        <f>D66+H66+L66+P66+T66+X66+AB66+AF66+AJ66+AN66+AR66</f>
        <v>4149.5990000000002</v>
      </c>
      <c r="AW66" s="219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19"/>
      <c r="AW67" s="219"/>
      <c r="BB67" s="184"/>
      <c r="BC67" s="184"/>
      <c r="BD67" s="185"/>
    </row>
    <row r="68" spans="1:56" x14ac:dyDescent="0.35">
      <c r="A68" s="144"/>
      <c r="B68" s="226"/>
      <c r="C68" s="226"/>
      <c r="F68" s="226"/>
      <c r="G68" s="226"/>
      <c r="J68" s="303" t="s">
        <v>596</v>
      </c>
      <c r="K68" s="225"/>
      <c r="N68" s="303" t="s">
        <v>441</v>
      </c>
      <c r="O68" s="225"/>
      <c r="R68" s="303" t="s">
        <v>441</v>
      </c>
      <c r="S68" s="225"/>
      <c r="V68" s="226"/>
      <c r="W68" s="226"/>
      <c r="Z68" s="304" t="s">
        <v>441</v>
      </c>
      <c r="AA68" s="304"/>
      <c r="AD68" s="303" t="s">
        <v>596</v>
      </c>
      <c r="AE68" s="225"/>
      <c r="AH68" s="303" t="s">
        <v>596</v>
      </c>
      <c r="AI68" s="225"/>
      <c r="AL68" s="304" t="s">
        <v>441</v>
      </c>
      <c r="AM68" s="304"/>
      <c r="AP68" s="304" t="s">
        <v>441</v>
      </c>
      <c r="AQ68" s="304"/>
      <c r="AT68" s="145"/>
      <c r="AV68" s="219"/>
      <c r="AW68" s="219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19"/>
      <c r="AW69" s="219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19"/>
      <c r="AW70" s="219"/>
      <c r="BB70" s="184"/>
      <c r="BC70" s="184"/>
      <c r="BD70" s="185"/>
    </row>
    <row r="71" spans="1:56" x14ac:dyDescent="0.35">
      <c r="A71" s="144"/>
      <c r="AT71" s="145"/>
      <c r="AV71" s="219"/>
      <c r="AW71" s="219"/>
      <c r="BB71" s="184"/>
      <c r="BC71" s="184"/>
      <c r="BD71" s="185"/>
    </row>
    <row r="72" spans="1:56" x14ac:dyDescent="0.35">
      <c r="A72" s="144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19"/>
      <c r="AW72" s="219"/>
      <c r="BB72" s="184"/>
      <c r="BC72" s="184"/>
      <c r="BD72" s="185"/>
    </row>
    <row r="73" spans="1:56" x14ac:dyDescent="0.35">
      <c r="A73" s="144"/>
      <c r="B73" s="294" t="str">
        <f>VLOOKUP(B75,'[80]Location Status'!$A$7:$D$178,2,0)</f>
        <v>11/5</v>
      </c>
      <c r="C73" s="295"/>
      <c r="F73" s="294" t="str">
        <f>VLOOKUP(F75,'[80]Location Status'!$A$7:$D$178,2,0)</f>
        <v>11/6</v>
      </c>
      <c r="G73" s="295"/>
      <c r="J73" s="294" t="str">
        <f>VLOOKUP(J75,'[80]Location Status'!$A$7:$D$178,2,0)</f>
        <v>12/0</v>
      </c>
      <c r="K73" s="295"/>
      <c r="N73" s="294" t="str">
        <f>VLOOKUP(N75,'[80]Location Status'!$A$7:$D$178,2,0)</f>
        <v>12/1</v>
      </c>
      <c r="O73" s="295"/>
      <c r="R73" s="294" t="str">
        <f>VLOOKUP(R75,'[80]Location Status'!$A$7:$D$178,2,0)</f>
        <v>12/2</v>
      </c>
      <c r="S73" s="295"/>
      <c r="V73" s="294" t="str">
        <f>VLOOKUP(V75,'[80]Location Status'!$A$7:$D$178,2,0)</f>
        <v>12/3</v>
      </c>
      <c r="W73" s="295"/>
      <c r="Z73" s="294" t="str">
        <f>VLOOKUP(Z75,'[80]Location Status'!$A$7:$D$178,2,0)</f>
        <v>12/4</v>
      </c>
      <c r="AA73" s="295"/>
      <c r="AD73" s="294" t="str">
        <f>VLOOKUP(AD75,'[80]Location Status'!$A$7:$D$178,2,0)</f>
        <v>12/5</v>
      </c>
      <c r="AE73" s="295"/>
      <c r="AH73" s="294" t="str">
        <f>VLOOKUP(AH75,'[80]Location Status'!$A$7:$D$178,2,0)</f>
        <v>13/0</v>
      </c>
      <c r="AI73" s="295"/>
      <c r="AL73" s="294" t="str">
        <f>VLOOKUP(AL75,'[80]Location Status'!$A$7:$D$178,2,0)</f>
        <v>13/1</v>
      </c>
      <c r="AM73" s="295"/>
      <c r="AP73" s="294" t="str">
        <f>VLOOKUP(AP75,'[80]Location Status'!$A$7:$D$178,2,0)</f>
        <v>13/2</v>
      </c>
      <c r="AQ73" s="295"/>
      <c r="AT73" s="145"/>
      <c r="AV73" s="219"/>
      <c r="AW73" s="219"/>
      <c r="BB73" s="183"/>
      <c r="BC73" s="184"/>
      <c r="BD73" s="185"/>
    </row>
    <row r="74" spans="1:56" x14ac:dyDescent="0.35">
      <c r="A74" s="144"/>
      <c r="AT74" s="145"/>
      <c r="AV74" s="219"/>
      <c r="AW74" s="219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99"/>
      <c r="AW75" s="299"/>
    </row>
    <row r="76" spans="1:56" x14ac:dyDescent="0.35">
      <c r="A76" s="144"/>
      <c r="B76" s="182" t="s">
        <v>577</v>
      </c>
      <c r="C76" s="182" t="s">
        <v>578</v>
      </c>
      <c r="D76" s="296">
        <f>VLOOKUP(B75,'[80]Location Status'!$A$7:$D$178,4,0)</f>
        <v>416.399</v>
      </c>
      <c r="E76" s="305"/>
      <c r="F76" s="182" t="s">
        <v>577</v>
      </c>
      <c r="G76" s="182" t="s">
        <v>578</v>
      </c>
      <c r="H76" s="296">
        <f>VLOOKUP(F75,'[80]Location Status'!$A$7:$D$178,4,0)</f>
        <v>328.48899999999998</v>
      </c>
      <c r="I76" s="305"/>
      <c r="J76" s="182" t="s">
        <v>577</v>
      </c>
      <c r="K76" s="182" t="s">
        <v>578</v>
      </c>
      <c r="L76" s="296">
        <f>VLOOKUP(J75,'[80]Location Status'!$A$7:$D$178,4,0)</f>
        <v>369</v>
      </c>
      <c r="M76" s="305"/>
      <c r="N76" s="182" t="s">
        <v>577</v>
      </c>
      <c r="O76" s="182" t="s">
        <v>578</v>
      </c>
      <c r="P76" s="296">
        <f>VLOOKUP(N75,'[80]Location Status'!$A$7:$D$178,4,0)</f>
        <v>381</v>
      </c>
      <c r="Q76" s="305"/>
      <c r="R76" s="182" t="s">
        <v>577</v>
      </c>
      <c r="S76" s="182" t="s">
        <v>578</v>
      </c>
      <c r="T76" s="296">
        <f>VLOOKUP(R75,'[80]Location Status'!$A$7:$D$178,4,0)</f>
        <v>385</v>
      </c>
      <c r="U76" s="305"/>
      <c r="V76" s="182" t="s">
        <v>577</v>
      </c>
      <c r="W76" s="182" t="s">
        <v>578</v>
      </c>
      <c r="X76" s="296">
        <f>VLOOKUP(V75,'[80]Location Status'!$A$7:$D$178,4,0)</f>
        <v>403</v>
      </c>
      <c r="Y76" s="305"/>
      <c r="Z76" s="182" t="s">
        <v>577</v>
      </c>
      <c r="AA76" s="182" t="s">
        <v>578</v>
      </c>
      <c r="AB76" s="296">
        <f>VLOOKUP(Z75,'[80]Location Status'!$A$7:$D$178,4,0)</f>
        <v>436</v>
      </c>
      <c r="AC76" s="305"/>
      <c r="AD76" s="182" t="s">
        <v>577</v>
      </c>
      <c r="AE76" s="182" t="s">
        <v>578</v>
      </c>
      <c r="AF76" s="296">
        <f>VLOOKUP(AD75,'[80]Location Status'!$A$7:$D$178,4,0)</f>
        <v>398.42599999999999</v>
      </c>
      <c r="AG76" s="305"/>
      <c r="AH76" s="182" t="s">
        <v>577</v>
      </c>
      <c r="AI76" s="182" t="s">
        <v>578</v>
      </c>
      <c r="AJ76" s="296">
        <f>VLOOKUP(AH75,'[80]Location Status'!$A$7:$D$178,4,0)</f>
        <v>387.00400000000002</v>
      </c>
      <c r="AK76" s="305"/>
      <c r="AL76" s="182" t="s">
        <v>577</v>
      </c>
      <c r="AM76" s="182" t="s">
        <v>578</v>
      </c>
      <c r="AN76" s="296">
        <f>VLOOKUP(AL75,'[80]Location Status'!$A$7:$D$178,4,0)</f>
        <v>361</v>
      </c>
      <c r="AO76" s="305"/>
      <c r="AP76" s="178" t="s">
        <v>577</v>
      </c>
      <c r="AQ76" s="178" t="s">
        <v>578</v>
      </c>
      <c r="AR76" s="296">
        <f>VLOOKUP(AP75,'[80]Location Status'!$A$7:$D$178,4,0)</f>
        <v>371</v>
      </c>
      <c r="AS76" s="305"/>
      <c r="AT76" s="145"/>
      <c r="AV76" s="219">
        <f>D76+H76+L76+P76+T76+X76+AB76+AF76+AJ76+AN76+AR76</f>
        <v>4236.3179999999993</v>
      </c>
      <c r="AW76" s="219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6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19"/>
      <c r="AW77" s="219"/>
      <c r="BB77" s="184"/>
      <c r="BC77" s="184"/>
      <c r="BD77" s="185"/>
    </row>
    <row r="78" spans="1:56" x14ac:dyDescent="0.35">
      <c r="A78" s="144"/>
      <c r="B78" s="304" t="s">
        <v>441</v>
      </c>
      <c r="C78" s="304"/>
      <c r="F78" s="303" t="s">
        <v>441</v>
      </c>
      <c r="G78" s="225"/>
      <c r="J78" s="303" t="s">
        <v>596</v>
      </c>
      <c r="K78" s="225"/>
      <c r="N78" s="304" t="s">
        <v>441</v>
      </c>
      <c r="O78" s="304"/>
      <c r="R78" s="304" t="s">
        <v>441</v>
      </c>
      <c r="S78" s="304"/>
      <c r="V78" s="303" t="s">
        <v>596</v>
      </c>
      <c r="W78" s="225"/>
      <c r="Z78" s="303" t="s">
        <v>596</v>
      </c>
      <c r="AA78" s="225"/>
      <c r="AD78" s="304" t="s">
        <v>441</v>
      </c>
      <c r="AE78" s="304"/>
      <c r="AH78" s="303" t="s">
        <v>441</v>
      </c>
      <c r="AI78" s="225"/>
      <c r="AL78" s="304" t="s">
        <v>441</v>
      </c>
      <c r="AM78" s="304"/>
      <c r="AP78" s="226"/>
      <c r="AQ78" s="226"/>
      <c r="AT78" s="145"/>
      <c r="AV78" s="219"/>
      <c r="AW78" s="219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19"/>
      <c r="AW79" s="219"/>
      <c r="BB79" s="184"/>
      <c r="BC79" s="184"/>
      <c r="BD79" s="185"/>
    </row>
    <row r="80" spans="1:56" x14ac:dyDescent="0.35">
      <c r="A80" s="144"/>
      <c r="AT80" s="145"/>
      <c r="AV80" s="219"/>
      <c r="AW80" s="219"/>
      <c r="BB80" s="184"/>
      <c r="BC80" s="184"/>
      <c r="BD80" s="185"/>
    </row>
    <row r="81" spans="1:56" x14ac:dyDescent="0.35">
      <c r="J81" s="188" t="s">
        <v>464</v>
      </c>
      <c r="K81" s="188"/>
      <c r="AT81" s="145"/>
      <c r="AV81" s="219"/>
      <c r="AW81" s="219"/>
      <c r="BB81" s="184"/>
      <c r="BC81" s="184"/>
      <c r="BD81" s="185"/>
    </row>
    <row r="82" spans="1:56" x14ac:dyDescent="0.35">
      <c r="A82" s="144"/>
      <c r="B82" s="294" t="str">
        <f>VLOOKUP(B84,'[80]Location Status'!$A$7:$D$178,2,0)</f>
        <v>13/3</v>
      </c>
      <c r="C82" s="295"/>
      <c r="F82" s="294" t="str">
        <f>VLOOKUP(F84,'[80]Location Status'!$A$7:$D$178,2,0)</f>
        <v>13/4</v>
      </c>
      <c r="G82" s="295"/>
      <c r="J82" s="294" t="str">
        <f>VLOOKUP(J84,'[80]Location Status'!$A$7:$D$178,2,0)</f>
        <v>13/5</v>
      </c>
      <c r="K82" s="295"/>
      <c r="N82" s="294" t="str">
        <f>VLOOKUP(N84,'[80]Location Status'!$A$7:$D$178,2,0)</f>
        <v>13/6</v>
      </c>
      <c r="O82" s="295"/>
      <c r="R82" s="294" t="str">
        <f>VLOOKUP(R84,'[80]Location Status'!$A$7:$D$178,2,0)</f>
        <v>14/0</v>
      </c>
      <c r="S82" s="295"/>
      <c r="V82" s="294" t="str">
        <f>VLOOKUP(V84,'[80]Location Status'!$A$7:$D$178,2,0)</f>
        <v>14/1</v>
      </c>
      <c r="W82" s="295"/>
      <c r="Z82" s="294" t="str">
        <f>VLOOKUP(Z84,'[80]Location Status'!$A$7:$D$178,2,0)</f>
        <v>14/2</v>
      </c>
      <c r="AA82" s="295"/>
      <c r="AD82" s="294" t="str">
        <f>VLOOKUP(AD84,'[80]Location Status'!$A$7:$D$178,2,0)</f>
        <v>14/3</v>
      </c>
      <c r="AE82" s="295"/>
      <c r="AH82" s="294" t="str">
        <f>VLOOKUP(AH84,'[80]Location Status'!$A$7:$D$178,2,0)</f>
        <v>14/4</v>
      </c>
      <c r="AI82" s="295"/>
      <c r="AL82" s="294" t="str">
        <f>VLOOKUP(AL84,'[80]Location Status'!$A$7:$D$178,2,0)</f>
        <v>14/5</v>
      </c>
      <c r="AM82" s="295"/>
      <c r="AP82" s="294" t="str">
        <f>VLOOKUP(AP84,'[80]Location Status'!$A$7:$D$178,2,0)</f>
        <v>14/6</v>
      </c>
      <c r="AQ82" s="295"/>
      <c r="AT82" s="145"/>
      <c r="AV82" s="219"/>
      <c r="AW82" s="219"/>
      <c r="BB82" s="183"/>
      <c r="BC82" s="184"/>
      <c r="BD82" s="185"/>
    </row>
    <row r="83" spans="1:56" x14ac:dyDescent="0.35">
      <c r="A83" s="144"/>
      <c r="AT83" s="145"/>
      <c r="AV83" s="219"/>
      <c r="AW83" s="219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99"/>
      <c r="AW84" s="299"/>
    </row>
    <row r="85" spans="1:56" x14ac:dyDescent="0.35">
      <c r="A85" s="144"/>
      <c r="B85" s="181" t="s">
        <v>577</v>
      </c>
      <c r="C85" s="181" t="s">
        <v>578</v>
      </c>
      <c r="D85" s="294">
        <f>VLOOKUP(B84,'[80]Location Status'!$A$7:$D$178,4,0)</f>
        <v>374</v>
      </c>
      <c r="E85" s="295"/>
      <c r="F85" s="182" t="s">
        <v>577</v>
      </c>
      <c r="G85" s="182" t="s">
        <v>578</v>
      </c>
      <c r="H85" s="294">
        <f>VLOOKUP(F84,'[80]Location Status'!$A$7:$D$178,4,0)</f>
        <v>441</v>
      </c>
      <c r="I85" s="295"/>
      <c r="J85" s="182" t="s">
        <v>577</v>
      </c>
      <c r="K85" s="182" t="s">
        <v>578</v>
      </c>
      <c r="L85" s="294">
        <f>VLOOKUP(J84,'[80]Location Status'!$A$7:$D$178,4,0)</f>
        <v>376</v>
      </c>
      <c r="M85" s="295"/>
      <c r="N85" s="182" t="s">
        <v>577</v>
      </c>
      <c r="O85" s="182" t="s">
        <v>578</v>
      </c>
      <c r="P85" s="294">
        <f>VLOOKUP(N84,'[80]Location Status'!$A$7:$D$178,4,0)</f>
        <v>409.10300000000001</v>
      </c>
      <c r="Q85" s="295"/>
      <c r="R85" s="182" t="s">
        <v>577</v>
      </c>
      <c r="S85" s="182" t="s">
        <v>578</v>
      </c>
      <c r="T85" s="294">
        <f>VLOOKUP(R84,'[80]Location Status'!$A$7:$D$178,4,0)</f>
        <v>387.99700000000001</v>
      </c>
      <c r="U85" s="295"/>
      <c r="V85" s="178" t="s">
        <v>577</v>
      </c>
      <c r="W85" s="178" t="s">
        <v>578</v>
      </c>
      <c r="X85" s="294">
        <f>VLOOKUP(V84,'[80]Location Status'!$A$7:$D$178,4,0)</f>
        <v>393</v>
      </c>
      <c r="Y85" s="295"/>
      <c r="Z85" s="182" t="s">
        <v>577</v>
      </c>
      <c r="AA85" s="182" t="s">
        <v>578</v>
      </c>
      <c r="AB85" s="294">
        <f>VLOOKUP(Z84,'[80]Location Status'!$A$7:$D$178,4,0)</f>
        <v>399</v>
      </c>
      <c r="AC85" s="295"/>
      <c r="AD85" s="182" t="s">
        <v>577</v>
      </c>
      <c r="AE85" s="182" t="s">
        <v>578</v>
      </c>
      <c r="AF85" s="296">
        <f>VLOOKUP(AD84,'[80]Location Status'!$A$7:$D$178,4,0)</f>
        <v>395</v>
      </c>
      <c r="AG85" s="305"/>
      <c r="AH85" s="182" t="s">
        <v>577</v>
      </c>
      <c r="AI85" s="182" t="s">
        <v>578</v>
      </c>
      <c r="AJ85" s="294">
        <f>VLOOKUP(AH84,'[80]Location Status'!$A$7:$D$178,4,0)</f>
        <v>395</v>
      </c>
      <c r="AK85" s="295"/>
      <c r="AL85" s="182" t="s">
        <v>577</v>
      </c>
      <c r="AM85" s="182" t="s">
        <v>578</v>
      </c>
      <c r="AN85" s="294">
        <f>VLOOKUP(AL84,'[80]Location Status'!$A$7:$D$178,4,0)</f>
        <v>417</v>
      </c>
      <c r="AO85" s="295"/>
      <c r="AP85" s="182" t="s">
        <v>577</v>
      </c>
      <c r="AQ85" s="182" t="s">
        <v>578</v>
      </c>
      <c r="AR85" s="294">
        <f>VLOOKUP(AP84,'[80]Location Status'!$A$7:$D$178,4,0)</f>
        <v>415</v>
      </c>
      <c r="AS85" s="295"/>
      <c r="AT85" s="145"/>
      <c r="AV85" s="219">
        <f>D85+H85+L85+P85+T85+X85+AB85+AF85+AJ85+AN85+AR85</f>
        <v>4402.1000000000004</v>
      </c>
      <c r="AW85" s="219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19"/>
      <c r="AW86" s="219"/>
      <c r="BB86" s="184"/>
      <c r="BC86" s="184"/>
      <c r="BD86" s="185"/>
    </row>
    <row r="87" spans="1:56" x14ac:dyDescent="0.35">
      <c r="A87" s="144"/>
      <c r="B87" s="226"/>
      <c r="C87" s="226"/>
      <c r="F87" s="306" t="s">
        <v>441</v>
      </c>
      <c r="G87" s="307"/>
      <c r="J87" s="304" t="s">
        <v>441</v>
      </c>
      <c r="K87" s="304"/>
      <c r="N87" s="304" t="s">
        <v>441</v>
      </c>
      <c r="O87" s="304"/>
      <c r="R87" s="304" t="s">
        <v>441</v>
      </c>
      <c r="S87" s="304"/>
      <c r="V87" s="226"/>
      <c r="W87" s="226"/>
      <c r="Z87" s="304" t="s">
        <v>441</v>
      </c>
      <c r="AA87" s="304"/>
      <c r="AD87" s="303" t="s">
        <v>596</v>
      </c>
      <c r="AE87" s="225"/>
      <c r="AH87" s="304" t="s">
        <v>441</v>
      </c>
      <c r="AI87" s="304"/>
      <c r="AL87" s="304" t="s">
        <v>441</v>
      </c>
      <c r="AM87" s="304"/>
      <c r="AP87" s="304" t="s">
        <v>441</v>
      </c>
      <c r="AQ87" s="304"/>
      <c r="AT87" s="145"/>
      <c r="AV87" s="219"/>
      <c r="AW87" s="219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19"/>
      <c r="AW88" s="219"/>
      <c r="BB88" s="184"/>
      <c r="BC88" s="184"/>
      <c r="BD88" s="185"/>
    </row>
    <row r="89" spans="1:56" x14ac:dyDescent="0.35">
      <c r="A89" s="144"/>
      <c r="AT89" s="145"/>
      <c r="AV89" s="219"/>
      <c r="AW89" s="219"/>
      <c r="BB89" s="184"/>
      <c r="BC89" s="184"/>
      <c r="BD89" s="185"/>
    </row>
    <row r="90" spans="1:56" x14ac:dyDescent="0.35">
      <c r="A90" s="144"/>
      <c r="B90" s="294" t="str">
        <f>VLOOKUP(B92,'[80]Location Status'!$A$7:$D$178,2,0)</f>
        <v>14/7</v>
      </c>
      <c r="C90" s="295"/>
      <c r="F90" s="294" t="str">
        <f>VLOOKUP(F92,'[80]Location Status'!$A$7:$D$178,2,0)</f>
        <v>15/0</v>
      </c>
      <c r="G90" s="295"/>
      <c r="J90" s="294" t="str">
        <f>VLOOKUP(J92,'[80]Location Status'!$A$7:$D$178,2,0)</f>
        <v>15/1</v>
      </c>
      <c r="K90" s="295"/>
      <c r="N90" s="294" t="str">
        <f>VLOOKUP(N92,'[80]Location Status'!$A$7:$D$178,2,0)</f>
        <v>15/2</v>
      </c>
      <c r="O90" s="295"/>
      <c r="R90" s="294" t="str">
        <f>VLOOKUP(R92,'[80]Location Status'!$A$7:$D$178,2,0)</f>
        <v>15/3</v>
      </c>
      <c r="S90" s="295"/>
      <c r="V90" s="294" t="str">
        <f>VLOOKUP(V92,'[80]Location Status'!$A$7:$D$178,2,0)</f>
        <v>15/4</v>
      </c>
      <c r="W90" s="295"/>
      <c r="Z90" s="294" t="str">
        <f>VLOOKUP(Z92,'[80]Location Status'!$A$7:$D$178,2,0)</f>
        <v>15/5</v>
      </c>
      <c r="AA90" s="295"/>
      <c r="AD90" s="294" t="str">
        <f>VLOOKUP(AD92,'[80]Location Status'!$A$7:$D$178,2,0)</f>
        <v>15/6</v>
      </c>
      <c r="AE90" s="295"/>
      <c r="AH90" s="294" t="str">
        <f>VLOOKUP(AH92,'[80]Location Status'!$A$7:$D$178,2,0)</f>
        <v>15/7</v>
      </c>
      <c r="AI90" s="295"/>
      <c r="AL90" s="294" t="str">
        <f>VLOOKUP(AL92,'[80]Location Status'!$A$7:$D$178,2,0)</f>
        <v>16/0</v>
      </c>
      <c r="AM90" s="295"/>
      <c r="AP90" s="294" t="str">
        <f>VLOOKUP(AP92,'[80]Location Status'!$A$7:$D$178,2,0)</f>
        <v>16/1</v>
      </c>
      <c r="AQ90" s="295"/>
      <c r="AT90" s="145"/>
      <c r="AV90" s="219"/>
      <c r="AW90" s="219"/>
      <c r="BB90" s="183"/>
      <c r="BC90" s="184"/>
      <c r="BD90" s="185"/>
    </row>
    <row r="91" spans="1:56" x14ac:dyDescent="0.35">
      <c r="A91" s="144"/>
      <c r="AT91" s="145"/>
      <c r="AV91" s="219"/>
      <c r="AW91" s="219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99"/>
      <c r="AW92" s="299"/>
    </row>
    <row r="93" spans="1:56" x14ac:dyDescent="0.35">
      <c r="A93" s="144"/>
      <c r="B93" s="182" t="s">
        <v>577</v>
      </c>
      <c r="C93" s="182" t="s">
        <v>578</v>
      </c>
      <c r="D93" s="294">
        <f>VLOOKUP(B92,'[80]Location Status'!$A$7:$D$178,4,0)</f>
        <v>417.392</v>
      </c>
      <c r="E93" s="295"/>
      <c r="F93" s="182" t="s">
        <v>577</v>
      </c>
      <c r="G93" s="182" t="s">
        <v>578</v>
      </c>
      <c r="H93" s="294">
        <f>VLOOKUP(F92,'[80]Location Status'!$A$7:$D$178,4,0)</f>
        <v>482</v>
      </c>
      <c r="I93" s="295"/>
      <c r="J93" s="182" t="s">
        <v>577</v>
      </c>
      <c r="K93" s="182" t="s">
        <v>578</v>
      </c>
      <c r="L93" s="294">
        <f>VLOOKUP(J92,'[80]Location Status'!$A$7:$D$178,4,0)</f>
        <v>357</v>
      </c>
      <c r="M93" s="295"/>
      <c r="N93" s="182" t="s">
        <v>577</v>
      </c>
      <c r="O93" s="182" t="s">
        <v>578</v>
      </c>
      <c r="P93" s="294">
        <f>VLOOKUP(N92,'[80]Location Status'!$A$7:$D$178,4,0)</f>
        <v>401</v>
      </c>
      <c r="Q93" s="295"/>
      <c r="R93" s="182" t="s">
        <v>577</v>
      </c>
      <c r="S93" s="182" t="s">
        <v>578</v>
      </c>
      <c r="T93" s="296">
        <f>VLOOKUP(R92,'[80]Location Status'!$A$7:$D$178,4,0)</f>
        <v>413</v>
      </c>
      <c r="U93" s="305"/>
      <c r="V93" s="182" t="s">
        <v>577</v>
      </c>
      <c r="W93" s="182" t="s">
        <v>578</v>
      </c>
      <c r="X93" s="294">
        <f>VLOOKUP(V92,'[80]Location Status'!$A$7:$D$178,4,0)</f>
        <v>380</v>
      </c>
      <c r="Y93" s="295"/>
      <c r="Z93" s="182" t="s">
        <v>577</v>
      </c>
      <c r="AA93" s="182" t="s">
        <v>578</v>
      </c>
      <c r="AB93" s="294">
        <f>VLOOKUP(Z92,'[80]Location Status'!$A$7:$D$178,4,0)</f>
        <v>364</v>
      </c>
      <c r="AC93" s="295"/>
      <c r="AD93" s="182" t="s">
        <v>577</v>
      </c>
      <c r="AE93" s="182" t="s">
        <v>578</v>
      </c>
      <c r="AF93" s="294">
        <f>VLOOKUP(AD92,'[80]Location Status'!$A$7:$D$178,4,0)</f>
        <v>443</v>
      </c>
      <c r="AG93" s="295"/>
      <c r="AH93" s="182" t="s">
        <v>577</v>
      </c>
      <c r="AI93" s="182" t="s">
        <v>578</v>
      </c>
      <c r="AJ93" s="296">
        <f>VLOOKUP(AH92,'[80]Location Status'!$A$7:$D$178,4,0)</f>
        <v>389.72500000000002</v>
      </c>
      <c r="AK93" s="305"/>
      <c r="AL93" s="182" t="s">
        <v>577</v>
      </c>
      <c r="AM93" s="182" t="s">
        <v>578</v>
      </c>
      <c r="AN93" s="294">
        <f>VLOOKUP(AL92,'[80]Location Status'!$A$7:$D$178,4,0)</f>
        <v>439.99599999999998</v>
      </c>
      <c r="AO93" s="295"/>
      <c r="AP93" s="182" t="s">
        <v>577</v>
      </c>
      <c r="AQ93" s="182" t="s">
        <v>578</v>
      </c>
      <c r="AR93" s="294">
        <f>VLOOKUP(AP92,'[80]Location Status'!$A$7:$D$178,4,0)</f>
        <v>398</v>
      </c>
      <c r="AS93" s="295"/>
      <c r="AT93" s="145"/>
      <c r="AV93" s="219">
        <f>D93+H93+L93+P93+T93+X93+AB93+AF93+AJ93+AN93+AR93</f>
        <v>4485.1129999999994</v>
      </c>
      <c r="AW93" s="219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19"/>
      <c r="AW94" s="219"/>
      <c r="BB94" s="175"/>
      <c r="BC94" s="175"/>
      <c r="BD94" s="175"/>
    </row>
    <row r="95" spans="1:56" x14ac:dyDescent="0.35">
      <c r="A95" s="144"/>
      <c r="B95" s="304" t="s">
        <v>441</v>
      </c>
      <c r="C95" s="304"/>
      <c r="F95" s="304" t="s">
        <v>441</v>
      </c>
      <c r="G95" s="304"/>
      <c r="J95" s="303" t="s">
        <v>596</v>
      </c>
      <c r="K95" s="225"/>
      <c r="N95" s="304" t="s">
        <v>441</v>
      </c>
      <c r="O95" s="304"/>
      <c r="R95" s="304" t="s">
        <v>441</v>
      </c>
      <c r="S95" s="304"/>
      <c r="V95" s="304" t="s">
        <v>441</v>
      </c>
      <c r="W95" s="304"/>
      <c r="Z95" s="304" t="s">
        <v>441</v>
      </c>
      <c r="AA95" s="304"/>
      <c r="AD95" s="304" t="s">
        <v>441</v>
      </c>
      <c r="AE95" s="304"/>
      <c r="AH95" s="304" t="s">
        <v>441</v>
      </c>
      <c r="AI95" s="304"/>
      <c r="AL95" s="304" t="s">
        <v>441</v>
      </c>
      <c r="AM95" s="304"/>
      <c r="AP95" s="304" t="s">
        <v>441</v>
      </c>
      <c r="AQ95" s="304"/>
      <c r="AT95" s="145"/>
      <c r="AV95" s="219"/>
      <c r="AW95" s="219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19"/>
      <c r="AW96" s="219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19"/>
      <c r="AW97" s="219"/>
      <c r="BB97" s="175"/>
      <c r="BC97" s="175"/>
      <c r="BD97" s="175"/>
    </row>
    <row r="98" spans="1:56" x14ac:dyDescent="0.35">
      <c r="A98" s="144"/>
      <c r="B98" s="294" t="str">
        <f>VLOOKUP(B100,'[80]Location Status'!$A$7:$D$178,2,0)</f>
        <v>16/2</v>
      </c>
      <c r="C98" s="295"/>
      <c r="F98" s="294" t="str">
        <f>VLOOKUP(F100,'[80]Location Status'!$A$7:$D$178,2,0)</f>
        <v>16/3</v>
      </c>
      <c r="G98" s="295"/>
      <c r="J98" s="294" t="str">
        <f>VLOOKUP(J100,'[80]Location Status'!$A$7:$D$178,2,0)</f>
        <v>16/4</v>
      </c>
      <c r="K98" s="295"/>
      <c r="N98" s="294" t="str">
        <f>VLOOKUP(N100,'[80]Location Status'!$A$7:$D$178,2,0)</f>
        <v>16/5</v>
      </c>
      <c r="O98" s="295"/>
      <c r="R98" s="294" t="str">
        <f>VLOOKUP(R100,'[80]Location Status'!$A$7:$D$178,2,0)</f>
        <v>16/6</v>
      </c>
      <c r="S98" s="295"/>
      <c r="V98" s="294" t="str">
        <f>VLOOKUP(V100,'[80]Location Status'!$A$7:$D$178,2,0)</f>
        <v>17/0</v>
      </c>
      <c r="W98" s="295"/>
      <c r="Z98" s="294" t="str">
        <f>VLOOKUP(Z100,'[80]Location Status'!$A$7:$D$178,2,0)</f>
        <v>17/1</v>
      </c>
      <c r="AA98" s="295"/>
      <c r="AD98" s="294" t="str">
        <f>VLOOKUP(AD100,'[80]Location Status'!$A$7:$D$178,2,0)</f>
        <v>17/2</v>
      </c>
      <c r="AE98" s="295"/>
      <c r="AH98" s="294" t="str">
        <f>VLOOKUP(AH100,'[80]Location Status'!$A$7:$D$178,2,0)</f>
        <v>17/3</v>
      </c>
      <c r="AI98" s="295"/>
      <c r="AL98" s="294" t="str">
        <f>VLOOKUP(AL100,'[80]Location Status'!$A$7:$D$178,2,0)</f>
        <v>17/4</v>
      </c>
      <c r="AM98" s="295"/>
      <c r="AP98" s="294" t="str">
        <f>VLOOKUP(AP100,'[80]Location Status'!$A$7:$D$178,2,0)</f>
        <v>17/5</v>
      </c>
      <c r="AQ98" s="295"/>
      <c r="AT98" s="145"/>
      <c r="AV98" s="219"/>
      <c r="AW98" s="219"/>
      <c r="BB98" s="175"/>
      <c r="BC98" s="175"/>
      <c r="BD98" s="175"/>
    </row>
    <row r="99" spans="1:56" x14ac:dyDescent="0.35">
      <c r="A99" s="144"/>
      <c r="AT99" s="145"/>
      <c r="AV99" s="219"/>
      <c r="AW99" s="219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99"/>
      <c r="AW100" s="299"/>
    </row>
    <row r="101" spans="1:56" x14ac:dyDescent="0.35">
      <c r="A101" s="144"/>
      <c r="B101" s="182" t="s">
        <v>577</v>
      </c>
      <c r="C101" s="182" t="s">
        <v>578</v>
      </c>
      <c r="D101" s="296">
        <f>VLOOKUP(B100,'[80]Location Status'!$A$7:$D$178,4,0)</f>
        <v>408</v>
      </c>
      <c r="E101" s="305"/>
      <c r="F101" s="182" t="s">
        <v>577</v>
      </c>
      <c r="G101" s="182" t="s">
        <v>578</v>
      </c>
      <c r="H101" s="294">
        <f>VLOOKUP(F100,'[80]Location Status'!$A$7:$D$178,4,0)</f>
        <v>481</v>
      </c>
      <c r="I101" s="295"/>
      <c r="J101" s="182" t="s">
        <v>577</v>
      </c>
      <c r="K101" s="182" t="s">
        <v>578</v>
      </c>
      <c r="L101" s="294">
        <f>VLOOKUP(J100,'[80]Location Status'!$A$7:$D$178,4,0)</f>
        <v>346</v>
      </c>
      <c r="M101" s="295"/>
      <c r="N101" s="182" t="s">
        <v>577</v>
      </c>
      <c r="O101" s="182" t="s">
        <v>578</v>
      </c>
      <c r="P101" s="294">
        <f>VLOOKUP(N100,'[80]Location Status'!$A$7:$D$178,4,0)</f>
        <v>291</v>
      </c>
      <c r="Q101" s="295"/>
      <c r="R101" s="182" t="s">
        <v>577</v>
      </c>
      <c r="S101" s="182" t="s">
        <v>578</v>
      </c>
      <c r="T101" s="296">
        <f>VLOOKUP(R100,'[80]Location Status'!$A$7:$D$178,4,0)</f>
        <v>348.60399999999998</v>
      </c>
      <c r="U101" s="305"/>
      <c r="V101" s="182" t="s">
        <v>577</v>
      </c>
      <c r="W101" s="182" t="s">
        <v>578</v>
      </c>
      <c r="X101" s="294">
        <f>VLOOKUP(V100,'[80]Location Status'!$A$7:$D$178,4,0)</f>
        <v>399.99599999999998</v>
      </c>
      <c r="Y101" s="295"/>
      <c r="Z101" s="182" t="s">
        <v>577</v>
      </c>
      <c r="AA101" s="182" t="s">
        <v>578</v>
      </c>
      <c r="AB101" s="294">
        <f>VLOOKUP(Z100,'[80]Location Status'!$A$7:$D$178,4,0)</f>
        <v>408</v>
      </c>
      <c r="AC101" s="295"/>
      <c r="AD101" s="182" t="s">
        <v>577</v>
      </c>
      <c r="AE101" s="182" t="s">
        <v>578</v>
      </c>
      <c r="AF101" s="294">
        <f>VLOOKUP(AD100,'[80]Location Status'!$A$7:$D$178,4,0)</f>
        <v>418</v>
      </c>
      <c r="AG101" s="295"/>
      <c r="AH101" s="182" t="s">
        <v>577</v>
      </c>
      <c r="AI101" s="182" t="s">
        <v>578</v>
      </c>
      <c r="AJ101" s="294">
        <f>VLOOKUP(AH100,'[80]Location Status'!$A$7:$D$178,4,0)</f>
        <v>421</v>
      </c>
      <c r="AK101" s="295"/>
      <c r="AL101" s="182" t="s">
        <v>577</v>
      </c>
      <c r="AM101" s="182" t="s">
        <v>578</v>
      </c>
      <c r="AN101" s="294">
        <f>VLOOKUP(AL100,'[80]Location Status'!$A$7:$D$178,4,0)</f>
        <v>503</v>
      </c>
      <c r="AO101" s="295"/>
      <c r="AP101" s="182" t="s">
        <v>577</v>
      </c>
      <c r="AQ101" s="182" t="s">
        <v>578</v>
      </c>
      <c r="AR101" s="296">
        <f>VLOOKUP(AP100,'[80]Location Status'!$A$7:$D$178,4,0)</f>
        <v>321</v>
      </c>
      <c r="AS101" s="305"/>
      <c r="AT101" s="145"/>
      <c r="AV101" s="219">
        <f>D101+H101+L101+P101+T101+X101+AB101+AF101+AJ101+AN101+AR101</f>
        <v>4345.6000000000004</v>
      </c>
      <c r="AW101" s="219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19"/>
      <c r="AW102" s="219"/>
      <c r="BB102" s="175"/>
      <c r="BC102" s="175"/>
      <c r="BD102" s="175"/>
    </row>
    <row r="103" spans="1:56" x14ac:dyDescent="0.35">
      <c r="A103" s="144"/>
      <c r="B103" s="304" t="s">
        <v>441</v>
      </c>
      <c r="C103" s="304"/>
      <c r="F103" s="304" t="s">
        <v>441</v>
      </c>
      <c r="G103" s="304"/>
      <c r="J103" s="304" t="s">
        <v>441</v>
      </c>
      <c r="K103" s="304"/>
      <c r="N103" s="304" t="s">
        <v>441</v>
      </c>
      <c r="O103" s="304"/>
      <c r="R103" s="304" t="s">
        <v>441</v>
      </c>
      <c r="S103" s="304"/>
      <c r="V103" s="304" t="s">
        <v>441</v>
      </c>
      <c r="W103" s="304"/>
      <c r="Z103" s="304" t="s">
        <v>441</v>
      </c>
      <c r="AA103" s="304"/>
      <c r="AD103" s="304" t="s">
        <v>441</v>
      </c>
      <c r="AE103" s="304"/>
      <c r="AH103" s="303" t="s">
        <v>596</v>
      </c>
      <c r="AI103" s="225"/>
      <c r="AL103" s="303" t="s">
        <v>596</v>
      </c>
      <c r="AM103" s="225"/>
      <c r="AP103" s="304" t="s">
        <v>441</v>
      </c>
      <c r="AQ103" s="304"/>
      <c r="AT103" s="145"/>
      <c r="AV103" s="219"/>
      <c r="AW103" s="219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19"/>
      <c r="AW104" s="219"/>
      <c r="BB104" s="184"/>
      <c r="BC104" s="184"/>
      <c r="BD104" s="185"/>
    </row>
    <row r="105" spans="1:56" x14ac:dyDescent="0.35">
      <c r="A105" s="144"/>
      <c r="R105" s="189"/>
      <c r="AT105" s="145"/>
      <c r="AV105" s="219"/>
      <c r="AW105" s="219"/>
    </row>
    <row r="106" spans="1:56" x14ac:dyDescent="0.35">
      <c r="A106" s="144"/>
      <c r="B106" s="294" t="str">
        <f>VLOOKUP(B108,'[80]Location Status'!$A$7:$D$178,2,0)</f>
        <v>17/6</v>
      </c>
      <c r="C106" s="295"/>
      <c r="F106" s="294" t="str">
        <f>VLOOKUP(F108,'[80]Location Status'!$A$7:$D$178,2,0)</f>
        <v>17/7</v>
      </c>
      <c r="G106" s="295"/>
      <c r="J106" s="294" t="str">
        <f>VLOOKUP(J108,'[80]Location Status'!$A$7:$D$178,2,0)</f>
        <v>17/8</v>
      </c>
      <c r="K106" s="295"/>
      <c r="N106" s="294" t="str">
        <f>VLOOKUP(N108,'[80]Location Status'!$A$7:$D$178,2,0)</f>
        <v>17/9</v>
      </c>
      <c r="O106" s="295"/>
      <c r="R106" s="294" t="str">
        <f>VLOOKUP(R108,'[80]Location Status'!$A$7:$D$178,2,0)</f>
        <v>18/0</v>
      </c>
      <c r="S106" s="295"/>
      <c r="V106" s="294" t="str">
        <f>VLOOKUP(V108,'[80]Location Status'!$A$7:$D$178,2,0)</f>
        <v>18/1</v>
      </c>
      <c r="W106" s="295"/>
      <c r="Z106" s="294" t="str">
        <f>VLOOKUP(Z108,'[80]Location Status'!$A$7:$D$178,2,0)</f>
        <v>18/2</v>
      </c>
      <c r="AA106" s="295"/>
      <c r="AD106" s="294" t="str">
        <f>VLOOKUP(AD108,'[80]Location Status'!$A$7:$D$178,2,0)</f>
        <v>18/3</v>
      </c>
      <c r="AE106" s="295"/>
      <c r="AH106" s="294" t="str">
        <f>VLOOKUP(AH108,'[80]Location Status'!$A$7:$D$178,2,0)</f>
        <v>18/4</v>
      </c>
      <c r="AI106" s="295"/>
      <c r="AL106" s="294" t="str">
        <f>VLOOKUP(AL108,'[80]Location Status'!$A$7:$D$178,2,0)</f>
        <v>18/5</v>
      </c>
      <c r="AM106" s="295"/>
      <c r="AP106" s="294" t="str">
        <f>VLOOKUP(AP108,'[80]Location Status'!$A$7:$D$178,2,0)</f>
        <v>18/6</v>
      </c>
      <c r="AQ106" s="295"/>
      <c r="AT106" s="145"/>
      <c r="AV106" s="219"/>
      <c r="AW106" s="219"/>
      <c r="BB106" s="183"/>
      <c r="BC106" s="184"/>
      <c r="BD106" s="185"/>
    </row>
    <row r="107" spans="1:56" x14ac:dyDescent="0.35">
      <c r="A107" s="144"/>
      <c r="AT107" s="145"/>
      <c r="AV107" s="219"/>
      <c r="AW107" s="219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99"/>
      <c r="AW108" s="299"/>
    </row>
    <row r="109" spans="1:56" x14ac:dyDescent="0.35">
      <c r="A109" s="144"/>
      <c r="B109" s="182" t="s">
        <v>577</v>
      </c>
      <c r="C109" s="182" t="s">
        <v>578</v>
      </c>
      <c r="D109" s="294">
        <f>VLOOKUP(B108,'[80]Location Status'!$A$7:$D$178,4,0)</f>
        <v>389</v>
      </c>
      <c r="E109" s="295"/>
      <c r="F109" s="182" t="s">
        <v>577</v>
      </c>
      <c r="G109" s="182" t="s">
        <v>578</v>
      </c>
      <c r="H109" s="294">
        <f>VLOOKUP(F108,'[80]Location Status'!$A$7:$D$178,4,0)</f>
        <v>448</v>
      </c>
      <c r="I109" s="295"/>
      <c r="J109" s="182" t="s">
        <v>577</v>
      </c>
      <c r="K109" s="182" t="s">
        <v>578</v>
      </c>
      <c r="L109" s="294">
        <f>VLOOKUP(J108,'[80]Location Status'!$A$7:$D$178,4,0)</f>
        <v>304</v>
      </c>
      <c r="M109" s="295"/>
      <c r="N109" s="182" t="s">
        <v>577</v>
      </c>
      <c r="O109" s="182" t="s">
        <v>578</v>
      </c>
      <c r="P109" s="296">
        <f>VLOOKUP(N108,'[80]Location Status'!$A$7:$D$178,4,0)</f>
        <v>339.22800000000001</v>
      </c>
      <c r="Q109" s="305"/>
      <c r="R109" s="182" t="s">
        <v>577</v>
      </c>
      <c r="S109" s="182" t="s">
        <v>578</v>
      </c>
      <c r="T109" s="294">
        <f>VLOOKUP(R108,'[80]Location Status'!$A$7:$D$178,4,0)</f>
        <v>503.00200000000001</v>
      </c>
      <c r="U109" s="295"/>
      <c r="V109" s="182" t="s">
        <v>577</v>
      </c>
      <c r="W109" s="182" t="s">
        <v>578</v>
      </c>
      <c r="X109" s="294">
        <f>VLOOKUP(V108,'[80]Location Status'!$A$7:$D$178,4,0)</f>
        <v>433</v>
      </c>
      <c r="Y109" s="295"/>
      <c r="Z109" s="182" t="s">
        <v>577</v>
      </c>
      <c r="AA109" s="182" t="s">
        <v>578</v>
      </c>
      <c r="AB109" s="294">
        <f>VLOOKUP(Z108,'[80]Location Status'!$A$7:$D$178,4,0)</f>
        <v>405</v>
      </c>
      <c r="AC109" s="295"/>
      <c r="AD109" s="182" t="s">
        <v>577</v>
      </c>
      <c r="AE109" s="182" t="s">
        <v>578</v>
      </c>
      <c r="AF109" s="294">
        <f>VLOOKUP(AD108,'[80]Location Status'!$A$7:$D$178,4,0)</f>
        <v>418</v>
      </c>
      <c r="AG109" s="295"/>
      <c r="AH109" s="182" t="s">
        <v>577</v>
      </c>
      <c r="AI109" s="182" t="s">
        <v>578</v>
      </c>
      <c r="AJ109" s="296">
        <f>VLOOKUP(AH108,'[80]Location Status'!$A$7:$D$178,4,0)</f>
        <v>344</v>
      </c>
      <c r="AK109" s="305"/>
      <c r="AL109" s="182" t="s">
        <v>577</v>
      </c>
      <c r="AM109" s="182" t="s">
        <v>578</v>
      </c>
      <c r="AN109" s="294">
        <f>VLOOKUP(AL108,'[80]Location Status'!$A$7:$D$178,4,0)</f>
        <v>417</v>
      </c>
      <c r="AO109" s="295"/>
      <c r="AP109" s="182" t="s">
        <v>577</v>
      </c>
      <c r="AQ109" s="182" t="s">
        <v>578</v>
      </c>
      <c r="AR109" s="294">
        <f>VLOOKUP(AP108,'[80]Location Status'!$A$7:$D$178,4,0)</f>
        <v>384</v>
      </c>
      <c r="AS109" s="295"/>
      <c r="AT109" s="145"/>
      <c r="AV109" s="219">
        <f>D109+H109+L109+P109+T109+X109+AB109+AF109+AJ109+AN109+AR109</f>
        <v>4384.2299999999996</v>
      </c>
      <c r="AW109" s="219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19"/>
      <c r="AW110" s="219"/>
    </row>
    <row r="111" spans="1:56" x14ac:dyDescent="0.35">
      <c r="A111" s="144"/>
      <c r="B111" s="304" t="s">
        <v>441</v>
      </c>
      <c r="C111" s="304"/>
      <c r="F111" s="303" t="s">
        <v>596</v>
      </c>
      <c r="G111" s="225"/>
      <c r="J111" s="303" t="s">
        <v>596</v>
      </c>
      <c r="K111" s="225"/>
      <c r="N111" s="303" t="s">
        <v>596</v>
      </c>
      <c r="O111" s="225"/>
      <c r="R111" s="303" t="s">
        <v>596</v>
      </c>
      <c r="S111" s="225"/>
      <c r="V111" s="303" t="s">
        <v>596</v>
      </c>
      <c r="W111" s="225"/>
      <c r="Z111" s="304" t="s">
        <v>441</v>
      </c>
      <c r="AA111" s="304"/>
      <c r="AD111" s="304" t="s">
        <v>441</v>
      </c>
      <c r="AE111" s="304"/>
      <c r="AH111" s="304" t="s">
        <v>441</v>
      </c>
      <c r="AI111" s="304"/>
      <c r="AL111" s="304" t="s">
        <v>441</v>
      </c>
      <c r="AM111" s="304"/>
      <c r="AP111" s="304" t="s">
        <v>441</v>
      </c>
      <c r="AQ111" s="304"/>
      <c r="AT111" s="145"/>
      <c r="AV111" s="219"/>
      <c r="AW111" s="219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19"/>
      <c r="AW112" s="219"/>
      <c r="BB112" s="184"/>
      <c r="BC112" s="184"/>
      <c r="BD112" s="185"/>
    </row>
    <row r="113" spans="1:56" x14ac:dyDescent="0.35">
      <c r="A113" s="144"/>
      <c r="B113" s="180"/>
      <c r="C113" s="180"/>
      <c r="F113" s="180"/>
      <c r="G113" s="180"/>
      <c r="J113" s="180"/>
      <c r="K113" s="180"/>
      <c r="N113" s="180"/>
      <c r="O113" s="180"/>
      <c r="R113" s="180"/>
      <c r="S113" s="180"/>
      <c r="V113" s="180"/>
      <c r="W113" s="180"/>
      <c r="Z113" s="180"/>
      <c r="AA113" s="180"/>
      <c r="AD113" s="180"/>
      <c r="AE113" s="180"/>
      <c r="AH113" s="180"/>
      <c r="AI113" s="180"/>
      <c r="AL113" s="180"/>
      <c r="AM113" s="180"/>
      <c r="AP113" s="180"/>
      <c r="AQ113" s="180"/>
      <c r="AT113" s="145"/>
      <c r="AV113" s="158"/>
      <c r="AW113" s="158"/>
      <c r="BB113" s="184"/>
      <c r="BC113" s="184"/>
      <c r="BD113" s="185"/>
    </row>
    <row r="114" spans="1:56" x14ac:dyDescent="0.35">
      <c r="A114" s="144"/>
      <c r="R114" s="188" t="s">
        <v>464</v>
      </c>
      <c r="S114" s="188"/>
      <c r="AT114" s="145"/>
      <c r="AV114" s="219"/>
      <c r="AW114" s="219"/>
    </row>
    <row r="115" spans="1:56" x14ac:dyDescent="0.35">
      <c r="A115" s="144"/>
      <c r="B115" s="294" t="str">
        <f>VLOOKUP(B117,'[80]Location Status'!$A$7:$D$178,2,0)</f>
        <v>18/7</v>
      </c>
      <c r="C115" s="295"/>
      <c r="F115" s="294" t="str">
        <f>VLOOKUP(F117,'[80]Location Status'!$A$7:$D$178,2,0)</f>
        <v>18/8</v>
      </c>
      <c r="G115" s="295"/>
      <c r="J115" s="294" t="str">
        <f>VLOOKUP(J117,'[80]Location Status'!$A$7:$D$178,2,0)</f>
        <v>19/0</v>
      </c>
      <c r="K115" s="295"/>
      <c r="N115" s="294" t="str">
        <f>VLOOKUP(N117,'[80]Location Status'!$A$7:$D$178,2,0)</f>
        <v>19/1</v>
      </c>
      <c r="O115" s="295"/>
      <c r="R115" s="294" t="str">
        <f>VLOOKUP(R117,'[80]Location Status'!$A$7:$D$178,2,0)</f>
        <v>19/2</v>
      </c>
      <c r="S115" s="295"/>
      <c r="V115" s="294" t="str">
        <f>VLOOKUP(V116,'[80]Location Status'!$A$7:$D$178,2,0)</f>
        <v>19/3</v>
      </c>
      <c r="W115" s="295"/>
      <c r="Z115" s="172" t="str">
        <f>VLOOKUP(Z117,'[80]Location Status'!$A$7:$D$178,2,0)</f>
        <v>20/0</v>
      </c>
      <c r="AA115" s="171"/>
      <c r="AD115" s="294" t="str">
        <f>VLOOKUP(AD117,'[80]Location Status'!$A$7:$D$178,2,0)</f>
        <v>21/0</v>
      </c>
      <c r="AE115" s="295"/>
      <c r="AH115" s="294" t="str">
        <f>VLOOKUP(AH117,'[80]Location Status'!$A$7:$D$178,2,0)</f>
        <v>21/1</v>
      </c>
      <c r="AI115" s="295"/>
      <c r="AL115" s="294" t="str">
        <f>VLOOKUP(AL117,'[80]Location Status'!$A$7:$D$178,2,0)</f>
        <v>21/2</v>
      </c>
      <c r="AM115" s="295"/>
      <c r="AP115" s="294" t="str">
        <f>VLOOKUP(AP117,'[80]Location Status'!$A$7:$D$178,2,0)</f>
        <v>21/3</v>
      </c>
      <c r="AQ115" s="295"/>
      <c r="AT115" s="145"/>
      <c r="AV115" s="219"/>
      <c r="AW115" s="219"/>
      <c r="BB115" s="183"/>
      <c r="BC115" s="184"/>
      <c r="BD115" s="185"/>
    </row>
    <row r="116" spans="1:56" x14ac:dyDescent="0.35">
      <c r="A116" s="144"/>
      <c r="V116" s="175">
        <f>R117+1</f>
        <v>112</v>
      </c>
      <c r="AT116" s="145"/>
      <c r="AV116" s="219"/>
      <c r="AW116" s="219"/>
    </row>
    <row r="117" spans="1:56" s="175" customFormat="1" ht="12.5" x14ac:dyDescent="0.25">
      <c r="A117" s="174"/>
      <c r="B117" s="175">
        <f>1+AP108</f>
        <v>107</v>
      </c>
      <c r="F117" s="175">
        <f>1+B117</f>
        <v>108</v>
      </c>
      <c r="J117" s="175">
        <f>1+F117</f>
        <v>109</v>
      </c>
      <c r="N117" s="175">
        <f>1+J117</f>
        <v>110</v>
      </c>
      <c r="R117" s="175">
        <f>1+N117</f>
        <v>111</v>
      </c>
      <c r="V117" s="175">
        <f>1+R117</f>
        <v>112</v>
      </c>
      <c r="Z117" s="175">
        <f>1+V117</f>
        <v>113</v>
      </c>
      <c r="AD117" s="175">
        <f>1+Z117</f>
        <v>114</v>
      </c>
      <c r="AH117" s="175">
        <f>1+AD117</f>
        <v>115</v>
      </c>
      <c r="AL117" s="175">
        <f>1+AH117</f>
        <v>116</v>
      </c>
      <c r="AP117" s="175">
        <f>1+AL117</f>
        <v>117</v>
      </c>
      <c r="AT117" s="176"/>
      <c r="AV117" s="299"/>
      <c r="AW117" s="299"/>
    </row>
    <row r="118" spans="1:56" x14ac:dyDescent="0.35">
      <c r="A118" s="144"/>
      <c r="B118" s="182" t="s">
        <v>577</v>
      </c>
      <c r="C118" s="182" t="s">
        <v>578</v>
      </c>
      <c r="D118" s="294">
        <f>VLOOKUP(B117,'[80]Location Status'!$A$7:$D$178,4,0)</f>
        <v>326</v>
      </c>
      <c r="E118" s="295"/>
      <c r="F118" s="182" t="s">
        <v>577</v>
      </c>
      <c r="G118" s="182" t="s">
        <v>578</v>
      </c>
      <c r="H118" s="296">
        <f>VLOOKUP(F117,'[80]Location Status'!$A$7:$D$178,4,0)</f>
        <v>298.20600000000002</v>
      </c>
      <c r="I118" s="305"/>
      <c r="J118" s="182" t="s">
        <v>577</v>
      </c>
      <c r="K118" s="182" t="s">
        <v>578</v>
      </c>
      <c r="L118" s="296">
        <f>VLOOKUP(J117,'[80]Location Status'!$A$7:$D$178,4,0)</f>
        <v>415.00400000000002</v>
      </c>
      <c r="M118" s="305"/>
      <c r="N118" s="182" t="s">
        <v>577</v>
      </c>
      <c r="O118" s="182" t="s">
        <v>578</v>
      </c>
      <c r="P118" s="294">
        <f>VLOOKUP(N117,'[80]Location Status'!$A$7:$D$178,4,0)</f>
        <v>395</v>
      </c>
      <c r="Q118" s="295"/>
      <c r="R118" s="182" t="s">
        <v>577</v>
      </c>
      <c r="S118" s="182" t="s">
        <v>578</v>
      </c>
      <c r="T118" s="294">
        <f>VLOOKUP(R117,'[80]Location Status'!$A$7:$D$178,4,0)</f>
        <v>404</v>
      </c>
      <c r="U118" s="295"/>
      <c r="V118" s="182" t="s">
        <v>577</v>
      </c>
      <c r="W118" s="182" t="s">
        <v>578</v>
      </c>
      <c r="X118" s="296">
        <f>VLOOKUP(V116,'[80]Location Status'!$A$7:$D$178,4,0)</f>
        <v>359.55599999999998</v>
      </c>
      <c r="Y118" s="305"/>
      <c r="Z118" s="182" t="s">
        <v>577</v>
      </c>
      <c r="AA118" s="182" t="s">
        <v>578</v>
      </c>
      <c r="AB118" s="296">
        <f>VLOOKUP(Z117,'[80]Location Status'!$A$7:$D$178,4,0)</f>
        <v>460.68400000000003</v>
      </c>
      <c r="AC118" s="305"/>
      <c r="AD118" s="182" t="s">
        <v>577</v>
      </c>
      <c r="AE118" s="182" t="s">
        <v>578</v>
      </c>
      <c r="AF118" s="294">
        <f>VLOOKUP(AD117,'[80]Location Status'!$A$7:$D$178,4,0)</f>
        <v>431</v>
      </c>
      <c r="AG118" s="295"/>
      <c r="AH118" s="182" t="s">
        <v>577</v>
      </c>
      <c r="AI118" s="182" t="s">
        <v>578</v>
      </c>
      <c r="AJ118" s="296">
        <f>VLOOKUP(AH117,'[80]Location Status'!$A$7:$D$178,4,0)</f>
        <v>409</v>
      </c>
      <c r="AK118" s="305"/>
      <c r="AL118" s="182" t="s">
        <v>577</v>
      </c>
      <c r="AM118" s="182" t="s">
        <v>578</v>
      </c>
      <c r="AN118" s="294">
        <f>VLOOKUP(AL117,'[80]Location Status'!$A$7:$D$178,4,0)</f>
        <v>359</v>
      </c>
      <c r="AO118" s="295"/>
      <c r="AP118" s="182" t="s">
        <v>577</v>
      </c>
      <c r="AQ118" s="182" t="s">
        <v>578</v>
      </c>
      <c r="AR118" s="294">
        <f>VLOOKUP(AP117,'[80]Location Status'!$A$7:$D$178,4,0)</f>
        <v>414</v>
      </c>
      <c r="AS118" s="295"/>
      <c r="AT118" s="145"/>
      <c r="AV118" s="219">
        <f>D118+H118+L118+P118+T118+X118+AB118+AF118+AJ118+AN118+AR118</f>
        <v>4271.4500000000007</v>
      </c>
      <c r="AW118" s="219"/>
      <c r="AY118">
        <v>11</v>
      </c>
      <c r="BB118" s="184"/>
      <c r="BC118" s="184"/>
      <c r="BD118" s="185"/>
    </row>
    <row r="119" spans="1:56" x14ac:dyDescent="0.35">
      <c r="A119" s="144"/>
      <c r="B119" s="156" t="s">
        <v>581</v>
      </c>
      <c r="C119" s="156" t="s">
        <v>582</v>
      </c>
      <c r="F119" s="156" t="s">
        <v>581</v>
      </c>
      <c r="G119" s="156" t="s">
        <v>582</v>
      </c>
      <c r="J119" s="156" t="s">
        <v>581</v>
      </c>
      <c r="K119" s="156" t="s">
        <v>582</v>
      </c>
      <c r="N119" s="156" t="s">
        <v>581</v>
      </c>
      <c r="O119" s="156" t="s">
        <v>582</v>
      </c>
      <c r="R119" s="156" t="s">
        <v>581</v>
      </c>
      <c r="S119" s="156" t="s">
        <v>582</v>
      </c>
      <c r="V119" s="156" t="s">
        <v>581</v>
      </c>
      <c r="W119" s="156" t="s">
        <v>582</v>
      </c>
      <c r="Z119" s="156" t="s">
        <v>581</v>
      </c>
      <c r="AA119" s="156" t="s">
        <v>582</v>
      </c>
      <c r="AD119" s="156" t="s">
        <v>581</v>
      </c>
      <c r="AE119" s="156" t="s">
        <v>582</v>
      </c>
      <c r="AH119" s="156" t="s">
        <v>581</v>
      </c>
      <c r="AI119" s="156" t="s">
        <v>582</v>
      </c>
      <c r="AL119" s="156" t="s">
        <v>581</v>
      </c>
      <c r="AM119" s="156" t="s">
        <v>582</v>
      </c>
      <c r="AP119" s="156" t="s">
        <v>581</v>
      </c>
      <c r="AQ119" s="156" t="s">
        <v>582</v>
      </c>
      <c r="AT119" s="145"/>
      <c r="AV119" s="219"/>
      <c r="AW119" s="219"/>
    </row>
    <row r="120" spans="1:56" x14ac:dyDescent="0.35">
      <c r="A120" s="144"/>
      <c r="B120" s="304" t="s">
        <v>441</v>
      </c>
      <c r="C120" s="304"/>
      <c r="F120" s="304" t="s">
        <v>441</v>
      </c>
      <c r="G120" s="304"/>
      <c r="J120" s="304" t="s">
        <v>441</v>
      </c>
      <c r="K120" s="304"/>
      <c r="N120" s="303" t="s">
        <v>596</v>
      </c>
      <c r="O120" s="225"/>
      <c r="R120" s="304" t="s">
        <v>441</v>
      </c>
      <c r="S120" s="304"/>
      <c r="V120" s="304" t="s">
        <v>441</v>
      </c>
      <c r="W120" s="304"/>
      <c r="Z120" s="226" t="s">
        <v>441</v>
      </c>
      <c r="AA120" s="226"/>
      <c r="AD120" s="304" t="s">
        <v>441</v>
      </c>
      <c r="AE120" s="304"/>
      <c r="AH120" s="304" t="s">
        <v>441</v>
      </c>
      <c r="AI120" s="304"/>
      <c r="AL120" s="304" t="s">
        <v>441</v>
      </c>
      <c r="AM120" s="304"/>
      <c r="AP120" s="304" t="s">
        <v>441</v>
      </c>
      <c r="AQ120" s="304"/>
      <c r="AT120" s="145"/>
      <c r="AV120" s="219"/>
      <c r="AW120" s="219"/>
    </row>
    <row r="121" spans="1:56" x14ac:dyDescent="0.35">
      <c r="A121" s="144"/>
      <c r="B121" s="180" t="str">
        <f>VLOOKUP(B117,'[80]Location Status'!$A$7:$D$178,3,0)</f>
        <v>DA-1.5</v>
      </c>
      <c r="C121" s="180"/>
      <c r="F121" s="180" t="str">
        <f>VLOOKUP(F117,'[80]Location Status'!$A$7:$D$178,3,0)</f>
        <v>DA-3</v>
      </c>
      <c r="G121" s="180"/>
      <c r="J121" s="180" t="str">
        <f>VLOOKUP(J117,'[80]Location Status'!$A$7:$D$178,3,0)</f>
        <v>DD45+0</v>
      </c>
      <c r="K121" s="180"/>
      <c r="N121" s="180" t="str">
        <f>VLOOKUP(N117,'[80]Location Status'!$A$7:$D$178,3,0)</f>
        <v>DA+3</v>
      </c>
      <c r="O121" s="180"/>
      <c r="R121" s="180" t="str">
        <f>VLOOKUP(R117,'[80]Location Status'!$A$7:$D$178,3,0)</f>
        <v>DA+3</v>
      </c>
      <c r="S121" s="180"/>
      <c r="V121" s="180" t="str">
        <f>VLOOKUP(V116,'[80]Location Status'!$A$7:$D$178,3,0)</f>
        <v>DA+0</v>
      </c>
      <c r="W121" s="180"/>
      <c r="Z121" s="180" t="str">
        <f>VLOOKUP(Z117,'[80]Location Status'!$A$7:$D$178,3,0)</f>
        <v>DD45+6</v>
      </c>
      <c r="AA121" s="180"/>
      <c r="AD121" s="180" t="str">
        <f>VLOOKUP(AD117,'[80]Location Status'!$A$7:$D$178,3,0)</f>
        <v>DB2+6</v>
      </c>
      <c r="AE121" s="180"/>
      <c r="AH121" s="180" t="str">
        <f>VLOOKUP(AH117,'[80]Location Status'!$A$7:$D$178,3,0)</f>
        <v>DA+0</v>
      </c>
      <c r="AI121" s="180"/>
      <c r="AL121" s="180" t="str">
        <f>VLOOKUP(AL117,'[80]Location Status'!$A$7:$D$178,3,0)</f>
        <v>DA+3</v>
      </c>
      <c r="AM121" s="180"/>
      <c r="AP121" s="180" t="str">
        <f>VLOOKUP(AP117,'[80]Location Status'!$A$7:$D$178,3,0)</f>
        <v>DC1+0(T)</v>
      </c>
      <c r="AQ121" s="180"/>
      <c r="AT121" s="145"/>
      <c r="AV121" s="219"/>
      <c r="AW121" s="219"/>
      <c r="BB121" s="184"/>
      <c r="BC121" s="184"/>
      <c r="BD121" s="185"/>
    </row>
    <row r="122" spans="1:56" x14ac:dyDescent="0.35">
      <c r="A122" s="144"/>
      <c r="B122" s="158"/>
      <c r="C122" s="158"/>
      <c r="F122" s="158"/>
      <c r="G122" s="158"/>
      <c r="J122" s="158"/>
      <c r="K122" s="158"/>
      <c r="N122" s="158"/>
      <c r="O122" s="158"/>
      <c r="R122" s="158"/>
      <c r="S122" s="158"/>
      <c r="T122" s="179"/>
      <c r="V122" s="158"/>
      <c r="W122" s="158"/>
      <c r="AD122" s="158"/>
      <c r="AE122" s="158"/>
      <c r="AH122" s="158"/>
      <c r="AI122" s="158"/>
      <c r="AL122" s="158"/>
      <c r="AM122" s="158"/>
      <c r="AP122" s="187" t="s">
        <v>599</v>
      </c>
      <c r="AQ122" s="158"/>
      <c r="AT122" s="145"/>
      <c r="AV122" s="219"/>
      <c r="AW122" s="219"/>
    </row>
    <row r="123" spans="1:56" x14ac:dyDescent="0.35">
      <c r="A123" s="144"/>
      <c r="AT123" s="145"/>
      <c r="AV123" s="219"/>
      <c r="AW123" s="219"/>
    </row>
    <row r="124" spans="1:56" x14ac:dyDescent="0.35">
      <c r="A124" s="144"/>
      <c r="B124" s="294" t="str">
        <f>VLOOKUP(B126,'[80]Location Status'!$A$7:$D$178,2,0)</f>
        <v>21/4</v>
      </c>
      <c r="C124" s="295"/>
      <c r="F124" s="294" t="str">
        <f>VLOOKUP(F126,'[80]Location Status'!$A$7:$D$178,2,0)</f>
        <v>21/5</v>
      </c>
      <c r="G124" s="295"/>
      <c r="J124" s="294" t="str">
        <f>VLOOKUP(J126,'[80]Location Status'!$A$7:$D$178,2,0)</f>
        <v>22/0</v>
      </c>
      <c r="K124" s="295"/>
      <c r="N124" s="294" t="str">
        <f>VLOOKUP(N126,'[80]Location Status'!$A$7:$D$178,2,0)</f>
        <v>22/1</v>
      </c>
      <c r="O124" s="295"/>
      <c r="R124" s="294" t="str">
        <f>VLOOKUP(R126,'[80]Location Status'!$A$7:$D$178,2,0)</f>
        <v>22/2</v>
      </c>
      <c r="S124" s="295"/>
      <c r="V124" s="294" t="str">
        <f>VLOOKUP(V126,'[80]Location Status'!$A$7:$D$178,2,0)</f>
        <v>22/3</v>
      </c>
      <c r="W124" s="295"/>
      <c r="Z124" s="294" t="str">
        <f>VLOOKUP(Z126,'[80]Location Status'!$A$7:$D$178,2,0)</f>
        <v>22/4</v>
      </c>
      <c r="AA124" s="295"/>
      <c r="AD124" s="294" t="str">
        <f>VLOOKUP(AD126,'[80]Location Status'!$A$7:$D$178,2,0)</f>
        <v>23/0</v>
      </c>
      <c r="AE124" s="295"/>
      <c r="AH124" s="294" t="str">
        <f>VLOOKUP(AH126,'[80]Location Status'!$A$7:$D$178,2,0)</f>
        <v>23/1</v>
      </c>
      <c r="AI124" s="295"/>
      <c r="AL124" s="294" t="str">
        <f>VLOOKUP(AL126,'[80]Location Status'!$A$7:$D$178,2,0)</f>
        <v>23/2</v>
      </c>
      <c r="AM124" s="295"/>
      <c r="AP124" s="294" t="str">
        <f>VLOOKUP(AP126,'[80]Location Status'!$A$7:$D$178,2,0)</f>
        <v>23/3</v>
      </c>
      <c r="AQ124" s="295"/>
      <c r="AT124" s="145"/>
      <c r="AV124" s="219"/>
      <c r="AW124" s="219"/>
      <c r="BB124" s="183"/>
      <c r="BC124" s="184"/>
      <c r="BD124" s="185"/>
    </row>
    <row r="125" spans="1:56" x14ac:dyDescent="0.35">
      <c r="A125" s="144"/>
      <c r="AT125" s="145"/>
      <c r="AV125" s="219"/>
      <c r="AW125" s="219"/>
    </row>
    <row r="126" spans="1:56" s="175" customFormat="1" ht="12.5" x14ac:dyDescent="0.25">
      <c r="A126" s="174"/>
      <c r="B126" s="175">
        <f>1+AP117</f>
        <v>118</v>
      </c>
      <c r="F126" s="175">
        <f>1+B126</f>
        <v>119</v>
      </c>
      <c r="J126" s="175">
        <f>1+F126</f>
        <v>120</v>
      </c>
      <c r="N126" s="175">
        <f>1+J126</f>
        <v>121</v>
      </c>
      <c r="R126" s="175">
        <f>1+N126</f>
        <v>122</v>
      </c>
      <c r="V126" s="175">
        <f>1+R126</f>
        <v>123</v>
      </c>
      <c r="Z126" s="175">
        <f>1+V126</f>
        <v>124</v>
      </c>
      <c r="AD126" s="175">
        <f>1+Z126</f>
        <v>125</v>
      </c>
      <c r="AH126" s="175">
        <f>1+AD126</f>
        <v>126</v>
      </c>
      <c r="AL126" s="175">
        <f>1+AH126</f>
        <v>127</v>
      </c>
      <c r="AP126" s="175">
        <f>1+AL126</f>
        <v>128</v>
      </c>
      <c r="AT126" s="176"/>
      <c r="AV126" s="299"/>
      <c r="AW126" s="299"/>
    </row>
    <row r="127" spans="1:56" x14ac:dyDescent="0.35">
      <c r="A127" s="144"/>
      <c r="B127" s="182" t="s">
        <v>577</v>
      </c>
      <c r="C127" s="182" t="s">
        <v>578</v>
      </c>
      <c r="D127" s="296">
        <f>VLOOKUP(B126,'[80]Location Status'!$A$7:$D$178,4,0)</f>
        <v>425</v>
      </c>
      <c r="E127" s="305"/>
      <c r="F127" s="182" t="s">
        <v>577</v>
      </c>
      <c r="G127" s="182" t="s">
        <v>578</v>
      </c>
      <c r="H127" s="296">
        <f>VLOOKUP(F126,'[80]Location Status'!$A$7:$D$178,4,0)</f>
        <v>356.40600000000001</v>
      </c>
      <c r="I127" s="305"/>
      <c r="J127" s="182" t="s">
        <v>577</v>
      </c>
      <c r="K127" s="182" t="s">
        <v>578</v>
      </c>
      <c r="L127" s="296">
        <f>VLOOKUP(J126,'[80]Location Status'!$A$7:$D$178,4,0)</f>
        <v>409.00400000000002</v>
      </c>
      <c r="M127" s="305"/>
      <c r="N127" s="182" t="s">
        <v>577</v>
      </c>
      <c r="O127" s="182" t="s">
        <v>578</v>
      </c>
      <c r="P127" s="296">
        <f>VLOOKUP(N126,'[80]Location Status'!$A$7:$D$178,4,0)</f>
        <v>416</v>
      </c>
      <c r="Q127" s="305"/>
      <c r="R127" s="182" t="s">
        <v>577</v>
      </c>
      <c r="S127" s="182" t="s">
        <v>578</v>
      </c>
      <c r="T127" s="296">
        <f>VLOOKUP(R126,'[80]Location Status'!$A$7:$D$178,4,0)</f>
        <v>419</v>
      </c>
      <c r="U127" s="305"/>
      <c r="V127" s="182" t="s">
        <v>577</v>
      </c>
      <c r="W127" s="182" t="s">
        <v>578</v>
      </c>
      <c r="X127" s="296">
        <f>VLOOKUP(V126,'[80]Location Status'!$A$7:$D$178,4,0)</f>
        <v>413</v>
      </c>
      <c r="Y127" s="305"/>
      <c r="Z127" s="182" t="s">
        <v>577</v>
      </c>
      <c r="AA127" s="182" t="s">
        <v>578</v>
      </c>
      <c r="AB127" s="296">
        <f>VLOOKUP(Z126,'[80]Location Status'!$A$7:$D$178,4,0)</f>
        <v>315.50799999999998</v>
      </c>
      <c r="AC127" s="305"/>
      <c r="AD127" s="182" t="s">
        <v>577</v>
      </c>
      <c r="AE127" s="182" t="s">
        <v>578</v>
      </c>
      <c r="AF127" s="296">
        <f>VLOOKUP(AD126,'[80]Location Status'!$A$7:$D$178,4,0)</f>
        <v>431.00200000000001</v>
      </c>
      <c r="AG127" s="305"/>
      <c r="AH127" s="182" t="s">
        <v>577</v>
      </c>
      <c r="AI127" s="182" t="s">
        <v>578</v>
      </c>
      <c r="AJ127" s="296">
        <f>VLOOKUP(AH126,'[80]Location Status'!$A$7:$D$178,4,0)</f>
        <v>409</v>
      </c>
      <c r="AK127" s="305"/>
      <c r="AL127" s="182" t="s">
        <v>577</v>
      </c>
      <c r="AM127" s="182" t="s">
        <v>578</v>
      </c>
      <c r="AN127" s="296">
        <f>VLOOKUP(AL126,'[80]Location Status'!$A$7:$D$178,4,0)</f>
        <v>428</v>
      </c>
      <c r="AO127" s="305"/>
      <c r="AP127" s="182" t="s">
        <v>577</v>
      </c>
      <c r="AQ127" s="182" t="s">
        <v>578</v>
      </c>
      <c r="AR127" s="296">
        <f>VLOOKUP(AP126,'[80]Location Status'!$A$7:$D$178,4,0)</f>
        <v>412</v>
      </c>
      <c r="AS127" s="305"/>
      <c r="AT127" s="190"/>
      <c r="AV127" s="219">
        <f>D127+H127+L127+P127+T127+X127+AB127+AF127+AJ127+AN127+AR127</f>
        <v>4433.92</v>
      </c>
      <c r="AW127" s="219"/>
      <c r="AY127">
        <v>11</v>
      </c>
      <c r="BB127" s="184"/>
      <c r="BC127" s="184"/>
      <c r="BD127" s="185"/>
    </row>
    <row r="128" spans="1:56" x14ac:dyDescent="0.35">
      <c r="A128" s="144"/>
      <c r="B128" s="156" t="s">
        <v>581</v>
      </c>
      <c r="C128" s="156" t="s">
        <v>582</v>
      </c>
      <c r="F128" s="156" t="s">
        <v>581</v>
      </c>
      <c r="G128" s="156" t="s">
        <v>582</v>
      </c>
      <c r="J128" s="156" t="s">
        <v>581</v>
      </c>
      <c r="K128" s="156" t="s">
        <v>582</v>
      </c>
      <c r="N128" s="156" t="s">
        <v>581</v>
      </c>
      <c r="O128" s="156" t="s">
        <v>582</v>
      </c>
      <c r="R128" s="156" t="s">
        <v>581</v>
      </c>
      <c r="S128" s="156" t="s">
        <v>582</v>
      </c>
      <c r="V128" s="156" t="s">
        <v>581</v>
      </c>
      <c r="W128" s="156" t="s">
        <v>582</v>
      </c>
      <c r="Z128" s="156" t="s">
        <v>581</v>
      </c>
      <c r="AA128" s="156" t="s">
        <v>582</v>
      </c>
      <c r="AD128" s="156" t="s">
        <v>581</v>
      </c>
      <c r="AE128" s="156" t="s">
        <v>582</v>
      </c>
      <c r="AH128" s="156" t="s">
        <v>581</v>
      </c>
      <c r="AI128" s="156" t="s">
        <v>582</v>
      </c>
      <c r="AL128" s="156" t="s">
        <v>581</v>
      </c>
      <c r="AM128" s="156" t="s">
        <v>582</v>
      </c>
      <c r="AP128" s="156" t="s">
        <v>581</v>
      </c>
      <c r="AQ128" s="156" t="s">
        <v>582</v>
      </c>
      <c r="AT128" s="145"/>
      <c r="AV128" s="219"/>
      <c r="AW128" s="219"/>
    </row>
    <row r="129" spans="1:56" x14ac:dyDescent="0.35">
      <c r="A129" s="144"/>
      <c r="B129" s="304" t="s">
        <v>441</v>
      </c>
      <c r="C129" s="304"/>
      <c r="F129" s="304" t="s">
        <v>441</v>
      </c>
      <c r="G129" s="304"/>
      <c r="J129" s="304" t="s">
        <v>441</v>
      </c>
      <c r="K129" s="304"/>
      <c r="N129" s="304" t="s">
        <v>441</v>
      </c>
      <c r="O129" s="304"/>
      <c r="R129" s="304" t="s">
        <v>441</v>
      </c>
      <c r="S129" s="304"/>
      <c r="V129" s="304" t="s">
        <v>441</v>
      </c>
      <c r="W129" s="304"/>
      <c r="Z129" s="304" t="s">
        <v>441</v>
      </c>
      <c r="AA129" s="304"/>
      <c r="AD129" s="304" t="s">
        <v>441</v>
      </c>
      <c r="AE129" s="304"/>
      <c r="AH129" s="304" t="s">
        <v>441</v>
      </c>
      <c r="AI129" s="304"/>
      <c r="AL129" s="304" t="s">
        <v>441</v>
      </c>
      <c r="AM129" s="304"/>
      <c r="AP129" s="304" t="s">
        <v>600</v>
      </c>
      <c r="AQ129" s="304"/>
      <c r="AT129" s="145"/>
      <c r="AV129" s="219"/>
      <c r="AW129" s="219"/>
    </row>
    <row r="130" spans="1:56" x14ac:dyDescent="0.35">
      <c r="A130" s="144"/>
      <c r="B130" s="180" t="str">
        <f>VLOOKUP(B126,'[80]Location Status'!$A$7:$D$178,3,0)</f>
        <v>DA+3</v>
      </c>
      <c r="C130" s="180"/>
      <c r="F130" s="180" t="str">
        <f>VLOOKUP(F126,'[80]Location Status'!$A$7:$D$178,3,0)</f>
        <v>DA+3</v>
      </c>
      <c r="G130" s="180"/>
      <c r="J130" s="180" t="str">
        <f>VLOOKUP(J126,'[80]Location Status'!$A$7:$D$178,3,0)</f>
        <v>DD45+0</v>
      </c>
      <c r="K130" s="180"/>
      <c r="N130" s="180" t="str">
        <f>VLOOKUP(N126,'[80]Location Status'!$A$7:$D$178,3,0)</f>
        <v>DA+3</v>
      </c>
      <c r="O130" s="180"/>
      <c r="R130" s="180" t="str">
        <f>VLOOKUP(R126,'[80]Location Status'!$A$7:$D$178,3,0)</f>
        <v>DA-1.5</v>
      </c>
      <c r="S130" s="180"/>
      <c r="V130" s="180" t="str">
        <f>VLOOKUP(V126,'[80]Location Status'!$A$7:$D$178,3,0)</f>
        <v>DA+6</v>
      </c>
      <c r="W130" s="180"/>
      <c r="Z130" s="180" t="str">
        <f>VLOOKUP(Z126,'[80]Location Status'!$A$7:$D$178,3,0)</f>
        <v>DA+3</v>
      </c>
      <c r="AA130" s="180"/>
      <c r="AD130" s="180" t="str">
        <f>VLOOKUP(AD126,'[80]Location Status'!$A$7:$D$178,3,0)</f>
        <v>DC2+3</v>
      </c>
      <c r="AE130" s="180"/>
      <c r="AH130" s="180" t="str">
        <f>VLOOKUP(AH126,'[80]Location Status'!$A$7:$D$178,3,0)</f>
        <v>DA+9</v>
      </c>
      <c r="AI130" s="180"/>
      <c r="AL130" s="180" t="str">
        <f>VLOOKUP(AL126,'[80]Location Status'!$A$7:$D$178,3,0)</f>
        <v>DA+0</v>
      </c>
      <c r="AM130" s="180"/>
      <c r="AP130" s="180" t="str">
        <f>VLOOKUP(AP126,'[80]Location Status'!$A$7:$D$178,3,0)</f>
        <v>DA+6</v>
      </c>
      <c r="AQ130" s="180"/>
      <c r="AT130" s="145"/>
      <c r="AV130" s="219"/>
      <c r="AW130" s="219"/>
      <c r="BB130" s="184"/>
      <c r="BC130" s="184"/>
      <c r="BD130" s="185"/>
    </row>
    <row r="131" spans="1:56" x14ac:dyDescent="0.35">
      <c r="A131" s="144"/>
      <c r="AT131" s="145"/>
      <c r="AV131" s="219"/>
      <c r="AW131" s="219"/>
    </row>
    <row r="132" spans="1:56" x14ac:dyDescent="0.35">
      <c r="A132" s="144"/>
      <c r="B132" s="179"/>
      <c r="F132" s="179"/>
      <c r="I132" s="179"/>
      <c r="Q132" s="179"/>
      <c r="U132" s="179"/>
      <c r="Z132" s="191" t="s">
        <v>405</v>
      </c>
      <c r="AD132" s="179"/>
      <c r="AH132" s="191" t="s">
        <v>405</v>
      </c>
      <c r="AL132" s="191" t="s">
        <v>405</v>
      </c>
      <c r="AP132" s="179"/>
      <c r="AQ132" s="179"/>
      <c r="AT132" s="145"/>
      <c r="AV132" s="219"/>
      <c r="AW132" s="219"/>
    </row>
    <row r="133" spans="1:56" x14ac:dyDescent="0.35">
      <c r="A133" s="144"/>
      <c r="B133" s="294" t="str">
        <f>VLOOKUP(B135,'[80]Location Status'!$A$7:$D$178,2,0)</f>
        <v>23/4</v>
      </c>
      <c r="C133" s="295"/>
      <c r="F133" s="294" t="str">
        <f>VLOOKUP(F135,'[80]Location Status'!$A$7:$D$178,2,0)</f>
        <v>23/5</v>
      </c>
      <c r="G133" s="295"/>
      <c r="J133" s="294" t="str">
        <f>VLOOKUP(J135,'[80]Location Status'!$A$7:$D$178,2,0)</f>
        <v>23/6</v>
      </c>
      <c r="K133" s="295"/>
      <c r="N133" s="294" t="str">
        <f>VLOOKUP(N135,'[80]Location Status'!$A$7:$D$178,2,0)</f>
        <v>23/7</v>
      </c>
      <c r="O133" s="295"/>
      <c r="R133" s="294" t="str">
        <f>VLOOKUP(R135,'[80]Location Status'!$A$7:$D$178,2,0)</f>
        <v>24/0</v>
      </c>
      <c r="S133" s="295"/>
      <c r="V133" s="294" t="str">
        <f>VLOOKUP(V135,'[80]Location Status'!$A$7:$D$178,2,0)</f>
        <v>24/1</v>
      </c>
      <c r="W133" s="295"/>
      <c r="Z133" s="294" t="str">
        <f>VLOOKUP(Z135,'[80]Location Status'!$A$7:$D$178,2,0)</f>
        <v>24/2.</v>
      </c>
      <c r="AA133" s="295"/>
      <c r="AD133" s="294" t="str">
        <f>VLOOKUP(AD135,'[80]Location Status'!$A$7:$D$178,2,0)</f>
        <v>25/0</v>
      </c>
      <c r="AE133" s="295"/>
      <c r="AH133" s="294" t="str">
        <f>VLOOKUP(AH135,'[80]Location Status'!$A$7:$D$178,2,0)</f>
        <v>25/1</v>
      </c>
      <c r="AI133" s="295"/>
      <c r="AL133" s="294" t="str">
        <f>VLOOKUP(AL135,'[80]Location Status'!$A$7:$D$178,2,0)</f>
        <v>25/2.</v>
      </c>
      <c r="AM133" s="295"/>
      <c r="AP133" s="294" t="str">
        <f>VLOOKUP(AP135,'[80]Location Status'!$A$7:$D$178,2,0)</f>
        <v>25/3.</v>
      </c>
      <c r="AQ133" s="295"/>
      <c r="AT133" s="145"/>
      <c r="AV133" s="219"/>
      <c r="AW133" s="219"/>
      <c r="BB133" s="183"/>
      <c r="BC133" s="184"/>
      <c r="BD133" s="185"/>
    </row>
    <row r="134" spans="1:56" x14ac:dyDescent="0.35">
      <c r="A134" s="144"/>
      <c r="AT134" s="145"/>
      <c r="AV134" s="219"/>
      <c r="AW134" s="219"/>
    </row>
    <row r="135" spans="1:56" s="175" customFormat="1" ht="12.5" x14ac:dyDescent="0.25">
      <c r="A135" s="174"/>
      <c r="B135" s="175">
        <f>1+AP126</f>
        <v>129</v>
      </c>
      <c r="F135" s="175">
        <f>1+B135</f>
        <v>130</v>
      </c>
      <c r="J135" s="175">
        <f>1+F135</f>
        <v>131</v>
      </c>
      <c r="N135" s="175">
        <f>1+J135</f>
        <v>132</v>
      </c>
      <c r="R135" s="175">
        <f>1+N135</f>
        <v>133</v>
      </c>
      <c r="V135" s="175">
        <f>1+R135</f>
        <v>134</v>
      </c>
      <c r="Z135" s="175">
        <f>1+V135</f>
        <v>135</v>
      </c>
      <c r="AD135" s="175">
        <f>1+Z135</f>
        <v>136</v>
      </c>
      <c r="AH135" s="175">
        <f>1+AD135</f>
        <v>137</v>
      </c>
      <c r="AL135" s="175">
        <f>1+AH135</f>
        <v>138</v>
      </c>
      <c r="AP135" s="175">
        <f>1+AL135</f>
        <v>139</v>
      </c>
      <c r="AT135" s="176"/>
      <c r="AV135" s="299"/>
      <c r="AW135" s="299"/>
    </row>
    <row r="136" spans="1:56" x14ac:dyDescent="0.35">
      <c r="A136" s="144"/>
      <c r="B136" s="182" t="s">
        <v>577</v>
      </c>
      <c r="C136" s="182" t="s">
        <v>578</v>
      </c>
      <c r="D136" s="294">
        <f>VLOOKUP(B135,'[80]Location Status'!$A$7:$D$178,4,0)</f>
        <v>408</v>
      </c>
      <c r="E136" s="295"/>
      <c r="F136" s="182" t="s">
        <v>577</v>
      </c>
      <c r="G136" s="182" t="s">
        <v>578</v>
      </c>
      <c r="H136" s="294">
        <f>VLOOKUP(F135,'[80]Location Status'!$A$7:$D$178,4,0)</f>
        <v>362</v>
      </c>
      <c r="I136" s="295"/>
      <c r="J136" s="182" t="s">
        <v>577</v>
      </c>
      <c r="K136" s="182" t="s">
        <v>578</v>
      </c>
      <c r="L136" s="296">
        <f>VLOOKUP(J135,'[80]Location Status'!$A$7:$D$178,4,0)</f>
        <v>303</v>
      </c>
      <c r="M136" s="305"/>
      <c r="N136" s="182" t="s">
        <v>577</v>
      </c>
      <c r="O136" s="182" t="s">
        <v>578</v>
      </c>
      <c r="P136" s="296">
        <f>VLOOKUP(N135,'[80]Location Status'!$A$7:$D$178,4,0)</f>
        <v>336.96199999999999</v>
      </c>
      <c r="Q136" s="305"/>
      <c r="R136" s="182" t="s">
        <v>577</v>
      </c>
      <c r="S136" s="182" t="s">
        <v>578</v>
      </c>
      <c r="T136" s="296">
        <f>VLOOKUP(R135,'[80]Location Status'!$A$7:$D$178,4,0)</f>
        <v>431.99799999999999</v>
      </c>
      <c r="U136" s="305"/>
      <c r="V136" s="182" t="s">
        <v>577</v>
      </c>
      <c r="W136" s="182" t="s">
        <v>578</v>
      </c>
      <c r="X136" s="296">
        <f>VLOOKUP(V135,'[80]Location Status'!$A$7:$D$178,4,0)</f>
        <v>567</v>
      </c>
      <c r="Y136" s="305"/>
      <c r="Z136" s="182" t="s">
        <v>577</v>
      </c>
      <c r="AA136" s="182" t="s">
        <v>578</v>
      </c>
      <c r="AB136" s="296">
        <f>VLOOKUP(Z135,'[80]Location Status'!$A$7:$D$178,4,0)</f>
        <v>543.55399999999997</v>
      </c>
      <c r="AC136" s="305"/>
      <c r="AD136" s="182" t="s">
        <v>577</v>
      </c>
      <c r="AE136" s="182" t="s">
        <v>578</v>
      </c>
      <c r="AF136" s="294">
        <f>VLOOKUP(AD135,'[80]Location Status'!$A$7:$D$178,4,0)</f>
        <v>429</v>
      </c>
      <c r="AG136" s="295"/>
      <c r="AH136" s="178" t="s">
        <v>577</v>
      </c>
      <c r="AI136" s="178" t="s">
        <v>578</v>
      </c>
      <c r="AJ136" s="294">
        <f>VLOOKUP(AH135,'[80]Location Status'!$A$7:$D$178,4,0)</f>
        <v>346</v>
      </c>
      <c r="AK136" s="295"/>
      <c r="AL136" s="178" t="s">
        <v>577</v>
      </c>
      <c r="AM136" s="178" t="s">
        <v>578</v>
      </c>
      <c r="AN136" s="294">
        <f>VLOOKUP(AL135,'[80]Location Status'!$A$7:$D$178,4,0)</f>
        <v>381</v>
      </c>
      <c r="AO136" s="295"/>
      <c r="AP136" s="182" t="s">
        <v>577</v>
      </c>
      <c r="AQ136" s="182" t="s">
        <v>578</v>
      </c>
      <c r="AR136" s="294">
        <f>VLOOKUP(AP135,'[80]Location Status'!$A$7:$D$178,4,0)</f>
        <v>394</v>
      </c>
      <c r="AS136" s="295"/>
      <c r="AT136" s="145"/>
      <c r="AV136" s="219">
        <f>D136+H136+L136+P136+T136+X136+AB136+AF136+AJ136+AN136+AR136</f>
        <v>4502.5140000000001</v>
      </c>
      <c r="AW136" s="219"/>
      <c r="AY136">
        <v>11</v>
      </c>
      <c r="BB136" s="184"/>
      <c r="BC136" s="184"/>
      <c r="BD136" s="185"/>
    </row>
    <row r="137" spans="1:56" x14ac:dyDescent="0.35">
      <c r="A137" s="144"/>
      <c r="B137" s="156" t="s">
        <v>581</v>
      </c>
      <c r="C137" s="156" t="s">
        <v>582</v>
      </c>
      <c r="F137" s="156" t="s">
        <v>581</v>
      </c>
      <c r="G137" s="156" t="s">
        <v>582</v>
      </c>
      <c r="J137" s="156" t="s">
        <v>581</v>
      </c>
      <c r="K137" s="156" t="s">
        <v>582</v>
      </c>
      <c r="N137" s="156" t="s">
        <v>581</v>
      </c>
      <c r="O137" s="156" t="s">
        <v>582</v>
      </c>
      <c r="R137" s="156" t="s">
        <v>581</v>
      </c>
      <c r="S137" s="156" t="s">
        <v>582</v>
      </c>
      <c r="V137" s="156" t="s">
        <v>581</v>
      </c>
      <c r="W137" s="156" t="s">
        <v>582</v>
      </c>
      <c r="Z137" s="156" t="s">
        <v>581</v>
      </c>
      <c r="AA137" s="156" t="s">
        <v>582</v>
      </c>
      <c r="AD137" s="156" t="s">
        <v>581</v>
      </c>
      <c r="AE137" s="156" t="s">
        <v>582</v>
      </c>
      <c r="AH137" s="71" t="s">
        <v>581</v>
      </c>
      <c r="AI137" s="71" t="s">
        <v>582</v>
      </c>
      <c r="AL137" s="71" t="s">
        <v>581</v>
      </c>
      <c r="AM137" s="71" t="s">
        <v>582</v>
      </c>
      <c r="AP137" s="156" t="s">
        <v>581</v>
      </c>
      <c r="AQ137" s="156" t="s">
        <v>582</v>
      </c>
      <c r="AT137" s="145"/>
      <c r="AV137" s="219"/>
      <c r="AW137" s="219"/>
    </row>
    <row r="138" spans="1:56" x14ac:dyDescent="0.35">
      <c r="A138" s="144"/>
      <c r="B138" s="304" t="s">
        <v>441</v>
      </c>
      <c r="C138" s="304"/>
      <c r="F138" s="304" t="s">
        <v>441</v>
      </c>
      <c r="G138" s="304"/>
      <c r="J138" s="304" t="s">
        <v>441</v>
      </c>
      <c r="K138" s="304"/>
      <c r="N138" s="304" t="s">
        <v>441</v>
      </c>
      <c r="O138" s="304"/>
      <c r="R138" s="226" t="s">
        <v>441</v>
      </c>
      <c r="S138" s="226"/>
      <c r="V138" s="303" t="s">
        <v>596</v>
      </c>
      <c r="W138" s="225"/>
      <c r="Z138" s="226"/>
      <c r="AA138" s="226"/>
      <c r="AD138" s="303" t="s">
        <v>596</v>
      </c>
      <c r="AE138" s="225"/>
      <c r="AH138" s="226"/>
      <c r="AI138" s="226"/>
      <c r="AL138" s="226"/>
      <c r="AM138" s="226"/>
      <c r="AP138" s="304" t="s">
        <v>441</v>
      </c>
      <c r="AQ138" s="304"/>
      <c r="AT138" s="145"/>
      <c r="AV138" s="219"/>
      <c r="AW138" s="219"/>
    </row>
    <row r="139" spans="1:56" x14ac:dyDescent="0.35">
      <c r="A139" s="144"/>
      <c r="B139" s="180" t="str">
        <f>VLOOKUP(B135,'[80]Location Status'!$A$7:$D$178,3,0)</f>
        <v>DA-1.5</v>
      </c>
      <c r="C139" s="180"/>
      <c r="F139" s="180" t="str">
        <f>VLOOKUP(F135,'[80]Location Status'!$A$7:$D$178,3,0)</f>
        <v>DA+3</v>
      </c>
      <c r="G139" s="180"/>
      <c r="J139" s="180" t="str">
        <f>VLOOKUP(J135,'[80]Location Status'!$A$7:$D$178,3,0)</f>
        <v>DA-3</v>
      </c>
      <c r="K139" s="180"/>
      <c r="N139" s="180" t="str">
        <f>VLOOKUP(N135,'[80]Location Status'!$A$7:$D$178,3,0)</f>
        <v>DA-3</v>
      </c>
      <c r="O139" s="180"/>
      <c r="R139" s="180" t="str">
        <f>VLOOKUP(R135,'[80]Location Status'!$A$7:$D$178,3,0)</f>
        <v>DB2+0</v>
      </c>
      <c r="S139" s="180"/>
      <c r="V139" s="180" t="str">
        <f>VLOOKUP(V135,'[80]Location Status'!$A$7:$D$178,3,0)</f>
        <v>DB1+9</v>
      </c>
      <c r="W139" s="180"/>
      <c r="Z139" s="180" t="str">
        <f>VLOOKUP(Z135,'[80]Location Status'!$A$7:$D$178,3,0)</f>
        <v>DB1+0</v>
      </c>
      <c r="AA139" s="180"/>
      <c r="AD139" s="180" t="str">
        <f>VLOOKUP(AD135,'[80]Location Status'!$A$7:$D$178,3,0)</f>
        <v>DC1+9</v>
      </c>
      <c r="AE139" s="180"/>
      <c r="AH139" s="180" t="str">
        <f>VLOOKUP(AH135,'[80]Location Status'!$A$7:$D$178,3,0)</f>
        <v>DA+0</v>
      </c>
      <c r="AI139" s="180"/>
      <c r="AL139" s="180" t="str">
        <f>VLOOKUP(AL135,'[80]Location Status'!$A$7:$D$178,3,0)</f>
        <v>DA+0</v>
      </c>
      <c r="AM139" s="180"/>
      <c r="AP139" s="180" t="str">
        <f>VLOOKUP(AP135,'[80]Location Status'!$A$7:$D$178,3,0)</f>
        <v>DA+0</v>
      </c>
      <c r="AQ139" s="180"/>
      <c r="AT139" s="145"/>
      <c r="AV139" s="219"/>
      <c r="AW139" s="219"/>
      <c r="BB139" s="184"/>
      <c r="BC139" s="184"/>
      <c r="BD139" s="185"/>
    </row>
    <row r="140" spans="1:56" x14ac:dyDescent="0.35">
      <c r="A140" s="144"/>
      <c r="C140" s="187"/>
      <c r="AT140" s="145"/>
      <c r="AV140" s="219"/>
      <c r="AW140" s="219"/>
    </row>
    <row r="141" spans="1:56" x14ac:dyDescent="0.35">
      <c r="A141" s="144"/>
      <c r="N141" s="191" t="s">
        <v>405</v>
      </c>
      <c r="AH141" s="188" t="s">
        <v>464</v>
      </c>
      <c r="AI141" s="188"/>
      <c r="AP141" s="188" t="s">
        <v>464</v>
      </c>
      <c r="AQ141" s="188"/>
      <c r="AT141" s="145"/>
      <c r="AV141" s="219"/>
      <c r="AW141" s="219"/>
    </row>
    <row r="142" spans="1:56" x14ac:dyDescent="0.35">
      <c r="A142" s="144"/>
      <c r="B142" s="294" t="str">
        <f>VLOOKUP(B144,'[80]Location Status'!$A$7:$D$178,2,0)</f>
        <v>25/4</v>
      </c>
      <c r="C142" s="295"/>
      <c r="F142" s="294" t="str">
        <f>VLOOKUP(F144,'[80]Location Status'!$A$7:$D$178,2,0)</f>
        <v>26/0</v>
      </c>
      <c r="G142" s="295"/>
      <c r="J142" s="294" t="str">
        <f>VLOOKUP(J144,'[80]Location Status'!$A$7:$D$178,2,0)</f>
        <v>26/1</v>
      </c>
      <c r="K142" s="295"/>
      <c r="N142" s="294" t="str">
        <f>VLOOKUP(N144,'[80]Location Status'!$A$7:$D$178,2,0)</f>
        <v>26/2</v>
      </c>
      <c r="O142" s="295"/>
      <c r="R142" s="294" t="str">
        <f>VLOOKUP(R144,'[80]Location Status'!$A$7:$D$178,2,0)</f>
        <v>26/3</v>
      </c>
      <c r="S142" s="295"/>
      <c r="V142" s="294" t="str">
        <f>VLOOKUP(V144,'[80]Location Status'!$A$7:$D$178,2,0)</f>
        <v>26/4</v>
      </c>
      <c r="W142" s="295"/>
      <c r="Z142" s="294" t="str">
        <f>VLOOKUP(Z144,'[80]Location Status'!$A$7:$D$178,2,0)</f>
        <v>26/5</v>
      </c>
      <c r="AA142" s="295"/>
      <c r="AD142" s="294" t="str">
        <f>VLOOKUP(AD144,'[80]Location Status'!$A$7:$D$178,2,0)</f>
        <v>26/6</v>
      </c>
      <c r="AE142" s="295"/>
      <c r="AH142" s="294" t="str">
        <f>VLOOKUP(AH144,'[80]Location Status'!$A$7:$D$178,2,0)</f>
        <v>26/7</v>
      </c>
      <c r="AI142" s="295"/>
      <c r="AL142" s="294" t="str">
        <f>VLOOKUP(AL144,'[80]Location Status'!$A$7:$D$178,2,0)</f>
        <v>26/8</v>
      </c>
      <c r="AM142" s="295"/>
      <c r="AP142" s="294" t="str">
        <f>VLOOKUP(AP144,'[80]Location Status'!$A$7:$D$178,2,0)</f>
        <v>26/9</v>
      </c>
      <c r="AQ142" s="295"/>
      <c r="AT142" s="145"/>
      <c r="AV142" s="219"/>
      <c r="AW142" s="219"/>
      <c r="BB142" s="183"/>
      <c r="BC142" s="184"/>
      <c r="BD142" s="185"/>
    </row>
    <row r="143" spans="1:56" x14ac:dyDescent="0.35">
      <c r="A143" s="144"/>
      <c r="AT143" s="145"/>
      <c r="AV143" s="219"/>
      <c r="AW143" s="219"/>
    </row>
    <row r="144" spans="1:56" s="175" customFormat="1" ht="12.5" x14ac:dyDescent="0.25">
      <c r="A144" s="174"/>
      <c r="B144" s="175">
        <f>1+AP135</f>
        <v>140</v>
      </c>
      <c r="F144" s="175">
        <f>1+B144</f>
        <v>141</v>
      </c>
      <c r="J144" s="175">
        <f>1+F144</f>
        <v>142</v>
      </c>
      <c r="N144" s="175">
        <f>1+J144</f>
        <v>143</v>
      </c>
      <c r="R144" s="175">
        <f>1+N144</f>
        <v>144</v>
      </c>
      <c r="V144" s="175">
        <f>1+R144</f>
        <v>145</v>
      </c>
      <c r="Z144" s="175">
        <f>1+V144</f>
        <v>146</v>
      </c>
      <c r="AD144" s="175">
        <f>1+Z144</f>
        <v>147</v>
      </c>
      <c r="AH144" s="175">
        <f>1+AD144</f>
        <v>148</v>
      </c>
      <c r="AL144" s="175">
        <f>1+AH144</f>
        <v>149</v>
      </c>
      <c r="AP144" s="175">
        <f>1+AL144</f>
        <v>150</v>
      </c>
      <c r="AT144" s="176"/>
      <c r="AV144" s="299"/>
      <c r="AW144" s="299"/>
    </row>
    <row r="145" spans="1:56" x14ac:dyDescent="0.35">
      <c r="A145" s="144"/>
      <c r="B145" s="182" t="s">
        <v>577</v>
      </c>
      <c r="C145" s="182" t="s">
        <v>578</v>
      </c>
      <c r="D145" s="296">
        <f>VLOOKUP(B144,'[80]Location Status'!$A$7:$D$178,4,0)</f>
        <v>356.86900000000003</v>
      </c>
      <c r="E145" s="305"/>
      <c r="F145" s="182" t="s">
        <v>577</v>
      </c>
      <c r="G145" s="182" t="s">
        <v>578</v>
      </c>
      <c r="H145" s="296">
        <f>VLOOKUP(F144,'[80]Location Status'!$A$7:$D$178,4,0)</f>
        <v>438</v>
      </c>
      <c r="I145" s="305"/>
      <c r="J145" s="182" t="s">
        <v>577</v>
      </c>
      <c r="K145" s="182" t="s">
        <v>578</v>
      </c>
      <c r="L145" s="296">
        <f>VLOOKUP(J144,'[80]Location Status'!$A$7:$D$178,4,0)</f>
        <v>399</v>
      </c>
      <c r="M145" s="305"/>
      <c r="N145" s="178" t="s">
        <v>577</v>
      </c>
      <c r="O145" s="178" t="s">
        <v>578</v>
      </c>
      <c r="P145" s="296">
        <f>VLOOKUP(N144,'[80]Location Status'!$A$7:$D$178,4,0)</f>
        <v>347</v>
      </c>
      <c r="Q145" s="305"/>
      <c r="R145" s="182" t="s">
        <v>577</v>
      </c>
      <c r="S145" s="182" t="s">
        <v>578</v>
      </c>
      <c r="T145" s="296">
        <f>VLOOKUP(R144,'[80]Location Status'!$A$7:$D$178,4,0)</f>
        <v>400</v>
      </c>
      <c r="U145" s="305"/>
      <c r="V145" s="182" t="s">
        <v>577</v>
      </c>
      <c r="W145" s="182" t="s">
        <v>578</v>
      </c>
      <c r="X145" s="296">
        <f>VLOOKUP(V144,'[80]Location Status'!$A$7:$D$178,4,0)</f>
        <v>375</v>
      </c>
      <c r="Y145" s="305"/>
      <c r="Z145" s="182" t="s">
        <v>577</v>
      </c>
      <c r="AA145" s="182" t="s">
        <v>578</v>
      </c>
      <c r="AB145" s="296">
        <f>VLOOKUP(Z144,'[80]Location Status'!$A$7:$D$178,4,0)</f>
        <v>416</v>
      </c>
      <c r="AC145" s="305"/>
      <c r="AD145" s="182" t="s">
        <v>577</v>
      </c>
      <c r="AE145" s="182" t="s">
        <v>578</v>
      </c>
      <c r="AF145" s="296">
        <f>VLOOKUP(AD144,'[80]Location Status'!$A$7:$D$178,4,0)</f>
        <v>408</v>
      </c>
      <c r="AG145" s="305"/>
      <c r="AH145" s="182" t="s">
        <v>577</v>
      </c>
      <c r="AI145" s="182" t="s">
        <v>578</v>
      </c>
      <c r="AJ145" s="296">
        <f>VLOOKUP(AH144,'[80]Location Status'!$A$7:$D$178,4,0)</f>
        <v>404</v>
      </c>
      <c r="AK145" s="305"/>
      <c r="AL145" s="182" t="s">
        <v>577</v>
      </c>
      <c r="AM145" s="182" t="s">
        <v>578</v>
      </c>
      <c r="AN145" s="296">
        <f>VLOOKUP(AL144,'[80]Location Status'!$A$7:$D$178,4,0)</f>
        <v>391</v>
      </c>
      <c r="AO145" s="305"/>
      <c r="AP145" s="182" t="s">
        <v>577</v>
      </c>
      <c r="AQ145" s="182" t="s">
        <v>578</v>
      </c>
      <c r="AR145" s="296">
        <f>VLOOKUP(AP144,'[80]Location Status'!$A$7:$D$178,4,0)</f>
        <v>371</v>
      </c>
      <c r="AS145" s="305"/>
      <c r="AT145" s="145"/>
      <c r="AV145" s="219">
        <f>D145+H145+L145+P145+T145+X145+AB145+AF145+AJ145+AN145+AR145</f>
        <v>4305.8690000000006</v>
      </c>
      <c r="AW145" s="219"/>
      <c r="AY145">
        <v>11</v>
      </c>
      <c r="BB145" s="184"/>
      <c r="BC145" s="184"/>
      <c r="BD145" s="185"/>
    </row>
    <row r="146" spans="1:56" x14ac:dyDescent="0.35">
      <c r="A146" s="144"/>
      <c r="B146" s="156" t="s">
        <v>581</v>
      </c>
      <c r="C146" s="156" t="s">
        <v>582</v>
      </c>
      <c r="F146" s="156" t="s">
        <v>581</v>
      </c>
      <c r="G146" s="156" t="s">
        <v>582</v>
      </c>
      <c r="J146" s="156" t="s">
        <v>581</v>
      </c>
      <c r="K146" s="156" t="s">
        <v>582</v>
      </c>
      <c r="N146" s="71" t="s">
        <v>581</v>
      </c>
      <c r="O146" s="71" t="s">
        <v>582</v>
      </c>
      <c r="R146" s="156" t="s">
        <v>581</v>
      </c>
      <c r="S146" s="156" t="s">
        <v>582</v>
      </c>
      <c r="V146" s="156" t="s">
        <v>581</v>
      </c>
      <c r="W146" s="156" t="s">
        <v>582</v>
      </c>
      <c r="Z146" s="156" t="s">
        <v>581</v>
      </c>
      <c r="AA146" s="156" t="s">
        <v>582</v>
      </c>
      <c r="AD146" s="156" t="s">
        <v>581</v>
      </c>
      <c r="AE146" s="156" t="s">
        <v>582</v>
      </c>
      <c r="AH146" s="156" t="s">
        <v>581</v>
      </c>
      <c r="AI146" s="156" t="s">
        <v>582</v>
      </c>
      <c r="AL146" s="156" t="s">
        <v>581</v>
      </c>
      <c r="AM146" s="156" t="s">
        <v>582</v>
      </c>
      <c r="AP146" s="156" t="s">
        <v>581</v>
      </c>
      <c r="AQ146" s="156" t="s">
        <v>582</v>
      </c>
      <c r="AT146" s="145"/>
      <c r="AV146" s="219"/>
      <c r="AW146" s="219"/>
    </row>
    <row r="147" spans="1:56" x14ac:dyDescent="0.35">
      <c r="A147" s="144"/>
      <c r="B147" s="304" t="s">
        <v>441</v>
      </c>
      <c r="C147" s="304"/>
      <c r="F147" s="304" t="s">
        <v>441</v>
      </c>
      <c r="G147" s="304"/>
      <c r="J147" s="304" t="s">
        <v>441</v>
      </c>
      <c r="K147" s="304"/>
      <c r="N147" s="226"/>
      <c r="O147" s="226"/>
      <c r="R147" s="304" t="s">
        <v>441</v>
      </c>
      <c r="S147" s="304"/>
      <c r="V147" s="304" t="s">
        <v>441</v>
      </c>
      <c r="W147" s="304"/>
      <c r="Z147" s="304" t="s">
        <v>600</v>
      </c>
      <c r="AA147" s="304"/>
      <c r="AD147" s="304" t="s">
        <v>441</v>
      </c>
      <c r="AE147" s="304"/>
      <c r="AH147" s="303" t="s">
        <v>596</v>
      </c>
      <c r="AI147" s="225"/>
      <c r="AL147" s="303" t="s">
        <v>596</v>
      </c>
      <c r="AM147" s="225"/>
      <c r="AP147" s="304" t="s">
        <v>441</v>
      </c>
      <c r="AQ147" s="304"/>
      <c r="AT147" s="145"/>
      <c r="AV147" s="219"/>
      <c r="AW147" s="219"/>
    </row>
    <row r="148" spans="1:56" x14ac:dyDescent="0.35">
      <c r="A148" s="144"/>
      <c r="B148" s="180" t="str">
        <f>VLOOKUP(B144,'[80]Location Status'!$A$7:$D$178,3,0)</f>
        <v>DA+0</v>
      </c>
      <c r="C148" s="180"/>
      <c r="F148" s="180" t="str">
        <f>VLOOKUP(F144,'[80]Location Status'!$A$7:$D$178,3,0)</f>
        <v>DC2+0</v>
      </c>
      <c r="G148" s="180"/>
      <c r="J148" s="180" t="str">
        <f>VLOOKUP(J144,'[80]Location Status'!$A$7:$D$178,3,0)</f>
        <v>DA+6</v>
      </c>
      <c r="K148" s="180"/>
      <c r="N148" s="180" t="str">
        <f>VLOOKUP(N144,'[80]Location Status'!$A$7:$D$178,3,0)</f>
        <v>DA+3</v>
      </c>
      <c r="O148" s="180"/>
      <c r="R148" s="180" t="str">
        <f>VLOOKUP(R144,'[80]Location Status'!$A$7:$D$178,3,0)</f>
        <v>DA+3</v>
      </c>
      <c r="S148" s="180"/>
      <c r="V148" s="180" t="str">
        <f>VLOOKUP(V144,'[80]Location Status'!$A$7:$D$178,3,0)</f>
        <v>DA-3</v>
      </c>
      <c r="W148" s="180"/>
      <c r="Z148" s="180" t="str">
        <f>VLOOKUP(Z144,'[80]Location Status'!$A$7:$D$178,3,0)</f>
        <v>DA+0</v>
      </c>
      <c r="AA148" s="180"/>
      <c r="AD148" s="180" t="str">
        <f>VLOOKUP(AD144,'[80]Location Status'!$A$7:$D$178,3,0)</f>
        <v>DA+3</v>
      </c>
      <c r="AE148" s="180"/>
      <c r="AH148" s="180" t="str">
        <f>VLOOKUP(AH144,'[80]Location Status'!$A$7:$D$178,3,0)</f>
        <v>DA+0</v>
      </c>
      <c r="AI148" s="180"/>
      <c r="AL148" s="180" t="str">
        <f>VLOOKUP(AL144,'[80]Location Status'!$A$7:$D$178,3,0)</f>
        <v>DA+0</v>
      </c>
      <c r="AM148" s="180"/>
      <c r="AP148" s="180" t="str">
        <f>VLOOKUP(AP144,'[80]Location Status'!$A$7:$D$178,3,0)</f>
        <v>DA+0</v>
      </c>
      <c r="AQ148" s="180"/>
      <c r="AT148" s="145"/>
      <c r="AV148" s="219"/>
      <c r="AW148" s="219"/>
      <c r="BB148" s="184"/>
      <c r="BC148" s="184"/>
      <c r="BD148" s="185"/>
    </row>
    <row r="149" spans="1:56" x14ac:dyDescent="0.35">
      <c r="A149" s="144"/>
      <c r="U149" s="158"/>
      <c r="AF149" s="158"/>
      <c r="AT149" s="145"/>
      <c r="AV149" s="219"/>
      <c r="AW149" s="219"/>
    </row>
    <row r="150" spans="1:56" x14ac:dyDescent="0.35">
      <c r="A150" s="144"/>
      <c r="R150" s="192" t="s">
        <v>601</v>
      </c>
      <c r="S150" s="193"/>
      <c r="T150" s="193"/>
      <c r="U150" s="194"/>
      <c r="V150" s="192" t="s">
        <v>601</v>
      </c>
      <c r="W150" s="193"/>
      <c r="X150" s="193"/>
      <c r="Y150" s="193"/>
      <c r="Z150" s="192" t="s">
        <v>601</v>
      </c>
      <c r="AA150" s="193"/>
      <c r="AB150" s="193"/>
      <c r="AC150" s="193"/>
      <c r="AF150" s="158"/>
      <c r="AT150" s="145"/>
      <c r="AV150" s="219"/>
      <c r="AW150" s="219"/>
    </row>
    <row r="151" spans="1:56" x14ac:dyDescent="0.35">
      <c r="A151" s="144"/>
      <c r="R151" s="195" t="s">
        <v>602</v>
      </c>
      <c r="S151" s="196"/>
      <c r="V151" s="191" t="s">
        <v>405</v>
      </c>
      <c r="Z151" s="191" t="s">
        <v>405</v>
      </c>
      <c r="AC151" s="158"/>
      <c r="AD151" s="158"/>
      <c r="AE151" s="158"/>
      <c r="AF151" s="158"/>
      <c r="AT151" s="145"/>
      <c r="AV151" s="219"/>
      <c r="AW151" s="219"/>
    </row>
    <row r="152" spans="1:56" x14ac:dyDescent="0.35">
      <c r="A152" s="144"/>
      <c r="B152" s="294" t="str">
        <f>VLOOKUP(B154,'[80]Location Status'!$A$7:$D$178,2,0)</f>
        <v>26/10</v>
      </c>
      <c r="C152" s="295"/>
      <c r="F152" s="294" t="str">
        <f>VLOOKUP(F154,'[80]Location Status'!$A$7:$D$178,2,0)</f>
        <v>27/0</v>
      </c>
      <c r="G152" s="295"/>
      <c r="J152" s="294" t="str">
        <f>VLOOKUP(J154,'[80]Location Status'!$A$7:$D$178,2,0)</f>
        <v>27/1</v>
      </c>
      <c r="K152" s="295"/>
      <c r="N152" s="294" t="str">
        <f>VLOOKUP(N154,'[80]Location Status'!$A$7:$D$178,2,0)</f>
        <v>28/0</v>
      </c>
      <c r="O152" s="295"/>
      <c r="R152" s="294" t="str">
        <f>VLOOKUP(R154,'[80]Location Status'!$A$7:$D$178,2,0)</f>
        <v>28/1</v>
      </c>
      <c r="S152" s="295"/>
      <c r="V152" s="294" t="str">
        <f>VLOOKUP(V154,'[80]Location Status'!$A$7:$D$178,2,0)</f>
        <v>29/0</v>
      </c>
      <c r="W152" s="295"/>
      <c r="Z152" s="294" t="str">
        <f>VLOOKUP(Z154,'[80]Location Status'!$A$7:$D$178,2,0)</f>
        <v>29/1</v>
      </c>
      <c r="AA152" s="295"/>
      <c r="AD152" s="294" t="str">
        <f>VLOOKUP(AD154,'[80]Location Status'!$A$7:$D$178,2,0)</f>
        <v>29/2</v>
      </c>
      <c r="AE152" s="295"/>
      <c r="AH152" s="294" t="str">
        <f>VLOOKUP(AH154,'[80]Location Status'!$A$7:$D$178,2,0)</f>
        <v>30/0</v>
      </c>
      <c r="AI152" s="295"/>
      <c r="AL152" s="294" t="str">
        <f>VLOOKUP(AL154,'[80]Location Status'!$A$7:$D$178,2,0)</f>
        <v>30/1</v>
      </c>
      <c r="AM152" s="295"/>
      <c r="AP152" s="294" t="str">
        <f>VLOOKUP(AP154,'[80]Location Status'!$A$7:$D$178,2,0)</f>
        <v>30/2</v>
      </c>
      <c r="AQ152" s="295"/>
      <c r="AT152" s="145"/>
      <c r="AV152" s="219"/>
      <c r="AW152" s="219"/>
      <c r="BB152" s="183"/>
      <c r="BC152" s="184"/>
      <c r="BD152" s="185"/>
    </row>
    <row r="153" spans="1:56" x14ac:dyDescent="0.35">
      <c r="A153" s="144"/>
      <c r="AT153" s="145"/>
      <c r="AV153" s="219"/>
      <c r="AW153" s="219"/>
    </row>
    <row r="154" spans="1:56" s="175" customFormat="1" ht="12.5" x14ac:dyDescent="0.25">
      <c r="A154" s="174"/>
      <c r="B154" s="175">
        <f>1+AP144</f>
        <v>151</v>
      </c>
      <c r="F154" s="175">
        <f>1+B154</f>
        <v>152</v>
      </c>
      <c r="J154" s="175">
        <f>1+F154</f>
        <v>153</v>
      </c>
      <c r="N154" s="175">
        <f>1+J154</f>
        <v>154</v>
      </c>
      <c r="R154" s="175">
        <f>1+N154</f>
        <v>155</v>
      </c>
      <c r="V154" s="175">
        <f>1+R154</f>
        <v>156</v>
      </c>
      <c r="Z154" s="175">
        <f>1+V154</f>
        <v>157</v>
      </c>
      <c r="AD154" s="175">
        <f>1+Z154</f>
        <v>158</v>
      </c>
      <c r="AH154" s="175">
        <f>1+AD154</f>
        <v>159</v>
      </c>
      <c r="AL154" s="175">
        <f>1+AH154</f>
        <v>160</v>
      </c>
      <c r="AP154" s="175">
        <f>1+AL154</f>
        <v>161</v>
      </c>
      <c r="AT154" s="176"/>
      <c r="AV154" s="299"/>
      <c r="AW154" s="299"/>
    </row>
    <row r="155" spans="1:56" x14ac:dyDescent="0.35">
      <c r="A155" s="144"/>
      <c r="B155" s="156" t="s">
        <v>577</v>
      </c>
      <c r="C155" s="156" t="s">
        <v>578</v>
      </c>
      <c r="D155" s="296">
        <f>VLOOKUP(B154,'[80]Location Status'!$A$7:$D$178,4,0)</f>
        <v>391.18900000000002</v>
      </c>
      <c r="E155" s="305"/>
      <c r="F155" s="182" t="s">
        <v>577</v>
      </c>
      <c r="G155" s="182" t="s">
        <v>578</v>
      </c>
      <c r="H155" s="296">
        <f>VLOOKUP(F154,'[80]Location Status'!$A$7:$D$178,4,0)</f>
        <v>412</v>
      </c>
      <c r="I155" s="305"/>
      <c r="J155" s="182" t="s">
        <v>577</v>
      </c>
      <c r="K155" s="182" t="s">
        <v>578</v>
      </c>
      <c r="L155" s="296">
        <f>VLOOKUP(J154,'[80]Location Status'!$A$7:$D$178,4,0)</f>
        <v>384.05200000000002</v>
      </c>
      <c r="M155" s="305"/>
      <c r="N155" s="182" t="s">
        <v>577</v>
      </c>
      <c r="O155" s="182" t="s">
        <v>578</v>
      </c>
      <c r="P155" s="296">
        <f>VLOOKUP(N154,'[80]Location Status'!$A$7:$D$178,4,0)</f>
        <v>404</v>
      </c>
      <c r="Q155" s="305"/>
      <c r="R155" s="182" t="s">
        <v>577</v>
      </c>
      <c r="S155" s="182" t="s">
        <v>578</v>
      </c>
      <c r="T155" s="296">
        <f>VLOOKUP(R154,'[80]Location Status'!$A$7:$D$178,4,0)</f>
        <v>261.80599999999998</v>
      </c>
      <c r="U155" s="305"/>
      <c r="V155" s="182" t="s">
        <v>577</v>
      </c>
      <c r="W155" s="182" t="s">
        <v>578</v>
      </c>
      <c r="X155" s="296">
        <f>VLOOKUP(V154,'[80]Location Status'!$A$7:$D$178,4,0)</f>
        <v>358</v>
      </c>
      <c r="Y155" s="305"/>
      <c r="Z155" s="181" t="s">
        <v>577</v>
      </c>
      <c r="AA155" s="181" t="s">
        <v>578</v>
      </c>
      <c r="AB155" s="296">
        <f>VLOOKUP(Z154,'[80]Location Status'!$A$7:$D$178,4,0)</f>
        <v>419</v>
      </c>
      <c r="AC155" s="305"/>
      <c r="AD155" s="182" t="s">
        <v>577</v>
      </c>
      <c r="AE155" s="182" t="s">
        <v>578</v>
      </c>
      <c r="AF155" s="296">
        <f>VLOOKUP(AD154,'[80]Location Status'!$A$7:$D$178,4,0)</f>
        <v>367.80799999999999</v>
      </c>
      <c r="AG155" s="305"/>
      <c r="AH155" s="182" t="s">
        <v>577</v>
      </c>
      <c r="AI155" s="182" t="s">
        <v>578</v>
      </c>
      <c r="AJ155" s="296">
        <f>VLOOKUP(AH154,'[80]Location Status'!$A$7:$D$178,4,0)</f>
        <v>409.00299999999999</v>
      </c>
      <c r="AK155" s="305"/>
      <c r="AL155" s="182" t="s">
        <v>577</v>
      </c>
      <c r="AM155" s="182" t="s">
        <v>578</v>
      </c>
      <c r="AN155" s="296">
        <f>VLOOKUP(AL154,'[80]Location Status'!$A$7:$D$178,4,0)</f>
        <v>343</v>
      </c>
      <c r="AO155" s="305"/>
      <c r="AP155" s="182" t="s">
        <v>577</v>
      </c>
      <c r="AQ155" s="182" t="s">
        <v>578</v>
      </c>
      <c r="AR155" s="296">
        <f>VLOOKUP(AP154,'[80]Location Status'!$A$7:$D$178,4,0)</f>
        <v>394</v>
      </c>
      <c r="AS155" s="305"/>
      <c r="AT155" s="145"/>
      <c r="AV155" s="219">
        <f>D155+H155+L155+P155+T155+X155+AB155+AF155+AJ155+AN155+AR155</f>
        <v>4143.8580000000002</v>
      </c>
      <c r="AW155" s="219"/>
      <c r="AY155">
        <v>11</v>
      </c>
      <c r="BB155" s="184"/>
      <c r="BC155" s="184"/>
      <c r="BD155" s="185"/>
    </row>
    <row r="156" spans="1:56" x14ac:dyDescent="0.35">
      <c r="A156" s="144"/>
      <c r="B156" s="156" t="s">
        <v>581</v>
      </c>
      <c r="C156" s="156" t="s">
        <v>582</v>
      </c>
      <c r="F156" s="156" t="s">
        <v>581</v>
      </c>
      <c r="G156" s="156" t="s">
        <v>582</v>
      </c>
      <c r="J156" s="156" t="s">
        <v>581</v>
      </c>
      <c r="K156" s="156" t="s">
        <v>582</v>
      </c>
      <c r="N156" s="156" t="s">
        <v>581</v>
      </c>
      <c r="O156" s="156" t="s">
        <v>582</v>
      </c>
      <c r="R156" s="156" t="s">
        <v>581</v>
      </c>
      <c r="S156" s="156" t="s">
        <v>582</v>
      </c>
      <c r="V156" s="156" t="s">
        <v>581</v>
      </c>
      <c r="W156" s="156" t="s">
        <v>582</v>
      </c>
      <c r="Z156" s="157" t="s">
        <v>581</v>
      </c>
      <c r="AA156" s="157" t="s">
        <v>582</v>
      </c>
      <c r="AD156" s="156" t="s">
        <v>581</v>
      </c>
      <c r="AE156" s="156" t="s">
        <v>582</v>
      </c>
      <c r="AH156" s="156" t="s">
        <v>581</v>
      </c>
      <c r="AI156" s="156" t="s">
        <v>582</v>
      </c>
      <c r="AL156" s="156" t="s">
        <v>581</v>
      </c>
      <c r="AM156" s="156" t="s">
        <v>582</v>
      </c>
      <c r="AP156" s="156" t="s">
        <v>581</v>
      </c>
      <c r="AQ156" s="156" t="s">
        <v>582</v>
      </c>
      <c r="AT156" s="145"/>
      <c r="AV156" s="219"/>
      <c r="AW156" s="219"/>
    </row>
    <row r="157" spans="1:56" x14ac:dyDescent="0.35">
      <c r="A157" s="144"/>
      <c r="B157" s="303" t="s">
        <v>596</v>
      </c>
      <c r="C157" s="225"/>
      <c r="F157" s="303" t="s">
        <v>596</v>
      </c>
      <c r="G157" s="225"/>
      <c r="J157" s="304" t="s">
        <v>441</v>
      </c>
      <c r="K157" s="304"/>
      <c r="N157" s="303" t="s">
        <v>596</v>
      </c>
      <c r="O157" s="225"/>
      <c r="R157" s="226"/>
      <c r="S157" s="226"/>
      <c r="V157" s="226"/>
      <c r="W157" s="226"/>
      <c r="Z157" s="226"/>
      <c r="AA157" s="226"/>
      <c r="AD157" s="304" t="s">
        <v>441</v>
      </c>
      <c r="AE157" s="304"/>
      <c r="AH157" s="304" t="s">
        <v>441</v>
      </c>
      <c r="AI157" s="304"/>
      <c r="AL157" s="304" t="s">
        <v>441</v>
      </c>
      <c r="AM157" s="304"/>
      <c r="AP157" s="304" t="s">
        <v>441</v>
      </c>
      <c r="AQ157" s="304"/>
      <c r="AT157" s="145"/>
      <c r="AV157" s="219"/>
      <c r="AW157" s="219"/>
    </row>
    <row r="158" spans="1:56" x14ac:dyDescent="0.35">
      <c r="A158" s="144"/>
      <c r="B158" s="180" t="str">
        <f>VLOOKUP(B154,'[80]Location Status'!$A$7:$D$178,3,0)</f>
        <v>DA+0</v>
      </c>
      <c r="C158" s="180"/>
      <c r="F158" s="180" t="str">
        <f>VLOOKUP(F154,'[80]Location Status'!$A$7:$D$178,3,0)</f>
        <v>DC1+0</v>
      </c>
      <c r="G158" s="180"/>
      <c r="J158" s="180" t="str">
        <f>VLOOKUP(J154,'[80]Location Status'!$A$7:$D$178,3,0)</f>
        <v>DA+3</v>
      </c>
      <c r="K158" s="180"/>
      <c r="N158" s="180" t="str">
        <f>VLOOKUP(N154,'[80]Location Status'!$A$7:$D$178,3,0)</f>
        <v>DC1+0</v>
      </c>
      <c r="O158" s="180"/>
      <c r="R158" s="180" t="str">
        <f>VLOOKUP(R154,'[80]Location Status'!$A$7:$D$178,3,0)</f>
        <v>DB1+0</v>
      </c>
      <c r="S158" s="180"/>
      <c r="V158" s="180" t="str">
        <f>VLOOKUP(V154,'[80]Location Status'!$A$7:$D$178,3,0)</f>
        <v>DB2+0</v>
      </c>
      <c r="W158" s="180"/>
      <c r="Z158" s="180" t="str">
        <f>VLOOKUP(Z154,'[80]Location Status'!$A$7:$D$178,3,0)</f>
        <v>DA+0</v>
      </c>
      <c r="AA158" s="180"/>
      <c r="AD158" s="180" t="str">
        <f>VLOOKUP(AD154,'[80]Location Status'!$A$7:$D$178,3,0)</f>
        <v>DA+0</v>
      </c>
      <c r="AE158" s="180"/>
      <c r="AH158" s="180" t="str">
        <f>VLOOKUP(AH154,'[80]Location Status'!$A$7:$D$178,3,0)</f>
        <v>DC2+0</v>
      </c>
      <c r="AI158" s="180"/>
      <c r="AL158" s="180" t="str">
        <f>VLOOKUP(AL154,'[80]Location Status'!$A$7:$D$178,3,0)</f>
        <v>DA+9</v>
      </c>
      <c r="AM158" s="180"/>
      <c r="AP158" s="180" t="str">
        <f>VLOOKUP(AP154,'[80]Location Status'!$A$7:$D$178,3,0)</f>
        <v>DA+3</v>
      </c>
      <c r="AQ158" s="180"/>
      <c r="AT158" s="145"/>
      <c r="AV158" s="219"/>
      <c r="AW158" s="219"/>
      <c r="BB158" s="184"/>
      <c r="BC158" s="184"/>
      <c r="BD158" s="185"/>
    </row>
    <row r="159" spans="1:56" x14ac:dyDescent="0.35">
      <c r="A159" s="144"/>
      <c r="AT159" s="145"/>
      <c r="AV159" s="219"/>
      <c r="AW159" s="219"/>
    </row>
    <row r="160" spans="1:56" x14ac:dyDescent="0.35">
      <c r="A160" s="179"/>
      <c r="B160" s="179"/>
      <c r="C160" s="179"/>
      <c r="E160" s="179"/>
      <c r="F160" s="179"/>
      <c r="G160" s="179"/>
      <c r="M160" s="179"/>
      <c r="N160" s="179"/>
      <c r="O160" s="179"/>
      <c r="P160" s="179"/>
      <c r="R160" s="191" t="s">
        <v>405</v>
      </c>
      <c r="V160" s="195" t="s">
        <v>602</v>
      </c>
      <c r="W160" s="196"/>
      <c r="X160" s="197"/>
      <c r="AD160" s="191" t="s">
        <v>405</v>
      </c>
      <c r="AT160" s="145"/>
      <c r="AV160" s="219"/>
      <c r="AW160" s="219"/>
    </row>
    <row r="161" spans="1:56" x14ac:dyDescent="0.35">
      <c r="A161" s="144"/>
      <c r="B161" s="294" t="str">
        <f>VLOOKUP(B163,'[80]Location Status'!$A$7:$D$178,2,0)</f>
        <v>30/3</v>
      </c>
      <c r="C161" s="295"/>
      <c r="F161" s="294" t="str">
        <f>VLOOKUP(F163,'[80]Location Status'!$A$7:$D$178,2,0)</f>
        <v>30/4</v>
      </c>
      <c r="G161" s="295"/>
      <c r="J161" s="294" t="str">
        <f>VLOOKUP(J163,'[80]Location Status'!$A$7:$D$178,2,0)</f>
        <v>30/5</v>
      </c>
      <c r="K161" s="295"/>
      <c r="N161" s="294" t="str">
        <f>VLOOKUP(N163,'[80]Location Status'!$A$7:$D$178,2,0)</f>
        <v>31/0</v>
      </c>
      <c r="O161" s="295"/>
      <c r="R161" s="294" t="str">
        <f>VLOOKUP(R163,'[80]Location Status'!$A$7:$D$178,2,0)</f>
        <v>31/1</v>
      </c>
      <c r="S161" s="295"/>
      <c r="V161" s="294" t="str">
        <f>VLOOKUP(V163,'[80]Location Status'!$A$7:$D$178,2,0)</f>
        <v>31/2</v>
      </c>
      <c r="W161" s="295"/>
      <c r="Z161" s="294" t="str">
        <f>VLOOKUP(Z163,'[80]Location Status'!$A$7:$D$178,2,0)</f>
        <v xml:space="preserve">32/0 </v>
      </c>
      <c r="AA161" s="295"/>
      <c r="AD161" s="294" t="str">
        <f>VLOOKUP(AD163,'[80]Location Status'!$A$7:$D$178,2,0)</f>
        <v>32/1</v>
      </c>
      <c r="AE161" s="295"/>
      <c r="AH161" s="294" t="str">
        <f>VLOOKUP(AH163,'[80]Location Status'!$A$7:$D$178,2,0)</f>
        <v>32/2</v>
      </c>
      <c r="AI161" s="295"/>
      <c r="AL161" s="294" t="str">
        <f>VLOOKUP(AL163,'[80]Location Status'!$A$7:$D$178,2,0)</f>
        <v>33/0</v>
      </c>
      <c r="AM161" s="295"/>
      <c r="AP161" s="172"/>
      <c r="AQ161" s="171"/>
      <c r="AT161" s="145"/>
      <c r="AV161" s="219"/>
      <c r="AW161" s="219"/>
      <c r="BB161" s="183"/>
      <c r="BC161" s="184"/>
      <c r="BD161" s="185"/>
    </row>
    <row r="162" spans="1:56" x14ac:dyDescent="0.35">
      <c r="A162" s="144"/>
      <c r="AP162" s="172"/>
      <c r="AQ162" s="171"/>
      <c r="AT162" s="145"/>
      <c r="AV162" s="219"/>
      <c r="AW162" s="219"/>
    </row>
    <row r="163" spans="1:56" s="175" customFormat="1" x14ac:dyDescent="0.25">
      <c r="A163" s="174"/>
      <c r="B163" s="175">
        <f>1+AP154</f>
        <v>162</v>
      </c>
      <c r="F163" s="175">
        <f>1+B163</f>
        <v>163</v>
      </c>
      <c r="J163" s="175">
        <f>1+F163</f>
        <v>164</v>
      </c>
      <c r="N163" s="175">
        <f>1+J163</f>
        <v>165</v>
      </c>
      <c r="R163" s="175">
        <f>1+N163</f>
        <v>166</v>
      </c>
      <c r="V163" s="175">
        <f>1+R163</f>
        <v>167</v>
      </c>
      <c r="Z163" s="175">
        <f>1+V163</f>
        <v>168</v>
      </c>
      <c r="AD163" s="175">
        <f>1+Z163</f>
        <v>169</v>
      </c>
      <c r="AH163" s="175">
        <f>1+AD163</f>
        <v>170</v>
      </c>
      <c r="AL163" s="175">
        <f>1+AH163</f>
        <v>171</v>
      </c>
      <c r="AP163" s="172"/>
      <c r="AQ163" s="171"/>
      <c r="AT163" s="176"/>
      <c r="AV163" s="299"/>
      <c r="AW163" s="299"/>
    </row>
    <row r="164" spans="1:56" x14ac:dyDescent="0.35">
      <c r="A164" s="144"/>
      <c r="B164" s="156" t="s">
        <v>577</v>
      </c>
      <c r="C164" s="156" t="s">
        <v>578</v>
      </c>
      <c r="D164" s="294">
        <f>VLOOKUP(B163,'[80]Location Status'!$A$7:$D$178,4,0)</f>
        <v>403</v>
      </c>
      <c r="E164" s="295"/>
      <c r="F164" s="156" t="s">
        <v>577</v>
      </c>
      <c r="G164" s="156" t="s">
        <v>578</v>
      </c>
      <c r="H164" s="296">
        <f>VLOOKUP(F163,'[80]Location Status'!$A$7:$D$178,4,0)</f>
        <v>350</v>
      </c>
      <c r="I164" s="305"/>
      <c r="J164" s="182" t="s">
        <v>577</v>
      </c>
      <c r="K164" s="182" t="s">
        <v>578</v>
      </c>
      <c r="L164" s="296">
        <f>VLOOKUP(J163,'[80]Location Status'!$A$7:$D$178,4,0)</f>
        <v>354.815</v>
      </c>
      <c r="M164" s="305"/>
      <c r="N164" s="182" t="s">
        <v>577</v>
      </c>
      <c r="O164" s="182" t="s">
        <v>578</v>
      </c>
      <c r="P164" s="296">
        <f>VLOOKUP(N163,'[80]Location Status'!$A$7:$D$178,4,0)</f>
        <v>363</v>
      </c>
      <c r="Q164" s="305"/>
      <c r="R164" s="178" t="s">
        <v>577</v>
      </c>
      <c r="S164" s="178" t="s">
        <v>578</v>
      </c>
      <c r="T164" s="296">
        <f>VLOOKUP(R163,'[80]Location Status'!$A$7:$D$178,4,0)</f>
        <v>437</v>
      </c>
      <c r="U164" s="305"/>
      <c r="V164" s="182" t="s">
        <v>577</v>
      </c>
      <c r="W164" s="182" t="s">
        <v>578</v>
      </c>
      <c r="X164" s="296">
        <f>VLOOKUP(V163,'[80]Location Status'!$A$7:$D$178,4,0)</f>
        <v>347.61599999999999</v>
      </c>
      <c r="Y164" s="305"/>
      <c r="Z164" s="182" t="s">
        <v>577</v>
      </c>
      <c r="AA164" s="182" t="s">
        <v>578</v>
      </c>
      <c r="AB164" s="296">
        <f>VLOOKUP(Z163,'[80]Location Status'!$A$7:$D$178,4,0)</f>
        <v>400</v>
      </c>
      <c r="AC164" s="305"/>
      <c r="AD164" s="178" t="s">
        <v>577</v>
      </c>
      <c r="AE164" s="178" t="s">
        <v>578</v>
      </c>
      <c r="AF164" s="296">
        <f>VLOOKUP(AD163,'[80]Location Status'!$A$7:$D$178,4,0)</f>
        <v>439</v>
      </c>
      <c r="AG164" s="305"/>
      <c r="AH164" s="182" t="s">
        <v>577</v>
      </c>
      <c r="AI164" s="182" t="s">
        <v>578</v>
      </c>
      <c r="AJ164" s="296">
        <f>VLOOKUP(AH163,'[80]Location Status'!$A$7:$D$178,4,0)</f>
        <v>343.60700000000003</v>
      </c>
      <c r="AK164" s="305"/>
      <c r="AL164" s="182" t="s">
        <v>577</v>
      </c>
      <c r="AM164" s="182" t="s">
        <v>578</v>
      </c>
      <c r="AN164" s="177"/>
      <c r="AO164" s="198"/>
      <c r="AP164" s="172"/>
      <c r="AQ164" s="171"/>
      <c r="AR164" s="172"/>
      <c r="AS164" s="171"/>
      <c r="AT164" s="145"/>
      <c r="AV164" s="308">
        <f>D164+H164+L164+P164+T164+X164+AB164+AF164+AJ164+AN164+AR164</f>
        <v>3438.038</v>
      </c>
      <c r="AW164" s="308"/>
      <c r="AY164">
        <v>10</v>
      </c>
      <c r="BB164" s="184"/>
      <c r="BC164" s="184"/>
      <c r="BD164" s="185"/>
    </row>
    <row r="165" spans="1:56" x14ac:dyDescent="0.35">
      <c r="A165" s="144"/>
      <c r="B165" s="156" t="s">
        <v>581</v>
      </c>
      <c r="C165" s="156" t="s">
        <v>582</v>
      </c>
      <c r="F165" s="156" t="s">
        <v>581</v>
      </c>
      <c r="G165" s="156" t="s">
        <v>582</v>
      </c>
      <c r="J165" s="156" t="s">
        <v>581</v>
      </c>
      <c r="K165" s="156" t="s">
        <v>582</v>
      </c>
      <c r="N165" s="156" t="s">
        <v>581</v>
      </c>
      <c r="O165" s="156" t="s">
        <v>582</v>
      </c>
      <c r="R165" s="71" t="s">
        <v>581</v>
      </c>
      <c r="S165" s="71" t="s">
        <v>582</v>
      </c>
      <c r="V165" s="156" t="s">
        <v>581</v>
      </c>
      <c r="W165" s="156" t="s">
        <v>582</v>
      </c>
      <c r="Z165" s="156" t="s">
        <v>581</v>
      </c>
      <c r="AA165" s="156" t="s">
        <v>582</v>
      </c>
      <c r="AD165" s="71" t="s">
        <v>581</v>
      </c>
      <c r="AE165" s="71" t="s">
        <v>582</v>
      </c>
      <c r="AH165" s="156" t="s">
        <v>581</v>
      </c>
      <c r="AI165" s="156" t="s">
        <v>582</v>
      </c>
      <c r="AL165" s="156" t="s">
        <v>581</v>
      </c>
      <c r="AM165" s="156" t="s">
        <v>582</v>
      </c>
      <c r="AP165" s="172"/>
      <c r="AQ165" s="171"/>
      <c r="AT165" s="145"/>
      <c r="AV165" s="219"/>
      <c r="AW165" s="219"/>
    </row>
    <row r="166" spans="1:56" x14ac:dyDescent="0.35">
      <c r="A166" s="144"/>
      <c r="B166" s="303" t="s">
        <v>596</v>
      </c>
      <c r="C166" s="225"/>
      <c r="F166" s="304" t="s">
        <v>441</v>
      </c>
      <c r="G166" s="304"/>
      <c r="J166" s="304" t="s">
        <v>441</v>
      </c>
      <c r="K166" s="304"/>
      <c r="N166" s="304" t="s">
        <v>441</v>
      </c>
      <c r="O166" s="304"/>
      <c r="R166" s="226"/>
      <c r="S166" s="226"/>
      <c r="V166" s="226"/>
      <c r="W166" s="226"/>
      <c r="Z166" s="304" t="s">
        <v>441</v>
      </c>
      <c r="AA166" s="304"/>
      <c r="AD166" s="226"/>
      <c r="AE166" s="226"/>
      <c r="AH166" s="303" t="s">
        <v>596</v>
      </c>
      <c r="AI166" s="225"/>
      <c r="AL166" s="303" t="s">
        <v>596</v>
      </c>
      <c r="AM166" s="225"/>
      <c r="AP166" s="172"/>
      <c r="AQ166" s="171"/>
      <c r="AT166" s="145"/>
      <c r="AV166" s="219"/>
      <c r="AW166" s="219"/>
    </row>
    <row r="167" spans="1:56" x14ac:dyDescent="0.35">
      <c r="A167" s="144"/>
      <c r="B167" s="180" t="str">
        <f>VLOOKUP(B163,'[80]Location Status'!$A$7:$D$178,3,0)</f>
        <v>DA+9</v>
      </c>
      <c r="C167" s="180"/>
      <c r="F167" s="180" t="str">
        <f>VLOOKUP(F163,'[80]Location Status'!$A$7:$D$178,3,0)</f>
        <v>DA+3</v>
      </c>
      <c r="G167" s="180"/>
      <c r="J167" s="180" t="str">
        <f>VLOOKUP(J163,'[80]Location Status'!$A$7:$D$178,3,0)</f>
        <v>DA+0</v>
      </c>
      <c r="K167" s="180"/>
      <c r="N167" s="180" t="str">
        <f>VLOOKUP(N163,'[80]Location Status'!$A$7:$D$178,3,0)</f>
        <v>DD45+0</v>
      </c>
      <c r="O167" s="180"/>
      <c r="R167" s="180" t="str">
        <f>VLOOKUP(R163,'[80]Location Status'!$A$7:$D$178,3,0)</f>
        <v>DA+6</v>
      </c>
      <c r="S167" s="180"/>
      <c r="V167" s="180" t="str">
        <f>VLOOKUP(V163,'[80]Location Status'!$A$7:$D$178,3,0)</f>
        <v>DB1+6</v>
      </c>
      <c r="W167" s="180"/>
      <c r="Z167" s="180" t="str">
        <f>VLOOKUP(Z163,'[80]Location Status'!$A$7:$D$178,3,0)</f>
        <v>DB1+0</v>
      </c>
      <c r="AA167" s="180"/>
      <c r="AD167" s="180" t="str">
        <f>VLOOKUP(AD163,'[80]Location Status'!$A$7:$D$178,3,0)</f>
        <v>DA+6</v>
      </c>
      <c r="AE167" s="180"/>
      <c r="AH167" s="180" t="str">
        <f>VLOOKUP(AH163,'[80]Location Status'!$A$7:$D$178,3,0)</f>
        <v>DB1+9</v>
      </c>
      <c r="AI167" s="180"/>
      <c r="AL167" s="180" t="str">
        <f>VLOOKUP(AL163,'[80]Location Status'!$A$7:$D$178,3,0)</f>
        <v>DC2+0</v>
      </c>
      <c r="AM167" s="180"/>
      <c r="AP167" s="180"/>
      <c r="AQ167" s="180"/>
      <c r="AT167" s="145"/>
      <c r="AV167" s="219"/>
      <c r="AW167" s="219"/>
      <c r="BB167" s="184"/>
      <c r="BC167" s="184"/>
      <c r="BD167" s="185"/>
    </row>
    <row r="168" spans="1:56" ht="15" thickBot="1" x14ac:dyDescent="0.4">
      <c r="A168" s="199"/>
      <c r="B168" s="200"/>
      <c r="C168" s="200"/>
      <c r="D168" s="201"/>
      <c r="E168" s="201"/>
      <c r="F168" s="200"/>
      <c r="G168" s="200"/>
      <c r="H168" s="201"/>
      <c r="I168" s="201"/>
      <c r="J168" s="200"/>
      <c r="K168" s="200"/>
      <c r="L168" s="201"/>
      <c r="M168" s="201"/>
      <c r="N168" s="200"/>
      <c r="O168" s="200"/>
      <c r="P168" s="201"/>
      <c r="Q168" s="201"/>
      <c r="R168" s="200"/>
      <c r="S168" s="200"/>
      <c r="T168" s="201"/>
      <c r="U168" s="201"/>
      <c r="V168" s="200"/>
      <c r="W168" s="200"/>
      <c r="X168" s="201"/>
      <c r="Y168" s="201"/>
      <c r="Z168" s="200"/>
      <c r="AA168" s="200"/>
      <c r="AB168" s="201"/>
      <c r="AC168" s="201"/>
      <c r="AD168" s="200"/>
      <c r="AE168" s="200"/>
      <c r="AF168" s="201"/>
      <c r="AG168" s="201"/>
      <c r="AH168" s="200"/>
      <c r="AI168" s="200"/>
      <c r="AJ168" s="201"/>
      <c r="AK168" s="201"/>
      <c r="AL168" s="200"/>
      <c r="AM168" s="200"/>
      <c r="AN168" s="201"/>
      <c r="AO168" s="201"/>
      <c r="AP168" s="200"/>
      <c r="AQ168" s="200"/>
      <c r="AR168" s="201"/>
      <c r="AS168" s="201"/>
      <c r="AT168" s="202"/>
      <c r="AV168" s="219"/>
      <c r="AW168" s="219"/>
    </row>
    <row r="169" spans="1:56" ht="15" thickBot="1" x14ac:dyDescent="0.4"/>
    <row r="170" spans="1:56" ht="15" thickBot="1" x14ac:dyDescent="0.4">
      <c r="A170" s="314" t="s">
        <v>619</v>
      </c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6"/>
    </row>
    <row r="171" spans="1:56" ht="0.75" customHeight="1" thickBot="1" x14ac:dyDescent="0.4">
      <c r="A171" s="144"/>
      <c r="O171" s="145"/>
    </row>
    <row r="172" spans="1:56" s="321" customFormat="1" ht="24.75" customHeight="1" thickBot="1" x14ac:dyDescent="0.4">
      <c r="A172" s="317" t="s">
        <v>620</v>
      </c>
      <c r="B172" s="318"/>
      <c r="C172" s="318" t="s">
        <v>621</v>
      </c>
      <c r="D172" s="318"/>
      <c r="E172" s="318"/>
      <c r="F172" s="319"/>
      <c r="G172" s="318" t="s">
        <v>622</v>
      </c>
      <c r="H172" s="318"/>
      <c r="I172" s="318"/>
      <c r="J172" s="318" t="s">
        <v>623</v>
      </c>
      <c r="K172" s="318"/>
      <c r="L172" s="318"/>
      <c r="M172" s="318" t="s">
        <v>0</v>
      </c>
      <c r="N172" s="318"/>
      <c r="O172" s="320"/>
      <c r="P172"/>
      <c r="Q172"/>
      <c r="R172"/>
      <c r="S172"/>
      <c r="T172"/>
      <c r="U172"/>
      <c r="V172"/>
      <c r="Y172" s="317" t="s">
        <v>624</v>
      </c>
      <c r="Z172" s="318"/>
      <c r="AA172" s="318"/>
      <c r="AB172" s="318" t="s">
        <v>625</v>
      </c>
      <c r="AC172" s="318"/>
      <c r="AD172" s="318"/>
      <c r="AE172" s="318" t="s">
        <v>570</v>
      </c>
      <c r="AF172" s="318"/>
      <c r="AG172" s="320"/>
    </row>
    <row r="173" spans="1:56" x14ac:dyDescent="0.35">
      <c r="A173" s="236">
        <f>1</f>
        <v>1</v>
      </c>
      <c r="B173" s="232"/>
      <c r="C173" s="322" t="s">
        <v>4</v>
      </c>
      <c r="D173" s="322"/>
      <c r="E173" s="322"/>
      <c r="F173" s="323" t="s">
        <v>626</v>
      </c>
      <c r="G173" s="322">
        <f>'[80]updated Progress'!C185</f>
        <v>10</v>
      </c>
      <c r="H173" s="322"/>
      <c r="I173" s="322"/>
      <c r="J173" s="322">
        <f>'[80]updated Progress'!D185</f>
        <v>9</v>
      </c>
      <c r="K173" s="322"/>
      <c r="L173" s="322"/>
      <c r="M173" s="322">
        <f>'[80]updated Progress'!E185</f>
        <v>1</v>
      </c>
      <c r="N173" s="322"/>
      <c r="O173" s="324"/>
      <c r="W173" s="158"/>
      <c r="X173" s="158"/>
      <c r="Y173" s="325">
        <f>'[80]updated Progress'!N185</f>
        <v>7</v>
      </c>
      <c r="Z173" s="322"/>
      <c r="AA173" s="322"/>
      <c r="AB173" s="322">
        <f>'[80]updated Progress'!O185</f>
        <v>2</v>
      </c>
      <c r="AC173" s="322"/>
      <c r="AD173" s="322"/>
      <c r="AE173" s="326">
        <f>'[80]updated Progress'!Q185</f>
        <v>3</v>
      </c>
      <c r="AF173" s="322"/>
      <c r="AG173" s="324"/>
    </row>
    <row r="174" spans="1:56" x14ac:dyDescent="0.35">
      <c r="A174" s="327">
        <f>A173+1</f>
        <v>2</v>
      </c>
      <c r="B174" s="226"/>
      <c r="C174" s="328" t="s">
        <v>55</v>
      </c>
      <c r="D174" s="328"/>
      <c r="E174" s="328"/>
      <c r="F174" s="203" t="s">
        <v>626</v>
      </c>
      <c r="G174" s="322">
        <f>'[80]updated Progress'!C186</f>
        <v>5</v>
      </c>
      <c r="H174" s="322"/>
      <c r="I174" s="322"/>
      <c r="J174" s="322">
        <f>'[80]updated Progress'!D186</f>
        <v>5</v>
      </c>
      <c r="K174" s="322"/>
      <c r="L174" s="322"/>
      <c r="M174" s="322">
        <f>'[80]updated Progress'!E186</f>
        <v>0</v>
      </c>
      <c r="N174" s="322"/>
      <c r="O174" s="324"/>
      <c r="W174" s="158"/>
      <c r="X174" s="158"/>
      <c r="Y174" s="325">
        <f>'[80]updated Progress'!N186</f>
        <v>5</v>
      </c>
      <c r="Z174" s="322"/>
      <c r="AA174" s="322"/>
      <c r="AB174" s="322">
        <f>'[80]updated Progress'!O186</f>
        <v>0</v>
      </c>
      <c r="AC174" s="322"/>
      <c r="AD174" s="322"/>
      <c r="AE174" s="326">
        <f>'[80]updated Progress'!Q186</f>
        <v>0</v>
      </c>
      <c r="AF174" s="322"/>
      <c r="AG174" s="324"/>
    </row>
    <row r="175" spans="1:56" x14ac:dyDescent="0.35">
      <c r="A175" s="327">
        <f t="shared" ref="A175:A205" si="1">A174+1</f>
        <v>3</v>
      </c>
      <c r="B175" s="226"/>
      <c r="C175" s="328" t="s">
        <v>3</v>
      </c>
      <c r="D175" s="328"/>
      <c r="E175" s="328"/>
      <c r="F175" s="203" t="s">
        <v>626</v>
      </c>
      <c r="G175" s="322">
        <f>'[80]updated Progress'!C187</f>
        <v>44</v>
      </c>
      <c r="H175" s="322"/>
      <c r="I175" s="322"/>
      <c r="J175" s="322">
        <f>'[80]updated Progress'!D187</f>
        <v>31</v>
      </c>
      <c r="K175" s="322"/>
      <c r="L175" s="322"/>
      <c r="M175" s="322">
        <f>'[80]updated Progress'!E187</f>
        <v>13</v>
      </c>
      <c r="N175" s="322"/>
      <c r="O175" s="324"/>
      <c r="W175" s="158"/>
      <c r="X175" s="158"/>
      <c r="Y175" s="325">
        <f>'[80]updated Progress'!N187</f>
        <v>17</v>
      </c>
      <c r="Z175" s="322"/>
      <c r="AA175" s="322"/>
      <c r="AB175" s="322">
        <f>'[80]updated Progress'!O187</f>
        <v>14</v>
      </c>
      <c r="AC175" s="322"/>
      <c r="AD175" s="322"/>
      <c r="AE175" s="326">
        <f>'[80]updated Progress'!Q187</f>
        <v>27</v>
      </c>
      <c r="AF175" s="322"/>
      <c r="AG175" s="324"/>
    </row>
    <row r="176" spans="1:56" x14ac:dyDescent="0.35">
      <c r="A176" s="327">
        <f t="shared" si="1"/>
        <v>4</v>
      </c>
      <c r="B176" s="226"/>
      <c r="C176" s="329" t="s">
        <v>68</v>
      </c>
      <c r="D176" s="328"/>
      <c r="E176" s="328"/>
      <c r="F176" s="203" t="s">
        <v>626</v>
      </c>
      <c r="G176" s="322">
        <f>'[80]updated Progress'!C188</f>
        <v>0</v>
      </c>
      <c r="H176" s="322"/>
      <c r="I176" s="322"/>
      <c r="J176" s="322">
        <f>'[80]updated Progress'!D188</f>
        <v>0</v>
      </c>
      <c r="K176" s="322"/>
      <c r="L176" s="322"/>
      <c r="M176" s="322">
        <f>'[80]updated Progress'!E188</f>
        <v>0</v>
      </c>
      <c r="N176" s="322"/>
      <c r="O176" s="324"/>
      <c r="W176" s="158"/>
      <c r="X176" s="158"/>
      <c r="Y176" s="325">
        <f>'[80]updated Progress'!N188</f>
        <v>0</v>
      </c>
      <c r="Z176" s="322"/>
      <c r="AA176" s="322"/>
      <c r="AB176" s="322">
        <f>'[80]updated Progress'!O188</f>
        <v>0</v>
      </c>
      <c r="AC176" s="322"/>
      <c r="AD176" s="322"/>
      <c r="AE176" s="326">
        <f>'[80]updated Progress'!Q188</f>
        <v>0</v>
      </c>
      <c r="AF176" s="322"/>
      <c r="AG176" s="324"/>
    </row>
    <row r="177" spans="1:33" x14ac:dyDescent="0.35">
      <c r="A177" s="327">
        <f t="shared" si="1"/>
        <v>5</v>
      </c>
      <c r="B177" s="226"/>
      <c r="C177" s="329" t="s">
        <v>2</v>
      </c>
      <c r="D177" s="328"/>
      <c r="E177" s="328"/>
      <c r="F177" s="203" t="s">
        <v>626</v>
      </c>
      <c r="G177" s="322">
        <f>'[80]updated Progress'!C189</f>
        <v>43</v>
      </c>
      <c r="H177" s="322"/>
      <c r="I177" s="322"/>
      <c r="J177" s="322">
        <f>'[80]updated Progress'!D189</f>
        <v>32</v>
      </c>
      <c r="K177" s="322"/>
      <c r="L177" s="322"/>
      <c r="M177" s="322">
        <f>'[80]updated Progress'!E189</f>
        <v>11</v>
      </c>
      <c r="N177" s="322"/>
      <c r="O177" s="324"/>
      <c r="W177" s="158"/>
      <c r="X177" s="158"/>
      <c r="Y177" s="325">
        <f>'[80]updated Progress'!N189</f>
        <v>21</v>
      </c>
      <c r="Z177" s="322"/>
      <c r="AA177" s="322"/>
      <c r="AB177" s="322">
        <f>'[80]updated Progress'!O189</f>
        <v>11</v>
      </c>
      <c r="AC177" s="322"/>
      <c r="AD177" s="322"/>
      <c r="AE177" s="326">
        <f>'[80]updated Progress'!Q189</f>
        <v>22</v>
      </c>
      <c r="AF177" s="322"/>
      <c r="AG177" s="324"/>
    </row>
    <row r="178" spans="1:33" x14ac:dyDescent="0.35">
      <c r="A178" s="327">
        <f t="shared" si="1"/>
        <v>6</v>
      </c>
      <c r="B178" s="226"/>
      <c r="C178" s="328" t="s">
        <v>47</v>
      </c>
      <c r="D178" s="328"/>
      <c r="E178" s="328"/>
      <c r="F178" s="203" t="s">
        <v>626</v>
      </c>
      <c r="G178" s="322">
        <f>'[80]updated Progress'!C190</f>
        <v>14</v>
      </c>
      <c r="H178" s="322"/>
      <c r="I178" s="322"/>
      <c r="J178" s="322">
        <f>'[80]updated Progress'!D190</f>
        <v>11</v>
      </c>
      <c r="K178" s="322"/>
      <c r="L178" s="322"/>
      <c r="M178" s="322">
        <f>'[80]updated Progress'!E190</f>
        <v>3</v>
      </c>
      <c r="N178" s="322"/>
      <c r="O178" s="324"/>
      <c r="W178" s="158"/>
      <c r="X178" s="158"/>
      <c r="Y178" s="325">
        <f>'[80]updated Progress'!N190</f>
        <v>8</v>
      </c>
      <c r="Z178" s="322"/>
      <c r="AA178" s="322"/>
      <c r="AB178" s="322">
        <f>'[80]updated Progress'!O190</f>
        <v>3</v>
      </c>
      <c r="AC178" s="322"/>
      <c r="AD178" s="322"/>
      <c r="AE178" s="326">
        <f>'[80]updated Progress'!Q190</f>
        <v>6</v>
      </c>
      <c r="AF178" s="322"/>
      <c r="AG178" s="324"/>
    </row>
    <row r="179" spans="1:33" x14ac:dyDescent="0.35">
      <c r="A179" s="327">
        <f t="shared" si="1"/>
        <v>7</v>
      </c>
      <c r="B179" s="226"/>
      <c r="C179" s="328" t="s">
        <v>17</v>
      </c>
      <c r="D179" s="328"/>
      <c r="E179" s="328"/>
      <c r="F179" s="203" t="s">
        <v>626</v>
      </c>
      <c r="G179" s="322">
        <f>'[80]updated Progress'!C191</f>
        <v>8</v>
      </c>
      <c r="H179" s="322"/>
      <c r="I179" s="322"/>
      <c r="J179" s="322">
        <f>'[80]updated Progress'!D191</f>
        <v>7</v>
      </c>
      <c r="K179" s="322"/>
      <c r="L179" s="322"/>
      <c r="M179" s="322">
        <f>'[80]updated Progress'!E191</f>
        <v>1</v>
      </c>
      <c r="N179" s="322"/>
      <c r="O179" s="324"/>
      <c r="W179" s="158"/>
      <c r="X179" s="158"/>
      <c r="Y179" s="325">
        <f>'[80]updated Progress'!N191</f>
        <v>3</v>
      </c>
      <c r="Z179" s="322"/>
      <c r="AA179" s="322"/>
      <c r="AB179" s="322">
        <f>'[80]updated Progress'!O191</f>
        <v>4</v>
      </c>
      <c r="AC179" s="322"/>
      <c r="AD179" s="322"/>
      <c r="AE179" s="326">
        <f>'[80]updated Progress'!Q191</f>
        <v>5</v>
      </c>
      <c r="AF179" s="322"/>
      <c r="AG179" s="324"/>
    </row>
    <row r="180" spans="1:33" x14ac:dyDescent="0.35">
      <c r="A180" s="327">
        <f t="shared" si="1"/>
        <v>8</v>
      </c>
      <c r="B180" s="226"/>
      <c r="C180" s="328" t="s">
        <v>89</v>
      </c>
      <c r="D180" s="328"/>
      <c r="E180" s="328"/>
      <c r="F180" s="203" t="s">
        <v>626</v>
      </c>
      <c r="G180" s="322">
        <f>'[80]updated Progress'!C192</f>
        <v>3</v>
      </c>
      <c r="H180" s="322"/>
      <c r="I180" s="322"/>
      <c r="J180" s="322">
        <f>'[80]updated Progress'!D192</f>
        <v>1</v>
      </c>
      <c r="K180" s="322"/>
      <c r="L180" s="322"/>
      <c r="M180" s="322">
        <f>'[80]updated Progress'!E192</f>
        <v>2</v>
      </c>
      <c r="N180" s="322"/>
      <c r="O180" s="324"/>
      <c r="W180" s="158"/>
      <c r="X180" s="158"/>
      <c r="Y180" s="325">
        <f>'[80]updated Progress'!N192</f>
        <v>0</v>
      </c>
      <c r="Z180" s="322"/>
      <c r="AA180" s="322"/>
      <c r="AB180" s="322">
        <f>'[80]updated Progress'!O192</f>
        <v>1</v>
      </c>
      <c r="AC180" s="322"/>
      <c r="AD180" s="322"/>
      <c r="AE180" s="326">
        <f>'[80]updated Progress'!Q192</f>
        <v>3</v>
      </c>
      <c r="AF180" s="322"/>
      <c r="AG180" s="324"/>
    </row>
    <row r="181" spans="1:33" x14ac:dyDescent="0.35">
      <c r="A181" s="327">
        <f t="shared" si="1"/>
        <v>9</v>
      </c>
      <c r="B181" s="226"/>
      <c r="C181" s="329" t="s">
        <v>98</v>
      </c>
      <c r="D181" s="328"/>
      <c r="E181" s="328"/>
      <c r="F181" s="203" t="s">
        <v>626</v>
      </c>
      <c r="G181" s="322">
        <f>'[80]updated Progress'!C193</f>
        <v>0</v>
      </c>
      <c r="H181" s="322"/>
      <c r="I181" s="322"/>
      <c r="J181" s="322">
        <f>'[80]updated Progress'!D193</f>
        <v>0</v>
      </c>
      <c r="K181" s="322"/>
      <c r="L181" s="322"/>
      <c r="M181" s="322">
        <f>'[80]updated Progress'!E193</f>
        <v>0</v>
      </c>
      <c r="N181" s="322"/>
      <c r="O181" s="324"/>
      <c r="W181" s="158"/>
      <c r="X181" s="158"/>
      <c r="Y181" s="325">
        <f>'[80]updated Progress'!N193</f>
        <v>0</v>
      </c>
      <c r="Z181" s="322"/>
      <c r="AA181" s="322"/>
      <c r="AB181" s="322">
        <f>'[80]updated Progress'!O193</f>
        <v>0</v>
      </c>
      <c r="AC181" s="322"/>
      <c r="AD181" s="322"/>
      <c r="AE181" s="326">
        <f>'[80]updated Progress'!Q193</f>
        <v>0</v>
      </c>
      <c r="AF181" s="322"/>
      <c r="AG181" s="324"/>
    </row>
    <row r="182" spans="1:33" x14ac:dyDescent="0.35">
      <c r="A182" s="327">
        <f>A180+1</f>
        <v>9</v>
      </c>
      <c r="B182" s="226"/>
      <c r="C182" s="328" t="s">
        <v>99</v>
      </c>
      <c r="D182" s="328"/>
      <c r="E182" s="328"/>
      <c r="F182" s="203" t="s">
        <v>626</v>
      </c>
      <c r="G182" s="322">
        <f>'[80]updated Progress'!C194</f>
        <v>4</v>
      </c>
      <c r="H182" s="322"/>
      <c r="I182" s="322"/>
      <c r="J182" s="322">
        <f>'[80]updated Progress'!D194</f>
        <v>3</v>
      </c>
      <c r="K182" s="322"/>
      <c r="L182" s="322"/>
      <c r="M182" s="322">
        <f>'[80]updated Progress'!E194</f>
        <v>1</v>
      </c>
      <c r="N182" s="322"/>
      <c r="O182" s="324"/>
      <c r="W182" s="158"/>
      <c r="X182" s="158"/>
      <c r="Y182" s="325">
        <f>'[80]updated Progress'!N194</f>
        <v>0</v>
      </c>
      <c r="Z182" s="322"/>
      <c r="AA182" s="322"/>
      <c r="AB182" s="322">
        <f>'[80]updated Progress'!O194</f>
        <v>3</v>
      </c>
      <c r="AC182" s="322"/>
      <c r="AD182" s="322"/>
      <c r="AE182" s="326">
        <f>'[80]updated Progress'!Q194</f>
        <v>4</v>
      </c>
      <c r="AF182" s="322"/>
      <c r="AG182" s="324"/>
    </row>
    <row r="183" spans="1:33" x14ac:dyDescent="0.35">
      <c r="A183" s="327">
        <f t="shared" si="1"/>
        <v>10</v>
      </c>
      <c r="B183" s="226"/>
      <c r="C183" s="328" t="s">
        <v>93</v>
      </c>
      <c r="D183" s="328"/>
      <c r="E183" s="328"/>
      <c r="F183" s="203" t="s">
        <v>626</v>
      </c>
      <c r="G183" s="322">
        <f>'[80]updated Progress'!C195</f>
        <v>6</v>
      </c>
      <c r="H183" s="322"/>
      <c r="I183" s="322"/>
      <c r="J183" s="322">
        <f>'[80]updated Progress'!D195</f>
        <v>6</v>
      </c>
      <c r="K183" s="322"/>
      <c r="L183" s="322"/>
      <c r="M183" s="322">
        <f>'[80]updated Progress'!E195</f>
        <v>0</v>
      </c>
      <c r="N183" s="322"/>
      <c r="O183" s="324"/>
      <c r="W183" s="158"/>
      <c r="X183" s="158"/>
      <c r="Y183" s="325">
        <f>'[80]updated Progress'!N195</f>
        <v>0</v>
      </c>
      <c r="Z183" s="322"/>
      <c r="AA183" s="322"/>
      <c r="AB183" s="322">
        <f>'[80]updated Progress'!O195</f>
        <v>6</v>
      </c>
      <c r="AC183" s="322"/>
      <c r="AD183" s="322"/>
      <c r="AE183" s="326">
        <f>'[80]updated Progress'!Q195</f>
        <v>6</v>
      </c>
      <c r="AF183" s="322"/>
      <c r="AG183" s="324"/>
    </row>
    <row r="184" spans="1:33" x14ac:dyDescent="0.35">
      <c r="A184" s="327">
        <f t="shared" si="1"/>
        <v>11</v>
      </c>
      <c r="B184" s="226"/>
      <c r="C184" s="328" t="s">
        <v>82</v>
      </c>
      <c r="D184" s="328"/>
      <c r="E184" s="328"/>
      <c r="F184" s="203" t="s">
        <v>626</v>
      </c>
      <c r="G184" s="322">
        <f>'[80]updated Progress'!C196</f>
        <v>8</v>
      </c>
      <c r="H184" s="322"/>
      <c r="I184" s="322"/>
      <c r="J184" s="322">
        <f>'[80]updated Progress'!D196</f>
        <v>5</v>
      </c>
      <c r="K184" s="322"/>
      <c r="L184" s="322"/>
      <c r="M184" s="322">
        <f>'[80]updated Progress'!E196</f>
        <v>3</v>
      </c>
      <c r="N184" s="322"/>
      <c r="O184" s="324"/>
      <c r="W184" s="158"/>
      <c r="X184" s="158"/>
      <c r="Y184" s="325">
        <f>'[80]updated Progress'!N196</f>
        <v>0</v>
      </c>
      <c r="Z184" s="322"/>
      <c r="AA184" s="322"/>
      <c r="AB184" s="322">
        <f>'[80]updated Progress'!O196</f>
        <v>5</v>
      </c>
      <c r="AC184" s="322"/>
      <c r="AD184" s="322"/>
      <c r="AE184" s="326">
        <f>'[80]updated Progress'!Q196</f>
        <v>8</v>
      </c>
      <c r="AF184" s="322"/>
      <c r="AG184" s="324"/>
    </row>
    <row r="185" spans="1:33" x14ac:dyDescent="0.35">
      <c r="A185" s="327">
        <f t="shared" si="1"/>
        <v>12</v>
      </c>
      <c r="B185" s="226"/>
      <c r="C185" s="328" t="s">
        <v>100</v>
      </c>
      <c r="D185" s="328"/>
      <c r="E185" s="328"/>
      <c r="F185" s="203" t="s">
        <v>626</v>
      </c>
      <c r="G185" s="322">
        <f>'[80]updated Progress'!C197</f>
        <v>1</v>
      </c>
      <c r="H185" s="322"/>
      <c r="I185" s="322"/>
      <c r="J185" s="322">
        <f>'[80]updated Progress'!D197</f>
        <v>1</v>
      </c>
      <c r="K185" s="322"/>
      <c r="L185" s="322"/>
      <c r="M185" s="322">
        <f>'[80]updated Progress'!E197</f>
        <v>0</v>
      </c>
      <c r="N185" s="322"/>
      <c r="O185" s="324"/>
      <c r="W185" s="158"/>
      <c r="X185" s="158"/>
      <c r="Y185" s="325">
        <f>'[80]updated Progress'!N197</f>
        <v>0</v>
      </c>
      <c r="Z185" s="322"/>
      <c r="AA185" s="322"/>
      <c r="AB185" s="322">
        <f>'[80]updated Progress'!O197</f>
        <v>1</v>
      </c>
      <c r="AC185" s="322"/>
      <c r="AD185" s="322"/>
      <c r="AE185" s="326">
        <f>'[80]updated Progress'!Q197</f>
        <v>1</v>
      </c>
      <c r="AF185" s="322"/>
      <c r="AG185" s="324"/>
    </row>
    <row r="186" spans="1:33" x14ac:dyDescent="0.35">
      <c r="A186" s="327">
        <f t="shared" si="1"/>
        <v>13</v>
      </c>
      <c r="B186" s="226"/>
      <c r="C186" s="328" t="s">
        <v>101</v>
      </c>
      <c r="D186" s="328"/>
      <c r="E186" s="328"/>
      <c r="F186" s="203" t="s">
        <v>626</v>
      </c>
      <c r="G186" s="322">
        <f>'[80]updated Progress'!C198</f>
        <v>1</v>
      </c>
      <c r="H186" s="322"/>
      <c r="I186" s="322"/>
      <c r="J186" s="322">
        <f>'[80]updated Progress'!D198</f>
        <v>1</v>
      </c>
      <c r="K186" s="322"/>
      <c r="L186" s="322"/>
      <c r="M186" s="322">
        <f>'[80]updated Progress'!E198</f>
        <v>0</v>
      </c>
      <c r="N186" s="322"/>
      <c r="O186" s="324"/>
      <c r="W186" s="158"/>
      <c r="X186" s="158"/>
      <c r="Y186" s="325">
        <f>'[80]updated Progress'!N198</f>
        <v>0</v>
      </c>
      <c r="Z186" s="322"/>
      <c r="AA186" s="322"/>
      <c r="AB186" s="322">
        <f>'[80]updated Progress'!O198</f>
        <v>1</v>
      </c>
      <c r="AC186" s="322"/>
      <c r="AD186" s="322"/>
      <c r="AE186" s="326">
        <f>'[80]updated Progress'!Q198</f>
        <v>1</v>
      </c>
      <c r="AF186" s="322"/>
      <c r="AG186" s="324"/>
    </row>
    <row r="187" spans="1:33" x14ac:dyDescent="0.35">
      <c r="A187" s="327">
        <f t="shared" si="1"/>
        <v>14</v>
      </c>
      <c r="B187" s="226"/>
      <c r="C187" s="329" t="s">
        <v>95</v>
      </c>
      <c r="D187" s="328"/>
      <c r="E187" s="328"/>
      <c r="F187" s="203" t="s">
        <v>626</v>
      </c>
      <c r="G187" s="322">
        <f>'[80]updated Progress'!C199</f>
        <v>0</v>
      </c>
      <c r="H187" s="322"/>
      <c r="I187" s="322"/>
      <c r="J187" s="322">
        <f>'[80]updated Progress'!D199</f>
        <v>0</v>
      </c>
      <c r="K187" s="322"/>
      <c r="L187" s="322"/>
      <c r="M187" s="322">
        <f>'[80]updated Progress'!E199</f>
        <v>0</v>
      </c>
      <c r="N187" s="322"/>
      <c r="O187" s="324"/>
      <c r="W187" s="158"/>
      <c r="X187" s="158"/>
      <c r="Y187" s="325">
        <f>'[80]updated Progress'!N199</f>
        <v>0</v>
      </c>
      <c r="Z187" s="322"/>
      <c r="AA187" s="322"/>
      <c r="AB187" s="322">
        <f>'[80]updated Progress'!O199</f>
        <v>0</v>
      </c>
      <c r="AC187" s="322"/>
      <c r="AD187" s="322"/>
      <c r="AE187" s="326">
        <f>'[80]updated Progress'!Q199</f>
        <v>0</v>
      </c>
      <c r="AF187" s="322"/>
      <c r="AG187" s="324"/>
    </row>
    <row r="188" spans="1:33" x14ac:dyDescent="0.35">
      <c r="A188" s="327">
        <f>A189+1</f>
        <v>15</v>
      </c>
      <c r="B188" s="226"/>
      <c r="C188" s="328" t="s">
        <v>627</v>
      </c>
      <c r="D188" s="328"/>
      <c r="E188" s="328"/>
      <c r="F188" s="203" t="s">
        <v>626</v>
      </c>
      <c r="G188" s="322">
        <f>'[80]updated Progress'!C200</f>
        <v>1</v>
      </c>
      <c r="H188" s="322"/>
      <c r="I188" s="322"/>
      <c r="J188" s="322">
        <f>'[80]updated Progress'!D200</f>
        <v>1</v>
      </c>
      <c r="K188" s="322"/>
      <c r="L188" s="322"/>
      <c r="M188" s="322">
        <f>'[80]updated Progress'!E200</f>
        <v>0</v>
      </c>
      <c r="N188" s="322"/>
      <c r="O188" s="324"/>
      <c r="W188" s="158"/>
      <c r="X188" s="158"/>
      <c r="Y188" s="325">
        <f>'[80]updated Progress'!N200</f>
        <v>0</v>
      </c>
      <c r="Z188" s="322"/>
      <c r="AA188" s="322"/>
      <c r="AB188" s="322">
        <f>'[80]updated Progress'!O200</f>
        <v>1</v>
      </c>
      <c r="AC188" s="322"/>
      <c r="AD188" s="322"/>
      <c r="AE188" s="326">
        <f>'[80]updated Progress'!Q200</f>
        <v>1</v>
      </c>
      <c r="AF188" s="322"/>
      <c r="AG188" s="324"/>
    </row>
    <row r="189" spans="1:33" x14ac:dyDescent="0.35">
      <c r="A189" s="327">
        <f>A186+1</f>
        <v>14</v>
      </c>
      <c r="B189" s="226"/>
      <c r="C189" s="328" t="s">
        <v>83</v>
      </c>
      <c r="D189" s="328"/>
      <c r="E189" s="328"/>
      <c r="F189" s="203" t="s">
        <v>626</v>
      </c>
      <c r="G189" s="322">
        <f>'[80]updated Progress'!C201</f>
        <v>4</v>
      </c>
      <c r="H189" s="322"/>
      <c r="I189" s="322"/>
      <c r="J189" s="322">
        <f>'[80]updated Progress'!D201</f>
        <v>3</v>
      </c>
      <c r="K189" s="322"/>
      <c r="L189" s="322"/>
      <c r="M189" s="322">
        <f>'[80]updated Progress'!E201</f>
        <v>1</v>
      </c>
      <c r="N189" s="322"/>
      <c r="O189" s="324"/>
      <c r="W189" s="158"/>
      <c r="X189" s="158"/>
      <c r="Y189" s="325">
        <f>'[80]updated Progress'!N201</f>
        <v>0</v>
      </c>
      <c r="Z189" s="322"/>
      <c r="AA189" s="322"/>
      <c r="AB189" s="322">
        <f>'[80]updated Progress'!O201</f>
        <v>3</v>
      </c>
      <c r="AC189" s="322"/>
      <c r="AD189" s="322"/>
      <c r="AE189" s="326">
        <f>'[80]updated Progress'!Q201</f>
        <v>4</v>
      </c>
      <c r="AF189" s="322"/>
      <c r="AG189" s="324"/>
    </row>
    <row r="190" spans="1:33" x14ac:dyDescent="0.35">
      <c r="A190" s="327">
        <f>A188+1</f>
        <v>16</v>
      </c>
      <c r="B190" s="226"/>
      <c r="C190" s="328" t="s">
        <v>96</v>
      </c>
      <c r="D190" s="328"/>
      <c r="E190" s="328"/>
      <c r="F190" s="203" t="s">
        <v>626</v>
      </c>
      <c r="G190" s="322">
        <f>'[80]updated Progress'!C202</f>
        <v>0</v>
      </c>
      <c r="H190" s="322"/>
      <c r="I190" s="322"/>
      <c r="J190" s="322">
        <f>'[80]updated Progress'!D202</f>
        <v>0</v>
      </c>
      <c r="K190" s="322"/>
      <c r="L190" s="322"/>
      <c r="M190" s="322">
        <f>'[80]updated Progress'!E202</f>
        <v>0</v>
      </c>
      <c r="N190" s="322"/>
      <c r="O190" s="324"/>
      <c r="W190" s="158"/>
      <c r="X190" s="158"/>
      <c r="Y190" s="325">
        <f>'[80]updated Progress'!N202</f>
        <v>0</v>
      </c>
      <c r="Z190" s="322"/>
      <c r="AA190" s="322"/>
      <c r="AB190" s="322">
        <f>'[80]updated Progress'!O202</f>
        <v>0</v>
      </c>
      <c r="AC190" s="322"/>
      <c r="AD190" s="322"/>
      <c r="AE190" s="326">
        <f>'[80]updated Progress'!Q202</f>
        <v>0</v>
      </c>
      <c r="AF190" s="322"/>
      <c r="AG190" s="324"/>
    </row>
    <row r="191" spans="1:33" x14ac:dyDescent="0.35">
      <c r="A191" s="327">
        <f t="shared" si="1"/>
        <v>17</v>
      </c>
      <c r="B191" s="226"/>
      <c r="C191" s="328" t="s">
        <v>628</v>
      </c>
      <c r="D191" s="328"/>
      <c r="E191" s="328"/>
      <c r="F191" s="203" t="s">
        <v>626</v>
      </c>
      <c r="G191" s="322">
        <f>'[80]updated Progress'!C203</f>
        <v>0</v>
      </c>
      <c r="H191" s="322"/>
      <c r="I191" s="322"/>
      <c r="J191" s="322">
        <f>'[80]updated Progress'!D203</f>
        <v>0</v>
      </c>
      <c r="K191" s="322"/>
      <c r="L191" s="322"/>
      <c r="M191" s="322">
        <f>'[80]updated Progress'!E203</f>
        <v>0</v>
      </c>
      <c r="N191" s="322"/>
      <c r="O191" s="324"/>
      <c r="W191" s="158"/>
      <c r="X191" s="158"/>
      <c r="Y191" s="325">
        <f>'[80]updated Progress'!N203</f>
        <v>0</v>
      </c>
      <c r="Z191" s="322"/>
      <c r="AA191" s="322"/>
      <c r="AB191" s="322">
        <f>'[80]updated Progress'!O203</f>
        <v>0</v>
      </c>
      <c r="AC191" s="322"/>
      <c r="AD191" s="322"/>
      <c r="AE191" s="326">
        <f>'[80]updated Progress'!Q203</f>
        <v>0</v>
      </c>
      <c r="AF191" s="322"/>
      <c r="AG191" s="324"/>
    </row>
    <row r="192" spans="1:33" x14ac:dyDescent="0.35">
      <c r="A192" s="327">
        <f t="shared" si="1"/>
        <v>18</v>
      </c>
      <c r="B192" s="226"/>
      <c r="C192" s="328" t="s">
        <v>629</v>
      </c>
      <c r="D192" s="328"/>
      <c r="E192" s="328"/>
      <c r="F192" s="203" t="s">
        <v>626</v>
      </c>
      <c r="G192" s="322">
        <f>'[80]updated Progress'!C204</f>
        <v>2</v>
      </c>
      <c r="H192" s="322"/>
      <c r="I192" s="322"/>
      <c r="J192" s="322">
        <f>'[80]updated Progress'!D204</f>
        <v>1</v>
      </c>
      <c r="K192" s="322"/>
      <c r="L192" s="322"/>
      <c r="M192" s="322">
        <f>'[80]updated Progress'!E204</f>
        <v>1</v>
      </c>
      <c r="N192" s="322"/>
      <c r="O192" s="324"/>
      <c r="W192" s="158"/>
      <c r="X192" s="158"/>
      <c r="Y192" s="325">
        <f>'[80]updated Progress'!N204</f>
        <v>0</v>
      </c>
      <c r="Z192" s="322"/>
      <c r="AA192" s="322"/>
      <c r="AB192" s="322">
        <f>'[80]updated Progress'!O204</f>
        <v>1</v>
      </c>
      <c r="AC192" s="322"/>
      <c r="AD192" s="322"/>
      <c r="AE192" s="326">
        <f>'[80]updated Progress'!Q204</f>
        <v>2</v>
      </c>
      <c r="AF192" s="322"/>
      <c r="AG192" s="324"/>
    </row>
    <row r="193" spans="1:33" x14ac:dyDescent="0.35">
      <c r="A193" s="327">
        <f t="shared" si="1"/>
        <v>19</v>
      </c>
      <c r="B193" s="226"/>
      <c r="C193" s="328" t="s">
        <v>71</v>
      </c>
      <c r="D193" s="328"/>
      <c r="E193" s="328"/>
      <c r="F193" s="203" t="s">
        <v>626</v>
      </c>
      <c r="G193" s="322">
        <f>'[80]updated Progress'!C205</f>
        <v>3</v>
      </c>
      <c r="H193" s="322"/>
      <c r="I193" s="322"/>
      <c r="J193" s="322">
        <f>'[80]updated Progress'!D205</f>
        <v>3</v>
      </c>
      <c r="K193" s="322"/>
      <c r="L193" s="322"/>
      <c r="M193" s="322">
        <f>'[80]updated Progress'!E205</f>
        <v>0</v>
      </c>
      <c r="N193" s="322"/>
      <c r="O193" s="324"/>
      <c r="W193" s="158"/>
      <c r="X193" s="158"/>
      <c r="Y193" s="325">
        <f>'[80]updated Progress'!N205</f>
        <v>0</v>
      </c>
      <c r="Z193" s="322"/>
      <c r="AA193" s="322"/>
      <c r="AB193" s="322">
        <f>'[80]updated Progress'!O205</f>
        <v>3</v>
      </c>
      <c r="AC193" s="322"/>
      <c r="AD193" s="322"/>
      <c r="AE193" s="326">
        <f>'[80]updated Progress'!Q205</f>
        <v>3</v>
      </c>
      <c r="AF193" s="322"/>
      <c r="AG193" s="324"/>
    </row>
    <row r="194" spans="1:33" x14ac:dyDescent="0.35">
      <c r="A194" s="327">
        <f t="shared" si="1"/>
        <v>20</v>
      </c>
      <c r="B194" s="226"/>
      <c r="C194" s="328" t="s">
        <v>630</v>
      </c>
      <c r="D194" s="328"/>
      <c r="E194" s="328"/>
      <c r="F194" s="203" t="s">
        <v>626</v>
      </c>
      <c r="G194" s="322">
        <f>'[80]updated Progress'!C206</f>
        <v>1</v>
      </c>
      <c r="H194" s="322"/>
      <c r="I194" s="322"/>
      <c r="J194" s="322">
        <f>'[80]updated Progress'!D206</f>
        <v>1</v>
      </c>
      <c r="K194" s="322"/>
      <c r="L194" s="322"/>
      <c r="M194" s="322">
        <f>'[80]updated Progress'!E206</f>
        <v>0</v>
      </c>
      <c r="N194" s="322"/>
      <c r="O194" s="324"/>
      <c r="W194" s="158"/>
      <c r="X194" s="158"/>
      <c r="Y194" s="325">
        <f>'[80]updated Progress'!N206</f>
        <v>0</v>
      </c>
      <c r="Z194" s="322"/>
      <c r="AA194" s="322"/>
      <c r="AB194" s="322">
        <f>'[80]updated Progress'!O206</f>
        <v>1</v>
      </c>
      <c r="AC194" s="322"/>
      <c r="AD194" s="322"/>
      <c r="AE194" s="326">
        <f>'[80]updated Progress'!Q206</f>
        <v>1</v>
      </c>
      <c r="AF194" s="322"/>
      <c r="AG194" s="324"/>
    </row>
    <row r="195" spans="1:33" x14ac:dyDescent="0.35">
      <c r="A195" s="327">
        <f t="shared" si="1"/>
        <v>21</v>
      </c>
      <c r="B195" s="226"/>
      <c r="C195" s="328" t="s">
        <v>631</v>
      </c>
      <c r="D195" s="328"/>
      <c r="E195" s="328"/>
      <c r="F195" s="203" t="s">
        <v>626</v>
      </c>
      <c r="G195" s="322">
        <f>'[80]updated Progress'!C207</f>
        <v>1</v>
      </c>
      <c r="H195" s="322"/>
      <c r="I195" s="322"/>
      <c r="J195" s="322">
        <f>'[80]updated Progress'!D207</f>
        <v>0</v>
      </c>
      <c r="K195" s="322"/>
      <c r="L195" s="322"/>
      <c r="M195" s="322">
        <f>'[80]updated Progress'!E207</f>
        <v>1</v>
      </c>
      <c r="N195" s="322"/>
      <c r="O195" s="324"/>
      <c r="W195" s="158"/>
      <c r="X195" s="158"/>
      <c r="Y195" s="325">
        <f>'[80]updated Progress'!N207</f>
        <v>0</v>
      </c>
      <c r="Z195" s="322"/>
      <c r="AA195" s="322"/>
      <c r="AB195" s="322">
        <f>'[80]updated Progress'!O207</f>
        <v>0</v>
      </c>
      <c r="AC195" s="322"/>
      <c r="AD195" s="322"/>
      <c r="AE195" s="326">
        <f>'[80]updated Progress'!Q207</f>
        <v>1</v>
      </c>
      <c r="AF195" s="322"/>
      <c r="AG195" s="324"/>
    </row>
    <row r="196" spans="1:33" x14ac:dyDescent="0.35">
      <c r="A196" s="327">
        <f t="shared" si="1"/>
        <v>22</v>
      </c>
      <c r="B196" s="226"/>
      <c r="C196" s="328" t="s">
        <v>632</v>
      </c>
      <c r="D196" s="328"/>
      <c r="E196" s="328"/>
      <c r="F196" s="203" t="s">
        <v>626</v>
      </c>
      <c r="G196" s="322">
        <f>'[80]updated Progress'!C208</f>
        <v>0</v>
      </c>
      <c r="H196" s="322"/>
      <c r="I196" s="322"/>
      <c r="J196" s="322">
        <f>'[80]updated Progress'!D208</f>
        <v>0</v>
      </c>
      <c r="K196" s="322"/>
      <c r="L196" s="322"/>
      <c r="M196" s="322">
        <f>'[80]updated Progress'!E208</f>
        <v>0</v>
      </c>
      <c r="N196" s="322"/>
      <c r="O196" s="324"/>
      <c r="W196" s="158"/>
      <c r="X196" s="158"/>
      <c r="Y196" s="325">
        <f>'[80]updated Progress'!N208</f>
        <v>0</v>
      </c>
      <c r="Z196" s="322"/>
      <c r="AA196" s="322"/>
      <c r="AB196" s="322">
        <f>'[80]updated Progress'!O208</f>
        <v>0</v>
      </c>
      <c r="AC196" s="322"/>
      <c r="AD196" s="322"/>
      <c r="AE196" s="326">
        <f>'[80]updated Progress'!Q208</f>
        <v>0</v>
      </c>
      <c r="AF196" s="322"/>
      <c r="AG196" s="324"/>
    </row>
    <row r="197" spans="1:33" x14ac:dyDescent="0.35">
      <c r="A197" s="327">
        <f t="shared" si="1"/>
        <v>23</v>
      </c>
      <c r="B197" s="226"/>
      <c r="C197" s="328" t="s">
        <v>76</v>
      </c>
      <c r="D197" s="328"/>
      <c r="E197" s="328"/>
      <c r="F197" s="203" t="s">
        <v>626</v>
      </c>
      <c r="G197" s="322">
        <f>'[80]updated Progress'!C209</f>
        <v>5</v>
      </c>
      <c r="H197" s="322"/>
      <c r="I197" s="322"/>
      <c r="J197" s="322">
        <f>'[80]updated Progress'!D209</f>
        <v>4</v>
      </c>
      <c r="K197" s="322"/>
      <c r="L197" s="322"/>
      <c r="M197" s="322">
        <f>'[80]updated Progress'!E209</f>
        <v>1</v>
      </c>
      <c r="N197" s="322"/>
      <c r="O197" s="324"/>
      <c r="W197" s="158"/>
      <c r="X197" s="158"/>
      <c r="Y197" s="325">
        <f>'[80]updated Progress'!N209</f>
        <v>0</v>
      </c>
      <c r="Z197" s="322"/>
      <c r="AA197" s="322"/>
      <c r="AB197" s="322">
        <f>'[80]updated Progress'!O209</f>
        <v>4</v>
      </c>
      <c r="AC197" s="322"/>
      <c r="AD197" s="322"/>
      <c r="AE197" s="326">
        <f>'[80]updated Progress'!Q209</f>
        <v>5</v>
      </c>
      <c r="AF197" s="322"/>
      <c r="AG197" s="324"/>
    </row>
    <row r="198" spans="1:33" x14ac:dyDescent="0.35">
      <c r="A198" s="327">
        <f t="shared" si="1"/>
        <v>24</v>
      </c>
      <c r="B198" s="226"/>
      <c r="C198" s="328" t="s">
        <v>81</v>
      </c>
      <c r="D198" s="328"/>
      <c r="E198" s="328"/>
      <c r="F198" s="203" t="s">
        <v>626</v>
      </c>
      <c r="G198" s="322">
        <f>'[80]updated Progress'!C210</f>
        <v>0</v>
      </c>
      <c r="H198" s="322"/>
      <c r="I198" s="322"/>
      <c r="J198" s="322">
        <f>'[80]updated Progress'!D210</f>
        <v>0</v>
      </c>
      <c r="K198" s="322"/>
      <c r="L198" s="322"/>
      <c r="M198" s="322">
        <f>'[80]updated Progress'!E210</f>
        <v>0</v>
      </c>
      <c r="N198" s="322"/>
      <c r="O198" s="324"/>
      <c r="W198" s="158"/>
      <c r="X198" s="158"/>
      <c r="Y198" s="325">
        <f>'[80]updated Progress'!N210</f>
        <v>0</v>
      </c>
      <c r="Z198" s="322"/>
      <c r="AA198" s="322"/>
      <c r="AB198" s="322">
        <f>'[80]updated Progress'!O210</f>
        <v>0</v>
      </c>
      <c r="AC198" s="322"/>
      <c r="AD198" s="322"/>
      <c r="AE198" s="326">
        <f>'[80]updated Progress'!Q210</f>
        <v>0</v>
      </c>
      <c r="AF198" s="322"/>
      <c r="AG198" s="324"/>
    </row>
    <row r="199" spans="1:33" x14ac:dyDescent="0.35">
      <c r="A199" s="327">
        <f t="shared" si="1"/>
        <v>25</v>
      </c>
      <c r="B199" s="226"/>
      <c r="C199" s="328" t="s">
        <v>633</v>
      </c>
      <c r="D199" s="328"/>
      <c r="E199" s="328"/>
      <c r="F199" s="203" t="s">
        <v>626</v>
      </c>
      <c r="G199" s="322">
        <f>'[80]updated Progress'!C211</f>
        <v>2</v>
      </c>
      <c r="H199" s="322"/>
      <c r="I199" s="322"/>
      <c r="J199" s="322">
        <f>'[80]updated Progress'!D211</f>
        <v>1</v>
      </c>
      <c r="K199" s="322"/>
      <c r="L199" s="322"/>
      <c r="M199" s="322">
        <f>'[80]updated Progress'!E211</f>
        <v>1</v>
      </c>
      <c r="N199" s="322"/>
      <c r="O199" s="324"/>
      <c r="W199" s="158"/>
      <c r="X199" s="158"/>
      <c r="Y199" s="325">
        <f>'[80]updated Progress'!N211</f>
        <v>0</v>
      </c>
      <c r="Z199" s="322"/>
      <c r="AA199" s="322"/>
      <c r="AB199" s="322">
        <f>'[80]updated Progress'!O211</f>
        <v>1</v>
      </c>
      <c r="AC199" s="322"/>
      <c r="AD199" s="322"/>
      <c r="AE199" s="326">
        <f>'[80]updated Progress'!Q211</f>
        <v>2</v>
      </c>
      <c r="AF199" s="322"/>
      <c r="AG199" s="324"/>
    </row>
    <row r="200" spans="1:33" x14ac:dyDescent="0.35">
      <c r="A200" s="327">
        <f t="shared" si="1"/>
        <v>26</v>
      </c>
      <c r="B200" s="226"/>
      <c r="C200" s="328" t="s">
        <v>634</v>
      </c>
      <c r="D200" s="328"/>
      <c r="E200" s="328"/>
      <c r="F200" s="203" t="s">
        <v>626</v>
      </c>
      <c r="G200" s="322">
        <f>'[80]updated Progress'!C212</f>
        <v>0</v>
      </c>
      <c r="H200" s="322"/>
      <c r="I200" s="322"/>
      <c r="J200" s="322">
        <f>'[80]updated Progress'!D212</f>
        <v>0</v>
      </c>
      <c r="K200" s="322"/>
      <c r="L200" s="322"/>
      <c r="M200" s="322">
        <f>'[80]updated Progress'!E212</f>
        <v>0</v>
      </c>
      <c r="N200" s="322"/>
      <c r="O200" s="324"/>
      <c r="W200" s="158"/>
      <c r="X200" s="158"/>
      <c r="Y200" s="325">
        <f>'[80]updated Progress'!N212</f>
        <v>0</v>
      </c>
      <c r="Z200" s="322"/>
      <c r="AA200" s="322"/>
      <c r="AB200" s="322">
        <f>'[80]updated Progress'!O212</f>
        <v>0</v>
      </c>
      <c r="AC200" s="322"/>
      <c r="AD200" s="322"/>
      <c r="AE200" s="326">
        <f>'[80]updated Progress'!Q212</f>
        <v>0</v>
      </c>
      <c r="AF200" s="322"/>
      <c r="AG200" s="324"/>
    </row>
    <row r="201" spans="1:33" x14ac:dyDescent="0.35">
      <c r="A201" s="327">
        <f t="shared" si="1"/>
        <v>27</v>
      </c>
      <c r="B201" s="226"/>
      <c r="C201" s="328" t="s">
        <v>86</v>
      </c>
      <c r="D201" s="328"/>
      <c r="E201" s="328"/>
      <c r="F201" s="203" t="s">
        <v>626</v>
      </c>
      <c r="G201" s="322">
        <f>'[80]updated Progress'!C213</f>
        <v>3</v>
      </c>
      <c r="H201" s="322"/>
      <c r="I201" s="322"/>
      <c r="J201" s="322">
        <f>'[80]updated Progress'!D213</f>
        <v>0</v>
      </c>
      <c r="K201" s="322"/>
      <c r="L201" s="322"/>
      <c r="M201" s="322">
        <f>'[80]updated Progress'!E213</f>
        <v>3</v>
      </c>
      <c r="N201" s="322"/>
      <c r="O201" s="324"/>
      <c r="W201" s="158"/>
      <c r="X201" s="158"/>
      <c r="Y201" s="325">
        <f>'[80]updated Progress'!N213</f>
        <v>0</v>
      </c>
      <c r="Z201" s="322"/>
      <c r="AA201" s="322"/>
      <c r="AB201" s="322">
        <f>'[80]updated Progress'!O213</f>
        <v>0</v>
      </c>
      <c r="AC201" s="322"/>
      <c r="AD201" s="322"/>
      <c r="AE201" s="326">
        <f>'[80]updated Progress'!Q213</f>
        <v>3</v>
      </c>
      <c r="AF201" s="322"/>
      <c r="AG201" s="324"/>
    </row>
    <row r="202" spans="1:33" x14ac:dyDescent="0.35">
      <c r="A202" s="327">
        <f t="shared" si="1"/>
        <v>28</v>
      </c>
      <c r="B202" s="226"/>
      <c r="C202" s="328" t="s">
        <v>94</v>
      </c>
      <c r="D202" s="328"/>
      <c r="E202" s="328"/>
      <c r="F202" s="203" t="s">
        <v>626</v>
      </c>
      <c r="G202" s="322">
        <f>'[80]updated Progress'!C214</f>
        <v>0</v>
      </c>
      <c r="H202" s="322"/>
      <c r="I202" s="322"/>
      <c r="J202" s="322">
        <f>'[80]updated Progress'!D214</f>
        <v>0</v>
      </c>
      <c r="K202" s="322"/>
      <c r="L202" s="322"/>
      <c r="M202" s="322">
        <f>'[80]updated Progress'!E214</f>
        <v>0</v>
      </c>
      <c r="N202" s="322"/>
      <c r="O202" s="324"/>
      <c r="W202" s="158"/>
      <c r="X202" s="158"/>
      <c r="Y202" s="325">
        <f>'[80]updated Progress'!N214</f>
        <v>0</v>
      </c>
      <c r="Z202" s="322"/>
      <c r="AA202" s="322"/>
      <c r="AB202" s="322">
        <f>'[80]updated Progress'!O214</f>
        <v>0</v>
      </c>
      <c r="AC202" s="322"/>
      <c r="AD202" s="322"/>
      <c r="AE202" s="326">
        <f>'[80]updated Progress'!Q214</f>
        <v>0</v>
      </c>
      <c r="AF202" s="322"/>
      <c r="AG202" s="324"/>
    </row>
    <row r="203" spans="1:33" x14ac:dyDescent="0.35">
      <c r="A203" s="327">
        <f t="shared" si="1"/>
        <v>29</v>
      </c>
      <c r="B203" s="226"/>
      <c r="C203" s="328" t="s">
        <v>635</v>
      </c>
      <c r="D203" s="328"/>
      <c r="E203" s="328"/>
      <c r="F203" s="203" t="s">
        <v>626</v>
      </c>
      <c r="G203" s="322">
        <f>'[80]updated Progress'!C215</f>
        <v>0</v>
      </c>
      <c r="H203" s="322"/>
      <c r="I203" s="322"/>
      <c r="J203" s="322">
        <f>'[80]updated Progress'!D215</f>
        <v>0</v>
      </c>
      <c r="K203" s="322"/>
      <c r="L203" s="322"/>
      <c r="M203" s="322">
        <f>'[80]updated Progress'!E215</f>
        <v>0</v>
      </c>
      <c r="N203" s="322"/>
      <c r="O203" s="324"/>
      <c r="W203" s="158"/>
      <c r="X203" s="158"/>
      <c r="Y203" s="325">
        <f>'[80]updated Progress'!N215</f>
        <v>0</v>
      </c>
      <c r="Z203" s="322"/>
      <c r="AA203" s="322"/>
      <c r="AB203" s="322">
        <f>'[80]updated Progress'!O215</f>
        <v>0</v>
      </c>
      <c r="AC203" s="322"/>
      <c r="AD203" s="322"/>
      <c r="AE203" s="326">
        <f>'[80]updated Progress'!Q215</f>
        <v>0</v>
      </c>
      <c r="AF203" s="322"/>
      <c r="AG203" s="324"/>
    </row>
    <row r="204" spans="1:33" x14ac:dyDescent="0.35">
      <c r="A204" s="327">
        <f t="shared" si="1"/>
        <v>30</v>
      </c>
      <c r="B204" s="226"/>
      <c r="C204" s="328" t="s">
        <v>92</v>
      </c>
      <c r="D204" s="328"/>
      <c r="E204" s="328"/>
      <c r="F204" s="203" t="s">
        <v>626</v>
      </c>
      <c r="G204" s="322">
        <f>'[80]updated Progress'!C216</f>
        <v>0</v>
      </c>
      <c r="H204" s="322"/>
      <c r="I204" s="322"/>
      <c r="J204" s="322">
        <f>'[80]updated Progress'!D216</f>
        <v>0</v>
      </c>
      <c r="K204" s="322"/>
      <c r="L204" s="322"/>
      <c r="M204" s="322">
        <f>'[80]updated Progress'!E216</f>
        <v>0</v>
      </c>
      <c r="N204" s="322"/>
      <c r="O204" s="324"/>
      <c r="W204" s="158"/>
      <c r="X204" s="158"/>
      <c r="Y204" s="325">
        <f>'[80]updated Progress'!N216</f>
        <v>0</v>
      </c>
      <c r="Z204" s="322"/>
      <c r="AA204" s="322"/>
      <c r="AB204" s="322">
        <f>'[80]updated Progress'!O216</f>
        <v>0</v>
      </c>
      <c r="AC204" s="322"/>
      <c r="AD204" s="322"/>
      <c r="AE204" s="326">
        <f>'[80]updated Progress'!Q216</f>
        <v>0</v>
      </c>
      <c r="AF204" s="322"/>
      <c r="AG204" s="324"/>
    </row>
    <row r="205" spans="1:33" ht="15" thickBot="1" x14ac:dyDescent="0.4">
      <c r="A205" s="330">
        <f t="shared" si="1"/>
        <v>31</v>
      </c>
      <c r="B205" s="331"/>
      <c r="C205" s="332" t="s">
        <v>168</v>
      </c>
      <c r="D205" s="332"/>
      <c r="E205" s="332"/>
      <c r="F205" s="333" t="s">
        <v>626</v>
      </c>
      <c r="G205" s="322">
        <f>'[80]updated Progress'!C217</f>
        <v>2</v>
      </c>
      <c r="H205" s="322"/>
      <c r="I205" s="322"/>
      <c r="J205" s="322">
        <f>'[80]updated Progress'!D217</f>
        <v>0</v>
      </c>
      <c r="K205" s="322"/>
      <c r="L205" s="322"/>
      <c r="M205" s="322">
        <f>'[80]updated Progress'!E217</f>
        <v>2</v>
      </c>
      <c r="N205" s="322"/>
      <c r="O205" s="324"/>
      <c r="W205" s="158"/>
      <c r="X205" s="158"/>
      <c r="Y205" s="334">
        <f>'[80]updated Progress'!N217</f>
        <v>0</v>
      </c>
      <c r="Z205" s="335"/>
      <c r="AA205" s="335"/>
      <c r="AB205" s="335">
        <f>'[80]updated Progress'!O217</f>
        <v>0</v>
      </c>
      <c r="AC205" s="335"/>
      <c r="AD205" s="335"/>
      <c r="AE205" s="336">
        <f>'[80]updated Progress'!Q217</f>
        <v>2</v>
      </c>
      <c r="AF205" s="335"/>
      <c r="AG205" s="337"/>
    </row>
    <row r="206" spans="1:33" ht="15" thickBot="1" x14ac:dyDescent="0.4">
      <c r="A206" s="338"/>
      <c r="B206" s="339"/>
      <c r="C206" s="340" t="s">
        <v>48</v>
      </c>
      <c r="D206" s="340"/>
      <c r="E206" s="340"/>
      <c r="F206" s="341" t="s">
        <v>626</v>
      </c>
      <c r="G206" s="340">
        <f>'[80]updated Progress'!C218</f>
        <v>171</v>
      </c>
      <c r="H206" s="340"/>
      <c r="I206" s="340"/>
      <c r="J206" s="340">
        <f>'[80]updated Progress'!D218</f>
        <v>126</v>
      </c>
      <c r="K206" s="340"/>
      <c r="L206" s="340"/>
      <c r="M206" s="340">
        <f>'[80]updated Progress'!E218</f>
        <v>45</v>
      </c>
      <c r="N206" s="340"/>
      <c r="O206" s="342"/>
      <c r="W206" s="158"/>
      <c r="X206" s="158"/>
      <c r="Y206" s="343">
        <f>'[80]updated Progress'!N218</f>
        <v>61</v>
      </c>
      <c r="Z206" s="344"/>
      <c r="AA206" s="344"/>
      <c r="AB206" s="344">
        <f>'[80]updated Progress'!O218</f>
        <v>65</v>
      </c>
      <c r="AC206" s="344"/>
      <c r="AD206" s="344"/>
      <c r="AE206" s="345">
        <f>'[80]updated Progress'!Q218</f>
        <v>110</v>
      </c>
      <c r="AF206" s="344"/>
      <c r="AG206" s="346"/>
    </row>
    <row r="207" spans="1:33" x14ac:dyDescent="0.35">
      <c r="W207" s="158"/>
      <c r="X207" s="158"/>
    </row>
  </sheetData>
  <mergeCells count="1006">
    <mergeCell ref="AB206:AD206"/>
    <mergeCell ref="AE206:AG206"/>
    <mergeCell ref="B53:N53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C19:D24 G19:J21 H22:J22 M19:T21 T22 M22:Q22 G23:S23 G24:N24">
    <cfRule type="cellIs" dxfId="7" priority="4" operator="equal">
      <formula>"completedw"</formula>
    </cfRule>
    <cfRule type="cellIs" dxfId="6" priority="5" operator="equal">
      <formula>"HOLD"</formula>
    </cfRule>
    <cfRule type="cellIs" dxfId="5" priority="6" operator="equal">
      <formula>"ROW"</formula>
    </cfRule>
  </conditionalFormatting>
  <conditionalFormatting sqref="A3">
    <cfRule type="cellIs" dxfId="4" priority="1" operator="equal">
      <formula>"completedw"</formula>
    </cfRule>
    <cfRule type="cellIs" dxfId="3" priority="2" operator="equal">
      <formula>"HOLD"</formula>
    </cfRule>
    <cfRule type="cellIs" dxfId="2" priority="3" operator="equal">
      <formula>"ROW"</formula>
    </cfRule>
  </conditionalFormatting>
  <conditionalFormatting sqref="J23:K24">
    <cfRule type="cellIs" dxfId="1" priority="7" operator="equal">
      <formula>"Completed"</formula>
    </cfRule>
    <cfRule type="cellIs" dxfId="0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09" t="s">
        <v>347</v>
      </c>
      <c r="B1" s="310"/>
      <c r="C1" s="310"/>
      <c r="D1" s="311"/>
      <c r="E1" s="311"/>
      <c r="F1" s="311"/>
      <c r="G1" s="311"/>
      <c r="H1" s="311"/>
      <c r="I1" s="311"/>
      <c r="J1" s="310"/>
      <c r="K1" s="310"/>
      <c r="L1" s="310"/>
      <c r="M1" s="310"/>
      <c r="N1" s="310"/>
      <c r="O1" s="310"/>
      <c r="P1" s="312"/>
    </row>
    <row r="2" spans="1:16" s="2" customFormat="1" ht="29.25" customHeight="1" x14ac:dyDescent="0.35">
      <c r="A2" s="31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1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9" priority="1235"/>
    <cfRule type="duplicateValues" dxfId="28" priority="1236"/>
  </conditionalFormatting>
  <conditionalFormatting sqref="C1:C617 C627:C1048576">
    <cfRule type="duplicateValues" dxfId="27" priority="2"/>
    <cfRule type="duplicateValues" dxfId="26" priority="3"/>
    <cfRule type="duplicateValues" dxfId="25" priority="4"/>
  </conditionalFormatting>
  <conditionalFormatting sqref="C1:C1048576">
    <cfRule type="duplicateValues" dxfId="24" priority="1"/>
  </conditionalFormatting>
  <conditionalFormatting sqref="C594">
    <cfRule type="duplicateValues" dxfId="23" priority="18"/>
    <cfRule type="duplicateValues" dxfId="22" priority="19"/>
    <cfRule type="duplicateValues" dxfId="21" priority="20"/>
    <cfRule type="duplicateValues" dxfId="20" priority="21"/>
  </conditionalFormatting>
  <conditionalFormatting sqref="C605 C607 C609">
    <cfRule type="duplicateValues" dxfId="19" priority="14"/>
    <cfRule type="duplicateValues" dxfId="18" priority="15"/>
    <cfRule type="duplicateValues" dxfId="17" priority="16"/>
    <cfRule type="duplicateValues" dxfId="16" priority="17"/>
  </conditionalFormatting>
  <conditionalFormatting sqref="C611">
    <cfRule type="duplicateValues" dxfId="15" priority="6"/>
    <cfRule type="duplicateValues" dxfId="14" priority="7"/>
    <cfRule type="duplicateValues" dxfId="13" priority="8"/>
    <cfRule type="duplicateValues" dxfId="12" priority="9"/>
  </conditionalFormatting>
  <conditionalFormatting sqref="D61:F61 C4:C33 C35:C569 C571:C593 C595:C603 C627:C1048576">
    <cfRule type="duplicateValues" dxfId="11" priority="1251"/>
    <cfRule type="duplicateValues" dxfId="10" priority="1252"/>
  </conditionalFormatting>
  <conditionalFormatting sqref="H61">
    <cfRule type="duplicateValues" dxfId="9" priority="41"/>
    <cfRule type="duplicateValues" dxfId="8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2025-11-24T05:01:02Z</dcterms:modified>
</cp:coreProperties>
</file>