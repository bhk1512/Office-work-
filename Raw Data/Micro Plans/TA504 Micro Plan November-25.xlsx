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Projects\DPR\TA-504\"/>
    </mc:Choice>
  </mc:AlternateContent>
  <xr:revisionPtr revIDLastSave="0" documentId="13_ncr:1_{6A7A22C5-8270-4544-89F0-4A8B959D89A3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FDN" sheetId="8" r:id="rId1"/>
    <sheet name="ERE" sheetId="7" r:id="rId2"/>
    <sheet name="Micro Plan Dec-24 TA-504" sheetId="6" state="hidden" r:id="rId3"/>
    <sheet name="Micro Plan-Nov24 TA-504" sheetId="1" state="hidden" r:id="rId4"/>
    <sheet name="Sheet1" sheetId="5" state="hidden" r:id="rId5"/>
    <sheet name="Stub dispatch" sheetId="4" state="hidden" r:id="rId6"/>
    <sheet name="STG-July24" sheetId="3" state="hidden" r:id="rId7"/>
  </sheets>
  <externalReferences>
    <externalReference r:id="rId8"/>
    <externalReference r:id="rId9"/>
  </externalReferences>
  <definedNames>
    <definedName name="_xlnm._FilterDatabase" localSheetId="1" hidden="1">ERE!$A$3:$D$27</definedName>
    <definedName name="_xlnm._FilterDatabase" localSheetId="0" hidden="1">FDN!$C$3:$D$17</definedName>
    <definedName name="_xlnm._FilterDatabase" localSheetId="2" hidden="1">'Micro Plan Dec-24 TA-504'!$B$18:$H$47</definedName>
    <definedName name="_xlnm._FilterDatabase" localSheetId="3" hidden="1">'Micro Plan-Nov24 TA-504'!$A$20:$AH$61</definedName>
    <definedName name="_xlnm.Print_Area" localSheetId="1">ERE!$A$1:$D$27</definedName>
    <definedName name="_xlnm.Print_Area" localSheetId="0">FDN!$A$1:$F$18</definedName>
    <definedName name="_xlnm.Print_Titles" localSheetId="1">ERE!$3:$3</definedName>
    <definedName name="_xlnm.Print_Titles" localSheetId="0">FDN!$3:$3</definedName>
    <definedName name="_xlnm.Print_Titles" localSheetId="2">'Micro Plan Dec-24 TA-504'!$18:$20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8" l="1"/>
  <c r="E15" i="8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D25" i="7" l="1"/>
  <c r="F49" i="6" l="1"/>
  <c r="AA48" i="6"/>
  <c r="Z48" i="6"/>
  <c r="AB48" i="6" s="1"/>
  <c r="Y48" i="6"/>
  <c r="X48" i="6"/>
  <c r="W48" i="6"/>
  <c r="S48" i="6"/>
  <c r="H48" i="6"/>
  <c r="AJ47" i="6"/>
  <c r="AJ46" i="6"/>
  <c r="AJ45" i="6"/>
  <c r="C45" i="6"/>
  <c r="AH44" i="6"/>
  <c r="AG44" i="6"/>
  <c r="AF44" i="6"/>
  <c r="AE44" i="6"/>
  <c r="AD44" i="6"/>
  <c r="AB44" i="6"/>
  <c r="C44" i="6"/>
  <c r="AH43" i="6"/>
  <c r="AI43" i="6" s="1"/>
  <c r="AJ43" i="6" s="1"/>
  <c r="AG43" i="6"/>
  <c r="AF43" i="6"/>
  <c r="AE43" i="6"/>
  <c r="AD43" i="6"/>
  <c r="AB43" i="6"/>
  <c r="J43" i="6"/>
  <c r="K43" i="6"/>
  <c r="L43" i="6"/>
  <c r="M43" i="6" s="1"/>
  <c r="N43" i="6" s="1"/>
  <c r="C43" i="6"/>
  <c r="AH42" i="6"/>
  <c r="AG42" i="6"/>
  <c r="AF42" i="6"/>
  <c r="AE42" i="6"/>
  <c r="AD42" i="6"/>
  <c r="AB42" i="6"/>
  <c r="C42" i="6"/>
  <c r="AH41" i="6"/>
  <c r="AG41" i="6"/>
  <c r="AF41" i="6"/>
  <c r="AE41" i="6"/>
  <c r="AI41" i="6" s="1"/>
  <c r="AJ41" i="6" s="1"/>
  <c r="AD41" i="6"/>
  <c r="AB41" i="6"/>
  <c r="C41" i="6"/>
  <c r="AH40" i="6"/>
  <c r="AG40" i="6"/>
  <c r="AF40" i="6"/>
  <c r="AE40" i="6"/>
  <c r="AD40" i="6"/>
  <c r="AB40" i="6"/>
  <c r="C40" i="6"/>
  <c r="AH39" i="6"/>
  <c r="AG39" i="6"/>
  <c r="AF39" i="6"/>
  <c r="AE39" i="6"/>
  <c r="AI39" i="6" s="1"/>
  <c r="AJ39" i="6" s="1"/>
  <c r="AD39" i="6"/>
  <c r="AB39" i="6"/>
  <c r="C39" i="6"/>
  <c r="AH38" i="6"/>
  <c r="AG38" i="6"/>
  <c r="AF38" i="6"/>
  <c r="AE38" i="6"/>
  <c r="AD38" i="6"/>
  <c r="AB38" i="6"/>
  <c r="K38" i="6"/>
  <c r="L38" i="6"/>
  <c r="M38" i="6" s="1"/>
  <c r="N38" i="6" s="1"/>
  <c r="O38" i="6" s="1"/>
  <c r="J38" i="6"/>
  <c r="C38" i="6"/>
  <c r="AH37" i="6"/>
  <c r="AI37" i="6" s="1"/>
  <c r="AJ37" i="6" s="1"/>
  <c r="AG37" i="6"/>
  <c r="AF37" i="6"/>
  <c r="AE37" i="6"/>
  <c r="AD37" i="6"/>
  <c r="AB37" i="6"/>
  <c r="C37" i="6"/>
  <c r="AH36" i="6"/>
  <c r="AG36" i="6"/>
  <c r="AI36" i="6" s="1"/>
  <c r="AJ36" i="6" s="1"/>
  <c r="AF36" i="6"/>
  <c r="AE36" i="6"/>
  <c r="AD36" i="6"/>
  <c r="AB36" i="6"/>
  <c r="C36" i="6"/>
  <c r="AH35" i="6"/>
  <c r="AG35" i="6"/>
  <c r="AF35" i="6"/>
  <c r="AI35" i="6" s="1"/>
  <c r="AJ35" i="6" s="1"/>
  <c r="AE35" i="6"/>
  <c r="AD35" i="6"/>
  <c r="AB35" i="6"/>
  <c r="C35" i="6"/>
  <c r="AH34" i="6"/>
  <c r="AG34" i="6"/>
  <c r="AF34" i="6"/>
  <c r="AE34" i="6"/>
  <c r="AI34" i="6" s="1"/>
  <c r="AJ34" i="6" s="1"/>
  <c r="AD34" i="6"/>
  <c r="AB34" i="6"/>
  <c r="J34" i="6"/>
  <c r="K34" i="6"/>
  <c r="L34" i="6"/>
  <c r="M34" i="6"/>
  <c r="N34" i="6" s="1"/>
  <c r="O34" i="6" s="1"/>
  <c r="C34" i="6"/>
  <c r="AH33" i="6"/>
  <c r="AG33" i="6"/>
  <c r="AF33" i="6"/>
  <c r="AE33" i="6"/>
  <c r="AD33" i="6"/>
  <c r="AI33" i="6" s="1"/>
  <c r="AJ33" i="6" s="1"/>
  <c r="AB33" i="6"/>
  <c r="C33" i="6"/>
  <c r="AH32" i="6"/>
  <c r="AG32" i="6"/>
  <c r="AF32" i="6"/>
  <c r="AE32" i="6"/>
  <c r="AD32" i="6"/>
  <c r="AI32" i="6" s="1"/>
  <c r="AJ32" i="6" s="1"/>
  <c r="AB32" i="6"/>
  <c r="C32" i="6"/>
  <c r="AH31" i="6"/>
  <c r="AG31" i="6"/>
  <c r="AF31" i="6"/>
  <c r="AE31" i="6"/>
  <c r="AI31" i="6" s="1"/>
  <c r="AJ31" i="6" s="1"/>
  <c r="AD31" i="6"/>
  <c r="AB31" i="6"/>
  <c r="C31" i="6"/>
  <c r="AH30" i="6"/>
  <c r="AG30" i="6"/>
  <c r="AF30" i="6"/>
  <c r="AE30" i="6"/>
  <c r="AD30" i="6"/>
  <c r="AB30" i="6"/>
  <c r="C30" i="6"/>
  <c r="AH29" i="6"/>
  <c r="AG29" i="6"/>
  <c r="AF29" i="6"/>
  <c r="AE29" i="6"/>
  <c r="AI29" i="6" s="1"/>
  <c r="AJ29" i="6" s="1"/>
  <c r="AD29" i="6"/>
  <c r="AB29" i="6"/>
  <c r="J29" i="6"/>
  <c r="K29" i="6" s="1"/>
  <c r="L29" i="6"/>
  <c r="M29" i="6" s="1"/>
  <c r="N29" i="6" s="1"/>
  <c r="I30" i="6" s="1"/>
  <c r="J30" i="6" s="1"/>
  <c r="K30" i="6" s="1"/>
  <c r="L30" i="6" s="1"/>
  <c r="M30" i="6" s="1"/>
  <c r="N30" i="6" s="1"/>
  <c r="C29" i="6"/>
  <c r="AH28" i="6"/>
  <c r="AG28" i="6"/>
  <c r="AI28" i="6" s="1"/>
  <c r="AJ28" i="6" s="1"/>
  <c r="AF28" i="6"/>
  <c r="AE28" i="6"/>
  <c r="AD28" i="6"/>
  <c r="AB28" i="6"/>
  <c r="C28" i="6"/>
  <c r="AH27" i="6"/>
  <c r="AG27" i="6"/>
  <c r="AF27" i="6"/>
  <c r="AE27" i="6"/>
  <c r="AD27" i="6"/>
  <c r="AB27" i="6"/>
  <c r="C27" i="6"/>
  <c r="AH26" i="6"/>
  <c r="AG26" i="6"/>
  <c r="AF26" i="6"/>
  <c r="AE26" i="6"/>
  <c r="AD26" i="6"/>
  <c r="AB26" i="6"/>
  <c r="C26" i="6"/>
  <c r="AH25" i="6"/>
  <c r="AG25" i="6"/>
  <c r="AF25" i="6"/>
  <c r="AE25" i="6"/>
  <c r="AD25" i="6"/>
  <c r="AB25" i="6"/>
  <c r="J25" i="6"/>
  <c r="K25" i="6"/>
  <c r="L25" i="6" s="1"/>
  <c r="M25" i="6" s="1"/>
  <c r="N25" i="6" s="1"/>
  <c r="O25" i="6" s="1"/>
  <c r="C25" i="6"/>
  <c r="AH24" i="6"/>
  <c r="AG24" i="6"/>
  <c r="AF24" i="6"/>
  <c r="AE24" i="6"/>
  <c r="AD24" i="6"/>
  <c r="AB24" i="6"/>
  <c r="C24" i="6"/>
  <c r="AH23" i="6"/>
  <c r="AG23" i="6"/>
  <c r="AF23" i="6"/>
  <c r="AE23" i="6"/>
  <c r="AD23" i="6"/>
  <c r="AB23" i="6"/>
  <c r="C23" i="6"/>
  <c r="AH22" i="6"/>
  <c r="AG22" i="6"/>
  <c r="AF22" i="6"/>
  <c r="AE22" i="6"/>
  <c r="AD22" i="6"/>
  <c r="AB22" i="6"/>
  <c r="C22" i="6"/>
  <c r="A22" i="6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H21" i="6"/>
  <c r="AG21" i="6"/>
  <c r="AF21" i="6"/>
  <c r="AE21" i="6"/>
  <c r="AD21" i="6"/>
  <c r="AB21" i="6"/>
  <c r="J21" i="6"/>
  <c r="K21" i="6" s="1"/>
  <c r="L21" i="6" s="1"/>
  <c r="M21" i="6" s="1"/>
  <c r="N21" i="6" s="1"/>
  <c r="O21" i="6" s="1"/>
  <c r="P21" i="6" s="1"/>
  <c r="I22" i="6" s="1"/>
  <c r="J22" i="6" s="1"/>
  <c r="K22" i="6" s="1"/>
  <c r="L22" i="6" s="1"/>
  <c r="M22" i="6" s="1"/>
  <c r="N22" i="6" s="1"/>
  <c r="C21" i="6"/>
  <c r="S17" i="6"/>
  <c r="F15" i="6"/>
  <c r="E14" i="6"/>
  <c r="F14" i="6"/>
  <c r="E13" i="6"/>
  <c r="F13" i="6" s="1"/>
  <c r="E12" i="6"/>
  <c r="F12" i="6" s="1"/>
  <c r="E11" i="6"/>
  <c r="G9" i="6"/>
  <c r="I15" i="6" s="1"/>
  <c r="O8" i="6"/>
  <c r="E7" i="6"/>
  <c r="O6" i="6"/>
  <c r="Y61" i="1"/>
  <c r="AF61" i="1" s="1"/>
  <c r="X61" i="1"/>
  <c r="W61" i="1"/>
  <c r="E13" i="1" s="1"/>
  <c r="V61" i="1"/>
  <c r="U61" i="1"/>
  <c r="Q61" i="1"/>
  <c r="F61" i="1"/>
  <c r="E61" i="1"/>
  <c r="AF60" i="1"/>
  <c r="AE60" i="1"/>
  <c r="AD60" i="1"/>
  <c r="AC60" i="1"/>
  <c r="AB60" i="1"/>
  <c r="Z60" i="1"/>
  <c r="J60" i="1"/>
  <c r="K60" i="1" s="1"/>
  <c r="L60" i="1"/>
  <c r="M60" i="1" s="1"/>
  <c r="N60" i="1" s="1"/>
  <c r="O60" i="1" s="1"/>
  <c r="P60" i="1" s="1"/>
  <c r="C60" i="1"/>
  <c r="AF59" i="1"/>
  <c r="AE59" i="1"/>
  <c r="AD59" i="1"/>
  <c r="AC59" i="1"/>
  <c r="AB59" i="1"/>
  <c r="AG59" i="1" s="1"/>
  <c r="AH59" i="1" s="1"/>
  <c r="Z59" i="1"/>
  <c r="K59" i="1"/>
  <c r="L59" i="1" s="1"/>
  <c r="M59" i="1" s="1"/>
  <c r="N59" i="1" s="1"/>
  <c r="O59" i="1" s="1"/>
  <c r="P59" i="1" s="1"/>
  <c r="J59" i="1"/>
  <c r="C59" i="1"/>
  <c r="AF58" i="1"/>
  <c r="AE58" i="1"/>
  <c r="AD58" i="1"/>
  <c r="AC58" i="1"/>
  <c r="AB58" i="1"/>
  <c r="Z58" i="1"/>
  <c r="C58" i="1"/>
  <c r="AF57" i="1"/>
  <c r="AE57" i="1"/>
  <c r="AD57" i="1"/>
  <c r="AG57" i="1" s="1"/>
  <c r="AH57" i="1" s="1"/>
  <c r="AC57" i="1"/>
  <c r="AB57" i="1"/>
  <c r="Z57" i="1"/>
  <c r="C57" i="1"/>
  <c r="AF56" i="1"/>
  <c r="AE56" i="1"/>
  <c r="AG56" i="1" s="1"/>
  <c r="AH56" i="1" s="1"/>
  <c r="AD56" i="1"/>
  <c r="AC56" i="1"/>
  <c r="AB56" i="1"/>
  <c r="Z56" i="1"/>
  <c r="J56" i="1"/>
  <c r="I57" i="1"/>
  <c r="J57" i="1" s="1"/>
  <c r="C56" i="1"/>
  <c r="AF55" i="1"/>
  <c r="AE55" i="1"/>
  <c r="AD55" i="1"/>
  <c r="AC55" i="1"/>
  <c r="AG55" i="1"/>
  <c r="AH55" i="1" s="1"/>
  <c r="AB55" i="1"/>
  <c r="Z55" i="1"/>
  <c r="C55" i="1"/>
  <c r="AF54" i="1"/>
  <c r="AE54" i="1"/>
  <c r="AD54" i="1"/>
  <c r="AC54" i="1"/>
  <c r="AB54" i="1"/>
  <c r="Z54" i="1"/>
  <c r="I54" i="1"/>
  <c r="J54" i="1" s="1"/>
  <c r="C54" i="1"/>
  <c r="AF53" i="1"/>
  <c r="AE53" i="1"/>
  <c r="AD53" i="1"/>
  <c r="AC53" i="1"/>
  <c r="AB53" i="1"/>
  <c r="AG53" i="1" s="1"/>
  <c r="AH53" i="1" s="1"/>
  <c r="Z53" i="1"/>
  <c r="J53" i="1"/>
  <c r="K53" i="1" s="1"/>
  <c r="L53" i="1" s="1"/>
  <c r="M53" i="1" s="1"/>
  <c r="N53" i="1" s="1"/>
  <c r="O53" i="1" s="1"/>
  <c r="P53" i="1" s="1"/>
  <c r="C53" i="1"/>
  <c r="AF52" i="1"/>
  <c r="AE52" i="1"/>
  <c r="AD52" i="1"/>
  <c r="AC52" i="1"/>
  <c r="AB52" i="1"/>
  <c r="Z52" i="1"/>
  <c r="C52" i="1"/>
  <c r="AF51" i="1"/>
  <c r="AG51" i="1" s="1"/>
  <c r="AH51" i="1" s="1"/>
  <c r="AE51" i="1"/>
  <c r="AD51" i="1"/>
  <c r="AC51" i="1"/>
  <c r="AB51" i="1"/>
  <c r="Z51" i="1"/>
  <c r="C51" i="1"/>
  <c r="AF50" i="1"/>
  <c r="AE50" i="1"/>
  <c r="AD50" i="1"/>
  <c r="AC50" i="1"/>
  <c r="AB50" i="1"/>
  <c r="AG50" i="1" s="1"/>
  <c r="AH50" i="1" s="1"/>
  <c r="Z50" i="1"/>
  <c r="H50" i="1"/>
  <c r="C50" i="1"/>
  <c r="AF49" i="1"/>
  <c r="AE49" i="1"/>
  <c r="AD49" i="1"/>
  <c r="AC49" i="1"/>
  <c r="AB49" i="1"/>
  <c r="Z49" i="1"/>
  <c r="C49" i="1"/>
  <c r="AF48" i="1"/>
  <c r="AE48" i="1"/>
  <c r="AD48" i="1"/>
  <c r="AC48" i="1"/>
  <c r="AG48" i="1" s="1"/>
  <c r="AH48" i="1" s="1"/>
  <c r="AB48" i="1"/>
  <c r="Z48" i="1"/>
  <c r="C48" i="1"/>
  <c r="AF47" i="1"/>
  <c r="AE47" i="1"/>
  <c r="AD47" i="1"/>
  <c r="AC47" i="1"/>
  <c r="AB47" i="1"/>
  <c r="AG47" i="1" s="1"/>
  <c r="AH47" i="1" s="1"/>
  <c r="Z47" i="1"/>
  <c r="K47" i="1"/>
  <c r="L47" i="1" s="1"/>
  <c r="M47" i="1" s="1"/>
  <c r="N47" i="1"/>
  <c r="O47" i="1"/>
  <c r="P47" i="1" s="1"/>
  <c r="J47" i="1"/>
  <c r="I48" i="1" s="1"/>
  <c r="J48" i="1" s="1"/>
  <c r="I49" i="1" s="1"/>
  <c r="C47" i="1"/>
  <c r="AF46" i="1"/>
  <c r="AE46" i="1"/>
  <c r="AD46" i="1"/>
  <c r="AC46" i="1"/>
  <c r="AB46" i="1"/>
  <c r="AG46" i="1" s="1"/>
  <c r="AH46" i="1" s="1"/>
  <c r="Z46" i="1"/>
  <c r="L46" i="1"/>
  <c r="M46" i="1" s="1"/>
  <c r="N46" i="1" s="1"/>
  <c r="O46" i="1"/>
  <c r="P46" i="1" s="1"/>
  <c r="J46" i="1"/>
  <c r="C46" i="1"/>
  <c r="AF45" i="1"/>
  <c r="AE45" i="1"/>
  <c r="AD45" i="1"/>
  <c r="AC45" i="1"/>
  <c r="AB45" i="1"/>
  <c r="AG45" i="1" s="1"/>
  <c r="AH45" i="1" s="1"/>
  <c r="Z45" i="1"/>
  <c r="J45" i="1"/>
  <c r="K45" i="1" s="1"/>
  <c r="L45" i="1" s="1"/>
  <c r="M45" i="1" s="1"/>
  <c r="N45" i="1" s="1"/>
  <c r="O45" i="1" s="1"/>
  <c r="P45" i="1"/>
  <c r="C45" i="1"/>
  <c r="AF44" i="1"/>
  <c r="AE44" i="1"/>
  <c r="AG44" i="1" s="1"/>
  <c r="AH44" i="1" s="1"/>
  <c r="AD44" i="1"/>
  <c r="AC44" i="1"/>
  <c r="AB44" i="1"/>
  <c r="Z44" i="1"/>
  <c r="K44" i="1"/>
  <c r="L44" i="1"/>
  <c r="M44" i="1" s="1"/>
  <c r="N44" i="1" s="1"/>
  <c r="O44" i="1" s="1"/>
  <c r="P44" i="1" s="1"/>
  <c r="J44" i="1"/>
  <c r="C44" i="1"/>
  <c r="AF43" i="1"/>
  <c r="AE43" i="1"/>
  <c r="AD43" i="1"/>
  <c r="AC43" i="1"/>
  <c r="AG43" i="1" s="1"/>
  <c r="AH43" i="1" s="1"/>
  <c r="AB43" i="1"/>
  <c r="Z43" i="1"/>
  <c r="C43" i="1"/>
  <c r="AF42" i="1"/>
  <c r="AE42" i="1"/>
  <c r="AD42" i="1"/>
  <c r="AC42" i="1"/>
  <c r="AB42" i="1"/>
  <c r="AG42" i="1" s="1"/>
  <c r="AH42" i="1" s="1"/>
  <c r="Z42" i="1"/>
  <c r="C42" i="1"/>
  <c r="AF41" i="1"/>
  <c r="AE41" i="1"/>
  <c r="AD41" i="1"/>
  <c r="AC41" i="1"/>
  <c r="AB41" i="1"/>
  <c r="Z41" i="1"/>
  <c r="J41" i="1"/>
  <c r="I42" i="1"/>
  <c r="J42" i="1"/>
  <c r="C41" i="1"/>
  <c r="AF40" i="1"/>
  <c r="AE40" i="1"/>
  <c r="AD40" i="1"/>
  <c r="AC40" i="1"/>
  <c r="AG40" i="1" s="1"/>
  <c r="AB40" i="1"/>
  <c r="AH40" i="1"/>
  <c r="Z40" i="1"/>
  <c r="C40" i="1"/>
  <c r="AF39" i="1"/>
  <c r="AE39" i="1"/>
  <c r="AD39" i="1"/>
  <c r="AC39" i="1"/>
  <c r="AB39" i="1"/>
  <c r="AG39" i="1"/>
  <c r="AH39" i="1" s="1"/>
  <c r="Z39" i="1"/>
  <c r="C39" i="1"/>
  <c r="AF38" i="1"/>
  <c r="AE38" i="1"/>
  <c r="AD38" i="1"/>
  <c r="AC38" i="1"/>
  <c r="AB38" i="1"/>
  <c r="AG38" i="1" s="1"/>
  <c r="AH38" i="1" s="1"/>
  <c r="Z38" i="1"/>
  <c r="J38" i="1"/>
  <c r="I39" i="1"/>
  <c r="J39" i="1" s="1"/>
  <c r="C38" i="1"/>
  <c r="AF37" i="1"/>
  <c r="AE37" i="1"/>
  <c r="AD37" i="1"/>
  <c r="AC37" i="1"/>
  <c r="AG37" i="1" s="1"/>
  <c r="AH37" i="1" s="1"/>
  <c r="AB37" i="1"/>
  <c r="Z37" i="1"/>
  <c r="C37" i="1"/>
  <c r="AF36" i="1"/>
  <c r="AE36" i="1"/>
  <c r="AD36" i="1"/>
  <c r="AC36" i="1"/>
  <c r="AB36" i="1"/>
  <c r="Z36" i="1"/>
  <c r="H36" i="1"/>
  <c r="H61" i="1" s="1"/>
  <c r="C36" i="1"/>
  <c r="AF35" i="1"/>
  <c r="AE35" i="1"/>
  <c r="AD35" i="1"/>
  <c r="AC35" i="1"/>
  <c r="AB35" i="1"/>
  <c r="Z35" i="1"/>
  <c r="C35" i="1"/>
  <c r="AF34" i="1"/>
  <c r="AE34" i="1"/>
  <c r="AD34" i="1"/>
  <c r="AC34" i="1"/>
  <c r="AG34" i="1" s="1"/>
  <c r="AH34" i="1" s="1"/>
  <c r="AB34" i="1"/>
  <c r="Z34" i="1"/>
  <c r="C34" i="1"/>
  <c r="AF33" i="1"/>
  <c r="AE33" i="1"/>
  <c r="AD33" i="1"/>
  <c r="AC33" i="1"/>
  <c r="AB33" i="1"/>
  <c r="AG33" i="1" s="1"/>
  <c r="AH33" i="1" s="1"/>
  <c r="Z33" i="1"/>
  <c r="I33" i="1"/>
  <c r="J33" i="1" s="1"/>
  <c r="C33" i="1"/>
  <c r="AF32" i="1"/>
  <c r="AE32" i="1"/>
  <c r="AD32" i="1"/>
  <c r="AC32" i="1"/>
  <c r="AG32" i="1" s="1"/>
  <c r="AH32" i="1" s="1"/>
  <c r="AB32" i="1"/>
  <c r="Z32" i="1"/>
  <c r="K32" i="1"/>
  <c r="L32" i="1" s="1"/>
  <c r="M32" i="1" s="1"/>
  <c r="N32" i="1" s="1"/>
  <c r="O32" i="1" s="1"/>
  <c r="P32" i="1" s="1"/>
  <c r="J32" i="1"/>
  <c r="C32" i="1"/>
  <c r="AF31" i="1"/>
  <c r="AE31" i="1"/>
  <c r="AD31" i="1"/>
  <c r="AC31" i="1"/>
  <c r="AB31" i="1"/>
  <c r="Z31" i="1"/>
  <c r="J31" i="1"/>
  <c r="K31" i="1" s="1"/>
  <c r="L31" i="1" s="1"/>
  <c r="M31" i="1" s="1"/>
  <c r="N31" i="1" s="1"/>
  <c r="O31" i="1" s="1"/>
  <c r="P31" i="1" s="1"/>
  <c r="C31" i="1"/>
  <c r="AF30" i="1"/>
  <c r="AE30" i="1"/>
  <c r="AD30" i="1"/>
  <c r="AG30" i="1" s="1"/>
  <c r="AH30" i="1" s="1"/>
  <c r="AC30" i="1"/>
  <c r="AB30" i="1"/>
  <c r="Z30" i="1"/>
  <c r="K30" i="1"/>
  <c r="L30" i="1"/>
  <c r="M30" i="1" s="1"/>
  <c r="N30" i="1" s="1"/>
  <c r="O30" i="1" s="1"/>
  <c r="P30" i="1" s="1"/>
  <c r="J30" i="1"/>
  <c r="C30" i="1"/>
  <c r="AF29" i="1"/>
  <c r="AE29" i="1"/>
  <c r="AG29" i="1" s="1"/>
  <c r="AH29" i="1" s="1"/>
  <c r="AD29" i="1"/>
  <c r="AC29" i="1"/>
  <c r="AB29" i="1"/>
  <c r="Z29" i="1"/>
  <c r="C29" i="1"/>
  <c r="AF28" i="1"/>
  <c r="AE28" i="1"/>
  <c r="AD28" i="1"/>
  <c r="AC28" i="1"/>
  <c r="AB28" i="1"/>
  <c r="Z28" i="1"/>
  <c r="C28" i="1"/>
  <c r="AF27" i="1"/>
  <c r="AE27" i="1"/>
  <c r="AD27" i="1"/>
  <c r="AC27" i="1"/>
  <c r="AB27" i="1"/>
  <c r="AG27" i="1"/>
  <c r="AH27" i="1" s="1"/>
  <c r="Z27" i="1"/>
  <c r="J27" i="1"/>
  <c r="I28" i="1"/>
  <c r="J28" i="1"/>
  <c r="I29" i="1" s="1"/>
  <c r="J29" i="1" s="1"/>
  <c r="K29" i="1" s="1"/>
  <c r="L29" i="1" s="1"/>
  <c r="M29" i="1" s="1"/>
  <c r="N29" i="1" s="1"/>
  <c r="O29" i="1" s="1"/>
  <c r="P29" i="1" s="1"/>
  <c r="C27" i="1"/>
  <c r="AF26" i="1"/>
  <c r="AE26" i="1"/>
  <c r="AD26" i="1"/>
  <c r="AG26" i="1" s="1"/>
  <c r="AH26" i="1" s="1"/>
  <c r="AC26" i="1"/>
  <c r="AB26" i="1"/>
  <c r="Z26" i="1"/>
  <c r="C26" i="1"/>
  <c r="AF25" i="1"/>
  <c r="AG25" i="1" s="1"/>
  <c r="AH25" i="1" s="1"/>
  <c r="AE25" i="1"/>
  <c r="AD25" i="1"/>
  <c r="AC25" i="1"/>
  <c r="AB25" i="1"/>
  <c r="Z25" i="1"/>
  <c r="C25" i="1"/>
  <c r="AG24" i="1"/>
  <c r="AH24" i="1" s="1"/>
  <c r="AF24" i="1"/>
  <c r="AE24" i="1"/>
  <c r="AD24" i="1"/>
  <c r="AC24" i="1"/>
  <c r="AB24" i="1"/>
  <c r="Z24" i="1"/>
  <c r="J24" i="1"/>
  <c r="K24" i="1" s="1"/>
  <c r="C24" i="1"/>
  <c r="AF23" i="1"/>
  <c r="AE23" i="1"/>
  <c r="AD23" i="1"/>
  <c r="AC23" i="1"/>
  <c r="AB23" i="1"/>
  <c r="AG23" i="1" s="1"/>
  <c r="AH23" i="1" s="1"/>
  <c r="Z23" i="1"/>
  <c r="C23" i="1"/>
  <c r="AF22" i="1"/>
  <c r="AE22" i="1"/>
  <c r="AD22" i="1"/>
  <c r="AC22" i="1"/>
  <c r="AB22" i="1"/>
  <c r="AG22" i="1"/>
  <c r="AH22" i="1" s="1"/>
  <c r="Z22" i="1"/>
  <c r="C22" i="1"/>
  <c r="A22" i="1"/>
  <c r="A23" i="1"/>
  <c r="A24" i="1"/>
  <c r="A25" i="1"/>
  <c r="A26" i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F21" i="1"/>
  <c r="AE21" i="1"/>
  <c r="AD21" i="1"/>
  <c r="AC21" i="1"/>
  <c r="AB21" i="1"/>
  <c r="Z21" i="1"/>
  <c r="Z61" i="1"/>
  <c r="J21" i="1"/>
  <c r="I22" i="1"/>
  <c r="J22" i="1"/>
  <c r="K22" i="1" s="1"/>
  <c r="L22" i="1" s="1"/>
  <c r="M22" i="1" s="1"/>
  <c r="N22" i="1" s="1"/>
  <c r="O22" i="1" s="1"/>
  <c r="P22" i="1" s="1"/>
  <c r="C21" i="1"/>
  <c r="G72" i="1"/>
  <c r="F72" i="1"/>
  <c r="AE48" i="6"/>
  <c r="G12" i="6" s="1"/>
  <c r="I12" i="6" s="1"/>
  <c r="F11" i="6"/>
  <c r="AI22" i="6"/>
  <c r="AJ22" i="6"/>
  <c r="AI30" i="6"/>
  <c r="AJ30" i="6"/>
  <c r="AI44" i="6"/>
  <c r="AJ44" i="6"/>
  <c r="AI26" i="6"/>
  <c r="AJ26" i="6"/>
  <c r="AI27" i="6"/>
  <c r="AJ27" i="6"/>
  <c r="AI42" i="6"/>
  <c r="AJ42" i="6" s="1"/>
  <c r="AI21" i="6"/>
  <c r="AJ21" i="6" s="1"/>
  <c r="AI24" i="6"/>
  <c r="AJ24" i="6"/>
  <c r="AI25" i="6"/>
  <c r="AJ25" i="6" s="1"/>
  <c r="AD48" i="6"/>
  <c r="AI38" i="6"/>
  <c r="AJ38" i="6" s="1"/>
  <c r="O29" i="6"/>
  <c r="P29" i="6" s="1"/>
  <c r="I26" i="6"/>
  <c r="J26" i="6" s="1"/>
  <c r="K26" i="6" s="1"/>
  <c r="L26" i="6"/>
  <c r="M26" i="6"/>
  <c r="N26" i="6" s="1"/>
  <c r="P25" i="6"/>
  <c r="I39" i="6"/>
  <c r="J39" i="6" s="1"/>
  <c r="K39" i="6" s="1"/>
  <c r="L39" i="6" s="1"/>
  <c r="M39" i="6" s="1"/>
  <c r="N39" i="6" s="1"/>
  <c r="P38" i="6"/>
  <c r="I35" i="6"/>
  <c r="J35" i="6" s="1"/>
  <c r="K35" i="6" s="1"/>
  <c r="L35" i="6" s="1"/>
  <c r="M35" i="6" s="1"/>
  <c r="N35" i="6" s="1"/>
  <c r="P34" i="6"/>
  <c r="AH48" i="6"/>
  <c r="I43" i="1"/>
  <c r="J43" i="1"/>
  <c r="K43" i="1" s="1"/>
  <c r="L43" i="1" s="1"/>
  <c r="M43" i="1" s="1"/>
  <c r="N43" i="1" s="1"/>
  <c r="O43" i="1" s="1"/>
  <c r="P43" i="1" s="1"/>
  <c r="K42" i="1"/>
  <c r="L42" i="1" s="1"/>
  <c r="M42" i="1" s="1"/>
  <c r="N42" i="1" s="1"/>
  <c r="O42" i="1" s="1"/>
  <c r="P42" i="1" s="1"/>
  <c r="J49" i="1"/>
  <c r="K49" i="1"/>
  <c r="L49" i="1" s="1"/>
  <c r="M49" i="1" s="1"/>
  <c r="N49" i="1" s="1"/>
  <c r="O49" i="1" s="1"/>
  <c r="P49" i="1" s="1"/>
  <c r="I50" i="1" s="1"/>
  <c r="J50" i="1" s="1"/>
  <c r="K48" i="1"/>
  <c r="L48" i="1" s="1"/>
  <c r="M48" i="1" s="1"/>
  <c r="N48" i="1" s="1"/>
  <c r="O48" i="1" s="1"/>
  <c r="P48" i="1" s="1"/>
  <c r="K28" i="1"/>
  <c r="L28" i="1" s="1"/>
  <c r="M28" i="1" s="1"/>
  <c r="N28" i="1" s="1"/>
  <c r="O28" i="1" s="1"/>
  <c r="P28" i="1" s="1"/>
  <c r="I34" i="1"/>
  <c r="J34" i="1" s="1"/>
  <c r="K34" i="1" s="1"/>
  <c r="L34" i="1" s="1"/>
  <c r="M34" i="1" s="1"/>
  <c r="N34" i="1" s="1"/>
  <c r="O34" i="1" s="1"/>
  <c r="P34" i="1" s="1"/>
  <c r="I35" i="1" s="1"/>
  <c r="J35" i="1" s="1"/>
  <c r="K33" i="1"/>
  <c r="L33" i="1"/>
  <c r="M33" i="1" s="1"/>
  <c r="N33" i="1" s="1"/>
  <c r="O33" i="1" s="1"/>
  <c r="P33" i="1" s="1"/>
  <c r="K21" i="1"/>
  <c r="L21" i="1" s="1"/>
  <c r="M21" i="1" s="1"/>
  <c r="N21" i="1" s="1"/>
  <c r="O21" i="1" s="1"/>
  <c r="P21" i="1" s="1"/>
  <c r="AB61" i="1"/>
  <c r="K56" i="1"/>
  <c r="L56" i="1"/>
  <c r="M56" i="1" s="1"/>
  <c r="N56" i="1" s="1"/>
  <c r="O56" i="1" s="1"/>
  <c r="P56" i="1" s="1"/>
  <c r="AD61" i="1"/>
  <c r="G13" i="1" s="1"/>
  <c r="I13" i="1" s="1"/>
  <c r="AE61" i="1"/>
  <c r="AC61" i="1"/>
  <c r="K27" i="1"/>
  <c r="L27" i="1" s="1"/>
  <c r="M27" i="1" s="1"/>
  <c r="N27" i="1" s="1"/>
  <c r="O27" i="1" s="1"/>
  <c r="P27" i="1" s="1"/>
  <c r="K41" i="1"/>
  <c r="L41" i="1" s="1"/>
  <c r="M41" i="1" s="1"/>
  <c r="N41" i="1" s="1"/>
  <c r="O41" i="1" s="1"/>
  <c r="P41" i="1" s="1"/>
  <c r="L24" i="1"/>
  <c r="M24" i="1" s="1"/>
  <c r="N24" i="1" s="1"/>
  <c r="O24" i="1" s="1"/>
  <c r="P24" i="1" s="1"/>
  <c r="K38" i="1"/>
  <c r="L38" i="1"/>
  <c r="M38" i="1" s="1"/>
  <c r="N38" i="1" s="1"/>
  <c r="O38" i="1" s="1"/>
  <c r="P38" i="1" s="1"/>
  <c r="F3" i="5"/>
  <c r="P6" i="4"/>
  <c r="T27" i="3"/>
  <c r="T26" i="3"/>
  <c r="T25" i="3"/>
  <c r="T24" i="3"/>
  <c r="T23" i="3"/>
  <c r="T22" i="3"/>
  <c r="T21" i="3"/>
  <c r="C28" i="3"/>
  <c r="S28" i="3"/>
  <c r="E15" i="3"/>
  <c r="F15" i="3" s="1"/>
  <c r="R28" i="3"/>
  <c r="E14" i="3" s="1"/>
  <c r="F14" i="3" s="1"/>
  <c r="Q28" i="3"/>
  <c r="E13" i="3" s="1"/>
  <c r="F13" i="3" s="1"/>
  <c r="P28" i="3"/>
  <c r="E12" i="3" s="1"/>
  <c r="F12" i="3" s="1"/>
  <c r="O28" i="3"/>
  <c r="E11" i="3" s="1"/>
  <c r="K28" i="3"/>
  <c r="G9" i="3" s="1"/>
  <c r="Z27" i="3"/>
  <c r="Y27" i="3"/>
  <c r="X27" i="3"/>
  <c r="W27" i="3"/>
  <c r="AA27" i="3" s="1"/>
  <c r="AB27" i="3" s="1"/>
  <c r="V27" i="3"/>
  <c r="Z26" i="3"/>
  <c r="Y26" i="3"/>
  <c r="X26" i="3"/>
  <c r="W26" i="3"/>
  <c r="V26" i="3"/>
  <c r="V28" i="3" s="1"/>
  <c r="G11" i="3" s="1"/>
  <c r="Z25" i="3"/>
  <c r="Y25" i="3"/>
  <c r="X25" i="3"/>
  <c r="W25" i="3"/>
  <c r="V25" i="3"/>
  <c r="AA25" i="3" s="1"/>
  <c r="AB25" i="3" s="1"/>
  <c r="Z24" i="3"/>
  <c r="Y24" i="3"/>
  <c r="X24" i="3"/>
  <c r="AA24" i="3" s="1"/>
  <c r="AB24" i="3" s="1"/>
  <c r="W24" i="3"/>
  <c r="V24" i="3"/>
  <c r="Z23" i="3"/>
  <c r="Y23" i="3"/>
  <c r="X23" i="3"/>
  <c r="W23" i="3"/>
  <c r="V23" i="3"/>
  <c r="AA23" i="3" s="1"/>
  <c r="AB23" i="3" s="1"/>
  <c r="Z22" i="3"/>
  <c r="AA22" i="3" s="1"/>
  <c r="AB22" i="3" s="1"/>
  <c r="Y22" i="3"/>
  <c r="X22" i="3"/>
  <c r="W22" i="3"/>
  <c r="V22" i="3"/>
  <c r="Z21" i="3"/>
  <c r="Y21" i="3"/>
  <c r="Y28" i="3" s="1"/>
  <c r="G14" i="3" s="1"/>
  <c r="X21" i="3"/>
  <c r="W21" i="3"/>
  <c r="V21" i="3"/>
  <c r="E7" i="3"/>
  <c r="E7" i="1"/>
  <c r="G9" i="1"/>
  <c r="E14" i="1"/>
  <c r="F14" i="1" s="1"/>
  <c r="E11" i="1"/>
  <c r="F11" i="1"/>
  <c r="E15" i="1"/>
  <c r="F15" i="1" s="1"/>
  <c r="G15" i="1"/>
  <c r="I15" i="1" s="1"/>
  <c r="E12" i="1"/>
  <c r="F12" i="1" s="1"/>
  <c r="Z28" i="3"/>
  <c r="G15" i="3" s="1"/>
  <c r="G12" i="1"/>
  <c r="I12" i="1" s="1"/>
  <c r="G11" i="1"/>
  <c r="I11" i="1" s="1"/>
  <c r="G14" i="1"/>
  <c r="I14" i="1"/>
  <c r="C47" i="6"/>
  <c r="C46" i="6"/>
  <c r="O26" i="6" l="1"/>
  <c r="P26" i="6" s="1"/>
  <c r="I27" i="6"/>
  <c r="J27" i="6" s="1"/>
  <c r="H14" i="3"/>
  <c r="H11" i="3"/>
  <c r="G16" i="3"/>
  <c r="H16" i="3" s="1"/>
  <c r="I36" i="6"/>
  <c r="J36" i="6" s="1"/>
  <c r="K36" i="6" s="1"/>
  <c r="L36" i="6" s="1"/>
  <c r="M36" i="6" s="1"/>
  <c r="N36" i="6" s="1"/>
  <c r="O35" i="6"/>
  <c r="P35" i="6" s="1"/>
  <c r="E16" i="1"/>
  <c r="F16" i="1" s="1"/>
  <c r="F13" i="1"/>
  <c r="I36" i="1"/>
  <c r="J36" i="1" s="1"/>
  <c r="K35" i="1"/>
  <c r="L35" i="1" s="1"/>
  <c r="M35" i="1" s="1"/>
  <c r="N35" i="1" s="1"/>
  <c r="O35" i="1" s="1"/>
  <c r="P35" i="1" s="1"/>
  <c r="I23" i="6"/>
  <c r="J23" i="6" s="1"/>
  <c r="K23" i="6" s="1"/>
  <c r="L23" i="6" s="1"/>
  <c r="M23" i="6" s="1"/>
  <c r="N23" i="6" s="1"/>
  <c r="O22" i="6"/>
  <c r="P22" i="6" s="1"/>
  <c r="A46" i="6"/>
  <c r="A45" i="6"/>
  <c r="A47" i="6" s="1"/>
  <c r="I51" i="1"/>
  <c r="J51" i="1" s="1"/>
  <c r="K50" i="1"/>
  <c r="L50" i="1" s="1"/>
  <c r="M50" i="1" s="1"/>
  <c r="N50" i="1" s="1"/>
  <c r="O50" i="1" s="1"/>
  <c r="P50" i="1" s="1"/>
  <c r="H15" i="3"/>
  <c r="I40" i="6"/>
  <c r="J40" i="6" s="1"/>
  <c r="O39" i="6"/>
  <c r="P39" i="6" s="1"/>
  <c r="I31" i="6"/>
  <c r="J31" i="6" s="1"/>
  <c r="O30" i="6"/>
  <c r="P30" i="6" s="1"/>
  <c r="I23" i="1"/>
  <c r="J23" i="1" s="1"/>
  <c r="K23" i="1" s="1"/>
  <c r="L23" i="1" s="1"/>
  <c r="M23" i="1" s="1"/>
  <c r="N23" i="1" s="1"/>
  <c r="O23" i="1" s="1"/>
  <c r="P23" i="1" s="1"/>
  <c r="AF48" i="6"/>
  <c r="G13" i="6" s="1"/>
  <c r="I13" i="6" s="1"/>
  <c r="K54" i="1"/>
  <c r="L54" i="1" s="1"/>
  <c r="M54" i="1" s="1"/>
  <c r="N54" i="1" s="1"/>
  <c r="O54" i="1" s="1"/>
  <c r="P54" i="1" s="1"/>
  <c r="I55" i="1"/>
  <c r="J55" i="1" s="1"/>
  <c r="K55" i="1" s="1"/>
  <c r="L55" i="1" s="1"/>
  <c r="M55" i="1" s="1"/>
  <c r="N55" i="1" s="1"/>
  <c r="O55" i="1" s="1"/>
  <c r="P55" i="1" s="1"/>
  <c r="AG31" i="1"/>
  <c r="AH31" i="1" s="1"/>
  <c r="AG35" i="1"/>
  <c r="AH35" i="1" s="1"/>
  <c r="I58" i="1"/>
  <c r="J58" i="1" s="1"/>
  <c r="K58" i="1" s="1"/>
  <c r="L58" i="1" s="1"/>
  <c r="M58" i="1" s="1"/>
  <c r="N58" i="1" s="1"/>
  <c r="O58" i="1" s="1"/>
  <c r="P58" i="1" s="1"/>
  <c r="K57" i="1"/>
  <c r="L57" i="1" s="1"/>
  <c r="M57" i="1" s="1"/>
  <c r="N57" i="1" s="1"/>
  <c r="O57" i="1" s="1"/>
  <c r="P57" i="1" s="1"/>
  <c r="AG49" i="1"/>
  <c r="AH49" i="1" s="1"/>
  <c r="AA26" i="3"/>
  <c r="AB26" i="3" s="1"/>
  <c r="O43" i="6"/>
  <c r="P43" i="6" s="1"/>
  <c r="I44" i="6"/>
  <c r="J44" i="6" s="1"/>
  <c r="K44" i="6" s="1"/>
  <c r="L44" i="6" s="1"/>
  <c r="M44" i="6" s="1"/>
  <c r="N44" i="6" s="1"/>
  <c r="AG21" i="1"/>
  <c r="AH21" i="1" s="1"/>
  <c r="K39" i="1"/>
  <c r="L39" i="1" s="1"/>
  <c r="M39" i="1" s="1"/>
  <c r="N39" i="1" s="1"/>
  <c r="O39" i="1" s="1"/>
  <c r="P39" i="1" s="1"/>
  <c r="I40" i="1"/>
  <c r="J40" i="1" s="1"/>
  <c r="K40" i="1" s="1"/>
  <c r="L40" i="1" s="1"/>
  <c r="M40" i="1" s="1"/>
  <c r="N40" i="1" s="1"/>
  <c r="O40" i="1" s="1"/>
  <c r="P40" i="1" s="1"/>
  <c r="AG41" i="1"/>
  <c r="AH41" i="1" s="1"/>
  <c r="AG48" i="6"/>
  <c r="G14" i="6" s="1"/>
  <c r="I14" i="6" s="1"/>
  <c r="AI23" i="6"/>
  <c r="AJ23" i="6" s="1"/>
  <c r="W28" i="3"/>
  <c r="G12" i="3" s="1"/>
  <c r="H12" i="3" s="1"/>
  <c r="F11" i="3"/>
  <c r="E16" i="3"/>
  <c r="F16" i="3" s="1"/>
  <c r="T28" i="3"/>
  <c r="G11" i="6"/>
  <c r="AG52" i="1"/>
  <c r="AH52" i="1" s="1"/>
  <c r="G16" i="1"/>
  <c r="I16" i="1" s="1"/>
  <c r="AA21" i="3"/>
  <c r="X28" i="3"/>
  <c r="G13" i="3" s="1"/>
  <c r="H13" i="3" s="1"/>
  <c r="AG61" i="1"/>
  <c r="AH61" i="1" s="1"/>
  <c r="I25" i="1"/>
  <c r="J25" i="1" s="1"/>
  <c r="E16" i="6"/>
  <c r="F16" i="6" s="1"/>
  <c r="AG54" i="1"/>
  <c r="AH54" i="1" s="1"/>
  <c r="AG28" i="1"/>
  <c r="AH28" i="1" s="1"/>
  <c r="AG36" i="1"/>
  <c r="AH36" i="1" s="1"/>
  <c r="AG58" i="1"/>
  <c r="AH58" i="1" s="1"/>
  <c r="AG60" i="1"/>
  <c r="AH60" i="1" s="1"/>
  <c r="AI40" i="6"/>
  <c r="AJ40" i="6" s="1"/>
  <c r="AI48" i="6" l="1"/>
  <c r="AJ48" i="6" s="1"/>
  <c r="K25" i="1"/>
  <c r="L25" i="1" s="1"/>
  <c r="M25" i="1" s="1"/>
  <c r="N25" i="1" s="1"/>
  <c r="O25" i="1" s="1"/>
  <c r="P25" i="1" s="1"/>
  <c r="I26" i="1"/>
  <c r="J26" i="1" s="1"/>
  <c r="K26" i="1" s="1"/>
  <c r="L26" i="1" s="1"/>
  <c r="M26" i="1" s="1"/>
  <c r="N26" i="1" s="1"/>
  <c r="O26" i="1" s="1"/>
  <c r="P26" i="1" s="1"/>
  <c r="I41" i="6"/>
  <c r="J41" i="6" s="1"/>
  <c r="K40" i="6"/>
  <c r="L40" i="6" s="1"/>
  <c r="M40" i="6" s="1"/>
  <c r="N40" i="6" s="1"/>
  <c r="O40" i="6" s="1"/>
  <c r="P40" i="6" s="1"/>
  <c r="O23" i="6"/>
  <c r="P23" i="6" s="1"/>
  <c r="I24" i="6"/>
  <c r="J24" i="6" s="1"/>
  <c r="K24" i="6" s="1"/>
  <c r="L24" i="6" s="1"/>
  <c r="M24" i="6" s="1"/>
  <c r="N24" i="6" s="1"/>
  <c r="O24" i="6" s="1"/>
  <c r="P24" i="6" s="1"/>
  <c r="I45" i="6"/>
  <c r="J45" i="6" s="1"/>
  <c r="O44" i="6"/>
  <c r="P44" i="6" s="1"/>
  <c r="I32" i="6"/>
  <c r="J32" i="6" s="1"/>
  <c r="K31" i="6"/>
  <c r="L31" i="6" s="1"/>
  <c r="M31" i="6" s="1"/>
  <c r="N31" i="6" s="1"/>
  <c r="O31" i="6" s="1"/>
  <c r="P31" i="6" s="1"/>
  <c r="I37" i="1"/>
  <c r="J37" i="1" s="1"/>
  <c r="K37" i="1" s="1"/>
  <c r="L37" i="1" s="1"/>
  <c r="M37" i="1" s="1"/>
  <c r="N37" i="1" s="1"/>
  <c r="O37" i="1" s="1"/>
  <c r="P37" i="1" s="1"/>
  <c r="K36" i="1"/>
  <c r="L36" i="1" s="1"/>
  <c r="M36" i="1" s="1"/>
  <c r="N36" i="1" s="1"/>
  <c r="O36" i="1" s="1"/>
  <c r="P36" i="1" s="1"/>
  <c r="I28" i="6"/>
  <c r="J28" i="6" s="1"/>
  <c r="K28" i="6" s="1"/>
  <c r="L28" i="6" s="1"/>
  <c r="M28" i="6" s="1"/>
  <c r="N28" i="6" s="1"/>
  <c r="O28" i="6" s="1"/>
  <c r="P28" i="6" s="1"/>
  <c r="K27" i="6"/>
  <c r="L27" i="6" s="1"/>
  <c r="M27" i="6" s="1"/>
  <c r="N27" i="6" s="1"/>
  <c r="O27" i="6" s="1"/>
  <c r="P27" i="6" s="1"/>
  <c r="G16" i="6"/>
  <c r="I16" i="6" s="1"/>
  <c r="I11" i="6"/>
  <c r="I37" i="6"/>
  <c r="J37" i="6" s="1"/>
  <c r="K37" i="6" s="1"/>
  <c r="L37" i="6" s="1"/>
  <c r="M37" i="6" s="1"/>
  <c r="N37" i="6" s="1"/>
  <c r="O37" i="6" s="1"/>
  <c r="P37" i="6" s="1"/>
  <c r="O36" i="6"/>
  <c r="P36" i="6" s="1"/>
  <c r="AA28" i="3"/>
  <c r="AB21" i="3"/>
  <c r="AB28" i="3" s="1"/>
  <c r="K51" i="1"/>
  <c r="L51" i="1" s="1"/>
  <c r="M51" i="1" s="1"/>
  <c r="N51" i="1" s="1"/>
  <c r="O51" i="1" s="1"/>
  <c r="P51" i="1" s="1"/>
  <c r="I52" i="1"/>
  <c r="J52" i="1" s="1"/>
  <c r="K52" i="1" s="1"/>
  <c r="L52" i="1" s="1"/>
  <c r="M52" i="1" s="1"/>
  <c r="N52" i="1" s="1"/>
  <c r="O52" i="1" s="1"/>
  <c r="P52" i="1" s="1"/>
  <c r="I46" i="6" l="1"/>
  <c r="J46" i="6" s="1"/>
  <c r="K45" i="6"/>
  <c r="L45" i="6" s="1"/>
  <c r="M45" i="6" s="1"/>
  <c r="N45" i="6" s="1"/>
  <c r="O45" i="6" s="1"/>
  <c r="P45" i="6" s="1"/>
  <c r="K41" i="6"/>
  <c r="L41" i="6" s="1"/>
  <c r="M41" i="6" s="1"/>
  <c r="N41" i="6" s="1"/>
  <c r="O41" i="6" s="1"/>
  <c r="P41" i="6" s="1"/>
  <c r="I42" i="6"/>
  <c r="J42" i="6" s="1"/>
  <c r="K42" i="6" s="1"/>
  <c r="L42" i="6" s="1"/>
  <c r="M42" i="6" s="1"/>
  <c r="N42" i="6" s="1"/>
  <c r="O42" i="6" s="1"/>
  <c r="P42" i="6" s="1"/>
  <c r="I33" i="6"/>
  <c r="J33" i="6" s="1"/>
  <c r="K33" i="6" s="1"/>
  <c r="L33" i="6" s="1"/>
  <c r="M33" i="6" s="1"/>
  <c r="N33" i="6" s="1"/>
  <c r="O33" i="6" s="1"/>
  <c r="P33" i="6" s="1"/>
  <c r="K32" i="6"/>
  <c r="L32" i="6" s="1"/>
  <c r="M32" i="6" s="1"/>
  <c r="N32" i="6" s="1"/>
  <c r="O32" i="6" s="1"/>
  <c r="P32" i="6" s="1"/>
  <c r="K46" i="6" l="1"/>
  <c r="L46" i="6" s="1"/>
  <c r="M46" i="6" s="1"/>
  <c r="N46" i="6" s="1"/>
  <c r="O46" i="6" s="1"/>
  <c r="P46" i="6" s="1"/>
  <c r="I47" i="6"/>
  <c r="J47" i="6" s="1"/>
  <c r="K47" i="6" s="1"/>
  <c r="L47" i="6" s="1"/>
  <c r="M47" i="6" s="1"/>
  <c r="N47" i="6" s="1"/>
  <c r="O47" i="6" s="1"/>
  <c r="P47" i="6" s="1"/>
</calcChain>
</file>

<file path=xl/sharedStrings.xml><?xml version="1.0" encoding="utf-8"?>
<sst xmlns="http://schemas.openxmlformats.org/spreadsheetml/2006/main" count="522" uniqueCount="210">
  <si>
    <t>Project Code</t>
  </si>
  <si>
    <t>Foundation</t>
  </si>
  <si>
    <t>Balance</t>
  </si>
  <si>
    <t>Nos</t>
  </si>
  <si>
    <t>Sl</t>
  </si>
  <si>
    <t>Loc No.</t>
  </si>
  <si>
    <t>Tower type</t>
  </si>
  <si>
    <t>Classification</t>
  </si>
  <si>
    <t>Sub-Cont</t>
  </si>
  <si>
    <t>Excavation</t>
  </si>
  <si>
    <t xml:space="preserve">Start </t>
  </si>
  <si>
    <t>End</t>
  </si>
  <si>
    <t>Stub-setting</t>
  </si>
  <si>
    <t>Concreting</t>
  </si>
  <si>
    <t>Backfilling</t>
  </si>
  <si>
    <t>Earthing</t>
  </si>
  <si>
    <t>Conc. Vol (CuM)</t>
  </si>
  <si>
    <t>Reinf 
(MT)</t>
  </si>
  <si>
    <t>Work Plan</t>
  </si>
  <si>
    <t>Revenue</t>
  </si>
  <si>
    <t>Rs. Cr.</t>
  </si>
  <si>
    <t>Name of Line</t>
  </si>
  <si>
    <t>Activity</t>
  </si>
  <si>
    <t>Micro Plan for month</t>
  </si>
  <si>
    <t>Wk-1</t>
  </si>
  <si>
    <t>Wk-2</t>
  </si>
  <si>
    <t>Wk-3</t>
  </si>
  <si>
    <t>Wk-4</t>
  </si>
  <si>
    <t>Wk-5</t>
  </si>
  <si>
    <t>Total</t>
  </si>
  <si>
    <t>Revenue Achievement</t>
  </si>
  <si>
    <t>Physical Completion</t>
  </si>
  <si>
    <t>Completed (Apr-24)</t>
  </si>
  <si>
    <t>Rs. Cr</t>
  </si>
  <si>
    <t>Achievement for Month</t>
  </si>
  <si>
    <t>Shortfall</t>
  </si>
  <si>
    <t>Qty</t>
  </si>
  <si>
    <t>Actual Completion</t>
  </si>
  <si>
    <t>Date</t>
  </si>
  <si>
    <t>Matl feeding</t>
  </si>
  <si>
    <t>Stringing</t>
  </si>
  <si>
    <t>Section</t>
  </si>
  <si>
    <t>Manual/TSE</t>
  </si>
  <si>
    <t>Pay-Out</t>
  </si>
  <si>
    <t>Final Sag</t>
  </si>
  <si>
    <t>km</t>
  </si>
  <si>
    <t>Section Length 
(km)</t>
  </si>
  <si>
    <t>Rs. Lacs.</t>
  </si>
  <si>
    <t>Actual for the  Month</t>
  </si>
  <si>
    <t>Location</t>
  </si>
  <si>
    <t>Project</t>
  </si>
  <si>
    <t>Structure</t>
  </si>
  <si>
    <t>B LOT</t>
  </si>
  <si>
    <t>Actual PRS Date</t>
  </si>
  <si>
    <t>STEEL Wt (MT)</t>
  </si>
  <si>
    <t xml:space="preserve">BNA Wt </t>
  </si>
  <si>
    <t>Disp Bal</t>
  </si>
  <si>
    <t>May'24 Disp Plan</t>
  </si>
  <si>
    <t>Wk01</t>
  </si>
  <si>
    <t>WK02</t>
  </si>
  <si>
    <t>WK03</t>
  </si>
  <si>
    <t>WK04</t>
  </si>
  <si>
    <t>July'24 Disp Plan</t>
  </si>
  <si>
    <t>TA416</t>
  </si>
  <si>
    <t>DA</t>
  </si>
  <si>
    <t>JPR</t>
  </si>
  <si>
    <t>Stub - 28 Nos</t>
  </si>
  <si>
    <t>TA416-00018</t>
  </si>
  <si>
    <t>Stub - 132 Nos</t>
  </si>
  <si>
    <t>TA416-00026</t>
  </si>
  <si>
    <t>Remark</t>
  </si>
  <si>
    <t>Jun'24 Disp Plan MT</t>
  </si>
  <si>
    <t>As on date 160 stub reieved.</t>
  </si>
  <si>
    <t>DFR</t>
  </si>
  <si>
    <t>TA-504</t>
  </si>
  <si>
    <t>14/1</t>
  </si>
  <si>
    <t>14/2</t>
  </si>
  <si>
    <t>14/4</t>
  </si>
  <si>
    <t>14/5</t>
  </si>
  <si>
    <t>14/6</t>
  </si>
  <si>
    <t>14/7</t>
  </si>
  <si>
    <t>15/1</t>
  </si>
  <si>
    <t>15/2</t>
  </si>
  <si>
    <t>15/3</t>
  </si>
  <si>
    <t>15/4</t>
  </si>
  <si>
    <t>15/5</t>
  </si>
  <si>
    <t>15/6</t>
  </si>
  <si>
    <t>15/7</t>
  </si>
  <si>
    <t>16/2</t>
  </si>
  <si>
    <t>16/6</t>
  </si>
  <si>
    <t>17/1</t>
  </si>
  <si>
    <t>17/2</t>
  </si>
  <si>
    <t>17/3</t>
  </si>
  <si>
    <t>17/4</t>
  </si>
  <si>
    <t>17/5</t>
  </si>
  <si>
    <t>17/6</t>
  </si>
  <si>
    <t>17/7</t>
  </si>
  <si>
    <t>18/2</t>
  </si>
  <si>
    <t>18/5</t>
  </si>
  <si>
    <t>19/1</t>
  </si>
  <si>
    <t>19/2</t>
  </si>
  <si>
    <t>21/1</t>
  </si>
  <si>
    <t>21/2</t>
  </si>
  <si>
    <t>21/4</t>
  </si>
  <si>
    <t>23/3</t>
  </si>
  <si>
    <t>23/4</t>
  </si>
  <si>
    <t>23/5</t>
  </si>
  <si>
    <t>23/6</t>
  </si>
  <si>
    <t>23/7</t>
  </si>
  <si>
    <t>25/1</t>
  </si>
  <si>
    <t>25/2</t>
  </si>
  <si>
    <t>26/2</t>
  </si>
  <si>
    <t>26/7</t>
  </si>
  <si>
    <t>26/8</t>
  </si>
  <si>
    <t>26/9</t>
  </si>
  <si>
    <t>Tuliya Mama Const.</t>
  </si>
  <si>
    <t xml:space="preserve"> Bhagat Singh Anjana</t>
  </si>
  <si>
    <t>RST</t>
  </si>
  <si>
    <t>Vindhya Const.</t>
  </si>
  <si>
    <t>Completed (Upto Oct-24)</t>
  </si>
  <si>
    <t>765KV D/C RISHABDEO MANDSAUR (PKG-E)</t>
  </si>
  <si>
    <t>Quantity</t>
  </si>
  <si>
    <t>CuM / MT</t>
  </si>
  <si>
    <t>Revenue (Cr.)</t>
  </si>
  <si>
    <t>Erection</t>
  </si>
  <si>
    <t>Km</t>
  </si>
  <si>
    <t>-</t>
  </si>
  <si>
    <t>40 Nos.</t>
  </si>
  <si>
    <t>0 Nos.</t>
  </si>
  <si>
    <t>Concrete 1290  (CuM)</t>
  </si>
  <si>
    <t>Total  2.72 Cr.</t>
  </si>
  <si>
    <r>
      <t xml:space="preserve">Tonnage 0  </t>
    </r>
    <r>
      <rPr>
        <b/>
        <sz val="11"/>
        <color theme="1"/>
        <rFont val="Calibri"/>
        <family val="2"/>
        <scheme val="minor"/>
      </rPr>
      <t> </t>
    </r>
    <r>
      <rPr>
        <sz val="11"/>
        <color theme="1"/>
        <rFont val="Calibri"/>
        <family val="2"/>
        <scheme val="minor"/>
      </rPr>
      <t>(MT)</t>
    </r>
  </si>
  <si>
    <t>Siyaram Infra</t>
  </si>
  <si>
    <t>Shree Shyam</t>
  </si>
  <si>
    <t>Manpower (nos)</t>
  </si>
  <si>
    <t>Two Gang</t>
  </si>
  <si>
    <t>Foundation status of 765KV D/C RISHABDEO MANDSAUR (PKG-E)</t>
  </si>
  <si>
    <t>Qty.</t>
  </si>
  <si>
    <t xml:space="preserve">Total location </t>
  </si>
  <si>
    <t>Completed (Upto Nov-24)</t>
  </si>
  <si>
    <t xml:space="preserve"> As per L2  (Till Dec'24)</t>
  </si>
  <si>
    <t>Target of Dec'24</t>
  </si>
  <si>
    <t>Completed in Nov'24</t>
  </si>
  <si>
    <t>SITE ENG.</t>
  </si>
  <si>
    <t>SITE SUPERVISOR</t>
  </si>
  <si>
    <t>Rs.</t>
  </si>
  <si>
    <t>16/0</t>
  </si>
  <si>
    <t>Gang-1</t>
  </si>
  <si>
    <t>Mr. Khemchand</t>
  </si>
  <si>
    <t>Mr. Anil Yadav &amp; Mr. Rakesh Chotala</t>
  </si>
  <si>
    <t>15/0</t>
  </si>
  <si>
    <t>19/0</t>
  </si>
  <si>
    <t>Gang-2</t>
  </si>
  <si>
    <t>20/0</t>
  </si>
  <si>
    <t>21/0</t>
  </si>
  <si>
    <t>Gang-3</t>
  </si>
  <si>
    <t>AP24</t>
  </si>
  <si>
    <t>Rajkumar</t>
  </si>
  <si>
    <t>Mr. Ram shekar &amp; Mulchand</t>
  </si>
  <si>
    <t>26/0</t>
  </si>
  <si>
    <t>Gang-4</t>
  </si>
  <si>
    <t>26/10</t>
  </si>
  <si>
    <t>27/0</t>
  </si>
  <si>
    <t>27/1</t>
  </si>
  <si>
    <t>30/0</t>
  </si>
  <si>
    <t>Gang-5</t>
  </si>
  <si>
    <t>30/1</t>
  </si>
  <si>
    <t>30/2</t>
  </si>
  <si>
    <t>30/3</t>
  </si>
  <si>
    <t>30/4</t>
  </si>
  <si>
    <t>30/5</t>
  </si>
  <si>
    <t>Gang-6</t>
  </si>
  <si>
    <t>31/0</t>
  </si>
  <si>
    <t>31/1</t>
  </si>
  <si>
    <t>32/2</t>
  </si>
  <si>
    <t>33/0</t>
  </si>
  <si>
    <t xml:space="preserve"> Actual executed till date</t>
  </si>
  <si>
    <t>Note: i) Hold from Gantry to 13/40-&gt; 49 loc, ii) Hold Lilo line-&gt;23 loc, iii)Forest location-&gt; 5 loc, iv) Cross arm strengthening--&gt; 6 loc, v)Hold due canal avoiding--&gt; 3 loc , vi) RC location-&gt; 3 loc, vii) Hold due to Opium crop (15/1), ROW location-5 loc, viii) AP-26 to AP 33 hold by SDM Pratapgarh-15 loc, Total hold  location-110 loc, Completed-63 loc. Balance work front 6 loc ( 14/0, 15/0, 16/0, 19/0,20/0, 21/0)</t>
  </si>
  <si>
    <t>DA+3</t>
  </si>
  <si>
    <t>DA+0</t>
  </si>
  <si>
    <t>Tower Weight (MT)</t>
  </si>
  <si>
    <t>Sl No.</t>
  </si>
  <si>
    <t>Note: *With Subject to the Clearance of ROW Clearance &amp; Statutory Clearance
i) Hold from Gantry to 11/0 -&gt; 32 loc, ii) Hold Lilo line-&gt;23 loc, iii)Forest location-&gt; 3</t>
  </si>
  <si>
    <t>32/1</t>
  </si>
  <si>
    <t>DA+6</t>
  </si>
  <si>
    <t>DB2+0</t>
  </si>
  <si>
    <t>11/5</t>
  </si>
  <si>
    <t>13/0</t>
  </si>
  <si>
    <t>14/0</t>
  </si>
  <si>
    <t>DD45+0</t>
  </si>
  <si>
    <t>DB1+9</t>
  </si>
  <si>
    <t>DA+9</t>
  </si>
  <si>
    <t xml:space="preserve">32/0 </t>
  </si>
  <si>
    <t>DB1+0</t>
  </si>
  <si>
    <t>9/0</t>
  </si>
  <si>
    <t>10/0</t>
  </si>
  <si>
    <t>DD60+35</t>
  </si>
  <si>
    <t>16/4</t>
  </si>
  <si>
    <t>13/2</t>
  </si>
  <si>
    <t>10/4</t>
  </si>
  <si>
    <t>11/6</t>
  </si>
  <si>
    <t>22/0</t>
  </si>
  <si>
    <t>23/0</t>
  </si>
  <si>
    <t>DC2+3</t>
  </si>
  <si>
    <t>DC2+0</t>
  </si>
  <si>
    <t>DC1+0</t>
  </si>
  <si>
    <t>28/0</t>
  </si>
  <si>
    <t>31/2</t>
  </si>
  <si>
    <t>DB1+6</t>
  </si>
  <si>
    <t>Location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</si>
</sst>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 * #,##0_ ;_ * \-#,##0_ ;_ * &quot;-&quot;??_ ;_ @_ "/>
    <numFmt numFmtId="165" formatCode="[$-409]d\-mmm\-yy;@"/>
    <numFmt numFmtId="166" formatCode="[$-F400]h:mm:ss\ AM/PM"/>
    <numFmt numFmtId="167" formatCode="[$-409]d/mmm/yy;@"/>
    <numFmt numFmtId="168" formatCode="0.0"/>
    <numFmt numFmtId="169" formatCode="0.000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</font>
    <font>
      <sz val="12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Aptos"/>
      <family val="2"/>
    </font>
    <font>
      <b/>
      <sz val="8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Arial"/>
      <family val="2"/>
    </font>
    <font>
      <b/>
      <u/>
      <sz val="1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sz val="14"/>
      <name val="Arial"/>
      <family val="2"/>
    </font>
    <font>
      <sz val="14"/>
      <color theme="1"/>
      <name val="Calibri"/>
      <family val="2"/>
      <scheme val="minor"/>
    </font>
    <font>
      <b/>
      <u val="singleAccounting"/>
      <sz val="14"/>
      <color theme="1"/>
      <name val="Calibri"/>
      <family val="2"/>
      <scheme val="minor"/>
    </font>
    <font>
      <u val="singleAccounting"/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Arial"/>
      <family val="2"/>
    </font>
    <font>
      <b/>
      <u/>
      <sz val="14"/>
      <name val="Calibri"/>
      <family val="2"/>
      <scheme val="minor"/>
    </font>
    <font>
      <b/>
      <sz val="14"/>
      <color theme="1"/>
      <name val="Arial"/>
      <family val="2"/>
    </font>
    <font>
      <sz val="12"/>
      <name val="Arial"/>
      <family val="2"/>
    </font>
    <font>
      <sz val="14"/>
      <name val="Calibri"/>
      <family val="2"/>
      <scheme val="minor"/>
    </font>
    <font>
      <sz val="12"/>
      <name val="Calibri Light"/>
      <family val="1"/>
      <scheme val="major"/>
    </font>
    <font>
      <sz val="12"/>
      <color theme="1"/>
      <name val="Calibri Light"/>
      <family val="1"/>
      <scheme val="major"/>
    </font>
    <font>
      <sz val="12"/>
      <color theme="1"/>
      <name val="Calibri"/>
      <family val="2"/>
      <scheme val="minor"/>
    </font>
    <font>
      <sz val="11"/>
      <name val="Arial"/>
      <family val="2"/>
    </font>
    <font>
      <sz val="8"/>
      <color theme="1"/>
      <name val="Calibri Light"/>
      <family val="1"/>
      <scheme val="major"/>
    </font>
    <font>
      <sz val="16"/>
      <name val="Arial"/>
      <family val="2"/>
    </font>
    <font>
      <sz val="11"/>
      <color theme="1"/>
      <name val="Cambria"/>
      <family val="1"/>
    </font>
    <font>
      <sz val="11"/>
      <name val="Tahoma"/>
      <family val="2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" fillId="0" borderId="0"/>
    <xf numFmtId="0" fontId="13" fillId="0" borderId="0"/>
    <xf numFmtId="167" fontId="1" fillId="0" borderId="0"/>
    <xf numFmtId="167" fontId="13" fillId="0" borderId="0"/>
    <xf numFmtId="9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3" fillId="0" borderId="0"/>
    <xf numFmtId="0" fontId="13" fillId="0" borderId="0"/>
    <xf numFmtId="0" fontId="1" fillId="0" borderId="0"/>
    <xf numFmtId="43" fontId="13" fillId="0" borderId="0" applyFont="0" applyFill="0" applyBorder="0" applyAlignment="0" applyProtection="0"/>
    <xf numFmtId="0" fontId="13" fillId="0" borderId="0"/>
    <xf numFmtId="0" fontId="49" fillId="0" borderId="0"/>
  </cellStyleXfs>
  <cellXfs count="4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 inden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43" fontId="0" fillId="0" borderId="3" xfId="1" applyFont="1" applyBorder="1" applyAlignment="1">
      <alignment vertical="center"/>
    </xf>
    <xf numFmtId="43" fontId="0" fillId="0" borderId="2" xfId="1" applyFont="1" applyBorder="1" applyAlignment="1">
      <alignment vertical="center"/>
    </xf>
    <xf numFmtId="43" fontId="3" fillId="0" borderId="3" xfId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right" vertical="center" indent="1"/>
    </xf>
    <xf numFmtId="43" fontId="0" fillId="0" borderId="1" xfId="0" applyNumberFormat="1" applyBorder="1" applyAlignment="1">
      <alignment vertical="center"/>
    </xf>
    <xf numFmtId="43" fontId="0" fillId="0" borderId="2" xfId="0" applyNumberFormat="1" applyBorder="1" applyAlignment="1">
      <alignment vertical="center"/>
    </xf>
    <xf numFmtId="164" fontId="0" fillId="0" borderId="3" xfId="1" applyNumberFormat="1" applyFont="1" applyBorder="1" applyAlignment="1">
      <alignment vertical="center"/>
    </xf>
    <xf numFmtId="164" fontId="0" fillId="0" borderId="1" xfId="1" applyNumberFormat="1" applyFont="1" applyBorder="1" applyAlignment="1">
      <alignment vertical="center"/>
    </xf>
    <xf numFmtId="164" fontId="0" fillId="0" borderId="2" xfId="1" applyNumberFormat="1" applyFont="1" applyBorder="1" applyAlignment="1">
      <alignment vertical="center"/>
    </xf>
    <xf numFmtId="164" fontId="3" fillId="0" borderId="3" xfId="1" applyNumberFormat="1" applyFont="1" applyBorder="1" applyAlignment="1">
      <alignment horizontal="center" vertical="center"/>
    </xf>
    <xf numFmtId="0" fontId="3" fillId="0" borderId="0" xfId="0" applyFont="1" applyAlignment="1">
      <alignment horizontal="right" vertical="center" indent="1"/>
    </xf>
    <xf numFmtId="0" fontId="9" fillId="0" borderId="0" xfId="0" applyFont="1" applyAlignment="1">
      <alignment horizontal="right" vertical="center" indent="1"/>
    </xf>
    <xf numFmtId="43" fontId="0" fillId="0" borderId="0" xfId="0" applyNumberForma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10" fillId="0" borderId="0" xfId="0" applyNumberFormat="1" applyFont="1" applyAlignment="1">
      <alignment horizontal="center" vertical="center"/>
    </xf>
    <xf numFmtId="164" fontId="0" fillId="0" borderId="0" xfId="1" applyNumberFormat="1" applyFont="1" applyAlignment="1">
      <alignment vertical="center"/>
    </xf>
    <xf numFmtId="164" fontId="10" fillId="0" borderId="0" xfId="1" applyNumberFormat="1" applyFont="1" applyAlignment="1">
      <alignment vertical="center"/>
    </xf>
    <xf numFmtId="43" fontId="3" fillId="0" borderId="3" xfId="1" applyFont="1" applyBorder="1" applyAlignment="1">
      <alignment vertical="center"/>
    </xf>
    <xf numFmtId="43" fontId="3" fillId="0" borderId="1" xfId="1" applyFont="1" applyBorder="1" applyAlignment="1">
      <alignment vertical="center"/>
    </xf>
    <xf numFmtId="43" fontId="3" fillId="0" borderId="6" xfId="1" applyFont="1" applyBorder="1" applyAlignment="1">
      <alignment vertical="center"/>
    </xf>
    <xf numFmtId="0" fontId="0" fillId="4" borderId="12" xfId="0" applyFill="1" applyBorder="1" applyAlignment="1">
      <alignment vertical="center"/>
    </xf>
    <xf numFmtId="17" fontId="3" fillId="2" borderId="12" xfId="0" applyNumberFormat="1" applyFont="1" applyFill="1" applyBorder="1" applyAlignment="1">
      <alignment horizontal="right" vertical="center" indent="1"/>
    </xf>
    <xf numFmtId="164" fontId="0" fillId="4" borderId="0" xfId="1" applyNumberFormat="1" applyFont="1" applyFill="1" applyAlignment="1">
      <alignment horizontal="center" vertical="center"/>
    </xf>
    <xf numFmtId="164" fontId="10" fillId="4" borderId="0" xfId="1" applyNumberFormat="1" applyFont="1" applyFill="1" applyAlignment="1">
      <alignment horizontal="center" vertical="center"/>
    </xf>
    <xf numFmtId="164" fontId="3" fillId="4" borderId="0" xfId="1" applyNumberFormat="1" applyFont="1" applyFill="1" applyAlignment="1">
      <alignment vertical="center"/>
    </xf>
    <xf numFmtId="0" fontId="6" fillId="3" borderId="4" xfId="0" applyFont="1" applyFill="1" applyBorder="1" applyAlignment="1">
      <alignment horizontal="right" vertical="center" indent="1"/>
    </xf>
    <xf numFmtId="0" fontId="4" fillId="3" borderId="4" xfId="0" applyFont="1" applyFill="1" applyBorder="1" applyAlignment="1">
      <alignment horizontal="right" vertical="center" indent="1"/>
    </xf>
    <xf numFmtId="0" fontId="5" fillId="2" borderId="0" xfId="0" applyFont="1" applyFill="1" applyAlignment="1">
      <alignment horizontal="right" vertical="center" indent="1"/>
    </xf>
    <xf numFmtId="9" fontId="11" fillId="0" borderId="0" xfId="2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9" fontId="11" fillId="0" borderId="0" xfId="2" applyFont="1" applyAlignment="1">
      <alignment horizontal="left" vertical="center" indent="1"/>
    </xf>
    <xf numFmtId="9" fontId="12" fillId="0" borderId="0" xfId="2" applyFont="1" applyAlignment="1">
      <alignment horizontal="left" vertical="center"/>
    </xf>
    <xf numFmtId="2" fontId="12" fillId="0" borderId="0" xfId="0" applyNumberFormat="1" applyFont="1" applyAlignment="1">
      <alignment horizontal="left" vertical="center" indent="1"/>
    </xf>
    <xf numFmtId="2" fontId="12" fillId="0" borderId="0" xfId="0" applyNumberFormat="1" applyFont="1" applyAlignment="1">
      <alignment vertical="center"/>
    </xf>
    <xf numFmtId="164" fontId="3" fillId="5" borderId="0" xfId="1" applyNumberFormat="1" applyFont="1" applyFill="1" applyAlignment="1">
      <alignment vertical="center"/>
    </xf>
    <xf numFmtId="164" fontId="3" fillId="4" borderId="0" xfId="1" applyNumberFormat="1" applyFont="1" applyFill="1" applyAlignment="1">
      <alignment horizontal="center" vertical="center"/>
    </xf>
    <xf numFmtId="164" fontId="15" fillId="4" borderId="0" xfId="1" applyNumberFormat="1" applyFont="1" applyFill="1" applyAlignment="1">
      <alignment horizontal="center" vertical="center"/>
    </xf>
    <xf numFmtId="166" fontId="16" fillId="7" borderId="14" xfId="3" applyNumberFormat="1" applyFont="1" applyFill="1" applyBorder="1" applyAlignment="1">
      <alignment horizontal="center" vertical="center" wrapText="1"/>
    </xf>
    <xf numFmtId="165" fontId="16" fillId="7" borderId="14" xfId="3" applyNumberFormat="1" applyFont="1" applyFill="1" applyBorder="1" applyAlignment="1" applyProtection="1">
      <alignment horizontal="center" vertical="center" wrapText="1"/>
      <protection locked="0"/>
    </xf>
    <xf numFmtId="1" fontId="16" fillId="7" borderId="14" xfId="3" applyNumberFormat="1" applyFont="1" applyFill="1" applyBorder="1" applyAlignment="1">
      <alignment horizontal="center" vertical="center" wrapText="1"/>
    </xf>
    <xf numFmtId="166" fontId="16" fillId="7" borderId="14" xfId="4" applyNumberFormat="1" applyFont="1" applyFill="1" applyBorder="1" applyAlignment="1">
      <alignment horizontal="center" vertical="center" wrapText="1"/>
    </xf>
    <xf numFmtId="167" fontId="17" fillId="0" borderId="1" xfId="5" applyFont="1" applyBorder="1" applyAlignment="1">
      <alignment horizontal="center" vertical="center" wrapText="1"/>
    </xf>
    <xf numFmtId="165" fontId="18" fillId="0" borderId="1" xfId="6" applyNumberFormat="1" applyFont="1" applyBorder="1" applyAlignment="1">
      <alignment horizontal="center" vertical="center" wrapText="1"/>
    </xf>
    <xf numFmtId="165" fontId="17" fillId="0" borderId="1" xfId="6" applyNumberFormat="1" applyFont="1" applyBorder="1" applyAlignment="1">
      <alignment horizontal="center" vertical="center" wrapText="1"/>
    </xf>
    <xf numFmtId="165" fontId="17" fillId="0" borderId="1" xfId="6" quotePrefix="1" applyNumberFormat="1" applyFont="1" applyBorder="1" applyAlignment="1">
      <alignment vertical="center" wrapText="1"/>
    </xf>
    <xf numFmtId="0" fontId="17" fillId="0" borderId="1" xfId="6" applyNumberFormat="1" applyFont="1" applyBorder="1" applyAlignment="1">
      <alignment horizontal="center" vertical="center" wrapText="1"/>
    </xf>
    <xf numFmtId="1" fontId="19" fillId="0" borderId="4" xfId="7" applyNumberFormat="1" applyFont="1" applyBorder="1" applyAlignment="1">
      <alignment horizontal="center" vertical="center" wrapText="1"/>
    </xf>
    <xf numFmtId="1" fontId="19" fillId="0" borderId="3" xfId="7" applyNumberFormat="1" applyFont="1" applyBorder="1" applyAlignment="1">
      <alignment horizontal="center" vertical="center" wrapText="1"/>
    </xf>
    <xf numFmtId="1" fontId="17" fillId="8" borderId="3" xfId="7" applyNumberFormat="1" applyFont="1" applyFill="1" applyBorder="1" applyAlignment="1">
      <alignment horizontal="center" vertical="center" wrapText="1"/>
    </xf>
    <xf numFmtId="1" fontId="17" fillId="2" borderId="3" xfId="7" applyNumberFormat="1" applyFont="1" applyFill="1" applyBorder="1" applyAlignment="1">
      <alignment horizontal="center" vertical="center" wrapText="1"/>
    </xf>
    <xf numFmtId="1" fontId="17" fillId="0" borderId="1" xfId="7" applyNumberFormat="1" applyFont="1" applyBorder="1" applyAlignment="1">
      <alignment horizontal="center" vertical="center" wrapText="1"/>
    </xf>
    <xf numFmtId="1" fontId="14" fillId="2" borderId="3" xfId="6" applyNumberFormat="1" applyFont="1" applyFill="1" applyBorder="1" applyAlignment="1" applyProtection="1">
      <alignment horizontal="center" vertical="center"/>
      <protection locked="0"/>
    </xf>
    <xf numFmtId="1" fontId="19" fillId="0" borderId="1" xfId="7" applyNumberFormat="1" applyFont="1" applyBorder="1" applyAlignment="1">
      <alignment horizontal="center" vertical="center" wrapText="1"/>
    </xf>
    <xf numFmtId="168" fontId="17" fillId="9" borderId="3" xfId="7" applyNumberFormat="1" applyFont="1" applyFill="1" applyBorder="1" applyAlignment="1">
      <alignment horizontal="center" vertical="center" wrapText="1"/>
    </xf>
    <xf numFmtId="0" fontId="3" fillId="0" borderId="1" xfId="0" applyFont="1" applyBorder="1"/>
    <xf numFmtId="1" fontId="3" fillId="0" borderId="1" xfId="0" applyNumberFormat="1" applyFont="1" applyBorder="1"/>
    <xf numFmtId="0" fontId="3" fillId="0" borderId="0" xfId="0" applyFont="1"/>
    <xf numFmtId="0" fontId="21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14" fillId="0" borderId="0" xfId="0" quotePrefix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22" fillId="6" borderId="0" xfId="0" applyNumberFormat="1" applyFont="1" applyFill="1" applyAlignment="1">
      <alignment horizontal="center" vertical="center" wrapText="1"/>
    </xf>
    <xf numFmtId="49" fontId="23" fillId="6" borderId="0" xfId="0" applyNumberFormat="1" applyFont="1" applyFill="1" applyAlignment="1">
      <alignment horizontal="center" vertical="center" wrapText="1"/>
    </xf>
    <xf numFmtId="49" fontId="23" fillId="6" borderId="0" xfId="0" applyNumberFormat="1" applyFont="1" applyFill="1" applyAlignment="1">
      <alignment horizontal="center" vertical="center"/>
    </xf>
    <xf numFmtId="0" fontId="22" fillId="6" borderId="0" xfId="0" applyFont="1" applyFill="1" applyAlignment="1">
      <alignment horizontal="center" vertical="center" wrapText="1"/>
    </xf>
    <xf numFmtId="49" fontId="8" fillId="6" borderId="0" xfId="0" applyNumberFormat="1" applyFont="1" applyFill="1" applyAlignment="1">
      <alignment horizontal="center" vertical="center" wrapText="1"/>
    </xf>
    <xf numFmtId="49" fontId="24" fillId="6" borderId="0" xfId="0" applyNumberFormat="1" applyFont="1" applyFill="1" applyAlignment="1">
      <alignment horizontal="center" vertical="center" wrapText="1"/>
    </xf>
    <xf numFmtId="49" fontId="24" fillId="6" borderId="0" xfId="0" applyNumberFormat="1" applyFont="1" applyFill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24" fillId="6" borderId="0" xfId="0" applyFont="1" applyFill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4" fontId="11" fillId="6" borderId="1" xfId="0" applyNumberFormat="1" applyFont="1" applyFill="1" applyBorder="1" applyAlignment="1">
      <alignment vertical="center"/>
    </xf>
    <xf numFmtId="0" fontId="0" fillId="6" borderId="0" xfId="0" applyFill="1" applyAlignment="1">
      <alignment vertical="center"/>
    </xf>
    <xf numFmtId="0" fontId="13" fillId="6" borderId="4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4" fontId="0" fillId="6" borderId="0" xfId="0" applyNumberFormat="1" applyFill="1" applyAlignment="1">
      <alignment vertical="center"/>
    </xf>
    <xf numFmtId="0" fontId="20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4" fontId="3" fillId="6" borderId="0" xfId="0" applyNumberFormat="1" applyFont="1" applyFill="1" applyAlignment="1">
      <alignment vertical="center"/>
    </xf>
    <xf numFmtId="0" fontId="3" fillId="6" borderId="0" xfId="0" applyFont="1" applyFill="1" applyAlignment="1">
      <alignment horizontal="center" vertical="center"/>
    </xf>
    <xf numFmtId="0" fontId="3" fillId="4" borderId="12" xfId="0" applyFont="1" applyFill="1" applyBorder="1" applyAlignment="1">
      <alignment vertical="center"/>
    </xf>
    <xf numFmtId="0" fontId="25" fillId="0" borderId="0" xfId="0" applyFont="1" applyAlignment="1">
      <alignment vertical="center"/>
    </xf>
    <xf numFmtId="0" fontId="5" fillId="0" borderId="15" xfId="0" applyFont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2" fontId="0" fillId="0" borderId="17" xfId="0" applyNumberForma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/>
    </xf>
    <xf numFmtId="169" fontId="13" fillId="0" borderId="1" xfId="0" applyNumberFormat="1" applyFont="1" applyBorder="1" applyAlignment="1">
      <alignment horizontal="center" vertical="center"/>
    </xf>
    <xf numFmtId="165" fontId="13" fillId="10" borderId="1" xfId="0" applyNumberFormat="1" applyFont="1" applyFill="1" applyBorder="1" applyAlignment="1">
      <alignment horizontal="center" vertical="center" wrapText="1"/>
    </xf>
    <xf numFmtId="169" fontId="13" fillId="6" borderId="1" xfId="0" applyNumberFormat="1" applyFont="1" applyFill="1" applyBorder="1" applyAlignment="1">
      <alignment horizontal="center" vertical="center"/>
    </xf>
    <xf numFmtId="165" fontId="13" fillId="6" borderId="1" xfId="0" applyNumberFormat="1" applyFont="1" applyFill="1" applyBorder="1" applyAlignment="1">
      <alignment horizontal="center" vertical="center" wrapText="1"/>
    </xf>
    <xf numFmtId="169" fontId="13" fillId="10" borderId="1" xfId="0" applyNumberFormat="1" applyFont="1" applyFill="1" applyBorder="1" applyAlignment="1">
      <alignment horizontal="center" vertical="center"/>
    </xf>
    <xf numFmtId="169" fontId="13" fillId="6" borderId="4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65" fontId="13" fillId="0" borderId="4" xfId="0" applyNumberFormat="1" applyFont="1" applyBorder="1" applyAlignment="1">
      <alignment horizontal="center" vertical="center" wrapText="1"/>
    </xf>
    <xf numFmtId="165" fontId="13" fillId="0" borderId="5" xfId="0" applyNumberFormat="1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26" fillId="3" borderId="5" xfId="0" applyFont="1" applyFill="1" applyBorder="1" applyAlignment="1">
      <alignment horizontal="center" vertical="center"/>
    </xf>
    <xf numFmtId="0" fontId="26" fillId="3" borderId="6" xfId="0" applyFont="1" applyFill="1" applyBorder="1" applyAlignment="1">
      <alignment horizontal="center" vertical="center"/>
    </xf>
    <xf numFmtId="14" fontId="13" fillId="6" borderId="4" xfId="0" applyNumberFormat="1" applyFont="1" applyFill="1" applyBorder="1" applyAlignment="1">
      <alignment horizontal="center" vertical="center" wrapText="1"/>
    </xf>
    <xf numFmtId="14" fontId="13" fillId="6" borderId="5" xfId="0" applyNumberFormat="1" applyFont="1" applyFill="1" applyBorder="1" applyAlignment="1">
      <alignment horizontal="center" vertical="center" wrapText="1"/>
    </xf>
    <xf numFmtId="0" fontId="13" fillId="6" borderId="0" xfId="0" applyFont="1" applyFill="1" applyAlignment="1">
      <alignment vertical="center"/>
    </xf>
    <xf numFmtId="1" fontId="13" fillId="6" borderId="5" xfId="0" applyNumberFormat="1" applyFont="1" applyFill="1" applyBorder="1" applyAlignment="1">
      <alignment horizontal="center" vertical="center" wrapText="1"/>
    </xf>
    <xf numFmtId="1" fontId="13" fillId="6" borderId="3" xfId="0" applyNumberFormat="1" applyFont="1" applyFill="1" applyBorder="1" applyAlignment="1">
      <alignment horizontal="center" vertical="center" wrapText="1"/>
    </xf>
    <xf numFmtId="2" fontId="13" fillId="6" borderId="1" xfId="0" applyNumberFormat="1" applyFont="1" applyFill="1" applyBorder="1" applyAlignment="1">
      <alignment horizontal="center" vertical="center"/>
    </xf>
    <xf numFmtId="49" fontId="13" fillId="6" borderId="1" xfId="9" applyNumberFormat="1" applyFill="1" applyBorder="1" applyAlignment="1">
      <alignment horizontal="center" vertical="center"/>
    </xf>
    <xf numFmtId="0" fontId="13" fillId="6" borderId="1" xfId="9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14" fontId="13" fillId="0" borderId="1" xfId="0" applyNumberFormat="1" applyFont="1" applyBorder="1" applyAlignment="1">
      <alignment vertical="center"/>
    </xf>
    <xf numFmtId="164" fontId="13" fillId="0" borderId="1" xfId="1" applyNumberFormat="1" applyFont="1" applyFill="1" applyBorder="1" applyAlignment="1">
      <alignment vertical="center"/>
    </xf>
    <xf numFmtId="43" fontId="13" fillId="0" borderId="3" xfId="1" applyFont="1" applyFill="1" applyBorder="1" applyAlignment="1">
      <alignment vertical="center"/>
    </xf>
    <xf numFmtId="43" fontId="12" fillId="0" borderId="1" xfId="1" applyFont="1" applyFill="1" applyBorder="1" applyAlignment="1">
      <alignment vertical="center"/>
    </xf>
    <xf numFmtId="43" fontId="13" fillId="0" borderId="1" xfId="0" applyNumberFormat="1" applyFont="1" applyBorder="1" applyAlignment="1">
      <alignment vertical="center"/>
    </xf>
    <xf numFmtId="43" fontId="12" fillId="0" borderId="3" xfId="1" applyFont="1" applyFill="1" applyBorder="1" applyAlignment="1">
      <alignment vertical="center"/>
    </xf>
    <xf numFmtId="14" fontId="13" fillId="0" borderId="4" xfId="0" applyNumberFormat="1" applyFont="1" applyBorder="1" applyAlignment="1">
      <alignment vertical="center"/>
    </xf>
    <xf numFmtId="164" fontId="13" fillId="0" borderId="4" xfId="1" applyNumberFormat="1" applyFont="1" applyFill="1" applyBorder="1" applyAlignment="1">
      <alignment vertical="center"/>
    </xf>
    <xf numFmtId="0" fontId="13" fillId="0" borderId="3" xfId="0" applyFont="1" applyBorder="1" applyAlignment="1">
      <alignment horizontal="center" vertical="center" wrapText="1"/>
    </xf>
    <xf numFmtId="14" fontId="13" fillId="6" borderId="4" xfId="0" applyNumberFormat="1" applyFont="1" applyFill="1" applyBorder="1" applyAlignment="1">
      <alignment vertical="center"/>
    </xf>
    <xf numFmtId="164" fontId="13" fillId="6" borderId="4" xfId="1" applyNumberFormat="1" applyFont="1" applyFill="1" applyBorder="1" applyAlignment="1">
      <alignment vertical="center"/>
    </xf>
    <xf numFmtId="43" fontId="13" fillId="6" borderId="3" xfId="1" applyFont="1" applyFill="1" applyBorder="1" applyAlignment="1">
      <alignment vertical="center"/>
    </xf>
    <xf numFmtId="43" fontId="12" fillId="6" borderId="3" xfId="1" applyFont="1" applyFill="1" applyBorder="1" applyAlignment="1">
      <alignment vertical="center"/>
    </xf>
    <xf numFmtId="43" fontId="13" fillId="6" borderId="1" xfId="0" applyNumberFormat="1" applyFont="1" applyFill="1" applyBorder="1" applyAlignment="1">
      <alignment vertical="center"/>
    </xf>
    <xf numFmtId="49" fontId="13" fillId="10" borderId="1" xfId="9" applyNumberFormat="1" applyFill="1" applyBorder="1" applyAlignment="1">
      <alignment horizontal="center" vertical="center"/>
    </xf>
    <xf numFmtId="0" fontId="13" fillId="10" borderId="1" xfId="9" applyFill="1" applyBorder="1" applyAlignment="1">
      <alignment horizontal="center" vertical="center"/>
    </xf>
    <xf numFmtId="164" fontId="13" fillId="6" borderId="1" xfId="1" applyNumberFormat="1" applyFont="1" applyFill="1" applyBorder="1" applyAlignment="1">
      <alignment vertical="center"/>
    </xf>
    <xf numFmtId="0" fontId="13" fillId="6" borderId="5" xfId="0" applyFont="1" applyFill="1" applyBorder="1" applyAlignment="1">
      <alignment vertical="center"/>
    </xf>
    <xf numFmtId="1" fontId="13" fillId="0" borderId="5" xfId="0" applyNumberFormat="1" applyFont="1" applyBorder="1" applyAlignment="1">
      <alignment horizontal="center" vertical="center" wrapText="1"/>
    </xf>
    <xf numFmtId="49" fontId="13" fillId="6" borderId="4" xfId="9" applyNumberFormat="1" applyFill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 wrapText="1"/>
    </xf>
    <xf numFmtId="1" fontId="11" fillId="0" borderId="5" xfId="0" applyNumberFormat="1" applyFont="1" applyBorder="1" applyAlignment="1">
      <alignment horizontal="center" vertical="center" wrapText="1"/>
    </xf>
    <xf numFmtId="0" fontId="13" fillId="6" borderId="1" xfId="0" applyFont="1" applyFill="1" applyBorder="1" applyAlignment="1">
      <alignment vertical="center"/>
    </xf>
    <xf numFmtId="164" fontId="13" fillId="0" borderId="1" xfId="1" applyNumberFormat="1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49" fontId="13" fillId="10" borderId="4" xfId="9" applyNumberFormat="1" applyFill="1" applyBorder="1" applyAlignment="1">
      <alignment horizontal="center" vertical="center"/>
    </xf>
    <xf numFmtId="49" fontId="13" fillId="6" borderId="1" xfId="0" applyNumberFormat="1" applyFont="1" applyFill="1" applyBorder="1" applyAlignment="1">
      <alignment horizontal="center" vertical="center"/>
    </xf>
    <xf numFmtId="169" fontId="12" fillId="6" borderId="1" xfId="0" applyNumberFormat="1" applyFont="1" applyFill="1" applyBorder="1" applyAlignment="1">
      <alignment horizontal="center" vertical="center"/>
    </xf>
    <xf numFmtId="4" fontId="12" fillId="6" borderId="1" xfId="1" applyNumberFormat="1" applyFont="1" applyFill="1" applyBorder="1" applyAlignment="1">
      <alignment horizontal="center" vertical="center"/>
    </xf>
    <xf numFmtId="164" fontId="12" fillId="6" borderId="1" xfId="1" applyNumberFormat="1" applyFont="1" applyFill="1" applyBorder="1" applyAlignment="1">
      <alignment horizontal="center" vertical="center"/>
    </xf>
    <xf numFmtId="0" fontId="27" fillId="0" borderId="0" xfId="10" applyFont="1" applyAlignment="1">
      <alignment horizontal="left" vertical="center" indent="1"/>
    </xf>
    <xf numFmtId="0" fontId="28" fillId="0" borderId="0" xfId="10" applyFont="1" applyAlignment="1">
      <alignment vertical="center"/>
    </xf>
    <xf numFmtId="0" fontId="27" fillId="4" borderId="12" xfId="10" applyFont="1" applyFill="1" applyBorder="1" applyAlignment="1">
      <alignment vertical="center"/>
    </xf>
    <xf numFmtId="0" fontId="28" fillId="0" borderId="0" xfId="10" applyFont="1" applyAlignment="1">
      <alignment horizontal="center" vertical="center"/>
    </xf>
    <xf numFmtId="0" fontId="27" fillId="0" borderId="0" xfId="10" applyFont="1" applyAlignment="1">
      <alignment vertical="center"/>
    </xf>
    <xf numFmtId="0" fontId="28" fillId="0" borderId="0" xfId="10" applyFont="1" applyAlignment="1">
      <alignment horizontal="left" vertical="center" indent="1"/>
    </xf>
    <xf numFmtId="0" fontId="29" fillId="2" borderId="0" xfId="10" applyFont="1" applyFill="1" applyAlignment="1">
      <alignment horizontal="right" vertical="center" indent="1"/>
    </xf>
    <xf numFmtId="0" fontId="30" fillId="0" borderId="0" xfId="10" applyFont="1" applyAlignment="1">
      <alignment horizontal="right" vertical="center" indent="1"/>
    </xf>
    <xf numFmtId="0" fontId="28" fillId="0" borderId="0" xfId="10" applyFont="1" applyAlignment="1">
      <alignment horizontal="center" vertical="center" wrapText="1"/>
    </xf>
    <xf numFmtId="0" fontId="31" fillId="11" borderId="1" xfId="10" applyFont="1" applyFill="1" applyBorder="1" applyAlignment="1">
      <alignment horizontal="center" vertical="center"/>
    </xf>
    <xf numFmtId="0" fontId="28" fillId="0" borderId="0" xfId="10" applyFont="1" applyAlignment="1">
      <alignment horizontal="right" vertical="center" indent="1"/>
    </xf>
    <xf numFmtId="164" fontId="27" fillId="12" borderId="0" xfId="12" applyNumberFormat="1" applyFont="1" applyFill="1" applyAlignment="1">
      <alignment horizontal="center" vertical="center"/>
    </xf>
    <xf numFmtId="0" fontId="28" fillId="6" borderId="1" xfId="10" applyFont="1" applyFill="1" applyBorder="1" applyAlignment="1">
      <alignment vertical="center"/>
    </xf>
    <xf numFmtId="164" fontId="33" fillId="12" borderId="0" xfId="12" applyNumberFormat="1" applyFont="1" applyFill="1" applyAlignment="1">
      <alignment horizontal="center" vertical="center"/>
    </xf>
    <xf numFmtId="164" fontId="28" fillId="6" borderId="1" xfId="10" applyNumberFormat="1" applyFont="1" applyFill="1" applyBorder="1" applyAlignment="1">
      <alignment vertical="center"/>
    </xf>
    <xf numFmtId="17" fontId="27" fillId="2" borderId="12" xfId="10" applyNumberFormat="1" applyFont="1" applyFill="1" applyBorder="1" applyAlignment="1">
      <alignment horizontal="right" vertical="center" indent="1"/>
    </xf>
    <xf numFmtId="164" fontId="27" fillId="12" borderId="0" xfId="12" applyNumberFormat="1" applyFont="1" applyFill="1" applyAlignment="1">
      <alignment vertical="center"/>
    </xf>
    <xf numFmtId="43" fontId="27" fillId="12" borderId="0" xfId="10" applyNumberFormat="1" applyFont="1" applyFill="1" applyAlignment="1">
      <alignment horizontal="center" vertical="center"/>
    </xf>
    <xf numFmtId="43" fontId="27" fillId="0" borderId="0" xfId="10" applyNumberFormat="1" applyFont="1" applyAlignment="1">
      <alignment horizontal="center" vertical="center"/>
    </xf>
    <xf numFmtId="164" fontId="28" fillId="0" borderId="0" xfId="12" applyNumberFormat="1" applyFont="1" applyAlignment="1">
      <alignment vertical="center"/>
    </xf>
    <xf numFmtId="9" fontId="32" fillId="0" borderId="0" xfId="7" applyFont="1" applyAlignment="1">
      <alignment horizontal="left" vertical="center" indent="1"/>
    </xf>
    <xf numFmtId="43" fontId="28" fillId="0" borderId="0" xfId="10" applyNumberFormat="1" applyFont="1" applyAlignment="1">
      <alignment horizontal="center" vertical="center"/>
    </xf>
    <xf numFmtId="0" fontId="27" fillId="0" borderId="0" xfId="10" applyFont="1" applyAlignment="1">
      <alignment horizontal="left" vertical="center"/>
    </xf>
    <xf numFmtId="164" fontId="34" fillId="0" borderId="0" xfId="12" applyNumberFormat="1" applyFont="1" applyAlignment="1">
      <alignment vertical="center"/>
    </xf>
    <xf numFmtId="43" fontId="34" fillId="0" borderId="0" xfId="10" applyNumberFormat="1" applyFont="1" applyAlignment="1">
      <alignment horizontal="center" vertical="center"/>
    </xf>
    <xf numFmtId="0" fontId="27" fillId="0" borderId="0" xfId="10" applyFont="1" applyAlignment="1">
      <alignment horizontal="right" vertical="center" indent="1"/>
    </xf>
    <xf numFmtId="2" fontId="27" fillId="0" borderId="0" xfId="10" applyNumberFormat="1" applyFont="1" applyAlignment="1">
      <alignment vertical="center"/>
    </xf>
    <xf numFmtId="2" fontId="27" fillId="0" borderId="0" xfId="10" applyNumberFormat="1" applyFont="1" applyAlignment="1">
      <alignment horizontal="left" vertical="center" indent="1"/>
    </xf>
    <xf numFmtId="0" fontId="35" fillId="0" borderId="0" xfId="10" applyFont="1" applyAlignment="1">
      <alignment horizontal="left" vertical="center"/>
    </xf>
    <xf numFmtId="0" fontId="36" fillId="0" borderId="0" xfId="10" applyFont="1" applyAlignment="1">
      <alignment vertical="center"/>
    </xf>
    <xf numFmtId="0" fontId="36" fillId="0" borderId="0" xfId="10" applyFont="1" applyAlignment="1">
      <alignment horizontal="left" vertical="center" indent="1"/>
    </xf>
    <xf numFmtId="0" fontId="36" fillId="0" borderId="0" xfId="10" applyFont="1" applyAlignment="1">
      <alignment horizontal="center" vertical="center"/>
    </xf>
    <xf numFmtId="0" fontId="27" fillId="12" borderId="13" xfId="10" applyFont="1" applyFill="1" applyBorder="1" applyAlignment="1">
      <alignment horizontal="center" vertical="center" wrapText="1"/>
    </xf>
    <xf numFmtId="0" fontId="29" fillId="12" borderId="20" xfId="10" applyFont="1" applyFill="1" applyBorder="1" applyAlignment="1">
      <alignment horizontal="center" vertical="center" wrapText="1"/>
    </xf>
    <xf numFmtId="0" fontId="29" fillId="12" borderId="21" xfId="10" applyFont="1" applyFill="1" applyBorder="1" applyAlignment="1">
      <alignment horizontal="center" vertical="center" wrapText="1"/>
    </xf>
    <xf numFmtId="0" fontId="31" fillId="6" borderId="23" xfId="10" applyFont="1" applyFill="1" applyBorder="1" applyAlignment="1">
      <alignment vertical="center" wrapText="1"/>
    </xf>
    <xf numFmtId="0" fontId="28" fillId="6" borderId="0" xfId="10" applyFont="1" applyFill="1" applyAlignment="1">
      <alignment vertical="center" wrapText="1"/>
    </xf>
    <xf numFmtId="0" fontId="31" fillId="6" borderId="0" xfId="10" applyFont="1" applyFill="1" applyAlignment="1">
      <alignment vertical="center" wrapText="1"/>
    </xf>
    <xf numFmtId="0" fontId="37" fillId="12" borderId="34" xfId="10" applyFont="1" applyFill="1" applyBorder="1" applyAlignment="1">
      <alignment horizontal="right" vertical="center" wrapText="1"/>
    </xf>
    <xf numFmtId="0" fontId="37" fillId="12" borderId="4" xfId="10" applyFont="1" applyFill="1" applyBorder="1" applyAlignment="1">
      <alignment horizontal="right" vertical="center" wrapText="1"/>
    </xf>
    <xf numFmtId="0" fontId="27" fillId="12" borderId="2" xfId="10" applyFont="1" applyFill="1" applyBorder="1" applyAlignment="1">
      <alignment horizontal="center" vertical="center" wrapText="1"/>
    </xf>
    <xf numFmtId="0" fontId="27" fillId="12" borderId="12" xfId="10" applyFont="1" applyFill="1" applyBorder="1" applyAlignment="1">
      <alignment horizontal="right" vertical="center" wrapText="1"/>
    </xf>
    <xf numFmtId="0" fontId="31" fillId="6" borderId="37" xfId="10" applyFont="1" applyFill="1" applyBorder="1" applyAlignment="1">
      <alignment vertical="center" wrapText="1"/>
    </xf>
    <xf numFmtId="0" fontId="37" fillId="12" borderId="31" xfId="10" applyFont="1" applyFill="1" applyBorder="1" applyAlignment="1">
      <alignment horizontal="center" vertical="center" wrapText="1"/>
    </xf>
    <xf numFmtId="0" fontId="16" fillId="12" borderId="36" xfId="10" applyFont="1" applyFill="1" applyBorder="1" applyAlignment="1">
      <alignment horizontal="right" vertical="center" wrapText="1"/>
    </xf>
    <xf numFmtId="0" fontId="16" fillId="12" borderId="2" xfId="10" applyFont="1" applyFill="1" applyBorder="1" applyAlignment="1">
      <alignment horizontal="right" vertical="center" wrapText="1"/>
    </xf>
    <xf numFmtId="0" fontId="39" fillId="6" borderId="3" xfId="10" applyFont="1" applyFill="1" applyBorder="1" applyAlignment="1">
      <alignment horizontal="center" vertical="center"/>
    </xf>
    <xf numFmtId="0" fontId="40" fillId="6" borderId="3" xfId="3" applyFont="1" applyFill="1" applyBorder="1" applyAlignment="1">
      <alignment horizontal="center" vertical="center"/>
    </xf>
    <xf numFmtId="0" fontId="39" fillId="6" borderId="3" xfId="13" applyFont="1" applyFill="1" applyBorder="1" applyAlignment="1">
      <alignment horizontal="center" vertical="center"/>
    </xf>
    <xf numFmtId="0" fontId="39" fillId="6" borderId="1" xfId="10" applyFont="1" applyFill="1" applyBorder="1" applyAlignment="1">
      <alignment horizontal="center" vertical="center"/>
    </xf>
    <xf numFmtId="2" fontId="39" fillId="6" borderId="1" xfId="10" applyNumberFormat="1" applyFont="1" applyFill="1" applyBorder="1" applyAlignment="1">
      <alignment horizontal="center" vertical="center"/>
    </xf>
    <xf numFmtId="165" fontId="39" fillId="6" borderId="3" xfId="3" applyNumberFormat="1" applyFont="1" applyFill="1" applyBorder="1" applyAlignment="1">
      <alignment horizontal="center" vertical="center" wrapText="1"/>
    </xf>
    <xf numFmtId="0" fontId="41" fillId="6" borderId="3" xfId="3" applyFont="1" applyFill="1" applyBorder="1" applyAlignment="1">
      <alignment horizontal="center" vertical="center" wrapText="1"/>
    </xf>
    <xf numFmtId="0" fontId="42" fillId="6" borderId="3" xfId="3" applyFont="1" applyFill="1" applyBorder="1" applyAlignment="1">
      <alignment horizontal="center" vertical="center" wrapText="1"/>
    </xf>
    <xf numFmtId="4" fontId="43" fillId="6" borderId="3" xfId="10" applyNumberFormat="1" applyFont="1" applyFill="1" applyBorder="1" applyAlignment="1">
      <alignment vertical="center"/>
    </xf>
    <xf numFmtId="0" fontId="39" fillId="6" borderId="3" xfId="10" applyFont="1" applyFill="1" applyBorder="1" applyAlignment="1">
      <alignment vertical="center"/>
    </xf>
    <xf numFmtId="14" fontId="41" fillId="6" borderId="3" xfId="3" applyNumberFormat="1" applyFont="1" applyFill="1" applyBorder="1" applyAlignment="1">
      <alignment horizontal="center" vertical="center" wrapText="1"/>
    </xf>
    <xf numFmtId="164" fontId="39" fillId="6" borderId="3" xfId="12" applyNumberFormat="1" applyFont="1" applyFill="1" applyBorder="1" applyAlignment="1">
      <alignment vertical="center"/>
    </xf>
    <xf numFmtId="43" fontId="39" fillId="6" borderId="3" xfId="12" applyFont="1" applyFill="1" applyBorder="1" applyAlignment="1">
      <alignment vertical="center"/>
    </xf>
    <xf numFmtId="43" fontId="21" fillId="6" borderId="3" xfId="12" applyFont="1" applyFill="1" applyBorder="1" applyAlignment="1">
      <alignment vertical="center"/>
    </xf>
    <xf numFmtId="43" fontId="39" fillId="6" borderId="3" xfId="10" applyNumberFormat="1" applyFont="1" applyFill="1" applyBorder="1" applyAlignment="1">
      <alignment vertical="center"/>
    </xf>
    <xf numFmtId="0" fontId="39" fillId="6" borderId="0" xfId="10" applyFont="1" applyFill="1" applyAlignment="1">
      <alignment vertical="center"/>
    </xf>
    <xf numFmtId="0" fontId="40" fillId="6" borderId="1" xfId="3" applyFont="1" applyFill="1" applyBorder="1" applyAlignment="1">
      <alignment horizontal="center" vertical="center"/>
    </xf>
    <xf numFmtId="0" fontId="39" fillId="6" borderId="1" xfId="13" applyFont="1" applyFill="1" applyBorder="1" applyAlignment="1">
      <alignment horizontal="center" vertical="center"/>
    </xf>
    <xf numFmtId="169" fontId="39" fillId="6" borderId="1" xfId="10" applyNumberFormat="1" applyFont="1" applyFill="1" applyBorder="1" applyAlignment="1">
      <alignment horizontal="center" vertical="center"/>
    </xf>
    <xf numFmtId="165" fontId="39" fillId="6" borderId="1" xfId="3" applyNumberFormat="1" applyFont="1" applyFill="1" applyBorder="1" applyAlignment="1">
      <alignment horizontal="center" vertical="center" wrapText="1"/>
    </xf>
    <xf numFmtId="0" fontId="41" fillId="6" borderId="1" xfId="3" applyFont="1" applyFill="1" applyBorder="1" applyAlignment="1">
      <alignment horizontal="center" vertical="center" wrapText="1"/>
    </xf>
    <xf numFmtId="0" fontId="42" fillId="6" borderId="1" xfId="3" applyFont="1" applyFill="1" applyBorder="1" applyAlignment="1">
      <alignment horizontal="center" vertical="center" wrapText="1"/>
    </xf>
    <xf numFmtId="4" fontId="43" fillId="6" borderId="1" xfId="10" applyNumberFormat="1" applyFont="1" applyFill="1" applyBorder="1" applyAlignment="1">
      <alignment vertical="center"/>
    </xf>
    <xf numFmtId="0" fontId="39" fillId="6" borderId="1" xfId="10" applyFont="1" applyFill="1" applyBorder="1" applyAlignment="1">
      <alignment vertical="center"/>
    </xf>
    <xf numFmtId="14" fontId="39" fillId="6" borderId="1" xfId="10" applyNumberFormat="1" applyFont="1" applyFill="1" applyBorder="1" applyAlignment="1">
      <alignment horizontal="center" vertical="center"/>
    </xf>
    <xf numFmtId="164" fontId="39" fillId="6" borderId="1" xfId="12" applyNumberFormat="1" applyFont="1" applyFill="1" applyBorder="1" applyAlignment="1">
      <alignment vertical="center"/>
    </xf>
    <xf numFmtId="43" fontId="39" fillId="6" borderId="1" xfId="12" applyFont="1" applyFill="1" applyBorder="1" applyAlignment="1">
      <alignment vertical="center"/>
    </xf>
    <xf numFmtId="43" fontId="21" fillId="6" borderId="1" xfId="12" applyFont="1" applyFill="1" applyBorder="1" applyAlignment="1">
      <alignment vertical="center"/>
    </xf>
    <xf numFmtId="43" fontId="39" fillId="6" borderId="1" xfId="10" applyNumberFormat="1" applyFont="1" applyFill="1" applyBorder="1" applyAlignment="1">
      <alignment vertical="center"/>
    </xf>
    <xf numFmtId="14" fontId="39" fillId="6" borderId="1" xfId="10" applyNumberFormat="1" applyFont="1" applyFill="1" applyBorder="1" applyAlignment="1">
      <alignment vertical="center"/>
    </xf>
    <xf numFmtId="169" fontId="39" fillId="6" borderId="7" xfId="10" applyNumberFormat="1" applyFont="1" applyFill="1" applyBorder="1" applyAlignment="1">
      <alignment horizontal="center" vertical="center"/>
    </xf>
    <xf numFmtId="14" fontId="41" fillId="6" borderId="1" xfId="3" applyNumberFormat="1" applyFont="1" applyFill="1" applyBorder="1" applyAlignment="1">
      <alignment horizontal="center" vertical="center" wrapText="1"/>
    </xf>
    <xf numFmtId="169" fontId="39" fillId="6" borderId="3" xfId="10" applyNumberFormat="1" applyFont="1" applyFill="1" applyBorder="1" applyAlignment="1">
      <alignment horizontal="center" vertical="center"/>
    </xf>
    <xf numFmtId="169" fontId="39" fillId="6" borderId="11" xfId="10" applyNumberFormat="1" applyFont="1" applyFill="1" applyBorder="1" applyAlignment="1">
      <alignment horizontal="center" vertical="center"/>
    </xf>
    <xf numFmtId="14" fontId="39" fillId="6" borderId="3" xfId="10" applyNumberFormat="1" applyFont="1" applyFill="1" applyBorder="1" applyAlignment="1">
      <alignment vertical="center"/>
    </xf>
    <xf numFmtId="0" fontId="39" fillId="6" borderId="7" xfId="10" applyFont="1" applyFill="1" applyBorder="1" applyAlignment="1">
      <alignment horizontal="center" vertical="center"/>
    </xf>
    <xf numFmtId="2" fontId="39" fillId="6" borderId="7" xfId="10" applyNumberFormat="1" applyFont="1" applyFill="1" applyBorder="1" applyAlignment="1">
      <alignment horizontal="center" vertical="center"/>
    </xf>
    <xf numFmtId="165" fontId="39" fillId="6" borderId="1" xfId="10" applyNumberFormat="1" applyFont="1" applyFill="1" applyBorder="1" applyAlignment="1">
      <alignment horizontal="center" vertical="center" wrapText="1"/>
    </xf>
    <xf numFmtId="14" fontId="43" fillId="6" borderId="1" xfId="3" applyNumberFormat="1" applyFont="1" applyFill="1" applyBorder="1" applyAlignment="1">
      <alignment horizontal="center" vertical="center"/>
    </xf>
    <xf numFmtId="14" fontId="42" fillId="6" borderId="1" xfId="3" applyNumberFormat="1" applyFont="1" applyFill="1" applyBorder="1" applyAlignment="1">
      <alignment horizontal="center" vertical="center"/>
    </xf>
    <xf numFmtId="169" fontId="28" fillId="6" borderId="7" xfId="10" applyNumberFormat="1" applyFont="1" applyFill="1" applyBorder="1" applyAlignment="1">
      <alignment horizontal="center" vertical="center"/>
    </xf>
    <xf numFmtId="0" fontId="13" fillId="6" borderId="1" xfId="10" applyFill="1" applyBorder="1" applyAlignment="1">
      <alignment vertical="center"/>
    </xf>
    <xf numFmtId="164" fontId="12" fillId="6" borderId="1" xfId="12" applyNumberFormat="1" applyFont="1" applyFill="1" applyBorder="1" applyAlignment="1">
      <alignment horizontal="center" vertical="center"/>
    </xf>
    <xf numFmtId="164" fontId="13" fillId="6" borderId="1" xfId="12" applyNumberFormat="1" applyFont="1" applyFill="1" applyBorder="1" applyAlignment="1">
      <alignment vertical="center"/>
    </xf>
    <xf numFmtId="43" fontId="13" fillId="6" borderId="1" xfId="12" applyFont="1" applyFill="1" applyBorder="1" applyAlignment="1">
      <alignment vertical="center"/>
    </xf>
    <xf numFmtId="43" fontId="12" fillId="6" borderId="1" xfId="12" applyFont="1" applyFill="1" applyBorder="1" applyAlignment="1">
      <alignment vertical="center"/>
    </xf>
    <xf numFmtId="0" fontId="13" fillId="6" borderId="0" xfId="10" applyFill="1" applyAlignment="1">
      <alignment vertical="center"/>
    </xf>
    <xf numFmtId="0" fontId="31" fillId="6" borderId="1" xfId="10" applyFont="1" applyFill="1" applyBorder="1" applyAlignment="1">
      <alignment vertical="center"/>
    </xf>
    <xf numFmtId="0" fontId="31" fillId="6" borderId="0" xfId="10" applyFont="1" applyFill="1" applyAlignment="1">
      <alignment vertical="center"/>
    </xf>
    <xf numFmtId="0" fontId="40" fillId="6" borderId="1" xfId="3" applyFont="1" applyFill="1" applyBorder="1" applyAlignment="1">
      <alignment horizontal="center" vertical="center" wrapText="1"/>
    </xf>
    <xf numFmtId="0" fontId="28" fillId="6" borderId="1" xfId="10" applyFont="1" applyFill="1" applyBorder="1" applyAlignment="1">
      <alignment horizontal="center" vertical="center"/>
    </xf>
    <xf numFmtId="0" fontId="44" fillId="6" borderId="7" xfId="10" applyFont="1" applyFill="1" applyBorder="1" applyAlignment="1">
      <alignment horizontal="center" vertical="center"/>
    </xf>
    <xf numFmtId="0" fontId="36" fillId="6" borderId="1" xfId="10" applyFont="1" applyFill="1" applyBorder="1" applyAlignment="1">
      <alignment vertical="center"/>
    </xf>
    <xf numFmtId="0" fontId="36" fillId="6" borderId="0" xfId="10" applyFont="1" applyFill="1" applyAlignment="1">
      <alignment vertical="center"/>
    </xf>
    <xf numFmtId="0" fontId="39" fillId="6" borderId="4" xfId="10" applyFont="1" applyFill="1" applyBorder="1" applyAlignment="1">
      <alignment horizontal="center" vertical="center"/>
    </xf>
    <xf numFmtId="0" fontId="40" fillId="6" borderId="4" xfId="3" applyFont="1" applyFill="1" applyBorder="1" applyAlignment="1">
      <alignment horizontal="center" vertical="center" wrapText="1"/>
    </xf>
    <xf numFmtId="0" fontId="39" fillId="6" borderId="4" xfId="13" applyFont="1" applyFill="1" applyBorder="1" applyAlignment="1">
      <alignment horizontal="center" vertical="center"/>
    </xf>
    <xf numFmtId="0" fontId="39" fillId="6" borderId="4" xfId="10" applyFont="1" applyFill="1" applyBorder="1" applyAlignment="1">
      <alignment vertical="center"/>
    </xf>
    <xf numFmtId="0" fontId="36" fillId="6" borderId="4" xfId="10" applyFont="1" applyFill="1" applyBorder="1" applyAlignment="1">
      <alignment vertical="center"/>
    </xf>
    <xf numFmtId="43" fontId="39" fillId="6" borderId="4" xfId="10" applyNumberFormat="1" applyFont="1" applyFill="1" applyBorder="1" applyAlignment="1">
      <alignment vertical="center"/>
    </xf>
    <xf numFmtId="0" fontId="36" fillId="13" borderId="38" xfId="10" applyFont="1" applyFill="1" applyBorder="1" applyAlignment="1">
      <alignment horizontal="center" vertical="center"/>
    </xf>
    <xf numFmtId="49" fontId="45" fillId="13" borderId="39" xfId="3" applyNumberFormat="1" applyFont="1" applyFill="1" applyBorder="1" applyAlignment="1">
      <alignment horizontal="center" vertical="center" wrapText="1"/>
    </xf>
    <xf numFmtId="0" fontId="31" fillId="13" borderId="14" xfId="10" applyFont="1" applyFill="1" applyBorder="1" applyAlignment="1">
      <alignment vertical="center"/>
    </xf>
    <xf numFmtId="0" fontId="31" fillId="13" borderId="14" xfId="10" applyFont="1" applyFill="1" applyBorder="1" applyAlignment="1">
      <alignment horizontal="center" vertical="center"/>
    </xf>
    <xf numFmtId="2" fontId="31" fillId="13" borderId="40" xfId="10" applyNumberFormat="1" applyFont="1" applyFill="1" applyBorder="1" applyAlignment="1">
      <alignment horizontal="center" vertical="center"/>
    </xf>
    <xf numFmtId="0" fontId="31" fillId="13" borderId="41" xfId="10" applyFont="1" applyFill="1" applyBorder="1" applyAlignment="1">
      <alignment vertical="center"/>
    </xf>
    <xf numFmtId="0" fontId="31" fillId="13" borderId="6" xfId="10" applyFont="1" applyFill="1" applyBorder="1" applyAlignment="1">
      <alignment vertical="center"/>
    </xf>
    <xf numFmtId="0" fontId="31" fillId="13" borderId="42" xfId="10" applyFont="1" applyFill="1" applyBorder="1" applyAlignment="1">
      <alignment vertical="center"/>
    </xf>
    <xf numFmtId="4" fontId="31" fillId="13" borderId="12" xfId="10" applyNumberFormat="1" applyFont="1" applyFill="1" applyBorder="1" applyAlignment="1">
      <alignment vertical="center"/>
    </xf>
    <xf numFmtId="0" fontId="31" fillId="13" borderId="39" xfId="10" applyFont="1" applyFill="1" applyBorder="1" applyAlignment="1">
      <alignment vertical="center"/>
    </xf>
    <xf numFmtId="0" fontId="31" fillId="13" borderId="12" xfId="10" applyFont="1" applyFill="1" applyBorder="1" applyAlignment="1">
      <alignment vertical="center"/>
    </xf>
    <xf numFmtId="164" fontId="31" fillId="13" borderId="43" xfId="10" applyNumberFormat="1" applyFont="1" applyFill="1" applyBorder="1" applyAlignment="1">
      <alignment vertical="center"/>
    </xf>
    <xf numFmtId="164" fontId="31" fillId="13" borderId="14" xfId="10" applyNumberFormat="1" applyFont="1" applyFill="1" applyBorder="1" applyAlignment="1">
      <alignment vertical="center"/>
    </xf>
    <xf numFmtId="164" fontId="31" fillId="13" borderId="40" xfId="12" applyNumberFormat="1" applyFont="1" applyFill="1" applyBorder="1" applyAlignment="1">
      <alignment vertical="center"/>
    </xf>
    <xf numFmtId="43" fontId="31" fillId="13" borderId="43" xfId="12" applyFont="1" applyFill="1" applyBorder="1" applyAlignment="1">
      <alignment vertical="center"/>
    </xf>
    <xf numFmtId="43" fontId="31" fillId="13" borderId="14" xfId="12" applyFont="1" applyFill="1" applyBorder="1" applyAlignment="1">
      <alignment vertical="center"/>
    </xf>
    <xf numFmtId="43" fontId="27" fillId="13" borderId="14" xfId="12" applyFont="1" applyFill="1" applyBorder="1" applyAlignment="1">
      <alignment vertical="center"/>
    </xf>
    <xf numFmtId="43" fontId="31" fillId="13" borderId="40" xfId="10" applyNumberFormat="1" applyFont="1" applyFill="1" applyBorder="1" applyAlignment="1">
      <alignment vertical="center"/>
    </xf>
    <xf numFmtId="0" fontId="36" fillId="6" borderId="0" xfId="10" applyFont="1" applyFill="1" applyAlignment="1">
      <alignment horizontal="center" vertical="center"/>
    </xf>
    <xf numFmtId="49" fontId="45" fillId="6" borderId="0" xfId="3" applyNumberFormat="1" applyFont="1" applyFill="1" applyAlignment="1">
      <alignment horizontal="center" vertical="center"/>
    </xf>
    <xf numFmtId="49" fontId="45" fillId="6" borderId="0" xfId="3" applyNumberFormat="1" applyFont="1" applyFill="1" applyAlignment="1">
      <alignment horizontal="center" vertical="center" wrapText="1"/>
    </xf>
    <xf numFmtId="0" fontId="45" fillId="6" borderId="0" xfId="3" applyFont="1" applyFill="1" applyAlignment="1">
      <alignment horizontal="center" vertical="center" wrapText="1"/>
    </xf>
    <xf numFmtId="49" fontId="24" fillId="6" borderId="0" xfId="10" applyNumberFormat="1" applyFont="1" applyFill="1" applyAlignment="1">
      <alignment horizontal="center" vertical="center" wrapText="1"/>
    </xf>
    <xf numFmtId="49" fontId="24" fillId="6" borderId="0" xfId="10" applyNumberFormat="1" applyFont="1" applyFill="1" applyAlignment="1">
      <alignment horizontal="center" vertical="center"/>
    </xf>
    <xf numFmtId="0" fontId="44" fillId="6" borderId="0" xfId="13" applyFont="1" applyFill="1" applyAlignment="1">
      <alignment horizontal="center" vertical="center"/>
    </xf>
    <xf numFmtId="49" fontId="44" fillId="6" borderId="0" xfId="13" applyNumberFormat="1" applyFont="1" applyFill="1" applyAlignment="1">
      <alignment horizontal="center" vertical="center"/>
    </xf>
    <xf numFmtId="0" fontId="40" fillId="6" borderId="0" xfId="3" applyFont="1" applyFill="1" applyAlignment="1">
      <alignment horizontal="center" vertical="center"/>
    </xf>
    <xf numFmtId="0" fontId="16" fillId="6" borderId="0" xfId="3" applyFont="1" applyFill="1" applyAlignment="1">
      <alignment horizontal="center" vertical="center"/>
    </xf>
    <xf numFmtId="0" fontId="40" fillId="6" borderId="0" xfId="3" applyFont="1" applyFill="1" applyAlignment="1">
      <alignment horizontal="center" vertical="center" wrapText="1"/>
    </xf>
    <xf numFmtId="49" fontId="45" fillId="13" borderId="37" xfId="3" applyNumberFormat="1" applyFont="1" applyFill="1" applyBorder="1" applyAlignment="1">
      <alignment horizontal="center" vertical="center" wrapText="1"/>
    </xf>
    <xf numFmtId="0" fontId="31" fillId="13" borderId="6" xfId="10" applyFont="1" applyFill="1" applyBorder="1" applyAlignment="1">
      <alignment horizontal="center" vertical="center"/>
    </xf>
    <xf numFmtId="4" fontId="31" fillId="13" borderId="16" xfId="10" applyNumberFormat="1" applyFont="1" applyFill="1" applyBorder="1" applyAlignment="1">
      <alignment vertical="center"/>
    </xf>
    <xf numFmtId="0" fontId="36" fillId="6" borderId="39" xfId="10" applyFont="1" applyFill="1" applyBorder="1" applyAlignment="1">
      <alignment vertical="center"/>
    </xf>
    <xf numFmtId="0" fontId="44" fillId="0" borderId="1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4" fillId="0" borderId="0" xfId="0" quotePrefix="1" applyFont="1" applyAlignment="1">
      <alignment horizontal="center" vertical="center"/>
    </xf>
    <xf numFmtId="49" fontId="44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8" fillId="0" borderId="0" xfId="14" applyFont="1" applyAlignment="1">
      <alignment horizontal="center" vertical="center" wrapText="1"/>
    </xf>
    <xf numFmtId="2" fontId="47" fillId="0" borderId="0" xfId="0" applyNumberFormat="1" applyFont="1" applyAlignment="1">
      <alignment horizontal="center"/>
    </xf>
    <xf numFmtId="0" fontId="48" fillId="0" borderId="3" xfId="0" applyFont="1" applyBorder="1" applyAlignment="1">
      <alignment horizontal="center" vertical="center" wrapText="1"/>
    </xf>
    <xf numFmtId="0" fontId="16" fillId="14" borderId="3" xfId="10" applyFont="1" applyFill="1" applyBorder="1" applyAlignment="1">
      <alignment horizontal="center" vertical="center"/>
    </xf>
    <xf numFmtId="0" fontId="28" fillId="0" borderId="0" xfId="10" applyFont="1" applyAlignment="1">
      <alignment vertical="center" wrapText="1"/>
    </xf>
    <xf numFmtId="0" fontId="32" fillId="0" borderId="1" xfId="10" applyFont="1" applyBorder="1" applyAlignment="1">
      <alignment horizontal="center" vertical="center" wrapText="1"/>
    </xf>
    <xf numFmtId="0" fontId="36" fillId="13" borderId="44" xfId="10" applyFont="1" applyFill="1" applyBorder="1" applyAlignment="1">
      <alignment horizontal="center" vertical="center"/>
    </xf>
    <xf numFmtId="0" fontId="46" fillId="6" borderId="0" xfId="10" applyFont="1" applyFill="1" applyAlignment="1">
      <alignment vertical="center" wrapText="1"/>
    </xf>
    <xf numFmtId="16" fontId="32" fillId="0" borderId="1" xfId="10" quotePrefix="1" applyNumberFormat="1" applyFont="1" applyBorder="1" applyAlignment="1">
      <alignment horizontal="center" vertical="center" wrapText="1"/>
    </xf>
    <xf numFmtId="0" fontId="32" fillId="0" borderId="1" xfId="10" quotePrefix="1" applyFont="1" applyBorder="1" applyAlignment="1">
      <alignment horizontal="center" vertical="center" wrapText="1"/>
    </xf>
    <xf numFmtId="0" fontId="32" fillId="0" borderId="4" xfId="10" quotePrefix="1" applyFont="1" applyBorder="1" applyAlignment="1">
      <alignment horizontal="center" vertical="center" wrapText="1"/>
    </xf>
    <xf numFmtId="0" fontId="32" fillId="0" borderId="4" xfId="10" applyFont="1" applyBorder="1" applyAlignment="1">
      <alignment horizontal="center" vertical="center" wrapText="1"/>
    </xf>
    <xf numFmtId="169" fontId="31" fillId="13" borderId="42" xfId="10" applyNumberFormat="1" applyFont="1" applyFill="1" applyBorder="1" applyAlignment="1">
      <alignment horizontal="center" vertical="center"/>
    </xf>
    <xf numFmtId="0" fontId="27" fillId="12" borderId="19" xfId="10" applyFont="1" applyFill="1" applyBorder="1" applyAlignment="1">
      <alignment horizontal="center" vertical="center" wrapText="1"/>
    </xf>
    <xf numFmtId="0" fontId="32" fillId="0" borderId="3" xfId="10" applyFont="1" applyBorder="1" applyAlignment="1">
      <alignment horizontal="center" vertical="center" wrapText="1"/>
    </xf>
    <xf numFmtId="0" fontId="44" fillId="0" borderId="5" xfId="0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0" fontId="37" fillId="12" borderId="33" xfId="10" applyFont="1" applyFill="1" applyBorder="1" applyAlignment="1">
      <alignment horizontal="center" vertical="center" wrapText="1"/>
    </xf>
    <xf numFmtId="0" fontId="37" fillId="12" borderId="4" xfId="10" applyFont="1" applyFill="1" applyBorder="1" applyAlignment="1">
      <alignment horizontal="center" vertical="center" wrapText="1"/>
    </xf>
    <xf numFmtId="0" fontId="37" fillId="12" borderId="25" xfId="10" applyFont="1" applyFill="1" applyBorder="1" applyAlignment="1">
      <alignment horizontal="center" vertical="center" wrapText="1"/>
    </xf>
    <xf numFmtId="0" fontId="37" fillId="12" borderId="26" xfId="10" applyFont="1" applyFill="1" applyBorder="1" applyAlignment="1">
      <alignment horizontal="center" vertical="center" wrapText="1"/>
    </xf>
    <xf numFmtId="0" fontId="37" fillId="12" borderId="28" xfId="10" applyFont="1" applyFill="1" applyBorder="1" applyAlignment="1">
      <alignment horizontal="center" vertical="center" wrapText="1"/>
    </xf>
    <xf numFmtId="0" fontId="37" fillId="12" borderId="21" xfId="10" applyFont="1" applyFill="1" applyBorder="1" applyAlignment="1">
      <alignment horizontal="right" vertical="center" wrapText="1"/>
    </xf>
    <xf numFmtId="0" fontId="37" fillId="12" borderId="30" xfId="10" applyFont="1" applyFill="1" applyBorder="1" applyAlignment="1">
      <alignment horizontal="right" vertical="center" wrapText="1"/>
    </xf>
    <xf numFmtId="0" fontId="29" fillId="12" borderId="1" xfId="10" applyFont="1" applyFill="1" applyBorder="1" applyAlignment="1">
      <alignment horizontal="center" vertical="center" wrapText="1"/>
    </xf>
    <xf numFmtId="0" fontId="29" fillId="12" borderId="20" xfId="10" applyFont="1" applyFill="1" applyBorder="1" applyAlignment="1">
      <alignment horizontal="center" vertical="center" wrapText="1"/>
    </xf>
    <xf numFmtId="0" fontId="16" fillId="12" borderId="24" xfId="10" applyFont="1" applyFill="1" applyBorder="1" applyAlignment="1">
      <alignment horizontal="center" vertical="center" wrapText="1"/>
    </xf>
    <xf numFmtId="0" fontId="16" fillId="12" borderId="32" xfId="10" applyFont="1" applyFill="1" applyBorder="1" applyAlignment="1">
      <alignment horizontal="center" vertical="center" wrapText="1"/>
    </xf>
    <xf numFmtId="0" fontId="37" fillId="12" borderId="27" xfId="10" applyFont="1" applyFill="1" applyBorder="1" applyAlignment="1">
      <alignment horizontal="center" vertical="center" wrapText="1"/>
    </xf>
    <xf numFmtId="0" fontId="46" fillId="6" borderId="0" xfId="10" applyFont="1" applyFill="1" applyAlignment="1">
      <alignment horizontal="center" vertical="center" wrapText="1"/>
    </xf>
    <xf numFmtId="0" fontId="27" fillId="12" borderId="19" xfId="10" applyFont="1" applyFill="1" applyBorder="1" applyAlignment="1">
      <alignment horizontal="center" vertical="center" wrapText="1"/>
    </xf>
    <xf numFmtId="0" fontId="27" fillId="12" borderId="29" xfId="10" applyFont="1" applyFill="1" applyBorder="1" applyAlignment="1">
      <alignment horizontal="center" vertical="center" wrapText="1"/>
    </xf>
    <xf numFmtId="0" fontId="27" fillId="12" borderId="13" xfId="10" applyFont="1" applyFill="1" applyBorder="1" applyAlignment="1">
      <alignment horizontal="center" vertical="center" wrapText="1"/>
    </xf>
    <xf numFmtId="0" fontId="27" fillId="12" borderId="5" xfId="10" applyFont="1" applyFill="1" applyBorder="1" applyAlignment="1">
      <alignment horizontal="center" vertical="center" wrapText="1"/>
    </xf>
    <xf numFmtId="0" fontId="43" fillId="6" borderId="4" xfId="10" applyFont="1" applyFill="1" applyBorder="1" applyAlignment="1">
      <alignment horizontal="center" vertical="center" wrapText="1"/>
    </xf>
    <xf numFmtId="0" fontId="43" fillId="6" borderId="5" xfId="10" applyFont="1" applyFill="1" applyBorder="1" applyAlignment="1">
      <alignment horizontal="center" vertical="center" wrapText="1"/>
    </xf>
    <xf numFmtId="0" fontId="43" fillId="6" borderId="3" xfId="10" applyFont="1" applyFill="1" applyBorder="1" applyAlignment="1">
      <alignment horizontal="center" vertical="center" wrapText="1"/>
    </xf>
    <xf numFmtId="2" fontId="39" fillId="6" borderId="4" xfId="10" applyNumberFormat="1" applyFont="1" applyFill="1" applyBorder="1" applyAlignment="1">
      <alignment horizontal="center" vertical="center" wrapText="1"/>
    </xf>
    <xf numFmtId="2" fontId="39" fillId="6" borderId="5" xfId="10" applyNumberFormat="1" applyFont="1" applyFill="1" applyBorder="1" applyAlignment="1">
      <alignment horizontal="center" vertical="center" wrapText="1"/>
    </xf>
    <xf numFmtId="2" fontId="39" fillId="6" borderId="3" xfId="10" applyNumberFormat="1" applyFont="1" applyFill="1" applyBorder="1" applyAlignment="1">
      <alignment horizontal="center" vertical="center" wrapText="1"/>
    </xf>
    <xf numFmtId="0" fontId="43" fillId="6" borderId="6" xfId="10" applyFont="1" applyFill="1" applyBorder="1" applyAlignment="1">
      <alignment horizontal="center" vertical="center" wrapText="1"/>
    </xf>
    <xf numFmtId="1" fontId="43" fillId="6" borderId="4" xfId="10" applyNumberFormat="1" applyFont="1" applyFill="1" applyBorder="1" applyAlignment="1">
      <alignment horizontal="center" vertical="center" wrapText="1"/>
    </xf>
    <xf numFmtId="1" fontId="43" fillId="6" borderId="5" xfId="10" applyNumberFormat="1" applyFont="1" applyFill="1" applyBorder="1" applyAlignment="1">
      <alignment horizontal="center" vertical="center" wrapText="1"/>
    </xf>
    <xf numFmtId="1" fontId="43" fillId="6" borderId="6" xfId="10" applyNumberFormat="1" applyFont="1" applyFill="1" applyBorder="1" applyAlignment="1">
      <alignment horizontal="center" vertical="center" wrapText="1"/>
    </xf>
    <xf numFmtId="0" fontId="46" fillId="6" borderId="0" xfId="10" applyFont="1" applyFill="1" applyAlignment="1">
      <alignment horizontal="left" vertical="center" wrapText="1"/>
    </xf>
    <xf numFmtId="14" fontId="39" fillId="6" borderId="1" xfId="10" applyNumberFormat="1" applyFont="1" applyFill="1" applyBorder="1" applyAlignment="1">
      <alignment horizontal="center" vertical="center" wrapText="1"/>
    </xf>
    <xf numFmtId="1" fontId="39" fillId="6" borderId="4" xfId="10" applyNumberFormat="1" applyFont="1" applyFill="1" applyBorder="1" applyAlignment="1">
      <alignment horizontal="center" vertical="center" wrapText="1"/>
    </xf>
    <xf numFmtId="1" fontId="39" fillId="6" borderId="5" xfId="10" applyNumberFormat="1" applyFont="1" applyFill="1" applyBorder="1" applyAlignment="1">
      <alignment horizontal="center" vertical="center" wrapText="1"/>
    </xf>
    <xf numFmtId="1" fontId="39" fillId="6" borderId="3" xfId="10" applyNumberFormat="1" applyFont="1" applyFill="1" applyBorder="1" applyAlignment="1">
      <alignment horizontal="center" vertical="center" wrapText="1"/>
    </xf>
    <xf numFmtId="165" fontId="39" fillId="6" borderId="1" xfId="10" applyNumberFormat="1" applyFont="1" applyFill="1" applyBorder="1" applyAlignment="1">
      <alignment horizontal="center" vertical="center" wrapText="1"/>
    </xf>
    <xf numFmtId="0" fontId="39" fillId="6" borderId="13" xfId="10" applyFont="1" applyFill="1" applyBorder="1" applyAlignment="1">
      <alignment horizontal="center" vertical="center" wrapText="1"/>
    </xf>
    <xf numFmtId="0" fontId="39" fillId="6" borderId="5" xfId="10" applyFont="1" applyFill="1" applyBorder="1" applyAlignment="1">
      <alignment horizontal="center" vertical="center" wrapText="1"/>
    </xf>
    <xf numFmtId="0" fontId="39" fillId="6" borderId="3" xfId="10" applyFont="1" applyFill="1" applyBorder="1" applyAlignment="1">
      <alignment horizontal="center" vertical="center" wrapText="1"/>
    </xf>
    <xf numFmtId="0" fontId="27" fillId="12" borderId="6" xfId="10" applyFont="1" applyFill="1" applyBorder="1" applyAlignment="1">
      <alignment horizontal="center" vertical="center" wrapText="1"/>
    </xf>
    <xf numFmtId="0" fontId="29" fillId="12" borderId="4" xfId="10" applyFont="1" applyFill="1" applyBorder="1" applyAlignment="1">
      <alignment horizontal="center" vertical="center" wrapText="1"/>
    </xf>
    <xf numFmtId="0" fontId="29" fillId="12" borderId="6" xfId="10" applyFont="1" applyFill="1" applyBorder="1" applyAlignment="1">
      <alignment horizontal="center" vertical="center" wrapText="1"/>
    </xf>
    <xf numFmtId="0" fontId="38" fillId="12" borderId="30" xfId="10" applyFont="1" applyFill="1" applyBorder="1" applyAlignment="1">
      <alignment horizontal="center" vertical="center" wrapText="1"/>
    </xf>
    <xf numFmtId="0" fontId="38" fillId="12" borderId="36" xfId="10" applyFont="1" applyFill="1" applyBorder="1" applyAlignment="1">
      <alignment horizontal="center" vertical="center" wrapText="1"/>
    </xf>
    <xf numFmtId="0" fontId="37" fillId="12" borderId="35" xfId="10" applyFont="1" applyFill="1" applyBorder="1" applyAlignment="1">
      <alignment horizontal="center" vertical="center" wrapText="1"/>
    </xf>
    <xf numFmtId="0" fontId="29" fillId="12" borderId="22" xfId="10" applyFont="1" applyFill="1" applyBorder="1" applyAlignment="1">
      <alignment horizontal="right" vertical="center" wrapText="1"/>
    </xf>
    <xf numFmtId="0" fontId="29" fillId="12" borderId="31" xfId="10" applyFont="1" applyFill="1" applyBorder="1" applyAlignment="1">
      <alignment horizontal="right" vertical="center" wrapText="1"/>
    </xf>
    <xf numFmtId="0" fontId="37" fillId="12" borderId="6" xfId="10" applyFont="1" applyFill="1" applyBorder="1" applyAlignment="1">
      <alignment horizontal="center" vertical="center" wrapText="1"/>
    </xf>
    <xf numFmtId="0" fontId="27" fillId="12" borderId="35" xfId="10" applyFont="1" applyFill="1" applyBorder="1" applyAlignment="1">
      <alignment horizontal="center" vertical="center" wrapText="1"/>
    </xf>
    <xf numFmtId="0" fontId="27" fillId="11" borderId="1" xfId="11" applyFont="1" applyFill="1" applyBorder="1" applyAlignment="1">
      <alignment horizontal="center" wrapText="1"/>
    </xf>
    <xf numFmtId="0" fontId="32" fillId="6" borderId="1" xfId="11" applyFont="1" applyFill="1" applyBorder="1" applyAlignment="1">
      <alignment horizontal="left"/>
    </xf>
    <xf numFmtId="0" fontId="27" fillId="6" borderId="1" xfId="11" applyFont="1" applyFill="1" applyBorder="1" applyAlignment="1">
      <alignment horizontal="left"/>
    </xf>
    <xf numFmtId="0" fontId="13" fillId="0" borderId="13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right" vertical="center" indent="1"/>
    </xf>
    <xf numFmtId="0" fontId="7" fillId="3" borderId="4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right" vertical="center" indent="1"/>
    </xf>
    <xf numFmtId="0" fontId="6" fillId="3" borderId="11" xfId="0" applyFont="1" applyFill="1" applyBorder="1" applyAlignment="1">
      <alignment horizontal="right" vertical="center" inden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14" fontId="13" fillId="6" borderId="7" xfId="0" applyNumberFormat="1" applyFont="1" applyFill="1" applyBorder="1" applyAlignment="1">
      <alignment horizontal="center" vertical="center" wrapText="1"/>
    </xf>
    <xf numFmtId="165" fontId="13" fillId="0" borderId="4" xfId="0" applyNumberFormat="1" applyFont="1" applyBorder="1" applyAlignment="1">
      <alignment horizontal="center" vertical="center" wrapText="1"/>
    </xf>
    <xf numFmtId="165" fontId="13" fillId="0" borderId="5" xfId="0" applyNumberFormat="1" applyFont="1" applyBorder="1" applyAlignment="1">
      <alignment horizontal="center" vertical="center" wrapText="1"/>
    </xf>
    <xf numFmtId="165" fontId="13" fillId="0" borderId="3" xfId="0" applyNumberFormat="1" applyFont="1" applyBorder="1" applyAlignment="1">
      <alignment horizontal="center" vertical="center" wrapText="1"/>
    </xf>
    <xf numFmtId="165" fontId="13" fillId="6" borderId="4" xfId="0" applyNumberFormat="1" applyFont="1" applyFill="1" applyBorder="1" applyAlignment="1">
      <alignment horizontal="center" vertical="center" wrapText="1"/>
    </xf>
    <xf numFmtId="165" fontId="13" fillId="6" borderId="5" xfId="0" applyNumberFormat="1" applyFont="1" applyFill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2" fontId="32" fillId="0" borderId="1" xfId="10" applyNumberFormat="1" applyFont="1" applyBorder="1" applyAlignment="1">
      <alignment horizontal="center" vertical="center" wrapText="1"/>
    </xf>
  </cellXfs>
  <cellStyles count="15">
    <cellStyle name="Comma" xfId="1" builtinId="3"/>
    <cellStyle name="Comma 2" xfId="8" xr:uid="{00000000-0005-0000-0000-000001000000}"/>
    <cellStyle name="Comma 2 2" xfId="12" xr:uid="{04A6F434-0D19-4CB6-89ED-59E6D5A366DA}"/>
    <cellStyle name="Normal" xfId="0" builtinId="0"/>
    <cellStyle name="Normal 11" xfId="5" xr:uid="{00000000-0005-0000-0000-000003000000}"/>
    <cellStyle name="Normal 2" xfId="11" xr:uid="{94F04904-DEDB-4131-9886-591FD6B9C497}"/>
    <cellStyle name="Normal 2 10 2 5 2" xfId="6" xr:uid="{00000000-0005-0000-0000-000004000000}"/>
    <cellStyle name="Normal 2 10 2 6" xfId="3" xr:uid="{00000000-0005-0000-0000-000005000000}"/>
    <cellStyle name="Normal 2 2" xfId="10" xr:uid="{6D82CEE8-AB9C-4240-887D-1C56D928FE4C}"/>
    <cellStyle name="Normal 2 3" xfId="9" xr:uid="{D3FC200B-6A77-42F4-AF4D-0E078BF589F3}"/>
    <cellStyle name="Normal 2 3 2" xfId="13" xr:uid="{6C6EC63F-AF7C-4DDC-A5CC-7A03BFFD96FC}"/>
    <cellStyle name="Normal 3" xfId="14" xr:uid="{0D9667D6-0D05-4364-B529-20EB6FBDFE98}"/>
    <cellStyle name="Normal_Rev_IPP_ BUB_ 10.04.09 2" xfId="4" xr:uid="{00000000-0005-0000-0000-000006000000}"/>
    <cellStyle name="Percent" xfId="2" builtinId="5"/>
    <cellStyle name="Percent 2" xfId="7" xr:uid="{00000000-0005-0000-0000-000008000000}"/>
  </cellStyles>
  <dxfs count="178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0000FF"/>
      </font>
      <fill>
        <patternFill patternType="none">
          <bgColor indexed="6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:\PROJECT%20TA-504\DPR%20RM\DPR%20TA-504\DPR%20Sheet\Nov-24\SITE%20DPR%20HO\Daily%20Progress%20report%20TA-504%20RMTL%20%20Nov-24.xls" TargetMode="External"/><Relationship Id="rId1" Type="http://schemas.openxmlformats.org/officeDocument/2006/relationships/externalLinkPath" Target="/PROJECT%20TA-504/DPR%20RM/DPR%20TA-504/DPR%20Sheet/Nov-24/SITE%20DPR%20HO/Daily%20Progress%20report%20TA-504%20RMTL%20%20Nov-24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:\OneDrive%20-%20RPG%20Enterprises\Desktop\TS%20TA-504.xlsx" TargetMode="External"/><Relationship Id="rId1" Type="http://schemas.openxmlformats.org/officeDocument/2006/relationships/externalLinkPath" Target="/OneDrive%20-%20RPG%20Enterprises/Desktop/TS%20TA-5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DPR DATE 30-11-2024 1"/>
      <sheetName val="Micro Plan Dec24"/>
      <sheetName val="Micro Plan 1 Dec-24 TA-504"/>
      <sheetName val="Final Rev Plan-2 Nov-24 (Final)"/>
      <sheetName val="STEEL &amp; CEMENT"/>
      <sheetName val="Progress"/>
      <sheetName val="Final Rev Plan-1 Nov-24"/>
      <sheetName val="VC-TA-504-1"/>
      <sheetName val="Details of balance location PG"/>
      <sheetName val="Survey Status"/>
      <sheetName val="BILLING"/>
      <sheetName val="MIcro Plan-2 TA-504"/>
      <sheetName val="ACTUAL COMPLETED LOCATION "/>
      <sheetName val="Available Front"/>
      <sheetName val="Sheet3"/>
      <sheetName val="TOWER SCHEDULE"/>
      <sheetName val="CPDC NOV-24"/>
      <sheetName val="Front available-(2)"/>
      <sheetName val="MIcro Plan-1"/>
      <sheetName val="Detail &amp; Check survey"/>
      <sheetName val="Available streach status"/>
      <sheetName val="Reasons-1"/>
      <sheetName val="Soil testing"/>
      <sheetName val="Micro Plan1- Nov-24"/>
      <sheetName val="Rev-Oct-24"/>
      <sheetName val="Plan Vs Actual"/>
      <sheetName val="Tower Weight"/>
      <sheetName val="Tower Weight1"/>
      <sheetName val="TOWER WEIGHT 13-5 to 33-0"/>
      <sheetName val="Stub weight"/>
      <sheetName val="Status"/>
      <sheetName val="Plan Dec-24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10">
          <cell r="B10" t="str">
            <v>1/0</v>
          </cell>
          <cell r="C10" t="str">
            <v>DD60+0</v>
          </cell>
        </row>
        <row r="11">
          <cell r="B11" t="str">
            <v>2/0</v>
          </cell>
          <cell r="C11" t="str">
            <v>DC1+0</v>
          </cell>
        </row>
        <row r="12">
          <cell r="B12" t="str">
            <v>2/1</v>
          </cell>
          <cell r="C12" t="str">
            <v>DA+0</v>
          </cell>
        </row>
        <row r="13">
          <cell r="B13" t="str">
            <v>3/0</v>
          </cell>
          <cell r="C13" t="str">
            <v>DD60+0</v>
          </cell>
        </row>
        <row r="14">
          <cell r="B14" t="str">
            <v>3/1</v>
          </cell>
          <cell r="C14" t="str">
            <v>DA+0</v>
          </cell>
        </row>
        <row r="15">
          <cell r="B15" t="str">
            <v>4/0</v>
          </cell>
          <cell r="C15" t="str">
            <v>DD45+0</v>
          </cell>
        </row>
        <row r="16">
          <cell r="B16" t="str">
            <v>4/1</v>
          </cell>
          <cell r="C16" t="str">
            <v>DA+0</v>
          </cell>
        </row>
        <row r="17">
          <cell r="B17" t="str">
            <v>4/2</v>
          </cell>
          <cell r="C17" t="str">
            <v>DA+3</v>
          </cell>
        </row>
        <row r="18">
          <cell r="B18" t="str">
            <v>4/3</v>
          </cell>
          <cell r="C18" t="str">
            <v>DA+3</v>
          </cell>
        </row>
        <row r="19">
          <cell r="B19" t="str">
            <v>4/4</v>
          </cell>
          <cell r="C19" t="str">
            <v>DA+0</v>
          </cell>
        </row>
        <row r="20">
          <cell r="B20" t="str">
            <v>4/5</v>
          </cell>
          <cell r="C20" t="str">
            <v>DA-3</v>
          </cell>
        </row>
        <row r="21">
          <cell r="B21" t="str">
            <v>4/6</v>
          </cell>
          <cell r="C21" t="str">
            <v>DA+0</v>
          </cell>
        </row>
        <row r="22">
          <cell r="B22" t="str">
            <v>4/7</v>
          </cell>
          <cell r="C22" t="str">
            <v>DA+0</v>
          </cell>
        </row>
        <row r="23">
          <cell r="B23" t="str">
            <v>5/0</v>
          </cell>
          <cell r="C23" t="str">
            <v>DC2+0</v>
          </cell>
        </row>
        <row r="24">
          <cell r="B24" t="str">
            <v>5/1</v>
          </cell>
          <cell r="C24" t="str">
            <v>DA+0</v>
          </cell>
        </row>
        <row r="25">
          <cell r="B25" t="str">
            <v>5/2</v>
          </cell>
          <cell r="C25" t="str">
            <v>DA+0</v>
          </cell>
        </row>
        <row r="26">
          <cell r="B26" t="str">
            <v>5/3</v>
          </cell>
          <cell r="C26" t="str">
            <v>DA+3</v>
          </cell>
        </row>
        <row r="27">
          <cell r="B27" t="str">
            <v>6/0</v>
          </cell>
          <cell r="C27" t="str">
            <v>DB1+6</v>
          </cell>
        </row>
        <row r="28">
          <cell r="B28" t="str">
            <v>7/0</v>
          </cell>
          <cell r="C28" t="str">
            <v>DD45+3</v>
          </cell>
        </row>
        <row r="29">
          <cell r="B29" t="str">
            <v>7/1</v>
          </cell>
          <cell r="C29" t="str">
            <v>DA-3</v>
          </cell>
        </row>
        <row r="30">
          <cell r="B30" t="str">
            <v>7/2</v>
          </cell>
          <cell r="C30" t="str">
            <v>DA+3</v>
          </cell>
        </row>
        <row r="31">
          <cell r="B31" t="str">
            <v>8/0</v>
          </cell>
          <cell r="C31" t="str">
            <v>DC1+0</v>
          </cell>
        </row>
        <row r="32">
          <cell r="B32" t="str">
            <v>8/1</v>
          </cell>
          <cell r="C32" t="str">
            <v>DA+0</v>
          </cell>
        </row>
        <row r="33">
          <cell r="B33" t="str">
            <v>8/2</v>
          </cell>
          <cell r="C33" t="str">
            <v>DA-3</v>
          </cell>
        </row>
        <row r="34">
          <cell r="B34" t="str">
            <v>8/3</v>
          </cell>
          <cell r="C34" t="str">
            <v>DB1+6</v>
          </cell>
        </row>
        <row r="35">
          <cell r="B35" t="str">
            <v>9/0</v>
          </cell>
          <cell r="C35" t="str">
            <v>DD60+35</v>
          </cell>
        </row>
        <row r="36">
          <cell r="B36" t="str">
            <v>10/0</v>
          </cell>
          <cell r="C36" t="str">
            <v>DD60+35</v>
          </cell>
        </row>
        <row r="37">
          <cell r="B37" t="str">
            <v>10/1</v>
          </cell>
          <cell r="C37" t="str">
            <v>DB1+6</v>
          </cell>
        </row>
        <row r="38">
          <cell r="B38" t="str">
            <v>10/2</v>
          </cell>
          <cell r="C38" t="str">
            <v>DA+0</v>
          </cell>
        </row>
        <row r="39">
          <cell r="B39" t="str">
            <v>10/3</v>
          </cell>
          <cell r="C39" t="str">
            <v>DA+0</v>
          </cell>
        </row>
        <row r="40">
          <cell r="B40" t="str">
            <v>10/4</v>
          </cell>
          <cell r="C40" t="str">
            <v>DA+3</v>
          </cell>
        </row>
        <row r="41">
          <cell r="B41" t="str">
            <v>11/0</v>
          </cell>
          <cell r="C41" t="str">
            <v>DB2+0</v>
          </cell>
        </row>
        <row r="42">
          <cell r="B42" t="str">
            <v>11/1</v>
          </cell>
          <cell r="C42" t="str">
            <v>DA+0</v>
          </cell>
        </row>
        <row r="43">
          <cell r="B43" t="str">
            <v>11/2</v>
          </cell>
          <cell r="C43" t="str">
            <v>DA+0</v>
          </cell>
        </row>
        <row r="44">
          <cell r="B44" t="str">
            <v>11/3</v>
          </cell>
          <cell r="C44" t="str">
            <v>DA+3</v>
          </cell>
        </row>
        <row r="45">
          <cell r="B45" t="str">
            <v>11/4</v>
          </cell>
          <cell r="C45" t="str">
            <v>DA+0</v>
          </cell>
        </row>
        <row r="46">
          <cell r="B46" t="str">
            <v>11/5</v>
          </cell>
          <cell r="C46" t="str">
            <v>DA+3</v>
          </cell>
        </row>
        <row r="47">
          <cell r="B47" t="str">
            <v>11/6</v>
          </cell>
          <cell r="C47" t="str">
            <v>DA+0</v>
          </cell>
        </row>
        <row r="48">
          <cell r="B48" t="str">
            <v>12/0</v>
          </cell>
          <cell r="C48" t="str">
            <v>DB2+0</v>
          </cell>
        </row>
        <row r="49">
          <cell r="B49" t="str">
            <v>12/1</v>
          </cell>
          <cell r="C49" t="str">
            <v>DA-3</v>
          </cell>
        </row>
        <row r="50">
          <cell r="B50" t="str">
            <v>12/2</v>
          </cell>
          <cell r="C50" t="str">
            <v>DA+0</v>
          </cell>
        </row>
        <row r="51">
          <cell r="B51" t="str">
            <v>12/3</v>
          </cell>
          <cell r="C51" t="str">
            <v>DA+0</v>
          </cell>
        </row>
        <row r="52">
          <cell r="B52" t="str">
            <v>12/4</v>
          </cell>
          <cell r="C52" t="str">
            <v>DA+6</v>
          </cell>
        </row>
        <row r="53">
          <cell r="B53" t="str">
            <v>12/5</v>
          </cell>
          <cell r="C53" t="str">
            <v>DA+6</v>
          </cell>
        </row>
        <row r="54">
          <cell r="B54" t="str">
            <v>13/0</v>
          </cell>
          <cell r="C54" t="str">
            <v>DB2+0</v>
          </cell>
        </row>
        <row r="55">
          <cell r="B55" t="str">
            <v>13/1</v>
          </cell>
          <cell r="C55" t="str">
            <v>DA-3</v>
          </cell>
        </row>
        <row r="56">
          <cell r="B56" t="str">
            <v>13/2</v>
          </cell>
          <cell r="C56" t="str">
            <v>DA+0</v>
          </cell>
        </row>
        <row r="57">
          <cell r="B57" t="str">
            <v>13/3</v>
          </cell>
          <cell r="C57" t="str">
            <v>DA+0</v>
          </cell>
        </row>
        <row r="58">
          <cell r="B58" t="str">
            <v>13/4</v>
          </cell>
          <cell r="C58" t="str">
            <v>DA+3</v>
          </cell>
        </row>
        <row r="59">
          <cell r="B59" t="str">
            <v>13/5</v>
          </cell>
          <cell r="C59" t="str">
            <v>DA+3</v>
          </cell>
        </row>
        <row r="60">
          <cell r="B60" t="str">
            <v>13/6</v>
          </cell>
          <cell r="C60" t="str">
            <v>DA+3</v>
          </cell>
        </row>
        <row r="61">
          <cell r="B61" t="str">
            <v>14/0</v>
          </cell>
          <cell r="C61" t="str">
            <v>DD45+0</v>
          </cell>
        </row>
        <row r="62">
          <cell r="B62" t="str">
            <v>14/1</v>
          </cell>
          <cell r="C62" t="str">
            <v>DA+0</v>
          </cell>
        </row>
        <row r="63">
          <cell r="B63" t="str">
            <v>14/2</v>
          </cell>
          <cell r="C63" t="str">
            <v>DA+0</v>
          </cell>
        </row>
        <row r="64">
          <cell r="B64" t="str">
            <v>14/3</v>
          </cell>
          <cell r="C64" t="str">
            <v>DA+0</v>
          </cell>
        </row>
        <row r="65">
          <cell r="B65" t="str">
            <v>14/4</v>
          </cell>
          <cell r="C65" t="str">
            <v>DA+0</v>
          </cell>
        </row>
        <row r="66">
          <cell r="B66" t="str">
            <v>14/5</v>
          </cell>
          <cell r="C66" t="str">
            <v>DA+3</v>
          </cell>
        </row>
        <row r="67">
          <cell r="B67" t="str">
            <v>14/6</v>
          </cell>
          <cell r="C67" t="str">
            <v>DA+0</v>
          </cell>
        </row>
        <row r="68">
          <cell r="B68" t="str">
            <v>14/7</v>
          </cell>
          <cell r="C68" t="str">
            <v>DA+3</v>
          </cell>
        </row>
        <row r="69">
          <cell r="B69" t="str">
            <v>15/0</v>
          </cell>
          <cell r="C69" t="str">
            <v>DB1+0</v>
          </cell>
        </row>
        <row r="70">
          <cell r="B70" t="str">
            <v>15/1</v>
          </cell>
          <cell r="C70" t="str">
            <v>DA+3</v>
          </cell>
        </row>
        <row r="71">
          <cell r="B71" t="str">
            <v>15/2</v>
          </cell>
          <cell r="C71" t="str">
            <v>DA+3</v>
          </cell>
        </row>
        <row r="72">
          <cell r="B72" t="str">
            <v>15/3</v>
          </cell>
          <cell r="C72" t="str">
            <v>DA+0</v>
          </cell>
        </row>
        <row r="73">
          <cell r="B73" t="str">
            <v>15/4</v>
          </cell>
          <cell r="C73" t="str">
            <v>DA+3</v>
          </cell>
        </row>
        <row r="74">
          <cell r="B74" t="str">
            <v>15/5</v>
          </cell>
          <cell r="C74" t="str">
            <v>DA-3</v>
          </cell>
        </row>
        <row r="75">
          <cell r="B75" t="str">
            <v>15/6</v>
          </cell>
          <cell r="C75" t="str">
            <v>DA+3</v>
          </cell>
        </row>
        <row r="76">
          <cell r="B76" t="str">
            <v>15/7</v>
          </cell>
          <cell r="C76" t="str">
            <v>DA+6</v>
          </cell>
        </row>
        <row r="77">
          <cell r="B77" t="str">
            <v>16/0</v>
          </cell>
          <cell r="C77" t="str">
            <v>DB2+0</v>
          </cell>
        </row>
        <row r="78">
          <cell r="B78" t="str">
            <v>16/1</v>
          </cell>
          <cell r="C78" t="str">
            <v>DA+6</v>
          </cell>
        </row>
        <row r="79">
          <cell r="B79" t="str">
            <v>16/2</v>
          </cell>
          <cell r="C79" t="str">
            <v>DA-3</v>
          </cell>
        </row>
        <row r="80">
          <cell r="B80" t="str">
            <v>16/3</v>
          </cell>
          <cell r="C80" t="str">
            <v>DB1+6</v>
          </cell>
        </row>
        <row r="81">
          <cell r="B81" t="str">
            <v>16/4</v>
          </cell>
          <cell r="C81" t="str">
            <v>DA+9</v>
          </cell>
        </row>
        <row r="82">
          <cell r="B82" t="str">
            <v>16/5</v>
          </cell>
          <cell r="C82" t="str">
            <v>DA+0</v>
          </cell>
        </row>
        <row r="83">
          <cell r="B83" t="str">
            <v>16/6</v>
          </cell>
          <cell r="C83" t="str">
            <v>DA-3</v>
          </cell>
        </row>
        <row r="84">
          <cell r="B84" t="str">
            <v>17/0</v>
          </cell>
          <cell r="C84" t="str">
            <v>DB2+0</v>
          </cell>
        </row>
        <row r="85">
          <cell r="B85" t="str">
            <v>17/1</v>
          </cell>
          <cell r="C85" t="str">
            <v>DA+3</v>
          </cell>
        </row>
        <row r="86">
          <cell r="B86" t="str">
            <v>17/2</v>
          </cell>
          <cell r="C86" t="str">
            <v>DA+0</v>
          </cell>
        </row>
        <row r="87">
          <cell r="B87" t="str">
            <v>17/3</v>
          </cell>
          <cell r="C87" t="str">
            <v>DA+3</v>
          </cell>
        </row>
        <row r="88">
          <cell r="B88" t="str">
            <v>17/4</v>
          </cell>
          <cell r="C88" t="str">
            <v>DB1+9</v>
          </cell>
        </row>
        <row r="89">
          <cell r="B89" t="str">
            <v>17/5</v>
          </cell>
          <cell r="C89" t="str">
            <v>DA+9</v>
          </cell>
        </row>
        <row r="90">
          <cell r="B90" t="str">
            <v>17/6</v>
          </cell>
          <cell r="C90" t="str">
            <v>DA+3</v>
          </cell>
        </row>
        <row r="91">
          <cell r="B91" t="str">
            <v>17/7</v>
          </cell>
          <cell r="C91" t="str">
            <v>DA+9</v>
          </cell>
        </row>
        <row r="92">
          <cell r="B92" t="str">
            <v>17/8</v>
          </cell>
          <cell r="C92" t="str">
            <v>DA+0</v>
          </cell>
        </row>
        <row r="93">
          <cell r="B93" t="str">
            <v>17/9</v>
          </cell>
          <cell r="C93" t="str">
            <v>DA-1.5</v>
          </cell>
        </row>
        <row r="94">
          <cell r="B94" t="str">
            <v>18/0</v>
          </cell>
          <cell r="C94" t="str">
            <v>DB1+9</v>
          </cell>
        </row>
        <row r="95">
          <cell r="B95" t="str">
            <v>18/1</v>
          </cell>
          <cell r="C95" t="str">
            <v>DB1+9</v>
          </cell>
        </row>
        <row r="96">
          <cell r="B96" t="str">
            <v>18/2</v>
          </cell>
          <cell r="C96" t="str">
            <v>DA+0</v>
          </cell>
        </row>
        <row r="97">
          <cell r="B97" t="str">
            <v>18/3</v>
          </cell>
          <cell r="C97" t="str">
            <v>DA+6</v>
          </cell>
        </row>
        <row r="98">
          <cell r="B98" t="str">
            <v>18/4</v>
          </cell>
          <cell r="C98" t="str">
            <v>DA-1.5</v>
          </cell>
        </row>
        <row r="99">
          <cell r="B99" t="str">
            <v>18/5</v>
          </cell>
          <cell r="C99" t="str">
            <v>DA+3</v>
          </cell>
        </row>
        <row r="100">
          <cell r="B100" t="str">
            <v>18/6</v>
          </cell>
          <cell r="C100" t="str">
            <v>DA+3</v>
          </cell>
        </row>
        <row r="101">
          <cell r="B101" t="str">
            <v>18/7</v>
          </cell>
          <cell r="C101" t="str">
            <v>DA-1.5</v>
          </cell>
        </row>
        <row r="102">
          <cell r="B102" t="str">
            <v>18/8</v>
          </cell>
          <cell r="C102" t="str">
            <v>DA-3</v>
          </cell>
        </row>
        <row r="103">
          <cell r="B103" t="str">
            <v>19/0</v>
          </cell>
          <cell r="C103" t="str">
            <v>DD45+0</v>
          </cell>
        </row>
        <row r="104">
          <cell r="B104" t="str">
            <v>19/1</v>
          </cell>
          <cell r="C104" t="str">
            <v>DA+3</v>
          </cell>
        </row>
        <row r="105">
          <cell r="B105" t="str">
            <v>19/2</v>
          </cell>
          <cell r="C105" t="str">
            <v>DA+3</v>
          </cell>
        </row>
        <row r="106">
          <cell r="B106" t="str">
            <v>19/3</v>
          </cell>
          <cell r="C106" t="str">
            <v>DA+0</v>
          </cell>
        </row>
        <row r="107">
          <cell r="B107" t="str">
            <v>20/0</v>
          </cell>
          <cell r="C107" t="str">
            <v>DD45+6</v>
          </cell>
        </row>
        <row r="108">
          <cell r="B108" t="str">
            <v>21/0</v>
          </cell>
          <cell r="C108" t="str">
            <v>DB2+6</v>
          </cell>
        </row>
        <row r="109">
          <cell r="B109" t="str">
            <v>21/1</v>
          </cell>
          <cell r="C109" t="str">
            <v>DA+0</v>
          </cell>
        </row>
        <row r="110">
          <cell r="B110" t="str">
            <v>21/2</v>
          </cell>
          <cell r="C110" t="str">
            <v>DA+3</v>
          </cell>
        </row>
        <row r="111">
          <cell r="B111" t="str">
            <v>21/3 (TP)</v>
          </cell>
          <cell r="C111" t="str">
            <v>DC1+0</v>
          </cell>
        </row>
        <row r="112">
          <cell r="B112" t="str">
            <v>21/4</v>
          </cell>
          <cell r="C112" t="str">
            <v>DA+3</v>
          </cell>
        </row>
        <row r="113">
          <cell r="B113" t="str">
            <v>21/5</v>
          </cell>
          <cell r="C113" t="str">
            <v>DA+3</v>
          </cell>
        </row>
        <row r="114">
          <cell r="B114" t="str">
            <v>22/0</v>
          </cell>
          <cell r="C114" t="str">
            <v>DD45+0</v>
          </cell>
        </row>
        <row r="115">
          <cell r="B115" t="str">
            <v>22/1</v>
          </cell>
          <cell r="C115" t="str">
            <v>DA+3</v>
          </cell>
        </row>
        <row r="116">
          <cell r="B116" t="str">
            <v>22/2</v>
          </cell>
          <cell r="C116" t="str">
            <v>DA-1.5</v>
          </cell>
        </row>
        <row r="117">
          <cell r="B117" t="str">
            <v>22/3</v>
          </cell>
          <cell r="C117" t="str">
            <v>DA+6</v>
          </cell>
        </row>
        <row r="118">
          <cell r="B118" t="str">
            <v>22/4</v>
          </cell>
          <cell r="C118" t="str">
            <v>DA+3</v>
          </cell>
        </row>
        <row r="119">
          <cell r="B119" t="str">
            <v>23/0</v>
          </cell>
          <cell r="C119" t="str">
            <v>DC2+3</v>
          </cell>
        </row>
        <row r="120">
          <cell r="B120" t="str">
            <v>23/1</v>
          </cell>
          <cell r="C120" t="str">
            <v>DA+9</v>
          </cell>
        </row>
        <row r="121">
          <cell r="B121" t="str">
            <v>23/2</v>
          </cell>
          <cell r="C121" t="str">
            <v>DA+0</v>
          </cell>
        </row>
        <row r="122">
          <cell r="B122" t="str">
            <v>23/3</v>
          </cell>
          <cell r="C122" t="str">
            <v>DA+6</v>
          </cell>
        </row>
        <row r="123">
          <cell r="B123" t="str">
            <v>23/4</v>
          </cell>
          <cell r="C123" t="str">
            <v>DA-1.5</v>
          </cell>
        </row>
        <row r="124">
          <cell r="B124" t="str">
            <v>23/5</v>
          </cell>
          <cell r="C124" t="str">
            <v>DA+3</v>
          </cell>
        </row>
        <row r="125">
          <cell r="B125" t="str">
            <v>23/6</v>
          </cell>
          <cell r="C125" t="str">
            <v>DA-3</v>
          </cell>
        </row>
        <row r="126">
          <cell r="B126" t="str">
            <v>23/7</v>
          </cell>
          <cell r="C126" t="str">
            <v>DA-3</v>
          </cell>
        </row>
        <row r="127">
          <cell r="B127" t="str">
            <v>AP24</v>
          </cell>
          <cell r="C127" t="str">
            <v>DB2+0</v>
          </cell>
        </row>
        <row r="128">
          <cell r="B128" t="str">
            <v>24/1</v>
          </cell>
          <cell r="C128" t="str">
            <v>DB1+9</v>
          </cell>
        </row>
        <row r="129">
          <cell r="B129" t="str">
            <v>24/2.</v>
          </cell>
          <cell r="C129" t="str">
            <v>DB1+0</v>
          </cell>
        </row>
        <row r="130">
          <cell r="B130" t="str">
            <v>25/0</v>
          </cell>
          <cell r="C130" t="str">
            <v>DC1+9</v>
          </cell>
        </row>
        <row r="131">
          <cell r="B131" t="str">
            <v>25/1</v>
          </cell>
          <cell r="C131" t="str">
            <v>DA+0</v>
          </cell>
        </row>
        <row r="132">
          <cell r="B132" t="str">
            <v>25/2</v>
          </cell>
          <cell r="C132" t="str">
            <v>DA+0</v>
          </cell>
        </row>
        <row r="133">
          <cell r="B133" t="str">
            <v>25/3</v>
          </cell>
          <cell r="C133" t="str">
            <v>DA+0</v>
          </cell>
        </row>
        <row r="134">
          <cell r="B134" t="str">
            <v>25/4</v>
          </cell>
          <cell r="C134" t="str">
            <v>DA+0</v>
          </cell>
        </row>
        <row r="135">
          <cell r="B135" t="str">
            <v>26/0</v>
          </cell>
          <cell r="C135" t="str">
            <v>DC2+0</v>
          </cell>
        </row>
        <row r="136">
          <cell r="B136" t="str">
            <v>26/1</v>
          </cell>
          <cell r="C136" t="str">
            <v>DA+6</v>
          </cell>
        </row>
        <row r="137">
          <cell r="B137" t="str">
            <v>26/2</v>
          </cell>
          <cell r="C137" t="str">
            <v>DA+3</v>
          </cell>
        </row>
        <row r="138">
          <cell r="B138" t="str">
            <v>26/3</v>
          </cell>
          <cell r="C138" t="str">
            <v>DA+3</v>
          </cell>
        </row>
        <row r="139">
          <cell r="B139" t="str">
            <v>26/4</v>
          </cell>
          <cell r="C139" t="str">
            <v>DA-3</v>
          </cell>
        </row>
        <row r="140">
          <cell r="B140" t="str">
            <v>26/5</v>
          </cell>
          <cell r="C140" t="str">
            <v>DA+0</v>
          </cell>
        </row>
        <row r="141">
          <cell r="B141" t="str">
            <v>26/6</v>
          </cell>
          <cell r="C141" t="str">
            <v>DA+3</v>
          </cell>
        </row>
        <row r="142">
          <cell r="B142" t="str">
            <v>26/7</v>
          </cell>
          <cell r="C142" t="str">
            <v>DA+0</v>
          </cell>
        </row>
        <row r="143">
          <cell r="B143" t="str">
            <v>26/8</v>
          </cell>
          <cell r="C143" t="str">
            <v>DA+0</v>
          </cell>
        </row>
        <row r="144">
          <cell r="B144" t="str">
            <v>26/9</v>
          </cell>
          <cell r="C144" t="str">
            <v>DA+0</v>
          </cell>
        </row>
        <row r="145">
          <cell r="B145" t="str">
            <v>26/10</v>
          </cell>
          <cell r="C145" t="str">
            <v>DA+0</v>
          </cell>
        </row>
        <row r="146">
          <cell r="B146" t="str">
            <v>27/0</v>
          </cell>
          <cell r="C146" t="str">
            <v>DC1+0</v>
          </cell>
        </row>
        <row r="147">
          <cell r="B147" t="str">
            <v>27/1</v>
          </cell>
          <cell r="C147" t="str">
            <v>DA+3</v>
          </cell>
        </row>
        <row r="148">
          <cell r="B148" t="str">
            <v>28/0</v>
          </cell>
          <cell r="C148" t="str">
            <v>DC1+0</v>
          </cell>
        </row>
        <row r="149">
          <cell r="B149" t="str">
            <v>28/1</v>
          </cell>
          <cell r="C149" t="str">
            <v>DB1+0</v>
          </cell>
        </row>
        <row r="150">
          <cell r="B150" t="str">
            <v>29/0</v>
          </cell>
          <cell r="C150" t="str">
            <v>DB2+0</v>
          </cell>
        </row>
        <row r="151">
          <cell r="B151" t="str">
            <v>29/1</v>
          </cell>
          <cell r="C151" t="str">
            <v>DA+0</v>
          </cell>
        </row>
        <row r="152">
          <cell r="B152" t="str">
            <v>29/2</v>
          </cell>
          <cell r="C152" t="str">
            <v>DA+0</v>
          </cell>
        </row>
        <row r="153">
          <cell r="B153" t="str">
            <v>30/0</v>
          </cell>
          <cell r="C153" t="str">
            <v>DC2+0</v>
          </cell>
        </row>
        <row r="154">
          <cell r="B154" t="str">
            <v>30/1</v>
          </cell>
          <cell r="C154" t="str">
            <v>DA+9</v>
          </cell>
        </row>
        <row r="155">
          <cell r="B155" t="str">
            <v>30/2</v>
          </cell>
          <cell r="C155" t="str">
            <v>DA+3</v>
          </cell>
        </row>
        <row r="156">
          <cell r="B156" t="str">
            <v>30/3</v>
          </cell>
          <cell r="C156" t="str">
            <v>DA+9</v>
          </cell>
        </row>
        <row r="157">
          <cell r="B157" t="str">
            <v>30/4</v>
          </cell>
          <cell r="C157" t="str">
            <v>DA+3</v>
          </cell>
        </row>
        <row r="158">
          <cell r="B158" t="str">
            <v>30/5</v>
          </cell>
          <cell r="C158" t="str">
            <v>DA+0</v>
          </cell>
        </row>
        <row r="159">
          <cell r="B159" t="str">
            <v>31/0</v>
          </cell>
          <cell r="C159" t="str">
            <v>DD45+0</v>
          </cell>
        </row>
        <row r="160">
          <cell r="B160" t="str">
            <v>31/1</v>
          </cell>
          <cell r="C160" t="str">
            <v>DA+6</v>
          </cell>
        </row>
        <row r="161">
          <cell r="B161" t="str">
            <v>31/2</v>
          </cell>
          <cell r="C161" t="str">
            <v>DB1+6</v>
          </cell>
        </row>
        <row r="162">
          <cell r="B162" t="str">
            <v>32/0</v>
          </cell>
          <cell r="C162" t="str">
            <v>DB1+0</v>
          </cell>
        </row>
        <row r="163">
          <cell r="B163" t="str">
            <v>32/1</v>
          </cell>
          <cell r="C163" t="str">
            <v>DA+6</v>
          </cell>
        </row>
        <row r="164">
          <cell r="B164" t="str">
            <v>32/2</v>
          </cell>
          <cell r="C164" t="str">
            <v>DB1+9</v>
          </cell>
        </row>
        <row r="165">
          <cell r="B165" t="str">
            <v>33/0</v>
          </cell>
          <cell r="C165" t="str">
            <v>DC2+0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S TA-504"/>
      <sheetName val="Sheet1"/>
    </sheetNames>
    <sheetDataSet>
      <sheetData sheetId="0" refreshError="1">
        <row r="8">
          <cell r="B8" t="str">
            <v>1/0</v>
          </cell>
          <cell r="C8" t="str">
            <v>DD60+0</v>
          </cell>
        </row>
        <row r="9">
          <cell r="B9"/>
          <cell r="C9"/>
        </row>
        <row r="10">
          <cell r="B10" t="str">
            <v>2/0</v>
          </cell>
          <cell r="C10" t="str">
            <v>DC1+0</v>
          </cell>
        </row>
        <row r="11">
          <cell r="B11"/>
          <cell r="C11"/>
        </row>
        <row r="12">
          <cell r="B12" t="str">
            <v>2/1</v>
          </cell>
          <cell r="C12" t="str">
            <v>DA+0</v>
          </cell>
        </row>
        <row r="13">
          <cell r="B13"/>
          <cell r="C13"/>
        </row>
        <row r="14">
          <cell r="B14" t="str">
            <v>3/0</v>
          </cell>
          <cell r="C14" t="str">
            <v>DD60+0</v>
          </cell>
        </row>
        <row r="15">
          <cell r="B15"/>
          <cell r="C15"/>
        </row>
        <row r="16">
          <cell r="B16" t="str">
            <v>3/1</v>
          </cell>
          <cell r="C16" t="str">
            <v>DA+0</v>
          </cell>
        </row>
        <row r="17">
          <cell r="B17"/>
          <cell r="C17"/>
        </row>
        <row r="18">
          <cell r="B18" t="str">
            <v>4/0</v>
          </cell>
          <cell r="C18" t="str">
            <v>DD45+0</v>
          </cell>
        </row>
        <row r="19">
          <cell r="B19"/>
          <cell r="C19"/>
        </row>
        <row r="20">
          <cell r="B20" t="str">
            <v>4/1</v>
          </cell>
          <cell r="C20" t="str">
            <v>DA+0</v>
          </cell>
        </row>
        <row r="21">
          <cell r="B21"/>
          <cell r="C21"/>
        </row>
        <row r="22">
          <cell r="B22" t="str">
            <v>4/2</v>
          </cell>
          <cell r="C22" t="str">
            <v>DA+3</v>
          </cell>
        </row>
        <row r="23">
          <cell r="B23"/>
          <cell r="C23"/>
        </row>
        <row r="24">
          <cell r="B24" t="str">
            <v>4/3</v>
          </cell>
          <cell r="C24" t="str">
            <v>DA+3</v>
          </cell>
        </row>
        <row r="25">
          <cell r="B25"/>
          <cell r="C25"/>
        </row>
        <row r="26">
          <cell r="B26" t="str">
            <v>4/4</v>
          </cell>
          <cell r="C26" t="str">
            <v>DA+0</v>
          </cell>
        </row>
        <row r="27">
          <cell r="B27"/>
          <cell r="C27"/>
        </row>
        <row r="28">
          <cell r="B28" t="str">
            <v>4/5</v>
          </cell>
          <cell r="C28" t="str">
            <v>DA-3</v>
          </cell>
        </row>
        <row r="29">
          <cell r="B29"/>
          <cell r="C29"/>
        </row>
        <row r="30">
          <cell r="B30" t="str">
            <v>4/6</v>
          </cell>
          <cell r="C30" t="str">
            <v>DA+0</v>
          </cell>
        </row>
        <row r="31">
          <cell r="B31"/>
          <cell r="C31"/>
        </row>
        <row r="32">
          <cell r="B32" t="str">
            <v>4/7</v>
          </cell>
          <cell r="C32" t="str">
            <v>DA+0</v>
          </cell>
        </row>
        <row r="33">
          <cell r="B33"/>
          <cell r="C33"/>
        </row>
        <row r="34">
          <cell r="B34" t="str">
            <v>5/0</v>
          </cell>
          <cell r="C34" t="str">
            <v>DC2+0</v>
          </cell>
        </row>
        <row r="35">
          <cell r="B35"/>
          <cell r="C35"/>
        </row>
        <row r="36">
          <cell r="B36" t="str">
            <v>5/1</v>
          </cell>
          <cell r="C36" t="str">
            <v>DA+0</v>
          </cell>
        </row>
        <row r="37">
          <cell r="B37"/>
          <cell r="C37"/>
        </row>
        <row r="38">
          <cell r="B38" t="str">
            <v>5/2</v>
          </cell>
          <cell r="C38" t="str">
            <v>DA+0</v>
          </cell>
        </row>
        <row r="39">
          <cell r="B39"/>
          <cell r="C39"/>
        </row>
        <row r="40">
          <cell r="B40" t="str">
            <v>5/3</v>
          </cell>
          <cell r="C40" t="str">
            <v>DA+3</v>
          </cell>
        </row>
        <row r="41">
          <cell r="B41"/>
          <cell r="C41"/>
        </row>
        <row r="42">
          <cell r="B42" t="str">
            <v>6/0</v>
          </cell>
          <cell r="C42" t="str">
            <v>DB1+6</v>
          </cell>
        </row>
        <row r="43">
          <cell r="B43"/>
          <cell r="C43"/>
        </row>
        <row r="44">
          <cell r="B44" t="str">
            <v>7/0</v>
          </cell>
          <cell r="C44" t="str">
            <v>DD45+3</v>
          </cell>
        </row>
        <row r="45">
          <cell r="B45"/>
          <cell r="C45"/>
        </row>
        <row r="46">
          <cell r="B46" t="str">
            <v>7/1</v>
          </cell>
          <cell r="C46" t="str">
            <v>DA-3</v>
          </cell>
        </row>
        <row r="47">
          <cell r="B47"/>
          <cell r="C47"/>
        </row>
        <row r="48">
          <cell r="B48" t="str">
            <v>7/2</v>
          </cell>
          <cell r="C48" t="str">
            <v>DA+3</v>
          </cell>
        </row>
        <row r="49">
          <cell r="B49"/>
          <cell r="C49"/>
        </row>
        <row r="50">
          <cell r="B50" t="str">
            <v>8/0</v>
          </cell>
          <cell r="C50" t="str">
            <v>DC1+0</v>
          </cell>
        </row>
        <row r="51">
          <cell r="B51"/>
          <cell r="C51"/>
        </row>
        <row r="52">
          <cell r="B52" t="str">
            <v>8/1</v>
          </cell>
          <cell r="C52" t="str">
            <v>DA+0</v>
          </cell>
        </row>
        <row r="53">
          <cell r="B53"/>
          <cell r="C53"/>
        </row>
        <row r="54">
          <cell r="B54" t="str">
            <v>8/2</v>
          </cell>
          <cell r="C54" t="str">
            <v>DA-3</v>
          </cell>
        </row>
        <row r="55">
          <cell r="B55"/>
          <cell r="C55"/>
        </row>
        <row r="56">
          <cell r="B56" t="str">
            <v>8/3</v>
          </cell>
          <cell r="C56" t="str">
            <v>DB1+6</v>
          </cell>
        </row>
        <row r="57">
          <cell r="B57"/>
          <cell r="C57"/>
        </row>
        <row r="58">
          <cell r="B58" t="str">
            <v>9/0</v>
          </cell>
          <cell r="C58" t="str">
            <v>DD60+35</v>
          </cell>
        </row>
        <row r="59">
          <cell r="B59"/>
          <cell r="C59"/>
        </row>
        <row r="60">
          <cell r="B60" t="str">
            <v>10/0</v>
          </cell>
          <cell r="C60" t="str">
            <v>DD60+35</v>
          </cell>
        </row>
        <row r="61">
          <cell r="B61"/>
          <cell r="C61"/>
        </row>
        <row r="62">
          <cell r="B62" t="str">
            <v>10/1</v>
          </cell>
          <cell r="C62" t="str">
            <v>DB1+6</v>
          </cell>
        </row>
        <row r="63">
          <cell r="B63"/>
          <cell r="C63"/>
        </row>
        <row r="64">
          <cell r="B64" t="str">
            <v>10/2</v>
          </cell>
          <cell r="C64" t="str">
            <v>DA+0</v>
          </cell>
        </row>
        <row r="65">
          <cell r="B65"/>
          <cell r="C65"/>
        </row>
        <row r="66">
          <cell r="B66" t="str">
            <v>10/3</v>
          </cell>
          <cell r="C66" t="str">
            <v>DA+0</v>
          </cell>
        </row>
        <row r="67">
          <cell r="B67"/>
          <cell r="C67"/>
        </row>
        <row r="68">
          <cell r="B68" t="str">
            <v>10/4</v>
          </cell>
          <cell r="C68" t="str">
            <v>DA+3</v>
          </cell>
        </row>
        <row r="69">
          <cell r="B69"/>
          <cell r="C69"/>
        </row>
        <row r="70">
          <cell r="B70" t="str">
            <v>11/0</v>
          </cell>
          <cell r="C70" t="str">
            <v>DB2+0</v>
          </cell>
        </row>
        <row r="71">
          <cell r="B71"/>
          <cell r="C71"/>
        </row>
        <row r="72">
          <cell r="B72" t="str">
            <v>11/1</v>
          </cell>
          <cell r="C72" t="str">
            <v>DA+0</v>
          </cell>
        </row>
        <row r="73">
          <cell r="B73"/>
          <cell r="C73"/>
        </row>
        <row r="74">
          <cell r="B74" t="str">
            <v>11/2</v>
          </cell>
          <cell r="C74" t="str">
            <v>DA+0</v>
          </cell>
        </row>
        <row r="75">
          <cell r="B75"/>
          <cell r="C75"/>
        </row>
        <row r="76">
          <cell r="B76" t="str">
            <v>11/3</v>
          </cell>
          <cell r="C76" t="str">
            <v>DA+3</v>
          </cell>
        </row>
        <row r="77">
          <cell r="B77"/>
          <cell r="C77"/>
        </row>
        <row r="78">
          <cell r="B78" t="str">
            <v>11/4</v>
          </cell>
          <cell r="C78" t="str">
            <v>DA+0</v>
          </cell>
        </row>
        <row r="79">
          <cell r="B79"/>
          <cell r="C79"/>
        </row>
        <row r="80">
          <cell r="B80" t="str">
            <v>11/5</v>
          </cell>
          <cell r="C80" t="str">
            <v>DA+3</v>
          </cell>
        </row>
        <row r="81">
          <cell r="B81"/>
          <cell r="C81"/>
        </row>
        <row r="82">
          <cell r="B82" t="str">
            <v>11/6</v>
          </cell>
          <cell r="C82" t="str">
            <v>DA+0</v>
          </cell>
        </row>
        <row r="83">
          <cell r="B83"/>
          <cell r="C83"/>
        </row>
        <row r="84">
          <cell r="B84" t="str">
            <v>12/0</v>
          </cell>
          <cell r="C84" t="str">
            <v>DB2+0</v>
          </cell>
        </row>
        <row r="85">
          <cell r="B85"/>
          <cell r="C85"/>
        </row>
        <row r="86">
          <cell r="B86" t="str">
            <v>12/1</v>
          </cell>
          <cell r="C86" t="str">
            <v>DA-3</v>
          </cell>
        </row>
        <row r="87">
          <cell r="B87"/>
          <cell r="C87"/>
        </row>
        <row r="88">
          <cell r="B88" t="str">
            <v>12/2</v>
          </cell>
          <cell r="C88" t="str">
            <v>DA+0</v>
          </cell>
        </row>
        <row r="89">
          <cell r="B89"/>
          <cell r="C89"/>
        </row>
        <row r="90">
          <cell r="B90" t="str">
            <v>12/3</v>
          </cell>
          <cell r="C90" t="str">
            <v>DA+0</v>
          </cell>
        </row>
        <row r="91">
          <cell r="B91"/>
          <cell r="C91"/>
        </row>
        <row r="92">
          <cell r="B92" t="str">
            <v>12/4</v>
          </cell>
          <cell r="C92" t="str">
            <v>DA+6</v>
          </cell>
        </row>
        <row r="93">
          <cell r="B93"/>
          <cell r="C93"/>
        </row>
        <row r="94">
          <cell r="B94" t="str">
            <v>12/5</v>
          </cell>
          <cell r="C94" t="str">
            <v>DA+6</v>
          </cell>
        </row>
        <row r="95">
          <cell r="B95"/>
          <cell r="C95"/>
        </row>
        <row r="96">
          <cell r="B96" t="str">
            <v>AP13</v>
          </cell>
          <cell r="C96" t="str">
            <v>DB2+0</v>
          </cell>
        </row>
        <row r="97">
          <cell r="B97"/>
          <cell r="C97"/>
        </row>
        <row r="98">
          <cell r="B98" t="str">
            <v>13/1</v>
          </cell>
          <cell r="C98" t="str">
            <v>DA-3</v>
          </cell>
        </row>
        <row r="99">
          <cell r="B99"/>
          <cell r="C99"/>
        </row>
        <row r="100">
          <cell r="B100" t="str">
            <v>13/2</v>
          </cell>
          <cell r="C100" t="str">
            <v>DA+0</v>
          </cell>
        </row>
        <row r="101">
          <cell r="B101"/>
          <cell r="C101"/>
        </row>
        <row r="102">
          <cell r="B102" t="str">
            <v>13/3</v>
          </cell>
          <cell r="C102" t="str">
            <v>DA+0</v>
          </cell>
        </row>
        <row r="103">
          <cell r="B103"/>
          <cell r="C103"/>
        </row>
        <row r="104">
          <cell r="B104" t="str">
            <v>13/4</v>
          </cell>
          <cell r="C104" t="str">
            <v>DA+3</v>
          </cell>
        </row>
        <row r="105">
          <cell r="B105"/>
          <cell r="C105"/>
        </row>
        <row r="106">
          <cell r="B106" t="str">
            <v>13/5</v>
          </cell>
          <cell r="C106" t="str">
            <v>DA+3</v>
          </cell>
        </row>
        <row r="107">
          <cell r="B107"/>
          <cell r="C107"/>
        </row>
        <row r="108">
          <cell r="B108" t="str">
            <v>13/6</v>
          </cell>
          <cell r="C108" t="str">
            <v>DA+3</v>
          </cell>
        </row>
        <row r="109">
          <cell r="B109"/>
          <cell r="C109"/>
        </row>
        <row r="110">
          <cell r="B110" t="str">
            <v>14/0</v>
          </cell>
          <cell r="C110" t="str">
            <v>DD45+0</v>
          </cell>
        </row>
        <row r="111">
          <cell r="B111"/>
          <cell r="C111"/>
        </row>
        <row r="112">
          <cell r="B112" t="str">
            <v>14/1</v>
          </cell>
          <cell r="C112" t="str">
            <v>DA+0</v>
          </cell>
        </row>
        <row r="113">
          <cell r="B113"/>
          <cell r="C113"/>
        </row>
        <row r="114">
          <cell r="B114" t="str">
            <v>14/2</v>
          </cell>
          <cell r="C114" t="str">
            <v>DA+0</v>
          </cell>
        </row>
        <row r="115">
          <cell r="B115"/>
          <cell r="C115"/>
        </row>
        <row r="116">
          <cell r="B116" t="str">
            <v>14/3</v>
          </cell>
          <cell r="C116" t="str">
            <v>DA+0</v>
          </cell>
        </row>
        <row r="117">
          <cell r="B117"/>
          <cell r="C117"/>
        </row>
        <row r="118">
          <cell r="B118" t="str">
            <v>14/4</v>
          </cell>
          <cell r="C118" t="str">
            <v>DA+0</v>
          </cell>
        </row>
        <row r="119">
          <cell r="B119"/>
          <cell r="C119"/>
        </row>
        <row r="120">
          <cell r="B120" t="str">
            <v>14/5</v>
          </cell>
          <cell r="C120" t="str">
            <v>DA+3</v>
          </cell>
        </row>
        <row r="121">
          <cell r="B121"/>
          <cell r="C121"/>
        </row>
        <row r="122">
          <cell r="B122" t="str">
            <v>14/6</v>
          </cell>
          <cell r="C122" t="str">
            <v>DA+0</v>
          </cell>
        </row>
        <row r="123">
          <cell r="B123"/>
          <cell r="C123"/>
        </row>
        <row r="124">
          <cell r="B124" t="str">
            <v>14/7</v>
          </cell>
          <cell r="C124" t="str">
            <v>DA+3</v>
          </cell>
        </row>
        <row r="125">
          <cell r="B125"/>
          <cell r="C125"/>
        </row>
        <row r="126">
          <cell r="B126" t="str">
            <v>15/0</v>
          </cell>
          <cell r="C126" t="str">
            <v>DB1+0</v>
          </cell>
        </row>
        <row r="127">
          <cell r="B127"/>
          <cell r="C127"/>
        </row>
        <row r="128">
          <cell r="B128" t="str">
            <v>15/1</v>
          </cell>
          <cell r="C128" t="str">
            <v>DA+3</v>
          </cell>
        </row>
        <row r="129">
          <cell r="B129"/>
          <cell r="C129"/>
        </row>
        <row r="130">
          <cell r="B130" t="str">
            <v>15/2</v>
          </cell>
          <cell r="C130" t="str">
            <v>DA+3</v>
          </cell>
        </row>
        <row r="131">
          <cell r="B131"/>
          <cell r="C131"/>
        </row>
        <row r="132">
          <cell r="B132" t="str">
            <v>15/3</v>
          </cell>
          <cell r="C132" t="str">
            <v>DA+0</v>
          </cell>
        </row>
        <row r="133">
          <cell r="B133"/>
          <cell r="C133"/>
        </row>
        <row r="134">
          <cell r="B134" t="str">
            <v>15/4</v>
          </cell>
          <cell r="C134" t="str">
            <v>DA+3</v>
          </cell>
        </row>
        <row r="135">
          <cell r="B135"/>
          <cell r="C135"/>
        </row>
        <row r="136">
          <cell r="B136" t="str">
            <v>15/5</v>
          </cell>
          <cell r="C136" t="str">
            <v>DA-3</v>
          </cell>
        </row>
        <row r="137">
          <cell r="B137"/>
          <cell r="C137"/>
        </row>
        <row r="138">
          <cell r="B138" t="str">
            <v>15/6</v>
          </cell>
          <cell r="C138" t="str">
            <v>DA+3</v>
          </cell>
        </row>
        <row r="139">
          <cell r="B139"/>
          <cell r="C139"/>
        </row>
        <row r="140">
          <cell r="B140" t="str">
            <v>15/7</v>
          </cell>
          <cell r="C140" t="str">
            <v>DA+6</v>
          </cell>
        </row>
        <row r="141">
          <cell r="B141"/>
          <cell r="C141"/>
        </row>
        <row r="142">
          <cell r="B142" t="str">
            <v>16/0</v>
          </cell>
          <cell r="C142" t="str">
            <v>DB2+0</v>
          </cell>
        </row>
        <row r="143">
          <cell r="B143"/>
          <cell r="C143"/>
        </row>
        <row r="144">
          <cell r="B144" t="str">
            <v>16/1</v>
          </cell>
          <cell r="C144" t="str">
            <v>DA+6</v>
          </cell>
        </row>
        <row r="145">
          <cell r="B145"/>
          <cell r="C145"/>
        </row>
        <row r="146">
          <cell r="B146" t="str">
            <v>16/2</v>
          </cell>
          <cell r="C146" t="str">
            <v>DA-3</v>
          </cell>
        </row>
        <row r="147">
          <cell r="B147"/>
          <cell r="C147"/>
        </row>
        <row r="148">
          <cell r="B148" t="str">
            <v>16/3</v>
          </cell>
          <cell r="C148" t="str">
            <v>DB1+6</v>
          </cell>
        </row>
        <row r="149">
          <cell r="B149"/>
          <cell r="C149"/>
        </row>
        <row r="150">
          <cell r="B150" t="str">
            <v>16/4</v>
          </cell>
          <cell r="C150" t="str">
            <v>DA+9</v>
          </cell>
        </row>
        <row r="151">
          <cell r="B151"/>
          <cell r="C151"/>
        </row>
        <row r="152">
          <cell r="B152" t="str">
            <v>16/5</v>
          </cell>
          <cell r="C152" t="str">
            <v>DA+0</v>
          </cell>
        </row>
        <row r="153">
          <cell r="B153"/>
          <cell r="C153"/>
        </row>
        <row r="154">
          <cell r="B154" t="str">
            <v>16/6</v>
          </cell>
          <cell r="C154" t="str">
            <v>DA-3</v>
          </cell>
        </row>
        <row r="155">
          <cell r="B155"/>
          <cell r="C155"/>
        </row>
        <row r="156">
          <cell r="B156" t="str">
            <v>17/0</v>
          </cell>
          <cell r="C156" t="str">
            <v>DB2+0</v>
          </cell>
        </row>
        <row r="157">
          <cell r="B157"/>
          <cell r="C157"/>
        </row>
        <row r="158">
          <cell r="B158" t="str">
            <v>17/1</v>
          </cell>
          <cell r="C158" t="str">
            <v>DA+3</v>
          </cell>
        </row>
        <row r="159">
          <cell r="B159"/>
          <cell r="C159"/>
        </row>
        <row r="160">
          <cell r="B160" t="str">
            <v>17/2</v>
          </cell>
          <cell r="C160" t="str">
            <v>DA+0</v>
          </cell>
        </row>
        <row r="161">
          <cell r="B161"/>
          <cell r="C161"/>
        </row>
        <row r="162">
          <cell r="B162" t="str">
            <v>17/3</v>
          </cell>
          <cell r="C162" t="str">
            <v>DA+3</v>
          </cell>
        </row>
        <row r="163">
          <cell r="B163"/>
          <cell r="C163"/>
        </row>
        <row r="164">
          <cell r="B164" t="str">
            <v>17/4</v>
          </cell>
          <cell r="C164" t="str">
            <v>DA+3</v>
          </cell>
        </row>
        <row r="165">
          <cell r="B165"/>
          <cell r="C165"/>
        </row>
        <row r="166">
          <cell r="B166" t="str">
            <v>17/5</v>
          </cell>
          <cell r="C166" t="str">
            <v>DA+3</v>
          </cell>
        </row>
        <row r="167">
          <cell r="B167"/>
          <cell r="C167"/>
        </row>
        <row r="168">
          <cell r="B168" t="str">
            <v>17/6</v>
          </cell>
          <cell r="C168" t="str">
            <v>DA+0</v>
          </cell>
        </row>
        <row r="169">
          <cell r="B169"/>
          <cell r="C169"/>
        </row>
        <row r="170">
          <cell r="B170" t="str">
            <v>17/7</v>
          </cell>
          <cell r="C170" t="str">
            <v>DA+9</v>
          </cell>
        </row>
        <row r="171">
          <cell r="B171"/>
          <cell r="C171"/>
        </row>
        <row r="172">
          <cell r="B172" t="str">
            <v>17/8</v>
          </cell>
          <cell r="C172" t="str">
            <v>DA+0</v>
          </cell>
        </row>
        <row r="173">
          <cell r="B173"/>
          <cell r="C173"/>
        </row>
        <row r="174">
          <cell r="B174" t="str">
            <v>17/9</v>
          </cell>
          <cell r="C174" t="str">
            <v>DA-1.5</v>
          </cell>
        </row>
        <row r="175">
          <cell r="B175"/>
          <cell r="C175"/>
        </row>
        <row r="176">
          <cell r="B176" t="str">
            <v>18/0</v>
          </cell>
          <cell r="C176" t="str">
            <v>DB1+9</v>
          </cell>
        </row>
        <row r="177">
          <cell r="B177"/>
          <cell r="C177"/>
        </row>
        <row r="178">
          <cell r="B178" t="str">
            <v>18/1</v>
          </cell>
          <cell r="C178" t="str">
            <v>DB1+9</v>
          </cell>
        </row>
        <row r="179">
          <cell r="B179"/>
          <cell r="C179"/>
        </row>
        <row r="180">
          <cell r="B180" t="str">
            <v>18/2</v>
          </cell>
          <cell r="C180" t="str">
            <v>DA+0</v>
          </cell>
        </row>
        <row r="181">
          <cell r="B181"/>
          <cell r="C181"/>
        </row>
        <row r="182">
          <cell r="B182" t="str">
            <v>18/3</v>
          </cell>
          <cell r="C182" t="str">
            <v>DA+6</v>
          </cell>
        </row>
        <row r="183">
          <cell r="B183"/>
          <cell r="C183"/>
        </row>
        <row r="184">
          <cell r="B184" t="str">
            <v>18/4</v>
          </cell>
          <cell r="C184" t="str">
            <v>DA-1.5</v>
          </cell>
        </row>
        <row r="185">
          <cell r="B185"/>
          <cell r="C185"/>
        </row>
        <row r="186">
          <cell r="B186" t="str">
            <v>18/5</v>
          </cell>
          <cell r="C186" t="str">
            <v>DA+3</v>
          </cell>
        </row>
        <row r="187">
          <cell r="B187"/>
          <cell r="C187"/>
        </row>
        <row r="188">
          <cell r="B188" t="str">
            <v>18/6</v>
          </cell>
          <cell r="C188" t="str">
            <v>DA+3</v>
          </cell>
        </row>
        <row r="189">
          <cell r="B189"/>
          <cell r="C189"/>
        </row>
        <row r="190">
          <cell r="B190" t="str">
            <v>18/7</v>
          </cell>
          <cell r="C190" t="str">
            <v>DA-1.5</v>
          </cell>
        </row>
        <row r="191">
          <cell r="B191"/>
          <cell r="C191"/>
        </row>
        <row r="192">
          <cell r="B192" t="str">
            <v>18/8</v>
          </cell>
          <cell r="C192" t="str">
            <v>DA-3</v>
          </cell>
        </row>
        <row r="193">
          <cell r="B193"/>
          <cell r="C193"/>
        </row>
        <row r="194">
          <cell r="B194" t="str">
            <v>19/0</v>
          </cell>
          <cell r="C194" t="str">
            <v>DD45+0</v>
          </cell>
        </row>
        <row r="195">
          <cell r="B195"/>
          <cell r="C195"/>
        </row>
        <row r="196">
          <cell r="B196" t="str">
            <v>19/1</v>
          </cell>
          <cell r="C196" t="str">
            <v>DA+3</v>
          </cell>
        </row>
        <row r="197">
          <cell r="B197"/>
          <cell r="C197"/>
        </row>
        <row r="198">
          <cell r="B198" t="str">
            <v>19/2</v>
          </cell>
          <cell r="C198" t="str">
            <v>DA+3</v>
          </cell>
        </row>
        <row r="199">
          <cell r="B199"/>
          <cell r="C199"/>
        </row>
        <row r="200">
          <cell r="B200" t="str">
            <v>19/3</v>
          </cell>
          <cell r="C200" t="str">
            <v>DA+0</v>
          </cell>
        </row>
        <row r="201">
          <cell r="B201"/>
          <cell r="C201"/>
        </row>
        <row r="202">
          <cell r="B202" t="str">
            <v>20/0</v>
          </cell>
          <cell r="C202" t="str">
            <v>DD45+6</v>
          </cell>
        </row>
        <row r="203">
          <cell r="B203"/>
          <cell r="C203"/>
        </row>
        <row r="204">
          <cell r="B204" t="str">
            <v>21/0</v>
          </cell>
          <cell r="C204" t="str">
            <v>DB2+6</v>
          </cell>
        </row>
        <row r="205">
          <cell r="B205"/>
          <cell r="C205"/>
        </row>
        <row r="206">
          <cell r="B206" t="str">
            <v>21/1</v>
          </cell>
          <cell r="C206" t="str">
            <v>DA+0</v>
          </cell>
        </row>
        <row r="207">
          <cell r="B207"/>
          <cell r="C207"/>
        </row>
        <row r="208">
          <cell r="B208" t="str">
            <v>21/2</v>
          </cell>
          <cell r="C208" t="str">
            <v>DA+3</v>
          </cell>
        </row>
        <row r="209">
          <cell r="B209"/>
          <cell r="C209"/>
        </row>
        <row r="210">
          <cell r="B210" t="str">
            <v>21/3(TP)</v>
          </cell>
          <cell r="C210" t="str">
            <v>DC1+0</v>
          </cell>
        </row>
        <row r="211">
          <cell r="B211"/>
          <cell r="C211"/>
        </row>
        <row r="212">
          <cell r="B212" t="str">
            <v>21/4</v>
          </cell>
          <cell r="C212" t="str">
            <v>DA+3</v>
          </cell>
        </row>
        <row r="213">
          <cell r="B213"/>
          <cell r="C213"/>
        </row>
        <row r="214">
          <cell r="B214" t="str">
            <v>21/5</v>
          </cell>
          <cell r="C214" t="str">
            <v>DA+3</v>
          </cell>
        </row>
        <row r="215">
          <cell r="B215"/>
          <cell r="C215"/>
        </row>
        <row r="216">
          <cell r="B216" t="str">
            <v>AP22</v>
          </cell>
          <cell r="C216" t="str">
            <v>DD45+0</v>
          </cell>
        </row>
        <row r="217">
          <cell r="B217"/>
          <cell r="C217"/>
        </row>
        <row r="218">
          <cell r="B218" t="str">
            <v>22/1</v>
          </cell>
          <cell r="C218" t="str">
            <v>DA+3</v>
          </cell>
        </row>
        <row r="219">
          <cell r="B219"/>
          <cell r="C219"/>
        </row>
        <row r="220">
          <cell r="B220" t="str">
            <v>22/2</v>
          </cell>
          <cell r="C220" t="str">
            <v>DA-1.5</v>
          </cell>
        </row>
        <row r="221">
          <cell r="B221"/>
          <cell r="C221"/>
        </row>
        <row r="222">
          <cell r="B222" t="str">
            <v>22/3</v>
          </cell>
          <cell r="C222" t="str">
            <v>DA+6</v>
          </cell>
        </row>
        <row r="223">
          <cell r="B223"/>
          <cell r="C223"/>
        </row>
        <row r="224">
          <cell r="B224" t="str">
            <v>22/4</v>
          </cell>
          <cell r="C224" t="str">
            <v>DA+3</v>
          </cell>
        </row>
        <row r="225">
          <cell r="B225"/>
          <cell r="C225"/>
        </row>
        <row r="226">
          <cell r="B226" t="str">
            <v>AP23</v>
          </cell>
          <cell r="C226" t="str">
            <v>DC2+3</v>
          </cell>
        </row>
        <row r="227">
          <cell r="B227"/>
          <cell r="C227"/>
        </row>
        <row r="228">
          <cell r="B228" t="str">
            <v>23/1</v>
          </cell>
          <cell r="C228" t="str">
            <v>DA+9</v>
          </cell>
        </row>
        <row r="229">
          <cell r="B229"/>
          <cell r="C229"/>
        </row>
        <row r="230">
          <cell r="B230" t="str">
            <v>23/2</v>
          </cell>
          <cell r="C230" t="str">
            <v>DA+0</v>
          </cell>
        </row>
        <row r="231">
          <cell r="B231"/>
          <cell r="C231"/>
        </row>
        <row r="232">
          <cell r="B232" t="str">
            <v>23/3</v>
          </cell>
          <cell r="C232" t="str">
            <v>DA+6</v>
          </cell>
        </row>
        <row r="233">
          <cell r="B233"/>
          <cell r="C233"/>
        </row>
        <row r="234">
          <cell r="B234" t="str">
            <v>23/4</v>
          </cell>
          <cell r="C234" t="str">
            <v>DA-1.5</v>
          </cell>
        </row>
        <row r="235">
          <cell r="B235"/>
          <cell r="C235"/>
        </row>
        <row r="236">
          <cell r="B236" t="str">
            <v>23/5</v>
          </cell>
          <cell r="C236" t="str">
            <v>DA+3</v>
          </cell>
        </row>
        <row r="237">
          <cell r="B237"/>
          <cell r="C237"/>
        </row>
        <row r="238">
          <cell r="B238" t="str">
            <v>23/6</v>
          </cell>
          <cell r="C238" t="str">
            <v>DA-3</v>
          </cell>
        </row>
        <row r="239">
          <cell r="B239"/>
          <cell r="C239"/>
        </row>
        <row r="240">
          <cell r="B240" t="str">
            <v>23/7</v>
          </cell>
          <cell r="C240" t="str">
            <v>DA-3</v>
          </cell>
        </row>
        <row r="241">
          <cell r="B241"/>
          <cell r="C241"/>
        </row>
        <row r="242">
          <cell r="B242" t="str">
            <v>AP24</v>
          </cell>
          <cell r="C242" t="str">
            <v>DB2+0</v>
          </cell>
        </row>
        <row r="243">
          <cell r="B243"/>
          <cell r="C243"/>
        </row>
        <row r="244">
          <cell r="B244" t="str">
            <v>24/1</v>
          </cell>
          <cell r="C244" t="str">
            <v>DB1+9</v>
          </cell>
        </row>
        <row r="245">
          <cell r="B245"/>
          <cell r="C245"/>
        </row>
        <row r="246">
          <cell r="B246" t="str">
            <v>24/2.</v>
          </cell>
          <cell r="C246" t="str">
            <v>DB1+0</v>
          </cell>
        </row>
        <row r="247">
          <cell r="B247"/>
          <cell r="C247"/>
        </row>
        <row r="248">
          <cell r="B248" t="str">
            <v>AP25</v>
          </cell>
          <cell r="C248" t="str">
            <v>DC1+9</v>
          </cell>
        </row>
        <row r="249">
          <cell r="B249"/>
          <cell r="C249"/>
        </row>
        <row r="250">
          <cell r="B250" t="str">
            <v>25/1</v>
          </cell>
          <cell r="C250" t="str">
            <v>DA+0</v>
          </cell>
        </row>
        <row r="251">
          <cell r="B251"/>
          <cell r="C251"/>
        </row>
        <row r="252">
          <cell r="B252" t="str">
            <v>25/2</v>
          </cell>
          <cell r="C252" t="str">
            <v>DA+0</v>
          </cell>
        </row>
        <row r="253">
          <cell r="B253"/>
          <cell r="C253"/>
        </row>
        <row r="254">
          <cell r="B254" t="str">
            <v>25/3</v>
          </cell>
          <cell r="C254" t="str">
            <v>DA+0</v>
          </cell>
        </row>
        <row r="255">
          <cell r="B255"/>
          <cell r="C255"/>
        </row>
        <row r="256">
          <cell r="B256" t="str">
            <v>25/4</v>
          </cell>
          <cell r="C256" t="str">
            <v>DA+0</v>
          </cell>
        </row>
        <row r="257">
          <cell r="B257"/>
          <cell r="C257"/>
        </row>
        <row r="258">
          <cell r="B258" t="str">
            <v>AP26</v>
          </cell>
          <cell r="C258" t="str">
            <v>DC2+0</v>
          </cell>
        </row>
        <row r="259">
          <cell r="B259"/>
          <cell r="C259"/>
        </row>
        <row r="260">
          <cell r="B260" t="str">
            <v>26/1</v>
          </cell>
          <cell r="C260" t="str">
            <v>DA+6</v>
          </cell>
        </row>
        <row r="261">
          <cell r="B261"/>
          <cell r="C261"/>
        </row>
        <row r="262">
          <cell r="B262" t="str">
            <v>26/2</v>
          </cell>
          <cell r="C262" t="str">
            <v>DA+3</v>
          </cell>
        </row>
        <row r="263">
          <cell r="B263"/>
          <cell r="C263"/>
        </row>
        <row r="264">
          <cell r="B264" t="str">
            <v>26/3</v>
          </cell>
          <cell r="C264" t="str">
            <v>DA+3</v>
          </cell>
        </row>
        <row r="265">
          <cell r="B265"/>
          <cell r="C265"/>
        </row>
        <row r="266">
          <cell r="B266" t="str">
            <v>26/4</v>
          </cell>
          <cell r="C266" t="str">
            <v>DA-3</v>
          </cell>
        </row>
        <row r="267">
          <cell r="B267"/>
          <cell r="C267"/>
        </row>
        <row r="268">
          <cell r="B268" t="str">
            <v>26/5</v>
          </cell>
          <cell r="C268" t="str">
            <v>DA+0</v>
          </cell>
        </row>
        <row r="269">
          <cell r="B269"/>
          <cell r="C269"/>
        </row>
        <row r="270">
          <cell r="B270" t="str">
            <v>26/6</v>
          </cell>
          <cell r="C270" t="str">
            <v>DA+3</v>
          </cell>
        </row>
        <row r="271">
          <cell r="B271"/>
          <cell r="C271"/>
        </row>
        <row r="272">
          <cell r="B272" t="str">
            <v>26/7</v>
          </cell>
          <cell r="C272" t="str">
            <v>DA+0</v>
          </cell>
        </row>
        <row r="273">
          <cell r="B273"/>
          <cell r="C273"/>
        </row>
        <row r="274">
          <cell r="B274" t="str">
            <v>26/8</v>
          </cell>
          <cell r="C274" t="str">
            <v>DA+0</v>
          </cell>
        </row>
        <row r="275">
          <cell r="B275"/>
          <cell r="C275"/>
        </row>
        <row r="276">
          <cell r="B276" t="str">
            <v>26/9</v>
          </cell>
          <cell r="C276" t="str">
            <v>DA+0</v>
          </cell>
        </row>
        <row r="277">
          <cell r="B277"/>
          <cell r="C277"/>
        </row>
        <row r="278">
          <cell r="B278" t="str">
            <v>26/10</v>
          </cell>
          <cell r="C278" t="str">
            <v>DA+0</v>
          </cell>
        </row>
        <row r="279">
          <cell r="B279"/>
          <cell r="C279"/>
        </row>
        <row r="280">
          <cell r="B280" t="str">
            <v>AP27</v>
          </cell>
          <cell r="C280" t="str">
            <v>DC1+0</v>
          </cell>
        </row>
        <row r="281">
          <cell r="B281"/>
          <cell r="C281"/>
        </row>
        <row r="282">
          <cell r="B282" t="str">
            <v>27/1</v>
          </cell>
          <cell r="C282" t="str">
            <v>DA+3</v>
          </cell>
        </row>
        <row r="283">
          <cell r="B283"/>
          <cell r="C283"/>
        </row>
        <row r="284">
          <cell r="B284" t="str">
            <v>AP28</v>
          </cell>
          <cell r="C284" t="str">
            <v>DC1+0</v>
          </cell>
        </row>
        <row r="285">
          <cell r="B285"/>
          <cell r="C285"/>
        </row>
        <row r="286">
          <cell r="B286" t="str">
            <v>28/1</v>
          </cell>
          <cell r="C286" t="str">
            <v>DB1+0</v>
          </cell>
        </row>
        <row r="287">
          <cell r="B287"/>
          <cell r="C287"/>
        </row>
        <row r="288">
          <cell r="B288" t="str">
            <v>AP29</v>
          </cell>
          <cell r="C288" t="str">
            <v>DB2+0</v>
          </cell>
        </row>
        <row r="289">
          <cell r="B289"/>
          <cell r="C289"/>
        </row>
        <row r="290">
          <cell r="B290" t="str">
            <v>29/1</v>
          </cell>
          <cell r="C290" t="str">
            <v>DA+0</v>
          </cell>
        </row>
        <row r="291">
          <cell r="B291"/>
          <cell r="C291"/>
        </row>
        <row r="292">
          <cell r="B292" t="str">
            <v>29/2</v>
          </cell>
          <cell r="C292" t="str">
            <v>DA+0</v>
          </cell>
        </row>
        <row r="293">
          <cell r="B293"/>
          <cell r="C293"/>
        </row>
        <row r="294">
          <cell r="B294" t="str">
            <v>30/0</v>
          </cell>
          <cell r="C294" t="str">
            <v>DC2+0</v>
          </cell>
        </row>
        <row r="295">
          <cell r="B295"/>
          <cell r="C295"/>
        </row>
        <row r="296">
          <cell r="B296" t="str">
            <v>30/1</v>
          </cell>
          <cell r="C296" t="str">
            <v>DA+9</v>
          </cell>
        </row>
        <row r="297">
          <cell r="B297"/>
          <cell r="C297"/>
        </row>
        <row r="298">
          <cell r="B298" t="str">
            <v>30/2</v>
          </cell>
          <cell r="C298" t="str">
            <v>DA+3</v>
          </cell>
        </row>
        <row r="299">
          <cell r="B299"/>
          <cell r="C299"/>
        </row>
        <row r="300">
          <cell r="B300" t="str">
            <v>30/3</v>
          </cell>
          <cell r="C300" t="str">
            <v>DA+9</v>
          </cell>
        </row>
        <row r="301">
          <cell r="B301"/>
          <cell r="C301"/>
        </row>
        <row r="302">
          <cell r="B302" t="str">
            <v>30/4</v>
          </cell>
          <cell r="C302" t="str">
            <v>DA+3</v>
          </cell>
        </row>
        <row r="303">
          <cell r="B303"/>
          <cell r="C303"/>
        </row>
        <row r="304">
          <cell r="B304" t="str">
            <v>30/5</v>
          </cell>
          <cell r="C304" t="str">
            <v>DA+0</v>
          </cell>
        </row>
        <row r="305">
          <cell r="B305"/>
          <cell r="C305"/>
        </row>
        <row r="306">
          <cell r="B306" t="str">
            <v>31/0</v>
          </cell>
          <cell r="C306" t="str">
            <v>DD45+0</v>
          </cell>
        </row>
        <row r="307">
          <cell r="B307"/>
          <cell r="C307"/>
        </row>
        <row r="308">
          <cell r="B308" t="str">
            <v>31/1</v>
          </cell>
          <cell r="C308" t="str">
            <v>DA+6</v>
          </cell>
        </row>
        <row r="309">
          <cell r="B309"/>
          <cell r="C309"/>
        </row>
        <row r="310">
          <cell r="B310" t="str">
            <v>31/2</v>
          </cell>
          <cell r="C310" t="str">
            <v>DB1+6</v>
          </cell>
        </row>
        <row r="311">
          <cell r="B311"/>
          <cell r="C311"/>
        </row>
        <row r="312">
          <cell r="B312" t="str">
            <v>32/0</v>
          </cell>
          <cell r="C312" t="str">
            <v>DB1+0</v>
          </cell>
        </row>
        <row r="313">
          <cell r="B313"/>
          <cell r="C313"/>
        </row>
        <row r="321">
          <cell r="C321" t="str">
            <v>DA-3</v>
          </cell>
        </row>
        <row r="322">
          <cell r="C322" t="str">
            <v>DA-1.5</v>
          </cell>
        </row>
        <row r="323">
          <cell r="C323" t="str">
            <v>DA+0</v>
          </cell>
        </row>
        <row r="324">
          <cell r="C324" t="str">
            <v>DA+3</v>
          </cell>
        </row>
        <row r="325">
          <cell r="C325" t="str">
            <v>DA+6</v>
          </cell>
        </row>
        <row r="326">
          <cell r="C326" t="str">
            <v>DA+9</v>
          </cell>
        </row>
        <row r="327">
          <cell r="C327" t="str">
            <v>DB1+0</v>
          </cell>
        </row>
        <row r="328">
          <cell r="C328" t="str">
            <v>DB1+6</v>
          </cell>
        </row>
        <row r="329">
          <cell r="C329" t="str">
            <v>DB1+9</v>
          </cell>
        </row>
        <row r="330">
          <cell r="C330" t="str">
            <v>DB2+0</v>
          </cell>
        </row>
        <row r="331">
          <cell r="C331" t="str">
            <v>DB2+3</v>
          </cell>
        </row>
        <row r="332">
          <cell r="C332" t="str">
            <v>DB2+6</v>
          </cell>
        </row>
        <row r="333">
          <cell r="C333" t="str">
            <v>DC1+0</v>
          </cell>
        </row>
        <row r="334">
          <cell r="C334" t="str">
            <v>DC1+3</v>
          </cell>
        </row>
        <row r="335">
          <cell r="C335" t="str">
            <v>DC1+6</v>
          </cell>
        </row>
        <row r="336">
          <cell r="C336" t="str">
            <v>DC1+9</v>
          </cell>
        </row>
        <row r="337">
          <cell r="C337" t="str">
            <v>DC2+0</v>
          </cell>
        </row>
        <row r="338">
          <cell r="C338" t="str">
            <v>DC2+3</v>
          </cell>
        </row>
        <row r="339">
          <cell r="C339" t="str">
            <v>DC2+6</v>
          </cell>
        </row>
        <row r="340">
          <cell r="C340" t="str">
            <v>DC2+9</v>
          </cell>
        </row>
        <row r="341">
          <cell r="C341" t="str">
            <v>DD45+0</v>
          </cell>
        </row>
        <row r="342">
          <cell r="C342" t="str">
            <v>DD45+3</v>
          </cell>
        </row>
        <row r="343">
          <cell r="C343" t="str">
            <v>DD45+6</v>
          </cell>
        </row>
        <row r="344">
          <cell r="C344" t="str">
            <v>DD45+9</v>
          </cell>
        </row>
        <row r="345">
          <cell r="C345" t="str">
            <v>DD60+0</v>
          </cell>
        </row>
        <row r="346">
          <cell r="C346" t="str">
            <v>DD60+3</v>
          </cell>
        </row>
        <row r="347">
          <cell r="C347" t="str">
            <v>DD60+6</v>
          </cell>
        </row>
        <row r="348">
          <cell r="C348" t="str">
            <v>DD60+9</v>
          </cell>
        </row>
        <row r="349">
          <cell r="C349" t="str">
            <v>DD60+35</v>
          </cell>
        </row>
        <row r="350">
          <cell r="C350" t="str">
            <v>Total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DA4CB-6347-445C-AB32-121C30DD9704}">
  <sheetPr>
    <tabColor rgb="FF00B050"/>
  </sheetPr>
  <dimension ref="A1:F48"/>
  <sheetViews>
    <sheetView zoomScale="60" zoomScaleNormal="60" workbookViewId="0">
      <selection activeCell="G1" sqref="G1:AO1048576"/>
    </sheetView>
  </sheetViews>
  <sheetFormatPr defaultRowHeight="10" x14ac:dyDescent="0.35"/>
  <cols>
    <col min="1" max="1" width="10" style="190" customWidth="1"/>
    <col min="2" max="2" width="10.26953125" style="188" bestFit="1" customWidth="1"/>
    <col min="3" max="3" width="19.54296875" style="188" customWidth="1"/>
    <col min="4" max="4" width="16.6328125" style="190" customWidth="1"/>
    <col min="5" max="5" width="12.1796875" style="190" customWidth="1"/>
    <col min="6" max="6" width="9.54296875" style="190" customWidth="1"/>
    <col min="7" max="221" width="9.1796875" style="188"/>
    <col min="222" max="222" width="10" style="188" customWidth="1"/>
    <col min="223" max="223" width="10.26953125" style="188" bestFit="1" customWidth="1"/>
    <col min="224" max="224" width="19.54296875" style="188" customWidth="1"/>
    <col min="225" max="225" width="11.1796875" style="188" customWidth="1"/>
    <col min="226" max="226" width="12.1796875" style="188" customWidth="1"/>
    <col min="227" max="227" width="9.54296875" style="188" bestFit="1" customWidth="1"/>
    <col min="228" max="228" width="40" style="188" bestFit="1" customWidth="1"/>
    <col min="229" max="229" width="9.1796875" style="188"/>
    <col min="230" max="231" width="14.453125" style="188" customWidth="1"/>
    <col min="232" max="232" width="12.54296875" style="188" customWidth="1"/>
    <col min="233" max="233" width="14.453125" style="188" customWidth="1"/>
    <col min="234" max="234" width="17.54296875" style="188" customWidth="1"/>
    <col min="235" max="235" width="25.7265625" style="188" customWidth="1"/>
    <col min="236" max="237" width="14" style="188" customWidth="1"/>
    <col min="238" max="238" width="18.7265625" style="188" customWidth="1"/>
    <col min="239" max="239" width="38.26953125" style="188" customWidth="1"/>
    <col min="240" max="240" width="22.54296875" style="188" bestFit="1" customWidth="1"/>
    <col min="241" max="241" width="1.81640625" style="188" customWidth="1"/>
    <col min="242" max="242" width="14.54296875" style="188" customWidth="1"/>
    <col min="243" max="243" width="1.81640625" style="188" customWidth="1"/>
    <col min="244" max="247" width="7.26953125" style="188" bestFit="1" customWidth="1"/>
    <col min="248" max="248" width="8.54296875" style="188" bestFit="1" customWidth="1"/>
    <col min="249" max="249" width="7.1796875" style="188" bestFit="1" customWidth="1"/>
    <col min="250" max="250" width="3.1796875" style="188" customWidth="1"/>
    <col min="251" max="254" width="21.81640625" style="188" bestFit="1" customWidth="1"/>
    <col min="255" max="255" width="9.81640625" style="188" customWidth="1"/>
    <col min="256" max="256" width="23.7265625" style="188" bestFit="1" customWidth="1"/>
    <col min="257" max="257" width="20.81640625" style="188" customWidth="1"/>
    <col min="258" max="477" width="9.1796875" style="188"/>
    <col min="478" max="478" width="10" style="188" customWidth="1"/>
    <col min="479" max="479" width="10.26953125" style="188" bestFit="1" customWidth="1"/>
    <col min="480" max="480" width="19.54296875" style="188" customWidth="1"/>
    <col min="481" max="481" width="11.1796875" style="188" customWidth="1"/>
    <col min="482" max="482" width="12.1796875" style="188" customWidth="1"/>
    <col min="483" max="483" width="9.54296875" style="188" bestFit="1" customWidth="1"/>
    <col min="484" max="484" width="40" style="188" bestFit="1" customWidth="1"/>
    <col min="485" max="485" width="9.1796875" style="188"/>
    <col min="486" max="487" width="14.453125" style="188" customWidth="1"/>
    <col min="488" max="488" width="12.54296875" style="188" customWidth="1"/>
    <col min="489" max="489" width="14.453125" style="188" customWidth="1"/>
    <col min="490" max="490" width="17.54296875" style="188" customWidth="1"/>
    <col min="491" max="491" width="25.7265625" style="188" customWidth="1"/>
    <col min="492" max="493" width="14" style="188" customWidth="1"/>
    <col min="494" max="494" width="18.7265625" style="188" customWidth="1"/>
    <col min="495" max="495" width="38.26953125" style="188" customWidth="1"/>
    <col min="496" max="496" width="22.54296875" style="188" bestFit="1" customWidth="1"/>
    <col min="497" max="497" width="1.81640625" style="188" customWidth="1"/>
    <col min="498" max="498" width="14.54296875" style="188" customWidth="1"/>
    <col min="499" max="499" width="1.81640625" style="188" customWidth="1"/>
    <col min="500" max="503" width="7.26953125" style="188" bestFit="1" customWidth="1"/>
    <col min="504" max="504" width="8.54296875" style="188" bestFit="1" customWidth="1"/>
    <col min="505" max="505" width="7.1796875" style="188" bestFit="1" customWidth="1"/>
    <col min="506" max="506" width="3.1796875" style="188" customWidth="1"/>
    <col min="507" max="510" width="21.81640625" style="188" bestFit="1" customWidth="1"/>
    <col min="511" max="511" width="9.81640625" style="188" customWidth="1"/>
    <col min="512" max="512" width="23.7265625" style="188" bestFit="1" customWidth="1"/>
    <col min="513" max="513" width="20.81640625" style="188" customWidth="1"/>
    <col min="514" max="733" width="9.1796875" style="188"/>
    <col min="734" max="734" width="10" style="188" customWidth="1"/>
    <col min="735" max="735" width="10.26953125" style="188" bestFit="1" customWidth="1"/>
    <col min="736" max="736" width="19.54296875" style="188" customWidth="1"/>
    <col min="737" max="737" width="11.1796875" style="188" customWidth="1"/>
    <col min="738" max="738" width="12.1796875" style="188" customWidth="1"/>
    <col min="739" max="739" width="9.54296875" style="188" bestFit="1" customWidth="1"/>
    <col min="740" max="740" width="40" style="188" bestFit="1" customWidth="1"/>
    <col min="741" max="741" width="9.1796875" style="188"/>
    <col min="742" max="743" width="14.453125" style="188" customWidth="1"/>
    <col min="744" max="744" width="12.54296875" style="188" customWidth="1"/>
    <col min="745" max="745" width="14.453125" style="188" customWidth="1"/>
    <col min="746" max="746" width="17.54296875" style="188" customWidth="1"/>
    <col min="747" max="747" width="25.7265625" style="188" customWidth="1"/>
    <col min="748" max="749" width="14" style="188" customWidth="1"/>
    <col min="750" max="750" width="18.7265625" style="188" customWidth="1"/>
    <col min="751" max="751" width="38.26953125" style="188" customWidth="1"/>
    <col min="752" max="752" width="22.54296875" style="188" bestFit="1" customWidth="1"/>
    <col min="753" max="753" width="1.81640625" style="188" customWidth="1"/>
    <col min="754" max="754" width="14.54296875" style="188" customWidth="1"/>
    <col min="755" max="755" width="1.81640625" style="188" customWidth="1"/>
    <col min="756" max="759" width="7.26953125" style="188" bestFit="1" customWidth="1"/>
    <col min="760" max="760" width="8.54296875" style="188" bestFit="1" customWidth="1"/>
    <col min="761" max="761" width="7.1796875" style="188" bestFit="1" customWidth="1"/>
    <col min="762" max="762" width="3.1796875" style="188" customWidth="1"/>
    <col min="763" max="766" width="21.81640625" style="188" bestFit="1" customWidth="1"/>
    <col min="767" max="767" width="9.81640625" style="188" customWidth="1"/>
    <col min="768" max="768" width="23.7265625" style="188" bestFit="1" customWidth="1"/>
    <col min="769" max="769" width="20.81640625" style="188" customWidth="1"/>
    <col min="770" max="989" width="9.1796875" style="188"/>
    <col min="990" max="990" width="10" style="188" customWidth="1"/>
    <col min="991" max="991" width="10.26953125" style="188" bestFit="1" customWidth="1"/>
    <col min="992" max="992" width="19.54296875" style="188" customWidth="1"/>
    <col min="993" max="993" width="11.1796875" style="188" customWidth="1"/>
    <col min="994" max="994" width="12.1796875" style="188" customWidth="1"/>
    <col min="995" max="995" width="9.54296875" style="188" bestFit="1" customWidth="1"/>
    <col min="996" max="996" width="40" style="188" bestFit="1" customWidth="1"/>
    <col min="997" max="997" width="9.1796875" style="188"/>
    <col min="998" max="999" width="14.453125" style="188" customWidth="1"/>
    <col min="1000" max="1000" width="12.54296875" style="188" customWidth="1"/>
    <col min="1001" max="1001" width="14.453125" style="188" customWidth="1"/>
    <col min="1002" max="1002" width="17.54296875" style="188" customWidth="1"/>
    <col min="1003" max="1003" width="25.7265625" style="188" customWidth="1"/>
    <col min="1004" max="1005" width="14" style="188" customWidth="1"/>
    <col min="1006" max="1006" width="18.7265625" style="188" customWidth="1"/>
    <col min="1007" max="1007" width="38.26953125" style="188" customWidth="1"/>
    <col min="1008" max="1008" width="22.54296875" style="188" bestFit="1" customWidth="1"/>
    <col min="1009" max="1009" width="1.81640625" style="188" customWidth="1"/>
    <col min="1010" max="1010" width="14.54296875" style="188" customWidth="1"/>
    <col min="1011" max="1011" width="1.81640625" style="188" customWidth="1"/>
    <col min="1012" max="1015" width="7.26953125" style="188" bestFit="1" customWidth="1"/>
    <col min="1016" max="1016" width="8.54296875" style="188" bestFit="1" customWidth="1"/>
    <col min="1017" max="1017" width="7.1796875" style="188" bestFit="1" customWidth="1"/>
    <col min="1018" max="1018" width="3.1796875" style="188" customWidth="1"/>
    <col min="1019" max="1022" width="21.81640625" style="188" bestFit="1" customWidth="1"/>
    <col min="1023" max="1023" width="9.81640625" style="188" customWidth="1"/>
    <col min="1024" max="1024" width="23.7265625" style="188" bestFit="1" customWidth="1"/>
    <col min="1025" max="1025" width="20.81640625" style="188" customWidth="1"/>
    <col min="1026" max="1245" width="9.1796875" style="188"/>
    <col min="1246" max="1246" width="10" style="188" customWidth="1"/>
    <col min="1247" max="1247" width="10.26953125" style="188" bestFit="1" customWidth="1"/>
    <col min="1248" max="1248" width="19.54296875" style="188" customWidth="1"/>
    <col min="1249" max="1249" width="11.1796875" style="188" customWidth="1"/>
    <col min="1250" max="1250" width="12.1796875" style="188" customWidth="1"/>
    <col min="1251" max="1251" width="9.54296875" style="188" bestFit="1" customWidth="1"/>
    <col min="1252" max="1252" width="40" style="188" bestFit="1" customWidth="1"/>
    <col min="1253" max="1253" width="9.1796875" style="188"/>
    <col min="1254" max="1255" width="14.453125" style="188" customWidth="1"/>
    <col min="1256" max="1256" width="12.54296875" style="188" customWidth="1"/>
    <col min="1257" max="1257" width="14.453125" style="188" customWidth="1"/>
    <col min="1258" max="1258" width="17.54296875" style="188" customWidth="1"/>
    <col min="1259" max="1259" width="25.7265625" style="188" customWidth="1"/>
    <col min="1260" max="1261" width="14" style="188" customWidth="1"/>
    <col min="1262" max="1262" width="18.7265625" style="188" customWidth="1"/>
    <col min="1263" max="1263" width="38.26953125" style="188" customWidth="1"/>
    <col min="1264" max="1264" width="22.54296875" style="188" bestFit="1" customWidth="1"/>
    <col min="1265" max="1265" width="1.81640625" style="188" customWidth="1"/>
    <col min="1266" max="1266" width="14.54296875" style="188" customWidth="1"/>
    <col min="1267" max="1267" width="1.81640625" style="188" customWidth="1"/>
    <col min="1268" max="1271" width="7.26953125" style="188" bestFit="1" customWidth="1"/>
    <col min="1272" max="1272" width="8.54296875" style="188" bestFit="1" customWidth="1"/>
    <col min="1273" max="1273" width="7.1796875" style="188" bestFit="1" customWidth="1"/>
    <col min="1274" max="1274" width="3.1796875" style="188" customWidth="1"/>
    <col min="1275" max="1278" width="21.81640625" style="188" bestFit="1" customWidth="1"/>
    <col min="1279" max="1279" width="9.81640625" style="188" customWidth="1"/>
    <col min="1280" max="1280" width="23.7265625" style="188" bestFit="1" customWidth="1"/>
    <col min="1281" max="1281" width="20.81640625" style="188" customWidth="1"/>
    <col min="1282" max="1501" width="9.1796875" style="188"/>
    <col min="1502" max="1502" width="10" style="188" customWidth="1"/>
    <col min="1503" max="1503" width="10.26953125" style="188" bestFit="1" customWidth="1"/>
    <col min="1504" max="1504" width="19.54296875" style="188" customWidth="1"/>
    <col min="1505" max="1505" width="11.1796875" style="188" customWidth="1"/>
    <col min="1506" max="1506" width="12.1796875" style="188" customWidth="1"/>
    <col min="1507" max="1507" width="9.54296875" style="188" bestFit="1" customWidth="1"/>
    <col min="1508" max="1508" width="40" style="188" bestFit="1" customWidth="1"/>
    <col min="1509" max="1509" width="9.1796875" style="188"/>
    <col min="1510" max="1511" width="14.453125" style="188" customWidth="1"/>
    <col min="1512" max="1512" width="12.54296875" style="188" customWidth="1"/>
    <col min="1513" max="1513" width="14.453125" style="188" customWidth="1"/>
    <col min="1514" max="1514" width="17.54296875" style="188" customWidth="1"/>
    <col min="1515" max="1515" width="25.7265625" style="188" customWidth="1"/>
    <col min="1516" max="1517" width="14" style="188" customWidth="1"/>
    <col min="1518" max="1518" width="18.7265625" style="188" customWidth="1"/>
    <col min="1519" max="1519" width="38.26953125" style="188" customWidth="1"/>
    <col min="1520" max="1520" width="22.54296875" style="188" bestFit="1" customWidth="1"/>
    <col min="1521" max="1521" width="1.81640625" style="188" customWidth="1"/>
    <col min="1522" max="1522" width="14.54296875" style="188" customWidth="1"/>
    <col min="1523" max="1523" width="1.81640625" style="188" customWidth="1"/>
    <col min="1524" max="1527" width="7.26953125" style="188" bestFit="1" customWidth="1"/>
    <col min="1528" max="1528" width="8.54296875" style="188" bestFit="1" customWidth="1"/>
    <col min="1529" max="1529" width="7.1796875" style="188" bestFit="1" customWidth="1"/>
    <col min="1530" max="1530" width="3.1796875" style="188" customWidth="1"/>
    <col min="1531" max="1534" width="21.81640625" style="188" bestFit="1" customWidth="1"/>
    <col min="1535" max="1535" width="9.81640625" style="188" customWidth="1"/>
    <col min="1536" max="1536" width="23.7265625" style="188" bestFit="1" customWidth="1"/>
    <col min="1537" max="1537" width="20.81640625" style="188" customWidth="1"/>
    <col min="1538" max="1757" width="9.1796875" style="188"/>
    <col min="1758" max="1758" width="10" style="188" customWidth="1"/>
    <col min="1759" max="1759" width="10.26953125" style="188" bestFit="1" customWidth="1"/>
    <col min="1760" max="1760" width="19.54296875" style="188" customWidth="1"/>
    <col min="1761" max="1761" width="11.1796875" style="188" customWidth="1"/>
    <col min="1762" max="1762" width="12.1796875" style="188" customWidth="1"/>
    <col min="1763" max="1763" width="9.54296875" style="188" bestFit="1" customWidth="1"/>
    <col min="1764" max="1764" width="40" style="188" bestFit="1" customWidth="1"/>
    <col min="1765" max="1765" width="9.1796875" style="188"/>
    <col min="1766" max="1767" width="14.453125" style="188" customWidth="1"/>
    <col min="1768" max="1768" width="12.54296875" style="188" customWidth="1"/>
    <col min="1769" max="1769" width="14.453125" style="188" customWidth="1"/>
    <col min="1770" max="1770" width="17.54296875" style="188" customWidth="1"/>
    <col min="1771" max="1771" width="25.7265625" style="188" customWidth="1"/>
    <col min="1772" max="1773" width="14" style="188" customWidth="1"/>
    <col min="1774" max="1774" width="18.7265625" style="188" customWidth="1"/>
    <col min="1775" max="1775" width="38.26953125" style="188" customWidth="1"/>
    <col min="1776" max="1776" width="22.54296875" style="188" bestFit="1" customWidth="1"/>
    <col min="1777" max="1777" width="1.81640625" style="188" customWidth="1"/>
    <col min="1778" max="1778" width="14.54296875" style="188" customWidth="1"/>
    <col min="1779" max="1779" width="1.81640625" style="188" customWidth="1"/>
    <col min="1780" max="1783" width="7.26953125" style="188" bestFit="1" customWidth="1"/>
    <col min="1784" max="1784" width="8.54296875" style="188" bestFit="1" customWidth="1"/>
    <col min="1785" max="1785" width="7.1796875" style="188" bestFit="1" customWidth="1"/>
    <col min="1786" max="1786" width="3.1796875" style="188" customWidth="1"/>
    <col min="1787" max="1790" width="21.81640625" style="188" bestFit="1" customWidth="1"/>
    <col min="1791" max="1791" width="9.81640625" style="188" customWidth="1"/>
    <col min="1792" max="1792" width="23.7265625" style="188" bestFit="1" customWidth="1"/>
    <col min="1793" max="1793" width="20.81640625" style="188" customWidth="1"/>
    <col min="1794" max="2013" width="9.1796875" style="188"/>
    <col min="2014" max="2014" width="10" style="188" customWidth="1"/>
    <col min="2015" max="2015" width="10.26953125" style="188" bestFit="1" customWidth="1"/>
    <col min="2016" max="2016" width="19.54296875" style="188" customWidth="1"/>
    <col min="2017" max="2017" width="11.1796875" style="188" customWidth="1"/>
    <col min="2018" max="2018" width="12.1796875" style="188" customWidth="1"/>
    <col min="2019" max="2019" width="9.54296875" style="188" bestFit="1" customWidth="1"/>
    <col min="2020" max="2020" width="40" style="188" bestFit="1" customWidth="1"/>
    <col min="2021" max="2021" width="9.1796875" style="188"/>
    <col min="2022" max="2023" width="14.453125" style="188" customWidth="1"/>
    <col min="2024" max="2024" width="12.54296875" style="188" customWidth="1"/>
    <col min="2025" max="2025" width="14.453125" style="188" customWidth="1"/>
    <col min="2026" max="2026" width="17.54296875" style="188" customWidth="1"/>
    <col min="2027" max="2027" width="25.7265625" style="188" customWidth="1"/>
    <col min="2028" max="2029" width="14" style="188" customWidth="1"/>
    <col min="2030" max="2030" width="18.7265625" style="188" customWidth="1"/>
    <col min="2031" max="2031" width="38.26953125" style="188" customWidth="1"/>
    <col min="2032" max="2032" width="22.54296875" style="188" bestFit="1" customWidth="1"/>
    <col min="2033" max="2033" width="1.81640625" style="188" customWidth="1"/>
    <col min="2034" max="2034" width="14.54296875" style="188" customWidth="1"/>
    <col min="2035" max="2035" width="1.81640625" style="188" customWidth="1"/>
    <col min="2036" max="2039" width="7.26953125" style="188" bestFit="1" customWidth="1"/>
    <col min="2040" max="2040" width="8.54296875" style="188" bestFit="1" customWidth="1"/>
    <col min="2041" max="2041" width="7.1796875" style="188" bestFit="1" customWidth="1"/>
    <col min="2042" max="2042" width="3.1796875" style="188" customWidth="1"/>
    <col min="2043" max="2046" width="21.81640625" style="188" bestFit="1" customWidth="1"/>
    <col min="2047" max="2047" width="9.81640625" style="188" customWidth="1"/>
    <col min="2048" max="2048" width="23.7265625" style="188" bestFit="1" customWidth="1"/>
    <col min="2049" max="2049" width="20.81640625" style="188" customWidth="1"/>
    <col min="2050" max="2269" width="9.1796875" style="188"/>
    <col min="2270" max="2270" width="10" style="188" customWidth="1"/>
    <col min="2271" max="2271" width="10.26953125" style="188" bestFit="1" customWidth="1"/>
    <col min="2272" max="2272" width="19.54296875" style="188" customWidth="1"/>
    <col min="2273" max="2273" width="11.1796875" style="188" customWidth="1"/>
    <col min="2274" max="2274" width="12.1796875" style="188" customWidth="1"/>
    <col min="2275" max="2275" width="9.54296875" style="188" bestFit="1" customWidth="1"/>
    <col min="2276" max="2276" width="40" style="188" bestFit="1" customWidth="1"/>
    <col min="2277" max="2277" width="9.1796875" style="188"/>
    <col min="2278" max="2279" width="14.453125" style="188" customWidth="1"/>
    <col min="2280" max="2280" width="12.54296875" style="188" customWidth="1"/>
    <col min="2281" max="2281" width="14.453125" style="188" customWidth="1"/>
    <col min="2282" max="2282" width="17.54296875" style="188" customWidth="1"/>
    <col min="2283" max="2283" width="25.7265625" style="188" customWidth="1"/>
    <col min="2284" max="2285" width="14" style="188" customWidth="1"/>
    <col min="2286" max="2286" width="18.7265625" style="188" customWidth="1"/>
    <col min="2287" max="2287" width="38.26953125" style="188" customWidth="1"/>
    <col min="2288" max="2288" width="22.54296875" style="188" bestFit="1" customWidth="1"/>
    <col min="2289" max="2289" width="1.81640625" style="188" customWidth="1"/>
    <col min="2290" max="2290" width="14.54296875" style="188" customWidth="1"/>
    <col min="2291" max="2291" width="1.81640625" style="188" customWidth="1"/>
    <col min="2292" max="2295" width="7.26953125" style="188" bestFit="1" customWidth="1"/>
    <col min="2296" max="2296" width="8.54296875" style="188" bestFit="1" customWidth="1"/>
    <col min="2297" max="2297" width="7.1796875" style="188" bestFit="1" customWidth="1"/>
    <col min="2298" max="2298" width="3.1796875" style="188" customWidth="1"/>
    <col min="2299" max="2302" width="21.81640625" style="188" bestFit="1" customWidth="1"/>
    <col min="2303" max="2303" width="9.81640625" style="188" customWidth="1"/>
    <col min="2304" max="2304" width="23.7265625" style="188" bestFit="1" customWidth="1"/>
    <col min="2305" max="2305" width="20.81640625" style="188" customWidth="1"/>
    <col min="2306" max="2525" width="9.1796875" style="188"/>
    <col min="2526" max="2526" width="10" style="188" customWidth="1"/>
    <col min="2527" max="2527" width="10.26953125" style="188" bestFit="1" customWidth="1"/>
    <col min="2528" max="2528" width="19.54296875" style="188" customWidth="1"/>
    <col min="2529" max="2529" width="11.1796875" style="188" customWidth="1"/>
    <col min="2530" max="2530" width="12.1796875" style="188" customWidth="1"/>
    <col min="2531" max="2531" width="9.54296875" style="188" bestFit="1" customWidth="1"/>
    <col min="2532" max="2532" width="40" style="188" bestFit="1" customWidth="1"/>
    <col min="2533" max="2533" width="9.1796875" style="188"/>
    <col min="2534" max="2535" width="14.453125" style="188" customWidth="1"/>
    <col min="2536" max="2536" width="12.54296875" style="188" customWidth="1"/>
    <col min="2537" max="2537" width="14.453125" style="188" customWidth="1"/>
    <col min="2538" max="2538" width="17.54296875" style="188" customWidth="1"/>
    <col min="2539" max="2539" width="25.7265625" style="188" customWidth="1"/>
    <col min="2540" max="2541" width="14" style="188" customWidth="1"/>
    <col min="2542" max="2542" width="18.7265625" style="188" customWidth="1"/>
    <col min="2543" max="2543" width="38.26953125" style="188" customWidth="1"/>
    <col min="2544" max="2544" width="22.54296875" style="188" bestFit="1" customWidth="1"/>
    <col min="2545" max="2545" width="1.81640625" style="188" customWidth="1"/>
    <col min="2546" max="2546" width="14.54296875" style="188" customWidth="1"/>
    <col min="2547" max="2547" width="1.81640625" style="188" customWidth="1"/>
    <col min="2548" max="2551" width="7.26953125" style="188" bestFit="1" customWidth="1"/>
    <col min="2552" max="2552" width="8.54296875" style="188" bestFit="1" customWidth="1"/>
    <col min="2553" max="2553" width="7.1796875" style="188" bestFit="1" customWidth="1"/>
    <col min="2554" max="2554" width="3.1796875" style="188" customWidth="1"/>
    <col min="2555" max="2558" width="21.81640625" style="188" bestFit="1" customWidth="1"/>
    <col min="2559" max="2559" width="9.81640625" style="188" customWidth="1"/>
    <col min="2560" max="2560" width="23.7265625" style="188" bestFit="1" customWidth="1"/>
    <col min="2561" max="2561" width="20.81640625" style="188" customWidth="1"/>
    <col min="2562" max="2781" width="9.1796875" style="188"/>
    <col min="2782" max="2782" width="10" style="188" customWidth="1"/>
    <col min="2783" max="2783" width="10.26953125" style="188" bestFit="1" customWidth="1"/>
    <col min="2784" max="2784" width="19.54296875" style="188" customWidth="1"/>
    <col min="2785" max="2785" width="11.1796875" style="188" customWidth="1"/>
    <col min="2786" max="2786" width="12.1796875" style="188" customWidth="1"/>
    <col min="2787" max="2787" width="9.54296875" style="188" bestFit="1" customWidth="1"/>
    <col min="2788" max="2788" width="40" style="188" bestFit="1" customWidth="1"/>
    <col min="2789" max="2789" width="9.1796875" style="188"/>
    <col min="2790" max="2791" width="14.453125" style="188" customWidth="1"/>
    <col min="2792" max="2792" width="12.54296875" style="188" customWidth="1"/>
    <col min="2793" max="2793" width="14.453125" style="188" customWidth="1"/>
    <col min="2794" max="2794" width="17.54296875" style="188" customWidth="1"/>
    <col min="2795" max="2795" width="25.7265625" style="188" customWidth="1"/>
    <col min="2796" max="2797" width="14" style="188" customWidth="1"/>
    <col min="2798" max="2798" width="18.7265625" style="188" customWidth="1"/>
    <col min="2799" max="2799" width="38.26953125" style="188" customWidth="1"/>
    <col min="2800" max="2800" width="22.54296875" style="188" bestFit="1" customWidth="1"/>
    <col min="2801" max="2801" width="1.81640625" style="188" customWidth="1"/>
    <col min="2802" max="2802" width="14.54296875" style="188" customWidth="1"/>
    <col min="2803" max="2803" width="1.81640625" style="188" customWidth="1"/>
    <col min="2804" max="2807" width="7.26953125" style="188" bestFit="1" customWidth="1"/>
    <col min="2808" max="2808" width="8.54296875" style="188" bestFit="1" customWidth="1"/>
    <col min="2809" max="2809" width="7.1796875" style="188" bestFit="1" customWidth="1"/>
    <col min="2810" max="2810" width="3.1796875" style="188" customWidth="1"/>
    <col min="2811" max="2814" width="21.81640625" style="188" bestFit="1" customWidth="1"/>
    <col min="2815" max="2815" width="9.81640625" style="188" customWidth="1"/>
    <col min="2816" max="2816" width="23.7265625" style="188" bestFit="1" customWidth="1"/>
    <col min="2817" max="2817" width="20.81640625" style="188" customWidth="1"/>
    <col min="2818" max="3037" width="9.1796875" style="188"/>
    <col min="3038" max="3038" width="10" style="188" customWidth="1"/>
    <col min="3039" max="3039" width="10.26953125" style="188" bestFit="1" customWidth="1"/>
    <col min="3040" max="3040" width="19.54296875" style="188" customWidth="1"/>
    <col min="3041" max="3041" width="11.1796875" style="188" customWidth="1"/>
    <col min="3042" max="3042" width="12.1796875" style="188" customWidth="1"/>
    <col min="3043" max="3043" width="9.54296875" style="188" bestFit="1" customWidth="1"/>
    <col min="3044" max="3044" width="40" style="188" bestFit="1" customWidth="1"/>
    <col min="3045" max="3045" width="9.1796875" style="188"/>
    <col min="3046" max="3047" width="14.453125" style="188" customWidth="1"/>
    <col min="3048" max="3048" width="12.54296875" style="188" customWidth="1"/>
    <col min="3049" max="3049" width="14.453125" style="188" customWidth="1"/>
    <col min="3050" max="3050" width="17.54296875" style="188" customWidth="1"/>
    <col min="3051" max="3051" width="25.7265625" style="188" customWidth="1"/>
    <col min="3052" max="3053" width="14" style="188" customWidth="1"/>
    <col min="3054" max="3054" width="18.7265625" style="188" customWidth="1"/>
    <col min="3055" max="3055" width="38.26953125" style="188" customWidth="1"/>
    <col min="3056" max="3056" width="22.54296875" style="188" bestFit="1" customWidth="1"/>
    <col min="3057" max="3057" width="1.81640625" style="188" customWidth="1"/>
    <col min="3058" max="3058" width="14.54296875" style="188" customWidth="1"/>
    <col min="3059" max="3059" width="1.81640625" style="188" customWidth="1"/>
    <col min="3060" max="3063" width="7.26953125" style="188" bestFit="1" customWidth="1"/>
    <col min="3064" max="3064" width="8.54296875" style="188" bestFit="1" customWidth="1"/>
    <col min="3065" max="3065" width="7.1796875" style="188" bestFit="1" customWidth="1"/>
    <col min="3066" max="3066" width="3.1796875" style="188" customWidth="1"/>
    <col min="3067" max="3070" width="21.81640625" style="188" bestFit="1" customWidth="1"/>
    <col min="3071" max="3071" width="9.81640625" style="188" customWidth="1"/>
    <col min="3072" max="3072" width="23.7265625" style="188" bestFit="1" customWidth="1"/>
    <col min="3073" max="3073" width="20.81640625" style="188" customWidth="1"/>
    <col min="3074" max="3293" width="9.1796875" style="188"/>
    <col min="3294" max="3294" width="10" style="188" customWidth="1"/>
    <col min="3295" max="3295" width="10.26953125" style="188" bestFit="1" customWidth="1"/>
    <col min="3296" max="3296" width="19.54296875" style="188" customWidth="1"/>
    <col min="3297" max="3297" width="11.1796875" style="188" customWidth="1"/>
    <col min="3298" max="3298" width="12.1796875" style="188" customWidth="1"/>
    <col min="3299" max="3299" width="9.54296875" style="188" bestFit="1" customWidth="1"/>
    <col min="3300" max="3300" width="40" style="188" bestFit="1" customWidth="1"/>
    <col min="3301" max="3301" width="9.1796875" style="188"/>
    <col min="3302" max="3303" width="14.453125" style="188" customWidth="1"/>
    <col min="3304" max="3304" width="12.54296875" style="188" customWidth="1"/>
    <col min="3305" max="3305" width="14.453125" style="188" customWidth="1"/>
    <col min="3306" max="3306" width="17.54296875" style="188" customWidth="1"/>
    <col min="3307" max="3307" width="25.7265625" style="188" customWidth="1"/>
    <col min="3308" max="3309" width="14" style="188" customWidth="1"/>
    <col min="3310" max="3310" width="18.7265625" style="188" customWidth="1"/>
    <col min="3311" max="3311" width="38.26953125" style="188" customWidth="1"/>
    <col min="3312" max="3312" width="22.54296875" style="188" bestFit="1" customWidth="1"/>
    <col min="3313" max="3313" width="1.81640625" style="188" customWidth="1"/>
    <col min="3314" max="3314" width="14.54296875" style="188" customWidth="1"/>
    <col min="3315" max="3315" width="1.81640625" style="188" customWidth="1"/>
    <col min="3316" max="3319" width="7.26953125" style="188" bestFit="1" customWidth="1"/>
    <col min="3320" max="3320" width="8.54296875" style="188" bestFit="1" customWidth="1"/>
    <col min="3321" max="3321" width="7.1796875" style="188" bestFit="1" customWidth="1"/>
    <col min="3322" max="3322" width="3.1796875" style="188" customWidth="1"/>
    <col min="3323" max="3326" width="21.81640625" style="188" bestFit="1" customWidth="1"/>
    <col min="3327" max="3327" width="9.81640625" style="188" customWidth="1"/>
    <col min="3328" max="3328" width="23.7265625" style="188" bestFit="1" customWidth="1"/>
    <col min="3329" max="3329" width="20.81640625" style="188" customWidth="1"/>
    <col min="3330" max="3549" width="9.1796875" style="188"/>
    <col min="3550" max="3550" width="10" style="188" customWidth="1"/>
    <col min="3551" max="3551" width="10.26953125" style="188" bestFit="1" customWidth="1"/>
    <col min="3552" max="3552" width="19.54296875" style="188" customWidth="1"/>
    <col min="3553" max="3553" width="11.1796875" style="188" customWidth="1"/>
    <col min="3554" max="3554" width="12.1796875" style="188" customWidth="1"/>
    <col min="3555" max="3555" width="9.54296875" style="188" bestFit="1" customWidth="1"/>
    <col min="3556" max="3556" width="40" style="188" bestFit="1" customWidth="1"/>
    <col min="3557" max="3557" width="9.1796875" style="188"/>
    <col min="3558" max="3559" width="14.453125" style="188" customWidth="1"/>
    <col min="3560" max="3560" width="12.54296875" style="188" customWidth="1"/>
    <col min="3561" max="3561" width="14.453125" style="188" customWidth="1"/>
    <col min="3562" max="3562" width="17.54296875" style="188" customWidth="1"/>
    <col min="3563" max="3563" width="25.7265625" style="188" customWidth="1"/>
    <col min="3564" max="3565" width="14" style="188" customWidth="1"/>
    <col min="3566" max="3566" width="18.7265625" style="188" customWidth="1"/>
    <col min="3567" max="3567" width="38.26953125" style="188" customWidth="1"/>
    <col min="3568" max="3568" width="22.54296875" style="188" bestFit="1" customWidth="1"/>
    <col min="3569" max="3569" width="1.81640625" style="188" customWidth="1"/>
    <col min="3570" max="3570" width="14.54296875" style="188" customWidth="1"/>
    <col min="3571" max="3571" width="1.81640625" style="188" customWidth="1"/>
    <col min="3572" max="3575" width="7.26953125" style="188" bestFit="1" customWidth="1"/>
    <col min="3576" max="3576" width="8.54296875" style="188" bestFit="1" customWidth="1"/>
    <col min="3577" max="3577" width="7.1796875" style="188" bestFit="1" customWidth="1"/>
    <col min="3578" max="3578" width="3.1796875" style="188" customWidth="1"/>
    <col min="3579" max="3582" width="21.81640625" style="188" bestFit="1" customWidth="1"/>
    <col min="3583" max="3583" width="9.81640625" style="188" customWidth="1"/>
    <col min="3584" max="3584" width="23.7265625" style="188" bestFit="1" customWidth="1"/>
    <col min="3585" max="3585" width="20.81640625" style="188" customWidth="1"/>
    <col min="3586" max="3805" width="9.1796875" style="188"/>
    <col min="3806" max="3806" width="10" style="188" customWidth="1"/>
    <col min="3807" max="3807" width="10.26953125" style="188" bestFit="1" customWidth="1"/>
    <col min="3808" max="3808" width="19.54296875" style="188" customWidth="1"/>
    <col min="3809" max="3809" width="11.1796875" style="188" customWidth="1"/>
    <col min="3810" max="3810" width="12.1796875" style="188" customWidth="1"/>
    <col min="3811" max="3811" width="9.54296875" style="188" bestFit="1" customWidth="1"/>
    <col min="3812" max="3812" width="40" style="188" bestFit="1" customWidth="1"/>
    <col min="3813" max="3813" width="9.1796875" style="188"/>
    <col min="3814" max="3815" width="14.453125" style="188" customWidth="1"/>
    <col min="3816" max="3816" width="12.54296875" style="188" customWidth="1"/>
    <col min="3817" max="3817" width="14.453125" style="188" customWidth="1"/>
    <col min="3818" max="3818" width="17.54296875" style="188" customWidth="1"/>
    <col min="3819" max="3819" width="25.7265625" style="188" customWidth="1"/>
    <col min="3820" max="3821" width="14" style="188" customWidth="1"/>
    <col min="3822" max="3822" width="18.7265625" style="188" customWidth="1"/>
    <col min="3823" max="3823" width="38.26953125" style="188" customWidth="1"/>
    <col min="3824" max="3824" width="22.54296875" style="188" bestFit="1" customWidth="1"/>
    <col min="3825" max="3825" width="1.81640625" style="188" customWidth="1"/>
    <col min="3826" max="3826" width="14.54296875" style="188" customWidth="1"/>
    <col min="3827" max="3827" width="1.81640625" style="188" customWidth="1"/>
    <col min="3828" max="3831" width="7.26953125" style="188" bestFit="1" customWidth="1"/>
    <col min="3832" max="3832" width="8.54296875" style="188" bestFit="1" customWidth="1"/>
    <col min="3833" max="3833" width="7.1796875" style="188" bestFit="1" customWidth="1"/>
    <col min="3834" max="3834" width="3.1796875" style="188" customWidth="1"/>
    <col min="3835" max="3838" width="21.81640625" style="188" bestFit="1" customWidth="1"/>
    <col min="3839" max="3839" width="9.81640625" style="188" customWidth="1"/>
    <col min="3840" max="3840" width="23.7265625" style="188" bestFit="1" customWidth="1"/>
    <col min="3841" max="3841" width="20.81640625" style="188" customWidth="1"/>
    <col min="3842" max="4061" width="9.1796875" style="188"/>
    <col min="4062" max="4062" width="10" style="188" customWidth="1"/>
    <col min="4063" max="4063" width="10.26953125" style="188" bestFit="1" customWidth="1"/>
    <col min="4064" max="4064" width="19.54296875" style="188" customWidth="1"/>
    <col min="4065" max="4065" width="11.1796875" style="188" customWidth="1"/>
    <col min="4066" max="4066" width="12.1796875" style="188" customWidth="1"/>
    <col min="4067" max="4067" width="9.54296875" style="188" bestFit="1" customWidth="1"/>
    <col min="4068" max="4068" width="40" style="188" bestFit="1" customWidth="1"/>
    <col min="4069" max="4069" width="9.1796875" style="188"/>
    <col min="4070" max="4071" width="14.453125" style="188" customWidth="1"/>
    <col min="4072" max="4072" width="12.54296875" style="188" customWidth="1"/>
    <col min="4073" max="4073" width="14.453125" style="188" customWidth="1"/>
    <col min="4074" max="4074" width="17.54296875" style="188" customWidth="1"/>
    <col min="4075" max="4075" width="25.7265625" style="188" customWidth="1"/>
    <col min="4076" max="4077" width="14" style="188" customWidth="1"/>
    <col min="4078" max="4078" width="18.7265625" style="188" customWidth="1"/>
    <col min="4079" max="4079" width="38.26953125" style="188" customWidth="1"/>
    <col min="4080" max="4080" width="22.54296875" style="188" bestFit="1" customWidth="1"/>
    <col min="4081" max="4081" width="1.81640625" style="188" customWidth="1"/>
    <col min="4082" max="4082" width="14.54296875" style="188" customWidth="1"/>
    <col min="4083" max="4083" width="1.81640625" style="188" customWidth="1"/>
    <col min="4084" max="4087" width="7.26953125" style="188" bestFit="1" customWidth="1"/>
    <col min="4088" max="4088" width="8.54296875" style="188" bestFit="1" customWidth="1"/>
    <col min="4089" max="4089" width="7.1796875" style="188" bestFit="1" customWidth="1"/>
    <col min="4090" max="4090" width="3.1796875" style="188" customWidth="1"/>
    <col min="4091" max="4094" width="21.81640625" style="188" bestFit="1" customWidth="1"/>
    <col min="4095" max="4095" width="9.81640625" style="188" customWidth="1"/>
    <col min="4096" max="4096" width="23.7265625" style="188" bestFit="1" customWidth="1"/>
    <col min="4097" max="4097" width="20.81640625" style="188" customWidth="1"/>
    <col min="4098" max="4317" width="9.1796875" style="188"/>
    <col min="4318" max="4318" width="10" style="188" customWidth="1"/>
    <col min="4319" max="4319" width="10.26953125" style="188" bestFit="1" customWidth="1"/>
    <col min="4320" max="4320" width="19.54296875" style="188" customWidth="1"/>
    <col min="4321" max="4321" width="11.1796875" style="188" customWidth="1"/>
    <col min="4322" max="4322" width="12.1796875" style="188" customWidth="1"/>
    <col min="4323" max="4323" width="9.54296875" style="188" bestFit="1" customWidth="1"/>
    <col min="4324" max="4324" width="40" style="188" bestFit="1" customWidth="1"/>
    <col min="4325" max="4325" width="9.1796875" style="188"/>
    <col min="4326" max="4327" width="14.453125" style="188" customWidth="1"/>
    <col min="4328" max="4328" width="12.54296875" style="188" customWidth="1"/>
    <col min="4329" max="4329" width="14.453125" style="188" customWidth="1"/>
    <col min="4330" max="4330" width="17.54296875" style="188" customWidth="1"/>
    <col min="4331" max="4331" width="25.7265625" style="188" customWidth="1"/>
    <col min="4332" max="4333" width="14" style="188" customWidth="1"/>
    <col min="4334" max="4334" width="18.7265625" style="188" customWidth="1"/>
    <col min="4335" max="4335" width="38.26953125" style="188" customWidth="1"/>
    <col min="4336" max="4336" width="22.54296875" style="188" bestFit="1" customWidth="1"/>
    <col min="4337" max="4337" width="1.81640625" style="188" customWidth="1"/>
    <col min="4338" max="4338" width="14.54296875" style="188" customWidth="1"/>
    <col min="4339" max="4339" width="1.81640625" style="188" customWidth="1"/>
    <col min="4340" max="4343" width="7.26953125" style="188" bestFit="1" customWidth="1"/>
    <col min="4344" max="4344" width="8.54296875" style="188" bestFit="1" customWidth="1"/>
    <col min="4345" max="4345" width="7.1796875" style="188" bestFit="1" customWidth="1"/>
    <col min="4346" max="4346" width="3.1796875" style="188" customWidth="1"/>
    <col min="4347" max="4350" width="21.81640625" style="188" bestFit="1" customWidth="1"/>
    <col min="4351" max="4351" width="9.81640625" style="188" customWidth="1"/>
    <col min="4352" max="4352" width="23.7265625" style="188" bestFit="1" customWidth="1"/>
    <col min="4353" max="4353" width="20.81640625" style="188" customWidth="1"/>
    <col min="4354" max="4573" width="9.1796875" style="188"/>
    <col min="4574" max="4574" width="10" style="188" customWidth="1"/>
    <col min="4575" max="4575" width="10.26953125" style="188" bestFit="1" customWidth="1"/>
    <col min="4576" max="4576" width="19.54296875" style="188" customWidth="1"/>
    <col min="4577" max="4577" width="11.1796875" style="188" customWidth="1"/>
    <col min="4578" max="4578" width="12.1796875" style="188" customWidth="1"/>
    <col min="4579" max="4579" width="9.54296875" style="188" bestFit="1" customWidth="1"/>
    <col min="4580" max="4580" width="40" style="188" bestFit="1" customWidth="1"/>
    <col min="4581" max="4581" width="9.1796875" style="188"/>
    <col min="4582" max="4583" width="14.453125" style="188" customWidth="1"/>
    <col min="4584" max="4584" width="12.54296875" style="188" customWidth="1"/>
    <col min="4585" max="4585" width="14.453125" style="188" customWidth="1"/>
    <col min="4586" max="4586" width="17.54296875" style="188" customWidth="1"/>
    <col min="4587" max="4587" width="25.7265625" style="188" customWidth="1"/>
    <col min="4588" max="4589" width="14" style="188" customWidth="1"/>
    <col min="4590" max="4590" width="18.7265625" style="188" customWidth="1"/>
    <col min="4591" max="4591" width="38.26953125" style="188" customWidth="1"/>
    <col min="4592" max="4592" width="22.54296875" style="188" bestFit="1" customWidth="1"/>
    <col min="4593" max="4593" width="1.81640625" style="188" customWidth="1"/>
    <col min="4594" max="4594" width="14.54296875" style="188" customWidth="1"/>
    <col min="4595" max="4595" width="1.81640625" style="188" customWidth="1"/>
    <col min="4596" max="4599" width="7.26953125" style="188" bestFit="1" customWidth="1"/>
    <col min="4600" max="4600" width="8.54296875" style="188" bestFit="1" customWidth="1"/>
    <col min="4601" max="4601" width="7.1796875" style="188" bestFit="1" customWidth="1"/>
    <col min="4602" max="4602" width="3.1796875" style="188" customWidth="1"/>
    <col min="4603" max="4606" width="21.81640625" style="188" bestFit="1" customWidth="1"/>
    <col min="4607" max="4607" width="9.81640625" style="188" customWidth="1"/>
    <col min="4608" max="4608" width="23.7265625" style="188" bestFit="1" customWidth="1"/>
    <col min="4609" max="4609" width="20.81640625" style="188" customWidth="1"/>
    <col min="4610" max="4829" width="9.1796875" style="188"/>
    <col min="4830" max="4830" width="10" style="188" customWidth="1"/>
    <col min="4831" max="4831" width="10.26953125" style="188" bestFit="1" customWidth="1"/>
    <col min="4832" max="4832" width="19.54296875" style="188" customWidth="1"/>
    <col min="4833" max="4833" width="11.1796875" style="188" customWidth="1"/>
    <col min="4834" max="4834" width="12.1796875" style="188" customWidth="1"/>
    <col min="4835" max="4835" width="9.54296875" style="188" bestFit="1" customWidth="1"/>
    <col min="4836" max="4836" width="40" style="188" bestFit="1" customWidth="1"/>
    <col min="4837" max="4837" width="9.1796875" style="188"/>
    <col min="4838" max="4839" width="14.453125" style="188" customWidth="1"/>
    <col min="4840" max="4840" width="12.54296875" style="188" customWidth="1"/>
    <col min="4841" max="4841" width="14.453125" style="188" customWidth="1"/>
    <col min="4842" max="4842" width="17.54296875" style="188" customWidth="1"/>
    <col min="4843" max="4843" width="25.7265625" style="188" customWidth="1"/>
    <col min="4844" max="4845" width="14" style="188" customWidth="1"/>
    <col min="4846" max="4846" width="18.7265625" style="188" customWidth="1"/>
    <col min="4847" max="4847" width="38.26953125" style="188" customWidth="1"/>
    <col min="4848" max="4848" width="22.54296875" style="188" bestFit="1" customWidth="1"/>
    <col min="4849" max="4849" width="1.81640625" style="188" customWidth="1"/>
    <col min="4850" max="4850" width="14.54296875" style="188" customWidth="1"/>
    <col min="4851" max="4851" width="1.81640625" style="188" customWidth="1"/>
    <col min="4852" max="4855" width="7.26953125" style="188" bestFit="1" customWidth="1"/>
    <col min="4856" max="4856" width="8.54296875" style="188" bestFit="1" customWidth="1"/>
    <col min="4857" max="4857" width="7.1796875" style="188" bestFit="1" customWidth="1"/>
    <col min="4858" max="4858" width="3.1796875" style="188" customWidth="1"/>
    <col min="4859" max="4862" width="21.81640625" style="188" bestFit="1" customWidth="1"/>
    <col min="4863" max="4863" width="9.81640625" style="188" customWidth="1"/>
    <col min="4864" max="4864" width="23.7265625" style="188" bestFit="1" customWidth="1"/>
    <col min="4865" max="4865" width="20.81640625" style="188" customWidth="1"/>
    <col min="4866" max="5085" width="9.1796875" style="188"/>
    <col min="5086" max="5086" width="10" style="188" customWidth="1"/>
    <col min="5087" max="5087" width="10.26953125" style="188" bestFit="1" customWidth="1"/>
    <col min="5088" max="5088" width="19.54296875" style="188" customWidth="1"/>
    <col min="5089" max="5089" width="11.1796875" style="188" customWidth="1"/>
    <col min="5090" max="5090" width="12.1796875" style="188" customWidth="1"/>
    <col min="5091" max="5091" width="9.54296875" style="188" bestFit="1" customWidth="1"/>
    <col min="5092" max="5092" width="40" style="188" bestFit="1" customWidth="1"/>
    <col min="5093" max="5093" width="9.1796875" style="188"/>
    <col min="5094" max="5095" width="14.453125" style="188" customWidth="1"/>
    <col min="5096" max="5096" width="12.54296875" style="188" customWidth="1"/>
    <col min="5097" max="5097" width="14.453125" style="188" customWidth="1"/>
    <col min="5098" max="5098" width="17.54296875" style="188" customWidth="1"/>
    <col min="5099" max="5099" width="25.7265625" style="188" customWidth="1"/>
    <col min="5100" max="5101" width="14" style="188" customWidth="1"/>
    <col min="5102" max="5102" width="18.7265625" style="188" customWidth="1"/>
    <col min="5103" max="5103" width="38.26953125" style="188" customWidth="1"/>
    <col min="5104" max="5104" width="22.54296875" style="188" bestFit="1" customWidth="1"/>
    <col min="5105" max="5105" width="1.81640625" style="188" customWidth="1"/>
    <col min="5106" max="5106" width="14.54296875" style="188" customWidth="1"/>
    <col min="5107" max="5107" width="1.81640625" style="188" customWidth="1"/>
    <col min="5108" max="5111" width="7.26953125" style="188" bestFit="1" customWidth="1"/>
    <col min="5112" max="5112" width="8.54296875" style="188" bestFit="1" customWidth="1"/>
    <col min="5113" max="5113" width="7.1796875" style="188" bestFit="1" customWidth="1"/>
    <col min="5114" max="5114" width="3.1796875" style="188" customWidth="1"/>
    <col min="5115" max="5118" width="21.81640625" style="188" bestFit="1" customWidth="1"/>
    <col min="5119" max="5119" width="9.81640625" style="188" customWidth="1"/>
    <col min="5120" max="5120" width="23.7265625" style="188" bestFit="1" customWidth="1"/>
    <col min="5121" max="5121" width="20.81640625" style="188" customWidth="1"/>
    <col min="5122" max="5341" width="9.1796875" style="188"/>
    <col min="5342" max="5342" width="10" style="188" customWidth="1"/>
    <col min="5343" max="5343" width="10.26953125" style="188" bestFit="1" customWidth="1"/>
    <col min="5344" max="5344" width="19.54296875" style="188" customWidth="1"/>
    <col min="5345" max="5345" width="11.1796875" style="188" customWidth="1"/>
    <col min="5346" max="5346" width="12.1796875" style="188" customWidth="1"/>
    <col min="5347" max="5347" width="9.54296875" style="188" bestFit="1" customWidth="1"/>
    <col min="5348" max="5348" width="40" style="188" bestFit="1" customWidth="1"/>
    <col min="5349" max="5349" width="9.1796875" style="188"/>
    <col min="5350" max="5351" width="14.453125" style="188" customWidth="1"/>
    <col min="5352" max="5352" width="12.54296875" style="188" customWidth="1"/>
    <col min="5353" max="5353" width="14.453125" style="188" customWidth="1"/>
    <col min="5354" max="5354" width="17.54296875" style="188" customWidth="1"/>
    <col min="5355" max="5355" width="25.7265625" style="188" customWidth="1"/>
    <col min="5356" max="5357" width="14" style="188" customWidth="1"/>
    <col min="5358" max="5358" width="18.7265625" style="188" customWidth="1"/>
    <col min="5359" max="5359" width="38.26953125" style="188" customWidth="1"/>
    <col min="5360" max="5360" width="22.54296875" style="188" bestFit="1" customWidth="1"/>
    <col min="5361" max="5361" width="1.81640625" style="188" customWidth="1"/>
    <col min="5362" max="5362" width="14.54296875" style="188" customWidth="1"/>
    <col min="5363" max="5363" width="1.81640625" style="188" customWidth="1"/>
    <col min="5364" max="5367" width="7.26953125" style="188" bestFit="1" customWidth="1"/>
    <col min="5368" max="5368" width="8.54296875" style="188" bestFit="1" customWidth="1"/>
    <col min="5369" max="5369" width="7.1796875" style="188" bestFit="1" customWidth="1"/>
    <col min="5370" max="5370" width="3.1796875" style="188" customWidth="1"/>
    <col min="5371" max="5374" width="21.81640625" style="188" bestFit="1" customWidth="1"/>
    <col min="5375" max="5375" width="9.81640625" style="188" customWidth="1"/>
    <col min="5376" max="5376" width="23.7265625" style="188" bestFit="1" customWidth="1"/>
    <col min="5377" max="5377" width="20.81640625" style="188" customWidth="1"/>
    <col min="5378" max="5597" width="9.1796875" style="188"/>
    <col min="5598" max="5598" width="10" style="188" customWidth="1"/>
    <col min="5599" max="5599" width="10.26953125" style="188" bestFit="1" customWidth="1"/>
    <col min="5600" max="5600" width="19.54296875" style="188" customWidth="1"/>
    <col min="5601" max="5601" width="11.1796875" style="188" customWidth="1"/>
    <col min="5602" max="5602" width="12.1796875" style="188" customWidth="1"/>
    <col min="5603" max="5603" width="9.54296875" style="188" bestFit="1" customWidth="1"/>
    <col min="5604" max="5604" width="40" style="188" bestFit="1" customWidth="1"/>
    <col min="5605" max="5605" width="9.1796875" style="188"/>
    <col min="5606" max="5607" width="14.453125" style="188" customWidth="1"/>
    <col min="5608" max="5608" width="12.54296875" style="188" customWidth="1"/>
    <col min="5609" max="5609" width="14.453125" style="188" customWidth="1"/>
    <col min="5610" max="5610" width="17.54296875" style="188" customWidth="1"/>
    <col min="5611" max="5611" width="25.7265625" style="188" customWidth="1"/>
    <col min="5612" max="5613" width="14" style="188" customWidth="1"/>
    <col min="5614" max="5614" width="18.7265625" style="188" customWidth="1"/>
    <col min="5615" max="5615" width="38.26953125" style="188" customWidth="1"/>
    <col min="5616" max="5616" width="22.54296875" style="188" bestFit="1" customWidth="1"/>
    <col min="5617" max="5617" width="1.81640625" style="188" customWidth="1"/>
    <col min="5618" max="5618" width="14.54296875" style="188" customWidth="1"/>
    <col min="5619" max="5619" width="1.81640625" style="188" customWidth="1"/>
    <col min="5620" max="5623" width="7.26953125" style="188" bestFit="1" customWidth="1"/>
    <col min="5624" max="5624" width="8.54296875" style="188" bestFit="1" customWidth="1"/>
    <col min="5625" max="5625" width="7.1796875" style="188" bestFit="1" customWidth="1"/>
    <col min="5626" max="5626" width="3.1796875" style="188" customWidth="1"/>
    <col min="5627" max="5630" width="21.81640625" style="188" bestFit="1" customWidth="1"/>
    <col min="5631" max="5631" width="9.81640625" style="188" customWidth="1"/>
    <col min="5632" max="5632" width="23.7265625" style="188" bestFit="1" customWidth="1"/>
    <col min="5633" max="5633" width="20.81640625" style="188" customWidth="1"/>
    <col min="5634" max="5853" width="9.1796875" style="188"/>
    <col min="5854" max="5854" width="10" style="188" customWidth="1"/>
    <col min="5855" max="5855" width="10.26953125" style="188" bestFit="1" customWidth="1"/>
    <col min="5856" max="5856" width="19.54296875" style="188" customWidth="1"/>
    <col min="5857" max="5857" width="11.1796875" style="188" customWidth="1"/>
    <col min="5858" max="5858" width="12.1796875" style="188" customWidth="1"/>
    <col min="5859" max="5859" width="9.54296875" style="188" bestFit="1" customWidth="1"/>
    <col min="5860" max="5860" width="40" style="188" bestFit="1" customWidth="1"/>
    <col min="5861" max="5861" width="9.1796875" style="188"/>
    <col min="5862" max="5863" width="14.453125" style="188" customWidth="1"/>
    <col min="5864" max="5864" width="12.54296875" style="188" customWidth="1"/>
    <col min="5865" max="5865" width="14.453125" style="188" customWidth="1"/>
    <col min="5866" max="5866" width="17.54296875" style="188" customWidth="1"/>
    <col min="5867" max="5867" width="25.7265625" style="188" customWidth="1"/>
    <col min="5868" max="5869" width="14" style="188" customWidth="1"/>
    <col min="5870" max="5870" width="18.7265625" style="188" customWidth="1"/>
    <col min="5871" max="5871" width="38.26953125" style="188" customWidth="1"/>
    <col min="5872" max="5872" width="22.54296875" style="188" bestFit="1" customWidth="1"/>
    <col min="5873" max="5873" width="1.81640625" style="188" customWidth="1"/>
    <col min="5874" max="5874" width="14.54296875" style="188" customWidth="1"/>
    <col min="5875" max="5875" width="1.81640625" style="188" customWidth="1"/>
    <col min="5876" max="5879" width="7.26953125" style="188" bestFit="1" customWidth="1"/>
    <col min="5880" max="5880" width="8.54296875" style="188" bestFit="1" customWidth="1"/>
    <col min="5881" max="5881" width="7.1796875" style="188" bestFit="1" customWidth="1"/>
    <col min="5882" max="5882" width="3.1796875" style="188" customWidth="1"/>
    <col min="5883" max="5886" width="21.81640625" style="188" bestFit="1" customWidth="1"/>
    <col min="5887" max="5887" width="9.81640625" style="188" customWidth="1"/>
    <col min="5888" max="5888" width="23.7265625" style="188" bestFit="1" customWidth="1"/>
    <col min="5889" max="5889" width="20.81640625" style="188" customWidth="1"/>
    <col min="5890" max="6109" width="9.1796875" style="188"/>
    <col min="6110" max="6110" width="10" style="188" customWidth="1"/>
    <col min="6111" max="6111" width="10.26953125" style="188" bestFit="1" customWidth="1"/>
    <col min="6112" max="6112" width="19.54296875" style="188" customWidth="1"/>
    <col min="6113" max="6113" width="11.1796875" style="188" customWidth="1"/>
    <col min="6114" max="6114" width="12.1796875" style="188" customWidth="1"/>
    <col min="6115" max="6115" width="9.54296875" style="188" bestFit="1" customWidth="1"/>
    <col min="6116" max="6116" width="40" style="188" bestFit="1" customWidth="1"/>
    <col min="6117" max="6117" width="9.1796875" style="188"/>
    <col min="6118" max="6119" width="14.453125" style="188" customWidth="1"/>
    <col min="6120" max="6120" width="12.54296875" style="188" customWidth="1"/>
    <col min="6121" max="6121" width="14.453125" style="188" customWidth="1"/>
    <col min="6122" max="6122" width="17.54296875" style="188" customWidth="1"/>
    <col min="6123" max="6123" width="25.7265625" style="188" customWidth="1"/>
    <col min="6124" max="6125" width="14" style="188" customWidth="1"/>
    <col min="6126" max="6126" width="18.7265625" style="188" customWidth="1"/>
    <col min="6127" max="6127" width="38.26953125" style="188" customWidth="1"/>
    <col min="6128" max="6128" width="22.54296875" style="188" bestFit="1" customWidth="1"/>
    <col min="6129" max="6129" width="1.81640625" style="188" customWidth="1"/>
    <col min="6130" max="6130" width="14.54296875" style="188" customWidth="1"/>
    <col min="6131" max="6131" width="1.81640625" style="188" customWidth="1"/>
    <col min="6132" max="6135" width="7.26953125" style="188" bestFit="1" customWidth="1"/>
    <col min="6136" max="6136" width="8.54296875" style="188" bestFit="1" customWidth="1"/>
    <col min="6137" max="6137" width="7.1796875" style="188" bestFit="1" customWidth="1"/>
    <col min="6138" max="6138" width="3.1796875" style="188" customWidth="1"/>
    <col min="6139" max="6142" width="21.81640625" style="188" bestFit="1" customWidth="1"/>
    <col min="6143" max="6143" width="9.81640625" style="188" customWidth="1"/>
    <col min="6144" max="6144" width="23.7265625" style="188" bestFit="1" customWidth="1"/>
    <col min="6145" max="6145" width="20.81640625" style="188" customWidth="1"/>
    <col min="6146" max="6365" width="9.1796875" style="188"/>
    <col min="6366" max="6366" width="10" style="188" customWidth="1"/>
    <col min="6367" max="6367" width="10.26953125" style="188" bestFit="1" customWidth="1"/>
    <col min="6368" max="6368" width="19.54296875" style="188" customWidth="1"/>
    <col min="6369" max="6369" width="11.1796875" style="188" customWidth="1"/>
    <col min="6370" max="6370" width="12.1796875" style="188" customWidth="1"/>
    <col min="6371" max="6371" width="9.54296875" style="188" bestFit="1" customWidth="1"/>
    <col min="6372" max="6372" width="40" style="188" bestFit="1" customWidth="1"/>
    <col min="6373" max="6373" width="9.1796875" style="188"/>
    <col min="6374" max="6375" width="14.453125" style="188" customWidth="1"/>
    <col min="6376" max="6376" width="12.54296875" style="188" customWidth="1"/>
    <col min="6377" max="6377" width="14.453125" style="188" customWidth="1"/>
    <col min="6378" max="6378" width="17.54296875" style="188" customWidth="1"/>
    <col min="6379" max="6379" width="25.7265625" style="188" customWidth="1"/>
    <col min="6380" max="6381" width="14" style="188" customWidth="1"/>
    <col min="6382" max="6382" width="18.7265625" style="188" customWidth="1"/>
    <col min="6383" max="6383" width="38.26953125" style="188" customWidth="1"/>
    <col min="6384" max="6384" width="22.54296875" style="188" bestFit="1" customWidth="1"/>
    <col min="6385" max="6385" width="1.81640625" style="188" customWidth="1"/>
    <col min="6386" max="6386" width="14.54296875" style="188" customWidth="1"/>
    <col min="6387" max="6387" width="1.81640625" style="188" customWidth="1"/>
    <col min="6388" max="6391" width="7.26953125" style="188" bestFit="1" customWidth="1"/>
    <col min="6392" max="6392" width="8.54296875" style="188" bestFit="1" customWidth="1"/>
    <col min="6393" max="6393" width="7.1796875" style="188" bestFit="1" customWidth="1"/>
    <col min="6394" max="6394" width="3.1796875" style="188" customWidth="1"/>
    <col min="6395" max="6398" width="21.81640625" style="188" bestFit="1" customWidth="1"/>
    <col min="6399" max="6399" width="9.81640625" style="188" customWidth="1"/>
    <col min="6400" max="6400" width="23.7265625" style="188" bestFit="1" customWidth="1"/>
    <col min="6401" max="6401" width="20.81640625" style="188" customWidth="1"/>
    <col min="6402" max="6621" width="9.1796875" style="188"/>
    <col min="6622" max="6622" width="10" style="188" customWidth="1"/>
    <col min="6623" max="6623" width="10.26953125" style="188" bestFit="1" customWidth="1"/>
    <col min="6624" max="6624" width="19.54296875" style="188" customWidth="1"/>
    <col min="6625" max="6625" width="11.1796875" style="188" customWidth="1"/>
    <col min="6626" max="6626" width="12.1796875" style="188" customWidth="1"/>
    <col min="6627" max="6627" width="9.54296875" style="188" bestFit="1" customWidth="1"/>
    <col min="6628" max="6628" width="40" style="188" bestFit="1" customWidth="1"/>
    <col min="6629" max="6629" width="9.1796875" style="188"/>
    <col min="6630" max="6631" width="14.453125" style="188" customWidth="1"/>
    <col min="6632" max="6632" width="12.54296875" style="188" customWidth="1"/>
    <col min="6633" max="6633" width="14.453125" style="188" customWidth="1"/>
    <col min="6634" max="6634" width="17.54296875" style="188" customWidth="1"/>
    <col min="6635" max="6635" width="25.7265625" style="188" customWidth="1"/>
    <col min="6636" max="6637" width="14" style="188" customWidth="1"/>
    <col min="6638" max="6638" width="18.7265625" style="188" customWidth="1"/>
    <col min="6639" max="6639" width="38.26953125" style="188" customWidth="1"/>
    <col min="6640" max="6640" width="22.54296875" style="188" bestFit="1" customWidth="1"/>
    <col min="6641" max="6641" width="1.81640625" style="188" customWidth="1"/>
    <col min="6642" max="6642" width="14.54296875" style="188" customWidth="1"/>
    <col min="6643" max="6643" width="1.81640625" style="188" customWidth="1"/>
    <col min="6644" max="6647" width="7.26953125" style="188" bestFit="1" customWidth="1"/>
    <col min="6648" max="6648" width="8.54296875" style="188" bestFit="1" customWidth="1"/>
    <col min="6649" max="6649" width="7.1796875" style="188" bestFit="1" customWidth="1"/>
    <col min="6650" max="6650" width="3.1796875" style="188" customWidth="1"/>
    <col min="6651" max="6654" width="21.81640625" style="188" bestFit="1" customWidth="1"/>
    <col min="6655" max="6655" width="9.81640625" style="188" customWidth="1"/>
    <col min="6656" max="6656" width="23.7265625" style="188" bestFit="1" customWidth="1"/>
    <col min="6657" max="6657" width="20.81640625" style="188" customWidth="1"/>
    <col min="6658" max="6877" width="9.1796875" style="188"/>
    <col min="6878" max="6878" width="10" style="188" customWidth="1"/>
    <col min="6879" max="6879" width="10.26953125" style="188" bestFit="1" customWidth="1"/>
    <col min="6880" max="6880" width="19.54296875" style="188" customWidth="1"/>
    <col min="6881" max="6881" width="11.1796875" style="188" customWidth="1"/>
    <col min="6882" max="6882" width="12.1796875" style="188" customWidth="1"/>
    <col min="6883" max="6883" width="9.54296875" style="188" bestFit="1" customWidth="1"/>
    <col min="6884" max="6884" width="40" style="188" bestFit="1" customWidth="1"/>
    <col min="6885" max="6885" width="9.1796875" style="188"/>
    <col min="6886" max="6887" width="14.453125" style="188" customWidth="1"/>
    <col min="6888" max="6888" width="12.54296875" style="188" customWidth="1"/>
    <col min="6889" max="6889" width="14.453125" style="188" customWidth="1"/>
    <col min="6890" max="6890" width="17.54296875" style="188" customWidth="1"/>
    <col min="6891" max="6891" width="25.7265625" style="188" customWidth="1"/>
    <col min="6892" max="6893" width="14" style="188" customWidth="1"/>
    <col min="6894" max="6894" width="18.7265625" style="188" customWidth="1"/>
    <col min="6895" max="6895" width="38.26953125" style="188" customWidth="1"/>
    <col min="6896" max="6896" width="22.54296875" style="188" bestFit="1" customWidth="1"/>
    <col min="6897" max="6897" width="1.81640625" style="188" customWidth="1"/>
    <col min="6898" max="6898" width="14.54296875" style="188" customWidth="1"/>
    <col min="6899" max="6899" width="1.81640625" style="188" customWidth="1"/>
    <col min="6900" max="6903" width="7.26953125" style="188" bestFit="1" customWidth="1"/>
    <col min="6904" max="6904" width="8.54296875" style="188" bestFit="1" customWidth="1"/>
    <col min="6905" max="6905" width="7.1796875" style="188" bestFit="1" customWidth="1"/>
    <col min="6906" max="6906" width="3.1796875" style="188" customWidth="1"/>
    <col min="6907" max="6910" width="21.81640625" style="188" bestFit="1" customWidth="1"/>
    <col min="6911" max="6911" width="9.81640625" style="188" customWidth="1"/>
    <col min="6912" max="6912" width="23.7265625" style="188" bestFit="1" customWidth="1"/>
    <col min="6913" max="6913" width="20.81640625" style="188" customWidth="1"/>
    <col min="6914" max="7133" width="9.1796875" style="188"/>
    <col min="7134" max="7134" width="10" style="188" customWidth="1"/>
    <col min="7135" max="7135" width="10.26953125" style="188" bestFit="1" customWidth="1"/>
    <col min="7136" max="7136" width="19.54296875" style="188" customWidth="1"/>
    <col min="7137" max="7137" width="11.1796875" style="188" customWidth="1"/>
    <col min="7138" max="7138" width="12.1796875" style="188" customWidth="1"/>
    <col min="7139" max="7139" width="9.54296875" style="188" bestFit="1" customWidth="1"/>
    <col min="7140" max="7140" width="40" style="188" bestFit="1" customWidth="1"/>
    <col min="7141" max="7141" width="9.1796875" style="188"/>
    <col min="7142" max="7143" width="14.453125" style="188" customWidth="1"/>
    <col min="7144" max="7144" width="12.54296875" style="188" customWidth="1"/>
    <col min="7145" max="7145" width="14.453125" style="188" customWidth="1"/>
    <col min="7146" max="7146" width="17.54296875" style="188" customWidth="1"/>
    <col min="7147" max="7147" width="25.7265625" style="188" customWidth="1"/>
    <col min="7148" max="7149" width="14" style="188" customWidth="1"/>
    <col min="7150" max="7150" width="18.7265625" style="188" customWidth="1"/>
    <col min="7151" max="7151" width="38.26953125" style="188" customWidth="1"/>
    <col min="7152" max="7152" width="22.54296875" style="188" bestFit="1" customWidth="1"/>
    <col min="7153" max="7153" width="1.81640625" style="188" customWidth="1"/>
    <col min="7154" max="7154" width="14.54296875" style="188" customWidth="1"/>
    <col min="7155" max="7155" width="1.81640625" style="188" customWidth="1"/>
    <col min="7156" max="7159" width="7.26953125" style="188" bestFit="1" customWidth="1"/>
    <col min="7160" max="7160" width="8.54296875" style="188" bestFit="1" customWidth="1"/>
    <col min="7161" max="7161" width="7.1796875" style="188" bestFit="1" customWidth="1"/>
    <col min="7162" max="7162" width="3.1796875" style="188" customWidth="1"/>
    <col min="7163" max="7166" width="21.81640625" style="188" bestFit="1" customWidth="1"/>
    <col min="7167" max="7167" width="9.81640625" style="188" customWidth="1"/>
    <col min="7168" max="7168" width="23.7265625" style="188" bestFit="1" customWidth="1"/>
    <col min="7169" max="7169" width="20.81640625" style="188" customWidth="1"/>
    <col min="7170" max="7389" width="9.1796875" style="188"/>
    <col min="7390" max="7390" width="10" style="188" customWidth="1"/>
    <col min="7391" max="7391" width="10.26953125" style="188" bestFit="1" customWidth="1"/>
    <col min="7392" max="7392" width="19.54296875" style="188" customWidth="1"/>
    <col min="7393" max="7393" width="11.1796875" style="188" customWidth="1"/>
    <col min="7394" max="7394" width="12.1796875" style="188" customWidth="1"/>
    <col min="7395" max="7395" width="9.54296875" style="188" bestFit="1" customWidth="1"/>
    <col min="7396" max="7396" width="40" style="188" bestFit="1" customWidth="1"/>
    <col min="7397" max="7397" width="9.1796875" style="188"/>
    <col min="7398" max="7399" width="14.453125" style="188" customWidth="1"/>
    <col min="7400" max="7400" width="12.54296875" style="188" customWidth="1"/>
    <col min="7401" max="7401" width="14.453125" style="188" customWidth="1"/>
    <col min="7402" max="7402" width="17.54296875" style="188" customWidth="1"/>
    <col min="7403" max="7403" width="25.7265625" style="188" customWidth="1"/>
    <col min="7404" max="7405" width="14" style="188" customWidth="1"/>
    <col min="7406" max="7406" width="18.7265625" style="188" customWidth="1"/>
    <col min="7407" max="7407" width="38.26953125" style="188" customWidth="1"/>
    <col min="7408" max="7408" width="22.54296875" style="188" bestFit="1" customWidth="1"/>
    <col min="7409" max="7409" width="1.81640625" style="188" customWidth="1"/>
    <col min="7410" max="7410" width="14.54296875" style="188" customWidth="1"/>
    <col min="7411" max="7411" width="1.81640625" style="188" customWidth="1"/>
    <col min="7412" max="7415" width="7.26953125" style="188" bestFit="1" customWidth="1"/>
    <col min="7416" max="7416" width="8.54296875" style="188" bestFit="1" customWidth="1"/>
    <col min="7417" max="7417" width="7.1796875" style="188" bestFit="1" customWidth="1"/>
    <col min="7418" max="7418" width="3.1796875" style="188" customWidth="1"/>
    <col min="7419" max="7422" width="21.81640625" style="188" bestFit="1" customWidth="1"/>
    <col min="7423" max="7423" width="9.81640625" style="188" customWidth="1"/>
    <col min="7424" max="7424" width="23.7265625" style="188" bestFit="1" customWidth="1"/>
    <col min="7425" max="7425" width="20.81640625" style="188" customWidth="1"/>
    <col min="7426" max="7645" width="9.1796875" style="188"/>
    <col min="7646" max="7646" width="10" style="188" customWidth="1"/>
    <col min="7647" max="7647" width="10.26953125" style="188" bestFit="1" customWidth="1"/>
    <col min="7648" max="7648" width="19.54296875" style="188" customWidth="1"/>
    <col min="7649" max="7649" width="11.1796875" style="188" customWidth="1"/>
    <col min="7650" max="7650" width="12.1796875" style="188" customWidth="1"/>
    <col min="7651" max="7651" width="9.54296875" style="188" bestFit="1" customWidth="1"/>
    <col min="7652" max="7652" width="40" style="188" bestFit="1" customWidth="1"/>
    <col min="7653" max="7653" width="9.1796875" style="188"/>
    <col min="7654" max="7655" width="14.453125" style="188" customWidth="1"/>
    <col min="7656" max="7656" width="12.54296875" style="188" customWidth="1"/>
    <col min="7657" max="7657" width="14.453125" style="188" customWidth="1"/>
    <col min="7658" max="7658" width="17.54296875" style="188" customWidth="1"/>
    <col min="7659" max="7659" width="25.7265625" style="188" customWidth="1"/>
    <col min="7660" max="7661" width="14" style="188" customWidth="1"/>
    <col min="7662" max="7662" width="18.7265625" style="188" customWidth="1"/>
    <col min="7663" max="7663" width="38.26953125" style="188" customWidth="1"/>
    <col min="7664" max="7664" width="22.54296875" style="188" bestFit="1" customWidth="1"/>
    <col min="7665" max="7665" width="1.81640625" style="188" customWidth="1"/>
    <col min="7666" max="7666" width="14.54296875" style="188" customWidth="1"/>
    <col min="7667" max="7667" width="1.81640625" style="188" customWidth="1"/>
    <col min="7668" max="7671" width="7.26953125" style="188" bestFit="1" customWidth="1"/>
    <col min="7672" max="7672" width="8.54296875" style="188" bestFit="1" customWidth="1"/>
    <col min="7673" max="7673" width="7.1796875" style="188" bestFit="1" customWidth="1"/>
    <col min="7674" max="7674" width="3.1796875" style="188" customWidth="1"/>
    <col min="7675" max="7678" width="21.81640625" style="188" bestFit="1" customWidth="1"/>
    <col min="7679" max="7679" width="9.81640625" style="188" customWidth="1"/>
    <col min="7680" max="7680" width="23.7265625" style="188" bestFit="1" customWidth="1"/>
    <col min="7681" max="7681" width="20.81640625" style="188" customWidth="1"/>
    <col min="7682" max="7901" width="9.1796875" style="188"/>
    <col min="7902" max="7902" width="10" style="188" customWidth="1"/>
    <col min="7903" max="7903" width="10.26953125" style="188" bestFit="1" customWidth="1"/>
    <col min="7904" max="7904" width="19.54296875" style="188" customWidth="1"/>
    <col min="7905" max="7905" width="11.1796875" style="188" customWidth="1"/>
    <col min="7906" max="7906" width="12.1796875" style="188" customWidth="1"/>
    <col min="7907" max="7907" width="9.54296875" style="188" bestFit="1" customWidth="1"/>
    <col min="7908" max="7908" width="40" style="188" bestFit="1" customWidth="1"/>
    <col min="7909" max="7909" width="9.1796875" style="188"/>
    <col min="7910" max="7911" width="14.453125" style="188" customWidth="1"/>
    <col min="7912" max="7912" width="12.54296875" style="188" customWidth="1"/>
    <col min="7913" max="7913" width="14.453125" style="188" customWidth="1"/>
    <col min="7914" max="7914" width="17.54296875" style="188" customWidth="1"/>
    <col min="7915" max="7915" width="25.7265625" style="188" customWidth="1"/>
    <col min="7916" max="7917" width="14" style="188" customWidth="1"/>
    <col min="7918" max="7918" width="18.7265625" style="188" customWidth="1"/>
    <col min="7919" max="7919" width="38.26953125" style="188" customWidth="1"/>
    <col min="7920" max="7920" width="22.54296875" style="188" bestFit="1" customWidth="1"/>
    <col min="7921" max="7921" width="1.81640625" style="188" customWidth="1"/>
    <col min="7922" max="7922" width="14.54296875" style="188" customWidth="1"/>
    <col min="7923" max="7923" width="1.81640625" style="188" customWidth="1"/>
    <col min="7924" max="7927" width="7.26953125" style="188" bestFit="1" customWidth="1"/>
    <col min="7928" max="7928" width="8.54296875" style="188" bestFit="1" customWidth="1"/>
    <col min="7929" max="7929" width="7.1796875" style="188" bestFit="1" customWidth="1"/>
    <col min="7930" max="7930" width="3.1796875" style="188" customWidth="1"/>
    <col min="7931" max="7934" width="21.81640625" style="188" bestFit="1" customWidth="1"/>
    <col min="7935" max="7935" width="9.81640625" style="188" customWidth="1"/>
    <col min="7936" max="7936" width="23.7265625" style="188" bestFit="1" customWidth="1"/>
    <col min="7937" max="7937" width="20.81640625" style="188" customWidth="1"/>
    <col min="7938" max="8157" width="9.1796875" style="188"/>
    <col min="8158" max="8158" width="10" style="188" customWidth="1"/>
    <col min="8159" max="8159" width="10.26953125" style="188" bestFit="1" customWidth="1"/>
    <col min="8160" max="8160" width="19.54296875" style="188" customWidth="1"/>
    <col min="8161" max="8161" width="11.1796875" style="188" customWidth="1"/>
    <col min="8162" max="8162" width="12.1796875" style="188" customWidth="1"/>
    <col min="8163" max="8163" width="9.54296875" style="188" bestFit="1" customWidth="1"/>
    <col min="8164" max="8164" width="40" style="188" bestFit="1" customWidth="1"/>
    <col min="8165" max="8165" width="9.1796875" style="188"/>
    <col min="8166" max="8167" width="14.453125" style="188" customWidth="1"/>
    <col min="8168" max="8168" width="12.54296875" style="188" customWidth="1"/>
    <col min="8169" max="8169" width="14.453125" style="188" customWidth="1"/>
    <col min="8170" max="8170" width="17.54296875" style="188" customWidth="1"/>
    <col min="8171" max="8171" width="25.7265625" style="188" customWidth="1"/>
    <col min="8172" max="8173" width="14" style="188" customWidth="1"/>
    <col min="8174" max="8174" width="18.7265625" style="188" customWidth="1"/>
    <col min="8175" max="8175" width="38.26953125" style="188" customWidth="1"/>
    <col min="8176" max="8176" width="22.54296875" style="188" bestFit="1" customWidth="1"/>
    <col min="8177" max="8177" width="1.81640625" style="188" customWidth="1"/>
    <col min="8178" max="8178" width="14.54296875" style="188" customWidth="1"/>
    <col min="8179" max="8179" width="1.81640625" style="188" customWidth="1"/>
    <col min="8180" max="8183" width="7.26953125" style="188" bestFit="1" customWidth="1"/>
    <col min="8184" max="8184" width="8.54296875" style="188" bestFit="1" customWidth="1"/>
    <col min="8185" max="8185" width="7.1796875" style="188" bestFit="1" customWidth="1"/>
    <col min="8186" max="8186" width="3.1796875" style="188" customWidth="1"/>
    <col min="8187" max="8190" width="21.81640625" style="188" bestFit="1" customWidth="1"/>
    <col min="8191" max="8191" width="9.81640625" style="188" customWidth="1"/>
    <col min="8192" max="8192" width="23.7265625" style="188" bestFit="1" customWidth="1"/>
    <col min="8193" max="8193" width="20.81640625" style="188" customWidth="1"/>
    <col min="8194" max="8413" width="9.1796875" style="188"/>
    <col min="8414" max="8414" width="10" style="188" customWidth="1"/>
    <col min="8415" max="8415" width="10.26953125" style="188" bestFit="1" customWidth="1"/>
    <col min="8416" max="8416" width="19.54296875" style="188" customWidth="1"/>
    <col min="8417" max="8417" width="11.1796875" style="188" customWidth="1"/>
    <col min="8418" max="8418" width="12.1796875" style="188" customWidth="1"/>
    <col min="8419" max="8419" width="9.54296875" style="188" bestFit="1" customWidth="1"/>
    <col min="8420" max="8420" width="40" style="188" bestFit="1" customWidth="1"/>
    <col min="8421" max="8421" width="9.1796875" style="188"/>
    <col min="8422" max="8423" width="14.453125" style="188" customWidth="1"/>
    <col min="8424" max="8424" width="12.54296875" style="188" customWidth="1"/>
    <col min="8425" max="8425" width="14.453125" style="188" customWidth="1"/>
    <col min="8426" max="8426" width="17.54296875" style="188" customWidth="1"/>
    <col min="8427" max="8427" width="25.7265625" style="188" customWidth="1"/>
    <col min="8428" max="8429" width="14" style="188" customWidth="1"/>
    <col min="8430" max="8430" width="18.7265625" style="188" customWidth="1"/>
    <col min="8431" max="8431" width="38.26953125" style="188" customWidth="1"/>
    <col min="8432" max="8432" width="22.54296875" style="188" bestFit="1" customWidth="1"/>
    <col min="8433" max="8433" width="1.81640625" style="188" customWidth="1"/>
    <col min="8434" max="8434" width="14.54296875" style="188" customWidth="1"/>
    <col min="8435" max="8435" width="1.81640625" style="188" customWidth="1"/>
    <col min="8436" max="8439" width="7.26953125" style="188" bestFit="1" customWidth="1"/>
    <col min="8440" max="8440" width="8.54296875" style="188" bestFit="1" customWidth="1"/>
    <col min="8441" max="8441" width="7.1796875" style="188" bestFit="1" customWidth="1"/>
    <col min="8442" max="8442" width="3.1796875" style="188" customWidth="1"/>
    <col min="8443" max="8446" width="21.81640625" style="188" bestFit="1" customWidth="1"/>
    <col min="8447" max="8447" width="9.81640625" style="188" customWidth="1"/>
    <col min="8448" max="8448" width="23.7265625" style="188" bestFit="1" customWidth="1"/>
    <col min="8449" max="8449" width="20.81640625" style="188" customWidth="1"/>
    <col min="8450" max="8669" width="9.1796875" style="188"/>
    <col min="8670" max="8670" width="10" style="188" customWidth="1"/>
    <col min="8671" max="8671" width="10.26953125" style="188" bestFit="1" customWidth="1"/>
    <col min="8672" max="8672" width="19.54296875" style="188" customWidth="1"/>
    <col min="8673" max="8673" width="11.1796875" style="188" customWidth="1"/>
    <col min="8674" max="8674" width="12.1796875" style="188" customWidth="1"/>
    <col min="8675" max="8675" width="9.54296875" style="188" bestFit="1" customWidth="1"/>
    <col min="8676" max="8676" width="40" style="188" bestFit="1" customWidth="1"/>
    <col min="8677" max="8677" width="9.1796875" style="188"/>
    <col min="8678" max="8679" width="14.453125" style="188" customWidth="1"/>
    <col min="8680" max="8680" width="12.54296875" style="188" customWidth="1"/>
    <col min="8681" max="8681" width="14.453125" style="188" customWidth="1"/>
    <col min="8682" max="8682" width="17.54296875" style="188" customWidth="1"/>
    <col min="8683" max="8683" width="25.7265625" style="188" customWidth="1"/>
    <col min="8684" max="8685" width="14" style="188" customWidth="1"/>
    <col min="8686" max="8686" width="18.7265625" style="188" customWidth="1"/>
    <col min="8687" max="8687" width="38.26953125" style="188" customWidth="1"/>
    <col min="8688" max="8688" width="22.54296875" style="188" bestFit="1" customWidth="1"/>
    <col min="8689" max="8689" width="1.81640625" style="188" customWidth="1"/>
    <col min="8690" max="8690" width="14.54296875" style="188" customWidth="1"/>
    <col min="8691" max="8691" width="1.81640625" style="188" customWidth="1"/>
    <col min="8692" max="8695" width="7.26953125" style="188" bestFit="1" customWidth="1"/>
    <col min="8696" max="8696" width="8.54296875" style="188" bestFit="1" customWidth="1"/>
    <col min="8697" max="8697" width="7.1796875" style="188" bestFit="1" customWidth="1"/>
    <col min="8698" max="8698" width="3.1796875" style="188" customWidth="1"/>
    <col min="8699" max="8702" width="21.81640625" style="188" bestFit="1" customWidth="1"/>
    <col min="8703" max="8703" width="9.81640625" style="188" customWidth="1"/>
    <col min="8704" max="8704" width="23.7265625" style="188" bestFit="1" customWidth="1"/>
    <col min="8705" max="8705" width="20.81640625" style="188" customWidth="1"/>
    <col min="8706" max="8925" width="9.1796875" style="188"/>
    <col min="8926" max="8926" width="10" style="188" customWidth="1"/>
    <col min="8927" max="8927" width="10.26953125" style="188" bestFit="1" customWidth="1"/>
    <col min="8928" max="8928" width="19.54296875" style="188" customWidth="1"/>
    <col min="8929" max="8929" width="11.1796875" style="188" customWidth="1"/>
    <col min="8930" max="8930" width="12.1796875" style="188" customWidth="1"/>
    <col min="8931" max="8931" width="9.54296875" style="188" bestFit="1" customWidth="1"/>
    <col min="8932" max="8932" width="40" style="188" bestFit="1" customWidth="1"/>
    <col min="8933" max="8933" width="9.1796875" style="188"/>
    <col min="8934" max="8935" width="14.453125" style="188" customWidth="1"/>
    <col min="8936" max="8936" width="12.54296875" style="188" customWidth="1"/>
    <col min="8937" max="8937" width="14.453125" style="188" customWidth="1"/>
    <col min="8938" max="8938" width="17.54296875" style="188" customWidth="1"/>
    <col min="8939" max="8939" width="25.7265625" style="188" customWidth="1"/>
    <col min="8940" max="8941" width="14" style="188" customWidth="1"/>
    <col min="8942" max="8942" width="18.7265625" style="188" customWidth="1"/>
    <col min="8943" max="8943" width="38.26953125" style="188" customWidth="1"/>
    <col min="8944" max="8944" width="22.54296875" style="188" bestFit="1" customWidth="1"/>
    <col min="8945" max="8945" width="1.81640625" style="188" customWidth="1"/>
    <col min="8946" max="8946" width="14.54296875" style="188" customWidth="1"/>
    <col min="8947" max="8947" width="1.81640625" style="188" customWidth="1"/>
    <col min="8948" max="8951" width="7.26953125" style="188" bestFit="1" customWidth="1"/>
    <col min="8952" max="8952" width="8.54296875" style="188" bestFit="1" customWidth="1"/>
    <col min="8953" max="8953" width="7.1796875" style="188" bestFit="1" customWidth="1"/>
    <col min="8954" max="8954" width="3.1796875" style="188" customWidth="1"/>
    <col min="8955" max="8958" width="21.81640625" style="188" bestFit="1" customWidth="1"/>
    <col min="8959" max="8959" width="9.81640625" style="188" customWidth="1"/>
    <col min="8960" max="8960" width="23.7265625" style="188" bestFit="1" customWidth="1"/>
    <col min="8961" max="8961" width="20.81640625" style="188" customWidth="1"/>
    <col min="8962" max="9181" width="9.1796875" style="188"/>
    <col min="9182" max="9182" width="10" style="188" customWidth="1"/>
    <col min="9183" max="9183" width="10.26953125" style="188" bestFit="1" customWidth="1"/>
    <col min="9184" max="9184" width="19.54296875" style="188" customWidth="1"/>
    <col min="9185" max="9185" width="11.1796875" style="188" customWidth="1"/>
    <col min="9186" max="9186" width="12.1796875" style="188" customWidth="1"/>
    <col min="9187" max="9187" width="9.54296875" style="188" bestFit="1" customWidth="1"/>
    <col min="9188" max="9188" width="40" style="188" bestFit="1" customWidth="1"/>
    <col min="9189" max="9189" width="9.1796875" style="188"/>
    <col min="9190" max="9191" width="14.453125" style="188" customWidth="1"/>
    <col min="9192" max="9192" width="12.54296875" style="188" customWidth="1"/>
    <col min="9193" max="9193" width="14.453125" style="188" customWidth="1"/>
    <col min="9194" max="9194" width="17.54296875" style="188" customWidth="1"/>
    <col min="9195" max="9195" width="25.7265625" style="188" customWidth="1"/>
    <col min="9196" max="9197" width="14" style="188" customWidth="1"/>
    <col min="9198" max="9198" width="18.7265625" style="188" customWidth="1"/>
    <col min="9199" max="9199" width="38.26953125" style="188" customWidth="1"/>
    <col min="9200" max="9200" width="22.54296875" style="188" bestFit="1" customWidth="1"/>
    <col min="9201" max="9201" width="1.81640625" style="188" customWidth="1"/>
    <col min="9202" max="9202" width="14.54296875" style="188" customWidth="1"/>
    <col min="9203" max="9203" width="1.81640625" style="188" customWidth="1"/>
    <col min="9204" max="9207" width="7.26953125" style="188" bestFit="1" customWidth="1"/>
    <col min="9208" max="9208" width="8.54296875" style="188" bestFit="1" customWidth="1"/>
    <col min="9209" max="9209" width="7.1796875" style="188" bestFit="1" customWidth="1"/>
    <col min="9210" max="9210" width="3.1796875" style="188" customWidth="1"/>
    <col min="9211" max="9214" width="21.81640625" style="188" bestFit="1" customWidth="1"/>
    <col min="9215" max="9215" width="9.81640625" style="188" customWidth="1"/>
    <col min="9216" max="9216" width="23.7265625" style="188" bestFit="1" customWidth="1"/>
    <col min="9217" max="9217" width="20.81640625" style="188" customWidth="1"/>
    <col min="9218" max="9437" width="9.1796875" style="188"/>
    <col min="9438" max="9438" width="10" style="188" customWidth="1"/>
    <col min="9439" max="9439" width="10.26953125" style="188" bestFit="1" customWidth="1"/>
    <col min="9440" max="9440" width="19.54296875" style="188" customWidth="1"/>
    <col min="9441" max="9441" width="11.1796875" style="188" customWidth="1"/>
    <col min="9442" max="9442" width="12.1796875" style="188" customWidth="1"/>
    <col min="9443" max="9443" width="9.54296875" style="188" bestFit="1" customWidth="1"/>
    <col min="9444" max="9444" width="40" style="188" bestFit="1" customWidth="1"/>
    <col min="9445" max="9445" width="9.1796875" style="188"/>
    <col min="9446" max="9447" width="14.453125" style="188" customWidth="1"/>
    <col min="9448" max="9448" width="12.54296875" style="188" customWidth="1"/>
    <col min="9449" max="9449" width="14.453125" style="188" customWidth="1"/>
    <col min="9450" max="9450" width="17.54296875" style="188" customWidth="1"/>
    <col min="9451" max="9451" width="25.7265625" style="188" customWidth="1"/>
    <col min="9452" max="9453" width="14" style="188" customWidth="1"/>
    <col min="9454" max="9454" width="18.7265625" style="188" customWidth="1"/>
    <col min="9455" max="9455" width="38.26953125" style="188" customWidth="1"/>
    <col min="9456" max="9456" width="22.54296875" style="188" bestFit="1" customWidth="1"/>
    <col min="9457" max="9457" width="1.81640625" style="188" customWidth="1"/>
    <col min="9458" max="9458" width="14.54296875" style="188" customWidth="1"/>
    <col min="9459" max="9459" width="1.81640625" style="188" customWidth="1"/>
    <col min="9460" max="9463" width="7.26953125" style="188" bestFit="1" customWidth="1"/>
    <col min="9464" max="9464" width="8.54296875" style="188" bestFit="1" customWidth="1"/>
    <col min="9465" max="9465" width="7.1796875" style="188" bestFit="1" customWidth="1"/>
    <col min="9466" max="9466" width="3.1796875" style="188" customWidth="1"/>
    <col min="9467" max="9470" width="21.81640625" style="188" bestFit="1" customWidth="1"/>
    <col min="9471" max="9471" width="9.81640625" style="188" customWidth="1"/>
    <col min="9472" max="9472" width="23.7265625" style="188" bestFit="1" customWidth="1"/>
    <col min="9473" max="9473" width="20.81640625" style="188" customWidth="1"/>
    <col min="9474" max="9693" width="9.1796875" style="188"/>
    <col min="9694" max="9694" width="10" style="188" customWidth="1"/>
    <col min="9695" max="9695" width="10.26953125" style="188" bestFit="1" customWidth="1"/>
    <col min="9696" max="9696" width="19.54296875" style="188" customWidth="1"/>
    <col min="9697" max="9697" width="11.1796875" style="188" customWidth="1"/>
    <col min="9698" max="9698" width="12.1796875" style="188" customWidth="1"/>
    <col min="9699" max="9699" width="9.54296875" style="188" bestFit="1" customWidth="1"/>
    <col min="9700" max="9700" width="40" style="188" bestFit="1" customWidth="1"/>
    <col min="9701" max="9701" width="9.1796875" style="188"/>
    <col min="9702" max="9703" width="14.453125" style="188" customWidth="1"/>
    <col min="9704" max="9704" width="12.54296875" style="188" customWidth="1"/>
    <col min="9705" max="9705" width="14.453125" style="188" customWidth="1"/>
    <col min="9706" max="9706" width="17.54296875" style="188" customWidth="1"/>
    <col min="9707" max="9707" width="25.7265625" style="188" customWidth="1"/>
    <col min="9708" max="9709" width="14" style="188" customWidth="1"/>
    <col min="9710" max="9710" width="18.7265625" style="188" customWidth="1"/>
    <col min="9711" max="9711" width="38.26953125" style="188" customWidth="1"/>
    <col min="9712" max="9712" width="22.54296875" style="188" bestFit="1" customWidth="1"/>
    <col min="9713" max="9713" width="1.81640625" style="188" customWidth="1"/>
    <col min="9714" max="9714" width="14.54296875" style="188" customWidth="1"/>
    <col min="9715" max="9715" width="1.81640625" style="188" customWidth="1"/>
    <col min="9716" max="9719" width="7.26953125" style="188" bestFit="1" customWidth="1"/>
    <col min="9720" max="9720" width="8.54296875" style="188" bestFit="1" customWidth="1"/>
    <col min="9721" max="9721" width="7.1796875" style="188" bestFit="1" customWidth="1"/>
    <col min="9722" max="9722" width="3.1796875" style="188" customWidth="1"/>
    <col min="9723" max="9726" width="21.81640625" style="188" bestFit="1" customWidth="1"/>
    <col min="9727" max="9727" width="9.81640625" style="188" customWidth="1"/>
    <col min="9728" max="9728" width="23.7265625" style="188" bestFit="1" customWidth="1"/>
    <col min="9729" max="9729" width="20.81640625" style="188" customWidth="1"/>
    <col min="9730" max="9949" width="9.1796875" style="188"/>
    <col min="9950" max="9950" width="10" style="188" customWidth="1"/>
    <col min="9951" max="9951" width="10.26953125" style="188" bestFit="1" customWidth="1"/>
    <col min="9952" max="9952" width="19.54296875" style="188" customWidth="1"/>
    <col min="9953" max="9953" width="11.1796875" style="188" customWidth="1"/>
    <col min="9954" max="9954" width="12.1796875" style="188" customWidth="1"/>
    <col min="9955" max="9955" width="9.54296875" style="188" bestFit="1" customWidth="1"/>
    <col min="9956" max="9956" width="40" style="188" bestFit="1" customWidth="1"/>
    <col min="9957" max="9957" width="9.1796875" style="188"/>
    <col min="9958" max="9959" width="14.453125" style="188" customWidth="1"/>
    <col min="9960" max="9960" width="12.54296875" style="188" customWidth="1"/>
    <col min="9961" max="9961" width="14.453125" style="188" customWidth="1"/>
    <col min="9962" max="9962" width="17.54296875" style="188" customWidth="1"/>
    <col min="9963" max="9963" width="25.7265625" style="188" customWidth="1"/>
    <col min="9964" max="9965" width="14" style="188" customWidth="1"/>
    <col min="9966" max="9966" width="18.7265625" style="188" customWidth="1"/>
    <col min="9967" max="9967" width="38.26953125" style="188" customWidth="1"/>
    <col min="9968" max="9968" width="22.54296875" style="188" bestFit="1" customWidth="1"/>
    <col min="9969" max="9969" width="1.81640625" style="188" customWidth="1"/>
    <col min="9970" max="9970" width="14.54296875" style="188" customWidth="1"/>
    <col min="9971" max="9971" width="1.81640625" style="188" customWidth="1"/>
    <col min="9972" max="9975" width="7.26953125" style="188" bestFit="1" customWidth="1"/>
    <col min="9976" max="9976" width="8.54296875" style="188" bestFit="1" customWidth="1"/>
    <col min="9977" max="9977" width="7.1796875" style="188" bestFit="1" customWidth="1"/>
    <col min="9978" max="9978" width="3.1796875" style="188" customWidth="1"/>
    <col min="9979" max="9982" width="21.81640625" style="188" bestFit="1" customWidth="1"/>
    <col min="9983" max="9983" width="9.81640625" style="188" customWidth="1"/>
    <col min="9984" max="9984" width="23.7265625" style="188" bestFit="1" customWidth="1"/>
    <col min="9985" max="9985" width="20.81640625" style="188" customWidth="1"/>
    <col min="9986" max="10205" width="9.1796875" style="188"/>
    <col min="10206" max="10206" width="10" style="188" customWidth="1"/>
    <col min="10207" max="10207" width="10.26953125" style="188" bestFit="1" customWidth="1"/>
    <col min="10208" max="10208" width="19.54296875" style="188" customWidth="1"/>
    <col min="10209" max="10209" width="11.1796875" style="188" customWidth="1"/>
    <col min="10210" max="10210" width="12.1796875" style="188" customWidth="1"/>
    <col min="10211" max="10211" width="9.54296875" style="188" bestFit="1" customWidth="1"/>
    <col min="10212" max="10212" width="40" style="188" bestFit="1" customWidth="1"/>
    <col min="10213" max="10213" width="9.1796875" style="188"/>
    <col min="10214" max="10215" width="14.453125" style="188" customWidth="1"/>
    <col min="10216" max="10216" width="12.54296875" style="188" customWidth="1"/>
    <col min="10217" max="10217" width="14.453125" style="188" customWidth="1"/>
    <col min="10218" max="10218" width="17.54296875" style="188" customWidth="1"/>
    <col min="10219" max="10219" width="25.7265625" style="188" customWidth="1"/>
    <col min="10220" max="10221" width="14" style="188" customWidth="1"/>
    <col min="10222" max="10222" width="18.7265625" style="188" customWidth="1"/>
    <col min="10223" max="10223" width="38.26953125" style="188" customWidth="1"/>
    <col min="10224" max="10224" width="22.54296875" style="188" bestFit="1" customWidth="1"/>
    <col min="10225" max="10225" width="1.81640625" style="188" customWidth="1"/>
    <col min="10226" max="10226" width="14.54296875" style="188" customWidth="1"/>
    <col min="10227" max="10227" width="1.81640625" style="188" customWidth="1"/>
    <col min="10228" max="10231" width="7.26953125" style="188" bestFit="1" customWidth="1"/>
    <col min="10232" max="10232" width="8.54296875" style="188" bestFit="1" customWidth="1"/>
    <col min="10233" max="10233" width="7.1796875" style="188" bestFit="1" customWidth="1"/>
    <col min="10234" max="10234" width="3.1796875" style="188" customWidth="1"/>
    <col min="10235" max="10238" width="21.81640625" style="188" bestFit="1" customWidth="1"/>
    <col min="10239" max="10239" width="9.81640625" style="188" customWidth="1"/>
    <col min="10240" max="10240" width="23.7265625" style="188" bestFit="1" customWidth="1"/>
    <col min="10241" max="10241" width="20.81640625" style="188" customWidth="1"/>
    <col min="10242" max="10461" width="9.1796875" style="188"/>
    <col min="10462" max="10462" width="10" style="188" customWidth="1"/>
    <col min="10463" max="10463" width="10.26953125" style="188" bestFit="1" customWidth="1"/>
    <col min="10464" max="10464" width="19.54296875" style="188" customWidth="1"/>
    <col min="10465" max="10465" width="11.1796875" style="188" customWidth="1"/>
    <col min="10466" max="10466" width="12.1796875" style="188" customWidth="1"/>
    <col min="10467" max="10467" width="9.54296875" style="188" bestFit="1" customWidth="1"/>
    <col min="10468" max="10468" width="40" style="188" bestFit="1" customWidth="1"/>
    <col min="10469" max="10469" width="9.1796875" style="188"/>
    <col min="10470" max="10471" width="14.453125" style="188" customWidth="1"/>
    <col min="10472" max="10472" width="12.54296875" style="188" customWidth="1"/>
    <col min="10473" max="10473" width="14.453125" style="188" customWidth="1"/>
    <col min="10474" max="10474" width="17.54296875" style="188" customWidth="1"/>
    <col min="10475" max="10475" width="25.7265625" style="188" customWidth="1"/>
    <col min="10476" max="10477" width="14" style="188" customWidth="1"/>
    <col min="10478" max="10478" width="18.7265625" style="188" customWidth="1"/>
    <col min="10479" max="10479" width="38.26953125" style="188" customWidth="1"/>
    <col min="10480" max="10480" width="22.54296875" style="188" bestFit="1" customWidth="1"/>
    <col min="10481" max="10481" width="1.81640625" style="188" customWidth="1"/>
    <col min="10482" max="10482" width="14.54296875" style="188" customWidth="1"/>
    <col min="10483" max="10483" width="1.81640625" style="188" customWidth="1"/>
    <col min="10484" max="10487" width="7.26953125" style="188" bestFit="1" customWidth="1"/>
    <col min="10488" max="10488" width="8.54296875" style="188" bestFit="1" customWidth="1"/>
    <col min="10489" max="10489" width="7.1796875" style="188" bestFit="1" customWidth="1"/>
    <col min="10490" max="10490" width="3.1796875" style="188" customWidth="1"/>
    <col min="10491" max="10494" width="21.81640625" style="188" bestFit="1" customWidth="1"/>
    <col min="10495" max="10495" width="9.81640625" style="188" customWidth="1"/>
    <col min="10496" max="10496" width="23.7265625" style="188" bestFit="1" customWidth="1"/>
    <col min="10497" max="10497" width="20.81640625" style="188" customWidth="1"/>
    <col min="10498" max="10717" width="9.1796875" style="188"/>
    <col min="10718" max="10718" width="10" style="188" customWidth="1"/>
    <col min="10719" max="10719" width="10.26953125" style="188" bestFit="1" customWidth="1"/>
    <col min="10720" max="10720" width="19.54296875" style="188" customWidth="1"/>
    <col min="10721" max="10721" width="11.1796875" style="188" customWidth="1"/>
    <col min="10722" max="10722" width="12.1796875" style="188" customWidth="1"/>
    <col min="10723" max="10723" width="9.54296875" style="188" bestFit="1" customWidth="1"/>
    <col min="10724" max="10724" width="40" style="188" bestFit="1" customWidth="1"/>
    <col min="10725" max="10725" width="9.1796875" style="188"/>
    <col min="10726" max="10727" width="14.453125" style="188" customWidth="1"/>
    <col min="10728" max="10728" width="12.54296875" style="188" customWidth="1"/>
    <col min="10729" max="10729" width="14.453125" style="188" customWidth="1"/>
    <col min="10730" max="10730" width="17.54296875" style="188" customWidth="1"/>
    <col min="10731" max="10731" width="25.7265625" style="188" customWidth="1"/>
    <col min="10732" max="10733" width="14" style="188" customWidth="1"/>
    <col min="10734" max="10734" width="18.7265625" style="188" customWidth="1"/>
    <col min="10735" max="10735" width="38.26953125" style="188" customWidth="1"/>
    <col min="10736" max="10736" width="22.54296875" style="188" bestFit="1" customWidth="1"/>
    <col min="10737" max="10737" width="1.81640625" style="188" customWidth="1"/>
    <col min="10738" max="10738" width="14.54296875" style="188" customWidth="1"/>
    <col min="10739" max="10739" width="1.81640625" style="188" customWidth="1"/>
    <col min="10740" max="10743" width="7.26953125" style="188" bestFit="1" customWidth="1"/>
    <col min="10744" max="10744" width="8.54296875" style="188" bestFit="1" customWidth="1"/>
    <col min="10745" max="10745" width="7.1796875" style="188" bestFit="1" customWidth="1"/>
    <col min="10746" max="10746" width="3.1796875" style="188" customWidth="1"/>
    <col min="10747" max="10750" width="21.81640625" style="188" bestFit="1" customWidth="1"/>
    <col min="10751" max="10751" width="9.81640625" style="188" customWidth="1"/>
    <col min="10752" max="10752" width="23.7265625" style="188" bestFit="1" customWidth="1"/>
    <col min="10753" max="10753" width="20.81640625" style="188" customWidth="1"/>
    <col min="10754" max="10973" width="9.1796875" style="188"/>
    <col min="10974" max="10974" width="10" style="188" customWidth="1"/>
    <col min="10975" max="10975" width="10.26953125" style="188" bestFit="1" customWidth="1"/>
    <col min="10976" max="10976" width="19.54296875" style="188" customWidth="1"/>
    <col min="10977" max="10977" width="11.1796875" style="188" customWidth="1"/>
    <col min="10978" max="10978" width="12.1796875" style="188" customWidth="1"/>
    <col min="10979" max="10979" width="9.54296875" style="188" bestFit="1" customWidth="1"/>
    <col min="10980" max="10980" width="40" style="188" bestFit="1" customWidth="1"/>
    <col min="10981" max="10981" width="9.1796875" style="188"/>
    <col min="10982" max="10983" width="14.453125" style="188" customWidth="1"/>
    <col min="10984" max="10984" width="12.54296875" style="188" customWidth="1"/>
    <col min="10985" max="10985" width="14.453125" style="188" customWidth="1"/>
    <col min="10986" max="10986" width="17.54296875" style="188" customWidth="1"/>
    <col min="10987" max="10987" width="25.7265625" style="188" customWidth="1"/>
    <col min="10988" max="10989" width="14" style="188" customWidth="1"/>
    <col min="10990" max="10990" width="18.7265625" style="188" customWidth="1"/>
    <col min="10991" max="10991" width="38.26953125" style="188" customWidth="1"/>
    <col min="10992" max="10992" width="22.54296875" style="188" bestFit="1" customWidth="1"/>
    <col min="10993" max="10993" width="1.81640625" style="188" customWidth="1"/>
    <col min="10994" max="10994" width="14.54296875" style="188" customWidth="1"/>
    <col min="10995" max="10995" width="1.81640625" style="188" customWidth="1"/>
    <col min="10996" max="10999" width="7.26953125" style="188" bestFit="1" customWidth="1"/>
    <col min="11000" max="11000" width="8.54296875" style="188" bestFit="1" customWidth="1"/>
    <col min="11001" max="11001" width="7.1796875" style="188" bestFit="1" customWidth="1"/>
    <col min="11002" max="11002" width="3.1796875" style="188" customWidth="1"/>
    <col min="11003" max="11006" width="21.81640625" style="188" bestFit="1" customWidth="1"/>
    <col min="11007" max="11007" width="9.81640625" style="188" customWidth="1"/>
    <col min="11008" max="11008" width="23.7265625" style="188" bestFit="1" customWidth="1"/>
    <col min="11009" max="11009" width="20.81640625" style="188" customWidth="1"/>
    <col min="11010" max="11229" width="9.1796875" style="188"/>
    <col min="11230" max="11230" width="10" style="188" customWidth="1"/>
    <col min="11231" max="11231" width="10.26953125" style="188" bestFit="1" customWidth="1"/>
    <col min="11232" max="11232" width="19.54296875" style="188" customWidth="1"/>
    <col min="11233" max="11233" width="11.1796875" style="188" customWidth="1"/>
    <col min="11234" max="11234" width="12.1796875" style="188" customWidth="1"/>
    <col min="11235" max="11235" width="9.54296875" style="188" bestFit="1" customWidth="1"/>
    <col min="11236" max="11236" width="40" style="188" bestFit="1" customWidth="1"/>
    <col min="11237" max="11237" width="9.1796875" style="188"/>
    <col min="11238" max="11239" width="14.453125" style="188" customWidth="1"/>
    <col min="11240" max="11240" width="12.54296875" style="188" customWidth="1"/>
    <col min="11241" max="11241" width="14.453125" style="188" customWidth="1"/>
    <col min="11242" max="11242" width="17.54296875" style="188" customWidth="1"/>
    <col min="11243" max="11243" width="25.7265625" style="188" customWidth="1"/>
    <col min="11244" max="11245" width="14" style="188" customWidth="1"/>
    <col min="11246" max="11246" width="18.7265625" style="188" customWidth="1"/>
    <col min="11247" max="11247" width="38.26953125" style="188" customWidth="1"/>
    <col min="11248" max="11248" width="22.54296875" style="188" bestFit="1" customWidth="1"/>
    <col min="11249" max="11249" width="1.81640625" style="188" customWidth="1"/>
    <col min="11250" max="11250" width="14.54296875" style="188" customWidth="1"/>
    <col min="11251" max="11251" width="1.81640625" style="188" customWidth="1"/>
    <col min="11252" max="11255" width="7.26953125" style="188" bestFit="1" customWidth="1"/>
    <col min="11256" max="11256" width="8.54296875" style="188" bestFit="1" customWidth="1"/>
    <col min="11257" max="11257" width="7.1796875" style="188" bestFit="1" customWidth="1"/>
    <col min="11258" max="11258" width="3.1796875" style="188" customWidth="1"/>
    <col min="11259" max="11262" width="21.81640625" style="188" bestFit="1" customWidth="1"/>
    <col min="11263" max="11263" width="9.81640625" style="188" customWidth="1"/>
    <col min="11264" max="11264" width="23.7265625" style="188" bestFit="1" customWidth="1"/>
    <col min="11265" max="11265" width="20.81640625" style="188" customWidth="1"/>
    <col min="11266" max="11485" width="9.1796875" style="188"/>
    <col min="11486" max="11486" width="10" style="188" customWidth="1"/>
    <col min="11487" max="11487" width="10.26953125" style="188" bestFit="1" customWidth="1"/>
    <col min="11488" max="11488" width="19.54296875" style="188" customWidth="1"/>
    <col min="11489" max="11489" width="11.1796875" style="188" customWidth="1"/>
    <col min="11490" max="11490" width="12.1796875" style="188" customWidth="1"/>
    <col min="11491" max="11491" width="9.54296875" style="188" bestFit="1" customWidth="1"/>
    <col min="11492" max="11492" width="40" style="188" bestFit="1" customWidth="1"/>
    <col min="11493" max="11493" width="9.1796875" style="188"/>
    <col min="11494" max="11495" width="14.453125" style="188" customWidth="1"/>
    <col min="11496" max="11496" width="12.54296875" style="188" customWidth="1"/>
    <col min="11497" max="11497" width="14.453125" style="188" customWidth="1"/>
    <col min="11498" max="11498" width="17.54296875" style="188" customWidth="1"/>
    <col min="11499" max="11499" width="25.7265625" style="188" customWidth="1"/>
    <col min="11500" max="11501" width="14" style="188" customWidth="1"/>
    <col min="11502" max="11502" width="18.7265625" style="188" customWidth="1"/>
    <col min="11503" max="11503" width="38.26953125" style="188" customWidth="1"/>
    <col min="11504" max="11504" width="22.54296875" style="188" bestFit="1" customWidth="1"/>
    <col min="11505" max="11505" width="1.81640625" style="188" customWidth="1"/>
    <col min="11506" max="11506" width="14.54296875" style="188" customWidth="1"/>
    <col min="11507" max="11507" width="1.81640625" style="188" customWidth="1"/>
    <col min="11508" max="11511" width="7.26953125" style="188" bestFit="1" customWidth="1"/>
    <col min="11512" max="11512" width="8.54296875" style="188" bestFit="1" customWidth="1"/>
    <col min="11513" max="11513" width="7.1796875" style="188" bestFit="1" customWidth="1"/>
    <col min="11514" max="11514" width="3.1796875" style="188" customWidth="1"/>
    <col min="11515" max="11518" width="21.81640625" style="188" bestFit="1" customWidth="1"/>
    <col min="11519" max="11519" width="9.81640625" style="188" customWidth="1"/>
    <col min="11520" max="11520" width="23.7265625" style="188" bestFit="1" customWidth="1"/>
    <col min="11521" max="11521" width="20.81640625" style="188" customWidth="1"/>
    <col min="11522" max="11741" width="9.1796875" style="188"/>
    <col min="11742" max="11742" width="10" style="188" customWidth="1"/>
    <col min="11743" max="11743" width="10.26953125" style="188" bestFit="1" customWidth="1"/>
    <col min="11744" max="11744" width="19.54296875" style="188" customWidth="1"/>
    <col min="11745" max="11745" width="11.1796875" style="188" customWidth="1"/>
    <col min="11746" max="11746" width="12.1796875" style="188" customWidth="1"/>
    <col min="11747" max="11747" width="9.54296875" style="188" bestFit="1" customWidth="1"/>
    <col min="11748" max="11748" width="40" style="188" bestFit="1" customWidth="1"/>
    <col min="11749" max="11749" width="9.1796875" style="188"/>
    <col min="11750" max="11751" width="14.453125" style="188" customWidth="1"/>
    <col min="11752" max="11752" width="12.54296875" style="188" customWidth="1"/>
    <col min="11753" max="11753" width="14.453125" style="188" customWidth="1"/>
    <col min="11754" max="11754" width="17.54296875" style="188" customWidth="1"/>
    <col min="11755" max="11755" width="25.7265625" style="188" customWidth="1"/>
    <col min="11756" max="11757" width="14" style="188" customWidth="1"/>
    <col min="11758" max="11758" width="18.7265625" style="188" customWidth="1"/>
    <col min="11759" max="11759" width="38.26953125" style="188" customWidth="1"/>
    <col min="11760" max="11760" width="22.54296875" style="188" bestFit="1" customWidth="1"/>
    <col min="11761" max="11761" width="1.81640625" style="188" customWidth="1"/>
    <col min="11762" max="11762" width="14.54296875" style="188" customWidth="1"/>
    <col min="11763" max="11763" width="1.81640625" style="188" customWidth="1"/>
    <col min="11764" max="11767" width="7.26953125" style="188" bestFit="1" customWidth="1"/>
    <col min="11768" max="11768" width="8.54296875" style="188" bestFit="1" customWidth="1"/>
    <col min="11769" max="11769" width="7.1796875" style="188" bestFit="1" customWidth="1"/>
    <col min="11770" max="11770" width="3.1796875" style="188" customWidth="1"/>
    <col min="11771" max="11774" width="21.81640625" style="188" bestFit="1" customWidth="1"/>
    <col min="11775" max="11775" width="9.81640625" style="188" customWidth="1"/>
    <col min="11776" max="11776" width="23.7265625" style="188" bestFit="1" customWidth="1"/>
    <col min="11777" max="11777" width="20.81640625" style="188" customWidth="1"/>
    <col min="11778" max="11997" width="9.1796875" style="188"/>
    <col min="11998" max="11998" width="10" style="188" customWidth="1"/>
    <col min="11999" max="11999" width="10.26953125" style="188" bestFit="1" customWidth="1"/>
    <col min="12000" max="12000" width="19.54296875" style="188" customWidth="1"/>
    <col min="12001" max="12001" width="11.1796875" style="188" customWidth="1"/>
    <col min="12002" max="12002" width="12.1796875" style="188" customWidth="1"/>
    <col min="12003" max="12003" width="9.54296875" style="188" bestFit="1" customWidth="1"/>
    <col min="12004" max="12004" width="40" style="188" bestFit="1" customWidth="1"/>
    <col min="12005" max="12005" width="9.1796875" style="188"/>
    <col min="12006" max="12007" width="14.453125" style="188" customWidth="1"/>
    <col min="12008" max="12008" width="12.54296875" style="188" customWidth="1"/>
    <col min="12009" max="12009" width="14.453125" style="188" customWidth="1"/>
    <col min="12010" max="12010" width="17.54296875" style="188" customWidth="1"/>
    <col min="12011" max="12011" width="25.7265625" style="188" customWidth="1"/>
    <col min="12012" max="12013" width="14" style="188" customWidth="1"/>
    <col min="12014" max="12014" width="18.7265625" style="188" customWidth="1"/>
    <col min="12015" max="12015" width="38.26953125" style="188" customWidth="1"/>
    <col min="12016" max="12016" width="22.54296875" style="188" bestFit="1" customWidth="1"/>
    <col min="12017" max="12017" width="1.81640625" style="188" customWidth="1"/>
    <col min="12018" max="12018" width="14.54296875" style="188" customWidth="1"/>
    <col min="12019" max="12019" width="1.81640625" style="188" customWidth="1"/>
    <col min="12020" max="12023" width="7.26953125" style="188" bestFit="1" customWidth="1"/>
    <col min="12024" max="12024" width="8.54296875" style="188" bestFit="1" customWidth="1"/>
    <col min="12025" max="12025" width="7.1796875" style="188" bestFit="1" customWidth="1"/>
    <col min="12026" max="12026" width="3.1796875" style="188" customWidth="1"/>
    <col min="12027" max="12030" width="21.81640625" style="188" bestFit="1" customWidth="1"/>
    <col min="12031" max="12031" width="9.81640625" style="188" customWidth="1"/>
    <col min="12032" max="12032" width="23.7265625" style="188" bestFit="1" customWidth="1"/>
    <col min="12033" max="12033" width="20.81640625" style="188" customWidth="1"/>
    <col min="12034" max="12253" width="9.1796875" style="188"/>
    <col min="12254" max="12254" width="10" style="188" customWidth="1"/>
    <col min="12255" max="12255" width="10.26953125" style="188" bestFit="1" customWidth="1"/>
    <col min="12256" max="12256" width="19.54296875" style="188" customWidth="1"/>
    <col min="12257" max="12257" width="11.1796875" style="188" customWidth="1"/>
    <col min="12258" max="12258" width="12.1796875" style="188" customWidth="1"/>
    <col min="12259" max="12259" width="9.54296875" style="188" bestFit="1" customWidth="1"/>
    <col min="12260" max="12260" width="40" style="188" bestFit="1" customWidth="1"/>
    <col min="12261" max="12261" width="9.1796875" style="188"/>
    <col min="12262" max="12263" width="14.453125" style="188" customWidth="1"/>
    <col min="12264" max="12264" width="12.54296875" style="188" customWidth="1"/>
    <col min="12265" max="12265" width="14.453125" style="188" customWidth="1"/>
    <col min="12266" max="12266" width="17.54296875" style="188" customWidth="1"/>
    <col min="12267" max="12267" width="25.7265625" style="188" customWidth="1"/>
    <col min="12268" max="12269" width="14" style="188" customWidth="1"/>
    <col min="12270" max="12270" width="18.7265625" style="188" customWidth="1"/>
    <col min="12271" max="12271" width="38.26953125" style="188" customWidth="1"/>
    <col min="12272" max="12272" width="22.54296875" style="188" bestFit="1" customWidth="1"/>
    <col min="12273" max="12273" width="1.81640625" style="188" customWidth="1"/>
    <col min="12274" max="12274" width="14.54296875" style="188" customWidth="1"/>
    <col min="12275" max="12275" width="1.81640625" style="188" customWidth="1"/>
    <col min="12276" max="12279" width="7.26953125" style="188" bestFit="1" customWidth="1"/>
    <col min="12280" max="12280" width="8.54296875" style="188" bestFit="1" customWidth="1"/>
    <col min="12281" max="12281" width="7.1796875" style="188" bestFit="1" customWidth="1"/>
    <col min="12282" max="12282" width="3.1796875" style="188" customWidth="1"/>
    <col min="12283" max="12286" width="21.81640625" style="188" bestFit="1" customWidth="1"/>
    <col min="12287" max="12287" width="9.81640625" style="188" customWidth="1"/>
    <col min="12288" max="12288" width="23.7265625" style="188" bestFit="1" customWidth="1"/>
    <col min="12289" max="12289" width="20.81640625" style="188" customWidth="1"/>
    <col min="12290" max="12509" width="9.1796875" style="188"/>
    <col min="12510" max="12510" width="10" style="188" customWidth="1"/>
    <col min="12511" max="12511" width="10.26953125" style="188" bestFit="1" customWidth="1"/>
    <col min="12512" max="12512" width="19.54296875" style="188" customWidth="1"/>
    <col min="12513" max="12513" width="11.1796875" style="188" customWidth="1"/>
    <col min="12514" max="12514" width="12.1796875" style="188" customWidth="1"/>
    <col min="12515" max="12515" width="9.54296875" style="188" bestFit="1" customWidth="1"/>
    <col min="12516" max="12516" width="40" style="188" bestFit="1" customWidth="1"/>
    <col min="12517" max="12517" width="9.1796875" style="188"/>
    <col min="12518" max="12519" width="14.453125" style="188" customWidth="1"/>
    <col min="12520" max="12520" width="12.54296875" style="188" customWidth="1"/>
    <col min="12521" max="12521" width="14.453125" style="188" customWidth="1"/>
    <col min="12522" max="12522" width="17.54296875" style="188" customWidth="1"/>
    <col min="12523" max="12523" width="25.7265625" style="188" customWidth="1"/>
    <col min="12524" max="12525" width="14" style="188" customWidth="1"/>
    <col min="12526" max="12526" width="18.7265625" style="188" customWidth="1"/>
    <col min="12527" max="12527" width="38.26953125" style="188" customWidth="1"/>
    <col min="12528" max="12528" width="22.54296875" style="188" bestFit="1" customWidth="1"/>
    <col min="12529" max="12529" width="1.81640625" style="188" customWidth="1"/>
    <col min="12530" max="12530" width="14.54296875" style="188" customWidth="1"/>
    <col min="12531" max="12531" width="1.81640625" style="188" customWidth="1"/>
    <col min="12532" max="12535" width="7.26953125" style="188" bestFit="1" customWidth="1"/>
    <col min="12536" max="12536" width="8.54296875" style="188" bestFit="1" customWidth="1"/>
    <col min="12537" max="12537" width="7.1796875" style="188" bestFit="1" customWidth="1"/>
    <col min="12538" max="12538" width="3.1796875" style="188" customWidth="1"/>
    <col min="12539" max="12542" width="21.81640625" style="188" bestFit="1" customWidth="1"/>
    <col min="12543" max="12543" width="9.81640625" style="188" customWidth="1"/>
    <col min="12544" max="12544" width="23.7265625" style="188" bestFit="1" customWidth="1"/>
    <col min="12545" max="12545" width="20.81640625" style="188" customWidth="1"/>
    <col min="12546" max="12765" width="9.1796875" style="188"/>
    <col min="12766" max="12766" width="10" style="188" customWidth="1"/>
    <col min="12767" max="12767" width="10.26953125" style="188" bestFit="1" customWidth="1"/>
    <col min="12768" max="12768" width="19.54296875" style="188" customWidth="1"/>
    <col min="12769" max="12769" width="11.1796875" style="188" customWidth="1"/>
    <col min="12770" max="12770" width="12.1796875" style="188" customWidth="1"/>
    <col min="12771" max="12771" width="9.54296875" style="188" bestFit="1" customWidth="1"/>
    <col min="12772" max="12772" width="40" style="188" bestFit="1" customWidth="1"/>
    <col min="12773" max="12773" width="9.1796875" style="188"/>
    <col min="12774" max="12775" width="14.453125" style="188" customWidth="1"/>
    <col min="12776" max="12776" width="12.54296875" style="188" customWidth="1"/>
    <col min="12777" max="12777" width="14.453125" style="188" customWidth="1"/>
    <col min="12778" max="12778" width="17.54296875" style="188" customWidth="1"/>
    <col min="12779" max="12779" width="25.7265625" style="188" customWidth="1"/>
    <col min="12780" max="12781" width="14" style="188" customWidth="1"/>
    <col min="12782" max="12782" width="18.7265625" style="188" customWidth="1"/>
    <col min="12783" max="12783" width="38.26953125" style="188" customWidth="1"/>
    <col min="12784" max="12784" width="22.54296875" style="188" bestFit="1" customWidth="1"/>
    <col min="12785" max="12785" width="1.81640625" style="188" customWidth="1"/>
    <col min="12786" max="12786" width="14.54296875" style="188" customWidth="1"/>
    <col min="12787" max="12787" width="1.81640625" style="188" customWidth="1"/>
    <col min="12788" max="12791" width="7.26953125" style="188" bestFit="1" customWidth="1"/>
    <col min="12792" max="12792" width="8.54296875" style="188" bestFit="1" customWidth="1"/>
    <col min="12793" max="12793" width="7.1796875" style="188" bestFit="1" customWidth="1"/>
    <col min="12794" max="12794" width="3.1796875" style="188" customWidth="1"/>
    <col min="12795" max="12798" width="21.81640625" style="188" bestFit="1" customWidth="1"/>
    <col min="12799" max="12799" width="9.81640625" style="188" customWidth="1"/>
    <col min="12800" max="12800" width="23.7265625" style="188" bestFit="1" customWidth="1"/>
    <col min="12801" max="12801" width="20.81640625" style="188" customWidth="1"/>
    <col min="12802" max="13021" width="9.1796875" style="188"/>
    <col min="13022" max="13022" width="10" style="188" customWidth="1"/>
    <col min="13023" max="13023" width="10.26953125" style="188" bestFit="1" customWidth="1"/>
    <col min="13024" max="13024" width="19.54296875" style="188" customWidth="1"/>
    <col min="13025" max="13025" width="11.1796875" style="188" customWidth="1"/>
    <col min="13026" max="13026" width="12.1796875" style="188" customWidth="1"/>
    <col min="13027" max="13027" width="9.54296875" style="188" bestFit="1" customWidth="1"/>
    <col min="13028" max="13028" width="40" style="188" bestFit="1" customWidth="1"/>
    <col min="13029" max="13029" width="9.1796875" style="188"/>
    <col min="13030" max="13031" width="14.453125" style="188" customWidth="1"/>
    <col min="13032" max="13032" width="12.54296875" style="188" customWidth="1"/>
    <col min="13033" max="13033" width="14.453125" style="188" customWidth="1"/>
    <col min="13034" max="13034" width="17.54296875" style="188" customWidth="1"/>
    <col min="13035" max="13035" width="25.7265625" style="188" customWidth="1"/>
    <col min="13036" max="13037" width="14" style="188" customWidth="1"/>
    <col min="13038" max="13038" width="18.7265625" style="188" customWidth="1"/>
    <col min="13039" max="13039" width="38.26953125" style="188" customWidth="1"/>
    <col min="13040" max="13040" width="22.54296875" style="188" bestFit="1" customWidth="1"/>
    <col min="13041" max="13041" width="1.81640625" style="188" customWidth="1"/>
    <col min="13042" max="13042" width="14.54296875" style="188" customWidth="1"/>
    <col min="13043" max="13043" width="1.81640625" style="188" customWidth="1"/>
    <col min="13044" max="13047" width="7.26953125" style="188" bestFit="1" customWidth="1"/>
    <col min="13048" max="13048" width="8.54296875" style="188" bestFit="1" customWidth="1"/>
    <col min="13049" max="13049" width="7.1796875" style="188" bestFit="1" customWidth="1"/>
    <col min="13050" max="13050" width="3.1796875" style="188" customWidth="1"/>
    <col min="13051" max="13054" width="21.81640625" style="188" bestFit="1" customWidth="1"/>
    <col min="13055" max="13055" width="9.81640625" style="188" customWidth="1"/>
    <col min="13056" max="13056" width="23.7265625" style="188" bestFit="1" customWidth="1"/>
    <col min="13057" max="13057" width="20.81640625" style="188" customWidth="1"/>
    <col min="13058" max="13277" width="9.1796875" style="188"/>
    <col min="13278" max="13278" width="10" style="188" customWidth="1"/>
    <col min="13279" max="13279" width="10.26953125" style="188" bestFit="1" customWidth="1"/>
    <col min="13280" max="13280" width="19.54296875" style="188" customWidth="1"/>
    <col min="13281" max="13281" width="11.1796875" style="188" customWidth="1"/>
    <col min="13282" max="13282" width="12.1796875" style="188" customWidth="1"/>
    <col min="13283" max="13283" width="9.54296875" style="188" bestFit="1" customWidth="1"/>
    <col min="13284" max="13284" width="40" style="188" bestFit="1" customWidth="1"/>
    <col min="13285" max="13285" width="9.1796875" style="188"/>
    <col min="13286" max="13287" width="14.453125" style="188" customWidth="1"/>
    <col min="13288" max="13288" width="12.54296875" style="188" customWidth="1"/>
    <col min="13289" max="13289" width="14.453125" style="188" customWidth="1"/>
    <col min="13290" max="13290" width="17.54296875" style="188" customWidth="1"/>
    <col min="13291" max="13291" width="25.7265625" style="188" customWidth="1"/>
    <col min="13292" max="13293" width="14" style="188" customWidth="1"/>
    <col min="13294" max="13294" width="18.7265625" style="188" customWidth="1"/>
    <col min="13295" max="13295" width="38.26953125" style="188" customWidth="1"/>
    <col min="13296" max="13296" width="22.54296875" style="188" bestFit="1" customWidth="1"/>
    <col min="13297" max="13297" width="1.81640625" style="188" customWidth="1"/>
    <col min="13298" max="13298" width="14.54296875" style="188" customWidth="1"/>
    <col min="13299" max="13299" width="1.81640625" style="188" customWidth="1"/>
    <col min="13300" max="13303" width="7.26953125" style="188" bestFit="1" customWidth="1"/>
    <col min="13304" max="13304" width="8.54296875" style="188" bestFit="1" customWidth="1"/>
    <col min="13305" max="13305" width="7.1796875" style="188" bestFit="1" customWidth="1"/>
    <col min="13306" max="13306" width="3.1796875" style="188" customWidth="1"/>
    <col min="13307" max="13310" width="21.81640625" style="188" bestFit="1" customWidth="1"/>
    <col min="13311" max="13311" width="9.81640625" style="188" customWidth="1"/>
    <col min="13312" max="13312" width="23.7265625" style="188" bestFit="1" customWidth="1"/>
    <col min="13313" max="13313" width="20.81640625" style="188" customWidth="1"/>
    <col min="13314" max="13533" width="9.1796875" style="188"/>
    <col min="13534" max="13534" width="10" style="188" customWidth="1"/>
    <col min="13535" max="13535" width="10.26953125" style="188" bestFit="1" customWidth="1"/>
    <col min="13536" max="13536" width="19.54296875" style="188" customWidth="1"/>
    <col min="13537" max="13537" width="11.1796875" style="188" customWidth="1"/>
    <col min="13538" max="13538" width="12.1796875" style="188" customWidth="1"/>
    <col min="13539" max="13539" width="9.54296875" style="188" bestFit="1" customWidth="1"/>
    <col min="13540" max="13540" width="40" style="188" bestFit="1" customWidth="1"/>
    <col min="13541" max="13541" width="9.1796875" style="188"/>
    <col min="13542" max="13543" width="14.453125" style="188" customWidth="1"/>
    <col min="13544" max="13544" width="12.54296875" style="188" customWidth="1"/>
    <col min="13545" max="13545" width="14.453125" style="188" customWidth="1"/>
    <col min="13546" max="13546" width="17.54296875" style="188" customWidth="1"/>
    <col min="13547" max="13547" width="25.7265625" style="188" customWidth="1"/>
    <col min="13548" max="13549" width="14" style="188" customWidth="1"/>
    <col min="13550" max="13550" width="18.7265625" style="188" customWidth="1"/>
    <col min="13551" max="13551" width="38.26953125" style="188" customWidth="1"/>
    <col min="13552" max="13552" width="22.54296875" style="188" bestFit="1" customWidth="1"/>
    <col min="13553" max="13553" width="1.81640625" style="188" customWidth="1"/>
    <col min="13554" max="13554" width="14.54296875" style="188" customWidth="1"/>
    <col min="13555" max="13555" width="1.81640625" style="188" customWidth="1"/>
    <col min="13556" max="13559" width="7.26953125" style="188" bestFit="1" customWidth="1"/>
    <col min="13560" max="13560" width="8.54296875" style="188" bestFit="1" customWidth="1"/>
    <col min="13561" max="13561" width="7.1796875" style="188" bestFit="1" customWidth="1"/>
    <col min="13562" max="13562" width="3.1796875" style="188" customWidth="1"/>
    <col min="13563" max="13566" width="21.81640625" style="188" bestFit="1" customWidth="1"/>
    <col min="13567" max="13567" width="9.81640625" style="188" customWidth="1"/>
    <col min="13568" max="13568" width="23.7265625" style="188" bestFit="1" customWidth="1"/>
    <col min="13569" max="13569" width="20.81640625" style="188" customWidth="1"/>
    <col min="13570" max="13789" width="9.1796875" style="188"/>
    <col min="13790" max="13790" width="10" style="188" customWidth="1"/>
    <col min="13791" max="13791" width="10.26953125" style="188" bestFit="1" customWidth="1"/>
    <col min="13792" max="13792" width="19.54296875" style="188" customWidth="1"/>
    <col min="13793" max="13793" width="11.1796875" style="188" customWidth="1"/>
    <col min="13794" max="13794" width="12.1796875" style="188" customWidth="1"/>
    <col min="13795" max="13795" width="9.54296875" style="188" bestFit="1" customWidth="1"/>
    <col min="13796" max="13796" width="40" style="188" bestFit="1" customWidth="1"/>
    <col min="13797" max="13797" width="9.1796875" style="188"/>
    <col min="13798" max="13799" width="14.453125" style="188" customWidth="1"/>
    <col min="13800" max="13800" width="12.54296875" style="188" customWidth="1"/>
    <col min="13801" max="13801" width="14.453125" style="188" customWidth="1"/>
    <col min="13802" max="13802" width="17.54296875" style="188" customWidth="1"/>
    <col min="13803" max="13803" width="25.7265625" style="188" customWidth="1"/>
    <col min="13804" max="13805" width="14" style="188" customWidth="1"/>
    <col min="13806" max="13806" width="18.7265625" style="188" customWidth="1"/>
    <col min="13807" max="13807" width="38.26953125" style="188" customWidth="1"/>
    <col min="13808" max="13808" width="22.54296875" style="188" bestFit="1" customWidth="1"/>
    <col min="13809" max="13809" width="1.81640625" style="188" customWidth="1"/>
    <col min="13810" max="13810" width="14.54296875" style="188" customWidth="1"/>
    <col min="13811" max="13811" width="1.81640625" style="188" customWidth="1"/>
    <col min="13812" max="13815" width="7.26953125" style="188" bestFit="1" customWidth="1"/>
    <col min="13816" max="13816" width="8.54296875" style="188" bestFit="1" customWidth="1"/>
    <col min="13817" max="13817" width="7.1796875" style="188" bestFit="1" customWidth="1"/>
    <col min="13818" max="13818" width="3.1796875" style="188" customWidth="1"/>
    <col min="13819" max="13822" width="21.81640625" style="188" bestFit="1" customWidth="1"/>
    <col min="13823" max="13823" width="9.81640625" style="188" customWidth="1"/>
    <col min="13824" max="13824" width="23.7265625" style="188" bestFit="1" customWidth="1"/>
    <col min="13825" max="13825" width="20.81640625" style="188" customWidth="1"/>
    <col min="13826" max="14045" width="9.1796875" style="188"/>
    <col min="14046" max="14046" width="10" style="188" customWidth="1"/>
    <col min="14047" max="14047" width="10.26953125" style="188" bestFit="1" customWidth="1"/>
    <col min="14048" max="14048" width="19.54296875" style="188" customWidth="1"/>
    <col min="14049" max="14049" width="11.1796875" style="188" customWidth="1"/>
    <col min="14050" max="14050" width="12.1796875" style="188" customWidth="1"/>
    <col min="14051" max="14051" width="9.54296875" style="188" bestFit="1" customWidth="1"/>
    <col min="14052" max="14052" width="40" style="188" bestFit="1" customWidth="1"/>
    <col min="14053" max="14053" width="9.1796875" style="188"/>
    <col min="14054" max="14055" width="14.453125" style="188" customWidth="1"/>
    <col min="14056" max="14056" width="12.54296875" style="188" customWidth="1"/>
    <col min="14057" max="14057" width="14.453125" style="188" customWidth="1"/>
    <col min="14058" max="14058" width="17.54296875" style="188" customWidth="1"/>
    <col min="14059" max="14059" width="25.7265625" style="188" customWidth="1"/>
    <col min="14060" max="14061" width="14" style="188" customWidth="1"/>
    <col min="14062" max="14062" width="18.7265625" style="188" customWidth="1"/>
    <col min="14063" max="14063" width="38.26953125" style="188" customWidth="1"/>
    <col min="14064" max="14064" width="22.54296875" style="188" bestFit="1" customWidth="1"/>
    <col min="14065" max="14065" width="1.81640625" style="188" customWidth="1"/>
    <col min="14066" max="14066" width="14.54296875" style="188" customWidth="1"/>
    <col min="14067" max="14067" width="1.81640625" style="188" customWidth="1"/>
    <col min="14068" max="14071" width="7.26953125" style="188" bestFit="1" customWidth="1"/>
    <col min="14072" max="14072" width="8.54296875" style="188" bestFit="1" customWidth="1"/>
    <col min="14073" max="14073" width="7.1796875" style="188" bestFit="1" customWidth="1"/>
    <col min="14074" max="14074" width="3.1796875" style="188" customWidth="1"/>
    <col min="14075" max="14078" width="21.81640625" style="188" bestFit="1" customWidth="1"/>
    <col min="14079" max="14079" width="9.81640625" style="188" customWidth="1"/>
    <col min="14080" max="14080" width="23.7265625" style="188" bestFit="1" customWidth="1"/>
    <col min="14081" max="14081" width="20.81640625" style="188" customWidth="1"/>
    <col min="14082" max="14301" width="9.1796875" style="188"/>
    <col min="14302" max="14302" width="10" style="188" customWidth="1"/>
    <col min="14303" max="14303" width="10.26953125" style="188" bestFit="1" customWidth="1"/>
    <col min="14304" max="14304" width="19.54296875" style="188" customWidth="1"/>
    <col min="14305" max="14305" width="11.1796875" style="188" customWidth="1"/>
    <col min="14306" max="14306" width="12.1796875" style="188" customWidth="1"/>
    <col min="14307" max="14307" width="9.54296875" style="188" bestFit="1" customWidth="1"/>
    <col min="14308" max="14308" width="40" style="188" bestFit="1" customWidth="1"/>
    <col min="14309" max="14309" width="9.1796875" style="188"/>
    <col min="14310" max="14311" width="14.453125" style="188" customWidth="1"/>
    <col min="14312" max="14312" width="12.54296875" style="188" customWidth="1"/>
    <col min="14313" max="14313" width="14.453125" style="188" customWidth="1"/>
    <col min="14314" max="14314" width="17.54296875" style="188" customWidth="1"/>
    <col min="14315" max="14315" width="25.7265625" style="188" customWidth="1"/>
    <col min="14316" max="14317" width="14" style="188" customWidth="1"/>
    <col min="14318" max="14318" width="18.7265625" style="188" customWidth="1"/>
    <col min="14319" max="14319" width="38.26953125" style="188" customWidth="1"/>
    <col min="14320" max="14320" width="22.54296875" style="188" bestFit="1" customWidth="1"/>
    <col min="14321" max="14321" width="1.81640625" style="188" customWidth="1"/>
    <col min="14322" max="14322" width="14.54296875" style="188" customWidth="1"/>
    <col min="14323" max="14323" width="1.81640625" style="188" customWidth="1"/>
    <col min="14324" max="14327" width="7.26953125" style="188" bestFit="1" customWidth="1"/>
    <col min="14328" max="14328" width="8.54296875" style="188" bestFit="1" customWidth="1"/>
    <col min="14329" max="14329" width="7.1796875" style="188" bestFit="1" customWidth="1"/>
    <col min="14330" max="14330" width="3.1796875" style="188" customWidth="1"/>
    <col min="14331" max="14334" width="21.81640625" style="188" bestFit="1" customWidth="1"/>
    <col min="14335" max="14335" width="9.81640625" style="188" customWidth="1"/>
    <col min="14336" max="14336" width="23.7265625" style="188" bestFit="1" customWidth="1"/>
    <col min="14337" max="14337" width="20.81640625" style="188" customWidth="1"/>
    <col min="14338" max="14557" width="9.1796875" style="188"/>
    <col min="14558" max="14558" width="10" style="188" customWidth="1"/>
    <col min="14559" max="14559" width="10.26953125" style="188" bestFit="1" customWidth="1"/>
    <col min="14560" max="14560" width="19.54296875" style="188" customWidth="1"/>
    <col min="14561" max="14561" width="11.1796875" style="188" customWidth="1"/>
    <col min="14562" max="14562" width="12.1796875" style="188" customWidth="1"/>
    <col min="14563" max="14563" width="9.54296875" style="188" bestFit="1" customWidth="1"/>
    <col min="14564" max="14564" width="40" style="188" bestFit="1" customWidth="1"/>
    <col min="14565" max="14565" width="9.1796875" style="188"/>
    <col min="14566" max="14567" width="14.453125" style="188" customWidth="1"/>
    <col min="14568" max="14568" width="12.54296875" style="188" customWidth="1"/>
    <col min="14569" max="14569" width="14.453125" style="188" customWidth="1"/>
    <col min="14570" max="14570" width="17.54296875" style="188" customWidth="1"/>
    <col min="14571" max="14571" width="25.7265625" style="188" customWidth="1"/>
    <col min="14572" max="14573" width="14" style="188" customWidth="1"/>
    <col min="14574" max="14574" width="18.7265625" style="188" customWidth="1"/>
    <col min="14575" max="14575" width="38.26953125" style="188" customWidth="1"/>
    <col min="14576" max="14576" width="22.54296875" style="188" bestFit="1" customWidth="1"/>
    <col min="14577" max="14577" width="1.81640625" style="188" customWidth="1"/>
    <col min="14578" max="14578" width="14.54296875" style="188" customWidth="1"/>
    <col min="14579" max="14579" width="1.81640625" style="188" customWidth="1"/>
    <col min="14580" max="14583" width="7.26953125" style="188" bestFit="1" customWidth="1"/>
    <col min="14584" max="14584" width="8.54296875" style="188" bestFit="1" customWidth="1"/>
    <col min="14585" max="14585" width="7.1796875" style="188" bestFit="1" customWidth="1"/>
    <col min="14586" max="14586" width="3.1796875" style="188" customWidth="1"/>
    <col min="14587" max="14590" width="21.81640625" style="188" bestFit="1" customWidth="1"/>
    <col min="14591" max="14591" width="9.81640625" style="188" customWidth="1"/>
    <col min="14592" max="14592" width="23.7265625" style="188" bestFit="1" customWidth="1"/>
    <col min="14593" max="14593" width="20.81640625" style="188" customWidth="1"/>
    <col min="14594" max="14813" width="9.1796875" style="188"/>
    <col min="14814" max="14814" width="10" style="188" customWidth="1"/>
    <col min="14815" max="14815" width="10.26953125" style="188" bestFit="1" customWidth="1"/>
    <col min="14816" max="14816" width="19.54296875" style="188" customWidth="1"/>
    <col min="14817" max="14817" width="11.1796875" style="188" customWidth="1"/>
    <col min="14818" max="14818" width="12.1796875" style="188" customWidth="1"/>
    <col min="14819" max="14819" width="9.54296875" style="188" bestFit="1" customWidth="1"/>
    <col min="14820" max="14820" width="40" style="188" bestFit="1" customWidth="1"/>
    <col min="14821" max="14821" width="9.1796875" style="188"/>
    <col min="14822" max="14823" width="14.453125" style="188" customWidth="1"/>
    <col min="14824" max="14824" width="12.54296875" style="188" customWidth="1"/>
    <col min="14825" max="14825" width="14.453125" style="188" customWidth="1"/>
    <col min="14826" max="14826" width="17.54296875" style="188" customWidth="1"/>
    <col min="14827" max="14827" width="25.7265625" style="188" customWidth="1"/>
    <col min="14828" max="14829" width="14" style="188" customWidth="1"/>
    <col min="14830" max="14830" width="18.7265625" style="188" customWidth="1"/>
    <col min="14831" max="14831" width="38.26953125" style="188" customWidth="1"/>
    <col min="14832" max="14832" width="22.54296875" style="188" bestFit="1" customWidth="1"/>
    <col min="14833" max="14833" width="1.81640625" style="188" customWidth="1"/>
    <col min="14834" max="14834" width="14.54296875" style="188" customWidth="1"/>
    <col min="14835" max="14835" width="1.81640625" style="188" customWidth="1"/>
    <col min="14836" max="14839" width="7.26953125" style="188" bestFit="1" customWidth="1"/>
    <col min="14840" max="14840" width="8.54296875" style="188" bestFit="1" customWidth="1"/>
    <col min="14841" max="14841" width="7.1796875" style="188" bestFit="1" customWidth="1"/>
    <col min="14842" max="14842" width="3.1796875" style="188" customWidth="1"/>
    <col min="14843" max="14846" width="21.81640625" style="188" bestFit="1" customWidth="1"/>
    <col min="14847" max="14847" width="9.81640625" style="188" customWidth="1"/>
    <col min="14848" max="14848" width="23.7265625" style="188" bestFit="1" customWidth="1"/>
    <col min="14849" max="14849" width="20.81640625" style="188" customWidth="1"/>
    <col min="14850" max="15069" width="9.1796875" style="188"/>
    <col min="15070" max="15070" width="10" style="188" customWidth="1"/>
    <col min="15071" max="15071" width="10.26953125" style="188" bestFit="1" customWidth="1"/>
    <col min="15072" max="15072" width="19.54296875" style="188" customWidth="1"/>
    <col min="15073" max="15073" width="11.1796875" style="188" customWidth="1"/>
    <col min="15074" max="15074" width="12.1796875" style="188" customWidth="1"/>
    <col min="15075" max="15075" width="9.54296875" style="188" bestFit="1" customWidth="1"/>
    <col min="15076" max="15076" width="40" style="188" bestFit="1" customWidth="1"/>
    <col min="15077" max="15077" width="9.1796875" style="188"/>
    <col min="15078" max="15079" width="14.453125" style="188" customWidth="1"/>
    <col min="15080" max="15080" width="12.54296875" style="188" customWidth="1"/>
    <col min="15081" max="15081" width="14.453125" style="188" customWidth="1"/>
    <col min="15082" max="15082" width="17.54296875" style="188" customWidth="1"/>
    <col min="15083" max="15083" width="25.7265625" style="188" customWidth="1"/>
    <col min="15084" max="15085" width="14" style="188" customWidth="1"/>
    <col min="15086" max="15086" width="18.7265625" style="188" customWidth="1"/>
    <col min="15087" max="15087" width="38.26953125" style="188" customWidth="1"/>
    <col min="15088" max="15088" width="22.54296875" style="188" bestFit="1" customWidth="1"/>
    <col min="15089" max="15089" width="1.81640625" style="188" customWidth="1"/>
    <col min="15090" max="15090" width="14.54296875" style="188" customWidth="1"/>
    <col min="15091" max="15091" width="1.81640625" style="188" customWidth="1"/>
    <col min="15092" max="15095" width="7.26953125" style="188" bestFit="1" customWidth="1"/>
    <col min="15096" max="15096" width="8.54296875" style="188" bestFit="1" customWidth="1"/>
    <col min="15097" max="15097" width="7.1796875" style="188" bestFit="1" customWidth="1"/>
    <col min="15098" max="15098" width="3.1796875" style="188" customWidth="1"/>
    <col min="15099" max="15102" width="21.81640625" style="188" bestFit="1" customWidth="1"/>
    <col min="15103" max="15103" width="9.81640625" style="188" customWidth="1"/>
    <col min="15104" max="15104" width="23.7265625" style="188" bestFit="1" customWidth="1"/>
    <col min="15105" max="15105" width="20.81640625" style="188" customWidth="1"/>
    <col min="15106" max="15325" width="9.1796875" style="188"/>
    <col min="15326" max="15326" width="10" style="188" customWidth="1"/>
    <col min="15327" max="15327" width="10.26953125" style="188" bestFit="1" customWidth="1"/>
    <col min="15328" max="15328" width="19.54296875" style="188" customWidth="1"/>
    <col min="15329" max="15329" width="11.1796875" style="188" customWidth="1"/>
    <col min="15330" max="15330" width="12.1796875" style="188" customWidth="1"/>
    <col min="15331" max="15331" width="9.54296875" style="188" bestFit="1" customWidth="1"/>
    <col min="15332" max="15332" width="40" style="188" bestFit="1" customWidth="1"/>
    <col min="15333" max="15333" width="9.1796875" style="188"/>
    <col min="15334" max="15335" width="14.453125" style="188" customWidth="1"/>
    <col min="15336" max="15336" width="12.54296875" style="188" customWidth="1"/>
    <col min="15337" max="15337" width="14.453125" style="188" customWidth="1"/>
    <col min="15338" max="15338" width="17.54296875" style="188" customWidth="1"/>
    <col min="15339" max="15339" width="25.7265625" style="188" customWidth="1"/>
    <col min="15340" max="15341" width="14" style="188" customWidth="1"/>
    <col min="15342" max="15342" width="18.7265625" style="188" customWidth="1"/>
    <col min="15343" max="15343" width="38.26953125" style="188" customWidth="1"/>
    <col min="15344" max="15344" width="22.54296875" style="188" bestFit="1" customWidth="1"/>
    <col min="15345" max="15345" width="1.81640625" style="188" customWidth="1"/>
    <col min="15346" max="15346" width="14.54296875" style="188" customWidth="1"/>
    <col min="15347" max="15347" width="1.81640625" style="188" customWidth="1"/>
    <col min="15348" max="15351" width="7.26953125" style="188" bestFit="1" customWidth="1"/>
    <col min="15352" max="15352" width="8.54296875" style="188" bestFit="1" customWidth="1"/>
    <col min="15353" max="15353" width="7.1796875" style="188" bestFit="1" customWidth="1"/>
    <col min="15354" max="15354" width="3.1796875" style="188" customWidth="1"/>
    <col min="15355" max="15358" width="21.81640625" style="188" bestFit="1" customWidth="1"/>
    <col min="15359" max="15359" width="9.81640625" style="188" customWidth="1"/>
    <col min="15360" max="15360" width="23.7265625" style="188" bestFit="1" customWidth="1"/>
    <col min="15361" max="15361" width="20.81640625" style="188" customWidth="1"/>
    <col min="15362" max="15581" width="9.1796875" style="188"/>
    <col min="15582" max="15582" width="10" style="188" customWidth="1"/>
    <col min="15583" max="15583" width="10.26953125" style="188" bestFit="1" customWidth="1"/>
    <col min="15584" max="15584" width="19.54296875" style="188" customWidth="1"/>
    <col min="15585" max="15585" width="11.1796875" style="188" customWidth="1"/>
    <col min="15586" max="15586" width="12.1796875" style="188" customWidth="1"/>
    <col min="15587" max="15587" width="9.54296875" style="188" bestFit="1" customWidth="1"/>
    <col min="15588" max="15588" width="40" style="188" bestFit="1" customWidth="1"/>
    <col min="15589" max="15589" width="9.1796875" style="188"/>
    <col min="15590" max="15591" width="14.453125" style="188" customWidth="1"/>
    <col min="15592" max="15592" width="12.54296875" style="188" customWidth="1"/>
    <col min="15593" max="15593" width="14.453125" style="188" customWidth="1"/>
    <col min="15594" max="15594" width="17.54296875" style="188" customWidth="1"/>
    <col min="15595" max="15595" width="25.7265625" style="188" customWidth="1"/>
    <col min="15596" max="15597" width="14" style="188" customWidth="1"/>
    <col min="15598" max="15598" width="18.7265625" style="188" customWidth="1"/>
    <col min="15599" max="15599" width="38.26953125" style="188" customWidth="1"/>
    <col min="15600" max="15600" width="22.54296875" style="188" bestFit="1" customWidth="1"/>
    <col min="15601" max="15601" width="1.81640625" style="188" customWidth="1"/>
    <col min="15602" max="15602" width="14.54296875" style="188" customWidth="1"/>
    <col min="15603" max="15603" width="1.81640625" style="188" customWidth="1"/>
    <col min="15604" max="15607" width="7.26953125" style="188" bestFit="1" customWidth="1"/>
    <col min="15608" max="15608" width="8.54296875" style="188" bestFit="1" customWidth="1"/>
    <col min="15609" max="15609" width="7.1796875" style="188" bestFit="1" customWidth="1"/>
    <col min="15610" max="15610" width="3.1796875" style="188" customWidth="1"/>
    <col min="15611" max="15614" width="21.81640625" style="188" bestFit="1" customWidth="1"/>
    <col min="15615" max="15615" width="9.81640625" style="188" customWidth="1"/>
    <col min="15616" max="15616" width="23.7265625" style="188" bestFit="1" customWidth="1"/>
    <col min="15617" max="15617" width="20.81640625" style="188" customWidth="1"/>
    <col min="15618" max="15837" width="9.1796875" style="188"/>
    <col min="15838" max="15838" width="10" style="188" customWidth="1"/>
    <col min="15839" max="15839" width="10.26953125" style="188" bestFit="1" customWidth="1"/>
    <col min="15840" max="15840" width="19.54296875" style="188" customWidth="1"/>
    <col min="15841" max="15841" width="11.1796875" style="188" customWidth="1"/>
    <col min="15842" max="15842" width="12.1796875" style="188" customWidth="1"/>
    <col min="15843" max="15843" width="9.54296875" style="188" bestFit="1" customWidth="1"/>
    <col min="15844" max="15844" width="40" style="188" bestFit="1" customWidth="1"/>
    <col min="15845" max="15845" width="9.1796875" style="188"/>
    <col min="15846" max="15847" width="14.453125" style="188" customWidth="1"/>
    <col min="15848" max="15848" width="12.54296875" style="188" customWidth="1"/>
    <col min="15849" max="15849" width="14.453125" style="188" customWidth="1"/>
    <col min="15850" max="15850" width="17.54296875" style="188" customWidth="1"/>
    <col min="15851" max="15851" width="25.7265625" style="188" customWidth="1"/>
    <col min="15852" max="15853" width="14" style="188" customWidth="1"/>
    <col min="15854" max="15854" width="18.7265625" style="188" customWidth="1"/>
    <col min="15855" max="15855" width="38.26953125" style="188" customWidth="1"/>
    <col min="15856" max="15856" width="22.54296875" style="188" bestFit="1" customWidth="1"/>
    <col min="15857" max="15857" width="1.81640625" style="188" customWidth="1"/>
    <col min="15858" max="15858" width="14.54296875" style="188" customWidth="1"/>
    <col min="15859" max="15859" width="1.81640625" style="188" customWidth="1"/>
    <col min="15860" max="15863" width="7.26953125" style="188" bestFit="1" customWidth="1"/>
    <col min="15864" max="15864" width="8.54296875" style="188" bestFit="1" customWidth="1"/>
    <col min="15865" max="15865" width="7.1796875" style="188" bestFit="1" customWidth="1"/>
    <col min="15866" max="15866" width="3.1796875" style="188" customWidth="1"/>
    <col min="15867" max="15870" width="21.81640625" style="188" bestFit="1" customWidth="1"/>
    <col min="15871" max="15871" width="9.81640625" style="188" customWidth="1"/>
    <col min="15872" max="15872" width="23.7265625" style="188" bestFit="1" customWidth="1"/>
    <col min="15873" max="15873" width="20.81640625" style="188" customWidth="1"/>
    <col min="15874" max="16093" width="9.1796875" style="188"/>
    <col min="16094" max="16094" width="10" style="188" customWidth="1"/>
    <col min="16095" max="16095" width="10.26953125" style="188" bestFit="1" customWidth="1"/>
    <col min="16096" max="16096" width="19.54296875" style="188" customWidth="1"/>
    <col min="16097" max="16097" width="11.1796875" style="188" customWidth="1"/>
    <col min="16098" max="16098" width="12.1796875" style="188" customWidth="1"/>
    <col min="16099" max="16099" width="9.54296875" style="188" bestFit="1" customWidth="1"/>
    <col min="16100" max="16100" width="40" style="188" bestFit="1" customWidth="1"/>
    <col min="16101" max="16101" width="9.1796875" style="188"/>
    <col min="16102" max="16103" width="14.453125" style="188" customWidth="1"/>
    <col min="16104" max="16104" width="12.54296875" style="188" customWidth="1"/>
    <col min="16105" max="16105" width="14.453125" style="188" customWidth="1"/>
    <col min="16106" max="16106" width="17.54296875" style="188" customWidth="1"/>
    <col min="16107" max="16107" width="25.7265625" style="188" customWidth="1"/>
    <col min="16108" max="16109" width="14" style="188" customWidth="1"/>
    <col min="16110" max="16110" width="18.7265625" style="188" customWidth="1"/>
    <col min="16111" max="16111" width="38.26953125" style="188" customWidth="1"/>
    <col min="16112" max="16112" width="22.54296875" style="188" bestFit="1" customWidth="1"/>
    <col min="16113" max="16113" width="1.81640625" style="188" customWidth="1"/>
    <col min="16114" max="16114" width="14.54296875" style="188" customWidth="1"/>
    <col min="16115" max="16115" width="1.81640625" style="188" customWidth="1"/>
    <col min="16116" max="16119" width="7.26953125" style="188" bestFit="1" customWidth="1"/>
    <col min="16120" max="16120" width="8.54296875" style="188" bestFit="1" customWidth="1"/>
    <col min="16121" max="16121" width="7.1796875" style="188" bestFit="1" customWidth="1"/>
    <col min="16122" max="16122" width="3.1796875" style="188" customWidth="1"/>
    <col min="16123" max="16126" width="21.81640625" style="188" bestFit="1" customWidth="1"/>
    <col min="16127" max="16127" width="9.81640625" style="188" customWidth="1"/>
    <col min="16128" max="16128" width="23.7265625" style="188" bestFit="1" customWidth="1"/>
    <col min="16129" max="16129" width="20.81640625" style="188" customWidth="1"/>
    <col min="16130" max="16349" width="9.1796875" style="188"/>
    <col min="16350" max="16384" width="9.1796875" style="188" customWidth="1"/>
  </cols>
  <sheetData>
    <row r="1" spans="1:6" s="160" customFormat="1" ht="23.25" customHeight="1" thickBot="1" x14ac:dyDescent="0.4">
      <c r="A1" s="159" t="s">
        <v>0</v>
      </c>
      <c r="D1" s="161" t="s">
        <v>74</v>
      </c>
      <c r="E1" s="162"/>
      <c r="F1" s="162"/>
    </row>
    <row r="2" spans="1:6" ht="11" thickBot="1" x14ac:dyDescent="0.4">
      <c r="A2" s="187"/>
      <c r="D2" s="189"/>
      <c r="E2" s="189"/>
      <c r="F2" s="189"/>
    </row>
    <row r="3" spans="1:6" s="195" customFormat="1" ht="56" customHeight="1" x14ac:dyDescent="0.35">
      <c r="A3" s="316" t="s">
        <v>4</v>
      </c>
      <c r="B3" s="191" t="s">
        <v>209</v>
      </c>
      <c r="C3" s="191" t="s">
        <v>6</v>
      </c>
      <c r="D3" s="191" t="s">
        <v>7</v>
      </c>
      <c r="E3" s="191" t="s">
        <v>16</v>
      </c>
      <c r="F3" s="191" t="s">
        <v>17</v>
      </c>
    </row>
    <row r="4" spans="1:6" s="307" customFormat="1" ht="48" customHeight="1" x14ac:dyDescent="0.35">
      <c r="A4" s="308">
        <v>1</v>
      </c>
      <c r="B4" s="311" t="s">
        <v>109</v>
      </c>
      <c r="C4" s="298" t="s">
        <v>179</v>
      </c>
      <c r="D4" s="308" t="s">
        <v>73</v>
      </c>
      <c r="E4" s="308">
        <v>30.22</v>
      </c>
      <c r="F4" s="308">
        <v>1.45</v>
      </c>
    </row>
    <row r="5" spans="1:6" s="307" customFormat="1" ht="48" customHeight="1" x14ac:dyDescent="0.35">
      <c r="A5" s="308">
        <v>2</v>
      </c>
      <c r="B5" s="312" t="s">
        <v>110</v>
      </c>
      <c r="C5" s="308" t="s">
        <v>179</v>
      </c>
      <c r="D5" s="308" t="s">
        <v>73</v>
      </c>
      <c r="E5" s="308">
        <v>30.22</v>
      </c>
      <c r="F5" s="308">
        <v>1.45</v>
      </c>
    </row>
    <row r="6" spans="1:6" s="307" customFormat="1" ht="48" customHeight="1" x14ac:dyDescent="0.35">
      <c r="A6" s="308">
        <v>3</v>
      </c>
      <c r="B6" s="312" t="s">
        <v>111</v>
      </c>
      <c r="C6" s="308" t="s">
        <v>178</v>
      </c>
      <c r="D6" s="308" t="s">
        <v>73</v>
      </c>
      <c r="E6" s="308">
        <v>34.29</v>
      </c>
      <c r="F6" s="308">
        <v>1.8</v>
      </c>
    </row>
    <row r="7" spans="1:6" s="307" customFormat="1" ht="48" customHeight="1" x14ac:dyDescent="0.35">
      <c r="A7" s="308">
        <v>4</v>
      </c>
      <c r="B7" s="312" t="s">
        <v>183</v>
      </c>
      <c r="C7" s="308" t="s">
        <v>184</v>
      </c>
      <c r="D7" s="308" t="s">
        <v>73</v>
      </c>
      <c r="E7" s="308">
        <v>34.29</v>
      </c>
      <c r="F7" s="308">
        <v>1.8</v>
      </c>
    </row>
    <row r="8" spans="1:6" s="307" customFormat="1" ht="48" customHeight="1" x14ac:dyDescent="0.35">
      <c r="A8" s="308">
        <v>5</v>
      </c>
      <c r="B8" s="313" t="s">
        <v>173</v>
      </c>
      <c r="C8" s="314" t="s">
        <v>184</v>
      </c>
      <c r="D8" s="314" t="s">
        <v>73</v>
      </c>
      <c r="E8" s="314">
        <v>34.29</v>
      </c>
      <c r="F8" s="314">
        <v>1.8</v>
      </c>
    </row>
    <row r="9" spans="1:6" s="307" customFormat="1" ht="48" customHeight="1" x14ac:dyDescent="0.35">
      <c r="A9" s="308">
        <v>6</v>
      </c>
      <c r="B9" s="312" t="s">
        <v>194</v>
      </c>
      <c r="C9" s="308" t="s">
        <v>196</v>
      </c>
      <c r="D9" s="308" t="s">
        <v>73</v>
      </c>
      <c r="E9" s="308">
        <v>135.66999999999999</v>
      </c>
      <c r="F9" s="308">
        <v>11.2</v>
      </c>
    </row>
    <row r="10" spans="1:6" s="307" customFormat="1" ht="48" customHeight="1" x14ac:dyDescent="0.35">
      <c r="A10" s="308">
        <v>7</v>
      </c>
      <c r="B10" s="312" t="s">
        <v>195</v>
      </c>
      <c r="C10" s="308" t="s">
        <v>196</v>
      </c>
      <c r="D10" s="308" t="s">
        <v>73</v>
      </c>
      <c r="E10" s="308">
        <v>135.66999999999999</v>
      </c>
      <c r="F10" s="308">
        <v>11.2</v>
      </c>
    </row>
    <row r="11" spans="1:6" s="307" customFormat="1" ht="48" customHeight="1" x14ac:dyDescent="0.35">
      <c r="A11" s="308">
        <v>8</v>
      </c>
      <c r="B11" s="318" t="s">
        <v>198</v>
      </c>
      <c r="C11" s="318" t="s">
        <v>179</v>
      </c>
      <c r="D11" s="314" t="s">
        <v>73</v>
      </c>
      <c r="E11" s="314">
        <v>30.22</v>
      </c>
      <c r="F11" s="314">
        <v>1.45</v>
      </c>
    </row>
    <row r="12" spans="1:6" s="307" customFormat="1" ht="48" customHeight="1" x14ac:dyDescent="0.35">
      <c r="A12" s="317">
        <v>9</v>
      </c>
      <c r="B12" s="319" t="s">
        <v>75</v>
      </c>
      <c r="C12" s="319" t="s">
        <v>179</v>
      </c>
      <c r="D12" s="308" t="s">
        <v>73</v>
      </c>
      <c r="E12" s="308">
        <v>30.22</v>
      </c>
      <c r="F12" s="308">
        <v>1.45</v>
      </c>
    </row>
    <row r="13" spans="1:6" s="307" customFormat="1" ht="48" customHeight="1" x14ac:dyDescent="0.35">
      <c r="A13" s="317">
        <v>10</v>
      </c>
      <c r="B13" s="319" t="s">
        <v>199</v>
      </c>
      <c r="C13" s="319" t="s">
        <v>178</v>
      </c>
      <c r="D13" s="308" t="s">
        <v>73</v>
      </c>
      <c r="E13" s="308">
        <v>34.29</v>
      </c>
      <c r="F13" s="308">
        <v>1.8</v>
      </c>
    </row>
    <row r="14" spans="1:6" s="307" customFormat="1" ht="48" customHeight="1" x14ac:dyDescent="0.35">
      <c r="A14" s="317">
        <v>11</v>
      </c>
      <c r="B14" s="319" t="s">
        <v>200</v>
      </c>
      <c r="C14" s="319" t="s">
        <v>179</v>
      </c>
      <c r="D14" s="308" t="s">
        <v>73</v>
      </c>
      <c r="E14" s="308">
        <v>30.22</v>
      </c>
      <c r="F14" s="308">
        <v>1.45</v>
      </c>
    </row>
    <row r="15" spans="1:6" s="258" customFormat="1" ht="33" customHeight="1" thickBot="1" x14ac:dyDescent="0.4">
      <c r="A15" s="306"/>
      <c r="B15" s="294"/>
      <c r="C15" s="271"/>
      <c r="D15" s="295"/>
      <c r="E15" s="296">
        <f>SUM(E4:E11)</f>
        <v>464.87</v>
      </c>
      <c r="F15" s="296">
        <f>SUM(F4:F11)</f>
        <v>32.15</v>
      </c>
    </row>
    <row r="16" spans="1:6" s="258" customFormat="1" ht="61.5" customHeight="1" x14ac:dyDescent="0.35">
      <c r="A16" s="332" t="s">
        <v>182</v>
      </c>
      <c r="B16" s="332"/>
      <c r="C16" s="332"/>
      <c r="D16" s="332"/>
      <c r="E16" s="332"/>
      <c r="F16" s="332"/>
    </row>
    <row r="17" spans="1:6" s="258" customFormat="1" ht="18.75" customHeight="1" x14ac:dyDescent="0.35">
      <c r="A17" s="332"/>
      <c r="B17" s="332"/>
      <c r="C17" s="332"/>
      <c r="D17" s="332"/>
      <c r="E17" s="332"/>
      <c r="F17" s="332"/>
    </row>
    <row r="18" spans="1:6" s="258" customFormat="1" ht="18.5" x14ac:dyDescent="0.35">
      <c r="A18" s="283"/>
      <c r="B18" s="291"/>
      <c r="D18" s="283"/>
      <c r="E18" s="283"/>
      <c r="F18" s="283"/>
    </row>
    <row r="19" spans="1:6" s="258" customFormat="1" ht="18.5" x14ac:dyDescent="0.35">
      <c r="A19" s="283"/>
      <c r="B19" s="291"/>
      <c r="D19" s="283"/>
      <c r="E19" s="283"/>
      <c r="F19" s="283"/>
    </row>
    <row r="20" spans="1:6" s="258" customFormat="1" ht="18.5" x14ac:dyDescent="0.35">
      <c r="A20" s="283"/>
      <c r="B20" s="291"/>
      <c r="D20" s="283"/>
      <c r="E20" s="283"/>
      <c r="F20" s="283"/>
    </row>
    <row r="21" spans="1:6" s="258" customFormat="1" ht="18.5" x14ac:dyDescent="0.35">
      <c r="A21" s="283"/>
      <c r="B21" s="292"/>
      <c r="D21" s="283"/>
      <c r="E21" s="283"/>
      <c r="F21" s="283"/>
    </row>
    <row r="22" spans="1:6" s="258" customFormat="1" ht="18.5" x14ac:dyDescent="0.35">
      <c r="A22" s="283"/>
      <c r="B22" s="292"/>
      <c r="C22" s="305"/>
      <c r="D22" s="305"/>
      <c r="E22" s="283"/>
      <c r="F22" s="283"/>
    </row>
    <row r="23" spans="1:6" ht="18.5" x14ac:dyDescent="0.35">
      <c r="B23" s="292"/>
      <c r="D23" s="188"/>
    </row>
    <row r="24" spans="1:6" ht="14" x14ac:dyDescent="0.35">
      <c r="B24" s="299"/>
      <c r="C24" s="299"/>
    </row>
    <row r="25" spans="1:6" ht="14" x14ac:dyDescent="0.35">
      <c r="B25" s="299"/>
      <c r="C25" s="299"/>
    </row>
    <row r="26" spans="1:6" ht="14" x14ac:dyDescent="0.35">
      <c r="B26" s="299"/>
      <c r="C26" s="299"/>
    </row>
    <row r="27" spans="1:6" ht="14" x14ac:dyDescent="0.35">
      <c r="B27" s="299"/>
      <c r="C27" s="299"/>
    </row>
    <row r="28" spans="1:6" ht="14" x14ac:dyDescent="0.35">
      <c r="B28" s="299"/>
      <c r="C28" s="299"/>
    </row>
    <row r="29" spans="1:6" ht="14" x14ac:dyDescent="0.35">
      <c r="B29" s="299"/>
      <c r="C29" s="299"/>
    </row>
    <row r="30" spans="1:6" ht="14" x14ac:dyDescent="0.35">
      <c r="B30" s="300"/>
      <c r="C30" s="299"/>
    </row>
    <row r="31" spans="1:6" ht="14" x14ac:dyDescent="0.35">
      <c r="B31" s="299"/>
      <c r="C31" s="299"/>
    </row>
    <row r="32" spans="1:6" ht="14" x14ac:dyDescent="0.35">
      <c r="B32" s="299"/>
      <c r="C32" s="299"/>
    </row>
    <row r="33" spans="2:3" ht="14" x14ac:dyDescent="0.35">
      <c r="B33" s="299"/>
      <c r="C33" s="299"/>
    </row>
    <row r="34" spans="2:3" ht="14" x14ac:dyDescent="0.35">
      <c r="B34" s="301"/>
      <c r="C34" s="299"/>
    </row>
    <row r="35" spans="2:3" ht="14" x14ac:dyDescent="0.35">
      <c r="B35" s="299"/>
      <c r="C35" s="299"/>
    </row>
    <row r="36" spans="2:3" ht="14" x14ac:dyDescent="0.35">
      <c r="B36" s="299"/>
      <c r="C36" s="299"/>
    </row>
    <row r="37" spans="2:3" ht="14" x14ac:dyDescent="0.35">
      <c r="B37" s="299"/>
      <c r="C37" s="299"/>
    </row>
    <row r="38" spans="2:3" ht="14" x14ac:dyDescent="0.35">
      <c r="B38" s="299"/>
      <c r="C38" s="299"/>
    </row>
    <row r="39" spans="2:3" ht="14" x14ac:dyDescent="0.35">
      <c r="B39" s="299"/>
      <c r="C39" s="299"/>
    </row>
    <row r="40" spans="2:3" ht="14" x14ac:dyDescent="0.35">
      <c r="B40" s="299"/>
      <c r="C40" s="299"/>
    </row>
    <row r="41" spans="2:3" ht="15.5" x14ac:dyDescent="0.35">
      <c r="B41" s="302"/>
      <c r="C41" s="299"/>
    </row>
    <row r="42" spans="2:3" ht="15.5" x14ac:dyDescent="0.35">
      <c r="B42" s="302"/>
      <c r="C42" s="302"/>
    </row>
    <row r="43" spans="2:3" ht="15.5" x14ac:dyDescent="0.35">
      <c r="B43" s="302"/>
      <c r="C43" s="299"/>
    </row>
    <row r="44" spans="2:3" ht="15.5" x14ac:dyDescent="0.35">
      <c r="B44" s="302"/>
      <c r="C44" s="299"/>
    </row>
    <row r="45" spans="2:3" ht="14" x14ac:dyDescent="0.35">
      <c r="B45" s="299"/>
      <c r="C45" s="299"/>
    </row>
    <row r="46" spans="2:3" ht="18.5" x14ac:dyDescent="0.35">
      <c r="B46" s="291"/>
    </row>
    <row r="47" spans="2:3" ht="18.5" x14ac:dyDescent="0.35">
      <c r="B47" s="293"/>
    </row>
    <row r="48" spans="2:3" ht="18.5" x14ac:dyDescent="0.35">
      <c r="B48" s="293"/>
    </row>
  </sheetData>
  <autoFilter ref="C3:D17" xr:uid="{7F0DA4CB-6347-445C-AB32-121C30DD9704}"/>
  <mergeCells count="1">
    <mergeCell ref="A16:F17"/>
  </mergeCells>
  <phoneticPr fontId="8" type="noConversion"/>
  <conditionalFormatting sqref="B49:B65494 B1:B10 B15">
    <cfRule type="expression" dxfId="177" priority="115" stopIfTrue="1">
      <formula>AND(COUNTIF($B$1:$B$3, B1)+COUNTIF($B$15:$B$65494, B1)+COUNTIF(#REF!, B1)&gt;1,NOT(ISBLANK(B1)))</formula>
    </cfRule>
  </conditionalFormatting>
  <conditionalFormatting sqref="B49:B65494 B1:B10">
    <cfRule type="expression" dxfId="176" priority="112" stopIfTrue="1">
      <formula>AND(COUNTIF(#REF!, B1)+COUNTIF($B$1:$B$8, B1)&gt;1,NOT(ISBLANK(B1)))</formula>
    </cfRule>
    <cfRule type="expression" dxfId="175" priority="113" stopIfTrue="1">
      <formula>AND(COUNTIF($B$1:$B$8, B1)+COUNTIF($B$25:$B$65494, B1)&gt;1,NOT(ISBLANK(B1)))</formula>
    </cfRule>
    <cfRule type="expression" dxfId="174" priority="114" stopIfTrue="1">
      <formula>AND(COUNTIF(#REF!, B1)+COUNTIF($B$1:$B$3, B1)+COUNTIF(#REF!, B1)&gt;1,NOT(ISBLANK(B1)))</formula>
    </cfRule>
  </conditionalFormatting>
  <conditionalFormatting sqref="B15">
    <cfRule type="expression" dxfId="173" priority="117" stopIfTrue="1">
      <formula>AND(COUNTIF($C$1:$C$3, B15)+COUNTIF($C$15:$C$65494, B15)&gt;1,NOT(ISBLANK(B15)))</formula>
    </cfRule>
  </conditionalFormatting>
  <conditionalFormatting sqref="B18">
    <cfRule type="duplicateValues" dxfId="172" priority="100" stopIfTrue="1"/>
    <cfRule type="duplicateValues" dxfId="171" priority="101" stopIfTrue="1"/>
    <cfRule type="duplicateValues" dxfId="170" priority="102" stopIfTrue="1"/>
  </conditionalFormatting>
  <conditionalFormatting sqref="B18:B23 B46:B65494 B1:B10 B15">
    <cfRule type="duplicateValues" dxfId="169" priority="65" stopIfTrue="1"/>
    <cfRule type="duplicateValues" dxfId="168" priority="72" stopIfTrue="1"/>
  </conditionalFormatting>
  <conditionalFormatting sqref="B19">
    <cfRule type="duplicateValues" dxfId="167" priority="97" stopIfTrue="1"/>
    <cfRule type="duplicateValues" dxfId="166" priority="98" stopIfTrue="1"/>
    <cfRule type="duplicateValues" dxfId="165" priority="99" stopIfTrue="1"/>
  </conditionalFormatting>
  <conditionalFormatting sqref="B20">
    <cfRule type="duplicateValues" dxfId="164" priority="94" stopIfTrue="1"/>
    <cfRule type="duplicateValues" dxfId="163" priority="95" stopIfTrue="1"/>
    <cfRule type="duplicateValues" dxfId="162" priority="96" stopIfTrue="1"/>
  </conditionalFormatting>
  <conditionalFormatting sqref="B21:B23">
    <cfRule type="duplicateValues" dxfId="161" priority="91" stopIfTrue="1"/>
    <cfRule type="duplicateValues" dxfId="160" priority="92" stopIfTrue="1"/>
    <cfRule type="duplicateValues" dxfId="159" priority="93" stopIfTrue="1"/>
  </conditionalFormatting>
  <conditionalFormatting sqref="B11:C14">
    <cfRule type="containsText" dxfId="158" priority="1" stopIfTrue="1" operator="containsText" text="row">
      <formula>NOT(ISERROR(SEARCH("row",B11)))</formula>
    </cfRule>
  </conditionalFormatting>
  <conditionalFormatting sqref="B24:C45">
    <cfRule type="containsText" dxfId="157" priority="29" stopIfTrue="1" operator="containsText" text="wip">
      <formula>NOT(ISERROR(SEARCH("wip",B24)))</formula>
    </cfRule>
  </conditionalFormatting>
  <conditionalFormatting sqref="C4">
    <cfRule type="containsText" dxfId="156" priority="2" stopIfTrue="1" operator="containsText" text="wip">
      <formula>NOT(ISERROR(SEARCH("wip",C4)))</formula>
    </cfRule>
  </conditionalFormatting>
  <conditionalFormatting sqref="C22:D22">
    <cfRule type="containsText" dxfId="155" priority="26" stopIfTrue="1" operator="containsText" text="row">
      <formula>NOT(ISERROR(SEARCH("row",C22)))</formula>
    </cfRule>
  </conditionalFormatting>
  <conditionalFormatting sqref="B46:B48">
    <cfRule type="expression" dxfId="1" priority="8610" stopIfTrue="1">
      <formula>AND(COUNTIF($E$167:$E$170, B46)+COUNTIF($E$112:$E$116, B46)+COUNTIF($E$125:$E$127, B46)+COUNTIF(#REF!, B46)&gt;1,NOT(ISBLANK(B46)))</formula>
    </cfRule>
  </conditionalFormatting>
  <conditionalFormatting sqref="B47:B48">
    <cfRule type="expression" dxfId="0" priority="8611" stopIfTrue="1">
      <formula>AND(COUNTIF($E$126:$E$127, B47)+COUNTIF(#REF!, B47)&gt;1,NOT(ISBLANK(B47)))</formula>
    </cfRule>
  </conditionalFormatting>
  <printOptions horizontalCentered="1"/>
  <pageMargins left="0.31496062992125984" right="0.31496062992125984" top="0.55118110236220474" bottom="0.55118110236220474" header="0.31496062992125984" footer="0.31496062992125984"/>
  <pageSetup paperSize="9" scale="24" fitToHeight="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FE7CC-9B76-46F8-A320-CE8D596BD64D}">
  <sheetPr>
    <tabColor rgb="FF00B050"/>
  </sheetPr>
  <dimension ref="A1:D49"/>
  <sheetViews>
    <sheetView tabSelected="1" zoomScale="80" zoomScaleNormal="80" zoomScaleSheetLayoutView="100" workbookViewId="0">
      <selection activeCell="H12" sqref="H12"/>
    </sheetView>
  </sheetViews>
  <sheetFormatPr defaultRowHeight="10" x14ac:dyDescent="0.35"/>
  <cols>
    <col min="1" max="1" width="10" style="190" customWidth="1"/>
    <col min="2" max="2" width="15.90625" style="188" customWidth="1"/>
    <col min="3" max="3" width="14.453125" style="188" bestFit="1" customWidth="1"/>
    <col min="4" max="4" width="14.54296875" style="190" customWidth="1"/>
    <col min="5" max="216" width="9.1796875" style="188"/>
    <col min="217" max="217" width="10" style="188" customWidth="1"/>
    <col min="218" max="218" width="10.26953125" style="188" bestFit="1" customWidth="1"/>
    <col min="219" max="219" width="19.54296875" style="188" customWidth="1"/>
    <col min="220" max="220" width="11.1796875" style="188" customWidth="1"/>
    <col min="221" max="221" width="12.1796875" style="188" customWidth="1"/>
    <col min="222" max="222" width="9.54296875" style="188" bestFit="1" customWidth="1"/>
    <col min="223" max="223" width="40" style="188" bestFit="1" customWidth="1"/>
    <col min="224" max="224" width="9.1796875" style="188"/>
    <col min="225" max="226" width="14.453125" style="188" customWidth="1"/>
    <col min="227" max="227" width="12.54296875" style="188" customWidth="1"/>
    <col min="228" max="228" width="14.453125" style="188" customWidth="1"/>
    <col min="229" max="229" width="17.54296875" style="188" customWidth="1"/>
    <col min="230" max="230" width="25.7265625" style="188" customWidth="1"/>
    <col min="231" max="232" width="14" style="188" customWidth="1"/>
    <col min="233" max="233" width="18.7265625" style="188" customWidth="1"/>
    <col min="234" max="234" width="38.26953125" style="188" customWidth="1"/>
    <col min="235" max="235" width="22.54296875" style="188" bestFit="1" customWidth="1"/>
    <col min="236" max="236" width="1.81640625" style="188" customWidth="1"/>
    <col min="237" max="237" width="14.54296875" style="188" customWidth="1"/>
    <col min="238" max="238" width="1.81640625" style="188" customWidth="1"/>
    <col min="239" max="242" width="7.26953125" style="188" bestFit="1" customWidth="1"/>
    <col min="243" max="243" width="8.54296875" style="188" bestFit="1" customWidth="1"/>
    <col min="244" max="244" width="7.1796875" style="188" bestFit="1" customWidth="1"/>
    <col min="245" max="245" width="3.1796875" style="188" customWidth="1"/>
    <col min="246" max="249" width="21.81640625" style="188" bestFit="1" customWidth="1"/>
    <col min="250" max="250" width="9.81640625" style="188" customWidth="1"/>
    <col min="251" max="251" width="23.7265625" style="188" bestFit="1" customWidth="1"/>
    <col min="252" max="252" width="20.81640625" style="188" customWidth="1"/>
    <col min="253" max="472" width="9.1796875" style="188"/>
    <col min="473" max="473" width="10" style="188" customWidth="1"/>
    <col min="474" max="474" width="10.26953125" style="188" bestFit="1" customWidth="1"/>
    <col min="475" max="475" width="19.54296875" style="188" customWidth="1"/>
    <col min="476" max="476" width="11.1796875" style="188" customWidth="1"/>
    <col min="477" max="477" width="12.1796875" style="188" customWidth="1"/>
    <col min="478" max="478" width="9.54296875" style="188" bestFit="1" customWidth="1"/>
    <col min="479" max="479" width="40" style="188" bestFit="1" customWidth="1"/>
    <col min="480" max="480" width="9.1796875" style="188"/>
    <col min="481" max="482" width="14.453125" style="188" customWidth="1"/>
    <col min="483" max="483" width="12.54296875" style="188" customWidth="1"/>
    <col min="484" max="484" width="14.453125" style="188" customWidth="1"/>
    <col min="485" max="485" width="17.54296875" style="188" customWidth="1"/>
    <col min="486" max="486" width="25.7265625" style="188" customWidth="1"/>
    <col min="487" max="488" width="14" style="188" customWidth="1"/>
    <col min="489" max="489" width="18.7265625" style="188" customWidth="1"/>
    <col min="490" max="490" width="38.26953125" style="188" customWidth="1"/>
    <col min="491" max="491" width="22.54296875" style="188" bestFit="1" customWidth="1"/>
    <col min="492" max="492" width="1.81640625" style="188" customWidth="1"/>
    <col min="493" max="493" width="14.54296875" style="188" customWidth="1"/>
    <col min="494" max="494" width="1.81640625" style="188" customWidth="1"/>
    <col min="495" max="498" width="7.26953125" style="188" bestFit="1" customWidth="1"/>
    <col min="499" max="499" width="8.54296875" style="188" bestFit="1" customWidth="1"/>
    <col min="500" max="500" width="7.1796875" style="188" bestFit="1" customWidth="1"/>
    <col min="501" max="501" width="3.1796875" style="188" customWidth="1"/>
    <col min="502" max="505" width="21.81640625" style="188" bestFit="1" customWidth="1"/>
    <col min="506" max="506" width="9.81640625" style="188" customWidth="1"/>
    <col min="507" max="507" width="23.7265625" style="188" bestFit="1" customWidth="1"/>
    <col min="508" max="508" width="20.81640625" style="188" customWidth="1"/>
    <col min="509" max="728" width="9.1796875" style="188"/>
    <col min="729" max="729" width="10" style="188" customWidth="1"/>
    <col min="730" max="730" width="10.26953125" style="188" bestFit="1" customWidth="1"/>
    <col min="731" max="731" width="19.54296875" style="188" customWidth="1"/>
    <col min="732" max="732" width="11.1796875" style="188" customWidth="1"/>
    <col min="733" max="733" width="12.1796875" style="188" customWidth="1"/>
    <col min="734" max="734" width="9.54296875" style="188" bestFit="1" customWidth="1"/>
    <col min="735" max="735" width="40" style="188" bestFit="1" customWidth="1"/>
    <col min="736" max="736" width="9.1796875" style="188"/>
    <col min="737" max="738" width="14.453125" style="188" customWidth="1"/>
    <col min="739" max="739" width="12.54296875" style="188" customWidth="1"/>
    <col min="740" max="740" width="14.453125" style="188" customWidth="1"/>
    <col min="741" max="741" width="17.54296875" style="188" customWidth="1"/>
    <col min="742" max="742" width="25.7265625" style="188" customWidth="1"/>
    <col min="743" max="744" width="14" style="188" customWidth="1"/>
    <col min="745" max="745" width="18.7265625" style="188" customWidth="1"/>
    <col min="746" max="746" width="38.26953125" style="188" customWidth="1"/>
    <col min="747" max="747" width="22.54296875" style="188" bestFit="1" customWidth="1"/>
    <col min="748" max="748" width="1.81640625" style="188" customWidth="1"/>
    <col min="749" max="749" width="14.54296875" style="188" customWidth="1"/>
    <col min="750" max="750" width="1.81640625" style="188" customWidth="1"/>
    <col min="751" max="754" width="7.26953125" style="188" bestFit="1" customWidth="1"/>
    <col min="755" max="755" width="8.54296875" style="188" bestFit="1" customWidth="1"/>
    <col min="756" max="756" width="7.1796875" style="188" bestFit="1" customWidth="1"/>
    <col min="757" max="757" width="3.1796875" style="188" customWidth="1"/>
    <col min="758" max="761" width="21.81640625" style="188" bestFit="1" customWidth="1"/>
    <col min="762" max="762" width="9.81640625" style="188" customWidth="1"/>
    <col min="763" max="763" width="23.7265625" style="188" bestFit="1" customWidth="1"/>
    <col min="764" max="764" width="20.81640625" style="188" customWidth="1"/>
    <col min="765" max="984" width="9.1796875" style="188"/>
    <col min="985" max="985" width="10" style="188" customWidth="1"/>
    <col min="986" max="986" width="10.26953125" style="188" bestFit="1" customWidth="1"/>
    <col min="987" max="987" width="19.54296875" style="188" customWidth="1"/>
    <col min="988" max="988" width="11.1796875" style="188" customWidth="1"/>
    <col min="989" max="989" width="12.1796875" style="188" customWidth="1"/>
    <col min="990" max="990" width="9.54296875" style="188" bestFit="1" customWidth="1"/>
    <col min="991" max="991" width="40" style="188" bestFit="1" customWidth="1"/>
    <col min="992" max="992" width="9.1796875" style="188"/>
    <col min="993" max="994" width="14.453125" style="188" customWidth="1"/>
    <col min="995" max="995" width="12.54296875" style="188" customWidth="1"/>
    <col min="996" max="996" width="14.453125" style="188" customWidth="1"/>
    <col min="997" max="997" width="17.54296875" style="188" customWidth="1"/>
    <col min="998" max="998" width="25.7265625" style="188" customWidth="1"/>
    <col min="999" max="1000" width="14" style="188" customWidth="1"/>
    <col min="1001" max="1001" width="18.7265625" style="188" customWidth="1"/>
    <col min="1002" max="1002" width="38.26953125" style="188" customWidth="1"/>
    <col min="1003" max="1003" width="22.54296875" style="188" bestFit="1" customWidth="1"/>
    <col min="1004" max="1004" width="1.81640625" style="188" customWidth="1"/>
    <col min="1005" max="1005" width="14.54296875" style="188" customWidth="1"/>
    <col min="1006" max="1006" width="1.81640625" style="188" customWidth="1"/>
    <col min="1007" max="1010" width="7.26953125" style="188" bestFit="1" customWidth="1"/>
    <col min="1011" max="1011" width="8.54296875" style="188" bestFit="1" customWidth="1"/>
    <col min="1012" max="1012" width="7.1796875" style="188" bestFit="1" customWidth="1"/>
    <col min="1013" max="1013" width="3.1796875" style="188" customWidth="1"/>
    <col min="1014" max="1017" width="21.81640625" style="188" bestFit="1" customWidth="1"/>
    <col min="1018" max="1018" width="9.81640625" style="188" customWidth="1"/>
    <col min="1019" max="1019" width="23.7265625" style="188" bestFit="1" customWidth="1"/>
    <col min="1020" max="1020" width="20.81640625" style="188" customWidth="1"/>
    <col min="1021" max="1240" width="9.1796875" style="188"/>
    <col min="1241" max="1241" width="10" style="188" customWidth="1"/>
    <col min="1242" max="1242" width="10.26953125" style="188" bestFit="1" customWidth="1"/>
    <col min="1243" max="1243" width="19.54296875" style="188" customWidth="1"/>
    <col min="1244" max="1244" width="11.1796875" style="188" customWidth="1"/>
    <col min="1245" max="1245" width="12.1796875" style="188" customWidth="1"/>
    <col min="1246" max="1246" width="9.54296875" style="188" bestFit="1" customWidth="1"/>
    <col min="1247" max="1247" width="40" style="188" bestFit="1" customWidth="1"/>
    <col min="1248" max="1248" width="9.1796875" style="188"/>
    <col min="1249" max="1250" width="14.453125" style="188" customWidth="1"/>
    <col min="1251" max="1251" width="12.54296875" style="188" customWidth="1"/>
    <col min="1252" max="1252" width="14.453125" style="188" customWidth="1"/>
    <col min="1253" max="1253" width="17.54296875" style="188" customWidth="1"/>
    <col min="1254" max="1254" width="25.7265625" style="188" customWidth="1"/>
    <col min="1255" max="1256" width="14" style="188" customWidth="1"/>
    <col min="1257" max="1257" width="18.7265625" style="188" customWidth="1"/>
    <col min="1258" max="1258" width="38.26953125" style="188" customWidth="1"/>
    <col min="1259" max="1259" width="22.54296875" style="188" bestFit="1" customWidth="1"/>
    <col min="1260" max="1260" width="1.81640625" style="188" customWidth="1"/>
    <col min="1261" max="1261" width="14.54296875" style="188" customWidth="1"/>
    <col min="1262" max="1262" width="1.81640625" style="188" customWidth="1"/>
    <col min="1263" max="1266" width="7.26953125" style="188" bestFit="1" customWidth="1"/>
    <col min="1267" max="1267" width="8.54296875" style="188" bestFit="1" customWidth="1"/>
    <col min="1268" max="1268" width="7.1796875" style="188" bestFit="1" customWidth="1"/>
    <col min="1269" max="1269" width="3.1796875" style="188" customWidth="1"/>
    <col min="1270" max="1273" width="21.81640625" style="188" bestFit="1" customWidth="1"/>
    <col min="1274" max="1274" width="9.81640625" style="188" customWidth="1"/>
    <col min="1275" max="1275" width="23.7265625" style="188" bestFit="1" customWidth="1"/>
    <col min="1276" max="1276" width="20.81640625" style="188" customWidth="1"/>
    <col min="1277" max="1496" width="9.1796875" style="188"/>
    <col min="1497" max="1497" width="10" style="188" customWidth="1"/>
    <col min="1498" max="1498" width="10.26953125" style="188" bestFit="1" customWidth="1"/>
    <col min="1499" max="1499" width="19.54296875" style="188" customWidth="1"/>
    <col min="1500" max="1500" width="11.1796875" style="188" customWidth="1"/>
    <col min="1501" max="1501" width="12.1796875" style="188" customWidth="1"/>
    <col min="1502" max="1502" width="9.54296875" style="188" bestFit="1" customWidth="1"/>
    <col min="1503" max="1503" width="40" style="188" bestFit="1" customWidth="1"/>
    <col min="1504" max="1504" width="9.1796875" style="188"/>
    <col min="1505" max="1506" width="14.453125" style="188" customWidth="1"/>
    <col min="1507" max="1507" width="12.54296875" style="188" customWidth="1"/>
    <col min="1508" max="1508" width="14.453125" style="188" customWidth="1"/>
    <col min="1509" max="1509" width="17.54296875" style="188" customWidth="1"/>
    <col min="1510" max="1510" width="25.7265625" style="188" customWidth="1"/>
    <col min="1511" max="1512" width="14" style="188" customWidth="1"/>
    <col min="1513" max="1513" width="18.7265625" style="188" customWidth="1"/>
    <col min="1514" max="1514" width="38.26953125" style="188" customWidth="1"/>
    <col min="1515" max="1515" width="22.54296875" style="188" bestFit="1" customWidth="1"/>
    <col min="1516" max="1516" width="1.81640625" style="188" customWidth="1"/>
    <col min="1517" max="1517" width="14.54296875" style="188" customWidth="1"/>
    <col min="1518" max="1518" width="1.81640625" style="188" customWidth="1"/>
    <col min="1519" max="1522" width="7.26953125" style="188" bestFit="1" customWidth="1"/>
    <col min="1523" max="1523" width="8.54296875" style="188" bestFit="1" customWidth="1"/>
    <col min="1524" max="1524" width="7.1796875" style="188" bestFit="1" customWidth="1"/>
    <col min="1525" max="1525" width="3.1796875" style="188" customWidth="1"/>
    <col min="1526" max="1529" width="21.81640625" style="188" bestFit="1" customWidth="1"/>
    <col min="1530" max="1530" width="9.81640625" style="188" customWidth="1"/>
    <col min="1531" max="1531" width="23.7265625" style="188" bestFit="1" customWidth="1"/>
    <col min="1532" max="1532" width="20.81640625" style="188" customWidth="1"/>
    <col min="1533" max="1752" width="9.1796875" style="188"/>
    <col min="1753" max="1753" width="10" style="188" customWidth="1"/>
    <col min="1754" max="1754" width="10.26953125" style="188" bestFit="1" customWidth="1"/>
    <col min="1755" max="1755" width="19.54296875" style="188" customWidth="1"/>
    <col min="1756" max="1756" width="11.1796875" style="188" customWidth="1"/>
    <col min="1757" max="1757" width="12.1796875" style="188" customWidth="1"/>
    <col min="1758" max="1758" width="9.54296875" style="188" bestFit="1" customWidth="1"/>
    <col min="1759" max="1759" width="40" style="188" bestFit="1" customWidth="1"/>
    <col min="1760" max="1760" width="9.1796875" style="188"/>
    <col min="1761" max="1762" width="14.453125" style="188" customWidth="1"/>
    <col min="1763" max="1763" width="12.54296875" style="188" customWidth="1"/>
    <col min="1764" max="1764" width="14.453125" style="188" customWidth="1"/>
    <col min="1765" max="1765" width="17.54296875" style="188" customWidth="1"/>
    <col min="1766" max="1766" width="25.7265625" style="188" customWidth="1"/>
    <col min="1767" max="1768" width="14" style="188" customWidth="1"/>
    <col min="1769" max="1769" width="18.7265625" style="188" customWidth="1"/>
    <col min="1770" max="1770" width="38.26953125" style="188" customWidth="1"/>
    <col min="1771" max="1771" width="22.54296875" style="188" bestFit="1" customWidth="1"/>
    <col min="1772" max="1772" width="1.81640625" style="188" customWidth="1"/>
    <col min="1773" max="1773" width="14.54296875" style="188" customWidth="1"/>
    <col min="1774" max="1774" width="1.81640625" style="188" customWidth="1"/>
    <col min="1775" max="1778" width="7.26953125" style="188" bestFit="1" customWidth="1"/>
    <col min="1779" max="1779" width="8.54296875" style="188" bestFit="1" customWidth="1"/>
    <col min="1780" max="1780" width="7.1796875" style="188" bestFit="1" customWidth="1"/>
    <col min="1781" max="1781" width="3.1796875" style="188" customWidth="1"/>
    <col min="1782" max="1785" width="21.81640625" style="188" bestFit="1" customWidth="1"/>
    <col min="1786" max="1786" width="9.81640625" style="188" customWidth="1"/>
    <col min="1787" max="1787" width="23.7265625" style="188" bestFit="1" customWidth="1"/>
    <col min="1788" max="1788" width="20.81640625" style="188" customWidth="1"/>
    <col min="1789" max="2008" width="9.1796875" style="188"/>
    <col min="2009" max="2009" width="10" style="188" customWidth="1"/>
    <col min="2010" max="2010" width="10.26953125" style="188" bestFit="1" customWidth="1"/>
    <col min="2011" max="2011" width="19.54296875" style="188" customWidth="1"/>
    <col min="2012" max="2012" width="11.1796875" style="188" customWidth="1"/>
    <col min="2013" max="2013" width="12.1796875" style="188" customWidth="1"/>
    <col min="2014" max="2014" width="9.54296875" style="188" bestFit="1" customWidth="1"/>
    <col min="2015" max="2015" width="40" style="188" bestFit="1" customWidth="1"/>
    <col min="2016" max="2016" width="9.1796875" style="188"/>
    <col min="2017" max="2018" width="14.453125" style="188" customWidth="1"/>
    <col min="2019" max="2019" width="12.54296875" style="188" customWidth="1"/>
    <col min="2020" max="2020" width="14.453125" style="188" customWidth="1"/>
    <col min="2021" max="2021" width="17.54296875" style="188" customWidth="1"/>
    <col min="2022" max="2022" width="25.7265625" style="188" customWidth="1"/>
    <col min="2023" max="2024" width="14" style="188" customWidth="1"/>
    <col min="2025" max="2025" width="18.7265625" style="188" customWidth="1"/>
    <col min="2026" max="2026" width="38.26953125" style="188" customWidth="1"/>
    <col min="2027" max="2027" width="22.54296875" style="188" bestFit="1" customWidth="1"/>
    <col min="2028" max="2028" width="1.81640625" style="188" customWidth="1"/>
    <col min="2029" max="2029" width="14.54296875" style="188" customWidth="1"/>
    <col min="2030" max="2030" width="1.81640625" style="188" customWidth="1"/>
    <col min="2031" max="2034" width="7.26953125" style="188" bestFit="1" customWidth="1"/>
    <col min="2035" max="2035" width="8.54296875" style="188" bestFit="1" customWidth="1"/>
    <col min="2036" max="2036" width="7.1796875" style="188" bestFit="1" customWidth="1"/>
    <col min="2037" max="2037" width="3.1796875" style="188" customWidth="1"/>
    <col min="2038" max="2041" width="21.81640625" style="188" bestFit="1" customWidth="1"/>
    <col min="2042" max="2042" width="9.81640625" style="188" customWidth="1"/>
    <col min="2043" max="2043" width="23.7265625" style="188" bestFit="1" customWidth="1"/>
    <col min="2044" max="2044" width="20.81640625" style="188" customWidth="1"/>
    <col min="2045" max="2264" width="9.1796875" style="188"/>
    <col min="2265" max="2265" width="10" style="188" customWidth="1"/>
    <col min="2266" max="2266" width="10.26953125" style="188" bestFit="1" customWidth="1"/>
    <col min="2267" max="2267" width="19.54296875" style="188" customWidth="1"/>
    <col min="2268" max="2268" width="11.1796875" style="188" customWidth="1"/>
    <col min="2269" max="2269" width="12.1796875" style="188" customWidth="1"/>
    <col min="2270" max="2270" width="9.54296875" style="188" bestFit="1" customWidth="1"/>
    <col min="2271" max="2271" width="40" style="188" bestFit="1" customWidth="1"/>
    <col min="2272" max="2272" width="9.1796875" style="188"/>
    <col min="2273" max="2274" width="14.453125" style="188" customWidth="1"/>
    <col min="2275" max="2275" width="12.54296875" style="188" customWidth="1"/>
    <col min="2276" max="2276" width="14.453125" style="188" customWidth="1"/>
    <col min="2277" max="2277" width="17.54296875" style="188" customWidth="1"/>
    <col min="2278" max="2278" width="25.7265625" style="188" customWidth="1"/>
    <col min="2279" max="2280" width="14" style="188" customWidth="1"/>
    <col min="2281" max="2281" width="18.7265625" style="188" customWidth="1"/>
    <col min="2282" max="2282" width="38.26953125" style="188" customWidth="1"/>
    <col min="2283" max="2283" width="22.54296875" style="188" bestFit="1" customWidth="1"/>
    <col min="2284" max="2284" width="1.81640625" style="188" customWidth="1"/>
    <col min="2285" max="2285" width="14.54296875" style="188" customWidth="1"/>
    <col min="2286" max="2286" width="1.81640625" style="188" customWidth="1"/>
    <col min="2287" max="2290" width="7.26953125" style="188" bestFit="1" customWidth="1"/>
    <col min="2291" max="2291" width="8.54296875" style="188" bestFit="1" customWidth="1"/>
    <col min="2292" max="2292" width="7.1796875" style="188" bestFit="1" customWidth="1"/>
    <col min="2293" max="2293" width="3.1796875" style="188" customWidth="1"/>
    <col min="2294" max="2297" width="21.81640625" style="188" bestFit="1" customWidth="1"/>
    <col min="2298" max="2298" width="9.81640625" style="188" customWidth="1"/>
    <col min="2299" max="2299" width="23.7265625" style="188" bestFit="1" customWidth="1"/>
    <col min="2300" max="2300" width="20.81640625" style="188" customWidth="1"/>
    <col min="2301" max="2520" width="9.1796875" style="188"/>
    <col min="2521" max="2521" width="10" style="188" customWidth="1"/>
    <col min="2522" max="2522" width="10.26953125" style="188" bestFit="1" customWidth="1"/>
    <col min="2523" max="2523" width="19.54296875" style="188" customWidth="1"/>
    <col min="2524" max="2524" width="11.1796875" style="188" customWidth="1"/>
    <col min="2525" max="2525" width="12.1796875" style="188" customWidth="1"/>
    <col min="2526" max="2526" width="9.54296875" style="188" bestFit="1" customWidth="1"/>
    <col min="2527" max="2527" width="40" style="188" bestFit="1" customWidth="1"/>
    <col min="2528" max="2528" width="9.1796875" style="188"/>
    <col min="2529" max="2530" width="14.453125" style="188" customWidth="1"/>
    <col min="2531" max="2531" width="12.54296875" style="188" customWidth="1"/>
    <col min="2532" max="2532" width="14.453125" style="188" customWidth="1"/>
    <col min="2533" max="2533" width="17.54296875" style="188" customWidth="1"/>
    <col min="2534" max="2534" width="25.7265625" style="188" customWidth="1"/>
    <col min="2535" max="2536" width="14" style="188" customWidth="1"/>
    <col min="2537" max="2537" width="18.7265625" style="188" customWidth="1"/>
    <col min="2538" max="2538" width="38.26953125" style="188" customWidth="1"/>
    <col min="2539" max="2539" width="22.54296875" style="188" bestFit="1" customWidth="1"/>
    <col min="2540" max="2540" width="1.81640625" style="188" customWidth="1"/>
    <col min="2541" max="2541" width="14.54296875" style="188" customWidth="1"/>
    <col min="2542" max="2542" width="1.81640625" style="188" customWidth="1"/>
    <col min="2543" max="2546" width="7.26953125" style="188" bestFit="1" customWidth="1"/>
    <col min="2547" max="2547" width="8.54296875" style="188" bestFit="1" customWidth="1"/>
    <col min="2548" max="2548" width="7.1796875" style="188" bestFit="1" customWidth="1"/>
    <col min="2549" max="2549" width="3.1796875" style="188" customWidth="1"/>
    <col min="2550" max="2553" width="21.81640625" style="188" bestFit="1" customWidth="1"/>
    <col min="2554" max="2554" width="9.81640625" style="188" customWidth="1"/>
    <col min="2555" max="2555" width="23.7265625" style="188" bestFit="1" customWidth="1"/>
    <col min="2556" max="2556" width="20.81640625" style="188" customWidth="1"/>
    <col min="2557" max="2776" width="9.1796875" style="188"/>
    <col min="2777" max="2777" width="10" style="188" customWidth="1"/>
    <col min="2778" max="2778" width="10.26953125" style="188" bestFit="1" customWidth="1"/>
    <col min="2779" max="2779" width="19.54296875" style="188" customWidth="1"/>
    <col min="2780" max="2780" width="11.1796875" style="188" customWidth="1"/>
    <col min="2781" max="2781" width="12.1796875" style="188" customWidth="1"/>
    <col min="2782" max="2782" width="9.54296875" style="188" bestFit="1" customWidth="1"/>
    <col min="2783" max="2783" width="40" style="188" bestFit="1" customWidth="1"/>
    <col min="2784" max="2784" width="9.1796875" style="188"/>
    <col min="2785" max="2786" width="14.453125" style="188" customWidth="1"/>
    <col min="2787" max="2787" width="12.54296875" style="188" customWidth="1"/>
    <col min="2788" max="2788" width="14.453125" style="188" customWidth="1"/>
    <col min="2789" max="2789" width="17.54296875" style="188" customWidth="1"/>
    <col min="2790" max="2790" width="25.7265625" style="188" customWidth="1"/>
    <col min="2791" max="2792" width="14" style="188" customWidth="1"/>
    <col min="2793" max="2793" width="18.7265625" style="188" customWidth="1"/>
    <col min="2794" max="2794" width="38.26953125" style="188" customWidth="1"/>
    <col min="2795" max="2795" width="22.54296875" style="188" bestFit="1" customWidth="1"/>
    <col min="2796" max="2796" width="1.81640625" style="188" customWidth="1"/>
    <col min="2797" max="2797" width="14.54296875" style="188" customWidth="1"/>
    <col min="2798" max="2798" width="1.81640625" style="188" customWidth="1"/>
    <col min="2799" max="2802" width="7.26953125" style="188" bestFit="1" customWidth="1"/>
    <col min="2803" max="2803" width="8.54296875" style="188" bestFit="1" customWidth="1"/>
    <col min="2804" max="2804" width="7.1796875" style="188" bestFit="1" customWidth="1"/>
    <col min="2805" max="2805" width="3.1796875" style="188" customWidth="1"/>
    <col min="2806" max="2809" width="21.81640625" style="188" bestFit="1" customWidth="1"/>
    <col min="2810" max="2810" width="9.81640625" style="188" customWidth="1"/>
    <col min="2811" max="2811" width="23.7265625" style="188" bestFit="1" customWidth="1"/>
    <col min="2812" max="2812" width="20.81640625" style="188" customWidth="1"/>
    <col min="2813" max="3032" width="9.1796875" style="188"/>
    <col min="3033" max="3033" width="10" style="188" customWidth="1"/>
    <col min="3034" max="3034" width="10.26953125" style="188" bestFit="1" customWidth="1"/>
    <col min="3035" max="3035" width="19.54296875" style="188" customWidth="1"/>
    <col min="3036" max="3036" width="11.1796875" style="188" customWidth="1"/>
    <col min="3037" max="3037" width="12.1796875" style="188" customWidth="1"/>
    <col min="3038" max="3038" width="9.54296875" style="188" bestFit="1" customWidth="1"/>
    <col min="3039" max="3039" width="40" style="188" bestFit="1" customWidth="1"/>
    <col min="3040" max="3040" width="9.1796875" style="188"/>
    <col min="3041" max="3042" width="14.453125" style="188" customWidth="1"/>
    <col min="3043" max="3043" width="12.54296875" style="188" customWidth="1"/>
    <col min="3044" max="3044" width="14.453125" style="188" customWidth="1"/>
    <col min="3045" max="3045" width="17.54296875" style="188" customWidth="1"/>
    <col min="3046" max="3046" width="25.7265625" style="188" customWidth="1"/>
    <col min="3047" max="3048" width="14" style="188" customWidth="1"/>
    <col min="3049" max="3049" width="18.7265625" style="188" customWidth="1"/>
    <col min="3050" max="3050" width="38.26953125" style="188" customWidth="1"/>
    <col min="3051" max="3051" width="22.54296875" style="188" bestFit="1" customWidth="1"/>
    <col min="3052" max="3052" width="1.81640625" style="188" customWidth="1"/>
    <col min="3053" max="3053" width="14.54296875" style="188" customWidth="1"/>
    <col min="3054" max="3054" width="1.81640625" style="188" customWidth="1"/>
    <col min="3055" max="3058" width="7.26953125" style="188" bestFit="1" customWidth="1"/>
    <col min="3059" max="3059" width="8.54296875" style="188" bestFit="1" customWidth="1"/>
    <col min="3060" max="3060" width="7.1796875" style="188" bestFit="1" customWidth="1"/>
    <col min="3061" max="3061" width="3.1796875" style="188" customWidth="1"/>
    <col min="3062" max="3065" width="21.81640625" style="188" bestFit="1" customWidth="1"/>
    <col min="3066" max="3066" width="9.81640625" style="188" customWidth="1"/>
    <col min="3067" max="3067" width="23.7265625" style="188" bestFit="1" customWidth="1"/>
    <col min="3068" max="3068" width="20.81640625" style="188" customWidth="1"/>
    <col min="3069" max="3288" width="9.1796875" style="188"/>
    <col min="3289" max="3289" width="10" style="188" customWidth="1"/>
    <col min="3290" max="3290" width="10.26953125" style="188" bestFit="1" customWidth="1"/>
    <col min="3291" max="3291" width="19.54296875" style="188" customWidth="1"/>
    <col min="3292" max="3292" width="11.1796875" style="188" customWidth="1"/>
    <col min="3293" max="3293" width="12.1796875" style="188" customWidth="1"/>
    <col min="3294" max="3294" width="9.54296875" style="188" bestFit="1" customWidth="1"/>
    <col min="3295" max="3295" width="40" style="188" bestFit="1" customWidth="1"/>
    <col min="3296" max="3296" width="9.1796875" style="188"/>
    <col min="3297" max="3298" width="14.453125" style="188" customWidth="1"/>
    <col min="3299" max="3299" width="12.54296875" style="188" customWidth="1"/>
    <col min="3300" max="3300" width="14.453125" style="188" customWidth="1"/>
    <col min="3301" max="3301" width="17.54296875" style="188" customWidth="1"/>
    <col min="3302" max="3302" width="25.7265625" style="188" customWidth="1"/>
    <col min="3303" max="3304" width="14" style="188" customWidth="1"/>
    <col min="3305" max="3305" width="18.7265625" style="188" customWidth="1"/>
    <col min="3306" max="3306" width="38.26953125" style="188" customWidth="1"/>
    <col min="3307" max="3307" width="22.54296875" style="188" bestFit="1" customWidth="1"/>
    <col min="3308" max="3308" width="1.81640625" style="188" customWidth="1"/>
    <col min="3309" max="3309" width="14.54296875" style="188" customWidth="1"/>
    <col min="3310" max="3310" width="1.81640625" style="188" customWidth="1"/>
    <col min="3311" max="3314" width="7.26953125" style="188" bestFit="1" customWidth="1"/>
    <col min="3315" max="3315" width="8.54296875" style="188" bestFit="1" customWidth="1"/>
    <col min="3316" max="3316" width="7.1796875" style="188" bestFit="1" customWidth="1"/>
    <col min="3317" max="3317" width="3.1796875" style="188" customWidth="1"/>
    <col min="3318" max="3321" width="21.81640625" style="188" bestFit="1" customWidth="1"/>
    <col min="3322" max="3322" width="9.81640625" style="188" customWidth="1"/>
    <col min="3323" max="3323" width="23.7265625" style="188" bestFit="1" customWidth="1"/>
    <col min="3324" max="3324" width="20.81640625" style="188" customWidth="1"/>
    <col min="3325" max="3544" width="9.1796875" style="188"/>
    <col min="3545" max="3545" width="10" style="188" customWidth="1"/>
    <col min="3546" max="3546" width="10.26953125" style="188" bestFit="1" customWidth="1"/>
    <col min="3547" max="3547" width="19.54296875" style="188" customWidth="1"/>
    <col min="3548" max="3548" width="11.1796875" style="188" customWidth="1"/>
    <col min="3549" max="3549" width="12.1796875" style="188" customWidth="1"/>
    <col min="3550" max="3550" width="9.54296875" style="188" bestFit="1" customWidth="1"/>
    <col min="3551" max="3551" width="40" style="188" bestFit="1" customWidth="1"/>
    <col min="3552" max="3552" width="9.1796875" style="188"/>
    <col min="3553" max="3554" width="14.453125" style="188" customWidth="1"/>
    <col min="3555" max="3555" width="12.54296875" style="188" customWidth="1"/>
    <col min="3556" max="3556" width="14.453125" style="188" customWidth="1"/>
    <col min="3557" max="3557" width="17.54296875" style="188" customWidth="1"/>
    <col min="3558" max="3558" width="25.7265625" style="188" customWidth="1"/>
    <col min="3559" max="3560" width="14" style="188" customWidth="1"/>
    <col min="3561" max="3561" width="18.7265625" style="188" customWidth="1"/>
    <col min="3562" max="3562" width="38.26953125" style="188" customWidth="1"/>
    <col min="3563" max="3563" width="22.54296875" style="188" bestFit="1" customWidth="1"/>
    <col min="3564" max="3564" width="1.81640625" style="188" customWidth="1"/>
    <col min="3565" max="3565" width="14.54296875" style="188" customWidth="1"/>
    <col min="3566" max="3566" width="1.81640625" style="188" customWidth="1"/>
    <col min="3567" max="3570" width="7.26953125" style="188" bestFit="1" customWidth="1"/>
    <col min="3571" max="3571" width="8.54296875" style="188" bestFit="1" customWidth="1"/>
    <col min="3572" max="3572" width="7.1796875" style="188" bestFit="1" customWidth="1"/>
    <col min="3573" max="3573" width="3.1796875" style="188" customWidth="1"/>
    <col min="3574" max="3577" width="21.81640625" style="188" bestFit="1" customWidth="1"/>
    <col min="3578" max="3578" width="9.81640625" style="188" customWidth="1"/>
    <col min="3579" max="3579" width="23.7265625" style="188" bestFit="1" customWidth="1"/>
    <col min="3580" max="3580" width="20.81640625" style="188" customWidth="1"/>
    <col min="3581" max="3800" width="9.1796875" style="188"/>
    <col min="3801" max="3801" width="10" style="188" customWidth="1"/>
    <col min="3802" max="3802" width="10.26953125" style="188" bestFit="1" customWidth="1"/>
    <col min="3803" max="3803" width="19.54296875" style="188" customWidth="1"/>
    <col min="3804" max="3804" width="11.1796875" style="188" customWidth="1"/>
    <col min="3805" max="3805" width="12.1796875" style="188" customWidth="1"/>
    <col min="3806" max="3806" width="9.54296875" style="188" bestFit="1" customWidth="1"/>
    <col min="3807" max="3807" width="40" style="188" bestFit="1" customWidth="1"/>
    <col min="3808" max="3808" width="9.1796875" style="188"/>
    <col min="3809" max="3810" width="14.453125" style="188" customWidth="1"/>
    <col min="3811" max="3811" width="12.54296875" style="188" customWidth="1"/>
    <col min="3812" max="3812" width="14.453125" style="188" customWidth="1"/>
    <col min="3813" max="3813" width="17.54296875" style="188" customWidth="1"/>
    <col min="3814" max="3814" width="25.7265625" style="188" customWidth="1"/>
    <col min="3815" max="3816" width="14" style="188" customWidth="1"/>
    <col min="3817" max="3817" width="18.7265625" style="188" customWidth="1"/>
    <col min="3818" max="3818" width="38.26953125" style="188" customWidth="1"/>
    <col min="3819" max="3819" width="22.54296875" style="188" bestFit="1" customWidth="1"/>
    <col min="3820" max="3820" width="1.81640625" style="188" customWidth="1"/>
    <col min="3821" max="3821" width="14.54296875" style="188" customWidth="1"/>
    <col min="3822" max="3822" width="1.81640625" style="188" customWidth="1"/>
    <col min="3823" max="3826" width="7.26953125" style="188" bestFit="1" customWidth="1"/>
    <col min="3827" max="3827" width="8.54296875" style="188" bestFit="1" customWidth="1"/>
    <col min="3828" max="3828" width="7.1796875" style="188" bestFit="1" customWidth="1"/>
    <col min="3829" max="3829" width="3.1796875" style="188" customWidth="1"/>
    <col min="3830" max="3833" width="21.81640625" style="188" bestFit="1" customWidth="1"/>
    <col min="3834" max="3834" width="9.81640625" style="188" customWidth="1"/>
    <col min="3835" max="3835" width="23.7265625" style="188" bestFit="1" customWidth="1"/>
    <col min="3836" max="3836" width="20.81640625" style="188" customWidth="1"/>
    <col min="3837" max="4056" width="9.1796875" style="188"/>
    <col min="4057" max="4057" width="10" style="188" customWidth="1"/>
    <col min="4058" max="4058" width="10.26953125" style="188" bestFit="1" customWidth="1"/>
    <col min="4059" max="4059" width="19.54296875" style="188" customWidth="1"/>
    <col min="4060" max="4060" width="11.1796875" style="188" customWidth="1"/>
    <col min="4061" max="4061" width="12.1796875" style="188" customWidth="1"/>
    <col min="4062" max="4062" width="9.54296875" style="188" bestFit="1" customWidth="1"/>
    <col min="4063" max="4063" width="40" style="188" bestFit="1" customWidth="1"/>
    <col min="4064" max="4064" width="9.1796875" style="188"/>
    <col min="4065" max="4066" width="14.453125" style="188" customWidth="1"/>
    <col min="4067" max="4067" width="12.54296875" style="188" customWidth="1"/>
    <col min="4068" max="4068" width="14.453125" style="188" customWidth="1"/>
    <col min="4069" max="4069" width="17.54296875" style="188" customWidth="1"/>
    <col min="4070" max="4070" width="25.7265625" style="188" customWidth="1"/>
    <col min="4071" max="4072" width="14" style="188" customWidth="1"/>
    <col min="4073" max="4073" width="18.7265625" style="188" customWidth="1"/>
    <col min="4074" max="4074" width="38.26953125" style="188" customWidth="1"/>
    <col min="4075" max="4075" width="22.54296875" style="188" bestFit="1" customWidth="1"/>
    <col min="4076" max="4076" width="1.81640625" style="188" customWidth="1"/>
    <col min="4077" max="4077" width="14.54296875" style="188" customWidth="1"/>
    <col min="4078" max="4078" width="1.81640625" style="188" customWidth="1"/>
    <col min="4079" max="4082" width="7.26953125" style="188" bestFit="1" customWidth="1"/>
    <col min="4083" max="4083" width="8.54296875" style="188" bestFit="1" customWidth="1"/>
    <col min="4084" max="4084" width="7.1796875" style="188" bestFit="1" customWidth="1"/>
    <col min="4085" max="4085" width="3.1796875" style="188" customWidth="1"/>
    <col min="4086" max="4089" width="21.81640625" style="188" bestFit="1" customWidth="1"/>
    <col min="4090" max="4090" width="9.81640625" style="188" customWidth="1"/>
    <col min="4091" max="4091" width="23.7265625" style="188" bestFit="1" customWidth="1"/>
    <col min="4092" max="4092" width="20.81640625" style="188" customWidth="1"/>
    <col min="4093" max="4312" width="9.1796875" style="188"/>
    <col min="4313" max="4313" width="10" style="188" customWidth="1"/>
    <col min="4314" max="4314" width="10.26953125" style="188" bestFit="1" customWidth="1"/>
    <col min="4315" max="4315" width="19.54296875" style="188" customWidth="1"/>
    <col min="4316" max="4316" width="11.1796875" style="188" customWidth="1"/>
    <col min="4317" max="4317" width="12.1796875" style="188" customWidth="1"/>
    <col min="4318" max="4318" width="9.54296875" style="188" bestFit="1" customWidth="1"/>
    <col min="4319" max="4319" width="40" style="188" bestFit="1" customWidth="1"/>
    <col min="4320" max="4320" width="9.1796875" style="188"/>
    <col min="4321" max="4322" width="14.453125" style="188" customWidth="1"/>
    <col min="4323" max="4323" width="12.54296875" style="188" customWidth="1"/>
    <col min="4324" max="4324" width="14.453125" style="188" customWidth="1"/>
    <col min="4325" max="4325" width="17.54296875" style="188" customWidth="1"/>
    <col min="4326" max="4326" width="25.7265625" style="188" customWidth="1"/>
    <col min="4327" max="4328" width="14" style="188" customWidth="1"/>
    <col min="4329" max="4329" width="18.7265625" style="188" customWidth="1"/>
    <col min="4330" max="4330" width="38.26953125" style="188" customWidth="1"/>
    <col min="4331" max="4331" width="22.54296875" style="188" bestFit="1" customWidth="1"/>
    <col min="4332" max="4332" width="1.81640625" style="188" customWidth="1"/>
    <col min="4333" max="4333" width="14.54296875" style="188" customWidth="1"/>
    <col min="4334" max="4334" width="1.81640625" style="188" customWidth="1"/>
    <col min="4335" max="4338" width="7.26953125" style="188" bestFit="1" customWidth="1"/>
    <col min="4339" max="4339" width="8.54296875" style="188" bestFit="1" customWidth="1"/>
    <col min="4340" max="4340" width="7.1796875" style="188" bestFit="1" customWidth="1"/>
    <col min="4341" max="4341" width="3.1796875" style="188" customWidth="1"/>
    <col min="4342" max="4345" width="21.81640625" style="188" bestFit="1" customWidth="1"/>
    <col min="4346" max="4346" width="9.81640625" style="188" customWidth="1"/>
    <col min="4347" max="4347" width="23.7265625" style="188" bestFit="1" customWidth="1"/>
    <col min="4348" max="4348" width="20.81640625" style="188" customWidth="1"/>
    <col min="4349" max="4568" width="9.1796875" style="188"/>
    <col min="4569" max="4569" width="10" style="188" customWidth="1"/>
    <col min="4570" max="4570" width="10.26953125" style="188" bestFit="1" customWidth="1"/>
    <col min="4571" max="4571" width="19.54296875" style="188" customWidth="1"/>
    <col min="4572" max="4572" width="11.1796875" style="188" customWidth="1"/>
    <col min="4573" max="4573" width="12.1796875" style="188" customWidth="1"/>
    <col min="4574" max="4574" width="9.54296875" style="188" bestFit="1" customWidth="1"/>
    <col min="4575" max="4575" width="40" style="188" bestFit="1" customWidth="1"/>
    <col min="4576" max="4576" width="9.1796875" style="188"/>
    <col min="4577" max="4578" width="14.453125" style="188" customWidth="1"/>
    <col min="4579" max="4579" width="12.54296875" style="188" customWidth="1"/>
    <col min="4580" max="4580" width="14.453125" style="188" customWidth="1"/>
    <col min="4581" max="4581" width="17.54296875" style="188" customWidth="1"/>
    <col min="4582" max="4582" width="25.7265625" style="188" customWidth="1"/>
    <col min="4583" max="4584" width="14" style="188" customWidth="1"/>
    <col min="4585" max="4585" width="18.7265625" style="188" customWidth="1"/>
    <col min="4586" max="4586" width="38.26953125" style="188" customWidth="1"/>
    <col min="4587" max="4587" width="22.54296875" style="188" bestFit="1" customWidth="1"/>
    <col min="4588" max="4588" width="1.81640625" style="188" customWidth="1"/>
    <col min="4589" max="4589" width="14.54296875" style="188" customWidth="1"/>
    <col min="4590" max="4590" width="1.81640625" style="188" customWidth="1"/>
    <col min="4591" max="4594" width="7.26953125" style="188" bestFit="1" customWidth="1"/>
    <col min="4595" max="4595" width="8.54296875" style="188" bestFit="1" customWidth="1"/>
    <col min="4596" max="4596" width="7.1796875" style="188" bestFit="1" customWidth="1"/>
    <col min="4597" max="4597" width="3.1796875" style="188" customWidth="1"/>
    <col min="4598" max="4601" width="21.81640625" style="188" bestFit="1" customWidth="1"/>
    <col min="4602" max="4602" width="9.81640625" style="188" customWidth="1"/>
    <col min="4603" max="4603" width="23.7265625" style="188" bestFit="1" customWidth="1"/>
    <col min="4604" max="4604" width="20.81640625" style="188" customWidth="1"/>
    <col min="4605" max="4824" width="9.1796875" style="188"/>
    <col min="4825" max="4825" width="10" style="188" customWidth="1"/>
    <col min="4826" max="4826" width="10.26953125" style="188" bestFit="1" customWidth="1"/>
    <col min="4827" max="4827" width="19.54296875" style="188" customWidth="1"/>
    <col min="4828" max="4828" width="11.1796875" style="188" customWidth="1"/>
    <col min="4829" max="4829" width="12.1796875" style="188" customWidth="1"/>
    <col min="4830" max="4830" width="9.54296875" style="188" bestFit="1" customWidth="1"/>
    <col min="4831" max="4831" width="40" style="188" bestFit="1" customWidth="1"/>
    <col min="4832" max="4832" width="9.1796875" style="188"/>
    <col min="4833" max="4834" width="14.453125" style="188" customWidth="1"/>
    <col min="4835" max="4835" width="12.54296875" style="188" customWidth="1"/>
    <col min="4836" max="4836" width="14.453125" style="188" customWidth="1"/>
    <col min="4837" max="4837" width="17.54296875" style="188" customWidth="1"/>
    <col min="4838" max="4838" width="25.7265625" style="188" customWidth="1"/>
    <col min="4839" max="4840" width="14" style="188" customWidth="1"/>
    <col min="4841" max="4841" width="18.7265625" style="188" customWidth="1"/>
    <col min="4842" max="4842" width="38.26953125" style="188" customWidth="1"/>
    <col min="4843" max="4843" width="22.54296875" style="188" bestFit="1" customWidth="1"/>
    <col min="4844" max="4844" width="1.81640625" style="188" customWidth="1"/>
    <col min="4845" max="4845" width="14.54296875" style="188" customWidth="1"/>
    <col min="4846" max="4846" width="1.81640625" style="188" customWidth="1"/>
    <col min="4847" max="4850" width="7.26953125" style="188" bestFit="1" customWidth="1"/>
    <col min="4851" max="4851" width="8.54296875" style="188" bestFit="1" customWidth="1"/>
    <col min="4852" max="4852" width="7.1796875" style="188" bestFit="1" customWidth="1"/>
    <col min="4853" max="4853" width="3.1796875" style="188" customWidth="1"/>
    <col min="4854" max="4857" width="21.81640625" style="188" bestFit="1" customWidth="1"/>
    <col min="4858" max="4858" width="9.81640625" style="188" customWidth="1"/>
    <col min="4859" max="4859" width="23.7265625" style="188" bestFit="1" customWidth="1"/>
    <col min="4860" max="4860" width="20.81640625" style="188" customWidth="1"/>
    <col min="4861" max="5080" width="9.1796875" style="188"/>
    <col min="5081" max="5081" width="10" style="188" customWidth="1"/>
    <col min="5082" max="5082" width="10.26953125" style="188" bestFit="1" customWidth="1"/>
    <col min="5083" max="5083" width="19.54296875" style="188" customWidth="1"/>
    <col min="5084" max="5084" width="11.1796875" style="188" customWidth="1"/>
    <col min="5085" max="5085" width="12.1796875" style="188" customWidth="1"/>
    <col min="5086" max="5086" width="9.54296875" style="188" bestFit="1" customWidth="1"/>
    <col min="5087" max="5087" width="40" style="188" bestFit="1" customWidth="1"/>
    <col min="5088" max="5088" width="9.1796875" style="188"/>
    <col min="5089" max="5090" width="14.453125" style="188" customWidth="1"/>
    <col min="5091" max="5091" width="12.54296875" style="188" customWidth="1"/>
    <col min="5092" max="5092" width="14.453125" style="188" customWidth="1"/>
    <col min="5093" max="5093" width="17.54296875" style="188" customWidth="1"/>
    <col min="5094" max="5094" width="25.7265625" style="188" customWidth="1"/>
    <col min="5095" max="5096" width="14" style="188" customWidth="1"/>
    <col min="5097" max="5097" width="18.7265625" style="188" customWidth="1"/>
    <col min="5098" max="5098" width="38.26953125" style="188" customWidth="1"/>
    <col min="5099" max="5099" width="22.54296875" style="188" bestFit="1" customWidth="1"/>
    <col min="5100" max="5100" width="1.81640625" style="188" customWidth="1"/>
    <col min="5101" max="5101" width="14.54296875" style="188" customWidth="1"/>
    <col min="5102" max="5102" width="1.81640625" style="188" customWidth="1"/>
    <col min="5103" max="5106" width="7.26953125" style="188" bestFit="1" customWidth="1"/>
    <col min="5107" max="5107" width="8.54296875" style="188" bestFit="1" customWidth="1"/>
    <col min="5108" max="5108" width="7.1796875" style="188" bestFit="1" customWidth="1"/>
    <col min="5109" max="5109" width="3.1796875" style="188" customWidth="1"/>
    <col min="5110" max="5113" width="21.81640625" style="188" bestFit="1" customWidth="1"/>
    <col min="5114" max="5114" width="9.81640625" style="188" customWidth="1"/>
    <col min="5115" max="5115" width="23.7265625" style="188" bestFit="1" customWidth="1"/>
    <col min="5116" max="5116" width="20.81640625" style="188" customWidth="1"/>
    <col min="5117" max="5336" width="9.1796875" style="188"/>
    <col min="5337" max="5337" width="10" style="188" customWidth="1"/>
    <col min="5338" max="5338" width="10.26953125" style="188" bestFit="1" customWidth="1"/>
    <col min="5339" max="5339" width="19.54296875" style="188" customWidth="1"/>
    <col min="5340" max="5340" width="11.1796875" style="188" customWidth="1"/>
    <col min="5341" max="5341" width="12.1796875" style="188" customWidth="1"/>
    <col min="5342" max="5342" width="9.54296875" style="188" bestFit="1" customWidth="1"/>
    <col min="5343" max="5343" width="40" style="188" bestFit="1" customWidth="1"/>
    <col min="5344" max="5344" width="9.1796875" style="188"/>
    <col min="5345" max="5346" width="14.453125" style="188" customWidth="1"/>
    <col min="5347" max="5347" width="12.54296875" style="188" customWidth="1"/>
    <col min="5348" max="5348" width="14.453125" style="188" customWidth="1"/>
    <col min="5349" max="5349" width="17.54296875" style="188" customWidth="1"/>
    <col min="5350" max="5350" width="25.7265625" style="188" customWidth="1"/>
    <col min="5351" max="5352" width="14" style="188" customWidth="1"/>
    <col min="5353" max="5353" width="18.7265625" style="188" customWidth="1"/>
    <col min="5354" max="5354" width="38.26953125" style="188" customWidth="1"/>
    <col min="5355" max="5355" width="22.54296875" style="188" bestFit="1" customWidth="1"/>
    <col min="5356" max="5356" width="1.81640625" style="188" customWidth="1"/>
    <col min="5357" max="5357" width="14.54296875" style="188" customWidth="1"/>
    <col min="5358" max="5358" width="1.81640625" style="188" customWidth="1"/>
    <col min="5359" max="5362" width="7.26953125" style="188" bestFit="1" customWidth="1"/>
    <col min="5363" max="5363" width="8.54296875" style="188" bestFit="1" customWidth="1"/>
    <col min="5364" max="5364" width="7.1796875" style="188" bestFit="1" customWidth="1"/>
    <col min="5365" max="5365" width="3.1796875" style="188" customWidth="1"/>
    <col min="5366" max="5369" width="21.81640625" style="188" bestFit="1" customWidth="1"/>
    <col min="5370" max="5370" width="9.81640625" style="188" customWidth="1"/>
    <col min="5371" max="5371" width="23.7265625" style="188" bestFit="1" customWidth="1"/>
    <col min="5372" max="5372" width="20.81640625" style="188" customWidth="1"/>
    <col min="5373" max="5592" width="9.1796875" style="188"/>
    <col min="5593" max="5593" width="10" style="188" customWidth="1"/>
    <col min="5594" max="5594" width="10.26953125" style="188" bestFit="1" customWidth="1"/>
    <col min="5595" max="5595" width="19.54296875" style="188" customWidth="1"/>
    <col min="5596" max="5596" width="11.1796875" style="188" customWidth="1"/>
    <col min="5597" max="5597" width="12.1796875" style="188" customWidth="1"/>
    <col min="5598" max="5598" width="9.54296875" style="188" bestFit="1" customWidth="1"/>
    <col min="5599" max="5599" width="40" style="188" bestFit="1" customWidth="1"/>
    <col min="5600" max="5600" width="9.1796875" style="188"/>
    <col min="5601" max="5602" width="14.453125" style="188" customWidth="1"/>
    <col min="5603" max="5603" width="12.54296875" style="188" customWidth="1"/>
    <col min="5604" max="5604" width="14.453125" style="188" customWidth="1"/>
    <col min="5605" max="5605" width="17.54296875" style="188" customWidth="1"/>
    <col min="5606" max="5606" width="25.7265625" style="188" customWidth="1"/>
    <col min="5607" max="5608" width="14" style="188" customWidth="1"/>
    <col min="5609" max="5609" width="18.7265625" style="188" customWidth="1"/>
    <col min="5610" max="5610" width="38.26953125" style="188" customWidth="1"/>
    <col min="5611" max="5611" width="22.54296875" style="188" bestFit="1" customWidth="1"/>
    <col min="5612" max="5612" width="1.81640625" style="188" customWidth="1"/>
    <col min="5613" max="5613" width="14.54296875" style="188" customWidth="1"/>
    <col min="5614" max="5614" width="1.81640625" style="188" customWidth="1"/>
    <col min="5615" max="5618" width="7.26953125" style="188" bestFit="1" customWidth="1"/>
    <col min="5619" max="5619" width="8.54296875" style="188" bestFit="1" customWidth="1"/>
    <col min="5620" max="5620" width="7.1796875" style="188" bestFit="1" customWidth="1"/>
    <col min="5621" max="5621" width="3.1796875" style="188" customWidth="1"/>
    <col min="5622" max="5625" width="21.81640625" style="188" bestFit="1" customWidth="1"/>
    <col min="5626" max="5626" width="9.81640625" style="188" customWidth="1"/>
    <col min="5627" max="5627" width="23.7265625" style="188" bestFit="1" customWidth="1"/>
    <col min="5628" max="5628" width="20.81640625" style="188" customWidth="1"/>
    <col min="5629" max="5848" width="9.1796875" style="188"/>
    <col min="5849" max="5849" width="10" style="188" customWidth="1"/>
    <col min="5850" max="5850" width="10.26953125" style="188" bestFit="1" customWidth="1"/>
    <col min="5851" max="5851" width="19.54296875" style="188" customWidth="1"/>
    <col min="5852" max="5852" width="11.1796875" style="188" customWidth="1"/>
    <col min="5853" max="5853" width="12.1796875" style="188" customWidth="1"/>
    <col min="5854" max="5854" width="9.54296875" style="188" bestFit="1" customWidth="1"/>
    <col min="5855" max="5855" width="40" style="188" bestFit="1" customWidth="1"/>
    <col min="5856" max="5856" width="9.1796875" style="188"/>
    <col min="5857" max="5858" width="14.453125" style="188" customWidth="1"/>
    <col min="5859" max="5859" width="12.54296875" style="188" customWidth="1"/>
    <col min="5860" max="5860" width="14.453125" style="188" customWidth="1"/>
    <col min="5861" max="5861" width="17.54296875" style="188" customWidth="1"/>
    <col min="5862" max="5862" width="25.7265625" style="188" customWidth="1"/>
    <col min="5863" max="5864" width="14" style="188" customWidth="1"/>
    <col min="5865" max="5865" width="18.7265625" style="188" customWidth="1"/>
    <col min="5866" max="5866" width="38.26953125" style="188" customWidth="1"/>
    <col min="5867" max="5867" width="22.54296875" style="188" bestFit="1" customWidth="1"/>
    <col min="5868" max="5868" width="1.81640625" style="188" customWidth="1"/>
    <col min="5869" max="5869" width="14.54296875" style="188" customWidth="1"/>
    <col min="5870" max="5870" width="1.81640625" style="188" customWidth="1"/>
    <col min="5871" max="5874" width="7.26953125" style="188" bestFit="1" customWidth="1"/>
    <col min="5875" max="5875" width="8.54296875" style="188" bestFit="1" customWidth="1"/>
    <col min="5876" max="5876" width="7.1796875" style="188" bestFit="1" customWidth="1"/>
    <col min="5877" max="5877" width="3.1796875" style="188" customWidth="1"/>
    <col min="5878" max="5881" width="21.81640625" style="188" bestFit="1" customWidth="1"/>
    <col min="5882" max="5882" width="9.81640625" style="188" customWidth="1"/>
    <col min="5883" max="5883" width="23.7265625" style="188" bestFit="1" customWidth="1"/>
    <col min="5884" max="5884" width="20.81640625" style="188" customWidth="1"/>
    <col min="5885" max="6104" width="9.1796875" style="188"/>
    <col min="6105" max="6105" width="10" style="188" customWidth="1"/>
    <col min="6106" max="6106" width="10.26953125" style="188" bestFit="1" customWidth="1"/>
    <col min="6107" max="6107" width="19.54296875" style="188" customWidth="1"/>
    <col min="6108" max="6108" width="11.1796875" style="188" customWidth="1"/>
    <col min="6109" max="6109" width="12.1796875" style="188" customWidth="1"/>
    <col min="6110" max="6110" width="9.54296875" style="188" bestFit="1" customWidth="1"/>
    <col min="6111" max="6111" width="40" style="188" bestFit="1" customWidth="1"/>
    <col min="6112" max="6112" width="9.1796875" style="188"/>
    <col min="6113" max="6114" width="14.453125" style="188" customWidth="1"/>
    <col min="6115" max="6115" width="12.54296875" style="188" customWidth="1"/>
    <col min="6116" max="6116" width="14.453125" style="188" customWidth="1"/>
    <col min="6117" max="6117" width="17.54296875" style="188" customWidth="1"/>
    <col min="6118" max="6118" width="25.7265625" style="188" customWidth="1"/>
    <col min="6119" max="6120" width="14" style="188" customWidth="1"/>
    <col min="6121" max="6121" width="18.7265625" style="188" customWidth="1"/>
    <col min="6122" max="6122" width="38.26953125" style="188" customWidth="1"/>
    <col min="6123" max="6123" width="22.54296875" style="188" bestFit="1" customWidth="1"/>
    <col min="6124" max="6124" width="1.81640625" style="188" customWidth="1"/>
    <col min="6125" max="6125" width="14.54296875" style="188" customWidth="1"/>
    <col min="6126" max="6126" width="1.81640625" style="188" customWidth="1"/>
    <col min="6127" max="6130" width="7.26953125" style="188" bestFit="1" customWidth="1"/>
    <col min="6131" max="6131" width="8.54296875" style="188" bestFit="1" customWidth="1"/>
    <col min="6132" max="6132" width="7.1796875" style="188" bestFit="1" customWidth="1"/>
    <col min="6133" max="6133" width="3.1796875" style="188" customWidth="1"/>
    <col min="6134" max="6137" width="21.81640625" style="188" bestFit="1" customWidth="1"/>
    <col min="6138" max="6138" width="9.81640625" style="188" customWidth="1"/>
    <col min="6139" max="6139" width="23.7265625" style="188" bestFit="1" customWidth="1"/>
    <col min="6140" max="6140" width="20.81640625" style="188" customWidth="1"/>
    <col min="6141" max="6360" width="9.1796875" style="188"/>
    <col min="6361" max="6361" width="10" style="188" customWidth="1"/>
    <col min="6362" max="6362" width="10.26953125" style="188" bestFit="1" customWidth="1"/>
    <col min="6363" max="6363" width="19.54296875" style="188" customWidth="1"/>
    <col min="6364" max="6364" width="11.1796875" style="188" customWidth="1"/>
    <col min="6365" max="6365" width="12.1796875" style="188" customWidth="1"/>
    <col min="6366" max="6366" width="9.54296875" style="188" bestFit="1" customWidth="1"/>
    <col min="6367" max="6367" width="40" style="188" bestFit="1" customWidth="1"/>
    <col min="6368" max="6368" width="9.1796875" style="188"/>
    <col min="6369" max="6370" width="14.453125" style="188" customWidth="1"/>
    <col min="6371" max="6371" width="12.54296875" style="188" customWidth="1"/>
    <col min="6372" max="6372" width="14.453125" style="188" customWidth="1"/>
    <col min="6373" max="6373" width="17.54296875" style="188" customWidth="1"/>
    <col min="6374" max="6374" width="25.7265625" style="188" customWidth="1"/>
    <col min="6375" max="6376" width="14" style="188" customWidth="1"/>
    <col min="6377" max="6377" width="18.7265625" style="188" customWidth="1"/>
    <col min="6378" max="6378" width="38.26953125" style="188" customWidth="1"/>
    <col min="6379" max="6379" width="22.54296875" style="188" bestFit="1" customWidth="1"/>
    <col min="6380" max="6380" width="1.81640625" style="188" customWidth="1"/>
    <col min="6381" max="6381" width="14.54296875" style="188" customWidth="1"/>
    <col min="6382" max="6382" width="1.81640625" style="188" customWidth="1"/>
    <col min="6383" max="6386" width="7.26953125" style="188" bestFit="1" customWidth="1"/>
    <col min="6387" max="6387" width="8.54296875" style="188" bestFit="1" customWidth="1"/>
    <col min="6388" max="6388" width="7.1796875" style="188" bestFit="1" customWidth="1"/>
    <col min="6389" max="6389" width="3.1796875" style="188" customWidth="1"/>
    <col min="6390" max="6393" width="21.81640625" style="188" bestFit="1" customWidth="1"/>
    <col min="6394" max="6394" width="9.81640625" style="188" customWidth="1"/>
    <col min="6395" max="6395" width="23.7265625" style="188" bestFit="1" customWidth="1"/>
    <col min="6396" max="6396" width="20.81640625" style="188" customWidth="1"/>
    <col min="6397" max="6616" width="9.1796875" style="188"/>
    <col min="6617" max="6617" width="10" style="188" customWidth="1"/>
    <col min="6618" max="6618" width="10.26953125" style="188" bestFit="1" customWidth="1"/>
    <col min="6619" max="6619" width="19.54296875" style="188" customWidth="1"/>
    <col min="6620" max="6620" width="11.1796875" style="188" customWidth="1"/>
    <col min="6621" max="6621" width="12.1796875" style="188" customWidth="1"/>
    <col min="6622" max="6622" width="9.54296875" style="188" bestFit="1" customWidth="1"/>
    <col min="6623" max="6623" width="40" style="188" bestFit="1" customWidth="1"/>
    <col min="6624" max="6624" width="9.1796875" style="188"/>
    <col min="6625" max="6626" width="14.453125" style="188" customWidth="1"/>
    <col min="6627" max="6627" width="12.54296875" style="188" customWidth="1"/>
    <col min="6628" max="6628" width="14.453125" style="188" customWidth="1"/>
    <col min="6629" max="6629" width="17.54296875" style="188" customWidth="1"/>
    <col min="6630" max="6630" width="25.7265625" style="188" customWidth="1"/>
    <col min="6631" max="6632" width="14" style="188" customWidth="1"/>
    <col min="6633" max="6633" width="18.7265625" style="188" customWidth="1"/>
    <col min="6634" max="6634" width="38.26953125" style="188" customWidth="1"/>
    <col min="6635" max="6635" width="22.54296875" style="188" bestFit="1" customWidth="1"/>
    <col min="6636" max="6636" width="1.81640625" style="188" customWidth="1"/>
    <col min="6637" max="6637" width="14.54296875" style="188" customWidth="1"/>
    <col min="6638" max="6638" width="1.81640625" style="188" customWidth="1"/>
    <col min="6639" max="6642" width="7.26953125" style="188" bestFit="1" customWidth="1"/>
    <col min="6643" max="6643" width="8.54296875" style="188" bestFit="1" customWidth="1"/>
    <col min="6644" max="6644" width="7.1796875" style="188" bestFit="1" customWidth="1"/>
    <col min="6645" max="6645" width="3.1796875" style="188" customWidth="1"/>
    <col min="6646" max="6649" width="21.81640625" style="188" bestFit="1" customWidth="1"/>
    <col min="6650" max="6650" width="9.81640625" style="188" customWidth="1"/>
    <col min="6651" max="6651" width="23.7265625" style="188" bestFit="1" customWidth="1"/>
    <col min="6652" max="6652" width="20.81640625" style="188" customWidth="1"/>
    <col min="6653" max="6872" width="9.1796875" style="188"/>
    <col min="6873" max="6873" width="10" style="188" customWidth="1"/>
    <col min="6874" max="6874" width="10.26953125" style="188" bestFit="1" customWidth="1"/>
    <col min="6875" max="6875" width="19.54296875" style="188" customWidth="1"/>
    <col min="6876" max="6876" width="11.1796875" style="188" customWidth="1"/>
    <col min="6877" max="6877" width="12.1796875" style="188" customWidth="1"/>
    <col min="6878" max="6878" width="9.54296875" style="188" bestFit="1" customWidth="1"/>
    <col min="6879" max="6879" width="40" style="188" bestFit="1" customWidth="1"/>
    <col min="6880" max="6880" width="9.1796875" style="188"/>
    <col min="6881" max="6882" width="14.453125" style="188" customWidth="1"/>
    <col min="6883" max="6883" width="12.54296875" style="188" customWidth="1"/>
    <col min="6884" max="6884" width="14.453125" style="188" customWidth="1"/>
    <col min="6885" max="6885" width="17.54296875" style="188" customWidth="1"/>
    <col min="6886" max="6886" width="25.7265625" style="188" customWidth="1"/>
    <col min="6887" max="6888" width="14" style="188" customWidth="1"/>
    <col min="6889" max="6889" width="18.7265625" style="188" customWidth="1"/>
    <col min="6890" max="6890" width="38.26953125" style="188" customWidth="1"/>
    <col min="6891" max="6891" width="22.54296875" style="188" bestFit="1" customWidth="1"/>
    <col min="6892" max="6892" width="1.81640625" style="188" customWidth="1"/>
    <col min="6893" max="6893" width="14.54296875" style="188" customWidth="1"/>
    <col min="6894" max="6894" width="1.81640625" style="188" customWidth="1"/>
    <col min="6895" max="6898" width="7.26953125" style="188" bestFit="1" customWidth="1"/>
    <col min="6899" max="6899" width="8.54296875" style="188" bestFit="1" customWidth="1"/>
    <col min="6900" max="6900" width="7.1796875" style="188" bestFit="1" customWidth="1"/>
    <col min="6901" max="6901" width="3.1796875" style="188" customWidth="1"/>
    <col min="6902" max="6905" width="21.81640625" style="188" bestFit="1" customWidth="1"/>
    <col min="6906" max="6906" width="9.81640625" style="188" customWidth="1"/>
    <col min="6907" max="6907" width="23.7265625" style="188" bestFit="1" customWidth="1"/>
    <col min="6908" max="6908" width="20.81640625" style="188" customWidth="1"/>
    <col min="6909" max="7128" width="9.1796875" style="188"/>
    <col min="7129" max="7129" width="10" style="188" customWidth="1"/>
    <col min="7130" max="7130" width="10.26953125" style="188" bestFit="1" customWidth="1"/>
    <col min="7131" max="7131" width="19.54296875" style="188" customWidth="1"/>
    <col min="7132" max="7132" width="11.1796875" style="188" customWidth="1"/>
    <col min="7133" max="7133" width="12.1796875" style="188" customWidth="1"/>
    <col min="7134" max="7134" width="9.54296875" style="188" bestFit="1" customWidth="1"/>
    <col min="7135" max="7135" width="40" style="188" bestFit="1" customWidth="1"/>
    <col min="7136" max="7136" width="9.1796875" style="188"/>
    <col min="7137" max="7138" width="14.453125" style="188" customWidth="1"/>
    <col min="7139" max="7139" width="12.54296875" style="188" customWidth="1"/>
    <col min="7140" max="7140" width="14.453125" style="188" customWidth="1"/>
    <col min="7141" max="7141" width="17.54296875" style="188" customWidth="1"/>
    <col min="7142" max="7142" width="25.7265625" style="188" customWidth="1"/>
    <col min="7143" max="7144" width="14" style="188" customWidth="1"/>
    <col min="7145" max="7145" width="18.7265625" style="188" customWidth="1"/>
    <col min="7146" max="7146" width="38.26953125" style="188" customWidth="1"/>
    <col min="7147" max="7147" width="22.54296875" style="188" bestFit="1" customWidth="1"/>
    <col min="7148" max="7148" width="1.81640625" style="188" customWidth="1"/>
    <col min="7149" max="7149" width="14.54296875" style="188" customWidth="1"/>
    <col min="7150" max="7150" width="1.81640625" style="188" customWidth="1"/>
    <col min="7151" max="7154" width="7.26953125" style="188" bestFit="1" customWidth="1"/>
    <col min="7155" max="7155" width="8.54296875" style="188" bestFit="1" customWidth="1"/>
    <col min="7156" max="7156" width="7.1796875" style="188" bestFit="1" customWidth="1"/>
    <col min="7157" max="7157" width="3.1796875" style="188" customWidth="1"/>
    <col min="7158" max="7161" width="21.81640625" style="188" bestFit="1" customWidth="1"/>
    <col min="7162" max="7162" width="9.81640625" style="188" customWidth="1"/>
    <col min="7163" max="7163" width="23.7265625" style="188" bestFit="1" customWidth="1"/>
    <col min="7164" max="7164" width="20.81640625" style="188" customWidth="1"/>
    <col min="7165" max="7384" width="9.1796875" style="188"/>
    <col min="7385" max="7385" width="10" style="188" customWidth="1"/>
    <col min="7386" max="7386" width="10.26953125" style="188" bestFit="1" customWidth="1"/>
    <col min="7387" max="7387" width="19.54296875" style="188" customWidth="1"/>
    <col min="7388" max="7388" width="11.1796875" style="188" customWidth="1"/>
    <col min="7389" max="7389" width="12.1796875" style="188" customWidth="1"/>
    <col min="7390" max="7390" width="9.54296875" style="188" bestFit="1" customWidth="1"/>
    <col min="7391" max="7391" width="40" style="188" bestFit="1" customWidth="1"/>
    <col min="7392" max="7392" width="9.1796875" style="188"/>
    <col min="7393" max="7394" width="14.453125" style="188" customWidth="1"/>
    <col min="7395" max="7395" width="12.54296875" style="188" customWidth="1"/>
    <col min="7396" max="7396" width="14.453125" style="188" customWidth="1"/>
    <col min="7397" max="7397" width="17.54296875" style="188" customWidth="1"/>
    <col min="7398" max="7398" width="25.7265625" style="188" customWidth="1"/>
    <col min="7399" max="7400" width="14" style="188" customWidth="1"/>
    <col min="7401" max="7401" width="18.7265625" style="188" customWidth="1"/>
    <col min="7402" max="7402" width="38.26953125" style="188" customWidth="1"/>
    <col min="7403" max="7403" width="22.54296875" style="188" bestFit="1" customWidth="1"/>
    <col min="7404" max="7404" width="1.81640625" style="188" customWidth="1"/>
    <col min="7405" max="7405" width="14.54296875" style="188" customWidth="1"/>
    <col min="7406" max="7406" width="1.81640625" style="188" customWidth="1"/>
    <col min="7407" max="7410" width="7.26953125" style="188" bestFit="1" customWidth="1"/>
    <col min="7411" max="7411" width="8.54296875" style="188" bestFit="1" customWidth="1"/>
    <col min="7412" max="7412" width="7.1796875" style="188" bestFit="1" customWidth="1"/>
    <col min="7413" max="7413" width="3.1796875" style="188" customWidth="1"/>
    <col min="7414" max="7417" width="21.81640625" style="188" bestFit="1" customWidth="1"/>
    <col min="7418" max="7418" width="9.81640625" style="188" customWidth="1"/>
    <col min="7419" max="7419" width="23.7265625" style="188" bestFit="1" customWidth="1"/>
    <col min="7420" max="7420" width="20.81640625" style="188" customWidth="1"/>
    <col min="7421" max="7640" width="9.1796875" style="188"/>
    <col min="7641" max="7641" width="10" style="188" customWidth="1"/>
    <col min="7642" max="7642" width="10.26953125" style="188" bestFit="1" customWidth="1"/>
    <col min="7643" max="7643" width="19.54296875" style="188" customWidth="1"/>
    <col min="7644" max="7644" width="11.1796875" style="188" customWidth="1"/>
    <col min="7645" max="7645" width="12.1796875" style="188" customWidth="1"/>
    <col min="7646" max="7646" width="9.54296875" style="188" bestFit="1" customWidth="1"/>
    <col min="7647" max="7647" width="40" style="188" bestFit="1" customWidth="1"/>
    <col min="7648" max="7648" width="9.1796875" style="188"/>
    <col min="7649" max="7650" width="14.453125" style="188" customWidth="1"/>
    <col min="7651" max="7651" width="12.54296875" style="188" customWidth="1"/>
    <col min="7652" max="7652" width="14.453125" style="188" customWidth="1"/>
    <col min="7653" max="7653" width="17.54296875" style="188" customWidth="1"/>
    <col min="7654" max="7654" width="25.7265625" style="188" customWidth="1"/>
    <col min="7655" max="7656" width="14" style="188" customWidth="1"/>
    <col min="7657" max="7657" width="18.7265625" style="188" customWidth="1"/>
    <col min="7658" max="7658" width="38.26953125" style="188" customWidth="1"/>
    <col min="7659" max="7659" width="22.54296875" style="188" bestFit="1" customWidth="1"/>
    <col min="7660" max="7660" width="1.81640625" style="188" customWidth="1"/>
    <col min="7661" max="7661" width="14.54296875" style="188" customWidth="1"/>
    <col min="7662" max="7662" width="1.81640625" style="188" customWidth="1"/>
    <col min="7663" max="7666" width="7.26953125" style="188" bestFit="1" customWidth="1"/>
    <col min="7667" max="7667" width="8.54296875" style="188" bestFit="1" customWidth="1"/>
    <col min="7668" max="7668" width="7.1796875" style="188" bestFit="1" customWidth="1"/>
    <col min="7669" max="7669" width="3.1796875" style="188" customWidth="1"/>
    <col min="7670" max="7673" width="21.81640625" style="188" bestFit="1" customWidth="1"/>
    <col min="7674" max="7674" width="9.81640625" style="188" customWidth="1"/>
    <col min="7675" max="7675" width="23.7265625" style="188" bestFit="1" customWidth="1"/>
    <col min="7676" max="7676" width="20.81640625" style="188" customWidth="1"/>
    <col min="7677" max="7896" width="9.1796875" style="188"/>
    <col min="7897" max="7897" width="10" style="188" customWidth="1"/>
    <col min="7898" max="7898" width="10.26953125" style="188" bestFit="1" customWidth="1"/>
    <col min="7899" max="7899" width="19.54296875" style="188" customWidth="1"/>
    <col min="7900" max="7900" width="11.1796875" style="188" customWidth="1"/>
    <col min="7901" max="7901" width="12.1796875" style="188" customWidth="1"/>
    <col min="7902" max="7902" width="9.54296875" style="188" bestFit="1" customWidth="1"/>
    <col min="7903" max="7903" width="40" style="188" bestFit="1" customWidth="1"/>
    <col min="7904" max="7904" width="9.1796875" style="188"/>
    <col min="7905" max="7906" width="14.453125" style="188" customWidth="1"/>
    <col min="7907" max="7907" width="12.54296875" style="188" customWidth="1"/>
    <col min="7908" max="7908" width="14.453125" style="188" customWidth="1"/>
    <col min="7909" max="7909" width="17.54296875" style="188" customWidth="1"/>
    <col min="7910" max="7910" width="25.7265625" style="188" customWidth="1"/>
    <col min="7911" max="7912" width="14" style="188" customWidth="1"/>
    <col min="7913" max="7913" width="18.7265625" style="188" customWidth="1"/>
    <col min="7914" max="7914" width="38.26953125" style="188" customWidth="1"/>
    <col min="7915" max="7915" width="22.54296875" style="188" bestFit="1" customWidth="1"/>
    <col min="7916" max="7916" width="1.81640625" style="188" customWidth="1"/>
    <col min="7917" max="7917" width="14.54296875" style="188" customWidth="1"/>
    <col min="7918" max="7918" width="1.81640625" style="188" customWidth="1"/>
    <col min="7919" max="7922" width="7.26953125" style="188" bestFit="1" customWidth="1"/>
    <col min="7923" max="7923" width="8.54296875" style="188" bestFit="1" customWidth="1"/>
    <col min="7924" max="7924" width="7.1796875" style="188" bestFit="1" customWidth="1"/>
    <col min="7925" max="7925" width="3.1796875" style="188" customWidth="1"/>
    <col min="7926" max="7929" width="21.81640625" style="188" bestFit="1" customWidth="1"/>
    <col min="7930" max="7930" width="9.81640625" style="188" customWidth="1"/>
    <col min="7931" max="7931" width="23.7265625" style="188" bestFit="1" customWidth="1"/>
    <col min="7932" max="7932" width="20.81640625" style="188" customWidth="1"/>
    <col min="7933" max="8152" width="9.1796875" style="188"/>
    <col min="8153" max="8153" width="10" style="188" customWidth="1"/>
    <col min="8154" max="8154" width="10.26953125" style="188" bestFit="1" customWidth="1"/>
    <col min="8155" max="8155" width="19.54296875" style="188" customWidth="1"/>
    <col min="8156" max="8156" width="11.1796875" style="188" customWidth="1"/>
    <col min="8157" max="8157" width="12.1796875" style="188" customWidth="1"/>
    <col min="8158" max="8158" width="9.54296875" style="188" bestFit="1" customWidth="1"/>
    <col min="8159" max="8159" width="40" style="188" bestFit="1" customWidth="1"/>
    <col min="8160" max="8160" width="9.1796875" style="188"/>
    <col min="8161" max="8162" width="14.453125" style="188" customWidth="1"/>
    <col min="8163" max="8163" width="12.54296875" style="188" customWidth="1"/>
    <col min="8164" max="8164" width="14.453125" style="188" customWidth="1"/>
    <col min="8165" max="8165" width="17.54296875" style="188" customWidth="1"/>
    <col min="8166" max="8166" width="25.7265625" style="188" customWidth="1"/>
    <col min="8167" max="8168" width="14" style="188" customWidth="1"/>
    <col min="8169" max="8169" width="18.7265625" style="188" customWidth="1"/>
    <col min="8170" max="8170" width="38.26953125" style="188" customWidth="1"/>
    <col min="8171" max="8171" width="22.54296875" style="188" bestFit="1" customWidth="1"/>
    <col min="8172" max="8172" width="1.81640625" style="188" customWidth="1"/>
    <col min="8173" max="8173" width="14.54296875" style="188" customWidth="1"/>
    <col min="8174" max="8174" width="1.81640625" style="188" customWidth="1"/>
    <col min="8175" max="8178" width="7.26953125" style="188" bestFit="1" customWidth="1"/>
    <col min="8179" max="8179" width="8.54296875" style="188" bestFit="1" customWidth="1"/>
    <col min="8180" max="8180" width="7.1796875" style="188" bestFit="1" customWidth="1"/>
    <col min="8181" max="8181" width="3.1796875" style="188" customWidth="1"/>
    <col min="8182" max="8185" width="21.81640625" style="188" bestFit="1" customWidth="1"/>
    <col min="8186" max="8186" width="9.81640625" style="188" customWidth="1"/>
    <col min="8187" max="8187" width="23.7265625" style="188" bestFit="1" customWidth="1"/>
    <col min="8188" max="8188" width="20.81640625" style="188" customWidth="1"/>
    <col min="8189" max="8408" width="9.1796875" style="188"/>
    <col min="8409" max="8409" width="10" style="188" customWidth="1"/>
    <col min="8410" max="8410" width="10.26953125" style="188" bestFit="1" customWidth="1"/>
    <col min="8411" max="8411" width="19.54296875" style="188" customWidth="1"/>
    <col min="8412" max="8412" width="11.1796875" style="188" customWidth="1"/>
    <col min="8413" max="8413" width="12.1796875" style="188" customWidth="1"/>
    <col min="8414" max="8414" width="9.54296875" style="188" bestFit="1" customWidth="1"/>
    <col min="8415" max="8415" width="40" style="188" bestFit="1" customWidth="1"/>
    <col min="8416" max="8416" width="9.1796875" style="188"/>
    <col min="8417" max="8418" width="14.453125" style="188" customWidth="1"/>
    <col min="8419" max="8419" width="12.54296875" style="188" customWidth="1"/>
    <col min="8420" max="8420" width="14.453125" style="188" customWidth="1"/>
    <col min="8421" max="8421" width="17.54296875" style="188" customWidth="1"/>
    <col min="8422" max="8422" width="25.7265625" style="188" customWidth="1"/>
    <col min="8423" max="8424" width="14" style="188" customWidth="1"/>
    <col min="8425" max="8425" width="18.7265625" style="188" customWidth="1"/>
    <col min="8426" max="8426" width="38.26953125" style="188" customWidth="1"/>
    <col min="8427" max="8427" width="22.54296875" style="188" bestFit="1" customWidth="1"/>
    <col min="8428" max="8428" width="1.81640625" style="188" customWidth="1"/>
    <col min="8429" max="8429" width="14.54296875" style="188" customWidth="1"/>
    <col min="8430" max="8430" width="1.81640625" style="188" customWidth="1"/>
    <col min="8431" max="8434" width="7.26953125" style="188" bestFit="1" customWidth="1"/>
    <col min="8435" max="8435" width="8.54296875" style="188" bestFit="1" customWidth="1"/>
    <col min="8436" max="8436" width="7.1796875" style="188" bestFit="1" customWidth="1"/>
    <col min="8437" max="8437" width="3.1796875" style="188" customWidth="1"/>
    <col min="8438" max="8441" width="21.81640625" style="188" bestFit="1" customWidth="1"/>
    <col min="8442" max="8442" width="9.81640625" style="188" customWidth="1"/>
    <col min="8443" max="8443" width="23.7265625" style="188" bestFit="1" customWidth="1"/>
    <col min="8444" max="8444" width="20.81640625" style="188" customWidth="1"/>
    <col min="8445" max="8664" width="9.1796875" style="188"/>
    <col min="8665" max="8665" width="10" style="188" customWidth="1"/>
    <col min="8666" max="8666" width="10.26953125" style="188" bestFit="1" customWidth="1"/>
    <col min="8667" max="8667" width="19.54296875" style="188" customWidth="1"/>
    <col min="8668" max="8668" width="11.1796875" style="188" customWidth="1"/>
    <col min="8669" max="8669" width="12.1796875" style="188" customWidth="1"/>
    <col min="8670" max="8670" width="9.54296875" style="188" bestFit="1" customWidth="1"/>
    <col min="8671" max="8671" width="40" style="188" bestFit="1" customWidth="1"/>
    <col min="8672" max="8672" width="9.1796875" style="188"/>
    <col min="8673" max="8674" width="14.453125" style="188" customWidth="1"/>
    <col min="8675" max="8675" width="12.54296875" style="188" customWidth="1"/>
    <col min="8676" max="8676" width="14.453125" style="188" customWidth="1"/>
    <col min="8677" max="8677" width="17.54296875" style="188" customWidth="1"/>
    <col min="8678" max="8678" width="25.7265625" style="188" customWidth="1"/>
    <col min="8679" max="8680" width="14" style="188" customWidth="1"/>
    <col min="8681" max="8681" width="18.7265625" style="188" customWidth="1"/>
    <col min="8682" max="8682" width="38.26953125" style="188" customWidth="1"/>
    <col min="8683" max="8683" width="22.54296875" style="188" bestFit="1" customWidth="1"/>
    <col min="8684" max="8684" width="1.81640625" style="188" customWidth="1"/>
    <col min="8685" max="8685" width="14.54296875" style="188" customWidth="1"/>
    <col min="8686" max="8686" width="1.81640625" style="188" customWidth="1"/>
    <col min="8687" max="8690" width="7.26953125" style="188" bestFit="1" customWidth="1"/>
    <col min="8691" max="8691" width="8.54296875" style="188" bestFit="1" customWidth="1"/>
    <col min="8692" max="8692" width="7.1796875" style="188" bestFit="1" customWidth="1"/>
    <col min="8693" max="8693" width="3.1796875" style="188" customWidth="1"/>
    <col min="8694" max="8697" width="21.81640625" style="188" bestFit="1" customWidth="1"/>
    <col min="8698" max="8698" width="9.81640625" style="188" customWidth="1"/>
    <col min="8699" max="8699" width="23.7265625" style="188" bestFit="1" customWidth="1"/>
    <col min="8700" max="8700" width="20.81640625" style="188" customWidth="1"/>
    <col min="8701" max="8920" width="9.1796875" style="188"/>
    <col min="8921" max="8921" width="10" style="188" customWidth="1"/>
    <col min="8922" max="8922" width="10.26953125" style="188" bestFit="1" customWidth="1"/>
    <col min="8923" max="8923" width="19.54296875" style="188" customWidth="1"/>
    <col min="8924" max="8924" width="11.1796875" style="188" customWidth="1"/>
    <col min="8925" max="8925" width="12.1796875" style="188" customWidth="1"/>
    <col min="8926" max="8926" width="9.54296875" style="188" bestFit="1" customWidth="1"/>
    <col min="8927" max="8927" width="40" style="188" bestFit="1" customWidth="1"/>
    <col min="8928" max="8928" width="9.1796875" style="188"/>
    <col min="8929" max="8930" width="14.453125" style="188" customWidth="1"/>
    <col min="8931" max="8931" width="12.54296875" style="188" customWidth="1"/>
    <col min="8932" max="8932" width="14.453125" style="188" customWidth="1"/>
    <col min="8933" max="8933" width="17.54296875" style="188" customWidth="1"/>
    <col min="8934" max="8934" width="25.7265625" style="188" customWidth="1"/>
    <col min="8935" max="8936" width="14" style="188" customWidth="1"/>
    <col min="8937" max="8937" width="18.7265625" style="188" customWidth="1"/>
    <col min="8938" max="8938" width="38.26953125" style="188" customWidth="1"/>
    <col min="8939" max="8939" width="22.54296875" style="188" bestFit="1" customWidth="1"/>
    <col min="8940" max="8940" width="1.81640625" style="188" customWidth="1"/>
    <col min="8941" max="8941" width="14.54296875" style="188" customWidth="1"/>
    <col min="8942" max="8942" width="1.81640625" style="188" customWidth="1"/>
    <col min="8943" max="8946" width="7.26953125" style="188" bestFit="1" customWidth="1"/>
    <col min="8947" max="8947" width="8.54296875" style="188" bestFit="1" customWidth="1"/>
    <col min="8948" max="8948" width="7.1796875" style="188" bestFit="1" customWidth="1"/>
    <col min="8949" max="8949" width="3.1796875" style="188" customWidth="1"/>
    <col min="8950" max="8953" width="21.81640625" style="188" bestFit="1" customWidth="1"/>
    <col min="8954" max="8954" width="9.81640625" style="188" customWidth="1"/>
    <col min="8955" max="8955" width="23.7265625" style="188" bestFit="1" customWidth="1"/>
    <col min="8956" max="8956" width="20.81640625" style="188" customWidth="1"/>
    <col min="8957" max="9176" width="9.1796875" style="188"/>
    <col min="9177" max="9177" width="10" style="188" customWidth="1"/>
    <col min="9178" max="9178" width="10.26953125" style="188" bestFit="1" customWidth="1"/>
    <col min="9179" max="9179" width="19.54296875" style="188" customWidth="1"/>
    <col min="9180" max="9180" width="11.1796875" style="188" customWidth="1"/>
    <col min="9181" max="9181" width="12.1796875" style="188" customWidth="1"/>
    <col min="9182" max="9182" width="9.54296875" style="188" bestFit="1" customWidth="1"/>
    <col min="9183" max="9183" width="40" style="188" bestFit="1" customWidth="1"/>
    <col min="9184" max="9184" width="9.1796875" style="188"/>
    <col min="9185" max="9186" width="14.453125" style="188" customWidth="1"/>
    <col min="9187" max="9187" width="12.54296875" style="188" customWidth="1"/>
    <col min="9188" max="9188" width="14.453125" style="188" customWidth="1"/>
    <col min="9189" max="9189" width="17.54296875" style="188" customWidth="1"/>
    <col min="9190" max="9190" width="25.7265625" style="188" customWidth="1"/>
    <col min="9191" max="9192" width="14" style="188" customWidth="1"/>
    <col min="9193" max="9193" width="18.7265625" style="188" customWidth="1"/>
    <col min="9194" max="9194" width="38.26953125" style="188" customWidth="1"/>
    <col min="9195" max="9195" width="22.54296875" style="188" bestFit="1" customWidth="1"/>
    <col min="9196" max="9196" width="1.81640625" style="188" customWidth="1"/>
    <col min="9197" max="9197" width="14.54296875" style="188" customWidth="1"/>
    <col min="9198" max="9198" width="1.81640625" style="188" customWidth="1"/>
    <col min="9199" max="9202" width="7.26953125" style="188" bestFit="1" customWidth="1"/>
    <col min="9203" max="9203" width="8.54296875" style="188" bestFit="1" customWidth="1"/>
    <col min="9204" max="9204" width="7.1796875" style="188" bestFit="1" customWidth="1"/>
    <col min="9205" max="9205" width="3.1796875" style="188" customWidth="1"/>
    <col min="9206" max="9209" width="21.81640625" style="188" bestFit="1" customWidth="1"/>
    <col min="9210" max="9210" width="9.81640625" style="188" customWidth="1"/>
    <col min="9211" max="9211" width="23.7265625" style="188" bestFit="1" customWidth="1"/>
    <col min="9212" max="9212" width="20.81640625" style="188" customWidth="1"/>
    <col min="9213" max="9432" width="9.1796875" style="188"/>
    <col min="9433" max="9433" width="10" style="188" customWidth="1"/>
    <col min="9434" max="9434" width="10.26953125" style="188" bestFit="1" customWidth="1"/>
    <col min="9435" max="9435" width="19.54296875" style="188" customWidth="1"/>
    <col min="9436" max="9436" width="11.1796875" style="188" customWidth="1"/>
    <col min="9437" max="9437" width="12.1796875" style="188" customWidth="1"/>
    <col min="9438" max="9438" width="9.54296875" style="188" bestFit="1" customWidth="1"/>
    <col min="9439" max="9439" width="40" style="188" bestFit="1" customWidth="1"/>
    <col min="9440" max="9440" width="9.1796875" style="188"/>
    <col min="9441" max="9442" width="14.453125" style="188" customWidth="1"/>
    <col min="9443" max="9443" width="12.54296875" style="188" customWidth="1"/>
    <col min="9444" max="9444" width="14.453125" style="188" customWidth="1"/>
    <col min="9445" max="9445" width="17.54296875" style="188" customWidth="1"/>
    <col min="9446" max="9446" width="25.7265625" style="188" customWidth="1"/>
    <col min="9447" max="9448" width="14" style="188" customWidth="1"/>
    <col min="9449" max="9449" width="18.7265625" style="188" customWidth="1"/>
    <col min="9450" max="9450" width="38.26953125" style="188" customWidth="1"/>
    <col min="9451" max="9451" width="22.54296875" style="188" bestFit="1" customWidth="1"/>
    <col min="9452" max="9452" width="1.81640625" style="188" customWidth="1"/>
    <col min="9453" max="9453" width="14.54296875" style="188" customWidth="1"/>
    <col min="9454" max="9454" width="1.81640625" style="188" customWidth="1"/>
    <col min="9455" max="9458" width="7.26953125" style="188" bestFit="1" customWidth="1"/>
    <col min="9459" max="9459" width="8.54296875" style="188" bestFit="1" customWidth="1"/>
    <col min="9460" max="9460" width="7.1796875" style="188" bestFit="1" customWidth="1"/>
    <col min="9461" max="9461" width="3.1796875" style="188" customWidth="1"/>
    <col min="9462" max="9465" width="21.81640625" style="188" bestFit="1" customWidth="1"/>
    <col min="9466" max="9466" width="9.81640625" style="188" customWidth="1"/>
    <col min="9467" max="9467" width="23.7265625" style="188" bestFit="1" customWidth="1"/>
    <col min="9468" max="9468" width="20.81640625" style="188" customWidth="1"/>
    <col min="9469" max="9688" width="9.1796875" style="188"/>
    <col min="9689" max="9689" width="10" style="188" customWidth="1"/>
    <col min="9690" max="9690" width="10.26953125" style="188" bestFit="1" customWidth="1"/>
    <col min="9691" max="9691" width="19.54296875" style="188" customWidth="1"/>
    <col min="9692" max="9692" width="11.1796875" style="188" customWidth="1"/>
    <col min="9693" max="9693" width="12.1796875" style="188" customWidth="1"/>
    <col min="9694" max="9694" width="9.54296875" style="188" bestFit="1" customWidth="1"/>
    <col min="9695" max="9695" width="40" style="188" bestFit="1" customWidth="1"/>
    <col min="9696" max="9696" width="9.1796875" style="188"/>
    <col min="9697" max="9698" width="14.453125" style="188" customWidth="1"/>
    <col min="9699" max="9699" width="12.54296875" style="188" customWidth="1"/>
    <col min="9700" max="9700" width="14.453125" style="188" customWidth="1"/>
    <col min="9701" max="9701" width="17.54296875" style="188" customWidth="1"/>
    <col min="9702" max="9702" width="25.7265625" style="188" customWidth="1"/>
    <col min="9703" max="9704" width="14" style="188" customWidth="1"/>
    <col min="9705" max="9705" width="18.7265625" style="188" customWidth="1"/>
    <col min="9706" max="9706" width="38.26953125" style="188" customWidth="1"/>
    <col min="9707" max="9707" width="22.54296875" style="188" bestFit="1" customWidth="1"/>
    <col min="9708" max="9708" width="1.81640625" style="188" customWidth="1"/>
    <col min="9709" max="9709" width="14.54296875" style="188" customWidth="1"/>
    <col min="9710" max="9710" width="1.81640625" style="188" customWidth="1"/>
    <col min="9711" max="9714" width="7.26953125" style="188" bestFit="1" customWidth="1"/>
    <col min="9715" max="9715" width="8.54296875" style="188" bestFit="1" customWidth="1"/>
    <col min="9716" max="9716" width="7.1796875" style="188" bestFit="1" customWidth="1"/>
    <col min="9717" max="9717" width="3.1796875" style="188" customWidth="1"/>
    <col min="9718" max="9721" width="21.81640625" style="188" bestFit="1" customWidth="1"/>
    <col min="9722" max="9722" width="9.81640625" style="188" customWidth="1"/>
    <col min="9723" max="9723" width="23.7265625" style="188" bestFit="1" customWidth="1"/>
    <col min="9724" max="9724" width="20.81640625" style="188" customWidth="1"/>
    <col min="9725" max="9944" width="9.1796875" style="188"/>
    <col min="9945" max="9945" width="10" style="188" customWidth="1"/>
    <col min="9946" max="9946" width="10.26953125" style="188" bestFit="1" customWidth="1"/>
    <col min="9947" max="9947" width="19.54296875" style="188" customWidth="1"/>
    <col min="9948" max="9948" width="11.1796875" style="188" customWidth="1"/>
    <col min="9949" max="9949" width="12.1796875" style="188" customWidth="1"/>
    <col min="9950" max="9950" width="9.54296875" style="188" bestFit="1" customWidth="1"/>
    <col min="9951" max="9951" width="40" style="188" bestFit="1" customWidth="1"/>
    <col min="9952" max="9952" width="9.1796875" style="188"/>
    <col min="9953" max="9954" width="14.453125" style="188" customWidth="1"/>
    <col min="9955" max="9955" width="12.54296875" style="188" customWidth="1"/>
    <col min="9956" max="9956" width="14.453125" style="188" customWidth="1"/>
    <col min="9957" max="9957" width="17.54296875" style="188" customWidth="1"/>
    <col min="9958" max="9958" width="25.7265625" style="188" customWidth="1"/>
    <col min="9959" max="9960" width="14" style="188" customWidth="1"/>
    <col min="9961" max="9961" width="18.7265625" style="188" customWidth="1"/>
    <col min="9962" max="9962" width="38.26953125" style="188" customWidth="1"/>
    <col min="9963" max="9963" width="22.54296875" style="188" bestFit="1" customWidth="1"/>
    <col min="9964" max="9964" width="1.81640625" style="188" customWidth="1"/>
    <col min="9965" max="9965" width="14.54296875" style="188" customWidth="1"/>
    <col min="9966" max="9966" width="1.81640625" style="188" customWidth="1"/>
    <col min="9967" max="9970" width="7.26953125" style="188" bestFit="1" customWidth="1"/>
    <col min="9971" max="9971" width="8.54296875" style="188" bestFit="1" customWidth="1"/>
    <col min="9972" max="9972" width="7.1796875" style="188" bestFit="1" customWidth="1"/>
    <col min="9973" max="9973" width="3.1796875" style="188" customWidth="1"/>
    <col min="9974" max="9977" width="21.81640625" style="188" bestFit="1" customWidth="1"/>
    <col min="9978" max="9978" width="9.81640625" style="188" customWidth="1"/>
    <col min="9979" max="9979" width="23.7265625" style="188" bestFit="1" customWidth="1"/>
    <col min="9980" max="9980" width="20.81640625" style="188" customWidth="1"/>
    <col min="9981" max="10200" width="9.1796875" style="188"/>
    <col min="10201" max="10201" width="10" style="188" customWidth="1"/>
    <col min="10202" max="10202" width="10.26953125" style="188" bestFit="1" customWidth="1"/>
    <col min="10203" max="10203" width="19.54296875" style="188" customWidth="1"/>
    <col min="10204" max="10204" width="11.1796875" style="188" customWidth="1"/>
    <col min="10205" max="10205" width="12.1796875" style="188" customWidth="1"/>
    <col min="10206" max="10206" width="9.54296875" style="188" bestFit="1" customWidth="1"/>
    <col min="10207" max="10207" width="40" style="188" bestFit="1" customWidth="1"/>
    <col min="10208" max="10208" width="9.1796875" style="188"/>
    <col min="10209" max="10210" width="14.453125" style="188" customWidth="1"/>
    <col min="10211" max="10211" width="12.54296875" style="188" customWidth="1"/>
    <col min="10212" max="10212" width="14.453125" style="188" customWidth="1"/>
    <col min="10213" max="10213" width="17.54296875" style="188" customWidth="1"/>
    <col min="10214" max="10214" width="25.7265625" style="188" customWidth="1"/>
    <col min="10215" max="10216" width="14" style="188" customWidth="1"/>
    <col min="10217" max="10217" width="18.7265625" style="188" customWidth="1"/>
    <col min="10218" max="10218" width="38.26953125" style="188" customWidth="1"/>
    <col min="10219" max="10219" width="22.54296875" style="188" bestFit="1" customWidth="1"/>
    <col min="10220" max="10220" width="1.81640625" style="188" customWidth="1"/>
    <col min="10221" max="10221" width="14.54296875" style="188" customWidth="1"/>
    <col min="10222" max="10222" width="1.81640625" style="188" customWidth="1"/>
    <col min="10223" max="10226" width="7.26953125" style="188" bestFit="1" customWidth="1"/>
    <col min="10227" max="10227" width="8.54296875" style="188" bestFit="1" customWidth="1"/>
    <col min="10228" max="10228" width="7.1796875" style="188" bestFit="1" customWidth="1"/>
    <col min="10229" max="10229" width="3.1796875" style="188" customWidth="1"/>
    <col min="10230" max="10233" width="21.81640625" style="188" bestFit="1" customWidth="1"/>
    <col min="10234" max="10234" width="9.81640625" style="188" customWidth="1"/>
    <col min="10235" max="10235" width="23.7265625" style="188" bestFit="1" customWidth="1"/>
    <col min="10236" max="10236" width="20.81640625" style="188" customWidth="1"/>
    <col min="10237" max="10456" width="9.1796875" style="188"/>
    <col min="10457" max="10457" width="10" style="188" customWidth="1"/>
    <col min="10458" max="10458" width="10.26953125" style="188" bestFit="1" customWidth="1"/>
    <col min="10459" max="10459" width="19.54296875" style="188" customWidth="1"/>
    <col min="10460" max="10460" width="11.1796875" style="188" customWidth="1"/>
    <col min="10461" max="10461" width="12.1796875" style="188" customWidth="1"/>
    <col min="10462" max="10462" width="9.54296875" style="188" bestFit="1" customWidth="1"/>
    <col min="10463" max="10463" width="40" style="188" bestFit="1" customWidth="1"/>
    <col min="10464" max="10464" width="9.1796875" style="188"/>
    <col min="10465" max="10466" width="14.453125" style="188" customWidth="1"/>
    <col min="10467" max="10467" width="12.54296875" style="188" customWidth="1"/>
    <col min="10468" max="10468" width="14.453125" style="188" customWidth="1"/>
    <col min="10469" max="10469" width="17.54296875" style="188" customWidth="1"/>
    <col min="10470" max="10470" width="25.7265625" style="188" customWidth="1"/>
    <col min="10471" max="10472" width="14" style="188" customWidth="1"/>
    <col min="10473" max="10473" width="18.7265625" style="188" customWidth="1"/>
    <col min="10474" max="10474" width="38.26953125" style="188" customWidth="1"/>
    <col min="10475" max="10475" width="22.54296875" style="188" bestFit="1" customWidth="1"/>
    <col min="10476" max="10476" width="1.81640625" style="188" customWidth="1"/>
    <col min="10477" max="10477" width="14.54296875" style="188" customWidth="1"/>
    <col min="10478" max="10478" width="1.81640625" style="188" customWidth="1"/>
    <col min="10479" max="10482" width="7.26953125" style="188" bestFit="1" customWidth="1"/>
    <col min="10483" max="10483" width="8.54296875" style="188" bestFit="1" customWidth="1"/>
    <col min="10484" max="10484" width="7.1796875" style="188" bestFit="1" customWidth="1"/>
    <col min="10485" max="10485" width="3.1796875" style="188" customWidth="1"/>
    <col min="10486" max="10489" width="21.81640625" style="188" bestFit="1" customWidth="1"/>
    <col min="10490" max="10490" width="9.81640625" style="188" customWidth="1"/>
    <col min="10491" max="10491" width="23.7265625" style="188" bestFit="1" customWidth="1"/>
    <col min="10492" max="10492" width="20.81640625" style="188" customWidth="1"/>
    <col min="10493" max="10712" width="9.1796875" style="188"/>
    <col min="10713" max="10713" width="10" style="188" customWidth="1"/>
    <col min="10714" max="10714" width="10.26953125" style="188" bestFit="1" customWidth="1"/>
    <col min="10715" max="10715" width="19.54296875" style="188" customWidth="1"/>
    <col min="10716" max="10716" width="11.1796875" style="188" customWidth="1"/>
    <col min="10717" max="10717" width="12.1796875" style="188" customWidth="1"/>
    <col min="10718" max="10718" width="9.54296875" style="188" bestFit="1" customWidth="1"/>
    <col min="10719" max="10719" width="40" style="188" bestFit="1" customWidth="1"/>
    <col min="10720" max="10720" width="9.1796875" style="188"/>
    <col min="10721" max="10722" width="14.453125" style="188" customWidth="1"/>
    <col min="10723" max="10723" width="12.54296875" style="188" customWidth="1"/>
    <col min="10724" max="10724" width="14.453125" style="188" customWidth="1"/>
    <col min="10725" max="10725" width="17.54296875" style="188" customWidth="1"/>
    <col min="10726" max="10726" width="25.7265625" style="188" customWidth="1"/>
    <col min="10727" max="10728" width="14" style="188" customWidth="1"/>
    <col min="10729" max="10729" width="18.7265625" style="188" customWidth="1"/>
    <col min="10730" max="10730" width="38.26953125" style="188" customWidth="1"/>
    <col min="10731" max="10731" width="22.54296875" style="188" bestFit="1" customWidth="1"/>
    <col min="10732" max="10732" width="1.81640625" style="188" customWidth="1"/>
    <col min="10733" max="10733" width="14.54296875" style="188" customWidth="1"/>
    <col min="10734" max="10734" width="1.81640625" style="188" customWidth="1"/>
    <col min="10735" max="10738" width="7.26953125" style="188" bestFit="1" customWidth="1"/>
    <col min="10739" max="10739" width="8.54296875" style="188" bestFit="1" customWidth="1"/>
    <col min="10740" max="10740" width="7.1796875" style="188" bestFit="1" customWidth="1"/>
    <col min="10741" max="10741" width="3.1796875" style="188" customWidth="1"/>
    <col min="10742" max="10745" width="21.81640625" style="188" bestFit="1" customWidth="1"/>
    <col min="10746" max="10746" width="9.81640625" style="188" customWidth="1"/>
    <col min="10747" max="10747" width="23.7265625" style="188" bestFit="1" customWidth="1"/>
    <col min="10748" max="10748" width="20.81640625" style="188" customWidth="1"/>
    <col min="10749" max="10968" width="9.1796875" style="188"/>
    <col min="10969" max="10969" width="10" style="188" customWidth="1"/>
    <col min="10970" max="10970" width="10.26953125" style="188" bestFit="1" customWidth="1"/>
    <col min="10971" max="10971" width="19.54296875" style="188" customWidth="1"/>
    <col min="10972" max="10972" width="11.1796875" style="188" customWidth="1"/>
    <col min="10973" max="10973" width="12.1796875" style="188" customWidth="1"/>
    <col min="10974" max="10974" width="9.54296875" style="188" bestFit="1" customWidth="1"/>
    <col min="10975" max="10975" width="40" style="188" bestFit="1" customWidth="1"/>
    <col min="10976" max="10976" width="9.1796875" style="188"/>
    <col min="10977" max="10978" width="14.453125" style="188" customWidth="1"/>
    <col min="10979" max="10979" width="12.54296875" style="188" customWidth="1"/>
    <col min="10980" max="10980" width="14.453125" style="188" customWidth="1"/>
    <col min="10981" max="10981" width="17.54296875" style="188" customWidth="1"/>
    <col min="10982" max="10982" width="25.7265625" style="188" customWidth="1"/>
    <col min="10983" max="10984" width="14" style="188" customWidth="1"/>
    <col min="10985" max="10985" width="18.7265625" style="188" customWidth="1"/>
    <col min="10986" max="10986" width="38.26953125" style="188" customWidth="1"/>
    <col min="10987" max="10987" width="22.54296875" style="188" bestFit="1" customWidth="1"/>
    <col min="10988" max="10988" width="1.81640625" style="188" customWidth="1"/>
    <col min="10989" max="10989" width="14.54296875" style="188" customWidth="1"/>
    <col min="10990" max="10990" width="1.81640625" style="188" customWidth="1"/>
    <col min="10991" max="10994" width="7.26953125" style="188" bestFit="1" customWidth="1"/>
    <col min="10995" max="10995" width="8.54296875" style="188" bestFit="1" customWidth="1"/>
    <col min="10996" max="10996" width="7.1796875" style="188" bestFit="1" customWidth="1"/>
    <col min="10997" max="10997" width="3.1796875" style="188" customWidth="1"/>
    <col min="10998" max="11001" width="21.81640625" style="188" bestFit="1" customWidth="1"/>
    <col min="11002" max="11002" width="9.81640625" style="188" customWidth="1"/>
    <col min="11003" max="11003" width="23.7265625" style="188" bestFit="1" customWidth="1"/>
    <col min="11004" max="11004" width="20.81640625" style="188" customWidth="1"/>
    <col min="11005" max="11224" width="9.1796875" style="188"/>
    <col min="11225" max="11225" width="10" style="188" customWidth="1"/>
    <col min="11226" max="11226" width="10.26953125" style="188" bestFit="1" customWidth="1"/>
    <col min="11227" max="11227" width="19.54296875" style="188" customWidth="1"/>
    <col min="11228" max="11228" width="11.1796875" style="188" customWidth="1"/>
    <col min="11229" max="11229" width="12.1796875" style="188" customWidth="1"/>
    <col min="11230" max="11230" width="9.54296875" style="188" bestFit="1" customWidth="1"/>
    <col min="11231" max="11231" width="40" style="188" bestFit="1" customWidth="1"/>
    <col min="11232" max="11232" width="9.1796875" style="188"/>
    <col min="11233" max="11234" width="14.453125" style="188" customWidth="1"/>
    <col min="11235" max="11235" width="12.54296875" style="188" customWidth="1"/>
    <col min="11236" max="11236" width="14.453125" style="188" customWidth="1"/>
    <col min="11237" max="11237" width="17.54296875" style="188" customWidth="1"/>
    <col min="11238" max="11238" width="25.7265625" style="188" customWidth="1"/>
    <col min="11239" max="11240" width="14" style="188" customWidth="1"/>
    <col min="11241" max="11241" width="18.7265625" style="188" customWidth="1"/>
    <col min="11242" max="11242" width="38.26953125" style="188" customWidth="1"/>
    <col min="11243" max="11243" width="22.54296875" style="188" bestFit="1" customWidth="1"/>
    <col min="11244" max="11244" width="1.81640625" style="188" customWidth="1"/>
    <col min="11245" max="11245" width="14.54296875" style="188" customWidth="1"/>
    <col min="11246" max="11246" width="1.81640625" style="188" customWidth="1"/>
    <col min="11247" max="11250" width="7.26953125" style="188" bestFit="1" customWidth="1"/>
    <col min="11251" max="11251" width="8.54296875" style="188" bestFit="1" customWidth="1"/>
    <col min="11252" max="11252" width="7.1796875" style="188" bestFit="1" customWidth="1"/>
    <col min="11253" max="11253" width="3.1796875" style="188" customWidth="1"/>
    <col min="11254" max="11257" width="21.81640625" style="188" bestFit="1" customWidth="1"/>
    <col min="11258" max="11258" width="9.81640625" style="188" customWidth="1"/>
    <col min="11259" max="11259" width="23.7265625" style="188" bestFit="1" customWidth="1"/>
    <col min="11260" max="11260" width="20.81640625" style="188" customWidth="1"/>
    <col min="11261" max="11480" width="9.1796875" style="188"/>
    <col min="11481" max="11481" width="10" style="188" customWidth="1"/>
    <col min="11482" max="11482" width="10.26953125" style="188" bestFit="1" customWidth="1"/>
    <col min="11483" max="11483" width="19.54296875" style="188" customWidth="1"/>
    <col min="11484" max="11484" width="11.1796875" style="188" customWidth="1"/>
    <col min="11485" max="11485" width="12.1796875" style="188" customWidth="1"/>
    <col min="11486" max="11486" width="9.54296875" style="188" bestFit="1" customWidth="1"/>
    <col min="11487" max="11487" width="40" style="188" bestFit="1" customWidth="1"/>
    <col min="11488" max="11488" width="9.1796875" style="188"/>
    <col min="11489" max="11490" width="14.453125" style="188" customWidth="1"/>
    <col min="11491" max="11491" width="12.54296875" style="188" customWidth="1"/>
    <col min="11492" max="11492" width="14.453125" style="188" customWidth="1"/>
    <col min="11493" max="11493" width="17.54296875" style="188" customWidth="1"/>
    <col min="11494" max="11494" width="25.7265625" style="188" customWidth="1"/>
    <col min="11495" max="11496" width="14" style="188" customWidth="1"/>
    <col min="11497" max="11497" width="18.7265625" style="188" customWidth="1"/>
    <col min="11498" max="11498" width="38.26953125" style="188" customWidth="1"/>
    <col min="11499" max="11499" width="22.54296875" style="188" bestFit="1" customWidth="1"/>
    <col min="11500" max="11500" width="1.81640625" style="188" customWidth="1"/>
    <col min="11501" max="11501" width="14.54296875" style="188" customWidth="1"/>
    <col min="11502" max="11502" width="1.81640625" style="188" customWidth="1"/>
    <col min="11503" max="11506" width="7.26953125" style="188" bestFit="1" customWidth="1"/>
    <col min="11507" max="11507" width="8.54296875" style="188" bestFit="1" customWidth="1"/>
    <col min="11508" max="11508" width="7.1796875" style="188" bestFit="1" customWidth="1"/>
    <col min="11509" max="11509" width="3.1796875" style="188" customWidth="1"/>
    <col min="11510" max="11513" width="21.81640625" style="188" bestFit="1" customWidth="1"/>
    <col min="11514" max="11514" width="9.81640625" style="188" customWidth="1"/>
    <col min="11515" max="11515" width="23.7265625" style="188" bestFit="1" customWidth="1"/>
    <col min="11516" max="11516" width="20.81640625" style="188" customWidth="1"/>
    <col min="11517" max="11736" width="9.1796875" style="188"/>
    <col min="11737" max="11737" width="10" style="188" customWidth="1"/>
    <col min="11738" max="11738" width="10.26953125" style="188" bestFit="1" customWidth="1"/>
    <col min="11739" max="11739" width="19.54296875" style="188" customWidth="1"/>
    <col min="11740" max="11740" width="11.1796875" style="188" customWidth="1"/>
    <col min="11741" max="11741" width="12.1796875" style="188" customWidth="1"/>
    <col min="11742" max="11742" width="9.54296875" style="188" bestFit="1" customWidth="1"/>
    <col min="11743" max="11743" width="40" style="188" bestFit="1" customWidth="1"/>
    <col min="11744" max="11744" width="9.1796875" style="188"/>
    <col min="11745" max="11746" width="14.453125" style="188" customWidth="1"/>
    <col min="11747" max="11747" width="12.54296875" style="188" customWidth="1"/>
    <col min="11748" max="11748" width="14.453125" style="188" customWidth="1"/>
    <col min="11749" max="11749" width="17.54296875" style="188" customWidth="1"/>
    <col min="11750" max="11750" width="25.7265625" style="188" customWidth="1"/>
    <col min="11751" max="11752" width="14" style="188" customWidth="1"/>
    <col min="11753" max="11753" width="18.7265625" style="188" customWidth="1"/>
    <col min="11754" max="11754" width="38.26953125" style="188" customWidth="1"/>
    <col min="11755" max="11755" width="22.54296875" style="188" bestFit="1" customWidth="1"/>
    <col min="11756" max="11756" width="1.81640625" style="188" customWidth="1"/>
    <col min="11757" max="11757" width="14.54296875" style="188" customWidth="1"/>
    <col min="11758" max="11758" width="1.81640625" style="188" customWidth="1"/>
    <col min="11759" max="11762" width="7.26953125" style="188" bestFit="1" customWidth="1"/>
    <col min="11763" max="11763" width="8.54296875" style="188" bestFit="1" customWidth="1"/>
    <col min="11764" max="11764" width="7.1796875" style="188" bestFit="1" customWidth="1"/>
    <col min="11765" max="11765" width="3.1796875" style="188" customWidth="1"/>
    <col min="11766" max="11769" width="21.81640625" style="188" bestFit="1" customWidth="1"/>
    <col min="11770" max="11770" width="9.81640625" style="188" customWidth="1"/>
    <col min="11771" max="11771" width="23.7265625" style="188" bestFit="1" customWidth="1"/>
    <col min="11772" max="11772" width="20.81640625" style="188" customWidth="1"/>
    <col min="11773" max="11992" width="9.1796875" style="188"/>
    <col min="11993" max="11993" width="10" style="188" customWidth="1"/>
    <col min="11994" max="11994" width="10.26953125" style="188" bestFit="1" customWidth="1"/>
    <col min="11995" max="11995" width="19.54296875" style="188" customWidth="1"/>
    <col min="11996" max="11996" width="11.1796875" style="188" customWidth="1"/>
    <col min="11997" max="11997" width="12.1796875" style="188" customWidth="1"/>
    <col min="11998" max="11998" width="9.54296875" style="188" bestFit="1" customWidth="1"/>
    <col min="11999" max="11999" width="40" style="188" bestFit="1" customWidth="1"/>
    <col min="12000" max="12000" width="9.1796875" style="188"/>
    <col min="12001" max="12002" width="14.453125" style="188" customWidth="1"/>
    <col min="12003" max="12003" width="12.54296875" style="188" customWidth="1"/>
    <col min="12004" max="12004" width="14.453125" style="188" customWidth="1"/>
    <col min="12005" max="12005" width="17.54296875" style="188" customWidth="1"/>
    <col min="12006" max="12006" width="25.7265625" style="188" customWidth="1"/>
    <col min="12007" max="12008" width="14" style="188" customWidth="1"/>
    <col min="12009" max="12009" width="18.7265625" style="188" customWidth="1"/>
    <col min="12010" max="12010" width="38.26953125" style="188" customWidth="1"/>
    <col min="12011" max="12011" width="22.54296875" style="188" bestFit="1" customWidth="1"/>
    <col min="12012" max="12012" width="1.81640625" style="188" customWidth="1"/>
    <col min="12013" max="12013" width="14.54296875" style="188" customWidth="1"/>
    <col min="12014" max="12014" width="1.81640625" style="188" customWidth="1"/>
    <col min="12015" max="12018" width="7.26953125" style="188" bestFit="1" customWidth="1"/>
    <col min="12019" max="12019" width="8.54296875" style="188" bestFit="1" customWidth="1"/>
    <col min="12020" max="12020" width="7.1796875" style="188" bestFit="1" customWidth="1"/>
    <col min="12021" max="12021" width="3.1796875" style="188" customWidth="1"/>
    <col min="12022" max="12025" width="21.81640625" style="188" bestFit="1" customWidth="1"/>
    <col min="12026" max="12026" width="9.81640625" style="188" customWidth="1"/>
    <col min="12027" max="12027" width="23.7265625" style="188" bestFit="1" customWidth="1"/>
    <col min="12028" max="12028" width="20.81640625" style="188" customWidth="1"/>
    <col min="12029" max="12248" width="9.1796875" style="188"/>
    <col min="12249" max="12249" width="10" style="188" customWidth="1"/>
    <col min="12250" max="12250" width="10.26953125" style="188" bestFit="1" customWidth="1"/>
    <col min="12251" max="12251" width="19.54296875" style="188" customWidth="1"/>
    <col min="12252" max="12252" width="11.1796875" style="188" customWidth="1"/>
    <col min="12253" max="12253" width="12.1796875" style="188" customWidth="1"/>
    <col min="12254" max="12254" width="9.54296875" style="188" bestFit="1" customWidth="1"/>
    <col min="12255" max="12255" width="40" style="188" bestFit="1" customWidth="1"/>
    <col min="12256" max="12256" width="9.1796875" style="188"/>
    <col min="12257" max="12258" width="14.453125" style="188" customWidth="1"/>
    <col min="12259" max="12259" width="12.54296875" style="188" customWidth="1"/>
    <col min="12260" max="12260" width="14.453125" style="188" customWidth="1"/>
    <col min="12261" max="12261" width="17.54296875" style="188" customWidth="1"/>
    <col min="12262" max="12262" width="25.7265625" style="188" customWidth="1"/>
    <col min="12263" max="12264" width="14" style="188" customWidth="1"/>
    <col min="12265" max="12265" width="18.7265625" style="188" customWidth="1"/>
    <col min="12266" max="12266" width="38.26953125" style="188" customWidth="1"/>
    <col min="12267" max="12267" width="22.54296875" style="188" bestFit="1" customWidth="1"/>
    <col min="12268" max="12268" width="1.81640625" style="188" customWidth="1"/>
    <col min="12269" max="12269" width="14.54296875" style="188" customWidth="1"/>
    <col min="12270" max="12270" width="1.81640625" style="188" customWidth="1"/>
    <col min="12271" max="12274" width="7.26953125" style="188" bestFit="1" customWidth="1"/>
    <col min="12275" max="12275" width="8.54296875" style="188" bestFit="1" customWidth="1"/>
    <col min="12276" max="12276" width="7.1796875" style="188" bestFit="1" customWidth="1"/>
    <col min="12277" max="12277" width="3.1796875" style="188" customWidth="1"/>
    <col min="12278" max="12281" width="21.81640625" style="188" bestFit="1" customWidth="1"/>
    <col min="12282" max="12282" width="9.81640625" style="188" customWidth="1"/>
    <col min="12283" max="12283" width="23.7265625" style="188" bestFit="1" customWidth="1"/>
    <col min="12284" max="12284" width="20.81640625" style="188" customWidth="1"/>
    <col min="12285" max="12504" width="9.1796875" style="188"/>
    <col min="12505" max="12505" width="10" style="188" customWidth="1"/>
    <col min="12506" max="12506" width="10.26953125" style="188" bestFit="1" customWidth="1"/>
    <col min="12507" max="12507" width="19.54296875" style="188" customWidth="1"/>
    <col min="12508" max="12508" width="11.1796875" style="188" customWidth="1"/>
    <col min="12509" max="12509" width="12.1796875" style="188" customWidth="1"/>
    <col min="12510" max="12510" width="9.54296875" style="188" bestFit="1" customWidth="1"/>
    <col min="12511" max="12511" width="40" style="188" bestFit="1" customWidth="1"/>
    <col min="12512" max="12512" width="9.1796875" style="188"/>
    <col min="12513" max="12514" width="14.453125" style="188" customWidth="1"/>
    <col min="12515" max="12515" width="12.54296875" style="188" customWidth="1"/>
    <col min="12516" max="12516" width="14.453125" style="188" customWidth="1"/>
    <col min="12517" max="12517" width="17.54296875" style="188" customWidth="1"/>
    <col min="12518" max="12518" width="25.7265625" style="188" customWidth="1"/>
    <col min="12519" max="12520" width="14" style="188" customWidth="1"/>
    <col min="12521" max="12521" width="18.7265625" style="188" customWidth="1"/>
    <col min="12522" max="12522" width="38.26953125" style="188" customWidth="1"/>
    <col min="12523" max="12523" width="22.54296875" style="188" bestFit="1" customWidth="1"/>
    <col min="12524" max="12524" width="1.81640625" style="188" customWidth="1"/>
    <col min="12525" max="12525" width="14.54296875" style="188" customWidth="1"/>
    <col min="12526" max="12526" width="1.81640625" style="188" customWidth="1"/>
    <col min="12527" max="12530" width="7.26953125" style="188" bestFit="1" customWidth="1"/>
    <col min="12531" max="12531" width="8.54296875" style="188" bestFit="1" customWidth="1"/>
    <col min="12532" max="12532" width="7.1796875" style="188" bestFit="1" customWidth="1"/>
    <col min="12533" max="12533" width="3.1796875" style="188" customWidth="1"/>
    <col min="12534" max="12537" width="21.81640625" style="188" bestFit="1" customWidth="1"/>
    <col min="12538" max="12538" width="9.81640625" style="188" customWidth="1"/>
    <col min="12539" max="12539" width="23.7265625" style="188" bestFit="1" customWidth="1"/>
    <col min="12540" max="12540" width="20.81640625" style="188" customWidth="1"/>
    <col min="12541" max="12760" width="9.1796875" style="188"/>
    <col min="12761" max="12761" width="10" style="188" customWidth="1"/>
    <col min="12762" max="12762" width="10.26953125" style="188" bestFit="1" customWidth="1"/>
    <col min="12763" max="12763" width="19.54296875" style="188" customWidth="1"/>
    <col min="12764" max="12764" width="11.1796875" style="188" customWidth="1"/>
    <col min="12765" max="12765" width="12.1796875" style="188" customWidth="1"/>
    <col min="12766" max="12766" width="9.54296875" style="188" bestFit="1" customWidth="1"/>
    <col min="12767" max="12767" width="40" style="188" bestFit="1" customWidth="1"/>
    <col min="12768" max="12768" width="9.1796875" style="188"/>
    <col min="12769" max="12770" width="14.453125" style="188" customWidth="1"/>
    <col min="12771" max="12771" width="12.54296875" style="188" customWidth="1"/>
    <col min="12772" max="12772" width="14.453125" style="188" customWidth="1"/>
    <col min="12773" max="12773" width="17.54296875" style="188" customWidth="1"/>
    <col min="12774" max="12774" width="25.7265625" style="188" customWidth="1"/>
    <col min="12775" max="12776" width="14" style="188" customWidth="1"/>
    <col min="12777" max="12777" width="18.7265625" style="188" customWidth="1"/>
    <col min="12778" max="12778" width="38.26953125" style="188" customWidth="1"/>
    <col min="12779" max="12779" width="22.54296875" style="188" bestFit="1" customWidth="1"/>
    <col min="12780" max="12780" width="1.81640625" style="188" customWidth="1"/>
    <col min="12781" max="12781" width="14.54296875" style="188" customWidth="1"/>
    <col min="12782" max="12782" width="1.81640625" style="188" customWidth="1"/>
    <col min="12783" max="12786" width="7.26953125" style="188" bestFit="1" customWidth="1"/>
    <col min="12787" max="12787" width="8.54296875" style="188" bestFit="1" customWidth="1"/>
    <col min="12788" max="12788" width="7.1796875" style="188" bestFit="1" customWidth="1"/>
    <col min="12789" max="12789" width="3.1796875" style="188" customWidth="1"/>
    <col min="12790" max="12793" width="21.81640625" style="188" bestFit="1" customWidth="1"/>
    <col min="12794" max="12794" width="9.81640625" style="188" customWidth="1"/>
    <col min="12795" max="12795" width="23.7265625" style="188" bestFit="1" customWidth="1"/>
    <col min="12796" max="12796" width="20.81640625" style="188" customWidth="1"/>
    <col min="12797" max="13016" width="9.1796875" style="188"/>
    <col min="13017" max="13017" width="10" style="188" customWidth="1"/>
    <col min="13018" max="13018" width="10.26953125" style="188" bestFit="1" customWidth="1"/>
    <col min="13019" max="13019" width="19.54296875" style="188" customWidth="1"/>
    <col min="13020" max="13020" width="11.1796875" style="188" customWidth="1"/>
    <col min="13021" max="13021" width="12.1796875" style="188" customWidth="1"/>
    <col min="13022" max="13022" width="9.54296875" style="188" bestFit="1" customWidth="1"/>
    <col min="13023" max="13023" width="40" style="188" bestFit="1" customWidth="1"/>
    <col min="13024" max="13024" width="9.1796875" style="188"/>
    <col min="13025" max="13026" width="14.453125" style="188" customWidth="1"/>
    <col min="13027" max="13027" width="12.54296875" style="188" customWidth="1"/>
    <col min="13028" max="13028" width="14.453125" style="188" customWidth="1"/>
    <col min="13029" max="13029" width="17.54296875" style="188" customWidth="1"/>
    <col min="13030" max="13030" width="25.7265625" style="188" customWidth="1"/>
    <col min="13031" max="13032" width="14" style="188" customWidth="1"/>
    <col min="13033" max="13033" width="18.7265625" style="188" customWidth="1"/>
    <col min="13034" max="13034" width="38.26953125" style="188" customWidth="1"/>
    <col min="13035" max="13035" width="22.54296875" style="188" bestFit="1" customWidth="1"/>
    <col min="13036" max="13036" width="1.81640625" style="188" customWidth="1"/>
    <col min="13037" max="13037" width="14.54296875" style="188" customWidth="1"/>
    <col min="13038" max="13038" width="1.81640625" style="188" customWidth="1"/>
    <col min="13039" max="13042" width="7.26953125" style="188" bestFit="1" customWidth="1"/>
    <col min="13043" max="13043" width="8.54296875" style="188" bestFit="1" customWidth="1"/>
    <col min="13044" max="13044" width="7.1796875" style="188" bestFit="1" customWidth="1"/>
    <col min="13045" max="13045" width="3.1796875" style="188" customWidth="1"/>
    <col min="13046" max="13049" width="21.81640625" style="188" bestFit="1" customWidth="1"/>
    <col min="13050" max="13050" width="9.81640625" style="188" customWidth="1"/>
    <col min="13051" max="13051" width="23.7265625" style="188" bestFit="1" customWidth="1"/>
    <col min="13052" max="13052" width="20.81640625" style="188" customWidth="1"/>
    <col min="13053" max="13272" width="9.1796875" style="188"/>
    <col min="13273" max="13273" width="10" style="188" customWidth="1"/>
    <col min="13274" max="13274" width="10.26953125" style="188" bestFit="1" customWidth="1"/>
    <col min="13275" max="13275" width="19.54296875" style="188" customWidth="1"/>
    <col min="13276" max="13276" width="11.1796875" style="188" customWidth="1"/>
    <col min="13277" max="13277" width="12.1796875" style="188" customWidth="1"/>
    <col min="13278" max="13278" width="9.54296875" style="188" bestFit="1" customWidth="1"/>
    <col min="13279" max="13279" width="40" style="188" bestFit="1" customWidth="1"/>
    <col min="13280" max="13280" width="9.1796875" style="188"/>
    <col min="13281" max="13282" width="14.453125" style="188" customWidth="1"/>
    <col min="13283" max="13283" width="12.54296875" style="188" customWidth="1"/>
    <col min="13284" max="13284" width="14.453125" style="188" customWidth="1"/>
    <col min="13285" max="13285" width="17.54296875" style="188" customWidth="1"/>
    <col min="13286" max="13286" width="25.7265625" style="188" customWidth="1"/>
    <col min="13287" max="13288" width="14" style="188" customWidth="1"/>
    <col min="13289" max="13289" width="18.7265625" style="188" customWidth="1"/>
    <col min="13290" max="13290" width="38.26953125" style="188" customWidth="1"/>
    <col min="13291" max="13291" width="22.54296875" style="188" bestFit="1" customWidth="1"/>
    <col min="13292" max="13292" width="1.81640625" style="188" customWidth="1"/>
    <col min="13293" max="13293" width="14.54296875" style="188" customWidth="1"/>
    <col min="13294" max="13294" width="1.81640625" style="188" customWidth="1"/>
    <col min="13295" max="13298" width="7.26953125" style="188" bestFit="1" customWidth="1"/>
    <col min="13299" max="13299" width="8.54296875" style="188" bestFit="1" customWidth="1"/>
    <col min="13300" max="13300" width="7.1796875" style="188" bestFit="1" customWidth="1"/>
    <col min="13301" max="13301" width="3.1796875" style="188" customWidth="1"/>
    <col min="13302" max="13305" width="21.81640625" style="188" bestFit="1" customWidth="1"/>
    <col min="13306" max="13306" width="9.81640625" style="188" customWidth="1"/>
    <col min="13307" max="13307" width="23.7265625" style="188" bestFit="1" customWidth="1"/>
    <col min="13308" max="13308" width="20.81640625" style="188" customWidth="1"/>
    <col min="13309" max="13528" width="9.1796875" style="188"/>
    <col min="13529" max="13529" width="10" style="188" customWidth="1"/>
    <col min="13530" max="13530" width="10.26953125" style="188" bestFit="1" customWidth="1"/>
    <col min="13531" max="13531" width="19.54296875" style="188" customWidth="1"/>
    <col min="13532" max="13532" width="11.1796875" style="188" customWidth="1"/>
    <col min="13533" max="13533" width="12.1796875" style="188" customWidth="1"/>
    <col min="13534" max="13534" width="9.54296875" style="188" bestFit="1" customWidth="1"/>
    <col min="13535" max="13535" width="40" style="188" bestFit="1" customWidth="1"/>
    <col min="13536" max="13536" width="9.1796875" style="188"/>
    <col min="13537" max="13538" width="14.453125" style="188" customWidth="1"/>
    <col min="13539" max="13539" width="12.54296875" style="188" customWidth="1"/>
    <col min="13540" max="13540" width="14.453125" style="188" customWidth="1"/>
    <col min="13541" max="13541" width="17.54296875" style="188" customWidth="1"/>
    <col min="13542" max="13542" width="25.7265625" style="188" customWidth="1"/>
    <col min="13543" max="13544" width="14" style="188" customWidth="1"/>
    <col min="13545" max="13545" width="18.7265625" style="188" customWidth="1"/>
    <col min="13546" max="13546" width="38.26953125" style="188" customWidth="1"/>
    <col min="13547" max="13547" width="22.54296875" style="188" bestFit="1" customWidth="1"/>
    <col min="13548" max="13548" width="1.81640625" style="188" customWidth="1"/>
    <col min="13549" max="13549" width="14.54296875" style="188" customWidth="1"/>
    <col min="13550" max="13550" width="1.81640625" style="188" customWidth="1"/>
    <col min="13551" max="13554" width="7.26953125" style="188" bestFit="1" customWidth="1"/>
    <col min="13555" max="13555" width="8.54296875" style="188" bestFit="1" customWidth="1"/>
    <col min="13556" max="13556" width="7.1796875" style="188" bestFit="1" customWidth="1"/>
    <col min="13557" max="13557" width="3.1796875" style="188" customWidth="1"/>
    <col min="13558" max="13561" width="21.81640625" style="188" bestFit="1" customWidth="1"/>
    <col min="13562" max="13562" width="9.81640625" style="188" customWidth="1"/>
    <col min="13563" max="13563" width="23.7265625" style="188" bestFit="1" customWidth="1"/>
    <col min="13564" max="13564" width="20.81640625" style="188" customWidth="1"/>
    <col min="13565" max="13784" width="9.1796875" style="188"/>
    <col min="13785" max="13785" width="10" style="188" customWidth="1"/>
    <col min="13786" max="13786" width="10.26953125" style="188" bestFit="1" customWidth="1"/>
    <col min="13787" max="13787" width="19.54296875" style="188" customWidth="1"/>
    <col min="13788" max="13788" width="11.1796875" style="188" customWidth="1"/>
    <col min="13789" max="13789" width="12.1796875" style="188" customWidth="1"/>
    <col min="13790" max="13790" width="9.54296875" style="188" bestFit="1" customWidth="1"/>
    <col min="13791" max="13791" width="40" style="188" bestFit="1" customWidth="1"/>
    <col min="13792" max="13792" width="9.1796875" style="188"/>
    <col min="13793" max="13794" width="14.453125" style="188" customWidth="1"/>
    <col min="13795" max="13795" width="12.54296875" style="188" customWidth="1"/>
    <col min="13796" max="13796" width="14.453125" style="188" customWidth="1"/>
    <col min="13797" max="13797" width="17.54296875" style="188" customWidth="1"/>
    <col min="13798" max="13798" width="25.7265625" style="188" customWidth="1"/>
    <col min="13799" max="13800" width="14" style="188" customWidth="1"/>
    <col min="13801" max="13801" width="18.7265625" style="188" customWidth="1"/>
    <col min="13802" max="13802" width="38.26953125" style="188" customWidth="1"/>
    <col min="13803" max="13803" width="22.54296875" style="188" bestFit="1" customWidth="1"/>
    <col min="13804" max="13804" width="1.81640625" style="188" customWidth="1"/>
    <col min="13805" max="13805" width="14.54296875" style="188" customWidth="1"/>
    <col min="13806" max="13806" width="1.81640625" style="188" customWidth="1"/>
    <col min="13807" max="13810" width="7.26953125" style="188" bestFit="1" customWidth="1"/>
    <col min="13811" max="13811" width="8.54296875" style="188" bestFit="1" customWidth="1"/>
    <col min="13812" max="13812" width="7.1796875" style="188" bestFit="1" customWidth="1"/>
    <col min="13813" max="13813" width="3.1796875" style="188" customWidth="1"/>
    <col min="13814" max="13817" width="21.81640625" style="188" bestFit="1" customWidth="1"/>
    <col min="13818" max="13818" width="9.81640625" style="188" customWidth="1"/>
    <col min="13819" max="13819" width="23.7265625" style="188" bestFit="1" customWidth="1"/>
    <col min="13820" max="13820" width="20.81640625" style="188" customWidth="1"/>
    <col min="13821" max="14040" width="9.1796875" style="188"/>
    <col min="14041" max="14041" width="10" style="188" customWidth="1"/>
    <col min="14042" max="14042" width="10.26953125" style="188" bestFit="1" customWidth="1"/>
    <col min="14043" max="14043" width="19.54296875" style="188" customWidth="1"/>
    <col min="14044" max="14044" width="11.1796875" style="188" customWidth="1"/>
    <col min="14045" max="14045" width="12.1796875" style="188" customWidth="1"/>
    <col min="14046" max="14046" width="9.54296875" style="188" bestFit="1" customWidth="1"/>
    <col min="14047" max="14047" width="40" style="188" bestFit="1" customWidth="1"/>
    <col min="14048" max="14048" width="9.1796875" style="188"/>
    <col min="14049" max="14050" width="14.453125" style="188" customWidth="1"/>
    <col min="14051" max="14051" width="12.54296875" style="188" customWidth="1"/>
    <col min="14052" max="14052" width="14.453125" style="188" customWidth="1"/>
    <col min="14053" max="14053" width="17.54296875" style="188" customWidth="1"/>
    <col min="14054" max="14054" width="25.7265625" style="188" customWidth="1"/>
    <col min="14055" max="14056" width="14" style="188" customWidth="1"/>
    <col min="14057" max="14057" width="18.7265625" style="188" customWidth="1"/>
    <col min="14058" max="14058" width="38.26953125" style="188" customWidth="1"/>
    <col min="14059" max="14059" width="22.54296875" style="188" bestFit="1" customWidth="1"/>
    <col min="14060" max="14060" width="1.81640625" style="188" customWidth="1"/>
    <col min="14061" max="14061" width="14.54296875" style="188" customWidth="1"/>
    <col min="14062" max="14062" width="1.81640625" style="188" customWidth="1"/>
    <col min="14063" max="14066" width="7.26953125" style="188" bestFit="1" customWidth="1"/>
    <col min="14067" max="14067" width="8.54296875" style="188" bestFit="1" customWidth="1"/>
    <col min="14068" max="14068" width="7.1796875" style="188" bestFit="1" customWidth="1"/>
    <col min="14069" max="14069" width="3.1796875" style="188" customWidth="1"/>
    <col min="14070" max="14073" width="21.81640625" style="188" bestFit="1" customWidth="1"/>
    <col min="14074" max="14074" width="9.81640625" style="188" customWidth="1"/>
    <col min="14075" max="14075" width="23.7265625" style="188" bestFit="1" customWidth="1"/>
    <col min="14076" max="14076" width="20.81640625" style="188" customWidth="1"/>
    <col min="14077" max="14296" width="9.1796875" style="188"/>
    <col min="14297" max="14297" width="10" style="188" customWidth="1"/>
    <col min="14298" max="14298" width="10.26953125" style="188" bestFit="1" customWidth="1"/>
    <col min="14299" max="14299" width="19.54296875" style="188" customWidth="1"/>
    <col min="14300" max="14300" width="11.1796875" style="188" customWidth="1"/>
    <col min="14301" max="14301" width="12.1796875" style="188" customWidth="1"/>
    <col min="14302" max="14302" width="9.54296875" style="188" bestFit="1" customWidth="1"/>
    <col min="14303" max="14303" width="40" style="188" bestFit="1" customWidth="1"/>
    <col min="14304" max="14304" width="9.1796875" style="188"/>
    <col min="14305" max="14306" width="14.453125" style="188" customWidth="1"/>
    <col min="14307" max="14307" width="12.54296875" style="188" customWidth="1"/>
    <col min="14308" max="14308" width="14.453125" style="188" customWidth="1"/>
    <col min="14309" max="14309" width="17.54296875" style="188" customWidth="1"/>
    <col min="14310" max="14310" width="25.7265625" style="188" customWidth="1"/>
    <col min="14311" max="14312" width="14" style="188" customWidth="1"/>
    <col min="14313" max="14313" width="18.7265625" style="188" customWidth="1"/>
    <col min="14314" max="14314" width="38.26953125" style="188" customWidth="1"/>
    <col min="14315" max="14315" width="22.54296875" style="188" bestFit="1" customWidth="1"/>
    <col min="14316" max="14316" width="1.81640625" style="188" customWidth="1"/>
    <col min="14317" max="14317" width="14.54296875" style="188" customWidth="1"/>
    <col min="14318" max="14318" width="1.81640625" style="188" customWidth="1"/>
    <col min="14319" max="14322" width="7.26953125" style="188" bestFit="1" customWidth="1"/>
    <col min="14323" max="14323" width="8.54296875" style="188" bestFit="1" customWidth="1"/>
    <col min="14324" max="14324" width="7.1796875" style="188" bestFit="1" customWidth="1"/>
    <col min="14325" max="14325" width="3.1796875" style="188" customWidth="1"/>
    <col min="14326" max="14329" width="21.81640625" style="188" bestFit="1" customWidth="1"/>
    <col min="14330" max="14330" width="9.81640625" style="188" customWidth="1"/>
    <col min="14331" max="14331" width="23.7265625" style="188" bestFit="1" customWidth="1"/>
    <col min="14332" max="14332" width="20.81640625" style="188" customWidth="1"/>
    <col min="14333" max="14552" width="9.1796875" style="188"/>
    <col min="14553" max="14553" width="10" style="188" customWidth="1"/>
    <col min="14554" max="14554" width="10.26953125" style="188" bestFit="1" customWidth="1"/>
    <col min="14555" max="14555" width="19.54296875" style="188" customWidth="1"/>
    <col min="14556" max="14556" width="11.1796875" style="188" customWidth="1"/>
    <col min="14557" max="14557" width="12.1796875" style="188" customWidth="1"/>
    <col min="14558" max="14558" width="9.54296875" style="188" bestFit="1" customWidth="1"/>
    <col min="14559" max="14559" width="40" style="188" bestFit="1" customWidth="1"/>
    <col min="14560" max="14560" width="9.1796875" style="188"/>
    <col min="14561" max="14562" width="14.453125" style="188" customWidth="1"/>
    <col min="14563" max="14563" width="12.54296875" style="188" customWidth="1"/>
    <col min="14564" max="14564" width="14.453125" style="188" customWidth="1"/>
    <col min="14565" max="14565" width="17.54296875" style="188" customWidth="1"/>
    <col min="14566" max="14566" width="25.7265625" style="188" customWidth="1"/>
    <col min="14567" max="14568" width="14" style="188" customWidth="1"/>
    <col min="14569" max="14569" width="18.7265625" style="188" customWidth="1"/>
    <col min="14570" max="14570" width="38.26953125" style="188" customWidth="1"/>
    <col min="14571" max="14571" width="22.54296875" style="188" bestFit="1" customWidth="1"/>
    <col min="14572" max="14572" width="1.81640625" style="188" customWidth="1"/>
    <col min="14573" max="14573" width="14.54296875" style="188" customWidth="1"/>
    <col min="14574" max="14574" width="1.81640625" style="188" customWidth="1"/>
    <col min="14575" max="14578" width="7.26953125" style="188" bestFit="1" customWidth="1"/>
    <col min="14579" max="14579" width="8.54296875" style="188" bestFit="1" customWidth="1"/>
    <col min="14580" max="14580" width="7.1796875" style="188" bestFit="1" customWidth="1"/>
    <col min="14581" max="14581" width="3.1796875" style="188" customWidth="1"/>
    <col min="14582" max="14585" width="21.81640625" style="188" bestFit="1" customWidth="1"/>
    <col min="14586" max="14586" width="9.81640625" style="188" customWidth="1"/>
    <col min="14587" max="14587" width="23.7265625" style="188" bestFit="1" customWidth="1"/>
    <col min="14588" max="14588" width="20.81640625" style="188" customWidth="1"/>
    <col min="14589" max="14808" width="9.1796875" style="188"/>
    <col min="14809" max="14809" width="10" style="188" customWidth="1"/>
    <col min="14810" max="14810" width="10.26953125" style="188" bestFit="1" customWidth="1"/>
    <col min="14811" max="14811" width="19.54296875" style="188" customWidth="1"/>
    <col min="14812" max="14812" width="11.1796875" style="188" customWidth="1"/>
    <col min="14813" max="14813" width="12.1796875" style="188" customWidth="1"/>
    <col min="14814" max="14814" width="9.54296875" style="188" bestFit="1" customWidth="1"/>
    <col min="14815" max="14815" width="40" style="188" bestFit="1" customWidth="1"/>
    <col min="14816" max="14816" width="9.1796875" style="188"/>
    <col min="14817" max="14818" width="14.453125" style="188" customWidth="1"/>
    <col min="14819" max="14819" width="12.54296875" style="188" customWidth="1"/>
    <col min="14820" max="14820" width="14.453125" style="188" customWidth="1"/>
    <col min="14821" max="14821" width="17.54296875" style="188" customWidth="1"/>
    <col min="14822" max="14822" width="25.7265625" style="188" customWidth="1"/>
    <col min="14823" max="14824" width="14" style="188" customWidth="1"/>
    <col min="14825" max="14825" width="18.7265625" style="188" customWidth="1"/>
    <col min="14826" max="14826" width="38.26953125" style="188" customWidth="1"/>
    <col min="14827" max="14827" width="22.54296875" style="188" bestFit="1" customWidth="1"/>
    <col min="14828" max="14828" width="1.81640625" style="188" customWidth="1"/>
    <col min="14829" max="14829" width="14.54296875" style="188" customWidth="1"/>
    <col min="14830" max="14830" width="1.81640625" style="188" customWidth="1"/>
    <col min="14831" max="14834" width="7.26953125" style="188" bestFit="1" customWidth="1"/>
    <col min="14835" max="14835" width="8.54296875" style="188" bestFit="1" customWidth="1"/>
    <col min="14836" max="14836" width="7.1796875" style="188" bestFit="1" customWidth="1"/>
    <col min="14837" max="14837" width="3.1796875" style="188" customWidth="1"/>
    <col min="14838" max="14841" width="21.81640625" style="188" bestFit="1" customWidth="1"/>
    <col min="14842" max="14842" width="9.81640625" style="188" customWidth="1"/>
    <col min="14843" max="14843" width="23.7265625" style="188" bestFit="1" customWidth="1"/>
    <col min="14844" max="14844" width="20.81640625" style="188" customWidth="1"/>
    <col min="14845" max="15064" width="9.1796875" style="188"/>
    <col min="15065" max="15065" width="10" style="188" customWidth="1"/>
    <col min="15066" max="15066" width="10.26953125" style="188" bestFit="1" customWidth="1"/>
    <col min="15067" max="15067" width="19.54296875" style="188" customWidth="1"/>
    <col min="15068" max="15068" width="11.1796875" style="188" customWidth="1"/>
    <col min="15069" max="15069" width="12.1796875" style="188" customWidth="1"/>
    <col min="15070" max="15070" width="9.54296875" style="188" bestFit="1" customWidth="1"/>
    <col min="15071" max="15071" width="40" style="188" bestFit="1" customWidth="1"/>
    <col min="15072" max="15072" width="9.1796875" style="188"/>
    <col min="15073" max="15074" width="14.453125" style="188" customWidth="1"/>
    <col min="15075" max="15075" width="12.54296875" style="188" customWidth="1"/>
    <col min="15076" max="15076" width="14.453125" style="188" customWidth="1"/>
    <col min="15077" max="15077" width="17.54296875" style="188" customWidth="1"/>
    <col min="15078" max="15078" width="25.7265625" style="188" customWidth="1"/>
    <col min="15079" max="15080" width="14" style="188" customWidth="1"/>
    <col min="15081" max="15081" width="18.7265625" style="188" customWidth="1"/>
    <col min="15082" max="15082" width="38.26953125" style="188" customWidth="1"/>
    <col min="15083" max="15083" width="22.54296875" style="188" bestFit="1" customWidth="1"/>
    <col min="15084" max="15084" width="1.81640625" style="188" customWidth="1"/>
    <col min="15085" max="15085" width="14.54296875" style="188" customWidth="1"/>
    <col min="15086" max="15086" width="1.81640625" style="188" customWidth="1"/>
    <col min="15087" max="15090" width="7.26953125" style="188" bestFit="1" customWidth="1"/>
    <col min="15091" max="15091" width="8.54296875" style="188" bestFit="1" customWidth="1"/>
    <col min="15092" max="15092" width="7.1796875" style="188" bestFit="1" customWidth="1"/>
    <col min="15093" max="15093" width="3.1796875" style="188" customWidth="1"/>
    <col min="15094" max="15097" width="21.81640625" style="188" bestFit="1" customWidth="1"/>
    <col min="15098" max="15098" width="9.81640625" style="188" customWidth="1"/>
    <col min="15099" max="15099" width="23.7265625" style="188" bestFit="1" customWidth="1"/>
    <col min="15100" max="15100" width="20.81640625" style="188" customWidth="1"/>
    <col min="15101" max="15320" width="9.1796875" style="188"/>
    <col min="15321" max="15321" width="10" style="188" customWidth="1"/>
    <col min="15322" max="15322" width="10.26953125" style="188" bestFit="1" customWidth="1"/>
    <col min="15323" max="15323" width="19.54296875" style="188" customWidth="1"/>
    <col min="15324" max="15324" width="11.1796875" style="188" customWidth="1"/>
    <col min="15325" max="15325" width="12.1796875" style="188" customWidth="1"/>
    <col min="15326" max="15326" width="9.54296875" style="188" bestFit="1" customWidth="1"/>
    <col min="15327" max="15327" width="40" style="188" bestFit="1" customWidth="1"/>
    <col min="15328" max="15328" width="9.1796875" style="188"/>
    <col min="15329" max="15330" width="14.453125" style="188" customWidth="1"/>
    <col min="15331" max="15331" width="12.54296875" style="188" customWidth="1"/>
    <col min="15332" max="15332" width="14.453125" style="188" customWidth="1"/>
    <col min="15333" max="15333" width="17.54296875" style="188" customWidth="1"/>
    <col min="15334" max="15334" width="25.7265625" style="188" customWidth="1"/>
    <col min="15335" max="15336" width="14" style="188" customWidth="1"/>
    <col min="15337" max="15337" width="18.7265625" style="188" customWidth="1"/>
    <col min="15338" max="15338" width="38.26953125" style="188" customWidth="1"/>
    <col min="15339" max="15339" width="22.54296875" style="188" bestFit="1" customWidth="1"/>
    <col min="15340" max="15340" width="1.81640625" style="188" customWidth="1"/>
    <col min="15341" max="15341" width="14.54296875" style="188" customWidth="1"/>
    <col min="15342" max="15342" width="1.81640625" style="188" customWidth="1"/>
    <col min="15343" max="15346" width="7.26953125" style="188" bestFit="1" customWidth="1"/>
    <col min="15347" max="15347" width="8.54296875" style="188" bestFit="1" customWidth="1"/>
    <col min="15348" max="15348" width="7.1796875" style="188" bestFit="1" customWidth="1"/>
    <col min="15349" max="15349" width="3.1796875" style="188" customWidth="1"/>
    <col min="15350" max="15353" width="21.81640625" style="188" bestFit="1" customWidth="1"/>
    <col min="15354" max="15354" width="9.81640625" style="188" customWidth="1"/>
    <col min="15355" max="15355" width="23.7265625" style="188" bestFit="1" customWidth="1"/>
    <col min="15356" max="15356" width="20.81640625" style="188" customWidth="1"/>
    <col min="15357" max="15576" width="9.1796875" style="188"/>
    <col min="15577" max="15577" width="10" style="188" customWidth="1"/>
    <col min="15578" max="15578" width="10.26953125" style="188" bestFit="1" customWidth="1"/>
    <col min="15579" max="15579" width="19.54296875" style="188" customWidth="1"/>
    <col min="15580" max="15580" width="11.1796875" style="188" customWidth="1"/>
    <col min="15581" max="15581" width="12.1796875" style="188" customWidth="1"/>
    <col min="15582" max="15582" width="9.54296875" style="188" bestFit="1" customWidth="1"/>
    <col min="15583" max="15583" width="40" style="188" bestFit="1" customWidth="1"/>
    <col min="15584" max="15584" width="9.1796875" style="188"/>
    <col min="15585" max="15586" width="14.453125" style="188" customWidth="1"/>
    <col min="15587" max="15587" width="12.54296875" style="188" customWidth="1"/>
    <col min="15588" max="15588" width="14.453125" style="188" customWidth="1"/>
    <col min="15589" max="15589" width="17.54296875" style="188" customWidth="1"/>
    <col min="15590" max="15590" width="25.7265625" style="188" customWidth="1"/>
    <col min="15591" max="15592" width="14" style="188" customWidth="1"/>
    <col min="15593" max="15593" width="18.7265625" style="188" customWidth="1"/>
    <col min="15594" max="15594" width="38.26953125" style="188" customWidth="1"/>
    <col min="15595" max="15595" width="22.54296875" style="188" bestFit="1" customWidth="1"/>
    <col min="15596" max="15596" width="1.81640625" style="188" customWidth="1"/>
    <col min="15597" max="15597" width="14.54296875" style="188" customWidth="1"/>
    <col min="15598" max="15598" width="1.81640625" style="188" customWidth="1"/>
    <col min="15599" max="15602" width="7.26953125" style="188" bestFit="1" customWidth="1"/>
    <col min="15603" max="15603" width="8.54296875" style="188" bestFit="1" customWidth="1"/>
    <col min="15604" max="15604" width="7.1796875" style="188" bestFit="1" customWidth="1"/>
    <col min="15605" max="15605" width="3.1796875" style="188" customWidth="1"/>
    <col min="15606" max="15609" width="21.81640625" style="188" bestFit="1" customWidth="1"/>
    <col min="15610" max="15610" width="9.81640625" style="188" customWidth="1"/>
    <col min="15611" max="15611" width="23.7265625" style="188" bestFit="1" customWidth="1"/>
    <col min="15612" max="15612" width="20.81640625" style="188" customWidth="1"/>
    <col min="15613" max="15832" width="9.1796875" style="188"/>
    <col min="15833" max="15833" width="10" style="188" customWidth="1"/>
    <col min="15834" max="15834" width="10.26953125" style="188" bestFit="1" customWidth="1"/>
    <col min="15835" max="15835" width="19.54296875" style="188" customWidth="1"/>
    <col min="15836" max="15836" width="11.1796875" style="188" customWidth="1"/>
    <col min="15837" max="15837" width="12.1796875" style="188" customWidth="1"/>
    <col min="15838" max="15838" width="9.54296875" style="188" bestFit="1" customWidth="1"/>
    <col min="15839" max="15839" width="40" style="188" bestFit="1" customWidth="1"/>
    <col min="15840" max="15840" width="9.1796875" style="188"/>
    <col min="15841" max="15842" width="14.453125" style="188" customWidth="1"/>
    <col min="15843" max="15843" width="12.54296875" style="188" customWidth="1"/>
    <col min="15844" max="15844" width="14.453125" style="188" customWidth="1"/>
    <col min="15845" max="15845" width="17.54296875" style="188" customWidth="1"/>
    <col min="15846" max="15846" width="25.7265625" style="188" customWidth="1"/>
    <col min="15847" max="15848" width="14" style="188" customWidth="1"/>
    <col min="15849" max="15849" width="18.7265625" style="188" customWidth="1"/>
    <col min="15850" max="15850" width="38.26953125" style="188" customWidth="1"/>
    <col min="15851" max="15851" width="22.54296875" style="188" bestFit="1" customWidth="1"/>
    <col min="15852" max="15852" width="1.81640625" style="188" customWidth="1"/>
    <col min="15853" max="15853" width="14.54296875" style="188" customWidth="1"/>
    <col min="15854" max="15854" width="1.81640625" style="188" customWidth="1"/>
    <col min="15855" max="15858" width="7.26953125" style="188" bestFit="1" customWidth="1"/>
    <col min="15859" max="15859" width="8.54296875" style="188" bestFit="1" customWidth="1"/>
    <col min="15860" max="15860" width="7.1796875" style="188" bestFit="1" customWidth="1"/>
    <col min="15861" max="15861" width="3.1796875" style="188" customWidth="1"/>
    <col min="15862" max="15865" width="21.81640625" style="188" bestFit="1" customWidth="1"/>
    <col min="15866" max="15866" width="9.81640625" style="188" customWidth="1"/>
    <col min="15867" max="15867" width="23.7265625" style="188" bestFit="1" customWidth="1"/>
    <col min="15868" max="15868" width="20.81640625" style="188" customWidth="1"/>
    <col min="15869" max="16088" width="9.1796875" style="188"/>
    <col min="16089" max="16089" width="10" style="188" customWidth="1"/>
    <col min="16090" max="16090" width="10.26953125" style="188" bestFit="1" customWidth="1"/>
    <col min="16091" max="16091" width="19.54296875" style="188" customWidth="1"/>
    <col min="16092" max="16092" width="11.1796875" style="188" customWidth="1"/>
    <col min="16093" max="16093" width="12.1796875" style="188" customWidth="1"/>
    <col min="16094" max="16094" width="9.54296875" style="188" bestFit="1" customWidth="1"/>
    <col min="16095" max="16095" width="40" style="188" bestFit="1" customWidth="1"/>
    <col min="16096" max="16096" width="9.1796875" style="188"/>
    <col min="16097" max="16098" width="14.453125" style="188" customWidth="1"/>
    <col min="16099" max="16099" width="12.54296875" style="188" customWidth="1"/>
    <col min="16100" max="16100" width="14.453125" style="188" customWidth="1"/>
    <col min="16101" max="16101" width="17.54296875" style="188" customWidth="1"/>
    <col min="16102" max="16102" width="25.7265625" style="188" customWidth="1"/>
    <col min="16103" max="16104" width="14" style="188" customWidth="1"/>
    <col min="16105" max="16105" width="18.7265625" style="188" customWidth="1"/>
    <col min="16106" max="16106" width="38.26953125" style="188" customWidth="1"/>
    <col min="16107" max="16107" width="22.54296875" style="188" bestFit="1" customWidth="1"/>
    <col min="16108" max="16108" width="1.81640625" style="188" customWidth="1"/>
    <col min="16109" max="16109" width="14.54296875" style="188" customWidth="1"/>
    <col min="16110" max="16110" width="1.81640625" style="188" customWidth="1"/>
    <col min="16111" max="16114" width="7.26953125" style="188" bestFit="1" customWidth="1"/>
    <col min="16115" max="16115" width="8.54296875" style="188" bestFit="1" customWidth="1"/>
    <col min="16116" max="16116" width="7.1796875" style="188" bestFit="1" customWidth="1"/>
    <col min="16117" max="16117" width="3.1796875" style="188" customWidth="1"/>
    <col min="16118" max="16121" width="21.81640625" style="188" bestFit="1" customWidth="1"/>
    <col min="16122" max="16122" width="9.81640625" style="188" customWidth="1"/>
    <col min="16123" max="16123" width="23.7265625" style="188" bestFit="1" customWidth="1"/>
    <col min="16124" max="16124" width="20.81640625" style="188" customWidth="1"/>
    <col min="16125" max="16344" width="9.1796875" style="188"/>
    <col min="16345" max="16384" width="9.1796875" style="188" customWidth="1"/>
  </cols>
  <sheetData>
    <row r="1" spans="1:4" s="160" customFormat="1" ht="23.25" customHeight="1" thickBot="1" x14ac:dyDescent="0.4">
      <c r="A1" s="159" t="s">
        <v>0</v>
      </c>
      <c r="D1" s="161" t="s">
        <v>74</v>
      </c>
    </row>
    <row r="2" spans="1:4" ht="11" thickBot="1" x14ac:dyDescent="0.4">
      <c r="A2" s="187"/>
      <c r="D2" s="189"/>
    </row>
    <row r="3" spans="1:4" s="195" customFormat="1" ht="26" customHeight="1" x14ac:dyDescent="0.35">
      <c r="A3" s="316" t="s">
        <v>181</v>
      </c>
      <c r="B3" s="191" t="s">
        <v>209</v>
      </c>
      <c r="C3" s="191" t="s">
        <v>6</v>
      </c>
      <c r="D3" s="191" t="s">
        <v>180</v>
      </c>
    </row>
    <row r="4" spans="1:4" s="307" customFormat="1" ht="18.5" x14ac:dyDescent="0.35">
      <c r="A4" s="308">
        <v>1</v>
      </c>
      <c r="B4" s="308" t="s">
        <v>186</v>
      </c>
      <c r="C4" s="308" t="s">
        <v>178</v>
      </c>
      <c r="D4" s="411">
        <v>37.931087999999995</v>
      </c>
    </row>
    <row r="5" spans="1:4" s="307" customFormat="1" ht="18.5" x14ac:dyDescent="0.35">
      <c r="A5" s="308">
        <f t="shared" ref="A5:A24" si="0">1+A4</f>
        <v>2</v>
      </c>
      <c r="B5" s="308" t="s">
        <v>187</v>
      </c>
      <c r="C5" s="308" t="s">
        <v>185</v>
      </c>
      <c r="D5" s="411">
        <v>59.500628000000006</v>
      </c>
    </row>
    <row r="6" spans="1:4" s="307" customFormat="1" ht="18.5" x14ac:dyDescent="0.35">
      <c r="A6" s="308">
        <f t="shared" si="0"/>
        <v>3</v>
      </c>
      <c r="B6" s="308" t="s">
        <v>201</v>
      </c>
      <c r="C6" s="308" t="s">
        <v>189</v>
      </c>
      <c r="D6" s="411">
        <v>73.244547999999995</v>
      </c>
    </row>
    <row r="7" spans="1:4" s="307" customFormat="1" ht="18.5" x14ac:dyDescent="0.35">
      <c r="A7" s="308">
        <f t="shared" si="0"/>
        <v>4</v>
      </c>
      <c r="B7" s="308" t="s">
        <v>114</v>
      </c>
      <c r="C7" s="308" t="s">
        <v>179</v>
      </c>
      <c r="D7" s="411">
        <v>36.159756000000002</v>
      </c>
    </row>
    <row r="8" spans="1:4" s="307" customFormat="1" ht="18.5" x14ac:dyDescent="0.35">
      <c r="A8" s="308">
        <f t="shared" si="0"/>
        <v>5</v>
      </c>
      <c r="B8" s="308" t="s">
        <v>166</v>
      </c>
      <c r="C8" s="308" t="s">
        <v>191</v>
      </c>
      <c r="D8" s="411">
        <v>45.697021999999997</v>
      </c>
    </row>
    <row r="9" spans="1:4" s="307" customFormat="1" ht="18.5" x14ac:dyDescent="0.35">
      <c r="A9" s="308">
        <f t="shared" si="0"/>
        <v>6</v>
      </c>
      <c r="B9" s="308" t="s">
        <v>188</v>
      </c>
      <c r="C9" s="308" t="s">
        <v>189</v>
      </c>
      <c r="D9" s="411">
        <v>73.244547999999995</v>
      </c>
    </row>
    <row r="10" spans="1:4" s="307" customFormat="1" ht="18.5" x14ac:dyDescent="0.35">
      <c r="A10" s="308">
        <f>1+A9</f>
        <v>7</v>
      </c>
      <c r="B10" s="308" t="s">
        <v>197</v>
      </c>
      <c r="C10" s="308" t="s">
        <v>191</v>
      </c>
      <c r="D10" s="411">
        <v>45.697021999999997</v>
      </c>
    </row>
    <row r="11" spans="1:4" s="307" customFormat="1" ht="18.5" x14ac:dyDescent="0.35">
      <c r="A11" s="308">
        <f t="shared" si="0"/>
        <v>8</v>
      </c>
      <c r="B11" s="308" t="s">
        <v>100</v>
      </c>
      <c r="C11" s="308" t="s">
        <v>178</v>
      </c>
      <c r="D11" s="411">
        <v>37.931087999999995</v>
      </c>
    </row>
    <row r="12" spans="1:4" s="307" customFormat="1" ht="18.5" x14ac:dyDescent="0.35">
      <c r="A12" s="308">
        <f t="shared" si="0"/>
        <v>9</v>
      </c>
      <c r="B12" s="308" t="s">
        <v>202</v>
      </c>
      <c r="C12" s="308" t="s">
        <v>203</v>
      </c>
      <c r="D12" s="411">
        <v>70.744719999999987</v>
      </c>
    </row>
    <row r="13" spans="1:4" s="307" customFormat="1" ht="18.5" x14ac:dyDescent="0.35">
      <c r="A13" s="308">
        <f t="shared" si="0"/>
        <v>10</v>
      </c>
      <c r="B13" s="308" t="s">
        <v>159</v>
      </c>
      <c r="C13" s="308" t="s">
        <v>204</v>
      </c>
      <c r="D13" s="411">
        <v>67.261728000000005</v>
      </c>
    </row>
    <row r="14" spans="1:4" s="307" customFormat="1" ht="18.5" x14ac:dyDescent="0.35">
      <c r="A14" s="308">
        <f t="shared" si="0"/>
        <v>11</v>
      </c>
      <c r="B14" s="308" t="s">
        <v>112</v>
      </c>
      <c r="C14" s="308" t="s">
        <v>179</v>
      </c>
      <c r="D14" s="411">
        <v>36.159756000000002</v>
      </c>
    </row>
    <row r="15" spans="1:4" s="307" customFormat="1" ht="18.5" x14ac:dyDescent="0.35">
      <c r="A15" s="308">
        <f t="shared" si="0"/>
        <v>12</v>
      </c>
      <c r="B15" s="308" t="s">
        <v>161</v>
      </c>
      <c r="C15" s="308" t="s">
        <v>179</v>
      </c>
      <c r="D15" s="411">
        <v>36.159756000000002</v>
      </c>
    </row>
    <row r="16" spans="1:4" s="307" customFormat="1" ht="18.5" x14ac:dyDescent="0.35">
      <c r="A16" s="308">
        <f t="shared" si="0"/>
        <v>13</v>
      </c>
      <c r="B16" s="308" t="s">
        <v>162</v>
      </c>
      <c r="C16" s="308" t="s">
        <v>205</v>
      </c>
      <c r="D16" s="411">
        <v>62.443705999999999</v>
      </c>
    </row>
    <row r="17" spans="1:4" s="307" customFormat="1" ht="18.5" x14ac:dyDescent="0.35">
      <c r="A17" s="308">
        <f t="shared" si="0"/>
        <v>14</v>
      </c>
      <c r="B17" s="308" t="s">
        <v>206</v>
      </c>
      <c r="C17" s="308" t="s">
        <v>205</v>
      </c>
      <c r="D17" s="411">
        <v>62.443705999999999</v>
      </c>
    </row>
    <row r="18" spans="1:4" s="307" customFormat="1" ht="18.5" x14ac:dyDescent="0.35">
      <c r="A18" s="308">
        <f t="shared" si="0"/>
        <v>15</v>
      </c>
      <c r="B18" s="308" t="s">
        <v>164</v>
      </c>
      <c r="C18" s="308" t="s">
        <v>204</v>
      </c>
      <c r="D18" s="411">
        <v>67.261728000000005</v>
      </c>
    </row>
    <row r="19" spans="1:4" s="307" customFormat="1" ht="18.5" x14ac:dyDescent="0.35">
      <c r="A19" s="308">
        <f t="shared" si="0"/>
        <v>16</v>
      </c>
      <c r="B19" s="308" t="s">
        <v>168</v>
      </c>
      <c r="C19" s="308" t="s">
        <v>191</v>
      </c>
      <c r="D19" s="411">
        <v>45.697021999999997</v>
      </c>
    </row>
    <row r="20" spans="1:4" s="307" customFormat="1" ht="18.5" x14ac:dyDescent="0.35">
      <c r="A20" s="308">
        <f t="shared" si="0"/>
        <v>17</v>
      </c>
      <c r="B20" s="308" t="s">
        <v>172</v>
      </c>
      <c r="C20" s="308" t="s">
        <v>189</v>
      </c>
      <c r="D20" s="411">
        <v>73.244547999999995</v>
      </c>
    </row>
    <row r="21" spans="1:4" s="307" customFormat="1" ht="18.5" x14ac:dyDescent="0.35">
      <c r="A21" s="308">
        <f t="shared" si="0"/>
        <v>18</v>
      </c>
      <c r="B21" s="308" t="s">
        <v>207</v>
      </c>
      <c r="C21" s="308" t="s">
        <v>208</v>
      </c>
      <c r="D21" s="411">
        <v>65.022578999999993</v>
      </c>
    </row>
    <row r="22" spans="1:4" s="307" customFormat="1" ht="18.5" x14ac:dyDescent="0.35">
      <c r="A22" s="308">
        <f t="shared" si="0"/>
        <v>19</v>
      </c>
      <c r="B22" s="308" t="s">
        <v>192</v>
      </c>
      <c r="C22" s="308" t="s">
        <v>193</v>
      </c>
      <c r="D22" s="411">
        <v>55.450851000000007</v>
      </c>
    </row>
    <row r="23" spans="1:4" s="307" customFormat="1" ht="18.5" x14ac:dyDescent="0.35">
      <c r="A23" s="308">
        <f t="shared" si="0"/>
        <v>20</v>
      </c>
      <c r="B23" s="308" t="s">
        <v>174</v>
      </c>
      <c r="C23" s="308" t="s">
        <v>190</v>
      </c>
      <c r="D23" s="411">
        <v>66.775700999999998</v>
      </c>
    </row>
    <row r="24" spans="1:4" s="307" customFormat="1" ht="19" thickBot="1" x14ac:dyDescent="0.4">
      <c r="A24" s="308">
        <f t="shared" si="0"/>
        <v>21</v>
      </c>
      <c r="B24" s="308" t="s">
        <v>175</v>
      </c>
      <c r="C24" s="308" t="s">
        <v>204</v>
      </c>
      <c r="D24" s="411">
        <v>67.261728000000005</v>
      </c>
    </row>
    <row r="25" spans="1:4" s="297" customFormat="1" ht="18.5" thickBot="1" x14ac:dyDescent="0.4">
      <c r="A25" s="309"/>
      <c r="B25" s="294"/>
      <c r="C25" s="271"/>
      <c r="D25" s="315">
        <f>SUM(D4:D24)</f>
        <v>1185.3332290000001</v>
      </c>
    </row>
    <row r="26" spans="1:4" s="258" customFormat="1" ht="20.25" customHeight="1" x14ac:dyDescent="0.35">
      <c r="A26" s="310"/>
      <c r="B26" s="310"/>
      <c r="C26" s="310"/>
      <c r="D26" s="310"/>
    </row>
    <row r="27" spans="1:4" s="258" customFormat="1" ht="18.75" customHeight="1" x14ac:dyDescent="0.35">
      <c r="A27" s="310"/>
      <c r="B27" s="310"/>
      <c r="C27" s="310"/>
      <c r="D27" s="310"/>
    </row>
    <row r="28" spans="1:4" ht="18.5" x14ac:dyDescent="0.35">
      <c r="B28" s="291"/>
    </row>
    <row r="29" spans="1:4" ht="26" customHeight="1" x14ac:dyDescent="0.3">
      <c r="B29" s="303"/>
      <c r="C29" s="303"/>
      <c r="D29" s="304"/>
    </row>
    <row r="30" spans="1:4" ht="26" customHeight="1" x14ac:dyDescent="0.3">
      <c r="B30" s="303"/>
      <c r="C30" s="303"/>
      <c r="D30" s="304"/>
    </row>
    <row r="31" spans="1:4" ht="26" customHeight="1" x14ac:dyDescent="0.3">
      <c r="B31" s="303"/>
      <c r="C31" s="303"/>
      <c r="D31" s="304"/>
    </row>
    <row r="32" spans="1:4" ht="26" customHeight="1" x14ac:dyDescent="0.3">
      <c r="B32" s="303"/>
      <c r="C32" s="303"/>
      <c r="D32" s="304"/>
    </row>
    <row r="33" spans="2:4" ht="26" customHeight="1" x14ac:dyDescent="0.3">
      <c r="B33" s="303"/>
      <c r="C33" s="303"/>
      <c r="D33" s="304"/>
    </row>
    <row r="34" spans="2:4" ht="26" customHeight="1" x14ac:dyDescent="0.3">
      <c r="B34" s="303"/>
      <c r="C34" s="303"/>
      <c r="D34" s="304"/>
    </row>
    <row r="35" spans="2:4" ht="26" customHeight="1" x14ac:dyDescent="0.3">
      <c r="B35" s="303"/>
      <c r="C35" s="303"/>
      <c r="D35" s="304"/>
    </row>
    <row r="36" spans="2:4" ht="26" customHeight="1" x14ac:dyDescent="0.3">
      <c r="B36" s="303"/>
      <c r="C36" s="303"/>
      <c r="D36" s="304"/>
    </row>
    <row r="37" spans="2:4" ht="26" customHeight="1" x14ac:dyDescent="0.3">
      <c r="B37" s="303"/>
      <c r="C37" s="303"/>
      <c r="D37" s="304"/>
    </row>
    <row r="38" spans="2:4" ht="26" customHeight="1" x14ac:dyDescent="0.3">
      <c r="B38" s="303"/>
      <c r="C38" s="303"/>
      <c r="D38" s="304"/>
    </row>
    <row r="39" spans="2:4" ht="26" customHeight="1" x14ac:dyDescent="0.3">
      <c r="B39" s="303"/>
      <c r="C39" s="303"/>
      <c r="D39" s="304"/>
    </row>
    <row r="40" spans="2:4" ht="26" customHeight="1" x14ac:dyDescent="0.3">
      <c r="B40" s="303"/>
      <c r="C40" s="303"/>
      <c r="D40" s="304"/>
    </row>
    <row r="41" spans="2:4" ht="26" customHeight="1" x14ac:dyDescent="0.3">
      <c r="B41" s="303"/>
      <c r="C41" s="303"/>
      <c r="D41" s="304"/>
    </row>
    <row r="42" spans="2:4" ht="26" customHeight="1" x14ac:dyDescent="0.3">
      <c r="B42" s="303"/>
      <c r="C42" s="303"/>
      <c r="D42" s="304"/>
    </row>
    <row r="43" spans="2:4" ht="26" customHeight="1" x14ac:dyDescent="0.3">
      <c r="B43" s="303"/>
      <c r="C43" s="303"/>
      <c r="D43" s="304"/>
    </row>
    <row r="44" spans="2:4" ht="18.5" x14ac:dyDescent="0.35">
      <c r="B44" s="291"/>
    </row>
    <row r="45" spans="2:4" ht="18.5" x14ac:dyDescent="0.35">
      <c r="B45" s="291"/>
    </row>
    <row r="46" spans="2:4" ht="18.5" x14ac:dyDescent="0.35">
      <c r="B46" s="291"/>
    </row>
    <row r="47" spans="2:4" ht="18.5" x14ac:dyDescent="0.35">
      <c r="B47" s="291"/>
    </row>
    <row r="48" spans="2:4" ht="18.5" x14ac:dyDescent="0.35">
      <c r="B48" s="293"/>
    </row>
    <row r="49" spans="2:2" ht="18.5" x14ac:dyDescent="0.35">
      <c r="B49" s="293"/>
    </row>
  </sheetData>
  <autoFilter ref="A3:D27" xr:uid="{F6DFE7CC-9B76-46F8-A320-CE8D596BD64D}"/>
  <phoneticPr fontId="8" type="noConversion"/>
  <conditionalFormatting sqref="B50:B65495 B1:B24">
    <cfRule type="expression" dxfId="154" priority="183" stopIfTrue="1">
      <formula>AND(COUNTIF(#REF!, B1)+COUNTIF($B$1:$B$24, B1)&gt;1,NOT(ISBLANK(B1)))</formula>
    </cfRule>
    <cfRule type="expression" dxfId="153" priority="184" stopIfTrue="1">
      <formula>AND(COUNTIF($B$1:$B$24, B1)+COUNTIF($B$28:$B$65495, B1)&gt;1,NOT(ISBLANK(B1)))</formula>
    </cfRule>
    <cfRule type="expression" dxfId="152" priority="185" stopIfTrue="1">
      <formula>AND(COUNTIF(#REF!, B1)+COUNTIF($B$1:$B$3, B1)+COUNTIF(#REF!, B1)&gt;1,NOT(ISBLANK(B1)))</formula>
    </cfRule>
  </conditionalFormatting>
  <conditionalFormatting sqref="B50:B65495 B1:B25">
    <cfRule type="expression" dxfId="151" priority="187" stopIfTrue="1">
      <formula>AND(COUNTIF($B$1:$B$3, B1)+COUNTIF($B$25:$B$65495, B1)+COUNTIF(#REF!, B1)&gt;1,NOT(ISBLANK(B1)))</formula>
    </cfRule>
  </conditionalFormatting>
  <conditionalFormatting sqref="B25">
    <cfRule type="expression" dxfId="150" priority="7883" stopIfTrue="1">
      <formula>AND(COUNTIF($C$1:$C$3, B25)+COUNTIF($C$25:$C$65495, B25)&gt;1,NOT(ISBLANK(B25)))</formula>
    </cfRule>
  </conditionalFormatting>
  <conditionalFormatting sqref="B28 B44:B65495 B1:B25">
    <cfRule type="duplicateValues" dxfId="149" priority="7884" stopIfTrue="1"/>
    <cfRule type="duplicateValues" dxfId="148" priority="7885" stopIfTrue="1"/>
  </conditionalFormatting>
  <conditionalFormatting sqref="B28">
    <cfRule type="duplicateValues" dxfId="147" priority="7890" stopIfTrue="1"/>
    <cfRule type="duplicateValues" dxfId="146" priority="7891" stopIfTrue="1"/>
    <cfRule type="duplicateValues" dxfId="145" priority="7892" stopIfTrue="1"/>
  </conditionalFormatting>
  <conditionalFormatting sqref="B29:C43">
    <cfRule type="containsText" dxfId="144" priority="5" stopIfTrue="1" operator="containsText" text="row">
      <formula>NOT(ISERROR(SEARCH("row",B29)))</formula>
    </cfRule>
  </conditionalFormatting>
  <conditionalFormatting sqref="B44:B49">
    <cfRule type="expression" dxfId="143" priority="8608" stopIfTrue="1">
      <formula>AND(COUNTIF(#REF!, B44)+COUNTIF(#REF!, B44)+COUNTIF(#REF!, B44)+COUNTIF(#REF!, B44)&gt;1,NOT(ISBLANK(B44)))</formula>
    </cfRule>
  </conditionalFormatting>
  <conditionalFormatting sqref="B48:B49">
    <cfRule type="expression" dxfId="142" priority="8609" stopIfTrue="1">
      <formula>AND(COUNTIF(#REF!, B48)+COUNTIF(#REF!, B48)&gt;1,NOT(ISBLANK(B48)))</formula>
    </cfRule>
  </conditionalFormatting>
  <printOptions horizontalCentered="1"/>
  <pageMargins left="0.31496062992125984" right="0.31496062992125984" top="0.55118110236220474" bottom="0.55118110236220474" header="0.31496062992125984" footer="0.31496062992125984"/>
  <pageSetup paperSize="9" scale="26" fitToHeight="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897BF-86FA-4D79-A680-7F9D6A65C826}">
  <sheetPr>
    <tabColor rgb="FF00B050"/>
  </sheetPr>
  <dimension ref="A1:AJ75"/>
  <sheetViews>
    <sheetView view="pageBreakPreview" topLeftCell="E35" zoomScale="70" zoomScaleNormal="100" zoomScaleSheetLayoutView="70" workbookViewId="0">
      <selection activeCell="I25" sqref="I25"/>
    </sheetView>
  </sheetViews>
  <sheetFormatPr defaultRowHeight="10" x14ac:dyDescent="0.35"/>
  <cols>
    <col min="1" max="1" width="10" style="190" customWidth="1"/>
    <col min="2" max="2" width="10.26953125" style="188" bestFit="1" customWidth="1"/>
    <col min="3" max="3" width="19.54296875" style="188" customWidth="1"/>
    <col min="4" max="4" width="11.1796875" style="190" customWidth="1"/>
    <col min="5" max="5" width="12.1796875" style="190" customWidth="1"/>
    <col min="6" max="6" width="9.54296875" style="190" bestFit="1" customWidth="1"/>
    <col min="7" max="7" width="40" style="190" bestFit="1" customWidth="1"/>
    <col min="8" max="8" width="9.1796875" style="190" customWidth="1"/>
    <col min="9" max="10" width="14.453125" style="188" customWidth="1"/>
    <col min="11" max="11" width="12.54296875" style="188" customWidth="1"/>
    <col min="12" max="12" width="14.453125" style="188" customWidth="1"/>
    <col min="13" max="13" width="17.54296875" style="188" customWidth="1"/>
    <col min="14" max="14" width="25.7265625" style="188" customWidth="1"/>
    <col min="15" max="16" width="14" style="188" customWidth="1"/>
    <col min="17" max="17" width="15.81640625" style="188" customWidth="1"/>
    <col min="18" max="18" width="38.26953125" style="188" customWidth="1"/>
    <col min="19" max="19" width="22.54296875" style="188" bestFit="1" customWidth="1"/>
    <col min="20" max="20" width="1.81640625" style="188" customWidth="1"/>
    <col min="21" max="21" width="14.54296875" style="188" customWidth="1"/>
    <col min="22" max="22" width="1.81640625" style="188" customWidth="1"/>
    <col min="23" max="26" width="7.26953125" style="188" bestFit="1" customWidth="1"/>
    <col min="27" max="27" width="8.54296875" style="188" bestFit="1" customWidth="1"/>
    <col min="28" max="28" width="7.1796875" style="188" bestFit="1" customWidth="1"/>
    <col min="29" max="29" width="3.1796875" style="188" customWidth="1"/>
    <col min="30" max="33" width="21.81640625" style="188" bestFit="1" customWidth="1"/>
    <col min="34" max="34" width="9.81640625" style="188" customWidth="1"/>
    <col min="35" max="35" width="23.7265625" style="188" bestFit="1" customWidth="1"/>
    <col min="36" max="36" width="20.81640625" style="188" customWidth="1"/>
    <col min="37" max="256" width="9.1796875" style="188"/>
    <col min="257" max="257" width="10" style="188" customWidth="1"/>
    <col min="258" max="258" width="10.26953125" style="188" bestFit="1" customWidth="1"/>
    <col min="259" max="259" width="19.54296875" style="188" customWidth="1"/>
    <col min="260" max="260" width="11.1796875" style="188" customWidth="1"/>
    <col min="261" max="261" width="12.1796875" style="188" customWidth="1"/>
    <col min="262" max="262" width="9.54296875" style="188" bestFit="1" customWidth="1"/>
    <col min="263" max="263" width="40" style="188" bestFit="1" customWidth="1"/>
    <col min="264" max="264" width="9.1796875" style="188"/>
    <col min="265" max="266" width="14.453125" style="188" customWidth="1"/>
    <col min="267" max="267" width="12.54296875" style="188" customWidth="1"/>
    <col min="268" max="268" width="14.453125" style="188" customWidth="1"/>
    <col min="269" max="269" width="17.54296875" style="188" customWidth="1"/>
    <col min="270" max="270" width="25.7265625" style="188" customWidth="1"/>
    <col min="271" max="272" width="14" style="188" customWidth="1"/>
    <col min="273" max="273" width="15.81640625" style="188" customWidth="1"/>
    <col min="274" max="274" width="38.26953125" style="188" customWidth="1"/>
    <col min="275" max="275" width="22.54296875" style="188" bestFit="1" customWidth="1"/>
    <col min="276" max="276" width="1.81640625" style="188" customWidth="1"/>
    <col min="277" max="277" width="14.54296875" style="188" customWidth="1"/>
    <col min="278" max="278" width="1.81640625" style="188" customWidth="1"/>
    <col min="279" max="282" width="7.26953125" style="188" bestFit="1" customWidth="1"/>
    <col min="283" max="283" width="8.54296875" style="188" bestFit="1" customWidth="1"/>
    <col min="284" max="284" width="7.1796875" style="188" bestFit="1" customWidth="1"/>
    <col min="285" max="285" width="3.1796875" style="188" customWidth="1"/>
    <col min="286" max="289" width="21.81640625" style="188" bestFit="1" customWidth="1"/>
    <col min="290" max="290" width="9.81640625" style="188" customWidth="1"/>
    <col min="291" max="291" width="23.7265625" style="188" bestFit="1" customWidth="1"/>
    <col min="292" max="292" width="20.81640625" style="188" customWidth="1"/>
    <col min="293" max="512" width="9.1796875" style="188"/>
    <col min="513" max="513" width="10" style="188" customWidth="1"/>
    <col min="514" max="514" width="10.26953125" style="188" bestFit="1" customWidth="1"/>
    <col min="515" max="515" width="19.54296875" style="188" customWidth="1"/>
    <col min="516" max="516" width="11.1796875" style="188" customWidth="1"/>
    <col min="517" max="517" width="12.1796875" style="188" customWidth="1"/>
    <col min="518" max="518" width="9.54296875" style="188" bestFit="1" customWidth="1"/>
    <col min="519" max="519" width="40" style="188" bestFit="1" customWidth="1"/>
    <col min="520" max="520" width="9.1796875" style="188"/>
    <col min="521" max="522" width="14.453125" style="188" customWidth="1"/>
    <col min="523" max="523" width="12.54296875" style="188" customWidth="1"/>
    <col min="524" max="524" width="14.453125" style="188" customWidth="1"/>
    <col min="525" max="525" width="17.54296875" style="188" customWidth="1"/>
    <col min="526" max="526" width="25.7265625" style="188" customWidth="1"/>
    <col min="527" max="528" width="14" style="188" customWidth="1"/>
    <col min="529" max="529" width="15.81640625" style="188" customWidth="1"/>
    <col min="530" max="530" width="38.26953125" style="188" customWidth="1"/>
    <col min="531" max="531" width="22.54296875" style="188" bestFit="1" customWidth="1"/>
    <col min="532" max="532" width="1.81640625" style="188" customWidth="1"/>
    <col min="533" max="533" width="14.54296875" style="188" customWidth="1"/>
    <col min="534" max="534" width="1.81640625" style="188" customWidth="1"/>
    <col min="535" max="538" width="7.26953125" style="188" bestFit="1" customWidth="1"/>
    <col min="539" max="539" width="8.54296875" style="188" bestFit="1" customWidth="1"/>
    <col min="540" max="540" width="7.1796875" style="188" bestFit="1" customWidth="1"/>
    <col min="541" max="541" width="3.1796875" style="188" customWidth="1"/>
    <col min="542" max="545" width="21.81640625" style="188" bestFit="1" customWidth="1"/>
    <col min="546" max="546" width="9.81640625" style="188" customWidth="1"/>
    <col min="547" max="547" width="23.7265625" style="188" bestFit="1" customWidth="1"/>
    <col min="548" max="548" width="20.81640625" style="188" customWidth="1"/>
    <col min="549" max="768" width="9.1796875" style="188"/>
    <col min="769" max="769" width="10" style="188" customWidth="1"/>
    <col min="770" max="770" width="10.26953125" style="188" bestFit="1" customWidth="1"/>
    <col min="771" max="771" width="19.54296875" style="188" customWidth="1"/>
    <col min="772" max="772" width="11.1796875" style="188" customWidth="1"/>
    <col min="773" max="773" width="12.1796875" style="188" customWidth="1"/>
    <col min="774" max="774" width="9.54296875" style="188" bestFit="1" customWidth="1"/>
    <col min="775" max="775" width="40" style="188" bestFit="1" customWidth="1"/>
    <col min="776" max="776" width="9.1796875" style="188"/>
    <col min="777" max="778" width="14.453125" style="188" customWidth="1"/>
    <col min="779" max="779" width="12.54296875" style="188" customWidth="1"/>
    <col min="780" max="780" width="14.453125" style="188" customWidth="1"/>
    <col min="781" max="781" width="17.54296875" style="188" customWidth="1"/>
    <col min="782" max="782" width="25.7265625" style="188" customWidth="1"/>
    <col min="783" max="784" width="14" style="188" customWidth="1"/>
    <col min="785" max="785" width="15.81640625" style="188" customWidth="1"/>
    <col min="786" max="786" width="38.26953125" style="188" customWidth="1"/>
    <col min="787" max="787" width="22.54296875" style="188" bestFit="1" customWidth="1"/>
    <col min="788" max="788" width="1.81640625" style="188" customWidth="1"/>
    <col min="789" max="789" width="14.54296875" style="188" customWidth="1"/>
    <col min="790" max="790" width="1.81640625" style="188" customWidth="1"/>
    <col min="791" max="794" width="7.26953125" style="188" bestFit="1" customWidth="1"/>
    <col min="795" max="795" width="8.54296875" style="188" bestFit="1" customWidth="1"/>
    <col min="796" max="796" width="7.1796875" style="188" bestFit="1" customWidth="1"/>
    <col min="797" max="797" width="3.1796875" style="188" customWidth="1"/>
    <col min="798" max="801" width="21.81640625" style="188" bestFit="1" customWidth="1"/>
    <col min="802" max="802" width="9.81640625" style="188" customWidth="1"/>
    <col min="803" max="803" width="23.7265625" style="188" bestFit="1" customWidth="1"/>
    <col min="804" max="804" width="20.81640625" style="188" customWidth="1"/>
    <col min="805" max="1024" width="9.1796875" style="188"/>
    <col min="1025" max="1025" width="10" style="188" customWidth="1"/>
    <col min="1026" max="1026" width="10.26953125" style="188" bestFit="1" customWidth="1"/>
    <col min="1027" max="1027" width="19.54296875" style="188" customWidth="1"/>
    <col min="1028" max="1028" width="11.1796875" style="188" customWidth="1"/>
    <col min="1029" max="1029" width="12.1796875" style="188" customWidth="1"/>
    <col min="1030" max="1030" width="9.54296875" style="188" bestFit="1" customWidth="1"/>
    <col min="1031" max="1031" width="40" style="188" bestFit="1" customWidth="1"/>
    <col min="1032" max="1032" width="9.1796875" style="188"/>
    <col min="1033" max="1034" width="14.453125" style="188" customWidth="1"/>
    <col min="1035" max="1035" width="12.54296875" style="188" customWidth="1"/>
    <col min="1036" max="1036" width="14.453125" style="188" customWidth="1"/>
    <col min="1037" max="1037" width="17.54296875" style="188" customWidth="1"/>
    <col min="1038" max="1038" width="25.7265625" style="188" customWidth="1"/>
    <col min="1039" max="1040" width="14" style="188" customWidth="1"/>
    <col min="1041" max="1041" width="15.81640625" style="188" customWidth="1"/>
    <col min="1042" max="1042" width="38.26953125" style="188" customWidth="1"/>
    <col min="1043" max="1043" width="22.54296875" style="188" bestFit="1" customWidth="1"/>
    <col min="1044" max="1044" width="1.81640625" style="188" customWidth="1"/>
    <col min="1045" max="1045" width="14.54296875" style="188" customWidth="1"/>
    <col min="1046" max="1046" width="1.81640625" style="188" customWidth="1"/>
    <col min="1047" max="1050" width="7.26953125" style="188" bestFit="1" customWidth="1"/>
    <col min="1051" max="1051" width="8.54296875" style="188" bestFit="1" customWidth="1"/>
    <col min="1052" max="1052" width="7.1796875" style="188" bestFit="1" customWidth="1"/>
    <col min="1053" max="1053" width="3.1796875" style="188" customWidth="1"/>
    <col min="1054" max="1057" width="21.81640625" style="188" bestFit="1" customWidth="1"/>
    <col min="1058" max="1058" width="9.81640625" style="188" customWidth="1"/>
    <col min="1059" max="1059" width="23.7265625" style="188" bestFit="1" customWidth="1"/>
    <col min="1060" max="1060" width="20.81640625" style="188" customWidth="1"/>
    <col min="1061" max="1280" width="9.1796875" style="188"/>
    <col min="1281" max="1281" width="10" style="188" customWidth="1"/>
    <col min="1282" max="1282" width="10.26953125" style="188" bestFit="1" customWidth="1"/>
    <col min="1283" max="1283" width="19.54296875" style="188" customWidth="1"/>
    <col min="1284" max="1284" width="11.1796875" style="188" customWidth="1"/>
    <col min="1285" max="1285" width="12.1796875" style="188" customWidth="1"/>
    <col min="1286" max="1286" width="9.54296875" style="188" bestFit="1" customWidth="1"/>
    <col min="1287" max="1287" width="40" style="188" bestFit="1" customWidth="1"/>
    <col min="1288" max="1288" width="9.1796875" style="188"/>
    <col min="1289" max="1290" width="14.453125" style="188" customWidth="1"/>
    <col min="1291" max="1291" width="12.54296875" style="188" customWidth="1"/>
    <col min="1292" max="1292" width="14.453125" style="188" customWidth="1"/>
    <col min="1293" max="1293" width="17.54296875" style="188" customWidth="1"/>
    <col min="1294" max="1294" width="25.7265625" style="188" customWidth="1"/>
    <col min="1295" max="1296" width="14" style="188" customWidth="1"/>
    <col min="1297" max="1297" width="15.81640625" style="188" customWidth="1"/>
    <col min="1298" max="1298" width="38.26953125" style="188" customWidth="1"/>
    <col min="1299" max="1299" width="22.54296875" style="188" bestFit="1" customWidth="1"/>
    <col min="1300" max="1300" width="1.81640625" style="188" customWidth="1"/>
    <col min="1301" max="1301" width="14.54296875" style="188" customWidth="1"/>
    <col min="1302" max="1302" width="1.81640625" style="188" customWidth="1"/>
    <col min="1303" max="1306" width="7.26953125" style="188" bestFit="1" customWidth="1"/>
    <col min="1307" max="1307" width="8.54296875" style="188" bestFit="1" customWidth="1"/>
    <col min="1308" max="1308" width="7.1796875" style="188" bestFit="1" customWidth="1"/>
    <col min="1309" max="1309" width="3.1796875" style="188" customWidth="1"/>
    <col min="1310" max="1313" width="21.81640625" style="188" bestFit="1" customWidth="1"/>
    <col min="1314" max="1314" width="9.81640625" style="188" customWidth="1"/>
    <col min="1315" max="1315" width="23.7265625" style="188" bestFit="1" customWidth="1"/>
    <col min="1316" max="1316" width="20.81640625" style="188" customWidth="1"/>
    <col min="1317" max="1536" width="9.1796875" style="188"/>
    <col min="1537" max="1537" width="10" style="188" customWidth="1"/>
    <col min="1538" max="1538" width="10.26953125" style="188" bestFit="1" customWidth="1"/>
    <col min="1539" max="1539" width="19.54296875" style="188" customWidth="1"/>
    <col min="1540" max="1540" width="11.1796875" style="188" customWidth="1"/>
    <col min="1541" max="1541" width="12.1796875" style="188" customWidth="1"/>
    <col min="1542" max="1542" width="9.54296875" style="188" bestFit="1" customWidth="1"/>
    <col min="1543" max="1543" width="40" style="188" bestFit="1" customWidth="1"/>
    <col min="1544" max="1544" width="9.1796875" style="188"/>
    <col min="1545" max="1546" width="14.453125" style="188" customWidth="1"/>
    <col min="1547" max="1547" width="12.54296875" style="188" customWidth="1"/>
    <col min="1548" max="1548" width="14.453125" style="188" customWidth="1"/>
    <col min="1549" max="1549" width="17.54296875" style="188" customWidth="1"/>
    <col min="1550" max="1550" width="25.7265625" style="188" customWidth="1"/>
    <col min="1551" max="1552" width="14" style="188" customWidth="1"/>
    <col min="1553" max="1553" width="15.81640625" style="188" customWidth="1"/>
    <col min="1554" max="1554" width="38.26953125" style="188" customWidth="1"/>
    <col min="1555" max="1555" width="22.54296875" style="188" bestFit="1" customWidth="1"/>
    <col min="1556" max="1556" width="1.81640625" style="188" customWidth="1"/>
    <col min="1557" max="1557" width="14.54296875" style="188" customWidth="1"/>
    <col min="1558" max="1558" width="1.81640625" style="188" customWidth="1"/>
    <col min="1559" max="1562" width="7.26953125" style="188" bestFit="1" customWidth="1"/>
    <col min="1563" max="1563" width="8.54296875" style="188" bestFit="1" customWidth="1"/>
    <col min="1564" max="1564" width="7.1796875" style="188" bestFit="1" customWidth="1"/>
    <col min="1565" max="1565" width="3.1796875" style="188" customWidth="1"/>
    <col min="1566" max="1569" width="21.81640625" style="188" bestFit="1" customWidth="1"/>
    <col min="1570" max="1570" width="9.81640625" style="188" customWidth="1"/>
    <col min="1571" max="1571" width="23.7265625" style="188" bestFit="1" customWidth="1"/>
    <col min="1572" max="1572" width="20.81640625" style="188" customWidth="1"/>
    <col min="1573" max="1792" width="9.1796875" style="188"/>
    <col min="1793" max="1793" width="10" style="188" customWidth="1"/>
    <col min="1794" max="1794" width="10.26953125" style="188" bestFit="1" customWidth="1"/>
    <col min="1795" max="1795" width="19.54296875" style="188" customWidth="1"/>
    <col min="1796" max="1796" width="11.1796875" style="188" customWidth="1"/>
    <col min="1797" max="1797" width="12.1796875" style="188" customWidth="1"/>
    <col min="1798" max="1798" width="9.54296875" style="188" bestFit="1" customWidth="1"/>
    <col min="1799" max="1799" width="40" style="188" bestFit="1" customWidth="1"/>
    <col min="1800" max="1800" width="9.1796875" style="188"/>
    <col min="1801" max="1802" width="14.453125" style="188" customWidth="1"/>
    <col min="1803" max="1803" width="12.54296875" style="188" customWidth="1"/>
    <col min="1804" max="1804" width="14.453125" style="188" customWidth="1"/>
    <col min="1805" max="1805" width="17.54296875" style="188" customWidth="1"/>
    <col min="1806" max="1806" width="25.7265625" style="188" customWidth="1"/>
    <col min="1807" max="1808" width="14" style="188" customWidth="1"/>
    <col min="1809" max="1809" width="15.81640625" style="188" customWidth="1"/>
    <col min="1810" max="1810" width="38.26953125" style="188" customWidth="1"/>
    <col min="1811" max="1811" width="22.54296875" style="188" bestFit="1" customWidth="1"/>
    <col min="1812" max="1812" width="1.81640625" style="188" customWidth="1"/>
    <col min="1813" max="1813" width="14.54296875" style="188" customWidth="1"/>
    <col min="1814" max="1814" width="1.81640625" style="188" customWidth="1"/>
    <col min="1815" max="1818" width="7.26953125" style="188" bestFit="1" customWidth="1"/>
    <col min="1819" max="1819" width="8.54296875" style="188" bestFit="1" customWidth="1"/>
    <col min="1820" max="1820" width="7.1796875" style="188" bestFit="1" customWidth="1"/>
    <col min="1821" max="1821" width="3.1796875" style="188" customWidth="1"/>
    <col min="1822" max="1825" width="21.81640625" style="188" bestFit="1" customWidth="1"/>
    <col min="1826" max="1826" width="9.81640625" style="188" customWidth="1"/>
    <col min="1827" max="1827" width="23.7265625" style="188" bestFit="1" customWidth="1"/>
    <col min="1828" max="1828" width="20.81640625" style="188" customWidth="1"/>
    <col min="1829" max="2048" width="9.1796875" style="188"/>
    <col min="2049" max="2049" width="10" style="188" customWidth="1"/>
    <col min="2050" max="2050" width="10.26953125" style="188" bestFit="1" customWidth="1"/>
    <col min="2051" max="2051" width="19.54296875" style="188" customWidth="1"/>
    <col min="2052" max="2052" width="11.1796875" style="188" customWidth="1"/>
    <col min="2053" max="2053" width="12.1796875" style="188" customWidth="1"/>
    <col min="2054" max="2054" width="9.54296875" style="188" bestFit="1" customWidth="1"/>
    <col min="2055" max="2055" width="40" style="188" bestFit="1" customWidth="1"/>
    <col min="2056" max="2056" width="9.1796875" style="188"/>
    <col min="2057" max="2058" width="14.453125" style="188" customWidth="1"/>
    <col min="2059" max="2059" width="12.54296875" style="188" customWidth="1"/>
    <col min="2060" max="2060" width="14.453125" style="188" customWidth="1"/>
    <col min="2061" max="2061" width="17.54296875" style="188" customWidth="1"/>
    <col min="2062" max="2062" width="25.7265625" style="188" customWidth="1"/>
    <col min="2063" max="2064" width="14" style="188" customWidth="1"/>
    <col min="2065" max="2065" width="15.81640625" style="188" customWidth="1"/>
    <col min="2066" max="2066" width="38.26953125" style="188" customWidth="1"/>
    <col min="2067" max="2067" width="22.54296875" style="188" bestFit="1" customWidth="1"/>
    <col min="2068" max="2068" width="1.81640625" style="188" customWidth="1"/>
    <col min="2069" max="2069" width="14.54296875" style="188" customWidth="1"/>
    <col min="2070" max="2070" width="1.81640625" style="188" customWidth="1"/>
    <col min="2071" max="2074" width="7.26953125" style="188" bestFit="1" customWidth="1"/>
    <col min="2075" max="2075" width="8.54296875" style="188" bestFit="1" customWidth="1"/>
    <col min="2076" max="2076" width="7.1796875" style="188" bestFit="1" customWidth="1"/>
    <col min="2077" max="2077" width="3.1796875" style="188" customWidth="1"/>
    <col min="2078" max="2081" width="21.81640625" style="188" bestFit="1" customWidth="1"/>
    <col min="2082" max="2082" width="9.81640625" style="188" customWidth="1"/>
    <col min="2083" max="2083" width="23.7265625" style="188" bestFit="1" customWidth="1"/>
    <col min="2084" max="2084" width="20.81640625" style="188" customWidth="1"/>
    <col min="2085" max="2304" width="9.1796875" style="188"/>
    <col min="2305" max="2305" width="10" style="188" customWidth="1"/>
    <col min="2306" max="2306" width="10.26953125" style="188" bestFit="1" customWidth="1"/>
    <col min="2307" max="2307" width="19.54296875" style="188" customWidth="1"/>
    <col min="2308" max="2308" width="11.1796875" style="188" customWidth="1"/>
    <col min="2309" max="2309" width="12.1796875" style="188" customWidth="1"/>
    <col min="2310" max="2310" width="9.54296875" style="188" bestFit="1" customWidth="1"/>
    <col min="2311" max="2311" width="40" style="188" bestFit="1" customWidth="1"/>
    <col min="2312" max="2312" width="9.1796875" style="188"/>
    <col min="2313" max="2314" width="14.453125" style="188" customWidth="1"/>
    <col min="2315" max="2315" width="12.54296875" style="188" customWidth="1"/>
    <col min="2316" max="2316" width="14.453125" style="188" customWidth="1"/>
    <col min="2317" max="2317" width="17.54296875" style="188" customWidth="1"/>
    <col min="2318" max="2318" width="25.7265625" style="188" customWidth="1"/>
    <col min="2319" max="2320" width="14" style="188" customWidth="1"/>
    <col min="2321" max="2321" width="15.81640625" style="188" customWidth="1"/>
    <col min="2322" max="2322" width="38.26953125" style="188" customWidth="1"/>
    <col min="2323" max="2323" width="22.54296875" style="188" bestFit="1" customWidth="1"/>
    <col min="2324" max="2324" width="1.81640625" style="188" customWidth="1"/>
    <col min="2325" max="2325" width="14.54296875" style="188" customWidth="1"/>
    <col min="2326" max="2326" width="1.81640625" style="188" customWidth="1"/>
    <col min="2327" max="2330" width="7.26953125" style="188" bestFit="1" customWidth="1"/>
    <col min="2331" max="2331" width="8.54296875" style="188" bestFit="1" customWidth="1"/>
    <col min="2332" max="2332" width="7.1796875" style="188" bestFit="1" customWidth="1"/>
    <col min="2333" max="2333" width="3.1796875" style="188" customWidth="1"/>
    <col min="2334" max="2337" width="21.81640625" style="188" bestFit="1" customWidth="1"/>
    <col min="2338" max="2338" width="9.81640625" style="188" customWidth="1"/>
    <col min="2339" max="2339" width="23.7265625" style="188" bestFit="1" customWidth="1"/>
    <col min="2340" max="2340" width="20.81640625" style="188" customWidth="1"/>
    <col min="2341" max="2560" width="9.1796875" style="188"/>
    <col min="2561" max="2561" width="10" style="188" customWidth="1"/>
    <col min="2562" max="2562" width="10.26953125" style="188" bestFit="1" customWidth="1"/>
    <col min="2563" max="2563" width="19.54296875" style="188" customWidth="1"/>
    <col min="2564" max="2564" width="11.1796875" style="188" customWidth="1"/>
    <col min="2565" max="2565" width="12.1796875" style="188" customWidth="1"/>
    <col min="2566" max="2566" width="9.54296875" style="188" bestFit="1" customWidth="1"/>
    <col min="2567" max="2567" width="40" style="188" bestFit="1" customWidth="1"/>
    <col min="2568" max="2568" width="9.1796875" style="188"/>
    <col min="2569" max="2570" width="14.453125" style="188" customWidth="1"/>
    <col min="2571" max="2571" width="12.54296875" style="188" customWidth="1"/>
    <col min="2572" max="2572" width="14.453125" style="188" customWidth="1"/>
    <col min="2573" max="2573" width="17.54296875" style="188" customWidth="1"/>
    <col min="2574" max="2574" width="25.7265625" style="188" customWidth="1"/>
    <col min="2575" max="2576" width="14" style="188" customWidth="1"/>
    <col min="2577" max="2577" width="15.81640625" style="188" customWidth="1"/>
    <col min="2578" max="2578" width="38.26953125" style="188" customWidth="1"/>
    <col min="2579" max="2579" width="22.54296875" style="188" bestFit="1" customWidth="1"/>
    <col min="2580" max="2580" width="1.81640625" style="188" customWidth="1"/>
    <col min="2581" max="2581" width="14.54296875" style="188" customWidth="1"/>
    <col min="2582" max="2582" width="1.81640625" style="188" customWidth="1"/>
    <col min="2583" max="2586" width="7.26953125" style="188" bestFit="1" customWidth="1"/>
    <col min="2587" max="2587" width="8.54296875" style="188" bestFit="1" customWidth="1"/>
    <col min="2588" max="2588" width="7.1796875" style="188" bestFit="1" customWidth="1"/>
    <col min="2589" max="2589" width="3.1796875" style="188" customWidth="1"/>
    <col min="2590" max="2593" width="21.81640625" style="188" bestFit="1" customWidth="1"/>
    <col min="2594" max="2594" width="9.81640625" style="188" customWidth="1"/>
    <col min="2595" max="2595" width="23.7265625" style="188" bestFit="1" customWidth="1"/>
    <col min="2596" max="2596" width="20.81640625" style="188" customWidth="1"/>
    <col min="2597" max="2816" width="9.1796875" style="188"/>
    <col min="2817" max="2817" width="10" style="188" customWidth="1"/>
    <col min="2818" max="2818" width="10.26953125" style="188" bestFit="1" customWidth="1"/>
    <col min="2819" max="2819" width="19.54296875" style="188" customWidth="1"/>
    <col min="2820" max="2820" width="11.1796875" style="188" customWidth="1"/>
    <col min="2821" max="2821" width="12.1796875" style="188" customWidth="1"/>
    <col min="2822" max="2822" width="9.54296875" style="188" bestFit="1" customWidth="1"/>
    <col min="2823" max="2823" width="40" style="188" bestFit="1" customWidth="1"/>
    <col min="2824" max="2824" width="9.1796875" style="188"/>
    <col min="2825" max="2826" width="14.453125" style="188" customWidth="1"/>
    <col min="2827" max="2827" width="12.54296875" style="188" customWidth="1"/>
    <col min="2828" max="2828" width="14.453125" style="188" customWidth="1"/>
    <col min="2829" max="2829" width="17.54296875" style="188" customWidth="1"/>
    <col min="2830" max="2830" width="25.7265625" style="188" customWidth="1"/>
    <col min="2831" max="2832" width="14" style="188" customWidth="1"/>
    <col min="2833" max="2833" width="15.81640625" style="188" customWidth="1"/>
    <col min="2834" max="2834" width="38.26953125" style="188" customWidth="1"/>
    <col min="2835" max="2835" width="22.54296875" style="188" bestFit="1" customWidth="1"/>
    <col min="2836" max="2836" width="1.81640625" style="188" customWidth="1"/>
    <col min="2837" max="2837" width="14.54296875" style="188" customWidth="1"/>
    <col min="2838" max="2838" width="1.81640625" style="188" customWidth="1"/>
    <col min="2839" max="2842" width="7.26953125" style="188" bestFit="1" customWidth="1"/>
    <col min="2843" max="2843" width="8.54296875" style="188" bestFit="1" customWidth="1"/>
    <col min="2844" max="2844" width="7.1796875" style="188" bestFit="1" customWidth="1"/>
    <col min="2845" max="2845" width="3.1796875" style="188" customWidth="1"/>
    <col min="2846" max="2849" width="21.81640625" style="188" bestFit="1" customWidth="1"/>
    <col min="2850" max="2850" width="9.81640625" style="188" customWidth="1"/>
    <col min="2851" max="2851" width="23.7265625" style="188" bestFit="1" customWidth="1"/>
    <col min="2852" max="2852" width="20.81640625" style="188" customWidth="1"/>
    <col min="2853" max="3072" width="9.1796875" style="188"/>
    <col min="3073" max="3073" width="10" style="188" customWidth="1"/>
    <col min="3074" max="3074" width="10.26953125" style="188" bestFit="1" customWidth="1"/>
    <col min="3075" max="3075" width="19.54296875" style="188" customWidth="1"/>
    <col min="3076" max="3076" width="11.1796875" style="188" customWidth="1"/>
    <col min="3077" max="3077" width="12.1796875" style="188" customWidth="1"/>
    <col min="3078" max="3078" width="9.54296875" style="188" bestFit="1" customWidth="1"/>
    <col min="3079" max="3079" width="40" style="188" bestFit="1" customWidth="1"/>
    <col min="3080" max="3080" width="9.1796875" style="188"/>
    <col min="3081" max="3082" width="14.453125" style="188" customWidth="1"/>
    <col min="3083" max="3083" width="12.54296875" style="188" customWidth="1"/>
    <col min="3084" max="3084" width="14.453125" style="188" customWidth="1"/>
    <col min="3085" max="3085" width="17.54296875" style="188" customWidth="1"/>
    <col min="3086" max="3086" width="25.7265625" style="188" customWidth="1"/>
    <col min="3087" max="3088" width="14" style="188" customWidth="1"/>
    <col min="3089" max="3089" width="15.81640625" style="188" customWidth="1"/>
    <col min="3090" max="3090" width="38.26953125" style="188" customWidth="1"/>
    <col min="3091" max="3091" width="22.54296875" style="188" bestFit="1" customWidth="1"/>
    <col min="3092" max="3092" width="1.81640625" style="188" customWidth="1"/>
    <col min="3093" max="3093" width="14.54296875" style="188" customWidth="1"/>
    <col min="3094" max="3094" width="1.81640625" style="188" customWidth="1"/>
    <col min="3095" max="3098" width="7.26953125" style="188" bestFit="1" customWidth="1"/>
    <col min="3099" max="3099" width="8.54296875" style="188" bestFit="1" customWidth="1"/>
    <col min="3100" max="3100" width="7.1796875" style="188" bestFit="1" customWidth="1"/>
    <col min="3101" max="3101" width="3.1796875" style="188" customWidth="1"/>
    <col min="3102" max="3105" width="21.81640625" style="188" bestFit="1" customWidth="1"/>
    <col min="3106" max="3106" width="9.81640625" style="188" customWidth="1"/>
    <col min="3107" max="3107" width="23.7265625" style="188" bestFit="1" customWidth="1"/>
    <col min="3108" max="3108" width="20.81640625" style="188" customWidth="1"/>
    <col min="3109" max="3328" width="9.1796875" style="188"/>
    <col min="3329" max="3329" width="10" style="188" customWidth="1"/>
    <col min="3330" max="3330" width="10.26953125" style="188" bestFit="1" customWidth="1"/>
    <col min="3331" max="3331" width="19.54296875" style="188" customWidth="1"/>
    <col min="3332" max="3332" width="11.1796875" style="188" customWidth="1"/>
    <col min="3333" max="3333" width="12.1796875" style="188" customWidth="1"/>
    <col min="3334" max="3334" width="9.54296875" style="188" bestFit="1" customWidth="1"/>
    <col min="3335" max="3335" width="40" style="188" bestFit="1" customWidth="1"/>
    <col min="3336" max="3336" width="9.1796875" style="188"/>
    <col min="3337" max="3338" width="14.453125" style="188" customWidth="1"/>
    <col min="3339" max="3339" width="12.54296875" style="188" customWidth="1"/>
    <col min="3340" max="3340" width="14.453125" style="188" customWidth="1"/>
    <col min="3341" max="3341" width="17.54296875" style="188" customWidth="1"/>
    <col min="3342" max="3342" width="25.7265625" style="188" customWidth="1"/>
    <col min="3343" max="3344" width="14" style="188" customWidth="1"/>
    <col min="3345" max="3345" width="15.81640625" style="188" customWidth="1"/>
    <col min="3346" max="3346" width="38.26953125" style="188" customWidth="1"/>
    <col min="3347" max="3347" width="22.54296875" style="188" bestFit="1" customWidth="1"/>
    <col min="3348" max="3348" width="1.81640625" style="188" customWidth="1"/>
    <col min="3349" max="3349" width="14.54296875" style="188" customWidth="1"/>
    <col min="3350" max="3350" width="1.81640625" style="188" customWidth="1"/>
    <col min="3351" max="3354" width="7.26953125" style="188" bestFit="1" customWidth="1"/>
    <col min="3355" max="3355" width="8.54296875" style="188" bestFit="1" customWidth="1"/>
    <col min="3356" max="3356" width="7.1796875" style="188" bestFit="1" customWidth="1"/>
    <col min="3357" max="3357" width="3.1796875" style="188" customWidth="1"/>
    <col min="3358" max="3361" width="21.81640625" style="188" bestFit="1" customWidth="1"/>
    <col min="3362" max="3362" width="9.81640625" style="188" customWidth="1"/>
    <col min="3363" max="3363" width="23.7265625" style="188" bestFit="1" customWidth="1"/>
    <col min="3364" max="3364" width="20.81640625" style="188" customWidth="1"/>
    <col min="3365" max="3584" width="9.1796875" style="188"/>
    <col min="3585" max="3585" width="10" style="188" customWidth="1"/>
    <col min="3586" max="3586" width="10.26953125" style="188" bestFit="1" customWidth="1"/>
    <col min="3587" max="3587" width="19.54296875" style="188" customWidth="1"/>
    <col min="3588" max="3588" width="11.1796875" style="188" customWidth="1"/>
    <col min="3589" max="3589" width="12.1796875" style="188" customWidth="1"/>
    <col min="3590" max="3590" width="9.54296875" style="188" bestFit="1" customWidth="1"/>
    <col min="3591" max="3591" width="40" style="188" bestFit="1" customWidth="1"/>
    <col min="3592" max="3592" width="9.1796875" style="188"/>
    <col min="3593" max="3594" width="14.453125" style="188" customWidth="1"/>
    <col min="3595" max="3595" width="12.54296875" style="188" customWidth="1"/>
    <col min="3596" max="3596" width="14.453125" style="188" customWidth="1"/>
    <col min="3597" max="3597" width="17.54296875" style="188" customWidth="1"/>
    <col min="3598" max="3598" width="25.7265625" style="188" customWidth="1"/>
    <col min="3599" max="3600" width="14" style="188" customWidth="1"/>
    <col min="3601" max="3601" width="15.81640625" style="188" customWidth="1"/>
    <col min="3602" max="3602" width="38.26953125" style="188" customWidth="1"/>
    <col min="3603" max="3603" width="22.54296875" style="188" bestFit="1" customWidth="1"/>
    <col min="3604" max="3604" width="1.81640625" style="188" customWidth="1"/>
    <col min="3605" max="3605" width="14.54296875" style="188" customWidth="1"/>
    <col min="3606" max="3606" width="1.81640625" style="188" customWidth="1"/>
    <col min="3607" max="3610" width="7.26953125" style="188" bestFit="1" customWidth="1"/>
    <col min="3611" max="3611" width="8.54296875" style="188" bestFit="1" customWidth="1"/>
    <col min="3612" max="3612" width="7.1796875" style="188" bestFit="1" customWidth="1"/>
    <col min="3613" max="3613" width="3.1796875" style="188" customWidth="1"/>
    <col min="3614" max="3617" width="21.81640625" style="188" bestFit="1" customWidth="1"/>
    <col min="3618" max="3618" width="9.81640625" style="188" customWidth="1"/>
    <col min="3619" max="3619" width="23.7265625" style="188" bestFit="1" customWidth="1"/>
    <col min="3620" max="3620" width="20.81640625" style="188" customWidth="1"/>
    <col min="3621" max="3840" width="9.1796875" style="188"/>
    <col min="3841" max="3841" width="10" style="188" customWidth="1"/>
    <col min="3842" max="3842" width="10.26953125" style="188" bestFit="1" customWidth="1"/>
    <col min="3843" max="3843" width="19.54296875" style="188" customWidth="1"/>
    <col min="3844" max="3844" width="11.1796875" style="188" customWidth="1"/>
    <col min="3845" max="3845" width="12.1796875" style="188" customWidth="1"/>
    <col min="3846" max="3846" width="9.54296875" style="188" bestFit="1" customWidth="1"/>
    <col min="3847" max="3847" width="40" style="188" bestFit="1" customWidth="1"/>
    <col min="3848" max="3848" width="9.1796875" style="188"/>
    <col min="3849" max="3850" width="14.453125" style="188" customWidth="1"/>
    <col min="3851" max="3851" width="12.54296875" style="188" customWidth="1"/>
    <col min="3852" max="3852" width="14.453125" style="188" customWidth="1"/>
    <col min="3853" max="3853" width="17.54296875" style="188" customWidth="1"/>
    <col min="3854" max="3854" width="25.7265625" style="188" customWidth="1"/>
    <col min="3855" max="3856" width="14" style="188" customWidth="1"/>
    <col min="3857" max="3857" width="15.81640625" style="188" customWidth="1"/>
    <col min="3858" max="3858" width="38.26953125" style="188" customWidth="1"/>
    <col min="3859" max="3859" width="22.54296875" style="188" bestFit="1" customWidth="1"/>
    <col min="3860" max="3860" width="1.81640625" style="188" customWidth="1"/>
    <col min="3861" max="3861" width="14.54296875" style="188" customWidth="1"/>
    <col min="3862" max="3862" width="1.81640625" style="188" customWidth="1"/>
    <col min="3863" max="3866" width="7.26953125" style="188" bestFit="1" customWidth="1"/>
    <col min="3867" max="3867" width="8.54296875" style="188" bestFit="1" customWidth="1"/>
    <col min="3868" max="3868" width="7.1796875" style="188" bestFit="1" customWidth="1"/>
    <col min="3869" max="3869" width="3.1796875" style="188" customWidth="1"/>
    <col min="3870" max="3873" width="21.81640625" style="188" bestFit="1" customWidth="1"/>
    <col min="3874" max="3874" width="9.81640625" style="188" customWidth="1"/>
    <col min="3875" max="3875" width="23.7265625" style="188" bestFit="1" customWidth="1"/>
    <col min="3876" max="3876" width="20.81640625" style="188" customWidth="1"/>
    <col min="3877" max="4096" width="9.1796875" style="188"/>
    <col min="4097" max="4097" width="10" style="188" customWidth="1"/>
    <col min="4098" max="4098" width="10.26953125" style="188" bestFit="1" customWidth="1"/>
    <col min="4099" max="4099" width="19.54296875" style="188" customWidth="1"/>
    <col min="4100" max="4100" width="11.1796875" style="188" customWidth="1"/>
    <col min="4101" max="4101" width="12.1796875" style="188" customWidth="1"/>
    <col min="4102" max="4102" width="9.54296875" style="188" bestFit="1" customWidth="1"/>
    <col min="4103" max="4103" width="40" style="188" bestFit="1" customWidth="1"/>
    <col min="4104" max="4104" width="9.1796875" style="188"/>
    <col min="4105" max="4106" width="14.453125" style="188" customWidth="1"/>
    <col min="4107" max="4107" width="12.54296875" style="188" customWidth="1"/>
    <col min="4108" max="4108" width="14.453125" style="188" customWidth="1"/>
    <col min="4109" max="4109" width="17.54296875" style="188" customWidth="1"/>
    <col min="4110" max="4110" width="25.7265625" style="188" customWidth="1"/>
    <col min="4111" max="4112" width="14" style="188" customWidth="1"/>
    <col min="4113" max="4113" width="15.81640625" style="188" customWidth="1"/>
    <col min="4114" max="4114" width="38.26953125" style="188" customWidth="1"/>
    <col min="4115" max="4115" width="22.54296875" style="188" bestFit="1" customWidth="1"/>
    <col min="4116" max="4116" width="1.81640625" style="188" customWidth="1"/>
    <col min="4117" max="4117" width="14.54296875" style="188" customWidth="1"/>
    <col min="4118" max="4118" width="1.81640625" style="188" customWidth="1"/>
    <col min="4119" max="4122" width="7.26953125" style="188" bestFit="1" customWidth="1"/>
    <col min="4123" max="4123" width="8.54296875" style="188" bestFit="1" customWidth="1"/>
    <col min="4124" max="4124" width="7.1796875" style="188" bestFit="1" customWidth="1"/>
    <col min="4125" max="4125" width="3.1796875" style="188" customWidth="1"/>
    <col min="4126" max="4129" width="21.81640625" style="188" bestFit="1" customWidth="1"/>
    <col min="4130" max="4130" width="9.81640625" style="188" customWidth="1"/>
    <col min="4131" max="4131" width="23.7265625" style="188" bestFit="1" customWidth="1"/>
    <col min="4132" max="4132" width="20.81640625" style="188" customWidth="1"/>
    <col min="4133" max="4352" width="9.1796875" style="188"/>
    <col min="4353" max="4353" width="10" style="188" customWidth="1"/>
    <col min="4354" max="4354" width="10.26953125" style="188" bestFit="1" customWidth="1"/>
    <col min="4355" max="4355" width="19.54296875" style="188" customWidth="1"/>
    <col min="4356" max="4356" width="11.1796875" style="188" customWidth="1"/>
    <col min="4357" max="4357" width="12.1796875" style="188" customWidth="1"/>
    <col min="4358" max="4358" width="9.54296875" style="188" bestFit="1" customWidth="1"/>
    <col min="4359" max="4359" width="40" style="188" bestFit="1" customWidth="1"/>
    <col min="4360" max="4360" width="9.1796875" style="188"/>
    <col min="4361" max="4362" width="14.453125" style="188" customWidth="1"/>
    <col min="4363" max="4363" width="12.54296875" style="188" customWidth="1"/>
    <col min="4364" max="4364" width="14.453125" style="188" customWidth="1"/>
    <col min="4365" max="4365" width="17.54296875" style="188" customWidth="1"/>
    <col min="4366" max="4366" width="25.7265625" style="188" customWidth="1"/>
    <col min="4367" max="4368" width="14" style="188" customWidth="1"/>
    <col min="4369" max="4369" width="15.81640625" style="188" customWidth="1"/>
    <col min="4370" max="4370" width="38.26953125" style="188" customWidth="1"/>
    <col min="4371" max="4371" width="22.54296875" style="188" bestFit="1" customWidth="1"/>
    <col min="4372" max="4372" width="1.81640625" style="188" customWidth="1"/>
    <col min="4373" max="4373" width="14.54296875" style="188" customWidth="1"/>
    <col min="4374" max="4374" width="1.81640625" style="188" customWidth="1"/>
    <col min="4375" max="4378" width="7.26953125" style="188" bestFit="1" customWidth="1"/>
    <col min="4379" max="4379" width="8.54296875" style="188" bestFit="1" customWidth="1"/>
    <col min="4380" max="4380" width="7.1796875" style="188" bestFit="1" customWidth="1"/>
    <col min="4381" max="4381" width="3.1796875" style="188" customWidth="1"/>
    <col min="4382" max="4385" width="21.81640625" style="188" bestFit="1" customWidth="1"/>
    <col min="4386" max="4386" width="9.81640625" style="188" customWidth="1"/>
    <col min="4387" max="4387" width="23.7265625" style="188" bestFit="1" customWidth="1"/>
    <col min="4388" max="4388" width="20.81640625" style="188" customWidth="1"/>
    <col min="4389" max="4608" width="9.1796875" style="188"/>
    <col min="4609" max="4609" width="10" style="188" customWidth="1"/>
    <col min="4610" max="4610" width="10.26953125" style="188" bestFit="1" customWidth="1"/>
    <col min="4611" max="4611" width="19.54296875" style="188" customWidth="1"/>
    <col min="4612" max="4612" width="11.1796875" style="188" customWidth="1"/>
    <col min="4613" max="4613" width="12.1796875" style="188" customWidth="1"/>
    <col min="4614" max="4614" width="9.54296875" style="188" bestFit="1" customWidth="1"/>
    <col min="4615" max="4615" width="40" style="188" bestFit="1" customWidth="1"/>
    <col min="4616" max="4616" width="9.1796875" style="188"/>
    <col min="4617" max="4618" width="14.453125" style="188" customWidth="1"/>
    <col min="4619" max="4619" width="12.54296875" style="188" customWidth="1"/>
    <col min="4620" max="4620" width="14.453125" style="188" customWidth="1"/>
    <col min="4621" max="4621" width="17.54296875" style="188" customWidth="1"/>
    <col min="4622" max="4622" width="25.7265625" style="188" customWidth="1"/>
    <col min="4623" max="4624" width="14" style="188" customWidth="1"/>
    <col min="4625" max="4625" width="15.81640625" style="188" customWidth="1"/>
    <col min="4626" max="4626" width="38.26953125" style="188" customWidth="1"/>
    <col min="4627" max="4627" width="22.54296875" style="188" bestFit="1" customWidth="1"/>
    <col min="4628" max="4628" width="1.81640625" style="188" customWidth="1"/>
    <col min="4629" max="4629" width="14.54296875" style="188" customWidth="1"/>
    <col min="4630" max="4630" width="1.81640625" style="188" customWidth="1"/>
    <col min="4631" max="4634" width="7.26953125" style="188" bestFit="1" customWidth="1"/>
    <col min="4635" max="4635" width="8.54296875" style="188" bestFit="1" customWidth="1"/>
    <col min="4636" max="4636" width="7.1796875" style="188" bestFit="1" customWidth="1"/>
    <col min="4637" max="4637" width="3.1796875" style="188" customWidth="1"/>
    <col min="4638" max="4641" width="21.81640625" style="188" bestFit="1" customWidth="1"/>
    <col min="4642" max="4642" width="9.81640625" style="188" customWidth="1"/>
    <col min="4643" max="4643" width="23.7265625" style="188" bestFit="1" customWidth="1"/>
    <col min="4644" max="4644" width="20.81640625" style="188" customWidth="1"/>
    <col min="4645" max="4864" width="9.1796875" style="188"/>
    <col min="4865" max="4865" width="10" style="188" customWidth="1"/>
    <col min="4866" max="4866" width="10.26953125" style="188" bestFit="1" customWidth="1"/>
    <col min="4867" max="4867" width="19.54296875" style="188" customWidth="1"/>
    <col min="4868" max="4868" width="11.1796875" style="188" customWidth="1"/>
    <col min="4869" max="4869" width="12.1796875" style="188" customWidth="1"/>
    <col min="4870" max="4870" width="9.54296875" style="188" bestFit="1" customWidth="1"/>
    <col min="4871" max="4871" width="40" style="188" bestFit="1" customWidth="1"/>
    <col min="4872" max="4872" width="9.1796875" style="188"/>
    <col min="4873" max="4874" width="14.453125" style="188" customWidth="1"/>
    <col min="4875" max="4875" width="12.54296875" style="188" customWidth="1"/>
    <col min="4876" max="4876" width="14.453125" style="188" customWidth="1"/>
    <col min="4877" max="4877" width="17.54296875" style="188" customWidth="1"/>
    <col min="4878" max="4878" width="25.7265625" style="188" customWidth="1"/>
    <col min="4879" max="4880" width="14" style="188" customWidth="1"/>
    <col min="4881" max="4881" width="15.81640625" style="188" customWidth="1"/>
    <col min="4882" max="4882" width="38.26953125" style="188" customWidth="1"/>
    <col min="4883" max="4883" width="22.54296875" style="188" bestFit="1" customWidth="1"/>
    <col min="4884" max="4884" width="1.81640625" style="188" customWidth="1"/>
    <col min="4885" max="4885" width="14.54296875" style="188" customWidth="1"/>
    <col min="4886" max="4886" width="1.81640625" style="188" customWidth="1"/>
    <col min="4887" max="4890" width="7.26953125" style="188" bestFit="1" customWidth="1"/>
    <col min="4891" max="4891" width="8.54296875" style="188" bestFit="1" customWidth="1"/>
    <col min="4892" max="4892" width="7.1796875" style="188" bestFit="1" customWidth="1"/>
    <col min="4893" max="4893" width="3.1796875" style="188" customWidth="1"/>
    <col min="4894" max="4897" width="21.81640625" style="188" bestFit="1" customWidth="1"/>
    <col min="4898" max="4898" width="9.81640625" style="188" customWidth="1"/>
    <col min="4899" max="4899" width="23.7265625" style="188" bestFit="1" customWidth="1"/>
    <col min="4900" max="4900" width="20.81640625" style="188" customWidth="1"/>
    <col min="4901" max="5120" width="9.1796875" style="188"/>
    <col min="5121" max="5121" width="10" style="188" customWidth="1"/>
    <col min="5122" max="5122" width="10.26953125" style="188" bestFit="1" customWidth="1"/>
    <col min="5123" max="5123" width="19.54296875" style="188" customWidth="1"/>
    <col min="5124" max="5124" width="11.1796875" style="188" customWidth="1"/>
    <col min="5125" max="5125" width="12.1796875" style="188" customWidth="1"/>
    <col min="5126" max="5126" width="9.54296875" style="188" bestFit="1" customWidth="1"/>
    <col min="5127" max="5127" width="40" style="188" bestFit="1" customWidth="1"/>
    <col min="5128" max="5128" width="9.1796875" style="188"/>
    <col min="5129" max="5130" width="14.453125" style="188" customWidth="1"/>
    <col min="5131" max="5131" width="12.54296875" style="188" customWidth="1"/>
    <col min="5132" max="5132" width="14.453125" style="188" customWidth="1"/>
    <col min="5133" max="5133" width="17.54296875" style="188" customWidth="1"/>
    <col min="5134" max="5134" width="25.7265625" style="188" customWidth="1"/>
    <col min="5135" max="5136" width="14" style="188" customWidth="1"/>
    <col min="5137" max="5137" width="15.81640625" style="188" customWidth="1"/>
    <col min="5138" max="5138" width="38.26953125" style="188" customWidth="1"/>
    <col min="5139" max="5139" width="22.54296875" style="188" bestFit="1" customWidth="1"/>
    <col min="5140" max="5140" width="1.81640625" style="188" customWidth="1"/>
    <col min="5141" max="5141" width="14.54296875" style="188" customWidth="1"/>
    <col min="5142" max="5142" width="1.81640625" style="188" customWidth="1"/>
    <col min="5143" max="5146" width="7.26953125" style="188" bestFit="1" customWidth="1"/>
    <col min="5147" max="5147" width="8.54296875" style="188" bestFit="1" customWidth="1"/>
    <col min="5148" max="5148" width="7.1796875" style="188" bestFit="1" customWidth="1"/>
    <col min="5149" max="5149" width="3.1796875" style="188" customWidth="1"/>
    <col min="5150" max="5153" width="21.81640625" style="188" bestFit="1" customWidth="1"/>
    <col min="5154" max="5154" width="9.81640625" style="188" customWidth="1"/>
    <col min="5155" max="5155" width="23.7265625" style="188" bestFit="1" customWidth="1"/>
    <col min="5156" max="5156" width="20.81640625" style="188" customWidth="1"/>
    <col min="5157" max="5376" width="9.1796875" style="188"/>
    <col min="5377" max="5377" width="10" style="188" customWidth="1"/>
    <col min="5378" max="5378" width="10.26953125" style="188" bestFit="1" customWidth="1"/>
    <col min="5379" max="5379" width="19.54296875" style="188" customWidth="1"/>
    <col min="5380" max="5380" width="11.1796875" style="188" customWidth="1"/>
    <col min="5381" max="5381" width="12.1796875" style="188" customWidth="1"/>
    <col min="5382" max="5382" width="9.54296875" style="188" bestFit="1" customWidth="1"/>
    <col min="5383" max="5383" width="40" style="188" bestFit="1" customWidth="1"/>
    <col min="5384" max="5384" width="9.1796875" style="188"/>
    <col min="5385" max="5386" width="14.453125" style="188" customWidth="1"/>
    <col min="5387" max="5387" width="12.54296875" style="188" customWidth="1"/>
    <col min="5388" max="5388" width="14.453125" style="188" customWidth="1"/>
    <col min="5389" max="5389" width="17.54296875" style="188" customWidth="1"/>
    <col min="5390" max="5390" width="25.7265625" style="188" customWidth="1"/>
    <col min="5391" max="5392" width="14" style="188" customWidth="1"/>
    <col min="5393" max="5393" width="15.81640625" style="188" customWidth="1"/>
    <col min="5394" max="5394" width="38.26953125" style="188" customWidth="1"/>
    <col min="5395" max="5395" width="22.54296875" style="188" bestFit="1" customWidth="1"/>
    <col min="5396" max="5396" width="1.81640625" style="188" customWidth="1"/>
    <col min="5397" max="5397" width="14.54296875" style="188" customWidth="1"/>
    <col min="5398" max="5398" width="1.81640625" style="188" customWidth="1"/>
    <col min="5399" max="5402" width="7.26953125" style="188" bestFit="1" customWidth="1"/>
    <col min="5403" max="5403" width="8.54296875" style="188" bestFit="1" customWidth="1"/>
    <col min="5404" max="5404" width="7.1796875" style="188" bestFit="1" customWidth="1"/>
    <col min="5405" max="5405" width="3.1796875" style="188" customWidth="1"/>
    <col min="5406" max="5409" width="21.81640625" style="188" bestFit="1" customWidth="1"/>
    <col min="5410" max="5410" width="9.81640625" style="188" customWidth="1"/>
    <col min="5411" max="5411" width="23.7265625" style="188" bestFit="1" customWidth="1"/>
    <col min="5412" max="5412" width="20.81640625" style="188" customWidth="1"/>
    <col min="5413" max="5632" width="9.1796875" style="188"/>
    <col min="5633" max="5633" width="10" style="188" customWidth="1"/>
    <col min="5634" max="5634" width="10.26953125" style="188" bestFit="1" customWidth="1"/>
    <col min="5635" max="5635" width="19.54296875" style="188" customWidth="1"/>
    <col min="5636" max="5636" width="11.1796875" style="188" customWidth="1"/>
    <col min="5637" max="5637" width="12.1796875" style="188" customWidth="1"/>
    <col min="5638" max="5638" width="9.54296875" style="188" bestFit="1" customWidth="1"/>
    <col min="5639" max="5639" width="40" style="188" bestFit="1" customWidth="1"/>
    <col min="5640" max="5640" width="9.1796875" style="188"/>
    <col min="5641" max="5642" width="14.453125" style="188" customWidth="1"/>
    <col min="5643" max="5643" width="12.54296875" style="188" customWidth="1"/>
    <col min="5644" max="5644" width="14.453125" style="188" customWidth="1"/>
    <col min="5645" max="5645" width="17.54296875" style="188" customWidth="1"/>
    <col min="5646" max="5646" width="25.7265625" style="188" customWidth="1"/>
    <col min="5647" max="5648" width="14" style="188" customWidth="1"/>
    <col min="5649" max="5649" width="15.81640625" style="188" customWidth="1"/>
    <col min="5650" max="5650" width="38.26953125" style="188" customWidth="1"/>
    <col min="5651" max="5651" width="22.54296875" style="188" bestFit="1" customWidth="1"/>
    <col min="5652" max="5652" width="1.81640625" style="188" customWidth="1"/>
    <col min="5653" max="5653" width="14.54296875" style="188" customWidth="1"/>
    <col min="5654" max="5654" width="1.81640625" style="188" customWidth="1"/>
    <col min="5655" max="5658" width="7.26953125" style="188" bestFit="1" customWidth="1"/>
    <col min="5659" max="5659" width="8.54296875" style="188" bestFit="1" customWidth="1"/>
    <col min="5660" max="5660" width="7.1796875" style="188" bestFit="1" customWidth="1"/>
    <col min="5661" max="5661" width="3.1796875" style="188" customWidth="1"/>
    <col min="5662" max="5665" width="21.81640625" style="188" bestFit="1" customWidth="1"/>
    <col min="5666" max="5666" width="9.81640625" style="188" customWidth="1"/>
    <col min="5667" max="5667" width="23.7265625" style="188" bestFit="1" customWidth="1"/>
    <col min="5668" max="5668" width="20.81640625" style="188" customWidth="1"/>
    <col min="5669" max="5888" width="9.1796875" style="188"/>
    <col min="5889" max="5889" width="10" style="188" customWidth="1"/>
    <col min="5890" max="5890" width="10.26953125" style="188" bestFit="1" customWidth="1"/>
    <col min="5891" max="5891" width="19.54296875" style="188" customWidth="1"/>
    <col min="5892" max="5892" width="11.1796875" style="188" customWidth="1"/>
    <col min="5893" max="5893" width="12.1796875" style="188" customWidth="1"/>
    <col min="5894" max="5894" width="9.54296875" style="188" bestFit="1" customWidth="1"/>
    <col min="5895" max="5895" width="40" style="188" bestFit="1" customWidth="1"/>
    <col min="5896" max="5896" width="9.1796875" style="188"/>
    <col min="5897" max="5898" width="14.453125" style="188" customWidth="1"/>
    <col min="5899" max="5899" width="12.54296875" style="188" customWidth="1"/>
    <col min="5900" max="5900" width="14.453125" style="188" customWidth="1"/>
    <col min="5901" max="5901" width="17.54296875" style="188" customWidth="1"/>
    <col min="5902" max="5902" width="25.7265625" style="188" customWidth="1"/>
    <col min="5903" max="5904" width="14" style="188" customWidth="1"/>
    <col min="5905" max="5905" width="15.81640625" style="188" customWidth="1"/>
    <col min="5906" max="5906" width="38.26953125" style="188" customWidth="1"/>
    <col min="5907" max="5907" width="22.54296875" style="188" bestFit="1" customWidth="1"/>
    <col min="5908" max="5908" width="1.81640625" style="188" customWidth="1"/>
    <col min="5909" max="5909" width="14.54296875" style="188" customWidth="1"/>
    <col min="5910" max="5910" width="1.81640625" style="188" customWidth="1"/>
    <col min="5911" max="5914" width="7.26953125" style="188" bestFit="1" customWidth="1"/>
    <col min="5915" max="5915" width="8.54296875" style="188" bestFit="1" customWidth="1"/>
    <col min="5916" max="5916" width="7.1796875" style="188" bestFit="1" customWidth="1"/>
    <col min="5917" max="5917" width="3.1796875" style="188" customWidth="1"/>
    <col min="5918" max="5921" width="21.81640625" style="188" bestFit="1" customWidth="1"/>
    <col min="5922" max="5922" width="9.81640625" style="188" customWidth="1"/>
    <col min="5923" max="5923" width="23.7265625" style="188" bestFit="1" customWidth="1"/>
    <col min="5924" max="5924" width="20.81640625" style="188" customWidth="1"/>
    <col min="5925" max="6144" width="9.1796875" style="188"/>
    <col min="6145" max="6145" width="10" style="188" customWidth="1"/>
    <col min="6146" max="6146" width="10.26953125" style="188" bestFit="1" customWidth="1"/>
    <col min="6147" max="6147" width="19.54296875" style="188" customWidth="1"/>
    <col min="6148" max="6148" width="11.1796875" style="188" customWidth="1"/>
    <col min="6149" max="6149" width="12.1796875" style="188" customWidth="1"/>
    <col min="6150" max="6150" width="9.54296875" style="188" bestFit="1" customWidth="1"/>
    <col min="6151" max="6151" width="40" style="188" bestFit="1" customWidth="1"/>
    <col min="6152" max="6152" width="9.1796875" style="188"/>
    <col min="6153" max="6154" width="14.453125" style="188" customWidth="1"/>
    <col min="6155" max="6155" width="12.54296875" style="188" customWidth="1"/>
    <col min="6156" max="6156" width="14.453125" style="188" customWidth="1"/>
    <col min="6157" max="6157" width="17.54296875" style="188" customWidth="1"/>
    <col min="6158" max="6158" width="25.7265625" style="188" customWidth="1"/>
    <col min="6159" max="6160" width="14" style="188" customWidth="1"/>
    <col min="6161" max="6161" width="15.81640625" style="188" customWidth="1"/>
    <col min="6162" max="6162" width="38.26953125" style="188" customWidth="1"/>
    <col min="6163" max="6163" width="22.54296875" style="188" bestFit="1" customWidth="1"/>
    <col min="6164" max="6164" width="1.81640625" style="188" customWidth="1"/>
    <col min="6165" max="6165" width="14.54296875" style="188" customWidth="1"/>
    <col min="6166" max="6166" width="1.81640625" style="188" customWidth="1"/>
    <col min="6167" max="6170" width="7.26953125" style="188" bestFit="1" customWidth="1"/>
    <col min="6171" max="6171" width="8.54296875" style="188" bestFit="1" customWidth="1"/>
    <col min="6172" max="6172" width="7.1796875" style="188" bestFit="1" customWidth="1"/>
    <col min="6173" max="6173" width="3.1796875" style="188" customWidth="1"/>
    <col min="6174" max="6177" width="21.81640625" style="188" bestFit="1" customWidth="1"/>
    <col min="6178" max="6178" width="9.81640625" style="188" customWidth="1"/>
    <col min="6179" max="6179" width="23.7265625" style="188" bestFit="1" customWidth="1"/>
    <col min="6180" max="6180" width="20.81640625" style="188" customWidth="1"/>
    <col min="6181" max="6400" width="9.1796875" style="188"/>
    <col min="6401" max="6401" width="10" style="188" customWidth="1"/>
    <col min="6402" max="6402" width="10.26953125" style="188" bestFit="1" customWidth="1"/>
    <col min="6403" max="6403" width="19.54296875" style="188" customWidth="1"/>
    <col min="6404" max="6404" width="11.1796875" style="188" customWidth="1"/>
    <col min="6405" max="6405" width="12.1796875" style="188" customWidth="1"/>
    <col min="6406" max="6406" width="9.54296875" style="188" bestFit="1" customWidth="1"/>
    <col min="6407" max="6407" width="40" style="188" bestFit="1" customWidth="1"/>
    <col min="6408" max="6408" width="9.1796875" style="188"/>
    <col min="6409" max="6410" width="14.453125" style="188" customWidth="1"/>
    <col min="6411" max="6411" width="12.54296875" style="188" customWidth="1"/>
    <col min="6412" max="6412" width="14.453125" style="188" customWidth="1"/>
    <col min="6413" max="6413" width="17.54296875" style="188" customWidth="1"/>
    <col min="6414" max="6414" width="25.7265625" style="188" customWidth="1"/>
    <col min="6415" max="6416" width="14" style="188" customWidth="1"/>
    <col min="6417" max="6417" width="15.81640625" style="188" customWidth="1"/>
    <col min="6418" max="6418" width="38.26953125" style="188" customWidth="1"/>
    <col min="6419" max="6419" width="22.54296875" style="188" bestFit="1" customWidth="1"/>
    <col min="6420" max="6420" width="1.81640625" style="188" customWidth="1"/>
    <col min="6421" max="6421" width="14.54296875" style="188" customWidth="1"/>
    <col min="6422" max="6422" width="1.81640625" style="188" customWidth="1"/>
    <col min="6423" max="6426" width="7.26953125" style="188" bestFit="1" customWidth="1"/>
    <col min="6427" max="6427" width="8.54296875" style="188" bestFit="1" customWidth="1"/>
    <col min="6428" max="6428" width="7.1796875" style="188" bestFit="1" customWidth="1"/>
    <col min="6429" max="6429" width="3.1796875" style="188" customWidth="1"/>
    <col min="6430" max="6433" width="21.81640625" style="188" bestFit="1" customWidth="1"/>
    <col min="6434" max="6434" width="9.81640625" style="188" customWidth="1"/>
    <col min="6435" max="6435" width="23.7265625" style="188" bestFit="1" customWidth="1"/>
    <col min="6436" max="6436" width="20.81640625" style="188" customWidth="1"/>
    <col min="6437" max="6656" width="9.1796875" style="188"/>
    <col min="6657" max="6657" width="10" style="188" customWidth="1"/>
    <col min="6658" max="6658" width="10.26953125" style="188" bestFit="1" customWidth="1"/>
    <col min="6659" max="6659" width="19.54296875" style="188" customWidth="1"/>
    <col min="6660" max="6660" width="11.1796875" style="188" customWidth="1"/>
    <col min="6661" max="6661" width="12.1796875" style="188" customWidth="1"/>
    <col min="6662" max="6662" width="9.54296875" style="188" bestFit="1" customWidth="1"/>
    <col min="6663" max="6663" width="40" style="188" bestFit="1" customWidth="1"/>
    <col min="6664" max="6664" width="9.1796875" style="188"/>
    <col min="6665" max="6666" width="14.453125" style="188" customWidth="1"/>
    <col min="6667" max="6667" width="12.54296875" style="188" customWidth="1"/>
    <col min="6668" max="6668" width="14.453125" style="188" customWidth="1"/>
    <col min="6669" max="6669" width="17.54296875" style="188" customWidth="1"/>
    <col min="6670" max="6670" width="25.7265625" style="188" customWidth="1"/>
    <col min="6671" max="6672" width="14" style="188" customWidth="1"/>
    <col min="6673" max="6673" width="15.81640625" style="188" customWidth="1"/>
    <col min="6674" max="6674" width="38.26953125" style="188" customWidth="1"/>
    <col min="6675" max="6675" width="22.54296875" style="188" bestFit="1" customWidth="1"/>
    <col min="6676" max="6676" width="1.81640625" style="188" customWidth="1"/>
    <col min="6677" max="6677" width="14.54296875" style="188" customWidth="1"/>
    <col min="6678" max="6678" width="1.81640625" style="188" customWidth="1"/>
    <col min="6679" max="6682" width="7.26953125" style="188" bestFit="1" customWidth="1"/>
    <col min="6683" max="6683" width="8.54296875" style="188" bestFit="1" customWidth="1"/>
    <col min="6684" max="6684" width="7.1796875" style="188" bestFit="1" customWidth="1"/>
    <col min="6685" max="6685" width="3.1796875" style="188" customWidth="1"/>
    <col min="6686" max="6689" width="21.81640625" style="188" bestFit="1" customWidth="1"/>
    <col min="6690" max="6690" width="9.81640625" style="188" customWidth="1"/>
    <col min="6691" max="6691" width="23.7265625" style="188" bestFit="1" customWidth="1"/>
    <col min="6692" max="6692" width="20.81640625" style="188" customWidth="1"/>
    <col min="6693" max="6912" width="9.1796875" style="188"/>
    <col min="6913" max="6913" width="10" style="188" customWidth="1"/>
    <col min="6914" max="6914" width="10.26953125" style="188" bestFit="1" customWidth="1"/>
    <col min="6915" max="6915" width="19.54296875" style="188" customWidth="1"/>
    <col min="6916" max="6916" width="11.1796875" style="188" customWidth="1"/>
    <col min="6917" max="6917" width="12.1796875" style="188" customWidth="1"/>
    <col min="6918" max="6918" width="9.54296875" style="188" bestFit="1" customWidth="1"/>
    <col min="6919" max="6919" width="40" style="188" bestFit="1" customWidth="1"/>
    <col min="6920" max="6920" width="9.1796875" style="188"/>
    <col min="6921" max="6922" width="14.453125" style="188" customWidth="1"/>
    <col min="6923" max="6923" width="12.54296875" style="188" customWidth="1"/>
    <col min="6924" max="6924" width="14.453125" style="188" customWidth="1"/>
    <col min="6925" max="6925" width="17.54296875" style="188" customWidth="1"/>
    <col min="6926" max="6926" width="25.7265625" style="188" customWidth="1"/>
    <col min="6927" max="6928" width="14" style="188" customWidth="1"/>
    <col min="6929" max="6929" width="15.81640625" style="188" customWidth="1"/>
    <col min="6930" max="6930" width="38.26953125" style="188" customWidth="1"/>
    <col min="6931" max="6931" width="22.54296875" style="188" bestFit="1" customWidth="1"/>
    <col min="6932" max="6932" width="1.81640625" style="188" customWidth="1"/>
    <col min="6933" max="6933" width="14.54296875" style="188" customWidth="1"/>
    <col min="6934" max="6934" width="1.81640625" style="188" customWidth="1"/>
    <col min="6935" max="6938" width="7.26953125" style="188" bestFit="1" customWidth="1"/>
    <col min="6939" max="6939" width="8.54296875" style="188" bestFit="1" customWidth="1"/>
    <col min="6940" max="6940" width="7.1796875" style="188" bestFit="1" customWidth="1"/>
    <col min="6941" max="6941" width="3.1796875" style="188" customWidth="1"/>
    <col min="6942" max="6945" width="21.81640625" style="188" bestFit="1" customWidth="1"/>
    <col min="6946" max="6946" width="9.81640625" style="188" customWidth="1"/>
    <col min="6947" max="6947" width="23.7265625" style="188" bestFit="1" customWidth="1"/>
    <col min="6948" max="6948" width="20.81640625" style="188" customWidth="1"/>
    <col min="6949" max="7168" width="9.1796875" style="188"/>
    <col min="7169" max="7169" width="10" style="188" customWidth="1"/>
    <col min="7170" max="7170" width="10.26953125" style="188" bestFit="1" customWidth="1"/>
    <col min="7171" max="7171" width="19.54296875" style="188" customWidth="1"/>
    <col min="7172" max="7172" width="11.1796875" style="188" customWidth="1"/>
    <col min="7173" max="7173" width="12.1796875" style="188" customWidth="1"/>
    <col min="7174" max="7174" width="9.54296875" style="188" bestFit="1" customWidth="1"/>
    <col min="7175" max="7175" width="40" style="188" bestFit="1" customWidth="1"/>
    <col min="7176" max="7176" width="9.1796875" style="188"/>
    <col min="7177" max="7178" width="14.453125" style="188" customWidth="1"/>
    <col min="7179" max="7179" width="12.54296875" style="188" customWidth="1"/>
    <col min="7180" max="7180" width="14.453125" style="188" customWidth="1"/>
    <col min="7181" max="7181" width="17.54296875" style="188" customWidth="1"/>
    <col min="7182" max="7182" width="25.7265625" style="188" customWidth="1"/>
    <col min="7183" max="7184" width="14" style="188" customWidth="1"/>
    <col min="7185" max="7185" width="15.81640625" style="188" customWidth="1"/>
    <col min="7186" max="7186" width="38.26953125" style="188" customWidth="1"/>
    <col min="7187" max="7187" width="22.54296875" style="188" bestFit="1" customWidth="1"/>
    <col min="7188" max="7188" width="1.81640625" style="188" customWidth="1"/>
    <col min="7189" max="7189" width="14.54296875" style="188" customWidth="1"/>
    <col min="7190" max="7190" width="1.81640625" style="188" customWidth="1"/>
    <col min="7191" max="7194" width="7.26953125" style="188" bestFit="1" customWidth="1"/>
    <col min="7195" max="7195" width="8.54296875" style="188" bestFit="1" customWidth="1"/>
    <col min="7196" max="7196" width="7.1796875" style="188" bestFit="1" customWidth="1"/>
    <col min="7197" max="7197" width="3.1796875" style="188" customWidth="1"/>
    <col min="7198" max="7201" width="21.81640625" style="188" bestFit="1" customWidth="1"/>
    <col min="7202" max="7202" width="9.81640625" style="188" customWidth="1"/>
    <col min="7203" max="7203" width="23.7265625" style="188" bestFit="1" customWidth="1"/>
    <col min="7204" max="7204" width="20.81640625" style="188" customWidth="1"/>
    <col min="7205" max="7424" width="9.1796875" style="188"/>
    <col min="7425" max="7425" width="10" style="188" customWidth="1"/>
    <col min="7426" max="7426" width="10.26953125" style="188" bestFit="1" customWidth="1"/>
    <col min="7427" max="7427" width="19.54296875" style="188" customWidth="1"/>
    <col min="7428" max="7428" width="11.1796875" style="188" customWidth="1"/>
    <col min="7429" max="7429" width="12.1796875" style="188" customWidth="1"/>
    <col min="7430" max="7430" width="9.54296875" style="188" bestFit="1" customWidth="1"/>
    <col min="7431" max="7431" width="40" style="188" bestFit="1" customWidth="1"/>
    <col min="7432" max="7432" width="9.1796875" style="188"/>
    <col min="7433" max="7434" width="14.453125" style="188" customWidth="1"/>
    <col min="7435" max="7435" width="12.54296875" style="188" customWidth="1"/>
    <col min="7436" max="7436" width="14.453125" style="188" customWidth="1"/>
    <col min="7437" max="7437" width="17.54296875" style="188" customWidth="1"/>
    <col min="7438" max="7438" width="25.7265625" style="188" customWidth="1"/>
    <col min="7439" max="7440" width="14" style="188" customWidth="1"/>
    <col min="7441" max="7441" width="15.81640625" style="188" customWidth="1"/>
    <col min="7442" max="7442" width="38.26953125" style="188" customWidth="1"/>
    <col min="7443" max="7443" width="22.54296875" style="188" bestFit="1" customWidth="1"/>
    <col min="7444" max="7444" width="1.81640625" style="188" customWidth="1"/>
    <col min="7445" max="7445" width="14.54296875" style="188" customWidth="1"/>
    <col min="7446" max="7446" width="1.81640625" style="188" customWidth="1"/>
    <col min="7447" max="7450" width="7.26953125" style="188" bestFit="1" customWidth="1"/>
    <col min="7451" max="7451" width="8.54296875" style="188" bestFit="1" customWidth="1"/>
    <col min="7452" max="7452" width="7.1796875" style="188" bestFit="1" customWidth="1"/>
    <col min="7453" max="7453" width="3.1796875" style="188" customWidth="1"/>
    <col min="7454" max="7457" width="21.81640625" style="188" bestFit="1" customWidth="1"/>
    <col min="7458" max="7458" width="9.81640625" style="188" customWidth="1"/>
    <col min="7459" max="7459" width="23.7265625" style="188" bestFit="1" customWidth="1"/>
    <col min="7460" max="7460" width="20.81640625" style="188" customWidth="1"/>
    <col min="7461" max="7680" width="9.1796875" style="188"/>
    <col min="7681" max="7681" width="10" style="188" customWidth="1"/>
    <col min="7682" max="7682" width="10.26953125" style="188" bestFit="1" customWidth="1"/>
    <col min="7683" max="7683" width="19.54296875" style="188" customWidth="1"/>
    <col min="7684" max="7684" width="11.1796875" style="188" customWidth="1"/>
    <col min="7685" max="7685" width="12.1796875" style="188" customWidth="1"/>
    <col min="7686" max="7686" width="9.54296875" style="188" bestFit="1" customWidth="1"/>
    <col min="7687" max="7687" width="40" style="188" bestFit="1" customWidth="1"/>
    <col min="7688" max="7688" width="9.1796875" style="188"/>
    <col min="7689" max="7690" width="14.453125" style="188" customWidth="1"/>
    <col min="7691" max="7691" width="12.54296875" style="188" customWidth="1"/>
    <col min="7692" max="7692" width="14.453125" style="188" customWidth="1"/>
    <col min="7693" max="7693" width="17.54296875" style="188" customWidth="1"/>
    <col min="7694" max="7694" width="25.7265625" style="188" customWidth="1"/>
    <col min="7695" max="7696" width="14" style="188" customWidth="1"/>
    <col min="7697" max="7697" width="15.81640625" style="188" customWidth="1"/>
    <col min="7698" max="7698" width="38.26953125" style="188" customWidth="1"/>
    <col min="7699" max="7699" width="22.54296875" style="188" bestFit="1" customWidth="1"/>
    <col min="7700" max="7700" width="1.81640625" style="188" customWidth="1"/>
    <col min="7701" max="7701" width="14.54296875" style="188" customWidth="1"/>
    <col min="7702" max="7702" width="1.81640625" style="188" customWidth="1"/>
    <col min="7703" max="7706" width="7.26953125" style="188" bestFit="1" customWidth="1"/>
    <col min="7707" max="7707" width="8.54296875" style="188" bestFit="1" customWidth="1"/>
    <col min="7708" max="7708" width="7.1796875" style="188" bestFit="1" customWidth="1"/>
    <col min="7709" max="7709" width="3.1796875" style="188" customWidth="1"/>
    <col min="7710" max="7713" width="21.81640625" style="188" bestFit="1" customWidth="1"/>
    <col min="7714" max="7714" width="9.81640625" style="188" customWidth="1"/>
    <col min="7715" max="7715" width="23.7265625" style="188" bestFit="1" customWidth="1"/>
    <col min="7716" max="7716" width="20.81640625" style="188" customWidth="1"/>
    <col min="7717" max="7936" width="9.1796875" style="188"/>
    <col min="7937" max="7937" width="10" style="188" customWidth="1"/>
    <col min="7938" max="7938" width="10.26953125" style="188" bestFit="1" customWidth="1"/>
    <col min="7939" max="7939" width="19.54296875" style="188" customWidth="1"/>
    <col min="7940" max="7940" width="11.1796875" style="188" customWidth="1"/>
    <col min="7941" max="7941" width="12.1796875" style="188" customWidth="1"/>
    <col min="7942" max="7942" width="9.54296875" style="188" bestFit="1" customWidth="1"/>
    <col min="7943" max="7943" width="40" style="188" bestFit="1" customWidth="1"/>
    <col min="7944" max="7944" width="9.1796875" style="188"/>
    <col min="7945" max="7946" width="14.453125" style="188" customWidth="1"/>
    <col min="7947" max="7947" width="12.54296875" style="188" customWidth="1"/>
    <col min="7948" max="7948" width="14.453125" style="188" customWidth="1"/>
    <col min="7949" max="7949" width="17.54296875" style="188" customWidth="1"/>
    <col min="7950" max="7950" width="25.7265625" style="188" customWidth="1"/>
    <col min="7951" max="7952" width="14" style="188" customWidth="1"/>
    <col min="7953" max="7953" width="15.81640625" style="188" customWidth="1"/>
    <col min="7954" max="7954" width="38.26953125" style="188" customWidth="1"/>
    <col min="7955" max="7955" width="22.54296875" style="188" bestFit="1" customWidth="1"/>
    <col min="7956" max="7956" width="1.81640625" style="188" customWidth="1"/>
    <col min="7957" max="7957" width="14.54296875" style="188" customWidth="1"/>
    <col min="7958" max="7958" width="1.81640625" style="188" customWidth="1"/>
    <col min="7959" max="7962" width="7.26953125" style="188" bestFit="1" customWidth="1"/>
    <col min="7963" max="7963" width="8.54296875" style="188" bestFit="1" customWidth="1"/>
    <col min="7964" max="7964" width="7.1796875" style="188" bestFit="1" customWidth="1"/>
    <col min="7965" max="7965" width="3.1796875" style="188" customWidth="1"/>
    <col min="7966" max="7969" width="21.81640625" style="188" bestFit="1" customWidth="1"/>
    <col min="7970" max="7970" width="9.81640625" style="188" customWidth="1"/>
    <col min="7971" max="7971" width="23.7265625" style="188" bestFit="1" customWidth="1"/>
    <col min="7972" max="7972" width="20.81640625" style="188" customWidth="1"/>
    <col min="7973" max="8192" width="9.1796875" style="188"/>
    <col min="8193" max="8193" width="10" style="188" customWidth="1"/>
    <col min="8194" max="8194" width="10.26953125" style="188" bestFit="1" customWidth="1"/>
    <col min="8195" max="8195" width="19.54296875" style="188" customWidth="1"/>
    <col min="8196" max="8196" width="11.1796875" style="188" customWidth="1"/>
    <col min="8197" max="8197" width="12.1796875" style="188" customWidth="1"/>
    <col min="8198" max="8198" width="9.54296875" style="188" bestFit="1" customWidth="1"/>
    <col min="8199" max="8199" width="40" style="188" bestFit="1" customWidth="1"/>
    <col min="8200" max="8200" width="9.1796875" style="188"/>
    <col min="8201" max="8202" width="14.453125" style="188" customWidth="1"/>
    <col min="8203" max="8203" width="12.54296875" style="188" customWidth="1"/>
    <col min="8204" max="8204" width="14.453125" style="188" customWidth="1"/>
    <col min="8205" max="8205" width="17.54296875" style="188" customWidth="1"/>
    <col min="8206" max="8206" width="25.7265625" style="188" customWidth="1"/>
    <col min="8207" max="8208" width="14" style="188" customWidth="1"/>
    <col min="8209" max="8209" width="15.81640625" style="188" customWidth="1"/>
    <col min="8210" max="8210" width="38.26953125" style="188" customWidth="1"/>
    <col min="8211" max="8211" width="22.54296875" style="188" bestFit="1" customWidth="1"/>
    <col min="8212" max="8212" width="1.81640625" style="188" customWidth="1"/>
    <col min="8213" max="8213" width="14.54296875" style="188" customWidth="1"/>
    <col min="8214" max="8214" width="1.81640625" style="188" customWidth="1"/>
    <col min="8215" max="8218" width="7.26953125" style="188" bestFit="1" customWidth="1"/>
    <col min="8219" max="8219" width="8.54296875" style="188" bestFit="1" customWidth="1"/>
    <col min="8220" max="8220" width="7.1796875" style="188" bestFit="1" customWidth="1"/>
    <col min="8221" max="8221" width="3.1796875" style="188" customWidth="1"/>
    <col min="8222" max="8225" width="21.81640625" style="188" bestFit="1" customWidth="1"/>
    <col min="8226" max="8226" width="9.81640625" style="188" customWidth="1"/>
    <col min="8227" max="8227" width="23.7265625" style="188" bestFit="1" customWidth="1"/>
    <col min="8228" max="8228" width="20.81640625" style="188" customWidth="1"/>
    <col min="8229" max="8448" width="9.1796875" style="188"/>
    <col min="8449" max="8449" width="10" style="188" customWidth="1"/>
    <col min="8450" max="8450" width="10.26953125" style="188" bestFit="1" customWidth="1"/>
    <col min="8451" max="8451" width="19.54296875" style="188" customWidth="1"/>
    <col min="8452" max="8452" width="11.1796875" style="188" customWidth="1"/>
    <col min="8453" max="8453" width="12.1796875" style="188" customWidth="1"/>
    <col min="8454" max="8454" width="9.54296875" style="188" bestFit="1" customWidth="1"/>
    <col min="8455" max="8455" width="40" style="188" bestFit="1" customWidth="1"/>
    <col min="8456" max="8456" width="9.1796875" style="188"/>
    <col min="8457" max="8458" width="14.453125" style="188" customWidth="1"/>
    <col min="8459" max="8459" width="12.54296875" style="188" customWidth="1"/>
    <col min="8460" max="8460" width="14.453125" style="188" customWidth="1"/>
    <col min="8461" max="8461" width="17.54296875" style="188" customWidth="1"/>
    <col min="8462" max="8462" width="25.7265625" style="188" customWidth="1"/>
    <col min="8463" max="8464" width="14" style="188" customWidth="1"/>
    <col min="8465" max="8465" width="15.81640625" style="188" customWidth="1"/>
    <col min="8466" max="8466" width="38.26953125" style="188" customWidth="1"/>
    <col min="8467" max="8467" width="22.54296875" style="188" bestFit="1" customWidth="1"/>
    <col min="8468" max="8468" width="1.81640625" style="188" customWidth="1"/>
    <col min="8469" max="8469" width="14.54296875" style="188" customWidth="1"/>
    <col min="8470" max="8470" width="1.81640625" style="188" customWidth="1"/>
    <col min="8471" max="8474" width="7.26953125" style="188" bestFit="1" customWidth="1"/>
    <col min="8475" max="8475" width="8.54296875" style="188" bestFit="1" customWidth="1"/>
    <col min="8476" max="8476" width="7.1796875" style="188" bestFit="1" customWidth="1"/>
    <col min="8477" max="8477" width="3.1796875" style="188" customWidth="1"/>
    <col min="8478" max="8481" width="21.81640625" style="188" bestFit="1" customWidth="1"/>
    <col min="8482" max="8482" width="9.81640625" style="188" customWidth="1"/>
    <col min="8483" max="8483" width="23.7265625" style="188" bestFit="1" customWidth="1"/>
    <col min="8484" max="8484" width="20.81640625" style="188" customWidth="1"/>
    <col min="8485" max="8704" width="9.1796875" style="188"/>
    <col min="8705" max="8705" width="10" style="188" customWidth="1"/>
    <col min="8706" max="8706" width="10.26953125" style="188" bestFit="1" customWidth="1"/>
    <col min="8707" max="8707" width="19.54296875" style="188" customWidth="1"/>
    <col min="8708" max="8708" width="11.1796875" style="188" customWidth="1"/>
    <col min="8709" max="8709" width="12.1796875" style="188" customWidth="1"/>
    <col min="8710" max="8710" width="9.54296875" style="188" bestFit="1" customWidth="1"/>
    <col min="8711" max="8711" width="40" style="188" bestFit="1" customWidth="1"/>
    <col min="8712" max="8712" width="9.1796875" style="188"/>
    <col min="8713" max="8714" width="14.453125" style="188" customWidth="1"/>
    <col min="8715" max="8715" width="12.54296875" style="188" customWidth="1"/>
    <col min="8716" max="8716" width="14.453125" style="188" customWidth="1"/>
    <col min="8717" max="8717" width="17.54296875" style="188" customWidth="1"/>
    <col min="8718" max="8718" width="25.7265625" style="188" customWidth="1"/>
    <col min="8719" max="8720" width="14" style="188" customWidth="1"/>
    <col min="8721" max="8721" width="15.81640625" style="188" customWidth="1"/>
    <col min="8722" max="8722" width="38.26953125" style="188" customWidth="1"/>
    <col min="8723" max="8723" width="22.54296875" style="188" bestFit="1" customWidth="1"/>
    <col min="8724" max="8724" width="1.81640625" style="188" customWidth="1"/>
    <col min="8725" max="8725" width="14.54296875" style="188" customWidth="1"/>
    <col min="8726" max="8726" width="1.81640625" style="188" customWidth="1"/>
    <col min="8727" max="8730" width="7.26953125" style="188" bestFit="1" customWidth="1"/>
    <col min="8731" max="8731" width="8.54296875" style="188" bestFit="1" customWidth="1"/>
    <col min="8732" max="8732" width="7.1796875" style="188" bestFit="1" customWidth="1"/>
    <col min="8733" max="8733" width="3.1796875" style="188" customWidth="1"/>
    <col min="8734" max="8737" width="21.81640625" style="188" bestFit="1" customWidth="1"/>
    <col min="8738" max="8738" width="9.81640625" style="188" customWidth="1"/>
    <col min="8739" max="8739" width="23.7265625" style="188" bestFit="1" customWidth="1"/>
    <col min="8740" max="8740" width="20.81640625" style="188" customWidth="1"/>
    <col min="8741" max="8960" width="9.1796875" style="188"/>
    <col min="8961" max="8961" width="10" style="188" customWidth="1"/>
    <col min="8962" max="8962" width="10.26953125" style="188" bestFit="1" customWidth="1"/>
    <col min="8963" max="8963" width="19.54296875" style="188" customWidth="1"/>
    <col min="8964" max="8964" width="11.1796875" style="188" customWidth="1"/>
    <col min="8965" max="8965" width="12.1796875" style="188" customWidth="1"/>
    <col min="8966" max="8966" width="9.54296875" style="188" bestFit="1" customWidth="1"/>
    <col min="8967" max="8967" width="40" style="188" bestFit="1" customWidth="1"/>
    <col min="8968" max="8968" width="9.1796875" style="188"/>
    <col min="8969" max="8970" width="14.453125" style="188" customWidth="1"/>
    <col min="8971" max="8971" width="12.54296875" style="188" customWidth="1"/>
    <col min="8972" max="8972" width="14.453125" style="188" customWidth="1"/>
    <col min="8973" max="8973" width="17.54296875" style="188" customWidth="1"/>
    <col min="8974" max="8974" width="25.7265625" style="188" customWidth="1"/>
    <col min="8975" max="8976" width="14" style="188" customWidth="1"/>
    <col min="8977" max="8977" width="15.81640625" style="188" customWidth="1"/>
    <col min="8978" max="8978" width="38.26953125" style="188" customWidth="1"/>
    <col min="8979" max="8979" width="22.54296875" style="188" bestFit="1" customWidth="1"/>
    <col min="8980" max="8980" width="1.81640625" style="188" customWidth="1"/>
    <col min="8981" max="8981" width="14.54296875" style="188" customWidth="1"/>
    <col min="8982" max="8982" width="1.81640625" style="188" customWidth="1"/>
    <col min="8983" max="8986" width="7.26953125" style="188" bestFit="1" customWidth="1"/>
    <col min="8987" max="8987" width="8.54296875" style="188" bestFit="1" customWidth="1"/>
    <col min="8988" max="8988" width="7.1796875" style="188" bestFit="1" customWidth="1"/>
    <col min="8989" max="8989" width="3.1796875" style="188" customWidth="1"/>
    <col min="8990" max="8993" width="21.81640625" style="188" bestFit="1" customWidth="1"/>
    <col min="8994" max="8994" width="9.81640625" style="188" customWidth="1"/>
    <col min="8995" max="8995" width="23.7265625" style="188" bestFit="1" customWidth="1"/>
    <col min="8996" max="8996" width="20.81640625" style="188" customWidth="1"/>
    <col min="8997" max="9216" width="9.1796875" style="188"/>
    <col min="9217" max="9217" width="10" style="188" customWidth="1"/>
    <col min="9218" max="9218" width="10.26953125" style="188" bestFit="1" customWidth="1"/>
    <col min="9219" max="9219" width="19.54296875" style="188" customWidth="1"/>
    <col min="9220" max="9220" width="11.1796875" style="188" customWidth="1"/>
    <col min="9221" max="9221" width="12.1796875" style="188" customWidth="1"/>
    <col min="9222" max="9222" width="9.54296875" style="188" bestFit="1" customWidth="1"/>
    <col min="9223" max="9223" width="40" style="188" bestFit="1" customWidth="1"/>
    <col min="9224" max="9224" width="9.1796875" style="188"/>
    <col min="9225" max="9226" width="14.453125" style="188" customWidth="1"/>
    <col min="9227" max="9227" width="12.54296875" style="188" customWidth="1"/>
    <col min="9228" max="9228" width="14.453125" style="188" customWidth="1"/>
    <col min="9229" max="9229" width="17.54296875" style="188" customWidth="1"/>
    <col min="9230" max="9230" width="25.7265625" style="188" customWidth="1"/>
    <col min="9231" max="9232" width="14" style="188" customWidth="1"/>
    <col min="9233" max="9233" width="15.81640625" style="188" customWidth="1"/>
    <col min="9234" max="9234" width="38.26953125" style="188" customWidth="1"/>
    <col min="9235" max="9235" width="22.54296875" style="188" bestFit="1" customWidth="1"/>
    <col min="9236" max="9236" width="1.81640625" style="188" customWidth="1"/>
    <col min="9237" max="9237" width="14.54296875" style="188" customWidth="1"/>
    <col min="9238" max="9238" width="1.81640625" style="188" customWidth="1"/>
    <col min="9239" max="9242" width="7.26953125" style="188" bestFit="1" customWidth="1"/>
    <col min="9243" max="9243" width="8.54296875" style="188" bestFit="1" customWidth="1"/>
    <col min="9244" max="9244" width="7.1796875" style="188" bestFit="1" customWidth="1"/>
    <col min="9245" max="9245" width="3.1796875" style="188" customWidth="1"/>
    <col min="9246" max="9249" width="21.81640625" style="188" bestFit="1" customWidth="1"/>
    <col min="9250" max="9250" width="9.81640625" style="188" customWidth="1"/>
    <col min="9251" max="9251" width="23.7265625" style="188" bestFit="1" customWidth="1"/>
    <col min="9252" max="9252" width="20.81640625" style="188" customWidth="1"/>
    <col min="9253" max="9472" width="9.1796875" style="188"/>
    <col min="9473" max="9473" width="10" style="188" customWidth="1"/>
    <col min="9474" max="9474" width="10.26953125" style="188" bestFit="1" customWidth="1"/>
    <col min="9475" max="9475" width="19.54296875" style="188" customWidth="1"/>
    <col min="9476" max="9476" width="11.1796875" style="188" customWidth="1"/>
    <col min="9477" max="9477" width="12.1796875" style="188" customWidth="1"/>
    <col min="9478" max="9478" width="9.54296875" style="188" bestFit="1" customWidth="1"/>
    <col min="9479" max="9479" width="40" style="188" bestFit="1" customWidth="1"/>
    <col min="9480" max="9480" width="9.1796875" style="188"/>
    <col min="9481" max="9482" width="14.453125" style="188" customWidth="1"/>
    <col min="9483" max="9483" width="12.54296875" style="188" customWidth="1"/>
    <col min="9484" max="9484" width="14.453125" style="188" customWidth="1"/>
    <col min="9485" max="9485" width="17.54296875" style="188" customWidth="1"/>
    <col min="9486" max="9486" width="25.7265625" style="188" customWidth="1"/>
    <col min="9487" max="9488" width="14" style="188" customWidth="1"/>
    <col min="9489" max="9489" width="15.81640625" style="188" customWidth="1"/>
    <col min="9490" max="9490" width="38.26953125" style="188" customWidth="1"/>
    <col min="9491" max="9491" width="22.54296875" style="188" bestFit="1" customWidth="1"/>
    <col min="9492" max="9492" width="1.81640625" style="188" customWidth="1"/>
    <col min="9493" max="9493" width="14.54296875" style="188" customWidth="1"/>
    <col min="9494" max="9494" width="1.81640625" style="188" customWidth="1"/>
    <col min="9495" max="9498" width="7.26953125" style="188" bestFit="1" customWidth="1"/>
    <col min="9499" max="9499" width="8.54296875" style="188" bestFit="1" customWidth="1"/>
    <col min="9500" max="9500" width="7.1796875" style="188" bestFit="1" customWidth="1"/>
    <col min="9501" max="9501" width="3.1796875" style="188" customWidth="1"/>
    <col min="9502" max="9505" width="21.81640625" style="188" bestFit="1" customWidth="1"/>
    <col min="9506" max="9506" width="9.81640625" style="188" customWidth="1"/>
    <col min="9507" max="9507" width="23.7265625" style="188" bestFit="1" customWidth="1"/>
    <col min="9508" max="9508" width="20.81640625" style="188" customWidth="1"/>
    <col min="9509" max="9728" width="9.1796875" style="188"/>
    <col min="9729" max="9729" width="10" style="188" customWidth="1"/>
    <col min="9730" max="9730" width="10.26953125" style="188" bestFit="1" customWidth="1"/>
    <col min="9731" max="9731" width="19.54296875" style="188" customWidth="1"/>
    <col min="9732" max="9732" width="11.1796875" style="188" customWidth="1"/>
    <col min="9733" max="9733" width="12.1796875" style="188" customWidth="1"/>
    <col min="9734" max="9734" width="9.54296875" style="188" bestFit="1" customWidth="1"/>
    <col min="9735" max="9735" width="40" style="188" bestFit="1" customWidth="1"/>
    <col min="9736" max="9736" width="9.1796875" style="188"/>
    <col min="9737" max="9738" width="14.453125" style="188" customWidth="1"/>
    <col min="9739" max="9739" width="12.54296875" style="188" customWidth="1"/>
    <col min="9740" max="9740" width="14.453125" style="188" customWidth="1"/>
    <col min="9741" max="9741" width="17.54296875" style="188" customWidth="1"/>
    <col min="9742" max="9742" width="25.7265625" style="188" customWidth="1"/>
    <col min="9743" max="9744" width="14" style="188" customWidth="1"/>
    <col min="9745" max="9745" width="15.81640625" style="188" customWidth="1"/>
    <col min="9746" max="9746" width="38.26953125" style="188" customWidth="1"/>
    <col min="9747" max="9747" width="22.54296875" style="188" bestFit="1" customWidth="1"/>
    <col min="9748" max="9748" width="1.81640625" style="188" customWidth="1"/>
    <col min="9749" max="9749" width="14.54296875" style="188" customWidth="1"/>
    <col min="9750" max="9750" width="1.81640625" style="188" customWidth="1"/>
    <col min="9751" max="9754" width="7.26953125" style="188" bestFit="1" customWidth="1"/>
    <col min="9755" max="9755" width="8.54296875" style="188" bestFit="1" customWidth="1"/>
    <col min="9756" max="9756" width="7.1796875" style="188" bestFit="1" customWidth="1"/>
    <col min="9757" max="9757" width="3.1796875" style="188" customWidth="1"/>
    <col min="9758" max="9761" width="21.81640625" style="188" bestFit="1" customWidth="1"/>
    <col min="9762" max="9762" width="9.81640625" style="188" customWidth="1"/>
    <col min="9763" max="9763" width="23.7265625" style="188" bestFit="1" customWidth="1"/>
    <col min="9764" max="9764" width="20.81640625" style="188" customWidth="1"/>
    <col min="9765" max="9984" width="9.1796875" style="188"/>
    <col min="9985" max="9985" width="10" style="188" customWidth="1"/>
    <col min="9986" max="9986" width="10.26953125" style="188" bestFit="1" customWidth="1"/>
    <col min="9987" max="9987" width="19.54296875" style="188" customWidth="1"/>
    <col min="9988" max="9988" width="11.1796875" style="188" customWidth="1"/>
    <col min="9989" max="9989" width="12.1796875" style="188" customWidth="1"/>
    <col min="9990" max="9990" width="9.54296875" style="188" bestFit="1" customWidth="1"/>
    <col min="9991" max="9991" width="40" style="188" bestFit="1" customWidth="1"/>
    <col min="9992" max="9992" width="9.1796875" style="188"/>
    <col min="9993" max="9994" width="14.453125" style="188" customWidth="1"/>
    <col min="9995" max="9995" width="12.54296875" style="188" customWidth="1"/>
    <col min="9996" max="9996" width="14.453125" style="188" customWidth="1"/>
    <col min="9997" max="9997" width="17.54296875" style="188" customWidth="1"/>
    <col min="9998" max="9998" width="25.7265625" style="188" customWidth="1"/>
    <col min="9999" max="10000" width="14" style="188" customWidth="1"/>
    <col min="10001" max="10001" width="15.81640625" style="188" customWidth="1"/>
    <col min="10002" max="10002" width="38.26953125" style="188" customWidth="1"/>
    <col min="10003" max="10003" width="22.54296875" style="188" bestFit="1" customWidth="1"/>
    <col min="10004" max="10004" width="1.81640625" style="188" customWidth="1"/>
    <col min="10005" max="10005" width="14.54296875" style="188" customWidth="1"/>
    <col min="10006" max="10006" width="1.81640625" style="188" customWidth="1"/>
    <col min="10007" max="10010" width="7.26953125" style="188" bestFit="1" customWidth="1"/>
    <col min="10011" max="10011" width="8.54296875" style="188" bestFit="1" customWidth="1"/>
    <col min="10012" max="10012" width="7.1796875" style="188" bestFit="1" customWidth="1"/>
    <col min="10013" max="10013" width="3.1796875" style="188" customWidth="1"/>
    <col min="10014" max="10017" width="21.81640625" style="188" bestFit="1" customWidth="1"/>
    <col min="10018" max="10018" width="9.81640625" style="188" customWidth="1"/>
    <col min="10019" max="10019" width="23.7265625" style="188" bestFit="1" customWidth="1"/>
    <col min="10020" max="10020" width="20.81640625" style="188" customWidth="1"/>
    <col min="10021" max="10240" width="9.1796875" style="188"/>
    <col min="10241" max="10241" width="10" style="188" customWidth="1"/>
    <col min="10242" max="10242" width="10.26953125" style="188" bestFit="1" customWidth="1"/>
    <col min="10243" max="10243" width="19.54296875" style="188" customWidth="1"/>
    <col min="10244" max="10244" width="11.1796875" style="188" customWidth="1"/>
    <col min="10245" max="10245" width="12.1796875" style="188" customWidth="1"/>
    <col min="10246" max="10246" width="9.54296875" style="188" bestFit="1" customWidth="1"/>
    <col min="10247" max="10247" width="40" style="188" bestFit="1" customWidth="1"/>
    <col min="10248" max="10248" width="9.1796875" style="188"/>
    <col min="10249" max="10250" width="14.453125" style="188" customWidth="1"/>
    <col min="10251" max="10251" width="12.54296875" style="188" customWidth="1"/>
    <col min="10252" max="10252" width="14.453125" style="188" customWidth="1"/>
    <col min="10253" max="10253" width="17.54296875" style="188" customWidth="1"/>
    <col min="10254" max="10254" width="25.7265625" style="188" customWidth="1"/>
    <col min="10255" max="10256" width="14" style="188" customWidth="1"/>
    <col min="10257" max="10257" width="15.81640625" style="188" customWidth="1"/>
    <col min="10258" max="10258" width="38.26953125" style="188" customWidth="1"/>
    <col min="10259" max="10259" width="22.54296875" style="188" bestFit="1" customWidth="1"/>
    <col min="10260" max="10260" width="1.81640625" style="188" customWidth="1"/>
    <col min="10261" max="10261" width="14.54296875" style="188" customWidth="1"/>
    <col min="10262" max="10262" width="1.81640625" style="188" customWidth="1"/>
    <col min="10263" max="10266" width="7.26953125" style="188" bestFit="1" customWidth="1"/>
    <col min="10267" max="10267" width="8.54296875" style="188" bestFit="1" customWidth="1"/>
    <col min="10268" max="10268" width="7.1796875" style="188" bestFit="1" customWidth="1"/>
    <col min="10269" max="10269" width="3.1796875" style="188" customWidth="1"/>
    <col min="10270" max="10273" width="21.81640625" style="188" bestFit="1" customWidth="1"/>
    <col min="10274" max="10274" width="9.81640625" style="188" customWidth="1"/>
    <col min="10275" max="10275" width="23.7265625" style="188" bestFit="1" customWidth="1"/>
    <col min="10276" max="10276" width="20.81640625" style="188" customWidth="1"/>
    <col min="10277" max="10496" width="9.1796875" style="188"/>
    <col min="10497" max="10497" width="10" style="188" customWidth="1"/>
    <col min="10498" max="10498" width="10.26953125" style="188" bestFit="1" customWidth="1"/>
    <col min="10499" max="10499" width="19.54296875" style="188" customWidth="1"/>
    <col min="10500" max="10500" width="11.1796875" style="188" customWidth="1"/>
    <col min="10501" max="10501" width="12.1796875" style="188" customWidth="1"/>
    <col min="10502" max="10502" width="9.54296875" style="188" bestFit="1" customWidth="1"/>
    <col min="10503" max="10503" width="40" style="188" bestFit="1" customWidth="1"/>
    <col min="10504" max="10504" width="9.1796875" style="188"/>
    <col min="10505" max="10506" width="14.453125" style="188" customWidth="1"/>
    <col min="10507" max="10507" width="12.54296875" style="188" customWidth="1"/>
    <col min="10508" max="10508" width="14.453125" style="188" customWidth="1"/>
    <col min="10509" max="10509" width="17.54296875" style="188" customWidth="1"/>
    <col min="10510" max="10510" width="25.7265625" style="188" customWidth="1"/>
    <col min="10511" max="10512" width="14" style="188" customWidth="1"/>
    <col min="10513" max="10513" width="15.81640625" style="188" customWidth="1"/>
    <col min="10514" max="10514" width="38.26953125" style="188" customWidth="1"/>
    <col min="10515" max="10515" width="22.54296875" style="188" bestFit="1" customWidth="1"/>
    <col min="10516" max="10516" width="1.81640625" style="188" customWidth="1"/>
    <col min="10517" max="10517" width="14.54296875" style="188" customWidth="1"/>
    <col min="10518" max="10518" width="1.81640625" style="188" customWidth="1"/>
    <col min="10519" max="10522" width="7.26953125" style="188" bestFit="1" customWidth="1"/>
    <col min="10523" max="10523" width="8.54296875" style="188" bestFit="1" customWidth="1"/>
    <col min="10524" max="10524" width="7.1796875" style="188" bestFit="1" customWidth="1"/>
    <col min="10525" max="10525" width="3.1796875" style="188" customWidth="1"/>
    <col min="10526" max="10529" width="21.81640625" style="188" bestFit="1" customWidth="1"/>
    <col min="10530" max="10530" width="9.81640625" style="188" customWidth="1"/>
    <col min="10531" max="10531" width="23.7265625" style="188" bestFit="1" customWidth="1"/>
    <col min="10532" max="10532" width="20.81640625" style="188" customWidth="1"/>
    <col min="10533" max="10752" width="9.1796875" style="188"/>
    <col min="10753" max="10753" width="10" style="188" customWidth="1"/>
    <col min="10754" max="10754" width="10.26953125" style="188" bestFit="1" customWidth="1"/>
    <col min="10755" max="10755" width="19.54296875" style="188" customWidth="1"/>
    <col min="10756" max="10756" width="11.1796875" style="188" customWidth="1"/>
    <col min="10757" max="10757" width="12.1796875" style="188" customWidth="1"/>
    <col min="10758" max="10758" width="9.54296875" style="188" bestFit="1" customWidth="1"/>
    <col min="10759" max="10759" width="40" style="188" bestFit="1" customWidth="1"/>
    <col min="10760" max="10760" width="9.1796875" style="188"/>
    <col min="10761" max="10762" width="14.453125" style="188" customWidth="1"/>
    <col min="10763" max="10763" width="12.54296875" style="188" customWidth="1"/>
    <col min="10764" max="10764" width="14.453125" style="188" customWidth="1"/>
    <col min="10765" max="10765" width="17.54296875" style="188" customWidth="1"/>
    <col min="10766" max="10766" width="25.7265625" style="188" customWidth="1"/>
    <col min="10767" max="10768" width="14" style="188" customWidth="1"/>
    <col min="10769" max="10769" width="15.81640625" style="188" customWidth="1"/>
    <col min="10770" max="10770" width="38.26953125" style="188" customWidth="1"/>
    <col min="10771" max="10771" width="22.54296875" style="188" bestFit="1" customWidth="1"/>
    <col min="10772" max="10772" width="1.81640625" style="188" customWidth="1"/>
    <col min="10773" max="10773" width="14.54296875" style="188" customWidth="1"/>
    <col min="10774" max="10774" width="1.81640625" style="188" customWidth="1"/>
    <col min="10775" max="10778" width="7.26953125" style="188" bestFit="1" customWidth="1"/>
    <col min="10779" max="10779" width="8.54296875" style="188" bestFit="1" customWidth="1"/>
    <col min="10780" max="10780" width="7.1796875" style="188" bestFit="1" customWidth="1"/>
    <col min="10781" max="10781" width="3.1796875" style="188" customWidth="1"/>
    <col min="10782" max="10785" width="21.81640625" style="188" bestFit="1" customWidth="1"/>
    <col min="10786" max="10786" width="9.81640625" style="188" customWidth="1"/>
    <col min="10787" max="10787" width="23.7265625" style="188" bestFit="1" customWidth="1"/>
    <col min="10788" max="10788" width="20.81640625" style="188" customWidth="1"/>
    <col min="10789" max="11008" width="9.1796875" style="188"/>
    <col min="11009" max="11009" width="10" style="188" customWidth="1"/>
    <col min="11010" max="11010" width="10.26953125" style="188" bestFit="1" customWidth="1"/>
    <col min="11011" max="11011" width="19.54296875" style="188" customWidth="1"/>
    <col min="11012" max="11012" width="11.1796875" style="188" customWidth="1"/>
    <col min="11013" max="11013" width="12.1796875" style="188" customWidth="1"/>
    <col min="11014" max="11014" width="9.54296875" style="188" bestFit="1" customWidth="1"/>
    <col min="11015" max="11015" width="40" style="188" bestFit="1" customWidth="1"/>
    <col min="11016" max="11016" width="9.1796875" style="188"/>
    <col min="11017" max="11018" width="14.453125" style="188" customWidth="1"/>
    <col min="11019" max="11019" width="12.54296875" style="188" customWidth="1"/>
    <col min="11020" max="11020" width="14.453125" style="188" customWidth="1"/>
    <col min="11021" max="11021" width="17.54296875" style="188" customWidth="1"/>
    <col min="11022" max="11022" width="25.7265625" style="188" customWidth="1"/>
    <col min="11023" max="11024" width="14" style="188" customWidth="1"/>
    <col min="11025" max="11025" width="15.81640625" style="188" customWidth="1"/>
    <col min="11026" max="11026" width="38.26953125" style="188" customWidth="1"/>
    <col min="11027" max="11027" width="22.54296875" style="188" bestFit="1" customWidth="1"/>
    <col min="11028" max="11028" width="1.81640625" style="188" customWidth="1"/>
    <col min="11029" max="11029" width="14.54296875" style="188" customWidth="1"/>
    <col min="11030" max="11030" width="1.81640625" style="188" customWidth="1"/>
    <col min="11031" max="11034" width="7.26953125" style="188" bestFit="1" customWidth="1"/>
    <col min="11035" max="11035" width="8.54296875" style="188" bestFit="1" customWidth="1"/>
    <col min="11036" max="11036" width="7.1796875" style="188" bestFit="1" customWidth="1"/>
    <col min="11037" max="11037" width="3.1796875" style="188" customWidth="1"/>
    <col min="11038" max="11041" width="21.81640625" style="188" bestFit="1" customWidth="1"/>
    <col min="11042" max="11042" width="9.81640625" style="188" customWidth="1"/>
    <col min="11043" max="11043" width="23.7265625" style="188" bestFit="1" customWidth="1"/>
    <col min="11044" max="11044" width="20.81640625" style="188" customWidth="1"/>
    <col min="11045" max="11264" width="9.1796875" style="188"/>
    <col min="11265" max="11265" width="10" style="188" customWidth="1"/>
    <col min="11266" max="11266" width="10.26953125" style="188" bestFit="1" customWidth="1"/>
    <col min="11267" max="11267" width="19.54296875" style="188" customWidth="1"/>
    <col min="11268" max="11268" width="11.1796875" style="188" customWidth="1"/>
    <col min="11269" max="11269" width="12.1796875" style="188" customWidth="1"/>
    <col min="11270" max="11270" width="9.54296875" style="188" bestFit="1" customWidth="1"/>
    <col min="11271" max="11271" width="40" style="188" bestFit="1" customWidth="1"/>
    <col min="11272" max="11272" width="9.1796875" style="188"/>
    <col min="11273" max="11274" width="14.453125" style="188" customWidth="1"/>
    <col min="11275" max="11275" width="12.54296875" style="188" customWidth="1"/>
    <col min="11276" max="11276" width="14.453125" style="188" customWidth="1"/>
    <col min="11277" max="11277" width="17.54296875" style="188" customWidth="1"/>
    <col min="11278" max="11278" width="25.7265625" style="188" customWidth="1"/>
    <col min="11279" max="11280" width="14" style="188" customWidth="1"/>
    <col min="11281" max="11281" width="15.81640625" style="188" customWidth="1"/>
    <col min="11282" max="11282" width="38.26953125" style="188" customWidth="1"/>
    <col min="11283" max="11283" width="22.54296875" style="188" bestFit="1" customWidth="1"/>
    <col min="11284" max="11284" width="1.81640625" style="188" customWidth="1"/>
    <col min="11285" max="11285" width="14.54296875" style="188" customWidth="1"/>
    <col min="11286" max="11286" width="1.81640625" style="188" customWidth="1"/>
    <col min="11287" max="11290" width="7.26953125" style="188" bestFit="1" customWidth="1"/>
    <col min="11291" max="11291" width="8.54296875" style="188" bestFit="1" customWidth="1"/>
    <col min="11292" max="11292" width="7.1796875" style="188" bestFit="1" customWidth="1"/>
    <col min="11293" max="11293" width="3.1796875" style="188" customWidth="1"/>
    <col min="11294" max="11297" width="21.81640625" style="188" bestFit="1" customWidth="1"/>
    <col min="11298" max="11298" width="9.81640625" style="188" customWidth="1"/>
    <col min="11299" max="11299" width="23.7265625" style="188" bestFit="1" customWidth="1"/>
    <col min="11300" max="11300" width="20.81640625" style="188" customWidth="1"/>
    <col min="11301" max="11520" width="9.1796875" style="188"/>
    <col min="11521" max="11521" width="10" style="188" customWidth="1"/>
    <col min="11522" max="11522" width="10.26953125" style="188" bestFit="1" customWidth="1"/>
    <col min="11523" max="11523" width="19.54296875" style="188" customWidth="1"/>
    <col min="11524" max="11524" width="11.1796875" style="188" customWidth="1"/>
    <col min="11525" max="11525" width="12.1796875" style="188" customWidth="1"/>
    <col min="11526" max="11526" width="9.54296875" style="188" bestFit="1" customWidth="1"/>
    <col min="11527" max="11527" width="40" style="188" bestFit="1" customWidth="1"/>
    <col min="11528" max="11528" width="9.1796875" style="188"/>
    <col min="11529" max="11530" width="14.453125" style="188" customWidth="1"/>
    <col min="11531" max="11531" width="12.54296875" style="188" customWidth="1"/>
    <col min="11532" max="11532" width="14.453125" style="188" customWidth="1"/>
    <col min="11533" max="11533" width="17.54296875" style="188" customWidth="1"/>
    <col min="11534" max="11534" width="25.7265625" style="188" customWidth="1"/>
    <col min="11535" max="11536" width="14" style="188" customWidth="1"/>
    <col min="11537" max="11537" width="15.81640625" style="188" customWidth="1"/>
    <col min="11538" max="11538" width="38.26953125" style="188" customWidth="1"/>
    <col min="11539" max="11539" width="22.54296875" style="188" bestFit="1" customWidth="1"/>
    <col min="11540" max="11540" width="1.81640625" style="188" customWidth="1"/>
    <col min="11541" max="11541" width="14.54296875" style="188" customWidth="1"/>
    <col min="11542" max="11542" width="1.81640625" style="188" customWidth="1"/>
    <col min="11543" max="11546" width="7.26953125" style="188" bestFit="1" customWidth="1"/>
    <col min="11547" max="11547" width="8.54296875" style="188" bestFit="1" customWidth="1"/>
    <col min="11548" max="11548" width="7.1796875" style="188" bestFit="1" customWidth="1"/>
    <col min="11549" max="11549" width="3.1796875" style="188" customWidth="1"/>
    <col min="11550" max="11553" width="21.81640625" style="188" bestFit="1" customWidth="1"/>
    <col min="11554" max="11554" width="9.81640625" style="188" customWidth="1"/>
    <col min="11555" max="11555" width="23.7265625" style="188" bestFit="1" customWidth="1"/>
    <col min="11556" max="11556" width="20.81640625" style="188" customWidth="1"/>
    <col min="11557" max="11776" width="9.1796875" style="188"/>
    <col min="11777" max="11777" width="10" style="188" customWidth="1"/>
    <col min="11778" max="11778" width="10.26953125" style="188" bestFit="1" customWidth="1"/>
    <col min="11779" max="11779" width="19.54296875" style="188" customWidth="1"/>
    <col min="11780" max="11780" width="11.1796875" style="188" customWidth="1"/>
    <col min="11781" max="11781" width="12.1796875" style="188" customWidth="1"/>
    <col min="11782" max="11782" width="9.54296875" style="188" bestFit="1" customWidth="1"/>
    <col min="11783" max="11783" width="40" style="188" bestFit="1" customWidth="1"/>
    <col min="11784" max="11784" width="9.1796875" style="188"/>
    <col min="11785" max="11786" width="14.453125" style="188" customWidth="1"/>
    <col min="11787" max="11787" width="12.54296875" style="188" customWidth="1"/>
    <col min="11788" max="11788" width="14.453125" style="188" customWidth="1"/>
    <col min="11789" max="11789" width="17.54296875" style="188" customWidth="1"/>
    <col min="11790" max="11790" width="25.7265625" style="188" customWidth="1"/>
    <col min="11791" max="11792" width="14" style="188" customWidth="1"/>
    <col min="11793" max="11793" width="15.81640625" style="188" customWidth="1"/>
    <col min="11794" max="11794" width="38.26953125" style="188" customWidth="1"/>
    <col min="11795" max="11795" width="22.54296875" style="188" bestFit="1" customWidth="1"/>
    <col min="11796" max="11796" width="1.81640625" style="188" customWidth="1"/>
    <col min="11797" max="11797" width="14.54296875" style="188" customWidth="1"/>
    <col min="11798" max="11798" width="1.81640625" style="188" customWidth="1"/>
    <col min="11799" max="11802" width="7.26953125" style="188" bestFit="1" customWidth="1"/>
    <col min="11803" max="11803" width="8.54296875" style="188" bestFit="1" customWidth="1"/>
    <col min="11804" max="11804" width="7.1796875" style="188" bestFit="1" customWidth="1"/>
    <col min="11805" max="11805" width="3.1796875" style="188" customWidth="1"/>
    <col min="11806" max="11809" width="21.81640625" style="188" bestFit="1" customWidth="1"/>
    <col min="11810" max="11810" width="9.81640625" style="188" customWidth="1"/>
    <col min="11811" max="11811" width="23.7265625" style="188" bestFit="1" customWidth="1"/>
    <col min="11812" max="11812" width="20.81640625" style="188" customWidth="1"/>
    <col min="11813" max="12032" width="9.1796875" style="188"/>
    <col min="12033" max="12033" width="10" style="188" customWidth="1"/>
    <col min="12034" max="12034" width="10.26953125" style="188" bestFit="1" customWidth="1"/>
    <col min="12035" max="12035" width="19.54296875" style="188" customWidth="1"/>
    <col min="12036" max="12036" width="11.1796875" style="188" customWidth="1"/>
    <col min="12037" max="12037" width="12.1796875" style="188" customWidth="1"/>
    <col min="12038" max="12038" width="9.54296875" style="188" bestFit="1" customWidth="1"/>
    <col min="12039" max="12039" width="40" style="188" bestFit="1" customWidth="1"/>
    <col min="12040" max="12040" width="9.1796875" style="188"/>
    <col min="12041" max="12042" width="14.453125" style="188" customWidth="1"/>
    <col min="12043" max="12043" width="12.54296875" style="188" customWidth="1"/>
    <col min="12044" max="12044" width="14.453125" style="188" customWidth="1"/>
    <col min="12045" max="12045" width="17.54296875" style="188" customWidth="1"/>
    <col min="12046" max="12046" width="25.7265625" style="188" customWidth="1"/>
    <col min="12047" max="12048" width="14" style="188" customWidth="1"/>
    <col min="12049" max="12049" width="15.81640625" style="188" customWidth="1"/>
    <col min="12050" max="12050" width="38.26953125" style="188" customWidth="1"/>
    <col min="12051" max="12051" width="22.54296875" style="188" bestFit="1" customWidth="1"/>
    <col min="12052" max="12052" width="1.81640625" style="188" customWidth="1"/>
    <col min="12053" max="12053" width="14.54296875" style="188" customWidth="1"/>
    <col min="12054" max="12054" width="1.81640625" style="188" customWidth="1"/>
    <col min="12055" max="12058" width="7.26953125" style="188" bestFit="1" customWidth="1"/>
    <col min="12059" max="12059" width="8.54296875" style="188" bestFit="1" customWidth="1"/>
    <col min="12060" max="12060" width="7.1796875" style="188" bestFit="1" customWidth="1"/>
    <col min="12061" max="12061" width="3.1796875" style="188" customWidth="1"/>
    <col min="12062" max="12065" width="21.81640625" style="188" bestFit="1" customWidth="1"/>
    <col min="12066" max="12066" width="9.81640625" style="188" customWidth="1"/>
    <col min="12067" max="12067" width="23.7265625" style="188" bestFit="1" customWidth="1"/>
    <col min="12068" max="12068" width="20.81640625" style="188" customWidth="1"/>
    <col min="12069" max="12288" width="9.1796875" style="188"/>
    <col min="12289" max="12289" width="10" style="188" customWidth="1"/>
    <col min="12290" max="12290" width="10.26953125" style="188" bestFit="1" customWidth="1"/>
    <col min="12291" max="12291" width="19.54296875" style="188" customWidth="1"/>
    <col min="12292" max="12292" width="11.1796875" style="188" customWidth="1"/>
    <col min="12293" max="12293" width="12.1796875" style="188" customWidth="1"/>
    <col min="12294" max="12294" width="9.54296875" style="188" bestFit="1" customWidth="1"/>
    <col min="12295" max="12295" width="40" style="188" bestFit="1" customWidth="1"/>
    <col min="12296" max="12296" width="9.1796875" style="188"/>
    <col min="12297" max="12298" width="14.453125" style="188" customWidth="1"/>
    <col min="12299" max="12299" width="12.54296875" style="188" customWidth="1"/>
    <col min="12300" max="12300" width="14.453125" style="188" customWidth="1"/>
    <col min="12301" max="12301" width="17.54296875" style="188" customWidth="1"/>
    <col min="12302" max="12302" width="25.7265625" style="188" customWidth="1"/>
    <col min="12303" max="12304" width="14" style="188" customWidth="1"/>
    <col min="12305" max="12305" width="15.81640625" style="188" customWidth="1"/>
    <col min="12306" max="12306" width="38.26953125" style="188" customWidth="1"/>
    <col min="12307" max="12307" width="22.54296875" style="188" bestFit="1" customWidth="1"/>
    <col min="12308" max="12308" width="1.81640625" style="188" customWidth="1"/>
    <col min="12309" max="12309" width="14.54296875" style="188" customWidth="1"/>
    <col min="12310" max="12310" width="1.81640625" style="188" customWidth="1"/>
    <col min="12311" max="12314" width="7.26953125" style="188" bestFit="1" customWidth="1"/>
    <col min="12315" max="12315" width="8.54296875" style="188" bestFit="1" customWidth="1"/>
    <col min="12316" max="12316" width="7.1796875" style="188" bestFit="1" customWidth="1"/>
    <col min="12317" max="12317" width="3.1796875" style="188" customWidth="1"/>
    <col min="12318" max="12321" width="21.81640625" style="188" bestFit="1" customWidth="1"/>
    <col min="12322" max="12322" width="9.81640625" style="188" customWidth="1"/>
    <col min="12323" max="12323" width="23.7265625" style="188" bestFit="1" customWidth="1"/>
    <col min="12324" max="12324" width="20.81640625" style="188" customWidth="1"/>
    <col min="12325" max="12544" width="9.1796875" style="188"/>
    <col min="12545" max="12545" width="10" style="188" customWidth="1"/>
    <col min="12546" max="12546" width="10.26953125" style="188" bestFit="1" customWidth="1"/>
    <col min="12547" max="12547" width="19.54296875" style="188" customWidth="1"/>
    <col min="12548" max="12548" width="11.1796875" style="188" customWidth="1"/>
    <col min="12549" max="12549" width="12.1796875" style="188" customWidth="1"/>
    <col min="12550" max="12550" width="9.54296875" style="188" bestFit="1" customWidth="1"/>
    <col min="12551" max="12551" width="40" style="188" bestFit="1" customWidth="1"/>
    <col min="12552" max="12552" width="9.1796875" style="188"/>
    <col min="12553" max="12554" width="14.453125" style="188" customWidth="1"/>
    <col min="12555" max="12555" width="12.54296875" style="188" customWidth="1"/>
    <col min="12556" max="12556" width="14.453125" style="188" customWidth="1"/>
    <col min="12557" max="12557" width="17.54296875" style="188" customWidth="1"/>
    <col min="12558" max="12558" width="25.7265625" style="188" customWidth="1"/>
    <col min="12559" max="12560" width="14" style="188" customWidth="1"/>
    <col min="12561" max="12561" width="15.81640625" style="188" customWidth="1"/>
    <col min="12562" max="12562" width="38.26953125" style="188" customWidth="1"/>
    <col min="12563" max="12563" width="22.54296875" style="188" bestFit="1" customWidth="1"/>
    <col min="12564" max="12564" width="1.81640625" style="188" customWidth="1"/>
    <col min="12565" max="12565" width="14.54296875" style="188" customWidth="1"/>
    <col min="12566" max="12566" width="1.81640625" style="188" customWidth="1"/>
    <col min="12567" max="12570" width="7.26953125" style="188" bestFit="1" customWidth="1"/>
    <col min="12571" max="12571" width="8.54296875" style="188" bestFit="1" customWidth="1"/>
    <col min="12572" max="12572" width="7.1796875" style="188" bestFit="1" customWidth="1"/>
    <col min="12573" max="12573" width="3.1796875" style="188" customWidth="1"/>
    <col min="12574" max="12577" width="21.81640625" style="188" bestFit="1" customWidth="1"/>
    <col min="12578" max="12578" width="9.81640625" style="188" customWidth="1"/>
    <col min="12579" max="12579" width="23.7265625" style="188" bestFit="1" customWidth="1"/>
    <col min="12580" max="12580" width="20.81640625" style="188" customWidth="1"/>
    <col min="12581" max="12800" width="9.1796875" style="188"/>
    <col min="12801" max="12801" width="10" style="188" customWidth="1"/>
    <col min="12802" max="12802" width="10.26953125" style="188" bestFit="1" customWidth="1"/>
    <col min="12803" max="12803" width="19.54296875" style="188" customWidth="1"/>
    <col min="12804" max="12804" width="11.1796875" style="188" customWidth="1"/>
    <col min="12805" max="12805" width="12.1796875" style="188" customWidth="1"/>
    <col min="12806" max="12806" width="9.54296875" style="188" bestFit="1" customWidth="1"/>
    <col min="12807" max="12807" width="40" style="188" bestFit="1" customWidth="1"/>
    <col min="12808" max="12808" width="9.1796875" style="188"/>
    <col min="12809" max="12810" width="14.453125" style="188" customWidth="1"/>
    <col min="12811" max="12811" width="12.54296875" style="188" customWidth="1"/>
    <col min="12812" max="12812" width="14.453125" style="188" customWidth="1"/>
    <col min="12813" max="12813" width="17.54296875" style="188" customWidth="1"/>
    <col min="12814" max="12814" width="25.7265625" style="188" customWidth="1"/>
    <col min="12815" max="12816" width="14" style="188" customWidth="1"/>
    <col min="12817" max="12817" width="15.81640625" style="188" customWidth="1"/>
    <col min="12818" max="12818" width="38.26953125" style="188" customWidth="1"/>
    <col min="12819" max="12819" width="22.54296875" style="188" bestFit="1" customWidth="1"/>
    <col min="12820" max="12820" width="1.81640625" style="188" customWidth="1"/>
    <col min="12821" max="12821" width="14.54296875" style="188" customWidth="1"/>
    <col min="12822" max="12822" width="1.81640625" style="188" customWidth="1"/>
    <col min="12823" max="12826" width="7.26953125" style="188" bestFit="1" customWidth="1"/>
    <col min="12827" max="12827" width="8.54296875" style="188" bestFit="1" customWidth="1"/>
    <col min="12828" max="12828" width="7.1796875" style="188" bestFit="1" customWidth="1"/>
    <col min="12829" max="12829" width="3.1796875" style="188" customWidth="1"/>
    <col min="12830" max="12833" width="21.81640625" style="188" bestFit="1" customWidth="1"/>
    <col min="12834" max="12834" width="9.81640625" style="188" customWidth="1"/>
    <col min="12835" max="12835" width="23.7265625" style="188" bestFit="1" customWidth="1"/>
    <col min="12836" max="12836" width="20.81640625" style="188" customWidth="1"/>
    <col min="12837" max="13056" width="9.1796875" style="188"/>
    <col min="13057" max="13057" width="10" style="188" customWidth="1"/>
    <col min="13058" max="13058" width="10.26953125" style="188" bestFit="1" customWidth="1"/>
    <col min="13059" max="13059" width="19.54296875" style="188" customWidth="1"/>
    <col min="13060" max="13060" width="11.1796875" style="188" customWidth="1"/>
    <col min="13061" max="13061" width="12.1796875" style="188" customWidth="1"/>
    <col min="13062" max="13062" width="9.54296875" style="188" bestFit="1" customWidth="1"/>
    <col min="13063" max="13063" width="40" style="188" bestFit="1" customWidth="1"/>
    <col min="13064" max="13064" width="9.1796875" style="188"/>
    <col min="13065" max="13066" width="14.453125" style="188" customWidth="1"/>
    <col min="13067" max="13067" width="12.54296875" style="188" customWidth="1"/>
    <col min="13068" max="13068" width="14.453125" style="188" customWidth="1"/>
    <col min="13069" max="13069" width="17.54296875" style="188" customWidth="1"/>
    <col min="13070" max="13070" width="25.7265625" style="188" customWidth="1"/>
    <col min="13071" max="13072" width="14" style="188" customWidth="1"/>
    <col min="13073" max="13073" width="15.81640625" style="188" customWidth="1"/>
    <col min="13074" max="13074" width="38.26953125" style="188" customWidth="1"/>
    <col min="13075" max="13075" width="22.54296875" style="188" bestFit="1" customWidth="1"/>
    <col min="13076" max="13076" width="1.81640625" style="188" customWidth="1"/>
    <col min="13077" max="13077" width="14.54296875" style="188" customWidth="1"/>
    <col min="13078" max="13078" width="1.81640625" style="188" customWidth="1"/>
    <col min="13079" max="13082" width="7.26953125" style="188" bestFit="1" customWidth="1"/>
    <col min="13083" max="13083" width="8.54296875" style="188" bestFit="1" customWidth="1"/>
    <col min="13084" max="13084" width="7.1796875" style="188" bestFit="1" customWidth="1"/>
    <col min="13085" max="13085" width="3.1796875" style="188" customWidth="1"/>
    <col min="13086" max="13089" width="21.81640625" style="188" bestFit="1" customWidth="1"/>
    <col min="13090" max="13090" width="9.81640625" style="188" customWidth="1"/>
    <col min="13091" max="13091" width="23.7265625" style="188" bestFit="1" customWidth="1"/>
    <col min="13092" max="13092" width="20.81640625" style="188" customWidth="1"/>
    <col min="13093" max="13312" width="9.1796875" style="188"/>
    <col min="13313" max="13313" width="10" style="188" customWidth="1"/>
    <col min="13314" max="13314" width="10.26953125" style="188" bestFit="1" customWidth="1"/>
    <col min="13315" max="13315" width="19.54296875" style="188" customWidth="1"/>
    <col min="13316" max="13316" width="11.1796875" style="188" customWidth="1"/>
    <col min="13317" max="13317" width="12.1796875" style="188" customWidth="1"/>
    <col min="13318" max="13318" width="9.54296875" style="188" bestFit="1" customWidth="1"/>
    <col min="13319" max="13319" width="40" style="188" bestFit="1" customWidth="1"/>
    <col min="13320" max="13320" width="9.1796875" style="188"/>
    <col min="13321" max="13322" width="14.453125" style="188" customWidth="1"/>
    <col min="13323" max="13323" width="12.54296875" style="188" customWidth="1"/>
    <col min="13324" max="13324" width="14.453125" style="188" customWidth="1"/>
    <col min="13325" max="13325" width="17.54296875" style="188" customWidth="1"/>
    <col min="13326" max="13326" width="25.7265625" style="188" customWidth="1"/>
    <col min="13327" max="13328" width="14" style="188" customWidth="1"/>
    <col min="13329" max="13329" width="15.81640625" style="188" customWidth="1"/>
    <col min="13330" max="13330" width="38.26953125" style="188" customWidth="1"/>
    <col min="13331" max="13331" width="22.54296875" style="188" bestFit="1" customWidth="1"/>
    <col min="13332" max="13332" width="1.81640625" style="188" customWidth="1"/>
    <col min="13333" max="13333" width="14.54296875" style="188" customWidth="1"/>
    <col min="13334" max="13334" width="1.81640625" style="188" customWidth="1"/>
    <col min="13335" max="13338" width="7.26953125" style="188" bestFit="1" customWidth="1"/>
    <col min="13339" max="13339" width="8.54296875" style="188" bestFit="1" customWidth="1"/>
    <col min="13340" max="13340" width="7.1796875" style="188" bestFit="1" customWidth="1"/>
    <col min="13341" max="13341" width="3.1796875" style="188" customWidth="1"/>
    <col min="13342" max="13345" width="21.81640625" style="188" bestFit="1" customWidth="1"/>
    <col min="13346" max="13346" width="9.81640625" style="188" customWidth="1"/>
    <col min="13347" max="13347" width="23.7265625" style="188" bestFit="1" customWidth="1"/>
    <col min="13348" max="13348" width="20.81640625" style="188" customWidth="1"/>
    <col min="13349" max="13568" width="9.1796875" style="188"/>
    <col min="13569" max="13569" width="10" style="188" customWidth="1"/>
    <col min="13570" max="13570" width="10.26953125" style="188" bestFit="1" customWidth="1"/>
    <col min="13571" max="13571" width="19.54296875" style="188" customWidth="1"/>
    <col min="13572" max="13572" width="11.1796875" style="188" customWidth="1"/>
    <col min="13573" max="13573" width="12.1796875" style="188" customWidth="1"/>
    <col min="13574" max="13574" width="9.54296875" style="188" bestFit="1" customWidth="1"/>
    <col min="13575" max="13575" width="40" style="188" bestFit="1" customWidth="1"/>
    <col min="13576" max="13576" width="9.1796875" style="188"/>
    <col min="13577" max="13578" width="14.453125" style="188" customWidth="1"/>
    <col min="13579" max="13579" width="12.54296875" style="188" customWidth="1"/>
    <col min="13580" max="13580" width="14.453125" style="188" customWidth="1"/>
    <col min="13581" max="13581" width="17.54296875" style="188" customWidth="1"/>
    <col min="13582" max="13582" width="25.7265625" style="188" customWidth="1"/>
    <col min="13583" max="13584" width="14" style="188" customWidth="1"/>
    <col min="13585" max="13585" width="15.81640625" style="188" customWidth="1"/>
    <col min="13586" max="13586" width="38.26953125" style="188" customWidth="1"/>
    <col min="13587" max="13587" width="22.54296875" style="188" bestFit="1" customWidth="1"/>
    <col min="13588" max="13588" width="1.81640625" style="188" customWidth="1"/>
    <col min="13589" max="13589" width="14.54296875" style="188" customWidth="1"/>
    <col min="13590" max="13590" width="1.81640625" style="188" customWidth="1"/>
    <col min="13591" max="13594" width="7.26953125" style="188" bestFit="1" customWidth="1"/>
    <col min="13595" max="13595" width="8.54296875" style="188" bestFit="1" customWidth="1"/>
    <col min="13596" max="13596" width="7.1796875" style="188" bestFit="1" customWidth="1"/>
    <col min="13597" max="13597" width="3.1796875" style="188" customWidth="1"/>
    <col min="13598" max="13601" width="21.81640625" style="188" bestFit="1" customWidth="1"/>
    <col min="13602" max="13602" width="9.81640625" style="188" customWidth="1"/>
    <col min="13603" max="13603" width="23.7265625" style="188" bestFit="1" customWidth="1"/>
    <col min="13604" max="13604" width="20.81640625" style="188" customWidth="1"/>
    <col min="13605" max="13824" width="9.1796875" style="188"/>
    <col min="13825" max="13825" width="10" style="188" customWidth="1"/>
    <col min="13826" max="13826" width="10.26953125" style="188" bestFit="1" customWidth="1"/>
    <col min="13827" max="13827" width="19.54296875" style="188" customWidth="1"/>
    <col min="13828" max="13828" width="11.1796875" style="188" customWidth="1"/>
    <col min="13829" max="13829" width="12.1796875" style="188" customWidth="1"/>
    <col min="13830" max="13830" width="9.54296875" style="188" bestFit="1" customWidth="1"/>
    <col min="13831" max="13831" width="40" style="188" bestFit="1" customWidth="1"/>
    <col min="13832" max="13832" width="9.1796875" style="188"/>
    <col min="13833" max="13834" width="14.453125" style="188" customWidth="1"/>
    <col min="13835" max="13835" width="12.54296875" style="188" customWidth="1"/>
    <col min="13836" max="13836" width="14.453125" style="188" customWidth="1"/>
    <col min="13837" max="13837" width="17.54296875" style="188" customWidth="1"/>
    <col min="13838" max="13838" width="25.7265625" style="188" customWidth="1"/>
    <col min="13839" max="13840" width="14" style="188" customWidth="1"/>
    <col min="13841" max="13841" width="15.81640625" style="188" customWidth="1"/>
    <col min="13842" max="13842" width="38.26953125" style="188" customWidth="1"/>
    <col min="13843" max="13843" width="22.54296875" style="188" bestFit="1" customWidth="1"/>
    <col min="13844" max="13844" width="1.81640625" style="188" customWidth="1"/>
    <col min="13845" max="13845" width="14.54296875" style="188" customWidth="1"/>
    <col min="13846" max="13846" width="1.81640625" style="188" customWidth="1"/>
    <col min="13847" max="13850" width="7.26953125" style="188" bestFit="1" customWidth="1"/>
    <col min="13851" max="13851" width="8.54296875" style="188" bestFit="1" customWidth="1"/>
    <col min="13852" max="13852" width="7.1796875" style="188" bestFit="1" customWidth="1"/>
    <col min="13853" max="13853" width="3.1796875" style="188" customWidth="1"/>
    <col min="13854" max="13857" width="21.81640625" style="188" bestFit="1" customWidth="1"/>
    <col min="13858" max="13858" width="9.81640625" style="188" customWidth="1"/>
    <col min="13859" max="13859" width="23.7265625" style="188" bestFit="1" customWidth="1"/>
    <col min="13860" max="13860" width="20.81640625" style="188" customWidth="1"/>
    <col min="13861" max="14080" width="9.1796875" style="188"/>
    <col min="14081" max="14081" width="10" style="188" customWidth="1"/>
    <col min="14082" max="14082" width="10.26953125" style="188" bestFit="1" customWidth="1"/>
    <col min="14083" max="14083" width="19.54296875" style="188" customWidth="1"/>
    <col min="14084" max="14084" width="11.1796875" style="188" customWidth="1"/>
    <col min="14085" max="14085" width="12.1796875" style="188" customWidth="1"/>
    <col min="14086" max="14086" width="9.54296875" style="188" bestFit="1" customWidth="1"/>
    <col min="14087" max="14087" width="40" style="188" bestFit="1" customWidth="1"/>
    <col min="14088" max="14088" width="9.1796875" style="188"/>
    <col min="14089" max="14090" width="14.453125" style="188" customWidth="1"/>
    <col min="14091" max="14091" width="12.54296875" style="188" customWidth="1"/>
    <col min="14092" max="14092" width="14.453125" style="188" customWidth="1"/>
    <col min="14093" max="14093" width="17.54296875" style="188" customWidth="1"/>
    <col min="14094" max="14094" width="25.7265625" style="188" customWidth="1"/>
    <col min="14095" max="14096" width="14" style="188" customWidth="1"/>
    <col min="14097" max="14097" width="15.81640625" style="188" customWidth="1"/>
    <col min="14098" max="14098" width="38.26953125" style="188" customWidth="1"/>
    <col min="14099" max="14099" width="22.54296875" style="188" bestFit="1" customWidth="1"/>
    <col min="14100" max="14100" width="1.81640625" style="188" customWidth="1"/>
    <col min="14101" max="14101" width="14.54296875" style="188" customWidth="1"/>
    <col min="14102" max="14102" width="1.81640625" style="188" customWidth="1"/>
    <col min="14103" max="14106" width="7.26953125" style="188" bestFit="1" customWidth="1"/>
    <col min="14107" max="14107" width="8.54296875" style="188" bestFit="1" customWidth="1"/>
    <col min="14108" max="14108" width="7.1796875" style="188" bestFit="1" customWidth="1"/>
    <col min="14109" max="14109" width="3.1796875" style="188" customWidth="1"/>
    <col min="14110" max="14113" width="21.81640625" style="188" bestFit="1" customWidth="1"/>
    <col min="14114" max="14114" width="9.81640625" style="188" customWidth="1"/>
    <col min="14115" max="14115" width="23.7265625" style="188" bestFit="1" customWidth="1"/>
    <col min="14116" max="14116" width="20.81640625" style="188" customWidth="1"/>
    <col min="14117" max="14336" width="9.1796875" style="188"/>
    <col min="14337" max="14337" width="10" style="188" customWidth="1"/>
    <col min="14338" max="14338" width="10.26953125" style="188" bestFit="1" customWidth="1"/>
    <col min="14339" max="14339" width="19.54296875" style="188" customWidth="1"/>
    <col min="14340" max="14340" width="11.1796875" style="188" customWidth="1"/>
    <col min="14341" max="14341" width="12.1796875" style="188" customWidth="1"/>
    <col min="14342" max="14342" width="9.54296875" style="188" bestFit="1" customWidth="1"/>
    <col min="14343" max="14343" width="40" style="188" bestFit="1" customWidth="1"/>
    <col min="14344" max="14344" width="9.1796875" style="188"/>
    <col min="14345" max="14346" width="14.453125" style="188" customWidth="1"/>
    <col min="14347" max="14347" width="12.54296875" style="188" customWidth="1"/>
    <col min="14348" max="14348" width="14.453125" style="188" customWidth="1"/>
    <col min="14349" max="14349" width="17.54296875" style="188" customWidth="1"/>
    <col min="14350" max="14350" width="25.7265625" style="188" customWidth="1"/>
    <col min="14351" max="14352" width="14" style="188" customWidth="1"/>
    <col min="14353" max="14353" width="15.81640625" style="188" customWidth="1"/>
    <col min="14354" max="14354" width="38.26953125" style="188" customWidth="1"/>
    <col min="14355" max="14355" width="22.54296875" style="188" bestFit="1" customWidth="1"/>
    <col min="14356" max="14356" width="1.81640625" style="188" customWidth="1"/>
    <col min="14357" max="14357" width="14.54296875" style="188" customWidth="1"/>
    <col min="14358" max="14358" width="1.81640625" style="188" customWidth="1"/>
    <col min="14359" max="14362" width="7.26953125" style="188" bestFit="1" customWidth="1"/>
    <col min="14363" max="14363" width="8.54296875" style="188" bestFit="1" customWidth="1"/>
    <col min="14364" max="14364" width="7.1796875" style="188" bestFit="1" customWidth="1"/>
    <col min="14365" max="14365" width="3.1796875" style="188" customWidth="1"/>
    <col min="14366" max="14369" width="21.81640625" style="188" bestFit="1" customWidth="1"/>
    <col min="14370" max="14370" width="9.81640625" style="188" customWidth="1"/>
    <col min="14371" max="14371" width="23.7265625" style="188" bestFit="1" customWidth="1"/>
    <col min="14372" max="14372" width="20.81640625" style="188" customWidth="1"/>
    <col min="14373" max="14592" width="9.1796875" style="188"/>
    <col min="14593" max="14593" width="10" style="188" customWidth="1"/>
    <col min="14594" max="14594" width="10.26953125" style="188" bestFit="1" customWidth="1"/>
    <col min="14595" max="14595" width="19.54296875" style="188" customWidth="1"/>
    <col min="14596" max="14596" width="11.1796875" style="188" customWidth="1"/>
    <col min="14597" max="14597" width="12.1796875" style="188" customWidth="1"/>
    <col min="14598" max="14598" width="9.54296875" style="188" bestFit="1" customWidth="1"/>
    <col min="14599" max="14599" width="40" style="188" bestFit="1" customWidth="1"/>
    <col min="14600" max="14600" width="9.1796875" style="188"/>
    <col min="14601" max="14602" width="14.453125" style="188" customWidth="1"/>
    <col min="14603" max="14603" width="12.54296875" style="188" customWidth="1"/>
    <col min="14604" max="14604" width="14.453125" style="188" customWidth="1"/>
    <col min="14605" max="14605" width="17.54296875" style="188" customWidth="1"/>
    <col min="14606" max="14606" width="25.7265625" style="188" customWidth="1"/>
    <col min="14607" max="14608" width="14" style="188" customWidth="1"/>
    <col min="14609" max="14609" width="15.81640625" style="188" customWidth="1"/>
    <col min="14610" max="14610" width="38.26953125" style="188" customWidth="1"/>
    <col min="14611" max="14611" width="22.54296875" style="188" bestFit="1" customWidth="1"/>
    <col min="14612" max="14612" width="1.81640625" style="188" customWidth="1"/>
    <col min="14613" max="14613" width="14.54296875" style="188" customWidth="1"/>
    <col min="14614" max="14614" width="1.81640625" style="188" customWidth="1"/>
    <col min="14615" max="14618" width="7.26953125" style="188" bestFit="1" customWidth="1"/>
    <col min="14619" max="14619" width="8.54296875" style="188" bestFit="1" customWidth="1"/>
    <col min="14620" max="14620" width="7.1796875" style="188" bestFit="1" customWidth="1"/>
    <col min="14621" max="14621" width="3.1796875" style="188" customWidth="1"/>
    <col min="14622" max="14625" width="21.81640625" style="188" bestFit="1" customWidth="1"/>
    <col min="14626" max="14626" width="9.81640625" style="188" customWidth="1"/>
    <col min="14627" max="14627" width="23.7265625" style="188" bestFit="1" customWidth="1"/>
    <col min="14628" max="14628" width="20.81640625" style="188" customWidth="1"/>
    <col min="14629" max="14848" width="9.1796875" style="188"/>
    <col min="14849" max="14849" width="10" style="188" customWidth="1"/>
    <col min="14850" max="14850" width="10.26953125" style="188" bestFit="1" customWidth="1"/>
    <col min="14851" max="14851" width="19.54296875" style="188" customWidth="1"/>
    <col min="14852" max="14852" width="11.1796875" style="188" customWidth="1"/>
    <col min="14853" max="14853" width="12.1796875" style="188" customWidth="1"/>
    <col min="14854" max="14854" width="9.54296875" style="188" bestFit="1" customWidth="1"/>
    <col min="14855" max="14855" width="40" style="188" bestFit="1" customWidth="1"/>
    <col min="14856" max="14856" width="9.1796875" style="188"/>
    <col min="14857" max="14858" width="14.453125" style="188" customWidth="1"/>
    <col min="14859" max="14859" width="12.54296875" style="188" customWidth="1"/>
    <col min="14860" max="14860" width="14.453125" style="188" customWidth="1"/>
    <col min="14861" max="14861" width="17.54296875" style="188" customWidth="1"/>
    <col min="14862" max="14862" width="25.7265625" style="188" customWidth="1"/>
    <col min="14863" max="14864" width="14" style="188" customWidth="1"/>
    <col min="14865" max="14865" width="15.81640625" style="188" customWidth="1"/>
    <col min="14866" max="14866" width="38.26953125" style="188" customWidth="1"/>
    <col min="14867" max="14867" width="22.54296875" style="188" bestFit="1" customWidth="1"/>
    <col min="14868" max="14868" width="1.81640625" style="188" customWidth="1"/>
    <col min="14869" max="14869" width="14.54296875" style="188" customWidth="1"/>
    <col min="14870" max="14870" width="1.81640625" style="188" customWidth="1"/>
    <col min="14871" max="14874" width="7.26953125" style="188" bestFit="1" customWidth="1"/>
    <col min="14875" max="14875" width="8.54296875" style="188" bestFit="1" customWidth="1"/>
    <col min="14876" max="14876" width="7.1796875" style="188" bestFit="1" customWidth="1"/>
    <col min="14877" max="14877" width="3.1796875" style="188" customWidth="1"/>
    <col min="14878" max="14881" width="21.81640625" style="188" bestFit="1" customWidth="1"/>
    <col min="14882" max="14882" width="9.81640625" style="188" customWidth="1"/>
    <col min="14883" max="14883" width="23.7265625" style="188" bestFit="1" customWidth="1"/>
    <col min="14884" max="14884" width="20.81640625" style="188" customWidth="1"/>
    <col min="14885" max="15104" width="9.1796875" style="188"/>
    <col min="15105" max="15105" width="10" style="188" customWidth="1"/>
    <col min="15106" max="15106" width="10.26953125" style="188" bestFit="1" customWidth="1"/>
    <col min="15107" max="15107" width="19.54296875" style="188" customWidth="1"/>
    <col min="15108" max="15108" width="11.1796875" style="188" customWidth="1"/>
    <col min="15109" max="15109" width="12.1796875" style="188" customWidth="1"/>
    <col min="15110" max="15110" width="9.54296875" style="188" bestFit="1" customWidth="1"/>
    <col min="15111" max="15111" width="40" style="188" bestFit="1" customWidth="1"/>
    <col min="15112" max="15112" width="9.1796875" style="188"/>
    <col min="15113" max="15114" width="14.453125" style="188" customWidth="1"/>
    <col min="15115" max="15115" width="12.54296875" style="188" customWidth="1"/>
    <col min="15116" max="15116" width="14.453125" style="188" customWidth="1"/>
    <col min="15117" max="15117" width="17.54296875" style="188" customWidth="1"/>
    <col min="15118" max="15118" width="25.7265625" style="188" customWidth="1"/>
    <col min="15119" max="15120" width="14" style="188" customWidth="1"/>
    <col min="15121" max="15121" width="15.81640625" style="188" customWidth="1"/>
    <col min="15122" max="15122" width="38.26953125" style="188" customWidth="1"/>
    <col min="15123" max="15123" width="22.54296875" style="188" bestFit="1" customWidth="1"/>
    <col min="15124" max="15124" width="1.81640625" style="188" customWidth="1"/>
    <col min="15125" max="15125" width="14.54296875" style="188" customWidth="1"/>
    <col min="15126" max="15126" width="1.81640625" style="188" customWidth="1"/>
    <col min="15127" max="15130" width="7.26953125" style="188" bestFit="1" customWidth="1"/>
    <col min="15131" max="15131" width="8.54296875" style="188" bestFit="1" customWidth="1"/>
    <col min="15132" max="15132" width="7.1796875" style="188" bestFit="1" customWidth="1"/>
    <col min="15133" max="15133" width="3.1796875" style="188" customWidth="1"/>
    <col min="15134" max="15137" width="21.81640625" style="188" bestFit="1" customWidth="1"/>
    <col min="15138" max="15138" width="9.81640625" style="188" customWidth="1"/>
    <col min="15139" max="15139" width="23.7265625" style="188" bestFit="1" customWidth="1"/>
    <col min="15140" max="15140" width="20.81640625" style="188" customWidth="1"/>
    <col min="15141" max="15360" width="9.1796875" style="188"/>
    <col min="15361" max="15361" width="10" style="188" customWidth="1"/>
    <col min="15362" max="15362" width="10.26953125" style="188" bestFit="1" customWidth="1"/>
    <col min="15363" max="15363" width="19.54296875" style="188" customWidth="1"/>
    <col min="15364" max="15364" width="11.1796875" style="188" customWidth="1"/>
    <col min="15365" max="15365" width="12.1796875" style="188" customWidth="1"/>
    <col min="15366" max="15366" width="9.54296875" style="188" bestFit="1" customWidth="1"/>
    <col min="15367" max="15367" width="40" style="188" bestFit="1" customWidth="1"/>
    <col min="15368" max="15368" width="9.1796875" style="188"/>
    <col min="15369" max="15370" width="14.453125" style="188" customWidth="1"/>
    <col min="15371" max="15371" width="12.54296875" style="188" customWidth="1"/>
    <col min="15372" max="15372" width="14.453125" style="188" customWidth="1"/>
    <col min="15373" max="15373" width="17.54296875" style="188" customWidth="1"/>
    <col min="15374" max="15374" width="25.7265625" style="188" customWidth="1"/>
    <col min="15375" max="15376" width="14" style="188" customWidth="1"/>
    <col min="15377" max="15377" width="15.81640625" style="188" customWidth="1"/>
    <col min="15378" max="15378" width="38.26953125" style="188" customWidth="1"/>
    <col min="15379" max="15379" width="22.54296875" style="188" bestFit="1" customWidth="1"/>
    <col min="15380" max="15380" width="1.81640625" style="188" customWidth="1"/>
    <col min="15381" max="15381" width="14.54296875" style="188" customWidth="1"/>
    <col min="15382" max="15382" width="1.81640625" style="188" customWidth="1"/>
    <col min="15383" max="15386" width="7.26953125" style="188" bestFit="1" customWidth="1"/>
    <col min="15387" max="15387" width="8.54296875" style="188" bestFit="1" customWidth="1"/>
    <col min="15388" max="15388" width="7.1796875" style="188" bestFit="1" customWidth="1"/>
    <col min="15389" max="15389" width="3.1796875" style="188" customWidth="1"/>
    <col min="15390" max="15393" width="21.81640625" style="188" bestFit="1" customWidth="1"/>
    <col min="15394" max="15394" width="9.81640625" style="188" customWidth="1"/>
    <col min="15395" max="15395" width="23.7265625" style="188" bestFit="1" customWidth="1"/>
    <col min="15396" max="15396" width="20.81640625" style="188" customWidth="1"/>
    <col min="15397" max="15616" width="9.1796875" style="188"/>
    <col min="15617" max="15617" width="10" style="188" customWidth="1"/>
    <col min="15618" max="15618" width="10.26953125" style="188" bestFit="1" customWidth="1"/>
    <col min="15619" max="15619" width="19.54296875" style="188" customWidth="1"/>
    <col min="15620" max="15620" width="11.1796875" style="188" customWidth="1"/>
    <col min="15621" max="15621" width="12.1796875" style="188" customWidth="1"/>
    <col min="15622" max="15622" width="9.54296875" style="188" bestFit="1" customWidth="1"/>
    <col min="15623" max="15623" width="40" style="188" bestFit="1" customWidth="1"/>
    <col min="15624" max="15624" width="9.1796875" style="188"/>
    <col min="15625" max="15626" width="14.453125" style="188" customWidth="1"/>
    <col min="15627" max="15627" width="12.54296875" style="188" customWidth="1"/>
    <col min="15628" max="15628" width="14.453125" style="188" customWidth="1"/>
    <col min="15629" max="15629" width="17.54296875" style="188" customWidth="1"/>
    <col min="15630" max="15630" width="25.7265625" style="188" customWidth="1"/>
    <col min="15631" max="15632" width="14" style="188" customWidth="1"/>
    <col min="15633" max="15633" width="15.81640625" style="188" customWidth="1"/>
    <col min="15634" max="15634" width="38.26953125" style="188" customWidth="1"/>
    <col min="15635" max="15635" width="22.54296875" style="188" bestFit="1" customWidth="1"/>
    <col min="15636" max="15636" width="1.81640625" style="188" customWidth="1"/>
    <col min="15637" max="15637" width="14.54296875" style="188" customWidth="1"/>
    <col min="15638" max="15638" width="1.81640625" style="188" customWidth="1"/>
    <col min="15639" max="15642" width="7.26953125" style="188" bestFit="1" customWidth="1"/>
    <col min="15643" max="15643" width="8.54296875" style="188" bestFit="1" customWidth="1"/>
    <col min="15644" max="15644" width="7.1796875" style="188" bestFit="1" customWidth="1"/>
    <col min="15645" max="15645" width="3.1796875" style="188" customWidth="1"/>
    <col min="15646" max="15649" width="21.81640625" style="188" bestFit="1" customWidth="1"/>
    <col min="15650" max="15650" width="9.81640625" style="188" customWidth="1"/>
    <col min="15651" max="15651" width="23.7265625" style="188" bestFit="1" customWidth="1"/>
    <col min="15652" max="15652" width="20.81640625" style="188" customWidth="1"/>
    <col min="15653" max="15872" width="9.1796875" style="188"/>
    <col min="15873" max="15873" width="10" style="188" customWidth="1"/>
    <col min="15874" max="15874" width="10.26953125" style="188" bestFit="1" customWidth="1"/>
    <col min="15875" max="15875" width="19.54296875" style="188" customWidth="1"/>
    <col min="15876" max="15876" width="11.1796875" style="188" customWidth="1"/>
    <col min="15877" max="15877" width="12.1796875" style="188" customWidth="1"/>
    <col min="15878" max="15878" width="9.54296875" style="188" bestFit="1" customWidth="1"/>
    <col min="15879" max="15879" width="40" style="188" bestFit="1" customWidth="1"/>
    <col min="15880" max="15880" width="9.1796875" style="188"/>
    <col min="15881" max="15882" width="14.453125" style="188" customWidth="1"/>
    <col min="15883" max="15883" width="12.54296875" style="188" customWidth="1"/>
    <col min="15884" max="15884" width="14.453125" style="188" customWidth="1"/>
    <col min="15885" max="15885" width="17.54296875" style="188" customWidth="1"/>
    <col min="15886" max="15886" width="25.7265625" style="188" customWidth="1"/>
    <col min="15887" max="15888" width="14" style="188" customWidth="1"/>
    <col min="15889" max="15889" width="15.81640625" style="188" customWidth="1"/>
    <col min="15890" max="15890" width="38.26953125" style="188" customWidth="1"/>
    <col min="15891" max="15891" width="22.54296875" style="188" bestFit="1" customWidth="1"/>
    <col min="15892" max="15892" width="1.81640625" style="188" customWidth="1"/>
    <col min="15893" max="15893" width="14.54296875" style="188" customWidth="1"/>
    <col min="15894" max="15894" width="1.81640625" style="188" customWidth="1"/>
    <col min="15895" max="15898" width="7.26953125" style="188" bestFit="1" customWidth="1"/>
    <col min="15899" max="15899" width="8.54296875" style="188" bestFit="1" customWidth="1"/>
    <col min="15900" max="15900" width="7.1796875" style="188" bestFit="1" customWidth="1"/>
    <col min="15901" max="15901" width="3.1796875" style="188" customWidth="1"/>
    <col min="15902" max="15905" width="21.81640625" style="188" bestFit="1" customWidth="1"/>
    <col min="15906" max="15906" width="9.81640625" style="188" customWidth="1"/>
    <col min="15907" max="15907" width="23.7265625" style="188" bestFit="1" customWidth="1"/>
    <col min="15908" max="15908" width="20.81640625" style="188" customWidth="1"/>
    <col min="15909" max="16128" width="9.1796875" style="188"/>
    <col min="16129" max="16129" width="10" style="188" customWidth="1"/>
    <col min="16130" max="16130" width="10.26953125" style="188" bestFit="1" customWidth="1"/>
    <col min="16131" max="16131" width="19.54296875" style="188" customWidth="1"/>
    <col min="16132" max="16132" width="11.1796875" style="188" customWidth="1"/>
    <col min="16133" max="16133" width="12.1796875" style="188" customWidth="1"/>
    <col min="16134" max="16134" width="9.54296875" style="188" bestFit="1" customWidth="1"/>
    <col min="16135" max="16135" width="40" style="188" bestFit="1" customWidth="1"/>
    <col min="16136" max="16136" width="9.1796875" style="188"/>
    <col min="16137" max="16138" width="14.453125" style="188" customWidth="1"/>
    <col min="16139" max="16139" width="12.54296875" style="188" customWidth="1"/>
    <col min="16140" max="16140" width="14.453125" style="188" customWidth="1"/>
    <col min="16141" max="16141" width="17.54296875" style="188" customWidth="1"/>
    <col min="16142" max="16142" width="25.7265625" style="188" customWidth="1"/>
    <col min="16143" max="16144" width="14" style="188" customWidth="1"/>
    <col min="16145" max="16145" width="15.81640625" style="188" customWidth="1"/>
    <col min="16146" max="16146" width="38.26953125" style="188" customWidth="1"/>
    <col min="16147" max="16147" width="22.54296875" style="188" bestFit="1" customWidth="1"/>
    <col min="16148" max="16148" width="1.81640625" style="188" customWidth="1"/>
    <col min="16149" max="16149" width="14.54296875" style="188" customWidth="1"/>
    <col min="16150" max="16150" width="1.81640625" style="188" customWidth="1"/>
    <col min="16151" max="16154" width="7.26953125" style="188" bestFit="1" customWidth="1"/>
    <col min="16155" max="16155" width="8.54296875" style="188" bestFit="1" customWidth="1"/>
    <col min="16156" max="16156" width="7.1796875" style="188" bestFit="1" customWidth="1"/>
    <col min="16157" max="16157" width="3.1796875" style="188" customWidth="1"/>
    <col min="16158" max="16161" width="21.81640625" style="188" bestFit="1" customWidth="1"/>
    <col min="16162" max="16162" width="9.81640625" style="188" customWidth="1"/>
    <col min="16163" max="16163" width="23.7265625" style="188" bestFit="1" customWidth="1"/>
    <col min="16164" max="16164" width="20.81640625" style="188" customWidth="1"/>
    <col min="16165" max="16384" width="9.1796875" style="188"/>
  </cols>
  <sheetData>
    <row r="1" spans="1:15" s="160" customFormat="1" ht="23.25" customHeight="1" thickBot="1" x14ac:dyDescent="0.4">
      <c r="A1" s="159" t="s">
        <v>0</v>
      </c>
      <c r="D1" s="161" t="s">
        <v>74</v>
      </c>
      <c r="E1" s="162"/>
      <c r="F1" s="162"/>
      <c r="G1" s="162"/>
      <c r="H1" s="162"/>
    </row>
    <row r="2" spans="1:15" s="160" customFormat="1" ht="18.5" x14ac:dyDescent="0.35">
      <c r="A2" s="159" t="s">
        <v>21</v>
      </c>
      <c r="D2" s="163" t="s">
        <v>120</v>
      </c>
      <c r="E2" s="162"/>
      <c r="F2" s="162"/>
      <c r="G2" s="162"/>
      <c r="H2" s="162"/>
    </row>
    <row r="3" spans="1:15" s="160" customFormat="1" ht="17.5" x14ac:dyDescent="0.35">
      <c r="A3" s="164"/>
      <c r="E3" s="162"/>
      <c r="F3" s="162"/>
      <c r="G3" s="162"/>
      <c r="H3" s="162"/>
    </row>
    <row r="4" spans="1:15" s="160" customFormat="1" ht="18.5" x14ac:dyDescent="0.45">
      <c r="A4" s="159" t="s">
        <v>22</v>
      </c>
      <c r="D4" s="165" t="s">
        <v>1</v>
      </c>
      <c r="E4" s="166" t="s">
        <v>36</v>
      </c>
      <c r="F4" s="162"/>
      <c r="G4" s="162"/>
      <c r="H4" s="162"/>
      <c r="J4" s="163"/>
      <c r="K4" s="167"/>
      <c r="L4" s="167"/>
      <c r="M4" s="366" t="s">
        <v>136</v>
      </c>
      <c r="N4" s="366"/>
      <c r="O4" s="168" t="s">
        <v>137</v>
      </c>
    </row>
    <row r="5" spans="1:15" s="160" customFormat="1" ht="18.5" x14ac:dyDescent="0.45">
      <c r="A5" s="164"/>
      <c r="D5" s="169" t="s">
        <v>29</v>
      </c>
      <c r="E5" s="170">
        <v>176</v>
      </c>
      <c r="F5" s="162"/>
      <c r="G5" s="162"/>
      <c r="H5" s="162"/>
      <c r="K5" s="162"/>
      <c r="L5" s="162"/>
      <c r="M5" s="367" t="s">
        <v>138</v>
      </c>
      <c r="N5" s="367"/>
      <c r="O5" s="171">
        <v>179</v>
      </c>
    </row>
    <row r="6" spans="1:15" s="160" customFormat="1" ht="21.5" x14ac:dyDescent="0.45">
      <c r="A6" s="164"/>
      <c r="D6" s="169" t="s">
        <v>139</v>
      </c>
      <c r="E6" s="172">
        <v>63</v>
      </c>
      <c r="F6" s="162"/>
      <c r="G6" s="162"/>
      <c r="H6" s="162"/>
      <c r="L6" s="163"/>
      <c r="M6" s="367" t="s">
        <v>140</v>
      </c>
      <c r="N6" s="367"/>
      <c r="O6" s="171">
        <f>2+8+8+8+2+3</f>
        <v>31</v>
      </c>
    </row>
    <row r="7" spans="1:15" s="160" customFormat="1" ht="18.5" x14ac:dyDescent="0.45">
      <c r="A7" s="164"/>
      <c r="D7" s="169" t="s">
        <v>2</v>
      </c>
      <c r="E7" s="170">
        <f>E5-E6</f>
        <v>113</v>
      </c>
      <c r="F7" s="162"/>
      <c r="G7" s="162"/>
      <c r="H7" s="162"/>
      <c r="L7" s="163"/>
      <c r="M7" s="367" t="s">
        <v>176</v>
      </c>
      <c r="N7" s="367"/>
      <c r="O7" s="171">
        <v>63</v>
      </c>
    </row>
    <row r="8" spans="1:15" s="160" customFormat="1" ht="17.25" customHeight="1" thickBot="1" x14ac:dyDescent="0.5">
      <c r="A8" s="164"/>
      <c r="E8" s="162"/>
      <c r="F8" s="162"/>
      <c r="G8" s="162"/>
      <c r="H8" s="162"/>
      <c r="M8" s="367" t="s">
        <v>141</v>
      </c>
      <c r="N8" s="367"/>
      <c r="O8" s="173">
        <f>E9</f>
        <v>26</v>
      </c>
    </row>
    <row r="9" spans="1:15" s="160" customFormat="1" ht="19" thickBot="1" x14ac:dyDescent="0.5">
      <c r="A9" s="159" t="s">
        <v>23</v>
      </c>
      <c r="D9" s="174">
        <v>45627</v>
      </c>
      <c r="E9" s="175">
        <v>26</v>
      </c>
      <c r="F9" s="163" t="s">
        <v>3</v>
      </c>
      <c r="G9" s="176">
        <f>S48</f>
        <v>25000375.365128011</v>
      </c>
      <c r="H9" s="177"/>
      <c r="I9" s="163" t="s">
        <v>20</v>
      </c>
      <c r="M9" s="368" t="s">
        <v>142</v>
      </c>
      <c r="N9" s="368"/>
      <c r="O9" s="171">
        <v>36</v>
      </c>
    </row>
    <row r="10" spans="1:15" s="160" customFormat="1" ht="6" customHeight="1" x14ac:dyDescent="0.35">
      <c r="A10" s="159"/>
      <c r="F10" s="159"/>
      <c r="G10" s="162"/>
      <c r="H10" s="162"/>
    </row>
    <row r="11" spans="1:15" s="160" customFormat="1" ht="18.5" x14ac:dyDescent="0.35">
      <c r="A11" s="159" t="s">
        <v>34</v>
      </c>
      <c r="D11" s="169" t="s">
        <v>24</v>
      </c>
      <c r="E11" s="178">
        <f>W48</f>
        <v>0</v>
      </c>
      <c r="F11" s="179">
        <f>E11/$E$9</f>
        <v>0</v>
      </c>
      <c r="G11" s="180">
        <f>AD48</f>
        <v>0</v>
      </c>
      <c r="H11" s="180"/>
      <c r="I11" s="179">
        <f>G11/$G$9</f>
        <v>0</v>
      </c>
    </row>
    <row r="12" spans="1:15" s="160" customFormat="1" ht="18.5" x14ac:dyDescent="0.35">
      <c r="A12" s="181"/>
      <c r="D12" s="169" t="s">
        <v>25</v>
      </c>
      <c r="E12" s="178">
        <f>X48</f>
        <v>0</v>
      </c>
      <c r="F12" s="179">
        <f>E12/$E$9</f>
        <v>0</v>
      </c>
      <c r="G12" s="180">
        <f>AE48</f>
        <v>0</v>
      </c>
      <c r="H12" s="180"/>
      <c r="I12" s="179">
        <f>G12/$G$9</f>
        <v>0</v>
      </c>
    </row>
    <row r="13" spans="1:15" s="160" customFormat="1" ht="18.5" x14ac:dyDescent="0.35">
      <c r="A13" s="181"/>
      <c r="D13" s="169" t="s">
        <v>26</v>
      </c>
      <c r="E13" s="178">
        <f>Y48</f>
        <v>0</v>
      </c>
      <c r="F13" s="179">
        <f>E13/$E$9</f>
        <v>0</v>
      </c>
      <c r="G13" s="180">
        <f>AF48</f>
        <v>0</v>
      </c>
      <c r="H13" s="180"/>
      <c r="I13" s="179">
        <f>G13/$G$9</f>
        <v>0</v>
      </c>
    </row>
    <row r="14" spans="1:15" s="160" customFormat="1" ht="18.5" x14ac:dyDescent="0.35">
      <c r="A14" s="181"/>
      <c r="D14" s="169" t="s">
        <v>27</v>
      </c>
      <c r="E14" s="178">
        <f>Z48</f>
        <v>0</v>
      </c>
      <c r="F14" s="179">
        <f>E14/$E$9</f>
        <v>0</v>
      </c>
      <c r="G14" s="180">
        <f>AG48</f>
        <v>0</v>
      </c>
      <c r="H14" s="180"/>
      <c r="I14" s="179">
        <f>G14/$G$9</f>
        <v>0</v>
      </c>
    </row>
    <row r="15" spans="1:15" s="160" customFormat="1" ht="21.5" x14ac:dyDescent="0.35">
      <c r="A15" s="181"/>
      <c r="D15" s="166" t="s">
        <v>28</v>
      </c>
      <c r="E15" s="182">
        <v>0</v>
      </c>
      <c r="F15" s="179">
        <f>E15/$E$9</f>
        <v>0</v>
      </c>
      <c r="G15" s="183">
        <v>0</v>
      </c>
      <c r="H15" s="183"/>
      <c r="I15" s="179">
        <f>G15/$G$9</f>
        <v>0</v>
      </c>
    </row>
    <row r="16" spans="1:15" s="160" customFormat="1" ht="18.5" x14ac:dyDescent="0.35">
      <c r="A16" s="181" t="s">
        <v>48</v>
      </c>
      <c r="D16" s="184" t="s">
        <v>29</v>
      </c>
      <c r="E16" s="175">
        <f>SUM(E11:E15)</f>
        <v>0</v>
      </c>
      <c r="F16" s="185">
        <f>E16/E9</f>
        <v>0</v>
      </c>
      <c r="G16" s="176">
        <f>SUM(G11:G15)</f>
        <v>0</v>
      </c>
      <c r="H16" s="177"/>
      <c r="I16" s="186">
        <f>G16/G9</f>
        <v>0</v>
      </c>
    </row>
    <row r="17" spans="1:36" ht="11" thickBot="1" x14ac:dyDescent="0.4">
      <c r="A17" s="187"/>
      <c r="D17" s="189"/>
      <c r="E17" s="189"/>
      <c r="F17" s="189"/>
      <c r="S17" s="188">
        <f>SUBTOTAL(9,S21:S47)</f>
        <v>25000375.365128011</v>
      </c>
    </row>
    <row r="18" spans="1:36" s="195" customFormat="1" ht="18.5" x14ac:dyDescent="0.35">
      <c r="A18" s="333" t="s">
        <v>4</v>
      </c>
      <c r="B18" s="335" t="s">
        <v>5</v>
      </c>
      <c r="C18" s="335" t="s">
        <v>6</v>
      </c>
      <c r="D18" s="335" t="s">
        <v>7</v>
      </c>
      <c r="E18" s="335" t="s">
        <v>16</v>
      </c>
      <c r="F18" s="335" t="s">
        <v>17</v>
      </c>
      <c r="G18" s="335" t="s">
        <v>8</v>
      </c>
      <c r="H18" s="191"/>
      <c r="I18" s="328" t="s">
        <v>18</v>
      </c>
      <c r="J18" s="328"/>
      <c r="K18" s="328"/>
      <c r="L18" s="328"/>
      <c r="M18" s="328"/>
      <c r="N18" s="328"/>
      <c r="O18" s="328"/>
      <c r="P18" s="328"/>
      <c r="Q18" s="192"/>
      <c r="R18" s="193"/>
      <c r="S18" s="362" t="s">
        <v>19</v>
      </c>
      <c r="T18" s="194"/>
      <c r="U18" s="329" t="s">
        <v>37</v>
      </c>
      <c r="V18" s="194"/>
      <c r="W18" s="322" t="s">
        <v>31</v>
      </c>
      <c r="X18" s="323"/>
      <c r="Y18" s="323"/>
      <c r="Z18" s="323"/>
      <c r="AA18" s="323"/>
      <c r="AB18" s="331"/>
      <c r="AC18" s="194"/>
      <c r="AD18" s="322" t="s">
        <v>30</v>
      </c>
      <c r="AE18" s="323"/>
      <c r="AF18" s="323"/>
      <c r="AG18" s="323"/>
      <c r="AH18" s="323"/>
      <c r="AI18" s="324"/>
      <c r="AJ18" s="325" t="s">
        <v>35</v>
      </c>
    </row>
    <row r="19" spans="1:36" s="195" customFormat="1" ht="19" thickBot="1" x14ac:dyDescent="0.4">
      <c r="A19" s="334"/>
      <c r="B19" s="336"/>
      <c r="C19" s="336"/>
      <c r="D19" s="336"/>
      <c r="E19" s="336"/>
      <c r="F19" s="336"/>
      <c r="G19" s="336"/>
      <c r="H19" s="336" t="s">
        <v>134</v>
      </c>
      <c r="I19" s="327" t="s">
        <v>9</v>
      </c>
      <c r="J19" s="327"/>
      <c r="K19" s="327" t="s">
        <v>12</v>
      </c>
      <c r="L19" s="327"/>
      <c r="M19" s="327" t="s">
        <v>13</v>
      </c>
      <c r="N19" s="327"/>
      <c r="O19" s="357" t="s">
        <v>15</v>
      </c>
      <c r="P19" s="357" t="s">
        <v>14</v>
      </c>
      <c r="Q19" s="357" t="s">
        <v>143</v>
      </c>
      <c r="R19" s="359" t="s">
        <v>144</v>
      </c>
      <c r="S19" s="363"/>
      <c r="T19" s="196"/>
      <c r="U19" s="330"/>
      <c r="V19" s="196"/>
      <c r="W19" s="320" t="s">
        <v>24</v>
      </c>
      <c r="X19" s="321" t="s">
        <v>25</v>
      </c>
      <c r="Y19" s="321" t="s">
        <v>26</v>
      </c>
      <c r="Z19" s="321" t="s">
        <v>27</v>
      </c>
      <c r="AA19" s="321" t="s">
        <v>28</v>
      </c>
      <c r="AB19" s="197" t="s">
        <v>29</v>
      </c>
      <c r="AC19" s="196"/>
      <c r="AD19" s="320" t="s">
        <v>24</v>
      </c>
      <c r="AE19" s="321" t="s">
        <v>25</v>
      </c>
      <c r="AF19" s="321" t="s">
        <v>26</v>
      </c>
      <c r="AG19" s="321" t="s">
        <v>27</v>
      </c>
      <c r="AH19" s="321" t="s">
        <v>28</v>
      </c>
      <c r="AI19" s="198" t="s">
        <v>29</v>
      </c>
      <c r="AJ19" s="326"/>
    </row>
    <row r="20" spans="1:36" s="195" customFormat="1" ht="48" customHeight="1" thickBot="1" x14ac:dyDescent="0.4">
      <c r="A20" s="365"/>
      <c r="B20" s="356"/>
      <c r="C20" s="356"/>
      <c r="D20" s="356"/>
      <c r="E20" s="356"/>
      <c r="F20" s="356"/>
      <c r="G20" s="356"/>
      <c r="H20" s="356"/>
      <c r="I20" s="199" t="s">
        <v>10</v>
      </c>
      <c r="J20" s="199" t="s">
        <v>11</v>
      </c>
      <c r="K20" s="199" t="s">
        <v>10</v>
      </c>
      <c r="L20" s="199" t="s">
        <v>11</v>
      </c>
      <c r="M20" s="199" t="s">
        <v>10</v>
      </c>
      <c r="N20" s="199" t="s">
        <v>11</v>
      </c>
      <c r="O20" s="358"/>
      <c r="P20" s="358"/>
      <c r="Q20" s="358"/>
      <c r="R20" s="360"/>
      <c r="S20" s="200" t="s">
        <v>145</v>
      </c>
      <c r="T20" s="201"/>
      <c r="U20" s="202" t="s">
        <v>38</v>
      </c>
      <c r="V20" s="201"/>
      <c r="W20" s="361"/>
      <c r="X20" s="364"/>
      <c r="Y20" s="364"/>
      <c r="Z20" s="364"/>
      <c r="AA20" s="364"/>
      <c r="AB20" s="203"/>
      <c r="AC20" s="201"/>
      <c r="AD20" s="361"/>
      <c r="AE20" s="364"/>
      <c r="AF20" s="364"/>
      <c r="AG20" s="364"/>
      <c r="AH20" s="364"/>
      <c r="AI20" s="204" t="s">
        <v>47</v>
      </c>
      <c r="AJ20" s="203" t="s">
        <v>47</v>
      </c>
    </row>
    <row r="21" spans="1:36" s="220" customFormat="1" ht="18.5" x14ac:dyDescent="0.35">
      <c r="A21" s="205">
        <v>1</v>
      </c>
      <c r="B21" s="206" t="s">
        <v>146</v>
      </c>
      <c r="C21" s="207" t="str">
        <f>VLOOKUP(B21,[1]Progress!$B$10:$C$165,2,0)</f>
        <v>DB2+0</v>
      </c>
      <c r="D21" s="205" t="s">
        <v>73</v>
      </c>
      <c r="E21" s="208">
        <v>76.03</v>
      </c>
      <c r="F21" s="209">
        <v>3.3996000000000004</v>
      </c>
      <c r="G21" s="353" t="s">
        <v>147</v>
      </c>
      <c r="H21" s="353">
        <v>15</v>
      </c>
      <c r="I21" s="210">
        <v>45622</v>
      </c>
      <c r="J21" s="210">
        <f>+I21+1</f>
        <v>45623</v>
      </c>
      <c r="K21" s="210">
        <f t="shared" ref="K21:K47" si="0">1+J21</f>
        <v>45624</v>
      </c>
      <c r="L21" s="210">
        <f>+K21+1</f>
        <v>45625</v>
      </c>
      <c r="M21" s="210">
        <f t="shared" ref="M21:M47" si="1">1+L21</f>
        <v>45626</v>
      </c>
      <c r="N21" s="210">
        <f>3+M21</f>
        <v>45629</v>
      </c>
      <c r="O21" s="210">
        <f t="shared" ref="O21:O47" si="2">N21+1</f>
        <v>45630</v>
      </c>
      <c r="P21" s="210">
        <f t="shared" ref="P21:P47" si="3">+O21+1</f>
        <v>45631</v>
      </c>
      <c r="Q21" s="211" t="s">
        <v>148</v>
      </c>
      <c r="R21" s="212" t="s">
        <v>149</v>
      </c>
      <c r="S21" s="213">
        <v>1308130.6061</v>
      </c>
      <c r="T21" s="214"/>
      <c r="U21" s="215"/>
      <c r="V21" s="214"/>
      <c r="W21" s="216"/>
      <c r="X21" s="216"/>
      <c r="Y21" s="216"/>
      <c r="Z21" s="216"/>
      <c r="AA21" s="216"/>
      <c r="AB21" s="216">
        <f t="shared" ref="AB21:AB44" si="4">SUM(W21:AA21)</f>
        <v>0</v>
      </c>
      <c r="AC21" s="214"/>
      <c r="AD21" s="217">
        <f t="shared" ref="AD21:AH36" si="5">$S21*W21</f>
        <v>0</v>
      </c>
      <c r="AE21" s="217">
        <f t="shared" si="5"/>
        <v>0</v>
      </c>
      <c r="AF21" s="217">
        <f t="shared" si="5"/>
        <v>0</v>
      </c>
      <c r="AG21" s="217">
        <f t="shared" si="5"/>
        <v>0</v>
      </c>
      <c r="AH21" s="217">
        <f t="shared" si="5"/>
        <v>0</v>
      </c>
      <c r="AI21" s="218">
        <f t="shared" ref="AI21:AI44" si="6">SUM(AD21:AH21)</f>
        <v>0</v>
      </c>
      <c r="AJ21" s="219">
        <f t="shared" ref="AJ21:AJ47" si="7">S21-AI21</f>
        <v>1308130.6061</v>
      </c>
    </row>
    <row r="22" spans="1:36" s="220" customFormat="1" ht="18.5" x14ac:dyDescent="0.35">
      <c r="A22" s="208">
        <f>1+A21</f>
        <v>2</v>
      </c>
      <c r="B22" s="221" t="s">
        <v>150</v>
      </c>
      <c r="C22" s="222" t="str">
        <f>VLOOKUP(B22,[1]Progress!$B$10:$C$165,2,0)</f>
        <v>DB1+0</v>
      </c>
      <c r="D22" s="208" t="s">
        <v>73</v>
      </c>
      <c r="E22" s="223">
        <v>63.24</v>
      </c>
      <c r="F22" s="223">
        <v>2.72</v>
      </c>
      <c r="G22" s="354"/>
      <c r="H22" s="354"/>
      <c r="I22" s="224">
        <f>P21+1</f>
        <v>45632</v>
      </c>
      <c r="J22" s="210">
        <f>+I22+1</f>
        <v>45633</v>
      </c>
      <c r="K22" s="210">
        <f t="shared" si="0"/>
        <v>45634</v>
      </c>
      <c r="L22" s="210">
        <f>+K22+1</f>
        <v>45635</v>
      </c>
      <c r="M22" s="210">
        <f t="shared" si="1"/>
        <v>45636</v>
      </c>
      <c r="N22" s="210">
        <f>3+M22</f>
        <v>45639</v>
      </c>
      <c r="O22" s="210">
        <f t="shared" si="2"/>
        <v>45640</v>
      </c>
      <c r="P22" s="210">
        <f t="shared" si="3"/>
        <v>45641</v>
      </c>
      <c r="Q22" s="225" t="s">
        <v>148</v>
      </c>
      <c r="R22" s="226" t="s">
        <v>149</v>
      </c>
      <c r="S22" s="227">
        <v>1085272.0331999999</v>
      </c>
      <c r="T22" s="228"/>
      <c r="U22" s="229"/>
      <c r="V22" s="228"/>
      <c r="W22" s="230"/>
      <c r="X22" s="230"/>
      <c r="Y22" s="230"/>
      <c r="Z22" s="230"/>
      <c r="AA22" s="230"/>
      <c r="AB22" s="230">
        <f t="shared" si="4"/>
        <v>0</v>
      </c>
      <c r="AC22" s="228"/>
      <c r="AD22" s="231">
        <f t="shared" si="5"/>
        <v>0</v>
      </c>
      <c r="AE22" s="231">
        <f t="shared" si="5"/>
        <v>0</v>
      </c>
      <c r="AF22" s="231">
        <f t="shared" si="5"/>
        <v>0</v>
      </c>
      <c r="AG22" s="231">
        <f t="shared" si="5"/>
        <v>0</v>
      </c>
      <c r="AH22" s="231">
        <f t="shared" si="5"/>
        <v>0</v>
      </c>
      <c r="AI22" s="232">
        <f t="shared" si="6"/>
        <v>0</v>
      </c>
      <c r="AJ22" s="233">
        <f t="shared" si="7"/>
        <v>1085272.0331999999</v>
      </c>
    </row>
    <row r="23" spans="1:36" s="220" customFormat="1" ht="18.5" x14ac:dyDescent="0.35">
      <c r="A23" s="208">
        <f>1+A22</f>
        <v>3</v>
      </c>
      <c r="B23" s="221" t="s">
        <v>81</v>
      </c>
      <c r="C23" s="222" t="str">
        <f>VLOOKUP(B23,[1]Progress!$B$10:$C$165,2,0)</f>
        <v>DA+3</v>
      </c>
      <c r="D23" s="208" t="s">
        <v>73</v>
      </c>
      <c r="E23" s="223">
        <v>52.23</v>
      </c>
      <c r="F23" s="223">
        <v>1.802</v>
      </c>
      <c r="G23" s="354"/>
      <c r="H23" s="354"/>
      <c r="I23" s="224">
        <f>N22+1</f>
        <v>45640</v>
      </c>
      <c r="J23" s="210">
        <f t="shared" ref="J23:J24" si="8">+I23+1</f>
        <v>45641</v>
      </c>
      <c r="K23" s="210">
        <f t="shared" si="0"/>
        <v>45642</v>
      </c>
      <c r="L23" s="210">
        <f t="shared" ref="L23:L37" si="9">+K23+2</f>
        <v>45644</v>
      </c>
      <c r="M23" s="210">
        <f t="shared" si="1"/>
        <v>45645</v>
      </c>
      <c r="N23" s="210">
        <f>1+M23</f>
        <v>45646</v>
      </c>
      <c r="O23" s="210">
        <f t="shared" si="2"/>
        <v>45647</v>
      </c>
      <c r="P23" s="210">
        <f t="shared" si="3"/>
        <v>45648</v>
      </c>
      <c r="Q23" s="225" t="s">
        <v>148</v>
      </c>
      <c r="R23" s="226" t="s">
        <v>149</v>
      </c>
      <c r="S23" s="227">
        <v>515483.34600000002</v>
      </c>
      <c r="T23" s="228"/>
      <c r="U23" s="234"/>
      <c r="V23" s="228"/>
      <c r="W23" s="230"/>
      <c r="X23" s="230"/>
      <c r="Y23" s="230"/>
      <c r="Z23" s="230"/>
      <c r="AA23" s="230"/>
      <c r="AB23" s="230">
        <f t="shared" si="4"/>
        <v>0</v>
      </c>
      <c r="AC23" s="228"/>
      <c r="AD23" s="231">
        <f t="shared" si="5"/>
        <v>0</v>
      </c>
      <c r="AE23" s="231">
        <f t="shared" si="5"/>
        <v>0</v>
      </c>
      <c r="AF23" s="231">
        <f t="shared" si="5"/>
        <v>0</v>
      </c>
      <c r="AG23" s="231">
        <f t="shared" si="5"/>
        <v>0</v>
      </c>
      <c r="AH23" s="231">
        <f t="shared" si="5"/>
        <v>0</v>
      </c>
      <c r="AI23" s="232">
        <f t="shared" si="6"/>
        <v>0</v>
      </c>
      <c r="AJ23" s="233">
        <f t="shared" si="7"/>
        <v>515483.34600000002</v>
      </c>
    </row>
    <row r="24" spans="1:36" s="220" customFormat="1" ht="25" customHeight="1" x14ac:dyDescent="0.35">
      <c r="A24" s="208">
        <f>1+A23</f>
        <v>4</v>
      </c>
      <c r="B24" s="221" t="s">
        <v>151</v>
      </c>
      <c r="C24" s="222" t="str">
        <f>VLOOKUP(B24,[1]Progress!$B$10:$C$165,2,0)</f>
        <v>DD45+0</v>
      </c>
      <c r="D24" s="208" t="s">
        <v>73</v>
      </c>
      <c r="E24" s="208">
        <v>101.56</v>
      </c>
      <c r="F24" s="235">
        <v>8.6688000000000009</v>
      </c>
      <c r="G24" s="355"/>
      <c r="H24" s="355"/>
      <c r="I24" s="224">
        <f>N23+1</f>
        <v>45647</v>
      </c>
      <c r="J24" s="210">
        <f t="shared" si="8"/>
        <v>45648</v>
      </c>
      <c r="K24" s="210">
        <f t="shared" si="0"/>
        <v>45649</v>
      </c>
      <c r="L24" s="210">
        <f t="shared" si="9"/>
        <v>45651</v>
      </c>
      <c r="M24" s="210">
        <f t="shared" si="1"/>
        <v>45652</v>
      </c>
      <c r="N24" s="210">
        <f t="shared" ref="N24" si="10">4+M24</f>
        <v>45656</v>
      </c>
      <c r="O24" s="210">
        <f t="shared" si="2"/>
        <v>45657</v>
      </c>
      <c r="P24" s="210">
        <f t="shared" si="3"/>
        <v>45658</v>
      </c>
      <c r="Q24" s="225" t="s">
        <v>148</v>
      </c>
      <c r="R24" s="226" t="s">
        <v>149</v>
      </c>
      <c r="S24" s="227">
        <v>1681855.5514760001</v>
      </c>
      <c r="T24" s="228"/>
      <c r="U24" s="236"/>
      <c r="V24" s="228"/>
      <c r="W24" s="230"/>
      <c r="X24" s="230"/>
      <c r="Y24" s="230"/>
      <c r="Z24" s="230"/>
      <c r="AA24" s="230"/>
      <c r="AB24" s="230">
        <f>SUM(W24:AA24)</f>
        <v>0</v>
      </c>
      <c r="AC24" s="228"/>
      <c r="AD24" s="231">
        <f t="shared" si="5"/>
        <v>0</v>
      </c>
      <c r="AE24" s="231">
        <f t="shared" si="5"/>
        <v>0</v>
      </c>
      <c r="AF24" s="231">
        <f t="shared" si="5"/>
        <v>0</v>
      </c>
      <c r="AG24" s="231">
        <f t="shared" si="5"/>
        <v>0</v>
      </c>
      <c r="AH24" s="231">
        <f t="shared" si="5"/>
        <v>0</v>
      </c>
      <c r="AI24" s="232">
        <f>SUM(AD24:AH24)</f>
        <v>0</v>
      </c>
      <c r="AJ24" s="233">
        <f t="shared" si="7"/>
        <v>1681855.5514760001</v>
      </c>
    </row>
    <row r="25" spans="1:36" s="220" customFormat="1" ht="18.5" x14ac:dyDescent="0.35">
      <c r="A25" s="208">
        <f t="shared" ref="A25:A27" si="11">1+A24</f>
        <v>5</v>
      </c>
      <c r="B25" s="206" t="s">
        <v>93</v>
      </c>
      <c r="C25" s="222" t="str">
        <f>VLOOKUP(B25,[1]Progress!$B$10:$C$165,2,0)</f>
        <v>DB1+9</v>
      </c>
      <c r="D25" s="208" t="s">
        <v>73</v>
      </c>
      <c r="E25" s="237">
        <v>63.78</v>
      </c>
      <c r="F25" s="238">
        <v>2.6903999999999999</v>
      </c>
      <c r="G25" s="348" t="s">
        <v>152</v>
      </c>
      <c r="H25" s="340">
        <v>15</v>
      </c>
      <c r="I25" s="210">
        <v>45631</v>
      </c>
      <c r="J25" s="210">
        <f>+I25+1</f>
        <v>45632</v>
      </c>
      <c r="K25" s="210">
        <f t="shared" si="0"/>
        <v>45633</v>
      </c>
      <c r="L25" s="210">
        <f>+K25+1</f>
        <v>45634</v>
      </c>
      <c r="M25" s="210">
        <f t="shared" si="1"/>
        <v>45635</v>
      </c>
      <c r="N25" s="210">
        <f>3+M25</f>
        <v>45638</v>
      </c>
      <c r="O25" s="210">
        <f t="shared" si="2"/>
        <v>45639</v>
      </c>
      <c r="P25" s="210">
        <f t="shared" si="3"/>
        <v>45640</v>
      </c>
      <c r="Q25" s="225" t="s">
        <v>148</v>
      </c>
      <c r="R25" s="226" t="s">
        <v>149</v>
      </c>
      <c r="S25" s="213">
        <v>1085272.0331999999</v>
      </c>
      <c r="T25" s="214"/>
      <c r="U25" s="239"/>
      <c r="V25" s="214"/>
      <c r="W25" s="216"/>
      <c r="X25" s="216"/>
      <c r="Y25" s="216"/>
      <c r="Z25" s="216"/>
      <c r="AA25" s="216"/>
      <c r="AB25" s="216">
        <f t="shared" si="4"/>
        <v>0</v>
      </c>
      <c r="AC25" s="214"/>
      <c r="AD25" s="217">
        <f t="shared" si="5"/>
        <v>0</v>
      </c>
      <c r="AE25" s="217">
        <f t="shared" si="5"/>
        <v>0</v>
      </c>
      <c r="AF25" s="217">
        <f t="shared" si="5"/>
        <v>0</v>
      </c>
      <c r="AG25" s="217">
        <f t="shared" si="5"/>
        <v>0</v>
      </c>
      <c r="AH25" s="217">
        <f t="shared" si="5"/>
        <v>0</v>
      </c>
      <c r="AI25" s="218">
        <f t="shared" si="6"/>
        <v>0</v>
      </c>
      <c r="AJ25" s="233">
        <f t="shared" si="7"/>
        <v>1085272.0331999999</v>
      </c>
    </row>
    <row r="26" spans="1:36" s="220" customFormat="1" ht="18.5" x14ac:dyDescent="0.35">
      <c r="A26" s="208">
        <f t="shared" si="11"/>
        <v>6</v>
      </c>
      <c r="B26" s="221" t="s">
        <v>94</v>
      </c>
      <c r="C26" s="222" t="str">
        <f>VLOOKUP(B26,[1]Progress!$B$10:$C$165,2,0)</f>
        <v>DA+9</v>
      </c>
      <c r="D26" s="208" t="s">
        <v>73</v>
      </c>
      <c r="E26" s="223">
        <v>52.23</v>
      </c>
      <c r="F26" s="235">
        <v>1.802</v>
      </c>
      <c r="G26" s="348"/>
      <c r="H26" s="341"/>
      <c r="I26" s="224">
        <f>N25+1</f>
        <v>45639</v>
      </c>
      <c r="J26" s="210">
        <f>+I26+1</f>
        <v>45640</v>
      </c>
      <c r="K26" s="210">
        <f t="shared" si="0"/>
        <v>45641</v>
      </c>
      <c r="L26" s="210">
        <f>+K26+1</f>
        <v>45642</v>
      </c>
      <c r="M26" s="210">
        <f t="shared" si="1"/>
        <v>45643</v>
      </c>
      <c r="N26" s="210">
        <f>2+M26</f>
        <v>45645</v>
      </c>
      <c r="O26" s="210">
        <f t="shared" si="2"/>
        <v>45646</v>
      </c>
      <c r="P26" s="210">
        <f t="shared" si="3"/>
        <v>45647</v>
      </c>
      <c r="Q26" s="225" t="s">
        <v>148</v>
      </c>
      <c r="R26" s="226" t="s">
        <v>149</v>
      </c>
      <c r="S26" s="227">
        <v>515483.34600000002</v>
      </c>
      <c r="T26" s="228"/>
      <c r="U26" s="234"/>
      <c r="V26" s="228"/>
      <c r="W26" s="230"/>
      <c r="X26" s="230"/>
      <c r="Y26" s="230"/>
      <c r="Z26" s="230"/>
      <c r="AA26" s="230"/>
      <c r="AB26" s="230">
        <f t="shared" si="4"/>
        <v>0</v>
      </c>
      <c r="AC26" s="228"/>
      <c r="AD26" s="231">
        <f t="shared" si="5"/>
        <v>0</v>
      </c>
      <c r="AE26" s="231">
        <f t="shared" si="5"/>
        <v>0</v>
      </c>
      <c r="AF26" s="231">
        <f t="shared" si="5"/>
        <v>0</v>
      </c>
      <c r="AG26" s="231">
        <f t="shared" si="5"/>
        <v>0</v>
      </c>
      <c r="AH26" s="231">
        <f t="shared" si="5"/>
        <v>0</v>
      </c>
      <c r="AI26" s="232">
        <f t="shared" si="6"/>
        <v>0</v>
      </c>
      <c r="AJ26" s="233">
        <f>S26-AI26</f>
        <v>515483.34600000002</v>
      </c>
    </row>
    <row r="27" spans="1:36" s="220" customFormat="1" ht="18.5" x14ac:dyDescent="0.35">
      <c r="A27" s="208">
        <f t="shared" si="11"/>
        <v>7</v>
      </c>
      <c r="B27" s="221" t="s">
        <v>95</v>
      </c>
      <c r="C27" s="222" t="str">
        <f>VLOOKUP(B27,[1]Progress!$B$10:$C$165,2,0)</f>
        <v>DA+3</v>
      </c>
      <c r="D27" s="208" t="s">
        <v>73</v>
      </c>
      <c r="E27" s="223">
        <v>52.23</v>
      </c>
      <c r="F27" s="235">
        <v>1.802</v>
      </c>
      <c r="G27" s="348"/>
      <c r="H27" s="341"/>
      <c r="I27" s="224">
        <f>N26+1</f>
        <v>45646</v>
      </c>
      <c r="J27" s="210">
        <f t="shared" ref="J27:J28" si="12">+I27+1</f>
        <v>45647</v>
      </c>
      <c r="K27" s="210">
        <f t="shared" si="0"/>
        <v>45648</v>
      </c>
      <c r="L27" s="210">
        <f t="shared" si="9"/>
        <v>45650</v>
      </c>
      <c r="M27" s="210">
        <f t="shared" si="1"/>
        <v>45651</v>
      </c>
      <c r="N27" s="210">
        <f>1+M27</f>
        <v>45652</v>
      </c>
      <c r="O27" s="210">
        <f t="shared" si="2"/>
        <v>45653</v>
      </c>
      <c r="P27" s="210">
        <f t="shared" si="3"/>
        <v>45654</v>
      </c>
      <c r="Q27" s="225" t="s">
        <v>148</v>
      </c>
      <c r="R27" s="226" t="s">
        <v>149</v>
      </c>
      <c r="S27" s="227">
        <v>515483.34600000002</v>
      </c>
      <c r="T27" s="228"/>
      <c r="U27" s="234"/>
      <c r="V27" s="228"/>
      <c r="W27" s="230"/>
      <c r="X27" s="230"/>
      <c r="Y27" s="230"/>
      <c r="Z27" s="230"/>
      <c r="AA27" s="230"/>
      <c r="AB27" s="230">
        <f>SUM(W27:AA27)</f>
        <v>0</v>
      </c>
      <c r="AC27" s="228"/>
      <c r="AD27" s="231">
        <f t="shared" si="5"/>
        <v>0</v>
      </c>
      <c r="AE27" s="231">
        <f t="shared" si="5"/>
        <v>0</v>
      </c>
      <c r="AF27" s="231">
        <f t="shared" si="5"/>
        <v>0</v>
      </c>
      <c r="AG27" s="231">
        <f t="shared" si="5"/>
        <v>0</v>
      </c>
      <c r="AH27" s="231">
        <f t="shared" si="5"/>
        <v>0</v>
      </c>
      <c r="AI27" s="232">
        <f>SUM(AD27:AH27)</f>
        <v>0</v>
      </c>
      <c r="AJ27" s="233">
        <f>S27-AI27</f>
        <v>515483.34600000002</v>
      </c>
    </row>
    <row r="28" spans="1:36" s="220" customFormat="1" ht="25" customHeight="1" x14ac:dyDescent="0.35">
      <c r="A28" s="208">
        <f>1+A27</f>
        <v>8</v>
      </c>
      <c r="B28" s="221" t="s">
        <v>153</v>
      </c>
      <c r="C28" s="222" t="str">
        <f>VLOOKUP(B28,[1]Progress!$B$10:$C$165,2,0)</f>
        <v>DD45+6</v>
      </c>
      <c r="D28" s="208" t="s">
        <v>73</v>
      </c>
      <c r="E28" s="208">
        <v>103.78999999999999</v>
      </c>
      <c r="F28" s="235">
        <v>9.0944000000000003</v>
      </c>
      <c r="G28" s="348"/>
      <c r="H28" s="342"/>
      <c r="I28" s="224">
        <f>J27+1</f>
        <v>45648</v>
      </c>
      <c r="J28" s="210">
        <f t="shared" si="12"/>
        <v>45649</v>
      </c>
      <c r="K28" s="210">
        <f t="shared" si="0"/>
        <v>45650</v>
      </c>
      <c r="L28" s="210">
        <f t="shared" si="9"/>
        <v>45652</v>
      </c>
      <c r="M28" s="210">
        <f t="shared" si="1"/>
        <v>45653</v>
      </c>
      <c r="N28" s="210">
        <f>3+M28</f>
        <v>45656</v>
      </c>
      <c r="O28" s="210">
        <f t="shared" si="2"/>
        <v>45657</v>
      </c>
      <c r="P28" s="210">
        <f t="shared" si="3"/>
        <v>45658</v>
      </c>
      <c r="Q28" s="225" t="s">
        <v>148</v>
      </c>
      <c r="R28" s="226" t="s">
        <v>149</v>
      </c>
      <c r="S28" s="227">
        <v>1781855.5514760001</v>
      </c>
      <c r="T28" s="228"/>
      <c r="U28" s="234"/>
      <c r="V28" s="228"/>
      <c r="W28" s="230"/>
      <c r="X28" s="230"/>
      <c r="Y28" s="230"/>
      <c r="Z28" s="230"/>
      <c r="AA28" s="230"/>
      <c r="AB28" s="230">
        <f t="shared" si="4"/>
        <v>0</v>
      </c>
      <c r="AC28" s="228"/>
      <c r="AD28" s="231">
        <f t="shared" si="5"/>
        <v>0</v>
      </c>
      <c r="AE28" s="231">
        <f t="shared" si="5"/>
        <v>0</v>
      </c>
      <c r="AF28" s="231">
        <f t="shared" si="5"/>
        <v>0</v>
      </c>
      <c r="AG28" s="231">
        <f t="shared" si="5"/>
        <v>0</v>
      </c>
      <c r="AH28" s="231">
        <f t="shared" si="5"/>
        <v>0</v>
      </c>
      <c r="AI28" s="232">
        <f t="shared" si="6"/>
        <v>0</v>
      </c>
      <c r="AJ28" s="233">
        <f t="shared" si="7"/>
        <v>1781855.5514760001</v>
      </c>
    </row>
    <row r="29" spans="1:36" s="220" customFormat="1" ht="25" customHeight="1" x14ac:dyDescent="0.35">
      <c r="A29" s="208">
        <f t="shared" ref="A29:A30" si="13">1+A28</f>
        <v>9</v>
      </c>
      <c r="B29" s="221" t="s">
        <v>154</v>
      </c>
      <c r="C29" s="222" t="str">
        <f>VLOOKUP(B29,[1]Progress!$B$10:$C$165,2,0)</f>
        <v>DB2+6</v>
      </c>
      <c r="D29" s="208" t="s">
        <v>73</v>
      </c>
      <c r="E29" s="208">
        <v>76.69</v>
      </c>
      <c r="F29" s="240">
        <v>3.4660000000000002</v>
      </c>
      <c r="G29" s="348" t="s">
        <v>155</v>
      </c>
      <c r="H29" s="349">
        <v>15</v>
      </c>
      <c r="I29" s="210">
        <v>45630</v>
      </c>
      <c r="J29" s="210">
        <f>+I29+1</f>
        <v>45631</v>
      </c>
      <c r="K29" s="210">
        <f t="shared" si="0"/>
        <v>45632</v>
      </c>
      <c r="L29" s="210">
        <f>+K29+1</f>
        <v>45633</v>
      </c>
      <c r="M29" s="210">
        <f t="shared" si="1"/>
        <v>45634</v>
      </c>
      <c r="N29" s="210">
        <f>3+M29</f>
        <v>45637</v>
      </c>
      <c r="O29" s="210">
        <f t="shared" si="2"/>
        <v>45638</v>
      </c>
      <c r="P29" s="210">
        <f t="shared" si="3"/>
        <v>45639</v>
      </c>
      <c r="Q29" s="225" t="s">
        <v>148</v>
      </c>
      <c r="R29" s="226" t="s">
        <v>149</v>
      </c>
      <c r="S29" s="227">
        <v>1332876.5219999999</v>
      </c>
      <c r="T29" s="228"/>
      <c r="U29" s="229"/>
      <c r="V29" s="228"/>
      <c r="W29" s="230"/>
      <c r="X29" s="230"/>
      <c r="Y29" s="230"/>
      <c r="Z29" s="230"/>
      <c r="AA29" s="230"/>
      <c r="AB29" s="230">
        <f t="shared" si="4"/>
        <v>0</v>
      </c>
      <c r="AC29" s="228"/>
      <c r="AD29" s="231">
        <f t="shared" si="5"/>
        <v>0</v>
      </c>
      <c r="AE29" s="231">
        <f t="shared" si="5"/>
        <v>0</v>
      </c>
      <c r="AF29" s="231">
        <f t="shared" si="5"/>
        <v>0</v>
      </c>
      <c r="AG29" s="231">
        <f t="shared" si="5"/>
        <v>0</v>
      </c>
      <c r="AH29" s="231">
        <f t="shared" si="5"/>
        <v>0</v>
      </c>
      <c r="AI29" s="232">
        <f t="shared" si="6"/>
        <v>0</v>
      </c>
      <c r="AJ29" s="233">
        <f t="shared" si="7"/>
        <v>1332876.5219999999</v>
      </c>
    </row>
    <row r="30" spans="1:36" s="220" customFormat="1" ht="25" customHeight="1" x14ac:dyDescent="0.35">
      <c r="A30" s="208">
        <f t="shared" si="13"/>
        <v>10</v>
      </c>
      <c r="B30" s="221" t="s">
        <v>156</v>
      </c>
      <c r="C30" s="222" t="str">
        <f>VLOOKUP(B30,[1]Progress!$B$10:$C$165,2,0)</f>
        <v>DB2+0</v>
      </c>
      <c r="D30" s="208" t="s">
        <v>73</v>
      </c>
      <c r="E30" s="208">
        <v>76.03</v>
      </c>
      <c r="F30" s="241">
        <v>3.3996000000000004</v>
      </c>
      <c r="G30" s="348"/>
      <c r="H30" s="350"/>
      <c r="I30" s="224">
        <f>N29+1</f>
        <v>45638</v>
      </c>
      <c r="J30" s="210">
        <f>+I30+1</f>
        <v>45639</v>
      </c>
      <c r="K30" s="210">
        <f t="shared" si="0"/>
        <v>45640</v>
      </c>
      <c r="L30" s="210">
        <f>+K30+1</f>
        <v>45641</v>
      </c>
      <c r="M30" s="210">
        <f t="shared" si="1"/>
        <v>45642</v>
      </c>
      <c r="N30" s="210">
        <f>2+M30</f>
        <v>45644</v>
      </c>
      <c r="O30" s="210">
        <f t="shared" si="2"/>
        <v>45645</v>
      </c>
      <c r="P30" s="210">
        <f t="shared" si="3"/>
        <v>45646</v>
      </c>
      <c r="Q30" s="225" t="s">
        <v>148</v>
      </c>
      <c r="R30" s="226" t="s">
        <v>149</v>
      </c>
      <c r="S30" s="227">
        <v>1308130.6061</v>
      </c>
      <c r="T30" s="228"/>
      <c r="U30" s="236"/>
      <c r="V30" s="228"/>
      <c r="W30" s="230"/>
      <c r="X30" s="230"/>
      <c r="Y30" s="230"/>
      <c r="Z30" s="230"/>
      <c r="AA30" s="230"/>
      <c r="AB30" s="230">
        <f>SUM(W30:AA30)</f>
        <v>0</v>
      </c>
      <c r="AC30" s="228"/>
      <c r="AD30" s="231">
        <f t="shared" si="5"/>
        <v>0</v>
      </c>
      <c r="AE30" s="231">
        <f t="shared" si="5"/>
        <v>0</v>
      </c>
      <c r="AF30" s="231">
        <f t="shared" si="5"/>
        <v>0</v>
      </c>
      <c r="AG30" s="231">
        <f t="shared" si="5"/>
        <v>0</v>
      </c>
      <c r="AH30" s="231">
        <f t="shared" si="5"/>
        <v>0</v>
      </c>
      <c r="AI30" s="232">
        <f>SUM(AD30:AH30)</f>
        <v>0</v>
      </c>
      <c r="AJ30" s="233">
        <f t="shared" si="7"/>
        <v>1308130.6061</v>
      </c>
    </row>
    <row r="31" spans="1:36" s="220" customFormat="1" ht="25" customHeight="1" x14ac:dyDescent="0.35">
      <c r="A31" s="205">
        <f>1+A30</f>
        <v>11</v>
      </c>
      <c r="B31" s="221" t="s">
        <v>109</v>
      </c>
      <c r="C31" s="222" t="str">
        <f>VLOOKUP(B31,[1]Progress!$B$10:$C$165,2,0)</f>
        <v>DA+0</v>
      </c>
      <c r="D31" s="208" t="s">
        <v>73</v>
      </c>
      <c r="E31" s="223">
        <v>30.22</v>
      </c>
      <c r="F31" s="235">
        <v>1.45</v>
      </c>
      <c r="G31" s="348"/>
      <c r="H31" s="350"/>
      <c r="I31" s="224">
        <f>N30+1</f>
        <v>45645</v>
      </c>
      <c r="J31" s="210">
        <f t="shared" ref="J31:J47" si="14">+I31+1</f>
        <v>45646</v>
      </c>
      <c r="K31" s="210">
        <f t="shared" si="0"/>
        <v>45647</v>
      </c>
      <c r="L31" s="210">
        <f t="shared" si="9"/>
        <v>45649</v>
      </c>
      <c r="M31" s="210">
        <f t="shared" si="1"/>
        <v>45650</v>
      </c>
      <c r="N31" s="210">
        <f>1+M31</f>
        <v>45651</v>
      </c>
      <c r="O31" s="210">
        <f t="shared" si="2"/>
        <v>45652</v>
      </c>
      <c r="P31" s="210">
        <f t="shared" si="3"/>
        <v>45653</v>
      </c>
      <c r="Q31" s="225" t="s">
        <v>148</v>
      </c>
      <c r="R31" s="226" t="s">
        <v>149</v>
      </c>
      <c r="S31" s="227">
        <v>487106.10200000001</v>
      </c>
      <c r="T31" s="228"/>
      <c r="U31" s="234"/>
      <c r="V31" s="228"/>
      <c r="W31" s="230"/>
      <c r="X31" s="230"/>
      <c r="Y31" s="230"/>
      <c r="Z31" s="230"/>
      <c r="AA31" s="230"/>
      <c r="AB31" s="230">
        <f t="shared" si="4"/>
        <v>0</v>
      </c>
      <c r="AC31" s="228"/>
      <c r="AD31" s="231">
        <f t="shared" si="5"/>
        <v>0</v>
      </c>
      <c r="AE31" s="231">
        <f t="shared" si="5"/>
        <v>0</v>
      </c>
      <c r="AF31" s="231">
        <f t="shared" si="5"/>
        <v>0</v>
      </c>
      <c r="AG31" s="231">
        <f t="shared" si="5"/>
        <v>0</v>
      </c>
      <c r="AH31" s="231">
        <f t="shared" si="5"/>
        <v>0</v>
      </c>
      <c r="AI31" s="232">
        <f t="shared" si="6"/>
        <v>0</v>
      </c>
      <c r="AJ31" s="233">
        <f t="shared" si="7"/>
        <v>487106.10200000001</v>
      </c>
    </row>
    <row r="32" spans="1:36" s="220" customFormat="1" ht="25" customHeight="1" x14ac:dyDescent="0.35">
      <c r="A32" s="208">
        <f t="shared" ref="A32:A35" si="15">1+A31</f>
        <v>12</v>
      </c>
      <c r="B32" s="221" t="s">
        <v>110</v>
      </c>
      <c r="C32" s="222" t="str">
        <f>VLOOKUP(B32,[1]Progress!$B$10:$C$165,2,0)</f>
        <v>DA+0</v>
      </c>
      <c r="D32" s="208" t="s">
        <v>73</v>
      </c>
      <c r="E32" s="223">
        <v>30.22</v>
      </c>
      <c r="F32" s="235">
        <v>1.45</v>
      </c>
      <c r="G32" s="348"/>
      <c r="H32" s="350"/>
      <c r="I32" s="224">
        <f>J31+1</f>
        <v>45647</v>
      </c>
      <c r="J32" s="210">
        <f t="shared" si="14"/>
        <v>45648</v>
      </c>
      <c r="K32" s="210">
        <f t="shared" si="0"/>
        <v>45649</v>
      </c>
      <c r="L32" s="210">
        <f t="shared" si="9"/>
        <v>45651</v>
      </c>
      <c r="M32" s="210">
        <f t="shared" si="1"/>
        <v>45652</v>
      </c>
      <c r="N32" s="210">
        <f>3+M32</f>
        <v>45655</v>
      </c>
      <c r="O32" s="210">
        <f t="shared" si="2"/>
        <v>45656</v>
      </c>
      <c r="P32" s="210">
        <f t="shared" si="3"/>
        <v>45657</v>
      </c>
      <c r="Q32" s="225" t="s">
        <v>148</v>
      </c>
      <c r="R32" s="226" t="s">
        <v>149</v>
      </c>
      <c r="S32" s="227">
        <v>487106.10200000001</v>
      </c>
      <c r="T32" s="228"/>
      <c r="U32" s="236"/>
      <c r="V32" s="228"/>
      <c r="W32" s="230"/>
      <c r="X32" s="230"/>
      <c r="Y32" s="230"/>
      <c r="Z32" s="230"/>
      <c r="AA32" s="230"/>
      <c r="AB32" s="230">
        <f t="shared" si="4"/>
        <v>0</v>
      </c>
      <c r="AC32" s="228"/>
      <c r="AD32" s="231">
        <f t="shared" si="5"/>
        <v>0</v>
      </c>
      <c r="AE32" s="231">
        <f t="shared" si="5"/>
        <v>0</v>
      </c>
      <c r="AF32" s="231">
        <f t="shared" si="5"/>
        <v>0</v>
      </c>
      <c r="AG32" s="231">
        <f t="shared" si="5"/>
        <v>0</v>
      </c>
      <c r="AH32" s="231">
        <f t="shared" si="5"/>
        <v>0</v>
      </c>
      <c r="AI32" s="232">
        <f t="shared" si="6"/>
        <v>0</v>
      </c>
      <c r="AJ32" s="233">
        <f t="shared" si="7"/>
        <v>487106.10200000001</v>
      </c>
    </row>
    <row r="33" spans="1:36" s="220" customFormat="1" ht="30.75" customHeight="1" x14ac:dyDescent="0.35">
      <c r="A33" s="208">
        <f t="shared" si="15"/>
        <v>13</v>
      </c>
      <c r="B33" s="221" t="s">
        <v>159</v>
      </c>
      <c r="C33" s="222" t="str">
        <f>VLOOKUP(B33,[1]Progress!$B$10:$C$165,2,0)</f>
        <v>DC2+0</v>
      </c>
      <c r="D33" s="208" t="s">
        <v>73</v>
      </c>
      <c r="E33" s="223">
        <v>101.79</v>
      </c>
      <c r="F33" s="235">
        <v>4.5456000000000003</v>
      </c>
      <c r="G33" s="348"/>
      <c r="H33" s="351"/>
      <c r="I33" s="224">
        <f>+J32+2</f>
        <v>45650</v>
      </c>
      <c r="J33" s="224">
        <f t="shared" si="14"/>
        <v>45651</v>
      </c>
      <c r="K33" s="224">
        <f t="shared" si="0"/>
        <v>45652</v>
      </c>
      <c r="L33" s="224">
        <f t="shared" ref="L33" si="16">+K33+1</f>
        <v>45653</v>
      </c>
      <c r="M33" s="224">
        <f t="shared" si="1"/>
        <v>45654</v>
      </c>
      <c r="N33" s="224">
        <f t="shared" ref="N33:N42" si="17">2+M33</f>
        <v>45656</v>
      </c>
      <c r="O33" s="224">
        <f t="shared" si="2"/>
        <v>45657</v>
      </c>
      <c r="P33" s="224">
        <f t="shared" si="3"/>
        <v>45658</v>
      </c>
      <c r="Q33" s="225" t="s">
        <v>148</v>
      </c>
      <c r="R33" s="226" t="s">
        <v>149</v>
      </c>
      <c r="S33" s="227">
        <v>1413793.5930999999</v>
      </c>
      <c r="T33" s="228"/>
      <c r="U33" s="229"/>
      <c r="V33" s="228"/>
      <c r="W33" s="230"/>
      <c r="X33" s="230"/>
      <c r="Y33" s="230"/>
      <c r="Z33" s="230"/>
      <c r="AA33" s="230"/>
      <c r="AB33" s="230">
        <f t="shared" si="4"/>
        <v>0</v>
      </c>
      <c r="AC33" s="228"/>
      <c r="AD33" s="231">
        <f t="shared" si="5"/>
        <v>0</v>
      </c>
      <c r="AE33" s="231">
        <f t="shared" si="5"/>
        <v>0</v>
      </c>
      <c r="AF33" s="231">
        <f t="shared" si="5"/>
        <v>0</v>
      </c>
      <c r="AG33" s="231">
        <f t="shared" si="5"/>
        <v>0</v>
      </c>
      <c r="AH33" s="231">
        <f t="shared" si="5"/>
        <v>0</v>
      </c>
      <c r="AI33" s="232">
        <f t="shared" si="6"/>
        <v>0</v>
      </c>
      <c r="AJ33" s="233">
        <f t="shared" si="7"/>
        <v>1413793.5930999999</v>
      </c>
    </row>
    <row r="34" spans="1:36" s="220" customFormat="1" ht="25" customHeight="1" x14ac:dyDescent="0.35">
      <c r="A34" s="208">
        <f t="shared" si="15"/>
        <v>14</v>
      </c>
      <c r="B34" s="221" t="s">
        <v>111</v>
      </c>
      <c r="C34" s="222" t="str">
        <f>VLOOKUP(B34,[1]Progress!$B$10:$C$165,2,0)</f>
        <v>DA+3</v>
      </c>
      <c r="D34" s="208" t="s">
        <v>73</v>
      </c>
      <c r="E34" s="223">
        <v>52.23</v>
      </c>
      <c r="F34" s="235">
        <v>1.802</v>
      </c>
      <c r="G34" s="352" t="s">
        <v>160</v>
      </c>
      <c r="H34" s="340">
        <v>15</v>
      </c>
      <c r="I34" s="210">
        <v>45630</v>
      </c>
      <c r="J34" s="210">
        <f>+I34+1</f>
        <v>45631</v>
      </c>
      <c r="K34" s="210">
        <f t="shared" si="0"/>
        <v>45632</v>
      </c>
      <c r="L34" s="210">
        <f>K34</f>
        <v>45632</v>
      </c>
      <c r="M34" s="210">
        <f t="shared" si="1"/>
        <v>45633</v>
      </c>
      <c r="N34" s="210">
        <f>1+M34</f>
        <v>45634</v>
      </c>
      <c r="O34" s="210">
        <f t="shared" si="2"/>
        <v>45635</v>
      </c>
      <c r="P34" s="210">
        <f t="shared" si="3"/>
        <v>45636</v>
      </c>
      <c r="Q34" s="242" t="s">
        <v>157</v>
      </c>
      <c r="R34" s="242" t="s">
        <v>158</v>
      </c>
      <c r="S34" s="227">
        <v>515483.34600000002</v>
      </c>
      <c r="T34" s="228"/>
      <c r="U34" s="229"/>
      <c r="V34" s="228"/>
      <c r="W34" s="230"/>
      <c r="X34" s="230"/>
      <c r="Y34" s="230"/>
      <c r="Z34" s="230"/>
      <c r="AA34" s="230"/>
      <c r="AB34" s="230">
        <f>SUM(W34:AA34)</f>
        <v>0</v>
      </c>
      <c r="AC34" s="228"/>
      <c r="AD34" s="231">
        <f t="shared" si="5"/>
        <v>0</v>
      </c>
      <c r="AE34" s="231">
        <f t="shared" si="5"/>
        <v>0</v>
      </c>
      <c r="AF34" s="231">
        <f t="shared" si="5"/>
        <v>0</v>
      </c>
      <c r="AG34" s="231">
        <f t="shared" si="5"/>
        <v>0</v>
      </c>
      <c r="AH34" s="231">
        <f t="shared" si="5"/>
        <v>0</v>
      </c>
      <c r="AI34" s="232">
        <f>SUM(AD34:AH34)</f>
        <v>0</v>
      </c>
      <c r="AJ34" s="233">
        <f t="shared" si="7"/>
        <v>515483.34600000002</v>
      </c>
    </row>
    <row r="35" spans="1:36" s="220" customFormat="1" ht="25" customHeight="1" x14ac:dyDescent="0.35">
      <c r="A35" s="208">
        <f t="shared" si="15"/>
        <v>15</v>
      </c>
      <c r="B35" s="221" t="s">
        <v>161</v>
      </c>
      <c r="C35" s="222" t="str">
        <f>VLOOKUP(B35,[1]Progress!$B$10:$C$165,2,0)</f>
        <v>DA+0</v>
      </c>
      <c r="D35" s="208" t="s">
        <v>73</v>
      </c>
      <c r="E35" s="223">
        <v>30.22</v>
      </c>
      <c r="F35" s="235">
        <v>1.45</v>
      </c>
      <c r="G35" s="352"/>
      <c r="H35" s="341"/>
      <c r="I35" s="224">
        <f>N34+1</f>
        <v>45635</v>
      </c>
      <c r="J35" s="210">
        <f>+I35+1</f>
        <v>45636</v>
      </c>
      <c r="K35" s="210">
        <f t="shared" si="0"/>
        <v>45637</v>
      </c>
      <c r="L35" s="210">
        <f>K35</f>
        <v>45637</v>
      </c>
      <c r="M35" s="210">
        <f t="shared" si="1"/>
        <v>45638</v>
      </c>
      <c r="N35" s="210">
        <f>1+M35</f>
        <v>45639</v>
      </c>
      <c r="O35" s="210">
        <f t="shared" si="2"/>
        <v>45640</v>
      </c>
      <c r="P35" s="210">
        <f t="shared" si="3"/>
        <v>45641</v>
      </c>
      <c r="Q35" s="242" t="s">
        <v>157</v>
      </c>
      <c r="R35" s="242" t="s">
        <v>158</v>
      </c>
      <c r="S35" s="227">
        <v>487106.10200000001</v>
      </c>
      <c r="T35" s="228"/>
      <c r="U35" s="229"/>
      <c r="V35" s="228"/>
      <c r="W35" s="230"/>
      <c r="X35" s="230"/>
      <c r="Y35" s="230"/>
      <c r="Z35" s="230"/>
      <c r="AA35" s="230"/>
      <c r="AB35" s="230">
        <f>SUM(W35:AA35)</f>
        <v>0</v>
      </c>
      <c r="AC35" s="228"/>
      <c r="AD35" s="231">
        <f t="shared" si="5"/>
        <v>0</v>
      </c>
      <c r="AE35" s="231">
        <f t="shared" si="5"/>
        <v>0</v>
      </c>
      <c r="AF35" s="231">
        <f t="shared" si="5"/>
        <v>0</v>
      </c>
      <c r="AG35" s="231">
        <f t="shared" si="5"/>
        <v>0</v>
      </c>
      <c r="AH35" s="231">
        <f t="shared" si="5"/>
        <v>0</v>
      </c>
      <c r="AI35" s="232">
        <f>SUM(AD35:AH35)</f>
        <v>0</v>
      </c>
      <c r="AJ35" s="233">
        <f t="shared" si="7"/>
        <v>487106.10200000001</v>
      </c>
    </row>
    <row r="36" spans="1:36" s="220" customFormat="1" ht="18.75" customHeight="1" x14ac:dyDescent="0.35">
      <c r="A36" s="205">
        <f>1+A35</f>
        <v>16</v>
      </c>
      <c r="B36" s="221" t="s">
        <v>162</v>
      </c>
      <c r="C36" s="222" t="str">
        <f>VLOOKUP(B36,[1]Progress!$B$10:$C$165,2,0)</f>
        <v>DC1+0</v>
      </c>
      <c r="D36" s="208" t="s">
        <v>73</v>
      </c>
      <c r="E36" s="223">
        <v>82.669999999999987</v>
      </c>
      <c r="F36" s="235">
        <v>3.8976000000000002</v>
      </c>
      <c r="G36" s="352"/>
      <c r="H36" s="341"/>
      <c r="I36" s="224">
        <f>N35+1</f>
        <v>45640</v>
      </c>
      <c r="J36" s="210">
        <f t="shared" ref="J36:J37" si="18">+I36+1</f>
        <v>45641</v>
      </c>
      <c r="K36" s="210">
        <f t="shared" si="0"/>
        <v>45642</v>
      </c>
      <c r="L36" s="210">
        <f t="shared" si="9"/>
        <v>45644</v>
      </c>
      <c r="M36" s="210">
        <f t="shared" si="1"/>
        <v>45645</v>
      </c>
      <c r="N36" s="210">
        <f>3+M36</f>
        <v>45648</v>
      </c>
      <c r="O36" s="210">
        <f t="shared" si="2"/>
        <v>45649</v>
      </c>
      <c r="P36" s="210">
        <f t="shared" si="3"/>
        <v>45650</v>
      </c>
      <c r="Q36" s="242" t="s">
        <v>157</v>
      </c>
      <c r="R36" s="242" t="s">
        <v>158</v>
      </c>
      <c r="S36" s="227">
        <v>1363793.5930999999</v>
      </c>
      <c r="T36" s="228"/>
      <c r="U36" s="236"/>
      <c r="V36" s="228"/>
      <c r="W36" s="230"/>
      <c r="X36" s="230"/>
      <c r="Y36" s="230"/>
      <c r="Z36" s="230"/>
      <c r="AA36" s="230"/>
      <c r="AB36" s="230">
        <f t="shared" si="4"/>
        <v>0</v>
      </c>
      <c r="AC36" s="228"/>
      <c r="AD36" s="231">
        <f t="shared" si="5"/>
        <v>0</v>
      </c>
      <c r="AE36" s="231">
        <f t="shared" si="5"/>
        <v>0</v>
      </c>
      <c r="AF36" s="231">
        <f t="shared" si="5"/>
        <v>0</v>
      </c>
      <c r="AG36" s="231">
        <f t="shared" si="5"/>
        <v>0</v>
      </c>
      <c r="AH36" s="231">
        <f t="shared" si="5"/>
        <v>0</v>
      </c>
      <c r="AI36" s="232">
        <f t="shared" si="6"/>
        <v>0</v>
      </c>
      <c r="AJ36" s="233">
        <f t="shared" si="7"/>
        <v>1363793.5930999999</v>
      </c>
    </row>
    <row r="37" spans="1:36" s="220" customFormat="1" ht="25" customHeight="1" x14ac:dyDescent="0.35">
      <c r="A37" s="208">
        <f t="shared" ref="A37:A42" si="19">1+A36</f>
        <v>17</v>
      </c>
      <c r="B37" s="221" t="s">
        <v>163</v>
      </c>
      <c r="C37" s="222" t="str">
        <f>VLOOKUP(B37,[1]Progress!$B$10:$C$165,2,0)</f>
        <v>DA+3</v>
      </c>
      <c r="D37" s="208" t="s">
        <v>73</v>
      </c>
      <c r="E37" s="223">
        <v>52.23</v>
      </c>
      <c r="F37" s="235">
        <v>1.802</v>
      </c>
      <c r="G37" s="352"/>
      <c r="H37" s="342"/>
      <c r="I37" s="224">
        <f>N36+1</f>
        <v>45649</v>
      </c>
      <c r="J37" s="210">
        <f t="shared" si="18"/>
        <v>45650</v>
      </c>
      <c r="K37" s="210">
        <f t="shared" si="0"/>
        <v>45651</v>
      </c>
      <c r="L37" s="210">
        <f t="shared" si="9"/>
        <v>45653</v>
      </c>
      <c r="M37" s="210">
        <f>L37</f>
        <v>45653</v>
      </c>
      <c r="N37" s="210">
        <f>1+M37</f>
        <v>45654</v>
      </c>
      <c r="O37" s="210">
        <f t="shared" si="2"/>
        <v>45655</v>
      </c>
      <c r="P37" s="210">
        <f t="shared" si="3"/>
        <v>45656</v>
      </c>
      <c r="Q37" s="242" t="s">
        <v>157</v>
      </c>
      <c r="R37" s="242" t="s">
        <v>158</v>
      </c>
      <c r="S37" s="227">
        <v>515483.34600000002</v>
      </c>
      <c r="T37" s="228"/>
      <c r="U37" s="229"/>
      <c r="V37" s="228"/>
      <c r="W37" s="230"/>
      <c r="X37" s="230"/>
      <c r="Y37" s="230"/>
      <c r="Z37" s="230"/>
      <c r="AA37" s="230"/>
      <c r="AB37" s="230">
        <f t="shared" si="4"/>
        <v>0</v>
      </c>
      <c r="AC37" s="228"/>
      <c r="AD37" s="231">
        <f t="shared" ref="AD37:AH44" si="20">$S37*W37</f>
        <v>0</v>
      </c>
      <c r="AE37" s="231">
        <f t="shared" si="20"/>
        <v>0</v>
      </c>
      <c r="AF37" s="231">
        <f t="shared" si="20"/>
        <v>0</v>
      </c>
      <c r="AG37" s="231">
        <f t="shared" si="20"/>
        <v>0</v>
      </c>
      <c r="AH37" s="231">
        <f t="shared" si="20"/>
        <v>0</v>
      </c>
      <c r="AI37" s="232">
        <f t="shared" si="6"/>
        <v>0</v>
      </c>
      <c r="AJ37" s="233">
        <f t="shared" si="7"/>
        <v>515483.34600000002</v>
      </c>
    </row>
    <row r="38" spans="1:36" s="220" customFormat="1" ht="25" customHeight="1" x14ac:dyDescent="0.35">
      <c r="A38" s="208">
        <f t="shared" si="19"/>
        <v>18</v>
      </c>
      <c r="B38" s="221" t="s">
        <v>164</v>
      </c>
      <c r="C38" s="222" t="str">
        <f>VLOOKUP(B38,[1]Progress!$B$10:$C$165,2,0)</f>
        <v>DC2+0</v>
      </c>
      <c r="D38" s="208" t="s">
        <v>73</v>
      </c>
      <c r="E38" s="223">
        <v>101.79</v>
      </c>
      <c r="F38" s="235">
        <v>4.5456000000000003</v>
      </c>
      <c r="G38" s="337" t="s">
        <v>165</v>
      </c>
      <c r="H38" s="340">
        <v>15</v>
      </c>
      <c r="I38" s="210">
        <v>45630</v>
      </c>
      <c r="J38" s="210">
        <f>+I38+1</f>
        <v>45631</v>
      </c>
      <c r="K38" s="210">
        <f t="shared" si="0"/>
        <v>45632</v>
      </c>
      <c r="L38" s="210">
        <f>+K38+2</f>
        <v>45634</v>
      </c>
      <c r="M38" s="210">
        <f t="shared" si="1"/>
        <v>45635</v>
      </c>
      <c r="N38" s="210">
        <f>3+M38</f>
        <v>45638</v>
      </c>
      <c r="O38" s="210">
        <f t="shared" si="2"/>
        <v>45639</v>
      </c>
      <c r="P38" s="210">
        <f t="shared" si="3"/>
        <v>45640</v>
      </c>
      <c r="Q38" s="242" t="s">
        <v>157</v>
      </c>
      <c r="R38" s="242" t="s">
        <v>158</v>
      </c>
      <c r="S38" s="227">
        <v>1413793.5930999999</v>
      </c>
      <c r="T38" s="228"/>
      <c r="U38" s="234"/>
      <c r="V38" s="228"/>
      <c r="W38" s="230"/>
      <c r="X38" s="230"/>
      <c r="Y38" s="230"/>
      <c r="Z38" s="230"/>
      <c r="AA38" s="230"/>
      <c r="AB38" s="230">
        <f t="shared" si="4"/>
        <v>0</v>
      </c>
      <c r="AC38" s="228"/>
      <c r="AD38" s="231">
        <f t="shared" si="20"/>
        <v>0</v>
      </c>
      <c r="AE38" s="231">
        <f t="shared" si="20"/>
        <v>0</v>
      </c>
      <c r="AF38" s="231">
        <f t="shared" si="20"/>
        <v>0</v>
      </c>
      <c r="AG38" s="231">
        <f t="shared" si="20"/>
        <v>0</v>
      </c>
      <c r="AH38" s="231">
        <f t="shared" si="20"/>
        <v>0</v>
      </c>
      <c r="AI38" s="232">
        <f t="shared" si="6"/>
        <v>0</v>
      </c>
      <c r="AJ38" s="233">
        <f t="shared" si="7"/>
        <v>1413793.5930999999</v>
      </c>
    </row>
    <row r="39" spans="1:36" s="220" customFormat="1" ht="25" customHeight="1" x14ac:dyDescent="0.35">
      <c r="A39" s="208">
        <f t="shared" si="19"/>
        <v>19</v>
      </c>
      <c r="B39" s="221" t="s">
        <v>166</v>
      </c>
      <c r="C39" s="222" t="str">
        <f>VLOOKUP(B39,[1]Progress!$B$10:$C$165,2,0)</f>
        <v>DA+9</v>
      </c>
      <c r="D39" s="208" t="s">
        <v>73</v>
      </c>
      <c r="E39" s="223">
        <v>52.23</v>
      </c>
      <c r="F39" s="235">
        <v>1.802</v>
      </c>
      <c r="G39" s="338"/>
      <c r="H39" s="341"/>
      <c r="I39" s="224">
        <f>N38+1</f>
        <v>45639</v>
      </c>
      <c r="J39" s="210">
        <f>+I39+1</f>
        <v>45640</v>
      </c>
      <c r="K39" s="210">
        <f t="shared" si="0"/>
        <v>45641</v>
      </c>
      <c r="L39" s="210">
        <f t="shared" ref="L39:L44" si="21">+K39+1</f>
        <v>45642</v>
      </c>
      <c r="M39" s="210">
        <f t="shared" si="1"/>
        <v>45643</v>
      </c>
      <c r="N39" s="210">
        <f>2+M39</f>
        <v>45645</v>
      </c>
      <c r="O39" s="210">
        <f t="shared" si="2"/>
        <v>45646</v>
      </c>
      <c r="P39" s="210">
        <f t="shared" si="3"/>
        <v>45647</v>
      </c>
      <c r="Q39" s="242" t="s">
        <v>157</v>
      </c>
      <c r="R39" s="242" t="s">
        <v>158</v>
      </c>
      <c r="S39" s="227">
        <v>515483.34600000002</v>
      </c>
      <c r="T39" s="228"/>
      <c r="U39" s="234"/>
      <c r="V39" s="228"/>
      <c r="W39" s="230"/>
      <c r="X39" s="230"/>
      <c r="Y39" s="230"/>
      <c r="Z39" s="230"/>
      <c r="AA39" s="230"/>
      <c r="AB39" s="230">
        <f t="shared" si="4"/>
        <v>0</v>
      </c>
      <c r="AC39" s="228"/>
      <c r="AD39" s="231">
        <f t="shared" si="20"/>
        <v>0</v>
      </c>
      <c r="AE39" s="231">
        <f t="shared" si="20"/>
        <v>0</v>
      </c>
      <c r="AF39" s="231">
        <f t="shared" si="20"/>
        <v>0</v>
      </c>
      <c r="AG39" s="231">
        <f t="shared" si="20"/>
        <v>0</v>
      </c>
      <c r="AH39" s="231">
        <f t="shared" si="20"/>
        <v>0</v>
      </c>
      <c r="AI39" s="232">
        <f t="shared" si="6"/>
        <v>0</v>
      </c>
      <c r="AJ39" s="233">
        <f t="shared" si="7"/>
        <v>515483.34600000002</v>
      </c>
    </row>
    <row r="40" spans="1:36" s="220" customFormat="1" ht="25" customHeight="1" x14ac:dyDescent="0.35">
      <c r="A40" s="208">
        <f t="shared" si="19"/>
        <v>20</v>
      </c>
      <c r="B40" s="221" t="s">
        <v>167</v>
      </c>
      <c r="C40" s="222" t="str">
        <f>VLOOKUP(B40,[1]Progress!$B$10:$C$165,2,0)</f>
        <v>DA+3</v>
      </c>
      <c r="D40" s="208" t="s">
        <v>73</v>
      </c>
      <c r="E40" s="223">
        <v>52.23</v>
      </c>
      <c r="F40" s="235">
        <v>1.802</v>
      </c>
      <c r="G40" s="338"/>
      <c r="H40" s="341"/>
      <c r="I40" s="224">
        <f>N39+1</f>
        <v>45646</v>
      </c>
      <c r="J40" s="210">
        <f t="shared" ref="J40:J41" si="22">+I40+1</f>
        <v>45647</v>
      </c>
      <c r="K40" s="210">
        <f t="shared" si="0"/>
        <v>45648</v>
      </c>
      <c r="L40" s="210">
        <f t="shared" si="21"/>
        <v>45649</v>
      </c>
      <c r="M40" s="210">
        <f t="shared" si="1"/>
        <v>45650</v>
      </c>
      <c r="N40" s="210">
        <f>1+M40</f>
        <v>45651</v>
      </c>
      <c r="O40" s="210">
        <f t="shared" si="2"/>
        <v>45652</v>
      </c>
      <c r="P40" s="210">
        <f t="shared" si="3"/>
        <v>45653</v>
      </c>
      <c r="Q40" s="242" t="s">
        <v>157</v>
      </c>
      <c r="R40" s="242" t="s">
        <v>158</v>
      </c>
      <c r="S40" s="227">
        <v>515483.34600000002</v>
      </c>
      <c r="T40" s="228"/>
      <c r="U40" s="234"/>
      <c r="V40" s="228"/>
      <c r="W40" s="230"/>
      <c r="X40" s="230"/>
      <c r="Y40" s="230"/>
      <c r="Z40" s="230"/>
      <c r="AA40" s="230"/>
      <c r="AB40" s="230">
        <f t="shared" si="4"/>
        <v>0</v>
      </c>
      <c r="AC40" s="228"/>
      <c r="AD40" s="231">
        <f t="shared" si="20"/>
        <v>0</v>
      </c>
      <c r="AE40" s="231">
        <f t="shared" si="20"/>
        <v>0</v>
      </c>
      <c r="AF40" s="231">
        <f t="shared" si="20"/>
        <v>0</v>
      </c>
      <c r="AG40" s="231">
        <f t="shared" si="20"/>
        <v>0</v>
      </c>
      <c r="AH40" s="231">
        <f t="shared" si="20"/>
        <v>0</v>
      </c>
      <c r="AI40" s="232">
        <f t="shared" si="6"/>
        <v>0</v>
      </c>
      <c r="AJ40" s="233">
        <f t="shared" si="7"/>
        <v>515483.34600000002</v>
      </c>
    </row>
    <row r="41" spans="1:36" s="220" customFormat="1" ht="25" customHeight="1" x14ac:dyDescent="0.35">
      <c r="A41" s="208">
        <f t="shared" si="19"/>
        <v>21</v>
      </c>
      <c r="B41" s="221" t="s">
        <v>168</v>
      </c>
      <c r="C41" s="222" t="str">
        <f>VLOOKUP(B41,[1]Progress!$B$10:$C$165,2,0)</f>
        <v>DA+9</v>
      </c>
      <c r="D41" s="208" t="s">
        <v>73</v>
      </c>
      <c r="E41" s="223">
        <v>52.23</v>
      </c>
      <c r="F41" s="235">
        <v>1.802</v>
      </c>
      <c r="G41" s="338"/>
      <c r="H41" s="341"/>
      <c r="I41" s="224">
        <f>J40+1</f>
        <v>45648</v>
      </c>
      <c r="J41" s="210">
        <f t="shared" si="22"/>
        <v>45649</v>
      </c>
      <c r="K41" s="210">
        <f t="shared" si="0"/>
        <v>45650</v>
      </c>
      <c r="L41" s="210">
        <f t="shared" si="21"/>
        <v>45651</v>
      </c>
      <c r="M41" s="210">
        <f t="shared" si="1"/>
        <v>45652</v>
      </c>
      <c r="N41" s="210">
        <f>1+M41</f>
        <v>45653</v>
      </c>
      <c r="O41" s="210">
        <f t="shared" si="2"/>
        <v>45654</v>
      </c>
      <c r="P41" s="210">
        <f t="shared" si="3"/>
        <v>45655</v>
      </c>
      <c r="Q41" s="242" t="s">
        <v>157</v>
      </c>
      <c r="R41" s="242" t="s">
        <v>158</v>
      </c>
      <c r="S41" s="227">
        <v>515483.34600000002</v>
      </c>
      <c r="T41" s="228"/>
      <c r="U41" s="243"/>
      <c r="V41" s="228"/>
      <c r="W41" s="230"/>
      <c r="X41" s="230"/>
      <c r="Y41" s="230"/>
      <c r="Z41" s="230"/>
      <c r="AA41" s="230"/>
      <c r="AB41" s="230">
        <f t="shared" si="4"/>
        <v>0</v>
      </c>
      <c r="AC41" s="228"/>
      <c r="AD41" s="231">
        <f t="shared" si="20"/>
        <v>0</v>
      </c>
      <c r="AE41" s="231">
        <f t="shared" si="20"/>
        <v>0</v>
      </c>
      <c r="AF41" s="231">
        <f t="shared" si="20"/>
        <v>0</v>
      </c>
      <c r="AG41" s="231">
        <f t="shared" si="20"/>
        <v>0</v>
      </c>
      <c r="AH41" s="231">
        <f t="shared" si="20"/>
        <v>0</v>
      </c>
      <c r="AI41" s="232">
        <f t="shared" si="6"/>
        <v>0</v>
      </c>
      <c r="AJ41" s="233">
        <f t="shared" si="7"/>
        <v>515483.34600000002</v>
      </c>
    </row>
    <row r="42" spans="1:36" s="220" customFormat="1" ht="25" customHeight="1" x14ac:dyDescent="0.35">
      <c r="A42" s="208">
        <f t="shared" si="19"/>
        <v>22</v>
      </c>
      <c r="B42" s="221" t="s">
        <v>169</v>
      </c>
      <c r="C42" s="222" t="str">
        <f>VLOOKUP(B42,[1]Progress!$B$10:$C$165,2,0)</f>
        <v>DA+3</v>
      </c>
      <c r="D42" s="208" t="s">
        <v>73</v>
      </c>
      <c r="E42" s="223">
        <v>52.23</v>
      </c>
      <c r="F42" s="235">
        <v>1.802</v>
      </c>
      <c r="G42" s="339"/>
      <c r="H42" s="342"/>
      <c r="I42" s="224">
        <f>+J41+1</f>
        <v>45650</v>
      </c>
      <c r="J42" s="224">
        <f t="shared" si="14"/>
        <v>45651</v>
      </c>
      <c r="K42" s="224">
        <f t="shared" si="0"/>
        <v>45652</v>
      </c>
      <c r="L42" s="224">
        <f t="shared" si="21"/>
        <v>45653</v>
      </c>
      <c r="M42" s="224">
        <f t="shared" si="1"/>
        <v>45654</v>
      </c>
      <c r="N42" s="224">
        <f t="shared" si="17"/>
        <v>45656</v>
      </c>
      <c r="O42" s="224">
        <f t="shared" si="2"/>
        <v>45657</v>
      </c>
      <c r="P42" s="224">
        <f t="shared" si="3"/>
        <v>45658</v>
      </c>
      <c r="Q42" s="242" t="s">
        <v>157</v>
      </c>
      <c r="R42" s="242" t="s">
        <v>158</v>
      </c>
      <c r="S42" s="227">
        <v>515483.34600000002</v>
      </c>
      <c r="T42" s="228"/>
      <c r="U42" s="243"/>
      <c r="V42" s="228"/>
      <c r="W42" s="228"/>
      <c r="X42" s="228"/>
      <c r="Y42" s="228"/>
      <c r="Z42" s="228"/>
      <c r="AA42" s="228"/>
      <c r="AB42" s="230">
        <f t="shared" si="4"/>
        <v>0</v>
      </c>
      <c r="AC42" s="228"/>
      <c r="AD42" s="231">
        <f t="shared" si="20"/>
        <v>0</v>
      </c>
      <c r="AE42" s="231">
        <f t="shared" si="20"/>
        <v>0</v>
      </c>
      <c r="AF42" s="231">
        <f t="shared" si="20"/>
        <v>0</v>
      </c>
      <c r="AG42" s="231">
        <f t="shared" si="20"/>
        <v>0</v>
      </c>
      <c r="AH42" s="231">
        <f t="shared" si="20"/>
        <v>0</v>
      </c>
      <c r="AI42" s="232">
        <f t="shared" si="6"/>
        <v>0</v>
      </c>
      <c r="AJ42" s="233">
        <f t="shared" si="7"/>
        <v>515483.34600000002</v>
      </c>
    </row>
    <row r="43" spans="1:36" s="220" customFormat="1" ht="25" customHeight="1" x14ac:dyDescent="0.35">
      <c r="A43" s="208">
        <f>1+A42</f>
        <v>23</v>
      </c>
      <c r="B43" s="221" t="s">
        <v>170</v>
      </c>
      <c r="C43" s="222" t="str">
        <f>VLOOKUP(B43,[1]Progress!$B$10:$C$165,2,0)</f>
        <v>DA+0</v>
      </c>
      <c r="D43" s="208" t="s">
        <v>73</v>
      </c>
      <c r="E43" s="223">
        <v>30.22</v>
      </c>
      <c r="F43" s="235">
        <v>1.45</v>
      </c>
      <c r="G43" s="337" t="s">
        <v>171</v>
      </c>
      <c r="H43" s="344">
        <v>15</v>
      </c>
      <c r="I43" s="210">
        <v>45630</v>
      </c>
      <c r="J43" s="210">
        <f>+I43+1</f>
        <v>45631</v>
      </c>
      <c r="K43" s="210">
        <f t="shared" si="0"/>
        <v>45632</v>
      </c>
      <c r="L43" s="210">
        <f t="shared" si="21"/>
        <v>45633</v>
      </c>
      <c r="M43" s="210">
        <f t="shared" si="1"/>
        <v>45634</v>
      </c>
      <c r="N43" s="210">
        <f>1+M43</f>
        <v>45635</v>
      </c>
      <c r="O43" s="210">
        <f t="shared" si="2"/>
        <v>45636</v>
      </c>
      <c r="P43" s="210">
        <f t="shared" si="3"/>
        <v>45637</v>
      </c>
      <c r="Q43" s="242" t="s">
        <v>157</v>
      </c>
      <c r="R43" s="242" t="s">
        <v>158</v>
      </c>
      <c r="S43" s="227">
        <v>487106.10200000001</v>
      </c>
      <c r="T43" s="228"/>
      <c r="U43" s="244"/>
      <c r="V43" s="228"/>
      <c r="W43" s="228"/>
      <c r="X43" s="228"/>
      <c r="Y43" s="228"/>
      <c r="Z43" s="228"/>
      <c r="AA43" s="228"/>
      <c r="AB43" s="230">
        <f t="shared" si="4"/>
        <v>0</v>
      </c>
      <c r="AC43" s="228"/>
      <c r="AD43" s="231">
        <f t="shared" si="20"/>
        <v>0</v>
      </c>
      <c r="AE43" s="231">
        <f t="shared" si="20"/>
        <v>0</v>
      </c>
      <c r="AF43" s="231">
        <f t="shared" si="20"/>
        <v>0</v>
      </c>
      <c r="AG43" s="231">
        <f t="shared" si="20"/>
        <v>0</v>
      </c>
      <c r="AH43" s="231">
        <f t="shared" si="20"/>
        <v>0</v>
      </c>
      <c r="AI43" s="232">
        <f t="shared" si="6"/>
        <v>0</v>
      </c>
      <c r="AJ43" s="233">
        <f t="shared" si="7"/>
        <v>487106.10200000001</v>
      </c>
    </row>
    <row r="44" spans="1:36" s="251" customFormat="1" ht="31.5" customHeight="1" x14ac:dyDescent="0.35">
      <c r="A44" s="208">
        <f>1+A43</f>
        <v>24</v>
      </c>
      <c r="B44" s="221" t="s">
        <v>172</v>
      </c>
      <c r="C44" s="222" t="str">
        <f>VLOOKUP(B44,[1]Progress!$B$10:$C$165,2,0)</f>
        <v>DD45+0</v>
      </c>
      <c r="D44" s="208" t="s">
        <v>73</v>
      </c>
      <c r="E44" s="208">
        <v>101.56</v>
      </c>
      <c r="F44" s="245">
        <v>8.6688000000000009</v>
      </c>
      <c r="G44" s="338"/>
      <c r="H44" s="345"/>
      <c r="I44" s="224">
        <f>N43+1</f>
        <v>45636</v>
      </c>
      <c r="J44" s="210">
        <f>+I44+1</f>
        <v>45637</v>
      </c>
      <c r="K44" s="210">
        <f t="shared" si="0"/>
        <v>45638</v>
      </c>
      <c r="L44" s="210">
        <f t="shared" si="21"/>
        <v>45639</v>
      </c>
      <c r="M44" s="210">
        <f t="shared" si="1"/>
        <v>45640</v>
      </c>
      <c r="N44" s="210">
        <f>4+M44</f>
        <v>45644</v>
      </c>
      <c r="O44" s="210">
        <f t="shared" si="2"/>
        <v>45645</v>
      </c>
      <c r="P44" s="210">
        <f t="shared" si="3"/>
        <v>45646</v>
      </c>
      <c r="Q44" s="242" t="s">
        <v>157</v>
      </c>
      <c r="R44" s="242" t="s">
        <v>158</v>
      </c>
      <c r="S44" s="227">
        <v>1681855.5514760001</v>
      </c>
      <c r="T44" s="246"/>
      <c r="U44" s="246"/>
      <c r="V44" s="246"/>
      <c r="W44" s="247"/>
      <c r="X44" s="247"/>
      <c r="Y44" s="247"/>
      <c r="Z44" s="247"/>
      <c r="AA44" s="247"/>
      <c r="AB44" s="248">
        <f t="shared" si="4"/>
        <v>0</v>
      </c>
      <c r="AC44" s="246"/>
      <c r="AD44" s="249">
        <f t="shared" si="20"/>
        <v>0</v>
      </c>
      <c r="AE44" s="249">
        <f t="shared" si="20"/>
        <v>0</v>
      </c>
      <c r="AF44" s="249">
        <f t="shared" si="20"/>
        <v>0</v>
      </c>
      <c r="AG44" s="249">
        <f t="shared" si="20"/>
        <v>0</v>
      </c>
      <c r="AH44" s="249">
        <f t="shared" si="20"/>
        <v>0</v>
      </c>
      <c r="AI44" s="250">
        <f t="shared" si="6"/>
        <v>0</v>
      </c>
      <c r="AJ44" s="233">
        <f t="shared" si="7"/>
        <v>1681855.5514760001</v>
      </c>
    </row>
    <row r="45" spans="1:36" s="253" customFormat="1" ht="18.5" x14ac:dyDescent="0.35">
      <c r="A45" s="208">
        <f>1+A44</f>
        <v>25</v>
      </c>
      <c r="B45" s="221" t="s">
        <v>173</v>
      </c>
      <c r="C45" s="222" t="str">
        <f>VLOOKUP(B45,[1]Progress!$B$10:$C$165,2,0)</f>
        <v>DA+6</v>
      </c>
      <c r="D45" s="208" t="s">
        <v>73</v>
      </c>
      <c r="E45" s="223">
        <v>52.23</v>
      </c>
      <c r="F45" s="235">
        <v>1.802</v>
      </c>
      <c r="G45" s="338"/>
      <c r="H45" s="345"/>
      <c r="I45" s="224">
        <f>N44+1</f>
        <v>45645</v>
      </c>
      <c r="J45" s="210">
        <f t="shared" ref="J45:J46" si="23">+I45+1</f>
        <v>45646</v>
      </c>
      <c r="K45" s="210">
        <f t="shared" si="0"/>
        <v>45647</v>
      </c>
      <c r="L45" s="210">
        <f t="shared" ref="L45:L46" si="24">+K45+2</f>
        <v>45649</v>
      </c>
      <c r="M45" s="210">
        <f t="shared" si="1"/>
        <v>45650</v>
      </c>
      <c r="N45" s="210">
        <f>1+M45</f>
        <v>45651</v>
      </c>
      <c r="O45" s="210">
        <f t="shared" si="2"/>
        <v>45652</v>
      </c>
      <c r="P45" s="210">
        <f t="shared" si="3"/>
        <v>45653</v>
      </c>
      <c r="Q45" s="242" t="s">
        <v>157</v>
      </c>
      <c r="R45" s="242" t="s">
        <v>158</v>
      </c>
      <c r="S45" s="227">
        <v>515483.34600000002</v>
      </c>
      <c r="T45" s="252"/>
      <c r="U45" s="252"/>
      <c r="V45" s="252"/>
      <c r="W45" s="252"/>
      <c r="X45" s="252"/>
      <c r="Y45" s="252"/>
      <c r="Z45" s="252"/>
      <c r="AA45" s="252"/>
      <c r="AB45" s="252"/>
      <c r="AC45" s="252"/>
      <c r="AD45" s="252"/>
      <c r="AE45" s="252"/>
      <c r="AF45" s="252"/>
      <c r="AG45" s="252"/>
      <c r="AH45" s="252"/>
      <c r="AI45" s="252"/>
      <c r="AJ45" s="233">
        <f t="shared" si="7"/>
        <v>515483.34600000002</v>
      </c>
    </row>
    <row r="46" spans="1:36" s="258" customFormat="1" ht="18.5" x14ac:dyDescent="0.35">
      <c r="A46" s="208">
        <f>1+A44</f>
        <v>25</v>
      </c>
      <c r="B46" s="254" t="s">
        <v>174</v>
      </c>
      <c r="C46" s="222" t="str">
        <f>VLOOKUP(B46,[1]Progress!$B$10:$C$165,2,0)</f>
        <v>DB1+9</v>
      </c>
      <c r="D46" s="208" t="s">
        <v>73</v>
      </c>
      <c r="E46" s="255">
        <v>63.78</v>
      </c>
      <c r="F46" s="256">
        <v>2.6903999999999999</v>
      </c>
      <c r="G46" s="338"/>
      <c r="H46" s="345"/>
      <c r="I46" s="224">
        <f>J45+1</f>
        <v>45647</v>
      </c>
      <c r="J46" s="210">
        <f t="shared" si="23"/>
        <v>45648</v>
      </c>
      <c r="K46" s="210">
        <f t="shared" si="0"/>
        <v>45649</v>
      </c>
      <c r="L46" s="210">
        <f t="shared" si="24"/>
        <v>45651</v>
      </c>
      <c r="M46" s="210">
        <f t="shared" si="1"/>
        <v>45652</v>
      </c>
      <c r="N46" s="210">
        <f>3+M46</f>
        <v>45655</v>
      </c>
      <c r="O46" s="210">
        <f t="shared" si="2"/>
        <v>45656</v>
      </c>
      <c r="P46" s="210">
        <f t="shared" si="3"/>
        <v>45657</v>
      </c>
      <c r="Q46" s="242" t="s">
        <v>157</v>
      </c>
      <c r="R46" s="242" t="s">
        <v>158</v>
      </c>
      <c r="S46" s="227">
        <v>1085272.0331999999</v>
      </c>
      <c r="T46" s="257"/>
      <c r="U46" s="257"/>
      <c r="V46" s="257"/>
      <c r="W46" s="257"/>
      <c r="X46" s="257"/>
      <c r="Y46" s="257"/>
      <c r="Z46" s="257"/>
      <c r="AA46" s="257"/>
      <c r="AB46" s="257"/>
      <c r="AC46" s="257"/>
      <c r="AD46" s="257"/>
      <c r="AE46" s="257"/>
      <c r="AF46" s="257"/>
      <c r="AG46" s="257"/>
      <c r="AH46" s="257"/>
      <c r="AI46" s="257"/>
      <c r="AJ46" s="233">
        <f t="shared" si="7"/>
        <v>1085272.0331999999</v>
      </c>
    </row>
    <row r="47" spans="1:36" s="258" customFormat="1" ht="19" thickBot="1" x14ac:dyDescent="0.4">
      <c r="A47" s="259">
        <f>1+A45</f>
        <v>26</v>
      </c>
      <c r="B47" s="260" t="s">
        <v>175</v>
      </c>
      <c r="C47" s="261" t="str">
        <f>VLOOKUP(B47,[1]Progress!$B$10:$C$165,2,0)</f>
        <v>DC2+0</v>
      </c>
      <c r="D47" s="259" t="s">
        <v>73</v>
      </c>
      <c r="E47" s="223">
        <v>101.79</v>
      </c>
      <c r="F47" s="223">
        <v>4.5456000000000003</v>
      </c>
      <c r="G47" s="343"/>
      <c r="H47" s="346"/>
      <c r="I47" s="224">
        <f>+J46+1</f>
        <v>45649</v>
      </c>
      <c r="J47" s="224">
        <f t="shared" si="14"/>
        <v>45650</v>
      </c>
      <c r="K47" s="224">
        <f t="shared" si="0"/>
        <v>45651</v>
      </c>
      <c r="L47" s="224">
        <f t="shared" ref="L47" si="25">+K47+1</f>
        <v>45652</v>
      </c>
      <c r="M47" s="224">
        <f t="shared" si="1"/>
        <v>45653</v>
      </c>
      <c r="N47" s="224">
        <f>3+M47</f>
        <v>45656</v>
      </c>
      <c r="O47" s="224">
        <f t="shared" si="2"/>
        <v>45657</v>
      </c>
      <c r="P47" s="224">
        <f t="shared" si="3"/>
        <v>45658</v>
      </c>
      <c r="Q47" s="242" t="s">
        <v>157</v>
      </c>
      <c r="R47" s="242" t="s">
        <v>158</v>
      </c>
      <c r="S47" s="262">
        <v>1355216.2296</v>
      </c>
      <c r="T47" s="263"/>
      <c r="U47" s="263"/>
      <c r="V47" s="263"/>
      <c r="W47" s="263"/>
      <c r="X47" s="263"/>
      <c r="Y47" s="263"/>
      <c r="Z47" s="263"/>
      <c r="AA47" s="263"/>
      <c r="AB47" s="263"/>
      <c r="AC47" s="263"/>
      <c r="AD47" s="263"/>
      <c r="AE47" s="263"/>
      <c r="AF47" s="263"/>
      <c r="AG47" s="263"/>
      <c r="AH47" s="263"/>
      <c r="AI47" s="263"/>
      <c r="AJ47" s="264">
        <f t="shared" si="7"/>
        <v>1355216.2296</v>
      </c>
    </row>
    <row r="48" spans="1:36" s="258" customFormat="1" ht="19" thickBot="1" x14ac:dyDescent="0.4">
      <c r="A48" s="265"/>
      <c r="B48" s="266"/>
      <c r="C48" s="267"/>
      <c r="D48" s="268"/>
      <c r="E48" s="268"/>
      <c r="F48" s="268"/>
      <c r="G48" s="268"/>
      <c r="H48" s="269">
        <f>SUM(H21:H47)</f>
        <v>90</v>
      </c>
      <c r="I48" s="270"/>
      <c r="J48" s="271"/>
      <c r="K48" s="271"/>
      <c r="L48" s="271"/>
      <c r="M48" s="271"/>
      <c r="N48" s="271"/>
      <c r="O48" s="271"/>
      <c r="P48" s="271"/>
      <c r="Q48" s="271"/>
      <c r="R48" s="272"/>
      <c r="S48" s="273">
        <f>SUM(S21:S47)</f>
        <v>25000375.365128011</v>
      </c>
      <c r="T48" s="274"/>
      <c r="U48" s="275"/>
      <c r="V48" s="274"/>
      <c r="W48" s="276">
        <f>SUM(W21:W44)</f>
        <v>0</v>
      </c>
      <c r="X48" s="277">
        <f>SUM(X21:X44)</f>
        <v>0</v>
      </c>
      <c r="Y48" s="277">
        <f>SUM(Y21:Y44)</f>
        <v>0</v>
      </c>
      <c r="Z48" s="277">
        <f>SUM(Z21:Z44)</f>
        <v>0</v>
      </c>
      <c r="AA48" s="277">
        <f>SUM(AA21:AA44)</f>
        <v>0</v>
      </c>
      <c r="AB48" s="278">
        <f>SUM(W48:AA48)</f>
        <v>0</v>
      </c>
      <c r="AC48" s="274"/>
      <c r="AD48" s="279">
        <f>SUM(AD21:AD44)</f>
        <v>0</v>
      </c>
      <c r="AE48" s="280">
        <f>SUM(AE21:AE44)</f>
        <v>0</v>
      </c>
      <c r="AF48" s="280">
        <f>SUM(AF21:AF44)</f>
        <v>0</v>
      </c>
      <c r="AG48" s="280">
        <f>SUM(AG21:AG44)</f>
        <v>0</v>
      </c>
      <c r="AH48" s="280">
        <f>$S48*AA48</f>
        <v>0</v>
      </c>
      <c r="AI48" s="281">
        <f>SUM(AD48:AH48)</f>
        <v>0</v>
      </c>
      <c r="AJ48" s="282">
        <f>S48-AI48</f>
        <v>25000375.365128011</v>
      </c>
    </row>
    <row r="49" spans="1:36" s="258" customFormat="1" ht="10.5" x14ac:dyDescent="0.35">
      <c r="A49" s="283"/>
      <c r="B49" s="284"/>
      <c r="D49" s="283"/>
      <c r="E49" s="283"/>
      <c r="F49" s="283">
        <f>62-27</f>
        <v>35</v>
      </c>
      <c r="G49" s="283"/>
      <c r="H49" s="283"/>
    </row>
    <row r="50" spans="1:36" s="258" customFormat="1" ht="10.5" x14ac:dyDescent="0.35">
      <c r="A50" s="283"/>
      <c r="B50" s="285"/>
      <c r="D50" s="283"/>
      <c r="E50" s="283"/>
      <c r="F50" s="283"/>
      <c r="G50" s="283"/>
      <c r="H50" s="283"/>
    </row>
    <row r="51" spans="1:36" s="258" customFormat="1" ht="51" customHeight="1" x14ac:dyDescent="0.35">
      <c r="A51" s="347" t="s">
        <v>177</v>
      </c>
      <c r="B51" s="347"/>
      <c r="C51" s="347"/>
      <c r="D51" s="347"/>
      <c r="E51" s="347"/>
      <c r="F51" s="347"/>
      <c r="G51" s="347"/>
      <c r="H51" s="347"/>
      <c r="I51" s="347"/>
      <c r="J51" s="347"/>
      <c r="K51" s="347"/>
      <c r="L51" s="347"/>
      <c r="M51" s="347"/>
      <c r="N51" s="347"/>
      <c r="O51" s="347"/>
      <c r="P51" s="347"/>
      <c r="Q51" s="347"/>
      <c r="R51" s="347"/>
      <c r="S51" s="347"/>
      <c r="T51" s="347"/>
      <c r="U51" s="347"/>
      <c r="V51" s="347"/>
      <c r="W51" s="347"/>
      <c r="X51" s="347"/>
      <c r="Y51" s="347"/>
      <c r="Z51" s="347"/>
      <c r="AA51" s="347"/>
      <c r="AB51" s="347"/>
      <c r="AC51" s="347"/>
      <c r="AD51" s="347"/>
      <c r="AE51" s="347"/>
      <c r="AF51" s="347"/>
      <c r="AG51" s="347"/>
      <c r="AH51" s="347"/>
      <c r="AI51" s="347"/>
      <c r="AJ51" s="347"/>
    </row>
    <row r="52" spans="1:36" s="258" customFormat="1" ht="10.5" x14ac:dyDescent="0.35">
      <c r="A52" s="283"/>
      <c r="B52" s="285"/>
      <c r="D52" s="283"/>
      <c r="E52" s="283"/>
      <c r="F52" s="283"/>
      <c r="G52" s="283"/>
      <c r="H52" s="283"/>
    </row>
    <row r="53" spans="1:36" s="258" customFormat="1" ht="10.5" x14ac:dyDescent="0.35">
      <c r="A53" s="283"/>
      <c r="B53" s="286"/>
      <c r="D53" s="283"/>
      <c r="E53" s="283"/>
      <c r="F53" s="283"/>
      <c r="G53" s="283"/>
      <c r="H53" s="283"/>
    </row>
    <row r="54" spans="1:36" s="258" customFormat="1" ht="10.5" x14ac:dyDescent="0.35">
      <c r="A54" s="283"/>
      <c r="B54" s="287"/>
      <c r="D54" s="283"/>
      <c r="E54" s="283"/>
      <c r="F54" s="283"/>
      <c r="G54" s="283"/>
      <c r="H54" s="283"/>
    </row>
    <row r="55" spans="1:36" ht="10.5" x14ac:dyDescent="0.35">
      <c r="B55" s="287"/>
    </row>
    <row r="56" spans="1:36" ht="10.5" x14ac:dyDescent="0.35">
      <c r="B56" s="288"/>
    </row>
    <row r="57" spans="1:36" ht="14" x14ac:dyDescent="0.35">
      <c r="B57" s="289"/>
    </row>
    <row r="58" spans="1:36" ht="14" x14ac:dyDescent="0.35">
      <c r="B58" s="289"/>
    </row>
    <row r="59" spans="1:36" ht="14" x14ac:dyDescent="0.35">
      <c r="B59" s="289"/>
    </row>
    <row r="60" spans="1:36" ht="14" x14ac:dyDescent="0.35">
      <c r="B60" s="289"/>
    </row>
    <row r="61" spans="1:36" ht="14" x14ac:dyDescent="0.35">
      <c r="B61" s="289"/>
    </row>
    <row r="62" spans="1:36" ht="14" x14ac:dyDescent="0.35">
      <c r="B62" s="289"/>
    </row>
    <row r="63" spans="1:36" ht="14" x14ac:dyDescent="0.35">
      <c r="B63" s="290"/>
    </row>
    <row r="64" spans="1:36" ht="14" x14ac:dyDescent="0.35">
      <c r="B64" s="290"/>
    </row>
    <row r="65" spans="2:2" ht="14" x14ac:dyDescent="0.35">
      <c r="B65" s="290"/>
    </row>
    <row r="66" spans="2:2" ht="14" x14ac:dyDescent="0.35">
      <c r="B66" s="290"/>
    </row>
    <row r="67" spans="2:2" ht="14" x14ac:dyDescent="0.35">
      <c r="B67" s="290"/>
    </row>
    <row r="68" spans="2:2" ht="14" x14ac:dyDescent="0.35">
      <c r="B68" s="290"/>
    </row>
    <row r="69" spans="2:2" ht="14" x14ac:dyDescent="0.35">
      <c r="B69" s="290"/>
    </row>
    <row r="70" spans="2:2" ht="14" x14ac:dyDescent="0.35">
      <c r="B70" s="289"/>
    </row>
    <row r="71" spans="2:2" ht="14" x14ac:dyDescent="0.35">
      <c r="B71" s="289"/>
    </row>
    <row r="72" spans="2:2" ht="14" x14ac:dyDescent="0.35">
      <c r="B72" s="290"/>
    </row>
    <row r="73" spans="2:2" ht="14" x14ac:dyDescent="0.35">
      <c r="B73" s="290"/>
    </row>
    <row r="74" spans="2:2" ht="14" x14ac:dyDescent="0.35">
      <c r="B74" s="290"/>
    </row>
    <row r="75" spans="2:2" x14ac:dyDescent="0.35">
      <c r="B75" s="258"/>
    </row>
  </sheetData>
  <autoFilter ref="B18:H47" xr:uid="{5B311D2B-F613-4AD6-909E-4281EDC6AEF4}"/>
  <mergeCells count="50">
    <mergeCell ref="F18:F20"/>
    <mergeCell ref="M4:N4"/>
    <mergeCell ref="M5:N5"/>
    <mergeCell ref="M6:N6"/>
    <mergeCell ref="M7:N7"/>
    <mergeCell ref="M8:N8"/>
    <mergeCell ref="M9:N9"/>
    <mergeCell ref="A18:A20"/>
    <mergeCell ref="B18:B20"/>
    <mergeCell ref="C18:C20"/>
    <mergeCell ref="D18:D20"/>
    <mergeCell ref="E18:E20"/>
    <mergeCell ref="W18:AB18"/>
    <mergeCell ref="AD18:AI18"/>
    <mergeCell ref="X19:X20"/>
    <mergeCell ref="Y19:Y20"/>
    <mergeCell ref="Z19:Z20"/>
    <mergeCell ref="AA19:AA20"/>
    <mergeCell ref="AD19:AD20"/>
    <mergeCell ref="AE19:AE20"/>
    <mergeCell ref="AF19:AF20"/>
    <mergeCell ref="AG19:AG20"/>
    <mergeCell ref="AH19:AH20"/>
    <mergeCell ref="G21:G24"/>
    <mergeCell ref="H21:H24"/>
    <mergeCell ref="AJ18:AJ19"/>
    <mergeCell ref="H19:H20"/>
    <mergeCell ref="I19:J19"/>
    <mergeCell ref="K19:L19"/>
    <mergeCell ref="M19:N19"/>
    <mergeCell ref="O19:O20"/>
    <mergeCell ref="P19:P20"/>
    <mergeCell ref="Q19:Q20"/>
    <mergeCell ref="R19:R20"/>
    <mergeCell ref="W19:W20"/>
    <mergeCell ref="G18:G20"/>
    <mergeCell ref="I18:P18"/>
    <mergeCell ref="S18:S19"/>
    <mergeCell ref="U18:U19"/>
    <mergeCell ref="G25:G28"/>
    <mergeCell ref="H25:H28"/>
    <mergeCell ref="G29:G33"/>
    <mergeCell ref="H29:H33"/>
    <mergeCell ref="G34:G37"/>
    <mergeCell ref="H34:H37"/>
    <mergeCell ref="G38:G42"/>
    <mergeCell ref="H38:H42"/>
    <mergeCell ref="G43:G47"/>
    <mergeCell ref="H43:H47"/>
    <mergeCell ref="A51:AJ51"/>
  </mergeCells>
  <conditionalFormatting sqref="B1:B20 B52:B65531 B48:B50">
    <cfRule type="expression" dxfId="141" priority="5091" stopIfTrue="1">
      <formula>AND(COUNTIF($B$1:$B$25, B1)+COUNTIF($B$35:$B$65531, B1)+COUNTIF($B$27:$B$33, B1)&gt;1,NOT(ISBLANK(B1)))</formula>
    </cfRule>
  </conditionalFormatting>
  <conditionalFormatting sqref="B1:B20 B75:B65531">
    <cfRule type="expression" dxfId="140" priority="41" stopIfTrue="1">
      <formula>AND(COUNTIF(#REF!, B1)+COUNTIF($B$1:$B$47, B1)&gt;1,NOT(ISBLANK(B1)))</formula>
    </cfRule>
    <cfRule type="expression" dxfId="139" priority="46" stopIfTrue="1">
      <formula>AND(COUNTIF(#REF!, B1)+COUNTIF($B$1:$B$23, B1)+COUNTIF($B$24:$B$47, B1)&gt;1,NOT(ISBLANK(B1)))</formula>
    </cfRule>
  </conditionalFormatting>
  <conditionalFormatting sqref="B21">
    <cfRule type="duplicateValues" dxfId="138" priority="16" stopIfTrue="1"/>
    <cfRule type="duplicateValues" dxfId="137" priority="17" stopIfTrue="1"/>
    <cfRule type="duplicateValues" dxfId="136" priority="18" stopIfTrue="1"/>
  </conditionalFormatting>
  <conditionalFormatting sqref="B22:B23">
    <cfRule type="duplicateValues" dxfId="135" priority="13" stopIfTrue="1"/>
    <cfRule type="duplicateValues" dxfId="134" priority="14" stopIfTrue="1"/>
    <cfRule type="duplicateValues" dxfId="133" priority="15" stopIfTrue="1"/>
  </conditionalFormatting>
  <conditionalFormatting sqref="B24">
    <cfRule type="duplicateValues" dxfId="132" priority="1" stopIfTrue="1"/>
    <cfRule type="duplicateValues" dxfId="131" priority="2" stopIfTrue="1"/>
    <cfRule type="duplicateValues" dxfId="130" priority="3" stopIfTrue="1"/>
  </conditionalFormatting>
  <conditionalFormatting sqref="B25:B27">
    <cfRule type="duplicateValues" dxfId="129" priority="10" stopIfTrue="1"/>
    <cfRule type="duplicateValues" dxfId="128" priority="11" stopIfTrue="1"/>
    <cfRule type="duplicateValues" dxfId="127" priority="12" stopIfTrue="1"/>
  </conditionalFormatting>
  <conditionalFormatting sqref="B28:B29">
    <cfRule type="expression" dxfId="126" priority="55" stopIfTrue="1">
      <formula>AND(COUNTIF($B$28:$B$29, B28)+COUNTIF(#REF!, B28)&gt;1,NOT(ISBLANK(B28)))</formula>
    </cfRule>
  </conditionalFormatting>
  <conditionalFormatting sqref="B30:B32">
    <cfRule type="expression" dxfId="125" priority="49" stopIfTrue="1">
      <formula>AND(COUNTIF($B$31:$B$32, B30)+COUNTIF($B$30:$B$30, B30)&gt;1,NOT(ISBLANK(B30)))</formula>
    </cfRule>
  </conditionalFormatting>
  <conditionalFormatting sqref="B33">
    <cfRule type="expression" dxfId="124" priority="52" stopIfTrue="1">
      <formula>AND(COUNTIF($B$33:$B$33, B33)+COUNTIF(#REF!, B33)&gt;1,NOT(ISBLANK(B33)))</formula>
    </cfRule>
  </conditionalFormatting>
  <conditionalFormatting sqref="B34">
    <cfRule type="duplicateValues" dxfId="123" priority="7" stopIfTrue="1"/>
    <cfRule type="duplicateValues" dxfId="122" priority="8" stopIfTrue="1"/>
    <cfRule type="duplicateValues" dxfId="121" priority="9" stopIfTrue="1"/>
  </conditionalFormatting>
  <conditionalFormatting sqref="B35:B47">
    <cfRule type="expression" dxfId="120" priority="58" stopIfTrue="1">
      <formula>AND(COUNTIF($B$36:$B$47, B35)+COUNTIF($B$35:$B$35, B35)&gt;1,NOT(ISBLANK(B35)))</formula>
    </cfRule>
  </conditionalFormatting>
  <conditionalFormatting sqref="B46:B47">
    <cfRule type="duplicateValues" dxfId="119" priority="4" stopIfTrue="1"/>
    <cfRule type="duplicateValues" dxfId="118" priority="5" stopIfTrue="1"/>
    <cfRule type="duplicateValues" dxfId="117" priority="6" stopIfTrue="1"/>
  </conditionalFormatting>
  <conditionalFormatting sqref="B48:B50 B52">
    <cfRule type="expression" dxfId="116" priority="19" stopIfTrue="1">
      <formula>AND(COUNTIF($C$1:$C$22, B48)+COUNTIF($C$24:$C$65531, B48)&gt;1,NOT(ISBLANK(B48)))</formula>
    </cfRule>
  </conditionalFormatting>
  <conditionalFormatting sqref="B54:B56">
    <cfRule type="expression" dxfId="115" priority="35" stopIfTrue="1">
      <formula>AND(COUNTIF($B$52:$B$56, B54)+COUNTIF(#REF!, B54)+COUNTIF($B$50:$B$50, B54)&gt;1,NOT(ISBLANK(B54)))</formula>
    </cfRule>
    <cfRule type="expression" dxfId="114" priority="40" stopIfTrue="1">
      <formula>AND(COUNTIF(#REF!, B54)+COUNTIF($B$54:$B$56, B54)&gt;1,NOT(ISBLANK(B54)))</formula>
    </cfRule>
  </conditionalFormatting>
  <conditionalFormatting sqref="B57:B60">
    <cfRule type="expression" dxfId="113" priority="38" stopIfTrue="1">
      <formula>AND(COUNTIF($C$203:$C$65349, B57)+COUNTIF($C$183:$C$184, B57)+COUNTIF($C$145:$C$146, B57)+COUNTIF($C$103:$C$106, B57)+COUNTIF($C$80:$C$81, B57)+COUNTIF($C$53:$C$54, B57)+COUNTIF(#REF!, B57)+COUNTIF(#REF!, B57)+COUNTIF(#REF!, B57)+COUNTIF(#REF!, B57)+COUNTIF(#REF!, B57)+COUNTIF($C$11:$C$11, B57)+COUNTIF($B$10:$B$23, B57)+COUNTIF($C$2:$C$10, B57)&gt;1,NOT(ISBLANK(B57)))</formula>
    </cfRule>
    <cfRule type="expression" dxfId="112" priority="39" stopIfTrue="1">
      <formula>AND(COUNTIF($C$2:$C$65349, B57)+COUNTIF(#REF!, B57)&gt;1,NOT(ISBLANK(B57)))</formula>
    </cfRule>
  </conditionalFormatting>
  <conditionalFormatting sqref="B57:B62 B64:B70">
    <cfRule type="expression" dxfId="111" priority="36" stopIfTrue="1">
      <formula>AND(COUNTIF($C$184:$C$65330, B57)+COUNTIF($C$164:$C$165, B57)+COUNTIF($C$126:$C$127, B57)+COUNTIF($C$84:$C$87, B57)+COUNTIF($C$61:$C$62, B57)+COUNTIF(#REF!, B57)+COUNTIF(#REF!, B57)+COUNTIF(#REF!, B57)+COUNTIF(#REF!, B57)+COUNTIF(#REF!, B57)+COUNTIF($C$11:$C$11, B57)+COUNTIF($C$5:$C$26, B57)+COUNTIF(#REF!, B57)+COUNTIF($C$2:$C$3, B57)&gt;1,NOT(ISBLANK(B57)))</formula>
    </cfRule>
    <cfRule type="expression" dxfId="110" priority="37" stopIfTrue="1">
      <formula>AND(COUNTIF($C$2:$C$65330, B57)+COUNTIF(#REF!, B57)&gt;1,NOT(ISBLANK(B57)))</formula>
    </cfRule>
    <cfRule type="expression" dxfId="109" priority="42" stopIfTrue="1">
      <formula>AND(COUNTIF(#REF!, B57)+COUNTIF($B$64:$B$70, B57)+COUNTIF($B$48:$B$62, B57)&gt;1,NOT(ISBLANK(B57)))</formula>
    </cfRule>
  </conditionalFormatting>
  <conditionalFormatting sqref="B57:B74">
    <cfRule type="duplicateValues" dxfId="108" priority="21"/>
    <cfRule type="expression" dxfId="107" priority="43" stopIfTrue="1">
      <formula>AND(COUNTIF(#REF!, B57)+COUNTIF($B$48:$B$74, B57)&gt;1,NOT(ISBLANK(B57)))</formula>
    </cfRule>
  </conditionalFormatting>
  <conditionalFormatting sqref="B57:B65531 B1:B20">
    <cfRule type="expression" dxfId="106" priority="45" stopIfTrue="1">
      <formula>AND(COUNTIF($B$1:$B$47, B1)+COUNTIF($B$57:$B$65531, B1)&gt;1,NOT(ISBLANK(B1)))</formula>
    </cfRule>
  </conditionalFormatting>
  <conditionalFormatting sqref="B61:B62 B64:B70">
    <cfRule type="expression" dxfId="105" priority="33" stopIfTrue="1">
      <formula>AND(COUNTIF($C$207:$C$65353, B61)+COUNTIF($C$187:$C$188, B61)+COUNTIF($C$149:$C$150, B61)+COUNTIF($C$107:$C$110, B61)+COUNTIF($C$84:$C$85, B61)+COUNTIF($C$57:$C$58, B61)+COUNTIF(#REF!, B61)+COUNTIF(#REF!, B61)+COUNTIF(#REF!, B61)+COUNTIF(#REF!, B61)+COUNTIF(#REF!, B61)+COUNTIF($C$6:$C$6, B61)+COUNTIF($B$8:$B$20, B61)+COUNTIF($C$1:$C$5, B61)&gt;1,NOT(ISBLANK(B61)))</formula>
    </cfRule>
    <cfRule type="expression" dxfId="104" priority="34" stopIfTrue="1">
      <formula>AND(COUNTIF($C$1:$C$65353, B61)+COUNTIF(#REF!, B61)&gt;1,NOT(ISBLANK(B61)))</formula>
    </cfRule>
  </conditionalFormatting>
  <conditionalFormatting sqref="C21:C47">
    <cfRule type="expression" dxfId="103" priority="22" stopIfTrue="1">
      <formula>AND(COUNTIF(#REF!, C21)+COUNTIF(#REF!, C21)+COUNTIF(#REF!, C21)+COUNTIF(#REF!, C21)+COUNTIF(#REF!, C21)+COUNTIF(#REF!, C21)+COUNTIF(#REF!, C21)+COUNTIF(#REF!, C21)+COUNTIF(#REF!, C21)+COUNTIF(#REF!, C21)+COUNTIF(#REF!, C21)+COUNTIF(#REF!, C21)+COUNTIF(#REF!, C21)+COUNTIF(#REF!, C21)+COUNTIF(#REF!, C21)&gt;1,NOT(ISBLANK(C21)))</formula>
    </cfRule>
    <cfRule type="expression" dxfId="102" priority="23" stopIfTrue="1">
      <formula>AND(COUNTIF(#REF!, C21)+COUNTIF(#REF!, C21)+COUNTIF(#REF!, C21)+COUNTIF(#REF!, C21)+COUNTIF(#REF!, C21)+COUNTIF(#REF!, C21)+COUNTIF(#REF!, C21)+COUNTIF(#REF!, C21)+COUNTIF(#REF!, C21)+COUNTIF(#REF!, C21)+COUNTIF(#REF!, C21)+COUNTIF(#REF!, C21)+COUNTIF(#REF!, C21)+COUNTIF(#REF!, C21)&gt;1,NOT(ISBLANK(C21)))</formula>
    </cfRule>
    <cfRule type="expression" dxfId="101" priority="24" stopIfTrue="1">
      <formula>AND(COUNTIF(#REF!, C21)+COUNTIF(#REF!, C21)+COUNTIF(#REF!, C21)+COUNTIF(#REF!, C21)+COUNTIF(#REF!, C21)+COUNTIF(#REF!, C21)+COUNTIF(#REF!, C21)+COUNTIF(#REF!, C21)+COUNTIF(#REF!, C21)+COUNTIF(#REF!, C21)+COUNTIF(#REF!, C21)+COUNTIF(#REF!, C21)+COUNTIF(#REF!, C21)&gt;1,NOT(ISBLANK(C21)))</formula>
    </cfRule>
    <cfRule type="expression" dxfId="100" priority="25" stopIfTrue="1">
      <formula>AND(COUNTIF(#REF!, C21)+COUNTIF(#REF!, C21)+COUNTIF(#REF!, C21)+COUNTIF(#REF!, C21)+COUNTIF(#REF!, C21)+COUNTIF(#REF!, C21)+COUNTIF(#REF!, C21)+COUNTIF(#REF!, C21)+COUNTIF(#REF!, C21)+COUNTIF(#REF!, C21)+COUNTIF(#REF!, C21)+COUNTIF(#REF!, C21)&gt;1,NOT(ISBLANK(C21)))</formula>
    </cfRule>
    <cfRule type="expression" dxfId="99" priority="26" stopIfTrue="1">
      <formula>AND(COUNTIF(#REF!, C21)+COUNTIF(#REF!, C21)+COUNTIF(#REF!, C21)+COUNTIF(#REF!, C21)+COUNTIF(#REF!, C21)+COUNTIF(#REF!, C21)+COUNTIF(#REF!, C21)+COUNTIF(#REF!, C21)+COUNTIF(#REF!, C21)+COUNTIF(#REF!, C21)+COUNTIF(#REF!, C21)&gt;1,NOT(ISBLANK(C21)))</formula>
    </cfRule>
    <cfRule type="expression" dxfId="98" priority="27" stopIfTrue="1">
      <formula>AND(COUNTIF(#REF!, C21)+COUNTIF(#REF!, C21)+COUNTIF(#REF!, C21)+COUNTIF(#REF!, C21)+COUNTIF(#REF!, C21)+COUNTIF(#REF!, C21)+COUNTIF(#REF!, C21)+COUNTIF(#REF!, C21)+COUNTIF(#REF!, C21)+COUNTIF(#REF!, C21)+COUNTIF(#REF!, C21)+COUNTIF(#REF!, C21)+COUNTIF(#REF!, C21)+COUNTIF(#REF!, C21)&gt;1,NOT(ISBLANK(C21)))</formula>
    </cfRule>
    <cfRule type="expression" dxfId="97" priority="28" stopIfTrue="1">
      <formula>AND(COUNTIF(#REF!, C21)+COUNTIF(#REF!, C21)+COUNTIF(#REF!, C21)+COUNTIF(#REF!, C21)+COUNTIF(#REF!, C21)+COUNTIF(#REF!, C21)+COUNTIF(#REF!, C21)+COUNTIF(#REF!, C21)+COUNTIF(#REF!, C21)+COUNTIF(#REF!, C21)+COUNTIF(#REF!, C21)+COUNTIF(#REF!, C21)+COUNTIF(#REF!, C21)&gt;1,NOT(ISBLANK(C21)))</formula>
    </cfRule>
    <cfRule type="expression" dxfId="96" priority="29" stopIfTrue="1">
      <formula>AND(COUNTIF(#REF!, C21)+COUNTIF(#REF!, C21)+COUNTIF(#REF!, C21)+COUNTIF(#REF!, C21)+COUNTIF(#REF!, C21)+COUNTIF(#REF!, C21)+COUNTIF(#REF!, C21)+COUNTIF(#REF!, C21)+COUNTIF(#REF!, C21)+COUNTIF(#REF!, C21)+COUNTIF(#REF!, C21)+COUNTIF(#REF!, C21)+COUNTIF(#REF!, C21)+COUNTIF(#REF!, C21)&gt;1,NOT(ISBLANK(C21)))</formula>
    </cfRule>
    <cfRule type="expression" dxfId="95" priority="30" stopIfTrue="1">
      <formula>AND(COUNTIF(#REF!, C21)+COUNTIF(#REF!, C21)+COUNTIF(#REF!, C21)+COUNTIF(#REF!, C21)+COUNTIF(#REF!, C21)+COUNTIF(#REF!, C21)+COUNTIF(#REF!, C21)+COUNTIF(#REF!, C21)+COUNTIF(#REF!, C21)+COUNTIF(#REF!, C21)+COUNTIF(#REF!, C21)+COUNTIF(#REF!, C21)+COUNTIF(#REF!, C21)&gt;1,NOT(ISBLANK(C21)))</formula>
    </cfRule>
    <cfRule type="expression" dxfId="94" priority="31" stopIfTrue="1">
      <formula>AND(COUNTIF(#REF!, C21)+COUNTIF(#REF!, C21)+COUNTIF(#REF!, C21)+COUNTIF(#REF!, C21)+COUNTIF(#REF!, C21)+COUNTIF(#REF!, C21)+COUNTIF(#REF!, C21)+COUNTIF(#REF!, C21)+COUNTIF(#REF!, C21)+COUNTIF(#REF!, C21)+COUNTIF(#REF!, C21)+COUNTIF(#REF!, C21)&gt;1,NOT(ISBLANK(C21)))</formula>
    </cfRule>
    <cfRule type="expression" dxfId="93" priority="32" stopIfTrue="1">
      <formula>AND(COUNTIF(#REF!, C21)+COUNTIF(#REF!, C21)+COUNTIF(#REF!, C21)+COUNTIF(#REF!, C21)+COUNTIF(#REF!, C21)+COUNTIF(#REF!, C21)+COUNTIF(#REF!, C21)+COUNTIF(#REF!, C21)+COUNTIF(#REF!, C21)+COUNTIF(#REF!, C21)+COUNTIF(#REF!, C21)&gt;1,NOT(ISBLANK(C21)))</formula>
    </cfRule>
    <cfRule type="expression" dxfId="92" priority="5094" stopIfTrue="1">
      <formula>AND(COUNTIF($G$221:$G$65343, C21)+COUNTIF($G$2:$G$26, C21)+COUNTIF($G$183:$G$184, C21)+COUNTIF(#REF!, C21)+COUNTIF($G$141:$G$144, C21)+COUNTIF($G$118:$G$119, C21)+COUNTIF($G$91:$G$92, C21)+COUNTIF($G$70:$G$70, C21)+COUNTIF($G$55:$G$56, C21)+COUNTIF(#REF!, C21)+COUNTIF(#REF!, C21)+COUNTIF($G$32:$G$43, C21)+COUNTIF(#REF!, C21)&gt;1,NOT(ISBLANK(C21)))</formula>
    </cfRule>
    <cfRule type="expression" dxfId="91" priority="5095" stopIfTrue="1">
      <formula>AND(COUNTIF($G$183:$G$65343, C21)+COUNTIF($G$2:$G$26, C21)+COUNTIF(#REF!, C21)+COUNTIF($G$141:$G$144, C21)+COUNTIF($G$118:$G$119, C21)+COUNTIF($G$91:$G$92, C21)+COUNTIF($G$70:$G$70, C21)+COUNTIF($G$55:$G$56, C21)+COUNTIF(#REF!, C21)+COUNTIF(#REF!, C21)+COUNTIF($G$32:$G$43, C21)+COUNTIF(#REF!, C21)&gt;1,NOT(ISBLANK(C21)))</formula>
    </cfRule>
    <cfRule type="expression" dxfId="90" priority="5096" stopIfTrue="1">
      <formula>AND(COUNTIF($G$141:$G$65343, C21)+COUNTIF(#REF!, C21)+COUNTIF($G$2:$G$26, C21)+COUNTIF($G$118:$G$119, C21)+COUNTIF($G$91:$G$92, C21)+COUNTIF($G$70:$G$70, C21)+COUNTIF($G$55:$G$56, C21)+COUNTIF(#REF!, C21)+COUNTIF(#REF!, C21)+COUNTIF($G$32:$G$43, C21)+COUNTIF(#REF!, C21)&gt;1,NOT(ISBLANK(C21)))</formula>
    </cfRule>
    <cfRule type="expression" dxfId="89" priority="5097" stopIfTrue="1">
      <formula>AND(COUNTIF($G$141:$G$65343, C21)+COUNTIF($G$118:$G$119, C21)+COUNTIF($G$91:$G$92, C21)+COUNTIF($G$70:$G$70, C21)+COUNTIF($G$55:$G$56, C21)+COUNTIF($G$2:$G$26, C21)+COUNTIF(#REF!, C21)+COUNTIF(#REF!, C21)+COUNTIF(#REF!, C21)+COUNTIF(#REF!, C21)+COUNTIF($G$32:$G$43, C21)+COUNTIF(#REF!, C21)+COUNTIF(#REF!, C21)+COUNTIF(#REF!, C21)&gt;1,NOT(ISBLANK(C21)))</formula>
    </cfRule>
    <cfRule type="expression" dxfId="88" priority="5098" stopIfTrue="1">
      <formula>AND(COUNTIF($G$118:$G$65343, C21)+COUNTIF($G$91:$G$92, C21)+COUNTIF($G$70:$G$70, C21)+COUNTIF($G$55:$G$56, C21)+COUNTIF($G$2:$G$26, C21)+COUNTIF(#REF!, C21)+COUNTIF(#REF!, C21)+COUNTIF(#REF!, C21)+COUNTIF(#REF!, C21)+COUNTIF($G$32:$G$43, C21)+COUNTIF(#REF!, C21)+COUNTIF(#REF!, C21)+COUNTIF(#REF!, C21)&gt;1,NOT(ISBLANK(C21)))</formula>
    </cfRule>
    <cfRule type="expression" dxfId="87" priority="5099" stopIfTrue="1">
      <formula>AND(COUNTIF($G$258:$G$65343, C21)+COUNTIF($G$2:$G$26, C21)+COUNTIF(#REF!, C21)+COUNTIF($G$241:$G$242, C21)+COUNTIF($G$221:$G$222, C21)+COUNTIF($G$183:$G$184, C21)+COUNTIF($G$141:$G$144, C21)+COUNTIF($G$118:$G$119, C21)+COUNTIF($G$91:$G$92, C21)+COUNTIF($G$70:$G$70, C21)+COUNTIF($G$55:$G$56, C21)+COUNTIF(#REF!, C21)+COUNTIF(#REF!, C21)+COUNTIF($G$32:$G$43, C21)+COUNTIF(#REF!, C21)&gt;1,NOT(ISBLANK(C21)))</formula>
    </cfRule>
    <cfRule type="expression" dxfId="86" priority="5100" stopIfTrue="1">
      <formula>AND(COUNTIF($G$241:$G$65343, C21)+COUNTIF(#REF!, C21)+COUNTIF($G$2:$G$26, C21)+COUNTIF($G$221:$G$222, C21)+COUNTIF($G$183:$G$184, C21)+COUNTIF($G$141:$G$144, C21)+COUNTIF($G$118:$G$119, C21)+COUNTIF($G$91:$G$92, C21)+COUNTIF($G$70:$G$70, C21)+COUNTIF($G$55:$G$56, C21)+COUNTIF(#REF!, C21)+COUNTIF(#REF!, C21)+COUNTIF($G$32:$G$43, C21)+COUNTIF(#REF!, C21)&gt;1,NOT(ISBLANK(C21)))</formula>
    </cfRule>
  </conditionalFormatting>
  <conditionalFormatting sqref="M4">
    <cfRule type="expression" dxfId="85" priority="5101" stopIfTrue="1">
      <formula>AND(COUNTIF($C$285:$C$65431, M4)+COUNTIF($C$265:$C$266, M4)+COUNTIF($C$227:$C$228, M4)+COUNTIF($C$185:$C$188, M4)+COUNTIF($C$162:$C$163, M4)+COUNTIF($C$135:$C$136, M4)+COUNTIF($C$114:$C$114, M4)+COUNTIF($C$99:$C$100, M4)+COUNTIF($C$74:$C$74, M4)+COUNTIF($C$63:$C$64, M4)+COUNTIF($C$49:$C$49, M4)+COUNTIF($C$41:$C$43, M4)+COUNTIF(#REF!, M4)+COUNTIF($C$1:$C$26, M4)&gt;1,NOT(ISBLANK(M4)))</formula>
    </cfRule>
    <cfRule type="expression" dxfId="84" priority="5102" stopIfTrue="1">
      <formula>AND(COUNTIF($C$1:$C$65431, M4)+COUNTIF(#REF!, M4)&gt;1,NOT(ISBLANK(M4)))</formula>
    </cfRule>
  </conditionalFormatting>
  <conditionalFormatting sqref="N4">
    <cfRule type="expression" dxfId="83" priority="5103" stopIfTrue="1">
      <formula>AND(COUNTIF($D$302:$D$65431, N4)+COUNTIF($D$1:$D$26, N4)+COUNTIF(#REF!, N4)+COUNTIF($D$285:$D$286, N4)+COUNTIF($D$265:$D$266, N4)+COUNTIF($D$227:$D$228, N4)+COUNTIF($D$185:$D$188, N4)+COUNTIF($D$162:$D$163, N4)+COUNTIF($D$135:$D$136, N4)+COUNTIF($D$114:$D$114, N4)+COUNTIF($D$99:$D$100, N4)+COUNTIF($D$74:$D$74, N4)+COUNTIF($D$63:$D$64, N4)+COUNTIF($D$49:$D$49, N4)+COUNTIF(#REF!, N4)&gt;1,NOT(ISBLANK(N4)))</formula>
    </cfRule>
    <cfRule type="expression" dxfId="82" priority="5104" stopIfTrue="1">
      <formula>AND(COUNTIF($D$285:$D$65431, N4)+COUNTIF(#REF!, N4)+COUNTIF($D$1:$D$26, N4)+COUNTIF($D$265:$D$266, N4)+COUNTIF($D$227:$D$228, N4)+COUNTIF($D$185:$D$188, N4)+COUNTIF($D$162:$D$163, N4)+COUNTIF($D$135:$D$136, N4)+COUNTIF($D$114:$D$114, N4)+COUNTIF($D$99:$D$100, N4)+COUNTIF($D$74:$D$74, N4)+COUNTIF($D$63:$D$64, N4)+COUNTIF($D$49:$D$49, N4)+COUNTIF(#REF!, N4)&gt;1,NOT(ISBLANK(N4)))</formula>
    </cfRule>
    <cfRule type="expression" dxfId="81" priority="5105" stopIfTrue="1">
      <formula>AND(COUNTIF($D$265:$D$65431, N4)+COUNTIF($D$1:$D$26, N4)+COUNTIF($D$227:$D$228, N4)+COUNTIF(#REF!, N4)+COUNTIF($D$185:$D$188, N4)+COUNTIF($D$162:$D$163, N4)+COUNTIF($D$135:$D$136, N4)+COUNTIF($D$114:$D$114, N4)+COUNTIF($D$99:$D$100, N4)+COUNTIF($D$74:$D$74, N4)+COUNTIF($D$63:$D$64, N4)+COUNTIF($D$49:$D$49, N4)+COUNTIF(#REF!, N4)&gt;1,NOT(ISBLANK(N4)))</formula>
    </cfRule>
    <cfRule type="expression" dxfId="80" priority="5106" stopIfTrue="1">
      <formula>AND(COUNTIF($D$227:$D$65431, N4)+COUNTIF($D$1:$D$26, N4)+COUNTIF(#REF!, N4)+COUNTIF($D$185:$D$188, N4)+COUNTIF($D$162:$D$163, N4)+COUNTIF($D$135:$D$136, N4)+COUNTIF($D$114:$D$114, N4)+COUNTIF($D$99:$D$100, N4)+COUNTIF($D$74:$D$74, N4)+COUNTIF($D$63:$D$64, N4)+COUNTIF($D$49:$D$49, N4)+COUNTIF(#REF!, N4)&gt;1,NOT(ISBLANK(N4)))</formula>
    </cfRule>
    <cfRule type="expression" dxfId="79" priority="5107" stopIfTrue="1">
      <formula>AND(COUNTIF($D$185:$D$65431, N4)+COUNTIF(#REF!, N4)+COUNTIF($D$1:$D$26, N4)+COUNTIF($D$162:$D$163, N4)+COUNTIF($D$135:$D$136, N4)+COUNTIF($D$114:$D$114, N4)+COUNTIF($D$99:$D$100, N4)+COUNTIF($D$74:$D$74, N4)+COUNTIF($D$63:$D$64, N4)+COUNTIF($D$49:$D$49, N4)+COUNTIF(#REF!, N4)&gt;1,NOT(ISBLANK(N4)))</formula>
    </cfRule>
    <cfRule type="expression" dxfId="78" priority="5108" stopIfTrue="1">
      <formula>AND(COUNTIF($D$185:$D$65431, N4)+COUNTIF($D$162:$D$163, N4)+COUNTIF($D$135:$D$136, N4)+COUNTIF($D$114:$D$114, N4)+COUNTIF($D$99:$D$100, N4)+COUNTIF($D$1:$D$26, N4)+COUNTIF(#REF!, N4)+COUNTIF($D$74:$D$74, N4)+COUNTIF($D$63:$D$64, N4)+COUNTIF(#REF!, N4)+COUNTIF($D$49:$D$49, N4)+COUNTIF(#REF!, N4)+COUNTIF($D$42:$D$43, N4)+COUNTIF(#REF!, N4)&gt;1,NOT(ISBLANK(N4)))</formula>
    </cfRule>
    <cfRule type="expression" dxfId="77" priority="5109" stopIfTrue="1">
      <formula>AND(COUNTIF($D$162:$D$65431, N4)+COUNTIF($D$135:$D$136, N4)+COUNTIF($D$114:$D$114, N4)+COUNTIF($D$99:$D$100, N4)+COUNTIF($D$1:$D$26, N4)+COUNTIF(#REF!, N4)+COUNTIF($D$74:$D$74, N4)+COUNTIF($D$63:$D$64, N4)+COUNTIF(#REF!, N4)+COUNTIF($D$49:$D$49, N4)+COUNTIF(#REF!, N4)+COUNTIF($D$42:$D$43, N4)+COUNTIF(#REF!, N4)&gt;1,NOT(ISBLANK(N4)))</formula>
    </cfRule>
    <cfRule type="expression" dxfId="76" priority="5110" stopIfTrue="1">
      <formula>AND(COUNTIF($F$340:$F$65425, N4)+COUNTIF($F$1:$F$26, N4)+COUNTIF(#REF!, N4)+COUNTIF($F$323:$F$324, N4)+COUNTIF($F$303:$F$304, N4)+COUNTIF($F$265:$F$266, N4)+COUNTIF($F$223:$F$226, N4)+COUNTIF($F$200:$F$201, N4)+COUNTIF($F$173:$F$174, N4)+COUNTIF($F$152:$F$152, N4)+COUNTIF($F$137:$F$138, N4)+COUNTIF($F$112:$F$112, N4)+COUNTIF($F$101:$F$102, N4)+COUNTIF($F$82:$F$83, N4)+COUNTIF($F$67:$F$69, N4)&gt;1,NOT(ISBLANK(N4)))</formula>
    </cfRule>
    <cfRule type="expression" dxfId="75" priority="5111" stopIfTrue="1">
      <formula>AND(COUNTIF($F$323:$F$65425, N4)+COUNTIF(#REF!, N4)+COUNTIF($F$1:$F$26, N4)+COUNTIF($F$303:$F$304, N4)+COUNTIF($F$265:$F$266, N4)+COUNTIF($F$223:$F$226, N4)+COUNTIF($F$200:$F$201, N4)+COUNTIF($F$173:$F$174, N4)+COUNTIF($F$152:$F$152, N4)+COUNTIF($F$137:$F$138, N4)+COUNTIF($F$112:$F$112, N4)+COUNTIF($F$101:$F$102, N4)+COUNTIF($F$82:$F$83, N4)+COUNTIF($F$67:$F$69, N4)&gt;1,NOT(ISBLANK(N4)))</formula>
    </cfRule>
    <cfRule type="expression" dxfId="74" priority="5112" stopIfTrue="1">
      <formula>AND(COUNTIF($F$303:$F$65425, N4)+COUNTIF($F$1:$F$26, N4)+COUNTIF($F$265:$F$266, N4)+COUNTIF(#REF!, N4)+COUNTIF($F$223:$F$226, N4)+COUNTIF($F$200:$F$201, N4)+COUNTIF($F$173:$F$174, N4)+COUNTIF($F$152:$F$152, N4)+COUNTIF($F$137:$F$138, N4)+COUNTIF($F$112:$F$112, N4)+COUNTIF($F$101:$F$102, N4)+COUNTIF($F$82:$F$83, N4)+COUNTIF($F$67:$F$69, N4)&gt;1,NOT(ISBLANK(N4)))</formula>
    </cfRule>
    <cfRule type="expression" dxfId="73" priority="5113" stopIfTrue="1">
      <formula>AND(COUNTIF($F$265:$F$65425, N4)+COUNTIF($F$1:$F$26, N4)+COUNTIF(#REF!, N4)+COUNTIF($F$223:$F$226, N4)+COUNTIF($F$200:$F$201, N4)+COUNTIF($F$173:$F$174, N4)+COUNTIF($F$152:$F$152, N4)+COUNTIF($F$137:$F$138, N4)+COUNTIF($F$112:$F$112, N4)+COUNTIF($F$101:$F$102, N4)+COUNTIF($F$82:$F$83, N4)+COUNTIF($F$67:$F$69, N4)&gt;1,NOT(ISBLANK(N4)))</formula>
    </cfRule>
    <cfRule type="expression" dxfId="72" priority="5114" stopIfTrue="1">
      <formula>AND(COUNTIF($F$223:$F$65425, N4)+COUNTIF(#REF!, N4)+COUNTIF($F$1:$F$26, N4)+COUNTIF($F$200:$F$201, N4)+COUNTIF($F$173:$F$174, N4)+COUNTIF($F$152:$F$152, N4)+COUNTIF($F$137:$F$138, N4)+COUNTIF($F$112:$F$112, N4)+COUNTIF($F$101:$F$102, N4)+COUNTIF($F$82:$F$83, N4)+COUNTIF($F$67:$F$69, N4)&gt;1,NOT(ISBLANK(N4)))</formula>
    </cfRule>
    <cfRule type="expression" dxfId="71" priority="5115" stopIfTrue="1">
      <formula>AND(COUNTIF($F$223:$F$65425, N4)+COUNTIF($F$200:$F$201, N4)+COUNTIF($F$173:$F$174, N4)+COUNTIF($F$152:$F$152, N4)+COUNTIF($F$137:$F$138, N4)+COUNTIF($F$1:$F$26, N4)+COUNTIF(#REF!, N4)+COUNTIF($F$112:$F$112, N4)+COUNTIF($F$101:$F$102, N4)+COUNTIF(#REF!, N4)+COUNTIF($F$82:$F$83, N4)+COUNTIF($F$60:$F$60, N4)+COUNTIF($F$62:$F$69, N4)+COUNTIF(#REF!, N4)&gt;1,NOT(ISBLANK(N4)))</formula>
    </cfRule>
    <cfRule type="expression" dxfId="70" priority="5116" stopIfTrue="1">
      <formula>AND(COUNTIF($F$200:$F$65425, N4)+COUNTIF($F$173:$F$174, N4)+COUNTIF($F$152:$F$152, N4)+COUNTIF($F$137:$F$138, N4)+COUNTIF($F$1:$F$26, N4)+COUNTIF(#REF!, N4)+COUNTIF($F$112:$F$112, N4)+COUNTIF($F$101:$F$102, N4)+COUNTIF(#REF!, N4)+COUNTIF($F$82:$F$83, N4)+COUNTIF($F$60:$F$60, N4)+COUNTIF($F$62:$F$69, N4)+COUNTIF(#REF!, N4)&gt;1,NOT(ISBLANK(N4)))</formula>
    </cfRule>
  </conditionalFormatting>
  <printOptions horizontalCentered="1"/>
  <pageMargins left="0.31496062992125984" right="0.31496062992125984" top="0.55118110236220474" bottom="0.55118110236220474" header="0.31496062992125984" footer="0.31496062992125984"/>
  <pageSetup paperSize="9" scale="25" fitToHeight="6" orientation="landscape" r:id="rId1"/>
  <ignoredErrors>
    <ignoredError sqref="K21:L47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88"/>
  <sheetViews>
    <sheetView topLeftCell="A16" zoomScale="85" zoomScaleNormal="85" workbookViewId="0">
      <selection activeCell="H58" sqref="H58"/>
    </sheetView>
  </sheetViews>
  <sheetFormatPr defaultColWidth="9.1796875" defaultRowHeight="14.5" x14ac:dyDescent="0.35"/>
  <cols>
    <col min="1" max="1" width="8.1796875" style="4" customWidth="1"/>
    <col min="2" max="2" width="10" style="1" customWidth="1"/>
    <col min="3" max="3" width="9.453125" style="1" customWidth="1"/>
    <col min="4" max="4" width="12.54296875" style="4" customWidth="1"/>
    <col min="5" max="6" width="8.7265625" style="4" customWidth="1"/>
    <col min="7" max="7" width="18.1796875" style="4" bestFit="1" customWidth="1"/>
    <col min="8" max="8" width="18.1796875" style="4" customWidth="1"/>
    <col min="9" max="9" width="11" style="1" customWidth="1"/>
    <col min="10" max="10" width="10.7265625" style="1" customWidth="1"/>
    <col min="11" max="11" width="12.54296875" style="1" customWidth="1"/>
    <col min="12" max="13" width="10.7265625" style="1" customWidth="1"/>
    <col min="14" max="14" width="12.26953125" style="1" bestFit="1" customWidth="1"/>
    <col min="15" max="15" width="12.54296875" style="1" bestFit="1" customWidth="1"/>
    <col min="16" max="16" width="10.7265625" style="1" customWidth="1"/>
    <col min="17" max="17" width="15.7265625" style="1" bestFit="1" customWidth="1"/>
    <col min="18" max="18" width="1.81640625" style="1" customWidth="1"/>
    <col min="19" max="19" width="14.54296875" style="1" customWidth="1"/>
    <col min="20" max="20" width="1.81640625" style="1" customWidth="1"/>
    <col min="21" max="26" width="8.7265625" style="1" customWidth="1"/>
    <col min="27" max="27" width="3.1796875" style="1" customWidth="1"/>
    <col min="28" max="28" width="15" style="1" customWidth="1"/>
    <col min="29" max="29" width="13.1796875" style="1" customWidth="1"/>
    <col min="30" max="30" width="13.453125" style="1" customWidth="1"/>
    <col min="31" max="31" width="15" style="1" customWidth="1"/>
    <col min="32" max="32" width="10.7265625" style="1" customWidth="1"/>
    <col min="33" max="33" width="13" style="1" customWidth="1"/>
    <col min="34" max="34" width="15.1796875" style="1" customWidth="1"/>
    <col min="35" max="16384" width="9.1796875" style="1"/>
  </cols>
  <sheetData>
    <row r="1" spans="1:14" ht="15" thickBot="1" x14ac:dyDescent="0.4">
      <c r="A1" s="14" t="s">
        <v>0</v>
      </c>
      <c r="D1" s="99" t="s">
        <v>74</v>
      </c>
    </row>
    <row r="2" spans="1:14" x14ac:dyDescent="0.35">
      <c r="A2" s="14" t="s">
        <v>21</v>
      </c>
      <c r="D2" s="3" t="s">
        <v>120</v>
      </c>
    </row>
    <row r="3" spans="1:14" x14ac:dyDescent="0.35">
      <c r="A3" s="6"/>
      <c r="D3" s="1"/>
    </row>
    <row r="4" spans="1:14" ht="15.5" x14ac:dyDescent="0.35">
      <c r="A4" s="14" t="s">
        <v>22</v>
      </c>
      <c r="D4" s="45" t="s">
        <v>1</v>
      </c>
      <c r="E4" s="28" t="s">
        <v>36</v>
      </c>
      <c r="J4" s="75"/>
      <c r="K4" s="76"/>
      <c r="L4" s="76"/>
      <c r="M4" s="77"/>
      <c r="N4" s="78"/>
    </row>
    <row r="5" spans="1:14" x14ac:dyDescent="0.35">
      <c r="A5" s="6"/>
      <c r="D5" s="2" t="s">
        <v>29</v>
      </c>
      <c r="E5" s="53">
        <v>175</v>
      </c>
      <c r="K5" s="4"/>
      <c r="L5" s="4"/>
    </row>
    <row r="6" spans="1:14" ht="16" x14ac:dyDescent="0.35">
      <c r="A6" s="6"/>
      <c r="D6" s="2" t="s">
        <v>119</v>
      </c>
      <c r="E6" s="54">
        <v>27</v>
      </c>
      <c r="L6" s="3"/>
    </row>
    <row r="7" spans="1:14" x14ac:dyDescent="0.35">
      <c r="A7" s="6"/>
      <c r="D7" s="2" t="s">
        <v>2</v>
      </c>
      <c r="E7" s="30">
        <f>E5-E6</f>
        <v>148</v>
      </c>
      <c r="L7" s="3"/>
    </row>
    <row r="8" spans="1:14" ht="5.15" customHeight="1" thickBot="1" x14ac:dyDescent="0.4">
      <c r="A8" s="6"/>
      <c r="D8" s="1"/>
    </row>
    <row r="9" spans="1:14" ht="15" thickBot="1" x14ac:dyDescent="0.4">
      <c r="A9" s="14" t="s">
        <v>23</v>
      </c>
      <c r="D9" s="39">
        <v>45597</v>
      </c>
      <c r="E9" s="42">
        <v>40</v>
      </c>
      <c r="F9" s="3" t="s">
        <v>3</v>
      </c>
      <c r="G9" s="31">
        <f>Q61</f>
        <v>27161598.380000003</v>
      </c>
      <c r="H9" s="31"/>
      <c r="I9" s="3" t="s">
        <v>20</v>
      </c>
    </row>
    <row r="10" spans="1:14" ht="6" customHeight="1" x14ac:dyDescent="0.35">
      <c r="A10" s="14"/>
      <c r="D10" s="1"/>
      <c r="E10" s="1"/>
      <c r="F10" s="14"/>
    </row>
    <row r="11" spans="1:14" x14ac:dyDescent="0.35">
      <c r="A11" s="14" t="s">
        <v>34</v>
      </c>
      <c r="D11" s="2" t="s">
        <v>24</v>
      </c>
      <c r="E11" s="33">
        <f>U61</f>
        <v>0</v>
      </c>
      <c r="F11" s="48">
        <f>E11/$E$9</f>
        <v>0</v>
      </c>
      <c r="G11" s="29">
        <f>AB61</f>
        <v>0</v>
      </c>
      <c r="H11" s="29"/>
      <c r="I11" s="48">
        <f>G11/$G$9</f>
        <v>0</v>
      </c>
    </row>
    <row r="12" spans="1:14" x14ac:dyDescent="0.35">
      <c r="A12" s="5"/>
      <c r="D12" s="2" t="s">
        <v>25</v>
      </c>
      <c r="E12" s="33">
        <f>V61</f>
        <v>0</v>
      </c>
      <c r="F12" s="48">
        <f t="shared" ref="F12:F15" si="0">E12/$E$9</f>
        <v>0</v>
      </c>
      <c r="G12" s="29">
        <f>AC61</f>
        <v>0</v>
      </c>
      <c r="H12" s="29"/>
      <c r="I12" s="48">
        <f t="shared" ref="I12:I15" si="1">G12/$G$9</f>
        <v>0</v>
      </c>
    </row>
    <row r="13" spans="1:14" x14ac:dyDescent="0.35">
      <c r="A13" s="5"/>
      <c r="D13" s="2" t="s">
        <v>26</v>
      </c>
      <c r="E13" s="33">
        <f>W61</f>
        <v>0</v>
      </c>
      <c r="F13" s="48">
        <f t="shared" si="0"/>
        <v>0</v>
      </c>
      <c r="G13" s="29">
        <f>AD61</f>
        <v>0</v>
      </c>
      <c r="H13" s="29"/>
      <c r="I13" s="48">
        <f t="shared" si="1"/>
        <v>0</v>
      </c>
    </row>
    <row r="14" spans="1:14" x14ac:dyDescent="0.35">
      <c r="A14" s="5"/>
      <c r="D14" s="2" t="s">
        <v>27</v>
      </c>
      <c r="E14" s="33">
        <f>X61</f>
        <v>0</v>
      </c>
      <c r="F14" s="48">
        <f t="shared" si="0"/>
        <v>0</v>
      </c>
      <c r="G14" s="29">
        <f>AE61</f>
        <v>0</v>
      </c>
      <c r="H14" s="29"/>
      <c r="I14" s="48">
        <f t="shared" si="1"/>
        <v>0</v>
      </c>
    </row>
    <row r="15" spans="1:14" ht="16" x14ac:dyDescent="0.35">
      <c r="A15" s="5"/>
      <c r="D15" s="28" t="s">
        <v>28</v>
      </c>
      <c r="E15" s="34">
        <f>Y61</f>
        <v>0</v>
      </c>
      <c r="F15" s="48">
        <f t="shared" si="0"/>
        <v>0</v>
      </c>
      <c r="G15" s="32">
        <f>AF61</f>
        <v>0</v>
      </c>
      <c r="H15" s="32"/>
      <c r="I15" s="48">
        <f t="shared" si="1"/>
        <v>0</v>
      </c>
    </row>
    <row r="16" spans="1:14" x14ac:dyDescent="0.35">
      <c r="A16" s="5" t="s">
        <v>48</v>
      </c>
      <c r="D16" s="27" t="s">
        <v>29</v>
      </c>
      <c r="E16" s="52">
        <f>SUM(E11:E15)</f>
        <v>0</v>
      </c>
      <c r="F16" s="51">
        <f>E16/E9</f>
        <v>0</v>
      </c>
      <c r="G16" s="31">
        <f>SUM(G11:G15)</f>
        <v>0</v>
      </c>
      <c r="H16" s="31"/>
      <c r="I16" s="50">
        <f>G16/G9</f>
        <v>0</v>
      </c>
    </row>
    <row r="17" spans="1:34" x14ac:dyDescent="0.35">
      <c r="A17" s="5"/>
      <c r="D17" s="6"/>
      <c r="E17" s="6"/>
      <c r="F17" s="6"/>
    </row>
    <row r="18" spans="1:34" ht="22.5" customHeight="1" x14ac:dyDescent="0.35">
      <c r="A18" s="375" t="s">
        <v>4</v>
      </c>
      <c r="B18" s="375" t="s">
        <v>5</v>
      </c>
      <c r="C18" s="372" t="s">
        <v>6</v>
      </c>
      <c r="D18" s="375" t="s">
        <v>7</v>
      </c>
      <c r="E18" s="372" t="s">
        <v>16</v>
      </c>
      <c r="F18" s="372" t="s">
        <v>17</v>
      </c>
      <c r="G18" s="375" t="s">
        <v>8</v>
      </c>
      <c r="H18" s="114"/>
      <c r="I18" s="388" t="s">
        <v>18</v>
      </c>
      <c r="J18" s="388"/>
      <c r="K18" s="388"/>
      <c r="L18" s="388"/>
      <c r="M18" s="388"/>
      <c r="N18" s="388"/>
      <c r="O18" s="388"/>
      <c r="P18" s="388"/>
      <c r="Q18" s="384" t="s">
        <v>19</v>
      </c>
      <c r="S18" s="372" t="s">
        <v>37</v>
      </c>
      <c r="U18" s="379" t="s">
        <v>31</v>
      </c>
      <c r="V18" s="380"/>
      <c r="W18" s="380"/>
      <c r="X18" s="380"/>
      <c r="Y18" s="380"/>
      <c r="Z18" s="381"/>
      <c r="AB18" s="379" t="s">
        <v>30</v>
      </c>
      <c r="AC18" s="380"/>
      <c r="AD18" s="380"/>
      <c r="AE18" s="380"/>
      <c r="AF18" s="380"/>
      <c r="AG18" s="381"/>
      <c r="AH18" s="389" t="s">
        <v>35</v>
      </c>
    </row>
    <row r="19" spans="1:34" ht="21" customHeight="1" x14ac:dyDescent="0.35">
      <c r="A19" s="376"/>
      <c r="B19" s="376"/>
      <c r="C19" s="373"/>
      <c r="D19" s="376"/>
      <c r="E19" s="373"/>
      <c r="F19" s="373"/>
      <c r="G19" s="376"/>
      <c r="H19" s="118" t="s">
        <v>134</v>
      </c>
      <c r="I19" s="387" t="s">
        <v>9</v>
      </c>
      <c r="J19" s="387"/>
      <c r="K19" s="387" t="s">
        <v>12</v>
      </c>
      <c r="L19" s="387"/>
      <c r="M19" s="387" t="s">
        <v>13</v>
      </c>
      <c r="N19" s="387"/>
      <c r="O19" s="385" t="s">
        <v>15</v>
      </c>
      <c r="P19" s="385" t="s">
        <v>14</v>
      </c>
      <c r="Q19" s="384"/>
      <c r="S19" s="378"/>
      <c r="U19" s="382" t="s">
        <v>24</v>
      </c>
      <c r="V19" s="382" t="s">
        <v>25</v>
      </c>
      <c r="W19" s="382" t="s">
        <v>26</v>
      </c>
      <c r="X19" s="382" t="s">
        <v>27</v>
      </c>
      <c r="Y19" s="382" t="s">
        <v>28</v>
      </c>
      <c r="Z19" s="43" t="s">
        <v>29</v>
      </c>
      <c r="AB19" s="382" t="s">
        <v>24</v>
      </c>
      <c r="AC19" s="382" t="s">
        <v>25</v>
      </c>
      <c r="AD19" s="382" t="s">
        <v>26</v>
      </c>
      <c r="AE19" s="382" t="s">
        <v>27</v>
      </c>
      <c r="AF19" s="382" t="s">
        <v>28</v>
      </c>
      <c r="AG19" s="43" t="s">
        <v>29</v>
      </c>
      <c r="AH19" s="390"/>
    </row>
    <row r="20" spans="1:34" ht="15" thickBot="1" x14ac:dyDescent="0.4">
      <c r="A20" s="377"/>
      <c r="B20" s="377"/>
      <c r="C20" s="374"/>
      <c r="D20" s="377"/>
      <c r="E20" s="374"/>
      <c r="F20" s="374"/>
      <c r="G20" s="377"/>
      <c r="H20" s="119"/>
      <c r="I20" s="13" t="s">
        <v>10</v>
      </c>
      <c r="J20" s="13" t="s">
        <v>11</v>
      </c>
      <c r="K20" s="13" t="s">
        <v>10</v>
      </c>
      <c r="L20" s="13" t="s">
        <v>11</v>
      </c>
      <c r="M20" s="13" t="s">
        <v>10</v>
      </c>
      <c r="N20" s="13" t="s">
        <v>11</v>
      </c>
      <c r="O20" s="386"/>
      <c r="P20" s="386"/>
      <c r="Q20" s="44" t="s">
        <v>47</v>
      </c>
      <c r="S20" s="19" t="s">
        <v>38</v>
      </c>
      <c r="U20" s="383"/>
      <c r="V20" s="383"/>
      <c r="W20" s="383"/>
      <c r="X20" s="383"/>
      <c r="Y20" s="383"/>
      <c r="Z20" s="20"/>
      <c r="AB20" s="383"/>
      <c r="AC20" s="383"/>
      <c r="AD20" s="383"/>
      <c r="AE20" s="383"/>
      <c r="AF20" s="383"/>
      <c r="AG20" s="20" t="s">
        <v>47</v>
      </c>
      <c r="AH20" s="44" t="s">
        <v>47</v>
      </c>
    </row>
    <row r="21" spans="1:34" ht="15" customHeight="1" x14ac:dyDescent="0.35">
      <c r="A21" s="79">
        <v>1</v>
      </c>
      <c r="B21" s="126" t="s">
        <v>79</v>
      </c>
      <c r="C21" s="127" t="str">
        <f>VLOOKUP(B21,'[2]TS TA-504'!B8:C313,2,0)</f>
        <v>DA+0</v>
      </c>
      <c r="D21" s="79" t="s">
        <v>73</v>
      </c>
      <c r="E21" s="108">
        <v>30.22</v>
      </c>
      <c r="F21" s="108">
        <v>1.4496000000000002</v>
      </c>
      <c r="G21" s="369" t="s">
        <v>115</v>
      </c>
      <c r="H21" s="117"/>
      <c r="I21" s="109">
        <v>45597</v>
      </c>
      <c r="J21" s="109">
        <f t="shared" ref="J21:J26" si="2">+I21+1</f>
        <v>45598</v>
      </c>
      <c r="K21" s="109">
        <f t="shared" ref="K21:K45" si="3">1+J21</f>
        <v>45599</v>
      </c>
      <c r="L21" s="109">
        <f t="shared" ref="L21:L26" si="4">+K21+2</f>
        <v>45601</v>
      </c>
      <c r="M21" s="109">
        <f t="shared" ref="M21:M60" si="5">1+L21</f>
        <v>45602</v>
      </c>
      <c r="N21" s="109">
        <f t="shared" ref="N21:N26" si="6">2+M21</f>
        <v>45604</v>
      </c>
      <c r="O21" s="109">
        <f t="shared" ref="O21:O60" si="7">N21+1</f>
        <v>45605</v>
      </c>
      <c r="P21" s="109">
        <f t="shared" ref="P21:P60" si="8">+O21+1</f>
        <v>45606</v>
      </c>
      <c r="Q21" s="90">
        <v>629904.96199999994</v>
      </c>
      <c r="R21" s="128"/>
      <c r="S21" s="129"/>
      <c r="T21" s="128"/>
      <c r="U21" s="130"/>
      <c r="V21" s="130"/>
      <c r="W21" s="130"/>
      <c r="X21" s="130"/>
      <c r="Y21" s="130"/>
      <c r="Z21" s="130">
        <f t="shared" ref="Z21:Z60" si="9">SUM(U21:Y21)</f>
        <v>0</v>
      </c>
      <c r="AA21" s="128"/>
      <c r="AB21" s="131">
        <f t="shared" ref="AB21:AF38" si="10">$Q21*U21</f>
        <v>0</v>
      </c>
      <c r="AC21" s="131">
        <f t="shared" si="10"/>
        <v>0</v>
      </c>
      <c r="AD21" s="131">
        <f t="shared" si="10"/>
        <v>0</v>
      </c>
      <c r="AE21" s="131">
        <f t="shared" si="10"/>
        <v>0</v>
      </c>
      <c r="AF21" s="131">
        <f t="shared" si="10"/>
        <v>0</v>
      </c>
      <c r="AG21" s="132">
        <f t="shared" ref="AG21:AG61" si="11">SUM(AB21:AF21)</f>
        <v>0</v>
      </c>
      <c r="AH21" s="133">
        <f t="shared" ref="AH21:AH61" si="12">Q21-AG21</f>
        <v>629904.96199999994</v>
      </c>
    </row>
    <row r="22" spans="1:34" ht="15" customHeight="1" x14ac:dyDescent="0.35">
      <c r="A22" s="79">
        <f>1+A21</f>
        <v>2</v>
      </c>
      <c r="B22" s="126" t="s">
        <v>78</v>
      </c>
      <c r="C22" s="127" t="str">
        <f>VLOOKUP(B22,'[2]TS TA-504'!B9:C314,2,0)</f>
        <v>DA+3</v>
      </c>
      <c r="D22" s="79" t="s">
        <v>73</v>
      </c>
      <c r="E22" s="108">
        <v>30.22</v>
      </c>
      <c r="F22" s="108">
        <v>1.4496000000000002</v>
      </c>
      <c r="G22" s="370"/>
      <c r="H22" s="117"/>
      <c r="I22" s="109">
        <f>1+J21</f>
        <v>45599</v>
      </c>
      <c r="J22" s="109">
        <f t="shared" si="2"/>
        <v>45600</v>
      </c>
      <c r="K22" s="109">
        <f t="shared" si="3"/>
        <v>45601</v>
      </c>
      <c r="L22" s="109">
        <f t="shared" si="4"/>
        <v>45603</v>
      </c>
      <c r="M22" s="109">
        <f t="shared" si="5"/>
        <v>45604</v>
      </c>
      <c r="N22" s="109">
        <f t="shared" si="6"/>
        <v>45606</v>
      </c>
      <c r="O22" s="109">
        <f t="shared" si="7"/>
        <v>45607</v>
      </c>
      <c r="P22" s="109">
        <f t="shared" si="8"/>
        <v>45608</v>
      </c>
      <c r="Q22" s="90">
        <v>728174.95700000005</v>
      </c>
      <c r="R22" s="128"/>
      <c r="S22" s="129"/>
      <c r="T22" s="128"/>
      <c r="U22" s="130"/>
      <c r="V22" s="130"/>
      <c r="W22" s="130"/>
      <c r="X22" s="130"/>
      <c r="Y22" s="130"/>
      <c r="Z22" s="130">
        <f t="shared" si="9"/>
        <v>0</v>
      </c>
      <c r="AA22" s="128"/>
      <c r="AB22" s="131">
        <f t="shared" si="10"/>
        <v>0</v>
      </c>
      <c r="AC22" s="131">
        <f t="shared" si="10"/>
        <v>0</v>
      </c>
      <c r="AD22" s="131">
        <f t="shared" si="10"/>
        <v>0</v>
      </c>
      <c r="AE22" s="131">
        <f t="shared" si="10"/>
        <v>0</v>
      </c>
      <c r="AF22" s="131">
        <f t="shared" si="10"/>
        <v>0</v>
      </c>
      <c r="AG22" s="134">
        <f t="shared" si="11"/>
        <v>0</v>
      </c>
      <c r="AH22" s="133">
        <f t="shared" si="12"/>
        <v>728174.95700000005</v>
      </c>
    </row>
    <row r="23" spans="1:34" ht="15" customHeight="1" x14ac:dyDescent="0.35">
      <c r="A23" s="79">
        <f t="shared" ref="A23:A60" si="13">1+A22</f>
        <v>3</v>
      </c>
      <c r="B23" s="126" t="s">
        <v>77</v>
      </c>
      <c r="C23" s="127" t="str">
        <f>VLOOKUP(B23,'[2]TS TA-504'!B10:C315,2,0)</f>
        <v>DA+0</v>
      </c>
      <c r="D23" s="79" t="s">
        <v>73</v>
      </c>
      <c r="E23" s="108">
        <v>30.22</v>
      </c>
      <c r="F23" s="108">
        <v>1.4496000000000002</v>
      </c>
      <c r="G23" s="370"/>
      <c r="H23" s="117">
        <v>12</v>
      </c>
      <c r="I23" s="109">
        <f>+J22+1</f>
        <v>45601</v>
      </c>
      <c r="J23" s="109">
        <f t="shared" si="2"/>
        <v>45602</v>
      </c>
      <c r="K23" s="109">
        <f t="shared" si="3"/>
        <v>45603</v>
      </c>
      <c r="L23" s="109">
        <f t="shared" si="4"/>
        <v>45605</v>
      </c>
      <c r="M23" s="109">
        <f t="shared" si="5"/>
        <v>45606</v>
      </c>
      <c r="N23" s="109">
        <f t="shared" si="6"/>
        <v>45608</v>
      </c>
      <c r="O23" s="109">
        <f t="shared" si="7"/>
        <v>45609</v>
      </c>
      <c r="P23" s="109">
        <f t="shared" si="8"/>
        <v>45610</v>
      </c>
      <c r="Q23" s="90">
        <v>629904.96199999994</v>
      </c>
      <c r="R23" s="128"/>
      <c r="S23" s="129"/>
      <c r="T23" s="128"/>
      <c r="U23" s="130"/>
      <c r="V23" s="130"/>
      <c r="W23" s="130"/>
      <c r="X23" s="130"/>
      <c r="Y23" s="130"/>
      <c r="Z23" s="130">
        <f t="shared" si="9"/>
        <v>0</v>
      </c>
      <c r="AA23" s="128"/>
      <c r="AB23" s="131">
        <f t="shared" si="10"/>
        <v>0</v>
      </c>
      <c r="AC23" s="131">
        <f t="shared" si="10"/>
        <v>0</v>
      </c>
      <c r="AD23" s="131">
        <f t="shared" si="10"/>
        <v>0</v>
      </c>
      <c r="AE23" s="131">
        <f t="shared" si="10"/>
        <v>0</v>
      </c>
      <c r="AF23" s="131">
        <f t="shared" si="10"/>
        <v>0</v>
      </c>
      <c r="AG23" s="134">
        <f t="shared" si="11"/>
        <v>0</v>
      </c>
      <c r="AH23" s="133">
        <f t="shared" si="12"/>
        <v>629904.96199999994</v>
      </c>
    </row>
    <row r="24" spans="1:34" ht="15" customHeight="1" x14ac:dyDescent="0.35">
      <c r="A24" s="79">
        <f t="shared" si="13"/>
        <v>4</v>
      </c>
      <c r="B24" s="126" t="s">
        <v>80</v>
      </c>
      <c r="C24" s="127" t="str">
        <f>VLOOKUP(B24,'[2]TS TA-504'!B11:C316,2,0)</f>
        <v>DA+3</v>
      </c>
      <c r="D24" s="79" t="s">
        <v>73</v>
      </c>
      <c r="E24" s="79">
        <v>34.29</v>
      </c>
      <c r="F24" s="79">
        <v>1.802</v>
      </c>
      <c r="G24" s="370"/>
      <c r="H24" s="117"/>
      <c r="I24" s="109">
        <v>45611</v>
      </c>
      <c r="J24" s="109">
        <f t="shared" si="2"/>
        <v>45612</v>
      </c>
      <c r="K24" s="109">
        <f t="shared" si="3"/>
        <v>45613</v>
      </c>
      <c r="L24" s="109">
        <f t="shared" si="4"/>
        <v>45615</v>
      </c>
      <c r="M24" s="109">
        <f t="shared" si="5"/>
        <v>45616</v>
      </c>
      <c r="N24" s="109">
        <f t="shared" si="6"/>
        <v>45618</v>
      </c>
      <c r="O24" s="109">
        <f t="shared" si="7"/>
        <v>45619</v>
      </c>
      <c r="P24" s="109">
        <f t="shared" si="8"/>
        <v>45620</v>
      </c>
      <c r="Q24" s="90">
        <v>728174.95700000005</v>
      </c>
      <c r="R24" s="128"/>
      <c r="S24" s="135"/>
      <c r="T24" s="128"/>
      <c r="U24" s="136"/>
      <c r="V24" s="136"/>
      <c r="W24" s="136"/>
      <c r="X24" s="136"/>
      <c r="Y24" s="136"/>
      <c r="Z24" s="130">
        <f t="shared" si="9"/>
        <v>0</v>
      </c>
      <c r="AA24" s="128"/>
      <c r="AB24" s="131">
        <f t="shared" si="10"/>
        <v>0</v>
      </c>
      <c r="AC24" s="131">
        <f t="shared" si="10"/>
        <v>0</v>
      </c>
      <c r="AD24" s="131">
        <f t="shared" si="10"/>
        <v>0</v>
      </c>
      <c r="AE24" s="131">
        <f t="shared" si="10"/>
        <v>0</v>
      </c>
      <c r="AF24" s="131">
        <f t="shared" si="10"/>
        <v>0</v>
      </c>
      <c r="AG24" s="134">
        <f t="shared" si="11"/>
        <v>0</v>
      </c>
      <c r="AH24" s="133">
        <f>Q24-AG24</f>
        <v>728174.95700000005</v>
      </c>
    </row>
    <row r="25" spans="1:34" ht="15" customHeight="1" x14ac:dyDescent="0.35">
      <c r="A25" s="79">
        <f t="shared" si="13"/>
        <v>5</v>
      </c>
      <c r="B25" s="126" t="s">
        <v>76</v>
      </c>
      <c r="C25" s="127" t="str">
        <f>VLOOKUP(B25,'[2]TS TA-504'!B12:C317,2,0)</f>
        <v>DA+0</v>
      </c>
      <c r="D25" s="79" t="s">
        <v>73</v>
      </c>
      <c r="E25" s="108">
        <v>30.22</v>
      </c>
      <c r="F25" s="108">
        <v>1.4496000000000002</v>
      </c>
      <c r="G25" s="370"/>
      <c r="H25" s="117"/>
      <c r="I25" s="109">
        <f>1+J24</f>
        <v>45613</v>
      </c>
      <c r="J25" s="109">
        <f t="shared" si="2"/>
        <v>45614</v>
      </c>
      <c r="K25" s="109">
        <f t="shared" si="3"/>
        <v>45615</v>
      </c>
      <c r="L25" s="109">
        <f t="shared" si="4"/>
        <v>45617</v>
      </c>
      <c r="M25" s="109">
        <f t="shared" si="5"/>
        <v>45618</v>
      </c>
      <c r="N25" s="109">
        <f t="shared" si="6"/>
        <v>45620</v>
      </c>
      <c r="O25" s="109">
        <f t="shared" si="7"/>
        <v>45621</v>
      </c>
      <c r="P25" s="109">
        <f t="shared" si="8"/>
        <v>45622</v>
      </c>
      <c r="Q25" s="90">
        <v>629904.96199999994</v>
      </c>
      <c r="R25" s="128"/>
      <c r="S25" s="135"/>
      <c r="T25" s="128"/>
      <c r="U25" s="136"/>
      <c r="V25" s="136"/>
      <c r="W25" s="136"/>
      <c r="X25" s="136"/>
      <c r="Y25" s="136"/>
      <c r="Z25" s="130">
        <f t="shared" si="9"/>
        <v>0</v>
      </c>
      <c r="AA25" s="128"/>
      <c r="AB25" s="131">
        <f t="shared" si="10"/>
        <v>0</v>
      </c>
      <c r="AC25" s="131">
        <f t="shared" si="10"/>
        <v>0</v>
      </c>
      <c r="AD25" s="131">
        <f t="shared" si="10"/>
        <v>0</v>
      </c>
      <c r="AE25" s="131">
        <f t="shared" si="10"/>
        <v>0</v>
      </c>
      <c r="AF25" s="131">
        <f t="shared" si="10"/>
        <v>0</v>
      </c>
      <c r="AG25" s="134">
        <f t="shared" si="11"/>
        <v>0</v>
      </c>
      <c r="AH25" s="133">
        <f>Q25-AG25</f>
        <v>629904.96199999994</v>
      </c>
    </row>
    <row r="26" spans="1:34" s="91" customFormat="1" ht="15" customHeight="1" x14ac:dyDescent="0.35">
      <c r="A26" s="79">
        <f t="shared" si="13"/>
        <v>6</v>
      </c>
      <c r="B26" s="126" t="s">
        <v>75</v>
      </c>
      <c r="C26" s="127" t="str">
        <f>VLOOKUP(B26,'[2]TS TA-504'!B13:C318,2,0)</f>
        <v>DA+0</v>
      </c>
      <c r="D26" s="89" t="s">
        <v>73</v>
      </c>
      <c r="E26" s="110">
        <v>30.22</v>
      </c>
      <c r="F26" s="110">
        <v>1.4496000000000002</v>
      </c>
      <c r="G26" s="371"/>
      <c r="H26" s="117"/>
      <c r="I26" s="109">
        <f>1+J25</f>
        <v>45615</v>
      </c>
      <c r="J26" s="109">
        <f t="shared" si="2"/>
        <v>45616</v>
      </c>
      <c r="K26" s="109">
        <f t="shared" si="3"/>
        <v>45617</v>
      </c>
      <c r="L26" s="109">
        <f t="shared" si="4"/>
        <v>45619</v>
      </c>
      <c r="M26" s="109">
        <f t="shared" si="5"/>
        <v>45620</v>
      </c>
      <c r="N26" s="109">
        <f t="shared" si="6"/>
        <v>45622</v>
      </c>
      <c r="O26" s="109">
        <f t="shared" si="7"/>
        <v>45623</v>
      </c>
      <c r="P26" s="109">
        <f t="shared" si="8"/>
        <v>45624</v>
      </c>
      <c r="Q26" s="90">
        <v>629904.96199999994</v>
      </c>
      <c r="R26" s="122"/>
      <c r="S26" s="138"/>
      <c r="T26" s="122"/>
      <c r="U26" s="139"/>
      <c r="V26" s="139"/>
      <c r="W26" s="139"/>
      <c r="X26" s="139"/>
      <c r="Y26" s="139"/>
      <c r="Z26" s="130">
        <f t="shared" si="9"/>
        <v>0</v>
      </c>
      <c r="AA26" s="122"/>
      <c r="AB26" s="140">
        <f t="shared" si="10"/>
        <v>0</v>
      </c>
      <c r="AC26" s="140">
        <f t="shared" si="10"/>
        <v>0</v>
      </c>
      <c r="AD26" s="140">
        <f t="shared" si="10"/>
        <v>0</v>
      </c>
      <c r="AE26" s="140">
        <f t="shared" si="10"/>
        <v>0</v>
      </c>
      <c r="AF26" s="140">
        <f t="shared" si="10"/>
        <v>0</v>
      </c>
      <c r="AG26" s="141">
        <f t="shared" si="11"/>
        <v>0</v>
      </c>
      <c r="AH26" s="142">
        <f t="shared" si="12"/>
        <v>629904.96199999994</v>
      </c>
    </row>
    <row r="27" spans="1:34" s="91" customFormat="1" ht="15" customHeight="1" x14ac:dyDescent="0.35">
      <c r="A27" s="79">
        <f t="shared" si="13"/>
        <v>7</v>
      </c>
      <c r="B27" s="143" t="s">
        <v>84</v>
      </c>
      <c r="C27" s="144" t="str">
        <f>VLOOKUP(B27,'[2]TS TA-504'!B15:C320,2,0)</f>
        <v>DA+3</v>
      </c>
      <c r="D27" s="87" t="s">
        <v>73</v>
      </c>
      <c r="E27" s="87">
        <v>34.29</v>
      </c>
      <c r="F27" s="87">
        <v>1.802</v>
      </c>
      <c r="G27" s="393" t="s">
        <v>116</v>
      </c>
      <c r="H27" s="120"/>
      <c r="I27" s="111">
        <v>45597</v>
      </c>
      <c r="J27" s="111">
        <f>+I27+2</f>
        <v>45599</v>
      </c>
      <c r="K27" s="111">
        <f t="shared" si="3"/>
        <v>45600</v>
      </c>
      <c r="L27" s="111">
        <f>+K27+1</f>
        <v>45601</v>
      </c>
      <c r="M27" s="111">
        <f t="shared" si="5"/>
        <v>45602</v>
      </c>
      <c r="N27" s="111">
        <f>M27+3</f>
        <v>45605</v>
      </c>
      <c r="O27" s="111">
        <f t="shared" si="7"/>
        <v>45606</v>
      </c>
      <c r="P27" s="111">
        <f t="shared" si="8"/>
        <v>45607</v>
      </c>
      <c r="Q27" s="90">
        <v>728174.95700000005</v>
      </c>
      <c r="R27" s="128"/>
      <c r="S27" s="135"/>
      <c r="T27" s="128"/>
      <c r="U27" s="136"/>
      <c r="V27" s="136"/>
      <c r="W27" s="136"/>
      <c r="X27" s="136"/>
      <c r="Y27" s="136"/>
      <c r="Z27" s="130">
        <f t="shared" si="9"/>
        <v>0</v>
      </c>
      <c r="AA27" s="128"/>
      <c r="AB27" s="131">
        <f t="shared" si="10"/>
        <v>0</v>
      </c>
      <c r="AC27" s="131">
        <f t="shared" si="10"/>
        <v>0</v>
      </c>
      <c r="AD27" s="131">
        <f t="shared" si="10"/>
        <v>0</v>
      </c>
      <c r="AE27" s="131">
        <f t="shared" si="10"/>
        <v>0</v>
      </c>
      <c r="AF27" s="131">
        <f t="shared" si="10"/>
        <v>0</v>
      </c>
      <c r="AG27" s="134">
        <f>SUM(AB27:AF27)</f>
        <v>0</v>
      </c>
      <c r="AH27" s="133">
        <f>Q27-AG27</f>
        <v>728174.95700000005</v>
      </c>
    </row>
    <row r="28" spans="1:34" ht="15" customHeight="1" x14ac:dyDescent="0.35">
      <c r="A28" s="79">
        <f t="shared" si="13"/>
        <v>8</v>
      </c>
      <c r="B28" s="143" t="s">
        <v>83</v>
      </c>
      <c r="C28" s="144" t="str">
        <f>VLOOKUP(B28,'[2]TS TA-504'!B16:C321,2,0)</f>
        <v>DA+0</v>
      </c>
      <c r="D28" s="87" t="s">
        <v>73</v>
      </c>
      <c r="E28" s="112">
        <v>30.22</v>
      </c>
      <c r="F28" s="112">
        <v>1.4496000000000002</v>
      </c>
      <c r="G28" s="393"/>
      <c r="H28" s="121"/>
      <c r="I28" s="111">
        <f>1+J27</f>
        <v>45600</v>
      </c>
      <c r="J28" s="111">
        <f t="shared" ref="J28:J31" si="14">+I28+2</f>
        <v>45602</v>
      </c>
      <c r="K28" s="111">
        <f t="shared" si="3"/>
        <v>45603</v>
      </c>
      <c r="L28" s="111">
        <f t="shared" ref="L28:L40" si="15">+K28+2</f>
        <v>45605</v>
      </c>
      <c r="M28" s="111">
        <f t="shared" si="5"/>
        <v>45606</v>
      </c>
      <c r="N28" s="111">
        <f t="shared" ref="N28:N31" si="16">M28+3</f>
        <v>45609</v>
      </c>
      <c r="O28" s="111">
        <f t="shared" si="7"/>
        <v>45610</v>
      </c>
      <c r="P28" s="111">
        <f t="shared" si="8"/>
        <v>45611</v>
      </c>
      <c r="Q28" s="90">
        <v>629904.96199999994</v>
      </c>
      <c r="R28" s="128"/>
      <c r="S28" s="135"/>
      <c r="T28" s="128"/>
      <c r="U28" s="136"/>
      <c r="V28" s="136"/>
      <c r="W28" s="136"/>
      <c r="X28" s="136"/>
      <c r="Y28" s="136"/>
      <c r="Z28" s="130">
        <f t="shared" si="9"/>
        <v>0</v>
      </c>
      <c r="AA28" s="128"/>
      <c r="AB28" s="131">
        <f t="shared" si="10"/>
        <v>0</v>
      </c>
      <c r="AC28" s="131">
        <f t="shared" si="10"/>
        <v>0</v>
      </c>
      <c r="AD28" s="131">
        <f t="shared" si="10"/>
        <v>0</v>
      </c>
      <c r="AE28" s="131">
        <f t="shared" si="10"/>
        <v>0</v>
      </c>
      <c r="AF28" s="131">
        <f t="shared" si="10"/>
        <v>0</v>
      </c>
      <c r="AG28" s="134">
        <f t="shared" si="11"/>
        <v>0</v>
      </c>
      <c r="AH28" s="133">
        <f t="shared" si="12"/>
        <v>629904.96199999994</v>
      </c>
    </row>
    <row r="29" spans="1:34" ht="15" customHeight="1" x14ac:dyDescent="0.35">
      <c r="A29" s="79">
        <f t="shared" si="13"/>
        <v>9</v>
      </c>
      <c r="B29" s="143" t="s">
        <v>82</v>
      </c>
      <c r="C29" s="144" t="str">
        <f>VLOOKUP(B29,'[2]TS TA-504'!B17:C322,2,0)</f>
        <v>DA+3</v>
      </c>
      <c r="D29" s="87" t="s">
        <v>73</v>
      </c>
      <c r="E29" s="87">
        <v>34.29</v>
      </c>
      <c r="F29" s="87">
        <v>1.802</v>
      </c>
      <c r="G29" s="393"/>
      <c r="H29" s="117">
        <v>12</v>
      </c>
      <c r="I29" s="111">
        <f>+J28+1</f>
        <v>45603</v>
      </c>
      <c r="J29" s="111">
        <f t="shared" si="14"/>
        <v>45605</v>
      </c>
      <c r="K29" s="111">
        <f t="shared" si="3"/>
        <v>45606</v>
      </c>
      <c r="L29" s="111">
        <f t="shared" si="15"/>
        <v>45608</v>
      </c>
      <c r="M29" s="111">
        <f t="shared" si="5"/>
        <v>45609</v>
      </c>
      <c r="N29" s="111">
        <f t="shared" si="16"/>
        <v>45612</v>
      </c>
      <c r="O29" s="111">
        <f t="shared" si="7"/>
        <v>45613</v>
      </c>
      <c r="P29" s="111">
        <f t="shared" si="8"/>
        <v>45614</v>
      </c>
      <c r="Q29" s="90">
        <v>728174.95700000005</v>
      </c>
      <c r="R29" s="128"/>
      <c r="S29" s="135"/>
      <c r="T29" s="128"/>
      <c r="U29" s="136"/>
      <c r="V29" s="136"/>
      <c r="W29" s="136"/>
      <c r="X29" s="136"/>
      <c r="Y29" s="136"/>
      <c r="Z29" s="130">
        <f t="shared" si="9"/>
        <v>0</v>
      </c>
      <c r="AA29" s="128"/>
      <c r="AB29" s="131">
        <f t="shared" si="10"/>
        <v>0</v>
      </c>
      <c r="AC29" s="131">
        <f t="shared" si="10"/>
        <v>0</v>
      </c>
      <c r="AD29" s="131">
        <f t="shared" si="10"/>
        <v>0</v>
      </c>
      <c r="AE29" s="131">
        <f t="shared" si="10"/>
        <v>0</v>
      </c>
      <c r="AF29" s="131">
        <f t="shared" si="10"/>
        <v>0</v>
      </c>
      <c r="AG29" s="134">
        <f>SUM(AB29:AF29)</f>
        <v>0</v>
      </c>
      <c r="AH29" s="133">
        <f t="shared" si="12"/>
        <v>728174.95700000005</v>
      </c>
    </row>
    <row r="30" spans="1:34" ht="15" customHeight="1" x14ac:dyDescent="0.35">
      <c r="A30" s="79">
        <f t="shared" si="13"/>
        <v>10</v>
      </c>
      <c r="B30" s="144" t="s">
        <v>85</v>
      </c>
      <c r="C30" s="144" t="str">
        <f>VLOOKUP(B30,'[2]TS TA-504'!B18:C323,2,0)</f>
        <v>DA-3</v>
      </c>
      <c r="D30" s="87" t="s">
        <v>73</v>
      </c>
      <c r="E30" s="112">
        <v>30.22</v>
      </c>
      <c r="F30" s="112">
        <v>1.4496000000000002</v>
      </c>
      <c r="G30" s="393"/>
      <c r="H30" s="121"/>
      <c r="I30" s="111">
        <v>45612</v>
      </c>
      <c r="J30" s="111">
        <f t="shared" si="14"/>
        <v>45614</v>
      </c>
      <c r="K30" s="111">
        <f t="shared" si="3"/>
        <v>45615</v>
      </c>
      <c r="L30" s="111">
        <f t="shared" si="15"/>
        <v>45617</v>
      </c>
      <c r="M30" s="111">
        <f t="shared" si="5"/>
        <v>45618</v>
      </c>
      <c r="N30" s="111">
        <f t="shared" si="16"/>
        <v>45621</v>
      </c>
      <c r="O30" s="111">
        <f t="shared" si="7"/>
        <v>45622</v>
      </c>
      <c r="P30" s="111">
        <f t="shared" si="8"/>
        <v>45623</v>
      </c>
      <c r="Q30" s="90">
        <v>629904.96199999994</v>
      </c>
      <c r="R30" s="128"/>
      <c r="S30" s="135"/>
      <c r="T30" s="128"/>
      <c r="U30" s="136"/>
      <c r="V30" s="136"/>
      <c r="W30" s="136"/>
      <c r="X30" s="136"/>
      <c r="Y30" s="136"/>
      <c r="Z30" s="130">
        <f t="shared" si="9"/>
        <v>0</v>
      </c>
      <c r="AA30" s="128"/>
      <c r="AB30" s="131">
        <f t="shared" si="10"/>
        <v>0</v>
      </c>
      <c r="AC30" s="131">
        <f t="shared" si="10"/>
        <v>0</v>
      </c>
      <c r="AD30" s="131">
        <f t="shared" si="10"/>
        <v>0</v>
      </c>
      <c r="AE30" s="131">
        <f t="shared" si="10"/>
        <v>0</v>
      </c>
      <c r="AF30" s="131">
        <f t="shared" si="10"/>
        <v>0</v>
      </c>
      <c r="AG30" s="134">
        <f t="shared" si="11"/>
        <v>0</v>
      </c>
      <c r="AH30" s="133">
        <f t="shared" si="12"/>
        <v>629904.96199999994</v>
      </c>
    </row>
    <row r="31" spans="1:34" ht="15" customHeight="1" x14ac:dyDescent="0.35">
      <c r="A31" s="79">
        <f t="shared" si="13"/>
        <v>11</v>
      </c>
      <c r="B31" s="144" t="s">
        <v>86</v>
      </c>
      <c r="C31" s="144" t="str">
        <f>VLOOKUP(B31,'[2]TS TA-504'!B19:C324,2,0)</f>
        <v>DA+3</v>
      </c>
      <c r="D31" s="87" t="s">
        <v>73</v>
      </c>
      <c r="E31" s="87">
        <v>34.29</v>
      </c>
      <c r="F31" s="87">
        <v>1.802</v>
      </c>
      <c r="G31" s="393"/>
      <c r="H31" s="121"/>
      <c r="I31" s="111">
        <v>45615</v>
      </c>
      <c r="J31" s="111">
        <f t="shared" si="14"/>
        <v>45617</v>
      </c>
      <c r="K31" s="111">
        <f t="shared" si="3"/>
        <v>45618</v>
      </c>
      <c r="L31" s="111">
        <f t="shared" si="15"/>
        <v>45620</v>
      </c>
      <c r="M31" s="111">
        <f t="shared" si="5"/>
        <v>45621</v>
      </c>
      <c r="N31" s="111">
        <f t="shared" si="16"/>
        <v>45624</v>
      </c>
      <c r="O31" s="111">
        <f t="shared" si="7"/>
        <v>45625</v>
      </c>
      <c r="P31" s="111">
        <f t="shared" si="8"/>
        <v>45626</v>
      </c>
      <c r="Q31" s="90">
        <v>728174.95700000005</v>
      </c>
      <c r="R31" s="128"/>
      <c r="S31" s="135"/>
      <c r="T31" s="128"/>
      <c r="U31" s="136"/>
      <c r="V31" s="136"/>
      <c r="W31" s="136"/>
      <c r="X31" s="136"/>
      <c r="Y31" s="136"/>
      <c r="Z31" s="130">
        <f t="shared" si="9"/>
        <v>0</v>
      </c>
      <c r="AA31" s="128"/>
      <c r="AB31" s="131">
        <f t="shared" si="10"/>
        <v>0</v>
      </c>
      <c r="AC31" s="131">
        <f t="shared" si="10"/>
        <v>0</v>
      </c>
      <c r="AD31" s="131">
        <f t="shared" si="10"/>
        <v>0</v>
      </c>
      <c r="AE31" s="131">
        <f t="shared" si="10"/>
        <v>0</v>
      </c>
      <c r="AF31" s="131">
        <f t="shared" si="10"/>
        <v>0</v>
      </c>
      <c r="AG31" s="134">
        <f t="shared" si="11"/>
        <v>0</v>
      </c>
      <c r="AH31" s="133">
        <f t="shared" si="12"/>
        <v>728174.95700000005</v>
      </c>
    </row>
    <row r="32" spans="1:34" ht="15" customHeight="1" x14ac:dyDescent="0.35">
      <c r="A32" s="79">
        <f t="shared" si="13"/>
        <v>12</v>
      </c>
      <c r="B32" s="127" t="s">
        <v>96</v>
      </c>
      <c r="C32" s="127" t="str">
        <f>VLOOKUP(B32,'[2]TS TA-504'!B22:C327,2,0)</f>
        <v>DA+9</v>
      </c>
      <c r="D32" s="107" t="s">
        <v>73</v>
      </c>
      <c r="E32" s="110">
        <v>30.22</v>
      </c>
      <c r="F32" s="110">
        <v>1.4496000000000002</v>
      </c>
      <c r="G32" s="394" t="s">
        <v>132</v>
      </c>
      <c r="H32" s="115"/>
      <c r="I32" s="109">
        <v>45597</v>
      </c>
      <c r="J32" s="109">
        <f>+I32+1</f>
        <v>45598</v>
      </c>
      <c r="K32" s="109">
        <f t="shared" si="3"/>
        <v>45599</v>
      </c>
      <c r="L32" s="109">
        <f t="shared" si="15"/>
        <v>45601</v>
      </c>
      <c r="M32" s="109">
        <f t="shared" si="5"/>
        <v>45602</v>
      </c>
      <c r="N32" s="109">
        <f t="shared" ref="N32:N40" si="17">2+M32</f>
        <v>45604</v>
      </c>
      <c r="O32" s="109">
        <f t="shared" si="7"/>
        <v>45605</v>
      </c>
      <c r="P32" s="109">
        <f t="shared" si="8"/>
        <v>45606</v>
      </c>
      <c r="Q32" s="90">
        <v>728174.95700000005</v>
      </c>
      <c r="R32" s="122"/>
      <c r="S32" s="138"/>
      <c r="T32" s="122"/>
      <c r="U32" s="139"/>
      <c r="V32" s="139"/>
      <c r="W32" s="139"/>
      <c r="X32" s="139"/>
      <c r="Y32" s="139"/>
      <c r="Z32" s="145">
        <f t="shared" si="9"/>
        <v>0</v>
      </c>
      <c r="AA32" s="122"/>
      <c r="AB32" s="140">
        <f t="shared" si="10"/>
        <v>0</v>
      </c>
      <c r="AC32" s="140">
        <f t="shared" si="10"/>
        <v>0</v>
      </c>
      <c r="AD32" s="140">
        <f t="shared" si="10"/>
        <v>0</v>
      </c>
      <c r="AE32" s="140">
        <f t="shared" si="10"/>
        <v>0</v>
      </c>
      <c r="AF32" s="140">
        <f t="shared" si="10"/>
        <v>0</v>
      </c>
      <c r="AG32" s="141">
        <f t="shared" si="11"/>
        <v>0</v>
      </c>
      <c r="AH32" s="142">
        <f t="shared" si="12"/>
        <v>728174.95700000005</v>
      </c>
    </row>
    <row r="33" spans="1:34" ht="15" customHeight="1" x14ac:dyDescent="0.35">
      <c r="A33" s="79">
        <f t="shared" si="13"/>
        <v>13</v>
      </c>
      <c r="B33" s="127" t="s">
        <v>95</v>
      </c>
      <c r="C33" s="127" t="str">
        <f>VLOOKUP(B33,'[2]TS TA-504'!B22:C327,2,0)</f>
        <v>DA+0</v>
      </c>
      <c r="D33" s="89" t="s">
        <v>73</v>
      </c>
      <c r="E33" s="110">
        <v>30.22</v>
      </c>
      <c r="F33" s="110">
        <v>1.4496000000000002</v>
      </c>
      <c r="G33" s="395"/>
      <c r="H33" s="146"/>
      <c r="I33" s="109">
        <f>1+J32</f>
        <v>45599</v>
      </c>
      <c r="J33" s="109">
        <f>+I33+2</f>
        <v>45601</v>
      </c>
      <c r="K33" s="109">
        <f t="shared" si="3"/>
        <v>45602</v>
      </c>
      <c r="L33" s="109">
        <f t="shared" si="15"/>
        <v>45604</v>
      </c>
      <c r="M33" s="109">
        <f t="shared" si="5"/>
        <v>45605</v>
      </c>
      <c r="N33" s="109">
        <f t="shared" si="17"/>
        <v>45607</v>
      </c>
      <c r="O33" s="109">
        <f t="shared" si="7"/>
        <v>45608</v>
      </c>
      <c r="P33" s="109">
        <f t="shared" si="8"/>
        <v>45609</v>
      </c>
      <c r="Q33" s="90">
        <v>629904.96199999994</v>
      </c>
      <c r="R33" s="122"/>
      <c r="S33" s="138"/>
      <c r="T33" s="122"/>
      <c r="U33" s="139"/>
      <c r="V33" s="139"/>
      <c r="W33" s="139"/>
      <c r="X33" s="139"/>
      <c r="Y33" s="139"/>
      <c r="Z33" s="145">
        <f>SUM(U33:Y33)</f>
        <v>0</v>
      </c>
      <c r="AA33" s="122"/>
      <c r="AB33" s="140">
        <f t="shared" si="10"/>
        <v>0</v>
      </c>
      <c r="AC33" s="140">
        <f t="shared" si="10"/>
        <v>0</v>
      </c>
      <c r="AD33" s="140">
        <f t="shared" si="10"/>
        <v>0</v>
      </c>
      <c r="AE33" s="140">
        <f t="shared" si="10"/>
        <v>0</v>
      </c>
      <c r="AF33" s="140">
        <f t="shared" si="10"/>
        <v>0</v>
      </c>
      <c r="AG33" s="141">
        <f>SUM(AB33:AF33)</f>
        <v>0</v>
      </c>
      <c r="AH33" s="142">
        <f>Q33-AG33</f>
        <v>629904.96199999994</v>
      </c>
    </row>
    <row r="34" spans="1:34" ht="15" customHeight="1" x14ac:dyDescent="0.35">
      <c r="A34" s="79">
        <f t="shared" si="13"/>
        <v>14</v>
      </c>
      <c r="B34" s="127" t="s">
        <v>94</v>
      </c>
      <c r="C34" s="127" t="str">
        <f>VLOOKUP(B34,'[2]TS TA-504'!B22:C327,2,0)</f>
        <v>DA+3</v>
      </c>
      <c r="D34" s="89" t="s">
        <v>73</v>
      </c>
      <c r="E34" s="89">
        <v>34.29</v>
      </c>
      <c r="F34" s="89">
        <v>1.802</v>
      </c>
      <c r="G34" s="395"/>
      <c r="H34" s="116"/>
      <c r="I34" s="109">
        <f>+J33+1</f>
        <v>45602</v>
      </c>
      <c r="J34" s="109">
        <f>+I34+1</f>
        <v>45603</v>
      </c>
      <c r="K34" s="109">
        <f t="shared" si="3"/>
        <v>45604</v>
      </c>
      <c r="L34" s="109">
        <f t="shared" si="15"/>
        <v>45606</v>
      </c>
      <c r="M34" s="109">
        <f t="shared" si="5"/>
        <v>45607</v>
      </c>
      <c r="N34" s="109">
        <f t="shared" si="17"/>
        <v>45609</v>
      </c>
      <c r="O34" s="109">
        <f t="shared" si="7"/>
        <v>45610</v>
      </c>
      <c r="P34" s="109">
        <f t="shared" si="8"/>
        <v>45611</v>
      </c>
      <c r="Q34" s="90">
        <v>728174.95700000005</v>
      </c>
      <c r="R34" s="122"/>
      <c r="S34" s="138"/>
      <c r="T34" s="122"/>
      <c r="U34" s="139"/>
      <c r="V34" s="139"/>
      <c r="W34" s="139"/>
      <c r="X34" s="139"/>
      <c r="Y34" s="139"/>
      <c r="Z34" s="145">
        <f>SUM(U34:Y34)</f>
        <v>0</v>
      </c>
      <c r="AA34" s="122"/>
      <c r="AB34" s="140">
        <f t="shared" si="10"/>
        <v>0</v>
      </c>
      <c r="AC34" s="140">
        <f t="shared" si="10"/>
        <v>0</v>
      </c>
      <c r="AD34" s="140">
        <f t="shared" si="10"/>
        <v>0</v>
      </c>
      <c r="AE34" s="140">
        <f t="shared" si="10"/>
        <v>0</v>
      </c>
      <c r="AF34" s="140">
        <f t="shared" si="10"/>
        <v>0</v>
      </c>
      <c r="AG34" s="141">
        <f>SUM(AB34:AF34)</f>
        <v>0</v>
      </c>
      <c r="AH34" s="142">
        <f>Q34-AG34</f>
        <v>728174.95700000005</v>
      </c>
    </row>
    <row r="35" spans="1:34" ht="15" customHeight="1" x14ac:dyDescent="0.35">
      <c r="A35" s="79">
        <f t="shared" si="13"/>
        <v>15</v>
      </c>
      <c r="B35" s="127" t="s">
        <v>93</v>
      </c>
      <c r="C35" s="127" t="str">
        <f>VLOOKUP(B35,'[2]TS TA-504'!B22:C327,2,0)</f>
        <v>DA+3</v>
      </c>
      <c r="D35" s="89" t="s">
        <v>73</v>
      </c>
      <c r="E35" s="89">
        <v>34.29</v>
      </c>
      <c r="F35" s="89">
        <v>1.802</v>
      </c>
      <c r="G35" s="395"/>
      <c r="H35" s="116" t="s">
        <v>135</v>
      </c>
      <c r="I35" s="109">
        <f>1+P34</f>
        <v>45612</v>
      </c>
      <c r="J35" s="109">
        <f>+I35+1+2</f>
        <v>45615</v>
      </c>
      <c r="K35" s="109">
        <f t="shared" si="3"/>
        <v>45616</v>
      </c>
      <c r="L35" s="109">
        <f t="shared" si="15"/>
        <v>45618</v>
      </c>
      <c r="M35" s="109">
        <f t="shared" si="5"/>
        <v>45619</v>
      </c>
      <c r="N35" s="109">
        <f t="shared" si="17"/>
        <v>45621</v>
      </c>
      <c r="O35" s="109">
        <f t="shared" si="7"/>
        <v>45622</v>
      </c>
      <c r="P35" s="109">
        <f t="shared" si="8"/>
        <v>45623</v>
      </c>
      <c r="Q35" s="90">
        <v>728174.95700000005</v>
      </c>
      <c r="R35" s="128"/>
      <c r="S35" s="135"/>
      <c r="T35" s="128"/>
      <c r="U35" s="136"/>
      <c r="V35" s="136"/>
      <c r="W35" s="136"/>
      <c r="X35" s="136"/>
      <c r="Y35" s="136"/>
      <c r="Z35" s="130">
        <f>SUM(U35:Y35)</f>
        <v>0</v>
      </c>
      <c r="AA35" s="128"/>
      <c r="AB35" s="131">
        <f t="shared" si="10"/>
        <v>0</v>
      </c>
      <c r="AC35" s="131">
        <f t="shared" si="10"/>
        <v>0</v>
      </c>
      <c r="AD35" s="131">
        <f t="shared" si="10"/>
        <v>0</v>
      </c>
      <c r="AE35" s="131">
        <f t="shared" si="10"/>
        <v>0</v>
      </c>
      <c r="AF35" s="131">
        <f t="shared" si="10"/>
        <v>0</v>
      </c>
      <c r="AG35" s="134">
        <f>SUM(AB35:AF35)</f>
        <v>0</v>
      </c>
      <c r="AH35" s="133">
        <f>Q35-AG35</f>
        <v>728174.95700000005</v>
      </c>
    </row>
    <row r="36" spans="1:34" ht="15" customHeight="1" x14ac:dyDescent="0.35">
      <c r="A36" s="79">
        <f t="shared" si="13"/>
        <v>16</v>
      </c>
      <c r="B36" s="127" t="s">
        <v>92</v>
      </c>
      <c r="C36" s="127" t="str">
        <f>VLOOKUP(B36,'[2]TS TA-504'!B22:C327,2,0)</f>
        <v>DA+3</v>
      </c>
      <c r="D36" s="89" t="s">
        <v>73</v>
      </c>
      <c r="E36" s="89">
        <v>34.29</v>
      </c>
      <c r="F36" s="89">
        <v>1.802</v>
      </c>
      <c r="G36" s="395"/>
      <c r="H36" s="147">
        <f>13+12</f>
        <v>25</v>
      </c>
      <c r="I36" s="109">
        <f>1+J35</f>
        <v>45616</v>
      </c>
      <c r="J36" s="109">
        <f>+I36+1</f>
        <v>45617</v>
      </c>
      <c r="K36" s="109">
        <f t="shared" si="3"/>
        <v>45618</v>
      </c>
      <c r="L36" s="109">
        <f t="shared" si="15"/>
        <v>45620</v>
      </c>
      <c r="M36" s="109">
        <f t="shared" si="5"/>
        <v>45621</v>
      </c>
      <c r="N36" s="109">
        <f t="shared" si="17"/>
        <v>45623</v>
      </c>
      <c r="O36" s="109">
        <f t="shared" si="7"/>
        <v>45624</v>
      </c>
      <c r="P36" s="109">
        <f t="shared" si="8"/>
        <v>45625</v>
      </c>
      <c r="Q36" s="90">
        <v>728174.95700000005</v>
      </c>
      <c r="R36" s="128"/>
      <c r="S36" s="135"/>
      <c r="T36" s="128"/>
      <c r="U36" s="136"/>
      <c r="V36" s="136"/>
      <c r="W36" s="136"/>
      <c r="X36" s="136"/>
      <c r="Y36" s="136"/>
      <c r="Z36" s="130">
        <f>SUM(U36:Y36)</f>
        <v>0</v>
      </c>
      <c r="AA36" s="128"/>
      <c r="AB36" s="131">
        <f t="shared" si="10"/>
        <v>0</v>
      </c>
      <c r="AC36" s="131">
        <f t="shared" si="10"/>
        <v>0</v>
      </c>
      <c r="AD36" s="131">
        <f t="shared" si="10"/>
        <v>0</v>
      </c>
      <c r="AE36" s="131">
        <f t="shared" si="10"/>
        <v>0</v>
      </c>
      <c r="AF36" s="131">
        <f t="shared" si="10"/>
        <v>0</v>
      </c>
      <c r="AG36" s="134">
        <f>SUM(AB36:AF36)</f>
        <v>0</v>
      </c>
      <c r="AH36" s="133">
        <f>Q36-AG36</f>
        <v>728174.95700000005</v>
      </c>
    </row>
    <row r="37" spans="1:34" ht="15" customHeight="1" x14ac:dyDescent="0.35">
      <c r="A37" s="79">
        <f t="shared" si="13"/>
        <v>17</v>
      </c>
      <c r="B37" s="127" t="s">
        <v>91</v>
      </c>
      <c r="C37" s="127" t="str">
        <f>VLOOKUP(B37,'[2]TS TA-504'!B22:C327,2,0)</f>
        <v>DA+0</v>
      </c>
      <c r="D37" s="89" t="s">
        <v>73</v>
      </c>
      <c r="E37" s="110">
        <v>30.22</v>
      </c>
      <c r="F37" s="110">
        <v>1.4496000000000002</v>
      </c>
      <c r="G37" s="395"/>
      <c r="H37" s="147"/>
      <c r="I37" s="109">
        <f>1+J36</f>
        <v>45618</v>
      </c>
      <c r="J37" s="109">
        <f>+I37+1</f>
        <v>45619</v>
      </c>
      <c r="K37" s="109">
        <f t="shared" si="3"/>
        <v>45620</v>
      </c>
      <c r="L37" s="109">
        <f t="shared" si="15"/>
        <v>45622</v>
      </c>
      <c r="M37" s="109">
        <f t="shared" si="5"/>
        <v>45623</v>
      </c>
      <c r="N37" s="109">
        <f t="shared" si="17"/>
        <v>45625</v>
      </c>
      <c r="O37" s="109">
        <f t="shared" si="7"/>
        <v>45626</v>
      </c>
      <c r="P37" s="109">
        <f t="shared" si="8"/>
        <v>45627</v>
      </c>
      <c r="Q37" s="90">
        <v>629904.96199999994</v>
      </c>
      <c r="R37" s="128"/>
      <c r="S37" s="135"/>
      <c r="T37" s="128"/>
      <c r="U37" s="136"/>
      <c r="V37" s="136"/>
      <c r="W37" s="136"/>
      <c r="X37" s="136"/>
      <c r="Y37" s="136"/>
      <c r="Z37" s="130">
        <f>SUM(U37:Y37)</f>
        <v>0</v>
      </c>
      <c r="AA37" s="128"/>
      <c r="AB37" s="131">
        <f t="shared" si="10"/>
        <v>0</v>
      </c>
      <c r="AC37" s="131">
        <f t="shared" si="10"/>
        <v>0</v>
      </c>
      <c r="AD37" s="131">
        <f t="shared" si="10"/>
        <v>0</v>
      </c>
      <c r="AE37" s="131">
        <f t="shared" si="10"/>
        <v>0</v>
      </c>
      <c r="AF37" s="131">
        <f t="shared" si="10"/>
        <v>0</v>
      </c>
      <c r="AG37" s="134">
        <f>SUM(AB37:AF37)</f>
        <v>0</v>
      </c>
      <c r="AH37" s="133">
        <f>Q37-AG37</f>
        <v>629904.96199999994</v>
      </c>
    </row>
    <row r="38" spans="1:34" ht="15" customHeight="1" x14ac:dyDescent="0.35">
      <c r="A38" s="79">
        <f t="shared" si="13"/>
        <v>18</v>
      </c>
      <c r="B38" s="127" t="s">
        <v>90</v>
      </c>
      <c r="C38" s="127" t="str">
        <f>VLOOKUP(B38,'[2]TS TA-504'!B23:C328,2,0)</f>
        <v>DA+3</v>
      </c>
      <c r="D38" s="89" t="s">
        <v>73</v>
      </c>
      <c r="E38" s="89">
        <v>34.29</v>
      </c>
      <c r="F38" s="89">
        <v>1.802</v>
      </c>
      <c r="G38" s="395"/>
      <c r="H38" s="147"/>
      <c r="I38" s="109">
        <v>45612</v>
      </c>
      <c r="J38" s="109">
        <f>+I38+1+2</f>
        <v>45615</v>
      </c>
      <c r="K38" s="109">
        <f t="shared" si="3"/>
        <v>45616</v>
      </c>
      <c r="L38" s="109">
        <f t="shared" si="15"/>
        <v>45618</v>
      </c>
      <c r="M38" s="109">
        <f t="shared" si="5"/>
        <v>45619</v>
      </c>
      <c r="N38" s="109">
        <f t="shared" si="17"/>
        <v>45621</v>
      </c>
      <c r="O38" s="109">
        <f t="shared" si="7"/>
        <v>45622</v>
      </c>
      <c r="P38" s="109">
        <f t="shared" si="8"/>
        <v>45623</v>
      </c>
      <c r="Q38" s="90">
        <v>728174.95700000005</v>
      </c>
      <c r="R38" s="128"/>
      <c r="S38" s="135"/>
      <c r="T38" s="128"/>
      <c r="U38" s="136"/>
      <c r="V38" s="136"/>
      <c r="W38" s="136"/>
      <c r="X38" s="136"/>
      <c r="Y38" s="136"/>
      <c r="Z38" s="130">
        <f t="shared" si="9"/>
        <v>0</v>
      </c>
      <c r="AA38" s="128"/>
      <c r="AB38" s="131">
        <f t="shared" si="10"/>
        <v>0</v>
      </c>
      <c r="AC38" s="131">
        <f t="shared" si="10"/>
        <v>0</v>
      </c>
      <c r="AD38" s="131">
        <f t="shared" si="10"/>
        <v>0</v>
      </c>
      <c r="AE38" s="131">
        <f t="shared" si="10"/>
        <v>0</v>
      </c>
      <c r="AF38" s="131">
        <f t="shared" si="10"/>
        <v>0</v>
      </c>
      <c r="AG38" s="134">
        <f t="shared" si="11"/>
        <v>0</v>
      </c>
      <c r="AH38" s="133">
        <f t="shared" si="12"/>
        <v>728174.95700000005</v>
      </c>
    </row>
    <row r="39" spans="1:34" ht="15" customHeight="1" x14ac:dyDescent="0.35">
      <c r="A39" s="79">
        <f t="shared" si="13"/>
        <v>19</v>
      </c>
      <c r="B39" s="127" t="s">
        <v>87</v>
      </c>
      <c r="C39" s="127" t="str">
        <f>VLOOKUP(B39,'[2]TS TA-504'!B28:C333,2,0)</f>
        <v>DA+6</v>
      </c>
      <c r="D39" s="89" t="s">
        <v>73</v>
      </c>
      <c r="E39" s="89">
        <v>34.29</v>
      </c>
      <c r="F39" s="89">
        <v>1.802</v>
      </c>
      <c r="G39" s="395"/>
      <c r="H39" s="121"/>
      <c r="I39" s="109">
        <f>1+J38</f>
        <v>45616</v>
      </c>
      <c r="J39" s="109">
        <f>+I39+1</f>
        <v>45617</v>
      </c>
      <c r="K39" s="109">
        <f t="shared" si="3"/>
        <v>45618</v>
      </c>
      <c r="L39" s="109">
        <f t="shared" si="15"/>
        <v>45620</v>
      </c>
      <c r="M39" s="109">
        <f t="shared" si="5"/>
        <v>45621</v>
      </c>
      <c r="N39" s="109">
        <f t="shared" si="17"/>
        <v>45623</v>
      </c>
      <c r="O39" s="109">
        <f t="shared" si="7"/>
        <v>45624</v>
      </c>
      <c r="P39" s="109">
        <f t="shared" si="8"/>
        <v>45625</v>
      </c>
      <c r="Q39" s="90">
        <v>728174.95700000005</v>
      </c>
      <c r="R39" s="122"/>
      <c r="S39" s="138"/>
      <c r="T39" s="122"/>
      <c r="U39" s="139"/>
      <c r="V39" s="139"/>
      <c r="W39" s="139"/>
      <c r="X39" s="139"/>
      <c r="Y39" s="139"/>
      <c r="Z39" s="145">
        <f t="shared" si="9"/>
        <v>0</v>
      </c>
      <c r="AA39" s="122"/>
      <c r="AB39" s="140">
        <f t="shared" ref="AB39:AF39" si="18">$Q39*U39</f>
        <v>0</v>
      </c>
      <c r="AC39" s="140">
        <f t="shared" si="18"/>
        <v>0</v>
      </c>
      <c r="AD39" s="140">
        <f t="shared" si="18"/>
        <v>0</v>
      </c>
      <c r="AE39" s="140">
        <f t="shared" si="18"/>
        <v>0</v>
      </c>
      <c r="AF39" s="140">
        <f t="shared" si="18"/>
        <v>0</v>
      </c>
      <c r="AG39" s="141">
        <f t="shared" si="11"/>
        <v>0</v>
      </c>
      <c r="AH39" s="142">
        <f t="shared" si="12"/>
        <v>728174.95700000005</v>
      </c>
    </row>
    <row r="40" spans="1:34" ht="15" customHeight="1" x14ac:dyDescent="0.35">
      <c r="A40" s="79">
        <f t="shared" si="13"/>
        <v>20</v>
      </c>
      <c r="B40" s="148" t="s">
        <v>81</v>
      </c>
      <c r="C40" s="127" t="str">
        <f>VLOOKUP(B40,'[2]TS TA-504'!B14:C319,2,0)</f>
        <v>DA+3</v>
      </c>
      <c r="D40" s="92" t="s">
        <v>73</v>
      </c>
      <c r="E40" s="79">
        <v>34.29</v>
      </c>
      <c r="F40" s="79">
        <v>1.802</v>
      </c>
      <c r="G40" s="396"/>
      <c r="H40" s="137"/>
      <c r="I40" s="109">
        <f>1+J39</f>
        <v>45618</v>
      </c>
      <c r="J40" s="109">
        <f>+I40+1</f>
        <v>45619</v>
      </c>
      <c r="K40" s="109">
        <f t="shared" si="3"/>
        <v>45620</v>
      </c>
      <c r="L40" s="109">
        <f t="shared" si="15"/>
        <v>45622</v>
      </c>
      <c r="M40" s="109">
        <f t="shared" si="5"/>
        <v>45623</v>
      </c>
      <c r="N40" s="109">
        <f t="shared" si="17"/>
        <v>45625</v>
      </c>
      <c r="O40" s="109">
        <f t="shared" si="7"/>
        <v>45626</v>
      </c>
      <c r="P40" s="109">
        <f t="shared" si="8"/>
        <v>45627</v>
      </c>
      <c r="Q40" s="90">
        <v>728174.95700000005</v>
      </c>
      <c r="R40" s="122"/>
      <c r="S40" s="138"/>
      <c r="T40" s="122"/>
      <c r="U40" s="139"/>
      <c r="V40" s="139"/>
      <c r="W40" s="139"/>
      <c r="X40" s="139"/>
      <c r="Y40" s="139"/>
      <c r="Z40" s="130">
        <f>SUM(U40:Y40)</f>
        <v>0</v>
      </c>
      <c r="AA40" s="122"/>
      <c r="AB40" s="140">
        <f>$Q40*U40</f>
        <v>0</v>
      </c>
      <c r="AC40" s="140">
        <f>$Q40*V40</f>
        <v>0</v>
      </c>
      <c r="AD40" s="140">
        <f>$Q40*W40</f>
        <v>0</v>
      </c>
      <c r="AE40" s="140">
        <f>$Q40*X40</f>
        <v>0</v>
      </c>
      <c r="AF40" s="140">
        <f>$Q40*Y40</f>
        <v>0</v>
      </c>
      <c r="AG40" s="141">
        <f>SUM(AB40:AF40)</f>
        <v>0</v>
      </c>
      <c r="AH40" s="142">
        <f>Q40-AG40</f>
        <v>728174.95700000005</v>
      </c>
    </row>
    <row r="41" spans="1:34" ht="15" customHeight="1" x14ac:dyDescent="0.35">
      <c r="A41" s="79">
        <f t="shared" si="13"/>
        <v>21</v>
      </c>
      <c r="B41" s="143" t="s">
        <v>88</v>
      </c>
      <c r="C41" s="144" t="str">
        <f>VLOOKUP(B41,'[2]TS TA-504'!B29:C334,2,0)</f>
        <v>DA-3</v>
      </c>
      <c r="D41" s="87" t="s">
        <v>73</v>
      </c>
      <c r="E41" s="112">
        <v>30.22</v>
      </c>
      <c r="F41" s="112">
        <v>1.4496000000000002</v>
      </c>
      <c r="G41" s="397" t="s">
        <v>133</v>
      </c>
      <c r="H41" s="123"/>
      <c r="I41" s="111">
        <v>45597</v>
      </c>
      <c r="J41" s="111">
        <f>+I41+1</f>
        <v>45598</v>
      </c>
      <c r="K41" s="111">
        <f t="shared" si="3"/>
        <v>45599</v>
      </c>
      <c r="L41" s="111">
        <f>+K41+1</f>
        <v>45600</v>
      </c>
      <c r="M41" s="111">
        <f t="shared" si="5"/>
        <v>45601</v>
      </c>
      <c r="N41" s="111">
        <f>M41+2</f>
        <v>45603</v>
      </c>
      <c r="O41" s="111">
        <f t="shared" si="7"/>
        <v>45604</v>
      </c>
      <c r="P41" s="111">
        <f t="shared" si="8"/>
        <v>45605</v>
      </c>
      <c r="Q41" s="90">
        <v>629904.96199999994</v>
      </c>
      <c r="R41" s="128"/>
      <c r="S41" s="135"/>
      <c r="T41" s="128"/>
      <c r="U41" s="136"/>
      <c r="V41" s="136"/>
      <c r="W41" s="136"/>
      <c r="X41" s="136"/>
      <c r="Y41" s="136"/>
      <c r="Z41" s="130">
        <f t="shared" si="9"/>
        <v>0</v>
      </c>
      <c r="AA41" s="128"/>
      <c r="AB41" s="131">
        <f t="shared" ref="AB41:AF56" si="19">$Q41*U41</f>
        <v>0</v>
      </c>
      <c r="AC41" s="131">
        <f t="shared" si="19"/>
        <v>0</v>
      </c>
      <c r="AD41" s="131">
        <f t="shared" si="19"/>
        <v>0</v>
      </c>
      <c r="AE41" s="131">
        <f t="shared" si="19"/>
        <v>0</v>
      </c>
      <c r="AF41" s="131">
        <f t="shared" si="19"/>
        <v>0</v>
      </c>
      <c r="AG41" s="134">
        <f t="shared" si="11"/>
        <v>0</v>
      </c>
      <c r="AH41" s="133">
        <f t="shared" si="12"/>
        <v>629904.96199999994</v>
      </c>
    </row>
    <row r="42" spans="1:34" ht="15" customHeight="1" x14ac:dyDescent="0.35">
      <c r="A42" s="79">
        <f t="shared" si="13"/>
        <v>22</v>
      </c>
      <c r="B42" s="143" t="s">
        <v>89</v>
      </c>
      <c r="C42" s="144" t="str">
        <f>VLOOKUP(B42,'[2]TS TA-504'!B30:C335,2,0)</f>
        <v>DA-3</v>
      </c>
      <c r="D42" s="87" t="s">
        <v>73</v>
      </c>
      <c r="E42" s="112">
        <v>30.22</v>
      </c>
      <c r="F42" s="112">
        <v>1.4496000000000002</v>
      </c>
      <c r="G42" s="398"/>
      <c r="H42" s="123"/>
      <c r="I42" s="111">
        <f>1+J41</f>
        <v>45599</v>
      </c>
      <c r="J42" s="111">
        <f t="shared" ref="J42:J45" si="20">+I42+2</f>
        <v>45601</v>
      </c>
      <c r="K42" s="111">
        <f t="shared" si="3"/>
        <v>45602</v>
      </c>
      <c r="L42" s="111">
        <f>+K42+1</f>
        <v>45603</v>
      </c>
      <c r="M42" s="111">
        <f t="shared" si="5"/>
        <v>45604</v>
      </c>
      <c r="N42" s="111">
        <f t="shared" ref="N42:N45" si="21">M42+2</f>
        <v>45606</v>
      </c>
      <c r="O42" s="111">
        <f t="shared" si="7"/>
        <v>45607</v>
      </c>
      <c r="P42" s="111">
        <f t="shared" si="8"/>
        <v>45608</v>
      </c>
      <c r="Q42" s="90">
        <v>629904.96199999994</v>
      </c>
      <c r="R42" s="128"/>
      <c r="S42" s="135"/>
      <c r="T42" s="128"/>
      <c r="U42" s="136"/>
      <c r="V42" s="136"/>
      <c r="W42" s="136"/>
      <c r="X42" s="136"/>
      <c r="Y42" s="136"/>
      <c r="Z42" s="130">
        <f t="shared" si="9"/>
        <v>0</v>
      </c>
      <c r="AA42" s="128"/>
      <c r="AB42" s="131">
        <f t="shared" si="19"/>
        <v>0</v>
      </c>
      <c r="AC42" s="131">
        <f t="shared" si="19"/>
        <v>0</v>
      </c>
      <c r="AD42" s="131">
        <f t="shared" si="19"/>
        <v>0</v>
      </c>
      <c r="AE42" s="131">
        <f t="shared" si="19"/>
        <v>0</v>
      </c>
      <c r="AF42" s="131">
        <f t="shared" si="19"/>
        <v>0</v>
      </c>
      <c r="AG42" s="134">
        <f t="shared" si="11"/>
        <v>0</v>
      </c>
      <c r="AH42" s="133">
        <f t="shared" si="12"/>
        <v>629904.96199999994</v>
      </c>
    </row>
    <row r="43" spans="1:34" ht="15" customHeight="1" x14ac:dyDescent="0.35">
      <c r="A43" s="79">
        <f t="shared" si="13"/>
        <v>23</v>
      </c>
      <c r="B43" s="144" t="s">
        <v>97</v>
      </c>
      <c r="C43" s="144" t="str">
        <f>VLOOKUP(B43,'[2]TS TA-504'!B31:C336,2,0)</f>
        <v>DA+0</v>
      </c>
      <c r="D43" s="87" t="s">
        <v>73</v>
      </c>
      <c r="E43" s="112">
        <v>30.22</v>
      </c>
      <c r="F43" s="112">
        <v>1.4496000000000002</v>
      </c>
      <c r="G43" s="398"/>
      <c r="H43" s="147">
        <v>18</v>
      </c>
      <c r="I43" s="111">
        <f>+J42+1</f>
        <v>45602</v>
      </c>
      <c r="J43" s="111">
        <f t="shared" si="20"/>
        <v>45604</v>
      </c>
      <c r="K43" s="111">
        <f t="shared" si="3"/>
        <v>45605</v>
      </c>
      <c r="L43" s="111">
        <f t="shared" ref="L43:L46" si="22">+K43+1</f>
        <v>45606</v>
      </c>
      <c r="M43" s="111">
        <f t="shared" si="5"/>
        <v>45607</v>
      </c>
      <c r="N43" s="111">
        <f t="shared" si="21"/>
        <v>45609</v>
      </c>
      <c r="O43" s="111">
        <f t="shared" si="7"/>
        <v>45610</v>
      </c>
      <c r="P43" s="111">
        <f t="shared" si="8"/>
        <v>45611</v>
      </c>
      <c r="Q43" s="90">
        <v>629904.96199999994</v>
      </c>
      <c r="R43" s="128"/>
      <c r="S43" s="135"/>
      <c r="T43" s="128"/>
      <c r="U43" s="136"/>
      <c r="V43" s="136"/>
      <c r="W43" s="136"/>
      <c r="X43" s="136"/>
      <c r="Y43" s="136"/>
      <c r="Z43" s="130">
        <f>SUM(U43:Y43)</f>
        <v>0</v>
      </c>
      <c r="AA43" s="128"/>
      <c r="AB43" s="131">
        <f t="shared" si="19"/>
        <v>0</v>
      </c>
      <c r="AC43" s="131">
        <f t="shared" si="19"/>
        <v>0</v>
      </c>
      <c r="AD43" s="131">
        <f t="shared" si="19"/>
        <v>0</v>
      </c>
      <c r="AE43" s="131">
        <f t="shared" si="19"/>
        <v>0</v>
      </c>
      <c r="AF43" s="131">
        <f t="shared" si="19"/>
        <v>0</v>
      </c>
      <c r="AG43" s="134">
        <f>SUM(AB43:AF43)</f>
        <v>0</v>
      </c>
      <c r="AH43" s="133">
        <f>Q43-AG43</f>
        <v>629904.96199999994</v>
      </c>
    </row>
    <row r="44" spans="1:34" ht="15" customHeight="1" x14ac:dyDescent="0.35">
      <c r="A44" s="79">
        <f t="shared" si="13"/>
        <v>24</v>
      </c>
      <c r="B44" s="144" t="s">
        <v>98</v>
      </c>
      <c r="C44" s="144" t="str">
        <f>VLOOKUP(B44,'[2]TS TA-504'!B31:C336,2,0)</f>
        <v>DA+3</v>
      </c>
      <c r="D44" s="87" t="s">
        <v>73</v>
      </c>
      <c r="E44" s="87">
        <v>34.29</v>
      </c>
      <c r="F44" s="87">
        <v>1.802</v>
      </c>
      <c r="G44" s="398"/>
      <c r="H44" s="147"/>
      <c r="I44" s="111">
        <v>45612</v>
      </c>
      <c r="J44" s="111">
        <f t="shared" si="20"/>
        <v>45614</v>
      </c>
      <c r="K44" s="111">
        <f t="shared" si="3"/>
        <v>45615</v>
      </c>
      <c r="L44" s="111">
        <f t="shared" si="22"/>
        <v>45616</v>
      </c>
      <c r="M44" s="111">
        <f t="shared" si="5"/>
        <v>45617</v>
      </c>
      <c r="N44" s="111">
        <f t="shared" si="21"/>
        <v>45619</v>
      </c>
      <c r="O44" s="111">
        <f t="shared" si="7"/>
        <v>45620</v>
      </c>
      <c r="P44" s="111">
        <f t="shared" si="8"/>
        <v>45621</v>
      </c>
      <c r="Q44" s="90">
        <v>728174.95700000005</v>
      </c>
      <c r="R44" s="128"/>
      <c r="S44" s="135"/>
      <c r="T44" s="128"/>
      <c r="U44" s="136"/>
      <c r="V44" s="136"/>
      <c r="W44" s="136"/>
      <c r="X44" s="136"/>
      <c r="Y44" s="136"/>
      <c r="Z44" s="130">
        <f t="shared" si="9"/>
        <v>0</v>
      </c>
      <c r="AA44" s="128"/>
      <c r="AB44" s="131">
        <f t="shared" si="19"/>
        <v>0</v>
      </c>
      <c r="AC44" s="131">
        <f t="shared" si="19"/>
        <v>0</v>
      </c>
      <c r="AD44" s="131">
        <f t="shared" si="19"/>
        <v>0</v>
      </c>
      <c r="AE44" s="131">
        <f t="shared" si="19"/>
        <v>0</v>
      </c>
      <c r="AF44" s="131">
        <f t="shared" si="19"/>
        <v>0</v>
      </c>
      <c r="AG44" s="134">
        <f t="shared" si="11"/>
        <v>0</v>
      </c>
      <c r="AH44" s="133">
        <f t="shared" si="12"/>
        <v>728174.95700000005</v>
      </c>
    </row>
    <row r="45" spans="1:34" ht="15" customHeight="1" x14ac:dyDescent="0.35">
      <c r="A45" s="79">
        <f t="shared" si="13"/>
        <v>25</v>
      </c>
      <c r="B45" s="144" t="s">
        <v>99</v>
      </c>
      <c r="C45" s="144" t="str">
        <f>VLOOKUP(B45,'[2]TS TA-504'!B32:C337,2,0)</f>
        <v>DA+3</v>
      </c>
      <c r="D45" s="87" t="s">
        <v>73</v>
      </c>
      <c r="E45" s="87">
        <v>34.29</v>
      </c>
      <c r="F45" s="87">
        <v>1.802</v>
      </c>
      <c r="G45" s="398"/>
      <c r="H45" s="128"/>
      <c r="I45" s="111">
        <v>45615</v>
      </c>
      <c r="J45" s="111">
        <f t="shared" si="20"/>
        <v>45617</v>
      </c>
      <c r="K45" s="111">
        <f t="shared" si="3"/>
        <v>45618</v>
      </c>
      <c r="L45" s="111">
        <f t="shared" si="22"/>
        <v>45619</v>
      </c>
      <c r="M45" s="111">
        <f t="shared" si="5"/>
        <v>45620</v>
      </c>
      <c r="N45" s="111">
        <f t="shared" si="21"/>
        <v>45622</v>
      </c>
      <c r="O45" s="111">
        <f t="shared" si="7"/>
        <v>45623</v>
      </c>
      <c r="P45" s="111">
        <f t="shared" si="8"/>
        <v>45624</v>
      </c>
      <c r="Q45" s="90">
        <v>728174.95700000005</v>
      </c>
      <c r="R45" s="128"/>
      <c r="S45" s="135"/>
      <c r="T45" s="128"/>
      <c r="U45" s="136"/>
      <c r="V45" s="136"/>
      <c r="W45" s="136"/>
      <c r="X45" s="136"/>
      <c r="Y45" s="136"/>
      <c r="Z45" s="130">
        <f t="shared" si="9"/>
        <v>0</v>
      </c>
      <c r="AA45" s="128"/>
      <c r="AB45" s="131">
        <f t="shared" si="19"/>
        <v>0</v>
      </c>
      <c r="AC45" s="131">
        <f t="shared" si="19"/>
        <v>0</v>
      </c>
      <c r="AD45" s="131">
        <f t="shared" si="19"/>
        <v>0</v>
      </c>
      <c r="AE45" s="131">
        <f t="shared" si="19"/>
        <v>0</v>
      </c>
      <c r="AF45" s="131">
        <f t="shared" si="19"/>
        <v>0</v>
      </c>
      <c r="AG45" s="134">
        <f t="shared" si="11"/>
        <v>0</v>
      </c>
      <c r="AH45" s="133">
        <f t="shared" si="12"/>
        <v>728174.95700000005</v>
      </c>
    </row>
    <row r="46" spans="1:34" ht="15" customHeight="1" x14ac:dyDescent="0.35">
      <c r="A46" s="79">
        <f t="shared" si="13"/>
        <v>26</v>
      </c>
      <c r="B46" s="144" t="s">
        <v>100</v>
      </c>
      <c r="C46" s="144" t="str">
        <f>VLOOKUP(B46,'[2]TS TA-504'!B33:C338,2,0)</f>
        <v>DA+3</v>
      </c>
      <c r="D46" s="87" t="s">
        <v>73</v>
      </c>
      <c r="E46" s="87">
        <v>34.29</v>
      </c>
      <c r="F46" s="87">
        <v>1.802</v>
      </c>
      <c r="G46" s="398"/>
      <c r="H46" s="123"/>
      <c r="I46" s="111">
        <v>45618</v>
      </c>
      <c r="J46" s="111">
        <f t="shared" ref="J46" si="23">I46+1</f>
        <v>45619</v>
      </c>
      <c r="K46" s="111">
        <v>45623</v>
      </c>
      <c r="L46" s="111">
        <f t="shared" si="22"/>
        <v>45624</v>
      </c>
      <c r="M46" s="111">
        <f t="shared" si="5"/>
        <v>45625</v>
      </c>
      <c r="N46" s="111">
        <f>M46+1</f>
        <v>45626</v>
      </c>
      <c r="O46" s="111">
        <f t="shared" si="7"/>
        <v>45627</v>
      </c>
      <c r="P46" s="111">
        <f t="shared" si="8"/>
        <v>45628</v>
      </c>
      <c r="Q46" s="90">
        <v>728174.95700000005</v>
      </c>
      <c r="R46" s="128"/>
      <c r="S46" s="135"/>
      <c r="T46" s="128"/>
      <c r="U46" s="136"/>
      <c r="V46" s="136"/>
      <c r="W46" s="136"/>
      <c r="X46" s="136"/>
      <c r="Y46" s="136"/>
      <c r="Z46" s="130">
        <f t="shared" si="9"/>
        <v>0</v>
      </c>
      <c r="AA46" s="128"/>
      <c r="AB46" s="131">
        <f t="shared" si="19"/>
        <v>0</v>
      </c>
      <c r="AC46" s="131">
        <f t="shared" si="19"/>
        <v>0</v>
      </c>
      <c r="AD46" s="131">
        <f t="shared" si="19"/>
        <v>0</v>
      </c>
      <c r="AE46" s="131">
        <f t="shared" si="19"/>
        <v>0</v>
      </c>
      <c r="AF46" s="131">
        <f t="shared" si="19"/>
        <v>0</v>
      </c>
      <c r="AG46" s="134">
        <f t="shared" si="11"/>
        <v>0</v>
      </c>
      <c r="AH46" s="133">
        <f t="shared" si="12"/>
        <v>728174.95700000005</v>
      </c>
    </row>
    <row r="47" spans="1:34" ht="15" customHeight="1" x14ac:dyDescent="0.35">
      <c r="A47" s="79">
        <f t="shared" si="13"/>
        <v>27</v>
      </c>
      <c r="B47" s="126" t="s">
        <v>109</v>
      </c>
      <c r="C47" s="127" t="str">
        <f>VLOOKUP(B47,'[2]TS TA-504'!B36:C341,2,0)</f>
        <v>DA+0</v>
      </c>
      <c r="D47" s="89" t="s">
        <v>73</v>
      </c>
      <c r="E47" s="110">
        <v>30.22</v>
      </c>
      <c r="F47" s="110">
        <v>1.4496000000000002</v>
      </c>
      <c r="G47" s="399" t="s">
        <v>117</v>
      </c>
      <c r="H47" s="149"/>
      <c r="I47" s="109">
        <v>45597</v>
      </c>
      <c r="J47" s="109">
        <f>+I47+1</f>
        <v>45598</v>
      </c>
      <c r="K47" s="109">
        <f t="shared" ref="K47:K60" si="24">1+J47</f>
        <v>45599</v>
      </c>
      <c r="L47" s="109">
        <f t="shared" ref="L47:L55" si="25">+K47+2</f>
        <v>45601</v>
      </c>
      <c r="M47" s="109">
        <f t="shared" si="5"/>
        <v>45602</v>
      </c>
      <c r="N47" s="109">
        <f t="shared" ref="N47:N55" si="26">2+M47</f>
        <v>45604</v>
      </c>
      <c r="O47" s="109">
        <f t="shared" si="7"/>
        <v>45605</v>
      </c>
      <c r="P47" s="109">
        <f t="shared" si="8"/>
        <v>45606</v>
      </c>
      <c r="Q47" s="90">
        <v>629904.96199999994</v>
      </c>
      <c r="R47" s="128"/>
      <c r="S47" s="135"/>
      <c r="T47" s="128"/>
      <c r="U47" s="136"/>
      <c r="V47" s="136"/>
      <c r="W47" s="136"/>
      <c r="X47" s="136"/>
      <c r="Y47" s="136"/>
      <c r="Z47" s="130">
        <f t="shared" si="9"/>
        <v>0</v>
      </c>
      <c r="AA47" s="128"/>
      <c r="AB47" s="131">
        <f t="shared" si="19"/>
        <v>0</v>
      </c>
      <c r="AC47" s="131">
        <f t="shared" si="19"/>
        <v>0</v>
      </c>
      <c r="AD47" s="131">
        <f t="shared" si="19"/>
        <v>0</v>
      </c>
      <c r="AE47" s="131">
        <f t="shared" si="19"/>
        <v>0</v>
      </c>
      <c r="AF47" s="131">
        <f t="shared" si="19"/>
        <v>0</v>
      </c>
      <c r="AG47" s="134">
        <f t="shared" si="11"/>
        <v>0</v>
      </c>
      <c r="AH47" s="133">
        <f t="shared" si="12"/>
        <v>629904.96199999994</v>
      </c>
    </row>
    <row r="48" spans="1:34" ht="15" customHeight="1" x14ac:dyDescent="0.35">
      <c r="A48" s="79">
        <f t="shared" si="13"/>
        <v>28</v>
      </c>
      <c r="B48" s="148" t="s">
        <v>103</v>
      </c>
      <c r="C48" s="127" t="str">
        <f>VLOOKUP(B48,'[2]TS TA-504'!B36:C341,2,0)</f>
        <v>DA+3</v>
      </c>
      <c r="D48" s="92" t="s">
        <v>73</v>
      </c>
      <c r="E48" s="113">
        <v>30.22</v>
      </c>
      <c r="F48" s="113">
        <v>1.4496000000000002</v>
      </c>
      <c r="G48" s="400"/>
      <c r="H48" s="150"/>
      <c r="I48" s="109">
        <f>1+J47</f>
        <v>45599</v>
      </c>
      <c r="J48" s="109">
        <f>+I48+2</f>
        <v>45601</v>
      </c>
      <c r="K48" s="109">
        <f t="shared" si="24"/>
        <v>45602</v>
      </c>
      <c r="L48" s="109">
        <f t="shared" si="25"/>
        <v>45604</v>
      </c>
      <c r="M48" s="109">
        <f t="shared" si="5"/>
        <v>45605</v>
      </c>
      <c r="N48" s="109">
        <f t="shared" si="26"/>
        <v>45607</v>
      </c>
      <c r="O48" s="109">
        <f t="shared" si="7"/>
        <v>45608</v>
      </c>
      <c r="P48" s="109">
        <f t="shared" si="8"/>
        <v>45609</v>
      </c>
      <c r="Q48" s="90">
        <v>728174.95700000005</v>
      </c>
      <c r="R48" s="122"/>
      <c r="S48" s="151"/>
      <c r="T48" s="122"/>
      <c r="U48" s="151"/>
      <c r="V48" s="151"/>
      <c r="W48" s="151"/>
      <c r="X48" s="151"/>
      <c r="Y48" s="151"/>
      <c r="Z48" s="145">
        <f>SUM(U48:Y48)</f>
        <v>0</v>
      </c>
      <c r="AA48" s="122"/>
      <c r="AB48" s="140">
        <f t="shared" si="19"/>
        <v>0</v>
      </c>
      <c r="AC48" s="140">
        <f t="shared" si="19"/>
        <v>0</v>
      </c>
      <c r="AD48" s="140">
        <f t="shared" si="19"/>
        <v>0</v>
      </c>
      <c r="AE48" s="140">
        <f t="shared" si="19"/>
        <v>0</v>
      </c>
      <c r="AF48" s="140">
        <f t="shared" si="19"/>
        <v>0</v>
      </c>
      <c r="AG48" s="141">
        <f>SUM(AB48:AF48)</f>
        <v>0</v>
      </c>
      <c r="AH48" s="142">
        <f>Q48-AG48</f>
        <v>728174.95700000005</v>
      </c>
    </row>
    <row r="49" spans="1:34" ht="15" customHeight="1" x14ac:dyDescent="0.35">
      <c r="A49" s="79">
        <f t="shared" si="13"/>
        <v>29</v>
      </c>
      <c r="B49" s="126" t="s">
        <v>104</v>
      </c>
      <c r="C49" s="127" t="str">
        <f>VLOOKUP(B49,'[2]TS TA-504'!B37:C342,2,0)</f>
        <v>DA+6</v>
      </c>
      <c r="D49" s="89" t="s">
        <v>73</v>
      </c>
      <c r="E49" s="89">
        <v>34.29</v>
      </c>
      <c r="F49" s="89">
        <v>1.802</v>
      </c>
      <c r="G49" s="400"/>
      <c r="H49" s="116" t="s">
        <v>135</v>
      </c>
      <c r="I49" s="109">
        <f>+J48+1</f>
        <v>45602</v>
      </c>
      <c r="J49" s="109">
        <f>+I49+1</f>
        <v>45603</v>
      </c>
      <c r="K49" s="109">
        <f t="shared" si="24"/>
        <v>45604</v>
      </c>
      <c r="L49" s="109">
        <f t="shared" si="25"/>
        <v>45606</v>
      </c>
      <c r="M49" s="109">
        <f t="shared" si="5"/>
        <v>45607</v>
      </c>
      <c r="N49" s="109">
        <f t="shared" si="26"/>
        <v>45609</v>
      </c>
      <c r="O49" s="109">
        <f t="shared" si="7"/>
        <v>45610</v>
      </c>
      <c r="P49" s="109">
        <f t="shared" si="8"/>
        <v>45611</v>
      </c>
      <c r="Q49" s="90">
        <v>728174.95700000005</v>
      </c>
      <c r="R49" s="128"/>
      <c r="S49" s="135"/>
      <c r="T49" s="128"/>
      <c r="U49" s="136"/>
      <c r="V49" s="136"/>
      <c r="W49" s="136"/>
      <c r="X49" s="136"/>
      <c r="Y49" s="136"/>
      <c r="Z49" s="130">
        <f t="shared" si="9"/>
        <v>0</v>
      </c>
      <c r="AA49" s="128"/>
      <c r="AB49" s="131">
        <f t="shared" si="19"/>
        <v>0</v>
      </c>
      <c r="AC49" s="131">
        <f t="shared" si="19"/>
        <v>0</v>
      </c>
      <c r="AD49" s="131">
        <f t="shared" si="19"/>
        <v>0</v>
      </c>
      <c r="AE49" s="131">
        <f t="shared" si="19"/>
        <v>0</v>
      </c>
      <c r="AF49" s="131">
        <f t="shared" si="19"/>
        <v>0</v>
      </c>
      <c r="AG49" s="134">
        <f t="shared" si="11"/>
        <v>0</v>
      </c>
      <c r="AH49" s="133">
        <f t="shared" si="12"/>
        <v>728174.95700000005</v>
      </c>
    </row>
    <row r="50" spans="1:34" ht="15" customHeight="1" x14ac:dyDescent="0.35">
      <c r="A50" s="79">
        <f t="shared" si="13"/>
        <v>30</v>
      </c>
      <c r="B50" s="126" t="s">
        <v>105</v>
      </c>
      <c r="C50" s="127" t="str">
        <f>VLOOKUP(B50,'[2]TS TA-504'!B38:C343,2,0)</f>
        <v>DA-1.5</v>
      </c>
      <c r="D50" s="89" t="s">
        <v>73</v>
      </c>
      <c r="E50" s="110">
        <v>30.22</v>
      </c>
      <c r="F50" s="110">
        <v>1.4496000000000002</v>
      </c>
      <c r="G50" s="400"/>
      <c r="H50" s="150">
        <f>15+15</f>
        <v>30</v>
      </c>
      <c r="I50" s="109">
        <f>1+P49</f>
        <v>45612</v>
      </c>
      <c r="J50" s="109">
        <f>+I50+1+2</f>
        <v>45615</v>
      </c>
      <c r="K50" s="109">
        <f t="shared" si="24"/>
        <v>45616</v>
      </c>
      <c r="L50" s="109">
        <f t="shared" si="25"/>
        <v>45618</v>
      </c>
      <c r="M50" s="109">
        <f t="shared" si="5"/>
        <v>45619</v>
      </c>
      <c r="N50" s="109">
        <f t="shared" si="26"/>
        <v>45621</v>
      </c>
      <c r="O50" s="109">
        <f t="shared" si="7"/>
        <v>45622</v>
      </c>
      <c r="P50" s="109">
        <f t="shared" si="8"/>
        <v>45623</v>
      </c>
      <c r="Q50" s="90">
        <v>629904.96199999994</v>
      </c>
      <c r="R50" s="128"/>
      <c r="S50" s="135"/>
      <c r="T50" s="128"/>
      <c r="U50" s="136"/>
      <c r="V50" s="136"/>
      <c r="W50" s="136"/>
      <c r="X50" s="136"/>
      <c r="Y50" s="136"/>
      <c r="Z50" s="130">
        <f t="shared" si="9"/>
        <v>0</v>
      </c>
      <c r="AA50" s="128"/>
      <c r="AB50" s="131">
        <f t="shared" si="19"/>
        <v>0</v>
      </c>
      <c r="AC50" s="131">
        <f t="shared" si="19"/>
        <v>0</v>
      </c>
      <c r="AD50" s="131">
        <f t="shared" si="19"/>
        <v>0</v>
      </c>
      <c r="AE50" s="131">
        <f t="shared" si="19"/>
        <v>0</v>
      </c>
      <c r="AF50" s="131">
        <f t="shared" si="19"/>
        <v>0</v>
      </c>
      <c r="AG50" s="134">
        <f t="shared" si="11"/>
        <v>0</v>
      </c>
      <c r="AH50" s="133">
        <f t="shared" si="12"/>
        <v>629904.96199999994</v>
      </c>
    </row>
    <row r="51" spans="1:34" ht="15" customHeight="1" x14ac:dyDescent="0.35">
      <c r="A51" s="79">
        <f t="shared" si="13"/>
        <v>31</v>
      </c>
      <c r="B51" s="126" t="s">
        <v>106</v>
      </c>
      <c r="C51" s="127" t="str">
        <f>VLOOKUP(B51,'[2]TS TA-504'!B39:C344,2,0)</f>
        <v>DA+3</v>
      </c>
      <c r="D51" s="89" t="s">
        <v>73</v>
      </c>
      <c r="E51" s="89">
        <v>34.29</v>
      </c>
      <c r="F51" s="89">
        <v>1.802</v>
      </c>
      <c r="G51" s="400"/>
      <c r="H51" s="150"/>
      <c r="I51" s="109">
        <f>1+J50</f>
        <v>45616</v>
      </c>
      <c r="J51" s="109">
        <f>+I51+1</f>
        <v>45617</v>
      </c>
      <c r="K51" s="109">
        <f t="shared" si="24"/>
        <v>45618</v>
      </c>
      <c r="L51" s="109">
        <f t="shared" si="25"/>
        <v>45620</v>
      </c>
      <c r="M51" s="109">
        <f t="shared" si="5"/>
        <v>45621</v>
      </c>
      <c r="N51" s="109">
        <f t="shared" si="26"/>
        <v>45623</v>
      </c>
      <c r="O51" s="109">
        <f t="shared" si="7"/>
        <v>45624</v>
      </c>
      <c r="P51" s="109">
        <f t="shared" si="8"/>
        <v>45625</v>
      </c>
      <c r="Q51" s="90">
        <v>728174.95700000005</v>
      </c>
      <c r="R51" s="128"/>
      <c r="S51" s="135"/>
      <c r="T51" s="128"/>
      <c r="U51" s="136"/>
      <c r="V51" s="136"/>
      <c r="W51" s="136"/>
      <c r="X51" s="136"/>
      <c r="Y51" s="136"/>
      <c r="Z51" s="130">
        <f t="shared" si="9"/>
        <v>0</v>
      </c>
      <c r="AA51" s="128"/>
      <c r="AB51" s="131">
        <f t="shared" si="19"/>
        <v>0</v>
      </c>
      <c r="AC51" s="131">
        <f t="shared" si="19"/>
        <v>0</v>
      </c>
      <c r="AD51" s="131">
        <f t="shared" si="19"/>
        <v>0</v>
      </c>
      <c r="AE51" s="131">
        <f t="shared" si="19"/>
        <v>0</v>
      </c>
      <c r="AF51" s="131">
        <f t="shared" si="19"/>
        <v>0</v>
      </c>
      <c r="AG51" s="134">
        <f t="shared" si="11"/>
        <v>0</v>
      </c>
      <c r="AH51" s="133">
        <f t="shared" si="12"/>
        <v>728174.95700000005</v>
      </c>
    </row>
    <row r="52" spans="1:34" ht="15" customHeight="1" x14ac:dyDescent="0.35">
      <c r="A52" s="79">
        <f t="shared" si="13"/>
        <v>32</v>
      </c>
      <c r="B52" s="126" t="s">
        <v>107</v>
      </c>
      <c r="C52" s="127" t="str">
        <f>VLOOKUP(B52,'[2]TS TA-504'!B40:C345,2,0)</f>
        <v>DA-3</v>
      </c>
      <c r="D52" s="89" t="s">
        <v>73</v>
      </c>
      <c r="E52" s="110">
        <v>30.22</v>
      </c>
      <c r="F52" s="110">
        <v>1.4496000000000002</v>
      </c>
      <c r="G52" s="400"/>
      <c r="H52" s="150"/>
      <c r="I52" s="109">
        <f>1+J51</f>
        <v>45618</v>
      </c>
      <c r="J52" s="109">
        <f>+I52+1</f>
        <v>45619</v>
      </c>
      <c r="K52" s="109">
        <f t="shared" si="24"/>
        <v>45620</v>
      </c>
      <c r="L52" s="109">
        <f t="shared" si="25"/>
        <v>45622</v>
      </c>
      <c r="M52" s="109">
        <f t="shared" si="5"/>
        <v>45623</v>
      </c>
      <c r="N52" s="109">
        <f t="shared" si="26"/>
        <v>45625</v>
      </c>
      <c r="O52" s="109">
        <f t="shared" si="7"/>
        <v>45626</v>
      </c>
      <c r="P52" s="109">
        <f t="shared" si="8"/>
        <v>45627</v>
      </c>
      <c r="Q52" s="90">
        <v>629904.96199999994</v>
      </c>
      <c r="R52" s="128"/>
      <c r="S52" s="135"/>
      <c r="T52" s="128"/>
      <c r="U52" s="136"/>
      <c r="V52" s="136"/>
      <c r="W52" s="136"/>
      <c r="X52" s="136"/>
      <c r="Y52" s="136"/>
      <c r="Z52" s="130">
        <f t="shared" si="9"/>
        <v>0</v>
      </c>
      <c r="AA52" s="128"/>
      <c r="AB52" s="131">
        <f t="shared" si="19"/>
        <v>0</v>
      </c>
      <c r="AC52" s="131">
        <f t="shared" si="19"/>
        <v>0</v>
      </c>
      <c r="AD52" s="131">
        <f t="shared" si="19"/>
        <v>0</v>
      </c>
      <c r="AE52" s="131">
        <f t="shared" si="19"/>
        <v>0</v>
      </c>
      <c r="AF52" s="131">
        <f t="shared" si="19"/>
        <v>0</v>
      </c>
      <c r="AG52" s="134">
        <f t="shared" si="11"/>
        <v>0</v>
      </c>
      <c r="AH52" s="133">
        <f t="shared" si="12"/>
        <v>629904.96199999994</v>
      </c>
    </row>
    <row r="53" spans="1:34" ht="15" customHeight="1" x14ac:dyDescent="0.35">
      <c r="A53" s="79">
        <f t="shared" si="13"/>
        <v>33</v>
      </c>
      <c r="B53" s="126" t="s">
        <v>108</v>
      </c>
      <c r="C53" s="127" t="str">
        <f>VLOOKUP(B53,'[2]TS TA-504'!B41:C346,2,0)</f>
        <v>DA-3</v>
      </c>
      <c r="D53" s="89" t="s">
        <v>73</v>
      </c>
      <c r="E53" s="110">
        <v>30.22</v>
      </c>
      <c r="F53" s="110">
        <v>1.4496000000000002</v>
      </c>
      <c r="G53" s="400"/>
      <c r="H53" s="150"/>
      <c r="I53" s="109">
        <v>45612</v>
      </c>
      <c r="J53" s="109">
        <f>+I53+1+2</f>
        <v>45615</v>
      </c>
      <c r="K53" s="109">
        <f t="shared" si="24"/>
        <v>45616</v>
      </c>
      <c r="L53" s="109">
        <f t="shared" si="25"/>
        <v>45618</v>
      </c>
      <c r="M53" s="109">
        <f t="shared" si="5"/>
        <v>45619</v>
      </c>
      <c r="N53" s="109">
        <f t="shared" si="26"/>
        <v>45621</v>
      </c>
      <c r="O53" s="109">
        <f t="shared" si="7"/>
        <v>45622</v>
      </c>
      <c r="P53" s="109">
        <f t="shared" si="8"/>
        <v>45623</v>
      </c>
      <c r="Q53" s="90">
        <v>629904.96199999994</v>
      </c>
      <c r="R53" s="128"/>
      <c r="S53" s="135"/>
      <c r="T53" s="128"/>
      <c r="U53" s="136"/>
      <c r="V53" s="136"/>
      <c r="W53" s="136"/>
      <c r="X53" s="136"/>
      <c r="Y53" s="136"/>
      <c r="Z53" s="130">
        <f t="shared" si="9"/>
        <v>0</v>
      </c>
      <c r="AA53" s="128"/>
      <c r="AB53" s="131">
        <f t="shared" si="19"/>
        <v>0</v>
      </c>
      <c r="AC53" s="131">
        <f t="shared" si="19"/>
        <v>0</v>
      </c>
      <c r="AD53" s="131">
        <f t="shared" si="19"/>
        <v>0</v>
      </c>
      <c r="AE53" s="131">
        <f t="shared" si="19"/>
        <v>0</v>
      </c>
      <c r="AF53" s="131">
        <f t="shared" si="19"/>
        <v>0</v>
      </c>
      <c r="AG53" s="134">
        <f t="shared" si="11"/>
        <v>0</v>
      </c>
      <c r="AH53" s="133">
        <f t="shared" si="12"/>
        <v>629904.96199999994</v>
      </c>
    </row>
    <row r="54" spans="1:34" ht="15" customHeight="1" x14ac:dyDescent="0.35">
      <c r="A54" s="79">
        <f t="shared" si="13"/>
        <v>34</v>
      </c>
      <c r="B54" s="127" t="s">
        <v>101</v>
      </c>
      <c r="C54" s="127" t="str">
        <f>VLOOKUP(B54,'[2]TS TA-504'!B41:C346,2,0)</f>
        <v>DA+0</v>
      </c>
      <c r="D54" s="89" t="s">
        <v>73</v>
      </c>
      <c r="E54" s="110">
        <v>30.22</v>
      </c>
      <c r="F54" s="110">
        <v>1.4496000000000002</v>
      </c>
      <c r="G54" s="400"/>
      <c r="H54" s="123"/>
      <c r="I54" s="109">
        <f>1+J53</f>
        <v>45616</v>
      </c>
      <c r="J54" s="109">
        <f>+I54+1</f>
        <v>45617</v>
      </c>
      <c r="K54" s="109">
        <f t="shared" si="24"/>
        <v>45618</v>
      </c>
      <c r="L54" s="109">
        <f t="shared" si="25"/>
        <v>45620</v>
      </c>
      <c r="M54" s="109">
        <f t="shared" si="5"/>
        <v>45621</v>
      </c>
      <c r="N54" s="109">
        <f t="shared" si="26"/>
        <v>45623</v>
      </c>
      <c r="O54" s="109">
        <f t="shared" si="7"/>
        <v>45624</v>
      </c>
      <c r="P54" s="109">
        <f t="shared" si="8"/>
        <v>45625</v>
      </c>
      <c r="Q54" s="90">
        <v>629904.96199999994</v>
      </c>
      <c r="R54" s="128"/>
      <c r="S54" s="135"/>
      <c r="T54" s="128"/>
      <c r="U54" s="136"/>
      <c r="V54" s="136"/>
      <c r="W54" s="136"/>
      <c r="X54" s="136"/>
      <c r="Y54" s="136"/>
      <c r="Z54" s="130">
        <f t="shared" si="9"/>
        <v>0</v>
      </c>
      <c r="AA54" s="128"/>
      <c r="AB54" s="131">
        <f t="shared" si="19"/>
        <v>0</v>
      </c>
      <c r="AC54" s="131">
        <f t="shared" si="19"/>
        <v>0</v>
      </c>
      <c r="AD54" s="131">
        <f t="shared" si="19"/>
        <v>0</v>
      </c>
      <c r="AE54" s="131">
        <f t="shared" si="19"/>
        <v>0</v>
      </c>
      <c r="AF54" s="131">
        <f t="shared" si="19"/>
        <v>0</v>
      </c>
      <c r="AG54" s="134">
        <f t="shared" si="11"/>
        <v>0</v>
      </c>
      <c r="AH54" s="133">
        <f t="shared" si="12"/>
        <v>629904.96199999994</v>
      </c>
    </row>
    <row r="55" spans="1:34" ht="15" customHeight="1" x14ac:dyDescent="0.35">
      <c r="A55" s="79">
        <f t="shared" si="13"/>
        <v>35</v>
      </c>
      <c r="B55" s="127" t="s">
        <v>102</v>
      </c>
      <c r="C55" s="127" t="str">
        <f>VLOOKUP(B55,'[2]TS TA-504'!B42:C347,2,0)</f>
        <v>DA+3</v>
      </c>
      <c r="D55" s="89" t="s">
        <v>73</v>
      </c>
      <c r="E55" s="89">
        <v>34.29</v>
      </c>
      <c r="F55" s="89">
        <v>1.802</v>
      </c>
      <c r="G55" s="401"/>
      <c r="H55" s="124"/>
      <c r="I55" s="109">
        <f>1+J54</f>
        <v>45618</v>
      </c>
      <c r="J55" s="109">
        <f>+I55+1</f>
        <v>45619</v>
      </c>
      <c r="K55" s="109">
        <f t="shared" si="24"/>
        <v>45620</v>
      </c>
      <c r="L55" s="109">
        <f t="shared" si="25"/>
        <v>45622</v>
      </c>
      <c r="M55" s="109">
        <f t="shared" si="5"/>
        <v>45623</v>
      </c>
      <c r="N55" s="109">
        <f t="shared" si="26"/>
        <v>45625</v>
      </c>
      <c r="O55" s="109">
        <f t="shared" si="7"/>
        <v>45626</v>
      </c>
      <c r="P55" s="109">
        <f t="shared" si="8"/>
        <v>45627</v>
      </c>
      <c r="Q55" s="90">
        <v>728174.95700000005</v>
      </c>
      <c r="R55" s="128"/>
      <c r="S55" s="135"/>
      <c r="T55" s="128"/>
      <c r="U55" s="136"/>
      <c r="V55" s="136"/>
      <c r="W55" s="136"/>
      <c r="X55" s="136"/>
      <c r="Y55" s="136"/>
      <c r="Z55" s="130">
        <f t="shared" si="9"/>
        <v>0</v>
      </c>
      <c r="AA55" s="128"/>
      <c r="AB55" s="131">
        <f t="shared" si="19"/>
        <v>0</v>
      </c>
      <c r="AC55" s="131">
        <f t="shared" si="19"/>
        <v>0</v>
      </c>
      <c r="AD55" s="131">
        <f t="shared" si="19"/>
        <v>0</v>
      </c>
      <c r="AE55" s="131">
        <f t="shared" si="19"/>
        <v>0</v>
      </c>
      <c r="AF55" s="131">
        <f t="shared" si="19"/>
        <v>0</v>
      </c>
      <c r="AG55" s="134">
        <f t="shared" si="11"/>
        <v>0</v>
      </c>
      <c r="AH55" s="133">
        <f t="shared" si="12"/>
        <v>728174.95700000005</v>
      </c>
    </row>
    <row r="56" spans="1:34" ht="15" customHeight="1" x14ac:dyDescent="0.35">
      <c r="A56" s="79">
        <f t="shared" si="13"/>
        <v>36</v>
      </c>
      <c r="B56" s="143" t="s">
        <v>112</v>
      </c>
      <c r="C56" s="144" t="str">
        <f>VLOOKUP(B56,'[2]TS TA-504'!B42:C347,2,0)</f>
        <v>DA+0</v>
      </c>
      <c r="D56" s="87" t="s">
        <v>73</v>
      </c>
      <c r="E56" s="112">
        <v>30.22</v>
      </c>
      <c r="F56" s="112">
        <v>1.4496000000000002</v>
      </c>
      <c r="G56" s="391" t="s">
        <v>118</v>
      </c>
      <c r="H56" s="150"/>
      <c r="I56" s="111">
        <v>45597</v>
      </c>
      <c r="J56" s="111">
        <f>+I56+2</f>
        <v>45599</v>
      </c>
      <c r="K56" s="111">
        <f t="shared" si="24"/>
        <v>45600</v>
      </c>
      <c r="L56" s="111">
        <f>+K56+1</f>
        <v>45601</v>
      </c>
      <c r="M56" s="111">
        <f t="shared" si="5"/>
        <v>45602</v>
      </c>
      <c r="N56" s="111">
        <f>M56+3</f>
        <v>45605</v>
      </c>
      <c r="O56" s="111">
        <f t="shared" si="7"/>
        <v>45606</v>
      </c>
      <c r="P56" s="111">
        <f t="shared" si="8"/>
        <v>45607</v>
      </c>
      <c r="Q56" s="90">
        <v>629904.96199999994</v>
      </c>
      <c r="R56" s="128"/>
      <c r="S56" s="135"/>
      <c r="T56" s="128"/>
      <c r="U56" s="136"/>
      <c r="V56" s="136"/>
      <c r="W56" s="136"/>
      <c r="X56" s="136"/>
      <c r="Y56" s="136"/>
      <c r="Z56" s="130">
        <f t="shared" si="9"/>
        <v>0</v>
      </c>
      <c r="AA56" s="128"/>
      <c r="AB56" s="131">
        <f t="shared" si="19"/>
        <v>0</v>
      </c>
      <c r="AC56" s="131">
        <f t="shared" si="19"/>
        <v>0</v>
      </c>
      <c r="AD56" s="131">
        <f t="shared" si="19"/>
        <v>0</v>
      </c>
      <c r="AE56" s="131">
        <f t="shared" si="19"/>
        <v>0</v>
      </c>
      <c r="AF56" s="131">
        <f t="shared" si="19"/>
        <v>0</v>
      </c>
      <c r="AG56" s="134">
        <f t="shared" si="11"/>
        <v>0</v>
      </c>
      <c r="AH56" s="133">
        <f t="shared" si="12"/>
        <v>629904.96199999994</v>
      </c>
    </row>
    <row r="57" spans="1:34" ht="20.149999999999999" customHeight="1" x14ac:dyDescent="0.35">
      <c r="A57" s="79">
        <f t="shared" si="13"/>
        <v>37</v>
      </c>
      <c r="B57" s="144" t="s">
        <v>110</v>
      </c>
      <c r="C57" s="144" t="str">
        <f>VLOOKUP(B57,'[2]TS TA-504'!B43:C348,2,0)</f>
        <v>DA+0</v>
      </c>
      <c r="D57" s="87" t="s">
        <v>73</v>
      </c>
      <c r="E57" s="112">
        <v>30.22</v>
      </c>
      <c r="F57" s="112">
        <v>1.4496000000000002</v>
      </c>
      <c r="G57" s="392"/>
      <c r="H57" s="150"/>
      <c r="I57" s="111">
        <f>1+J56</f>
        <v>45600</v>
      </c>
      <c r="J57" s="111">
        <f t="shared" ref="J57:J60" si="27">+I57+2</f>
        <v>45602</v>
      </c>
      <c r="K57" s="111">
        <f t="shared" si="24"/>
        <v>45603</v>
      </c>
      <c r="L57" s="111">
        <f>+K57+2</f>
        <v>45605</v>
      </c>
      <c r="M57" s="111">
        <f t="shared" si="5"/>
        <v>45606</v>
      </c>
      <c r="N57" s="111">
        <f t="shared" ref="N57:N60" si="28">M57+3</f>
        <v>45609</v>
      </c>
      <c r="O57" s="111">
        <f t="shared" si="7"/>
        <v>45610</v>
      </c>
      <c r="P57" s="111">
        <f t="shared" si="8"/>
        <v>45611</v>
      </c>
      <c r="Q57" s="90">
        <v>629904.96199999994</v>
      </c>
      <c r="R57" s="128"/>
      <c r="S57" s="129"/>
      <c r="T57" s="128"/>
      <c r="U57" s="130"/>
      <c r="V57" s="130"/>
      <c r="W57" s="130"/>
      <c r="X57" s="130"/>
      <c r="Y57" s="130"/>
      <c r="Z57" s="130">
        <f t="shared" si="9"/>
        <v>0</v>
      </c>
      <c r="AA57" s="128"/>
      <c r="AB57" s="131">
        <f t="shared" ref="AB57:AF61" si="29">$Q57*U57</f>
        <v>0</v>
      </c>
      <c r="AC57" s="131">
        <f t="shared" si="29"/>
        <v>0</v>
      </c>
      <c r="AD57" s="131">
        <f t="shared" si="29"/>
        <v>0</v>
      </c>
      <c r="AE57" s="131">
        <f t="shared" si="29"/>
        <v>0</v>
      </c>
      <c r="AF57" s="131">
        <f t="shared" si="29"/>
        <v>0</v>
      </c>
      <c r="AG57" s="134">
        <f t="shared" si="11"/>
        <v>0</v>
      </c>
      <c r="AH57" s="133">
        <f t="shared" si="12"/>
        <v>629904.96199999994</v>
      </c>
    </row>
    <row r="58" spans="1:34" ht="15" customHeight="1" x14ac:dyDescent="0.35">
      <c r="A58" s="79">
        <f t="shared" si="13"/>
        <v>38</v>
      </c>
      <c r="B58" s="144" t="s">
        <v>111</v>
      </c>
      <c r="C58" s="144" t="str">
        <f>VLOOKUP(B58,'[2]TS TA-504'!B44:C349,2,0)</f>
        <v>DA+3</v>
      </c>
      <c r="D58" s="87" t="s">
        <v>73</v>
      </c>
      <c r="E58" s="87">
        <v>34.29</v>
      </c>
      <c r="F58" s="87">
        <v>1.802</v>
      </c>
      <c r="G58" s="392"/>
      <c r="H58" s="150">
        <v>12</v>
      </c>
      <c r="I58" s="111">
        <f>+J57+1</f>
        <v>45603</v>
      </c>
      <c r="J58" s="111">
        <f t="shared" si="27"/>
        <v>45605</v>
      </c>
      <c r="K58" s="111">
        <f t="shared" si="24"/>
        <v>45606</v>
      </c>
      <c r="L58" s="111">
        <f>+K58+2</f>
        <v>45608</v>
      </c>
      <c r="M58" s="111">
        <f t="shared" si="5"/>
        <v>45609</v>
      </c>
      <c r="N58" s="111">
        <f t="shared" si="28"/>
        <v>45612</v>
      </c>
      <c r="O58" s="111">
        <f t="shared" si="7"/>
        <v>45613</v>
      </c>
      <c r="P58" s="111">
        <f t="shared" si="8"/>
        <v>45614</v>
      </c>
      <c r="Q58" s="90">
        <v>728174.95700000005</v>
      </c>
      <c r="R58" s="128"/>
      <c r="S58" s="129"/>
      <c r="T58" s="128"/>
      <c r="U58" s="152"/>
      <c r="V58" s="152"/>
      <c r="W58" s="152"/>
      <c r="X58" s="152"/>
      <c r="Y58" s="152"/>
      <c r="Z58" s="130">
        <f t="shared" si="9"/>
        <v>0</v>
      </c>
      <c r="AA58" s="128"/>
      <c r="AB58" s="131">
        <f t="shared" si="29"/>
        <v>0</v>
      </c>
      <c r="AC58" s="131">
        <f t="shared" si="29"/>
        <v>0</v>
      </c>
      <c r="AD58" s="131">
        <f t="shared" si="29"/>
        <v>0</v>
      </c>
      <c r="AE58" s="131">
        <f t="shared" si="29"/>
        <v>0</v>
      </c>
      <c r="AF58" s="131">
        <f t="shared" si="29"/>
        <v>0</v>
      </c>
      <c r="AG58" s="134">
        <f t="shared" si="11"/>
        <v>0</v>
      </c>
      <c r="AH58" s="133">
        <f t="shared" si="12"/>
        <v>728174.95700000005</v>
      </c>
    </row>
    <row r="59" spans="1:34" ht="15" customHeight="1" x14ac:dyDescent="0.35">
      <c r="A59" s="79">
        <f t="shared" si="13"/>
        <v>39</v>
      </c>
      <c r="B59" s="143" t="s">
        <v>113</v>
      </c>
      <c r="C59" s="144" t="str">
        <f>VLOOKUP(B59,'[2]TS TA-504'!B45:C350,2,0)</f>
        <v>DA+0</v>
      </c>
      <c r="D59" s="87" t="s">
        <v>73</v>
      </c>
      <c r="E59" s="112">
        <v>30.22</v>
      </c>
      <c r="F59" s="112">
        <v>1.4496000000000002</v>
      </c>
      <c r="G59" s="392"/>
      <c r="H59" s="150"/>
      <c r="I59" s="111">
        <v>45612</v>
      </c>
      <c r="J59" s="111">
        <f t="shared" si="27"/>
        <v>45614</v>
      </c>
      <c r="K59" s="111">
        <f t="shared" si="24"/>
        <v>45615</v>
      </c>
      <c r="L59" s="111">
        <f>+K59+2</f>
        <v>45617</v>
      </c>
      <c r="M59" s="111">
        <f t="shared" si="5"/>
        <v>45618</v>
      </c>
      <c r="N59" s="111">
        <f t="shared" si="28"/>
        <v>45621</v>
      </c>
      <c r="O59" s="111">
        <f t="shared" si="7"/>
        <v>45622</v>
      </c>
      <c r="P59" s="111">
        <f t="shared" si="8"/>
        <v>45623</v>
      </c>
      <c r="Q59" s="90">
        <v>629904.96199999994</v>
      </c>
      <c r="R59" s="128"/>
      <c r="S59" s="153"/>
      <c r="T59" s="128"/>
      <c r="U59" s="153"/>
      <c r="V59" s="153"/>
      <c r="W59" s="153"/>
      <c r="X59" s="153"/>
      <c r="Y59" s="153"/>
      <c r="Z59" s="130">
        <f t="shared" si="9"/>
        <v>0</v>
      </c>
      <c r="AA59" s="128"/>
      <c r="AB59" s="131">
        <f t="shared" si="29"/>
        <v>0</v>
      </c>
      <c r="AC59" s="131">
        <f t="shared" si="29"/>
        <v>0</v>
      </c>
      <c r="AD59" s="131">
        <f t="shared" si="29"/>
        <v>0</v>
      </c>
      <c r="AE59" s="131">
        <f t="shared" si="29"/>
        <v>0</v>
      </c>
      <c r="AF59" s="131">
        <f t="shared" si="29"/>
        <v>0</v>
      </c>
      <c r="AG59" s="134">
        <f t="shared" si="11"/>
        <v>0</v>
      </c>
      <c r="AH59" s="133">
        <f t="shared" si="12"/>
        <v>629904.96199999994</v>
      </c>
    </row>
    <row r="60" spans="1:34" ht="15" customHeight="1" x14ac:dyDescent="0.35">
      <c r="A60" s="79">
        <f t="shared" si="13"/>
        <v>40</v>
      </c>
      <c r="B60" s="154" t="s">
        <v>114</v>
      </c>
      <c r="C60" s="144" t="str">
        <f>VLOOKUP(B60,'[2]TS TA-504'!B46:C351,2,0)</f>
        <v>DA+0</v>
      </c>
      <c r="D60" s="87" t="s">
        <v>73</v>
      </c>
      <c r="E60" s="112">
        <v>30.22</v>
      </c>
      <c r="F60" s="112">
        <v>1.4496000000000002</v>
      </c>
      <c r="G60" s="392"/>
      <c r="H60" s="150"/>
      <c r="I60" s="111">
        <v>45615</v>
      </c>
      <c r="J60" s="111">
        <f t="shared" si="27"/>
        <v>45617</v>
      </c>
      <c r="K60" s="111">
        <f t="shared" si="24"/>
        <v>45618</v>
      </c>
      <c r="L60" s="111">
        <f>+K60+2</f>
        <v>45620</v>
      </c>
      <c r="M60" s="111">
        <f t="shared" si="5"/>
        <v>45621</v>
      </c>
      <c r="N60" s="111">
        <f t="shared" si="28"/>
        <v>45624</v>
      </c>
      <c r="O60" s="111">
        <f t="shared" si="7"/>
        <v>45625</v>
      </c>
      <c r="P60" s="111">
        <f t="shared" si="8"/>
        <v>45626</v>
      </c>
      <c r="Q60" s="90">
        <v>629904.96199999994</v>
      </c>
      <c r="R60" s="128"/>
      <c r="S60" s="153"/>
      <c r="T60" s="128"/>
      <c r="U60" s="153"/>
      <c r="V60" s="153"/>
      <c r="W60" s="153"/>
      <c r="X60" s="153"/>
      <c r="Y60" s="153"/>
      <c r="Z60" s="130">
        <f t="shared" si="9"/>
        <v>0</v>
      </c>
      <c r="AA60" s="128"/>
      <c r="AB60" s="131">
        <f t="shared" si="29"/>
        <v>0</v>
      </c>
      <c r="AC60" s="131">
        <f t="shared" si="29"/>
        <v>0</v>
      </c>
      <c r="AD60" s="131">
        <f t="shared" si="29"/>
        <v>0</v>
      </c>
      <c r="AE60" s="131">
        <f t="shared" si="29"/>
        <v>0</v>
      </c>
      <c r="AF60" s="131">
        <f t="shared" si="29"/>
        <v>0</v>
      </c>
      <c r="AG60" s="134">
        <f t="shared" si="11"/>
        <v>0</v>
      </c>
      <c r="AH60" s="133">
        <f t="shared" si="12"/>
        <v>629904.96199999994</v>
      </c>
    </row>
    <row r="61" spans="1:34" s="91" customFormat="1" x14ac:dyDescent="0.35">
      <c r="A61" s="89"/>
      <c r="B61" s="155"/>
      <c r="C61" s="89"/>
      <c r="D61" s="89"/>
      <c r="E61" s="156">
        <f>SUM(E21:E60)</f>
        <v>1277.99</v>
      </c>
      <c r="F61" s="156">
        <f>SUM(F21:F60)</f>
        <v>63.974800000000002</v>
      </c>
      <c r="G61" s="89"/>
      <c r="H61" s="125">
        <f>+H58+H50+H43+H36+H29+H23</f>
        <v>109</v>
      </c>
      <c r="I61" s="151"/>
      <c r="J61" s="151"/>
      <c r="K61" s="151"/>
      <c r="L61" s="151"/>
      <c r="M61" s="151"/>
      <c r="N61" s="151"/>
      <c r="O61" s="151"/>
      <c r="P61" s="151"/>
      <c r="Q61" s="157">
        <f>SUM(Q21:Q60)</f>
        <v>27161598.380000003</v>
      </c>
      <c r="R61" s="122"/>
      <c r="S61" s="151"/>
      <c r="T61" s="122"/>
      <c r="U61" s="158">
        <f t="shared" ref="U61:Z61" si="30">SUM(U21:U58)</f>
        <v>0</v>
      </c>
      <c r="V61" s="158">
        <f t="shared" si="30"/>
        <v>0</v>
      </c>
      <c r="W61" s="158">
        <f t="shared" si="30"/>
        <v>0</v>
      </c>
      <c r="X61" s="158">
        <f t="shared" si="30"/>
        <v>0</v>
      </c>
      <c r="Y61" s="158">
        <f t="shared" si="30"/>
        <v>0</v>
      </c>
      <c r="Z61" s="158">
        <f t="shared" si="30"/>
        <v>0</v>
      </c>
      <c r="AA61" s="122"/>
      <c r="AB61" s="140">
        <f t="shared" si="29"/>
        <v>0</v>
      </c>
      <c r="AC61" s="140">
        <f t="shared" si="29"/>
        <v>0</v>
      </c>
      <c r="AD61" s="140">
        <f t="shared" si="29"/>
        <v>0</v>
      </c>
      <c r="AE61" s="140">
        <f t="shared" si="29"/>
        <v>0</v>
      </c>
      <c r="AF61" s="140">
        <f t="shared" si="29"/>
        <v>0</v>
      </c>
      <c r="AG61" s="141">
        <f t="shared" si="11"/>
        <v>0</v>
      </c>
      <c r="AH61" s="142">
        <f t="shared" si="12"/>
        <v>27161598.380000003</v>
      </c>
    </row>
    <row r="62" spans="1:34" s="91" customFormat="1" x14ac:dyDescent="0.35">
      <c r="A62" s="93"/>
      <c r="B62" s="86"/>
      <c r="C62" s="88"/>
      <c r="D62" s="88"/>
      <c r="E62" s="98"/>
      <c r="F62" s="93"/>
      <c r="G62" s="93"/>
      <c r="H62" s="93"/>
      <c r="Q62" s="94"/>
    </row>
    <row r="63" spans="1:34" s="91" customFormat="1" x14ac:dyDescent="0.35">
      <c r="A63" s="93"/>
      <c r="B63" s="86"/>
      <c r="C63" s="88"/>
      <c r="D63" s="88"/>
      <c r="E63" s="95"/>
      <c r="F63" s="95"/>
      <c r="G63" s="95"/>
      <c r="H63" s="95"/>
      <c r="I63" s="96"/>
      <c r="J63" s="96"/>
      <c r="K63" s="96"/>
      <c r="Q63" s="97"/>
    </row>
    <row r="64" spans="1:34" s="91" customFormat="1" x14ac:dyDescent="0.35">
      <c r="A64" s="93"/>
      <c r="B64" s="86"/>
      <c r="C64" s="88"/>
      <c r="D64" s="88"/>
      <c r="E64" s="95"/>
      <c r="F64" s="95"/>
      <c r="G64" s="95"/>
      <c r="H64" s="95"/>
      <c r="I64" s="96"/>
      <c r="J64" s="96"/>
      <c r="K64" s="96"/>
      <c r="Q64" s="97"/>
    </row>
    <row r="65" spans="1:8" s="91" customFormat="1" x14ac:dyDescent="0.35">
      <c r="A65" s="93"/>
      <c r="B65" s="86"/>
      <c r="C65" s="88"/>
      <c r="D65" s="88"/>
      <c r="E65" s="93"/>
      <c r="F65" s="93"/>
      <c r="G65" s="93"/>
      <c r="H65" s="93"/>
    </row>
    <row r="66" spans="1:8" s="91" customFormat="1" x14ac:dyDescent="0.35">
      <c r="A66" s="93"/>
      <c r="B66" s="86"/>
      <c r="C66" s="88"/>
      <c r="D66" s="88"/>
      <c r="E66" s="93"/>
      <c r="F66" s="93"/>
      <c r="G66" s="93"/>
      <c r="H66" s="93"/>
    </row>
    <row r="67" spans="1:8" s="91" customFormat="1" x14ac:dyDescent="0.35">
      <c r="A67" s="93"/>
      <c r="B67" s="81"/>
      <c r="D67" s="93"/>
      <c r="E67" s="93"/>
      <c r="F67" s="93"/>
      <c r="G67" s="93"/>
      <c r="H67" s="93"/>
    </row>
    <row r="68" spans="1:8" s="91" customFormat="1" x14ac:dyDescent="0.35">
      <c r="A68" s="93"/>
      <c r="B68" s="81"/>
      <c r="D68" s="93"/>
      <c r="E68" s="93"/>
      <c r="F68" s="93"/>
      <c r="G68" s="93"/>
      <c r="H68" s="93"/>
    </row>
    <row r="69" spans="1:8" s="91" customFormat="1" x14ac:dyDescent="0.35">
      <c r="A69" s="93"/>
      <c r="B69" s="80"/>
      <c r="D69" s="93"/>
      <c r="E69" s="93"/>
      <c r="F69" s="93"/>
      <c r="G69" s="93"/>
      <c r="H69" s="93"/>
    </row>
    <row r="70" spans="1:8" s="91" customFormat="1" x14ac:dyDescent="0.35">
      <c r="A70" s="93"/>
      <c r="B70" s="81"/>
      <c r="D70" s="93"/>
      <c r="E70" s="93"/>
      <c r="F70" s="93"/>
      <c r="G70" s="93"/>
      <c r="H70" s="93"/>
    </row>
    <row r="71" spans="1:8" s="91" customFormat="1" x14ac:dyDescent="0.35">
      <c r="A71" s="93"/>
      <c r="B71" s="81"/>
      <c r="D71" s="93"/>
      <c r="E71" s="93"/>
      <c r="F71" s="93"/>
      <c r="G71" s="93"/>
      <c r="H71" s="93"/>
    </row>
    <row r="72" spans="1:8" s="91" customFormat="1" x14ac:dyDescent="0.35">
      <c r="A72" s="93"/>
      <c r="B72" s="81"/>
      <c r="D72" s="93"/>
      <c r="E72" s="93"/>
      <c r="F72" s="93">
        <f>35-22</f>
        <v>13</v>
      </c>
      <c r="G72" s="93">
        <f>40</f>
        <v>40</v>
      </c>
      <c r="H72" s="93"/>
    </row>
    <row r="73" spans="1:8" s="91" customFormat="1" x14ac:dyDescent="0.35">
      <c r="A73" s="93"/>
      <c r="B73" s="80"/>
      <c r="D73" s="93"/>
      <c r="E73" s="93"/>
      <c r="F73" s="93"/>
      <c r="G73" s="93"/>
      <c r="H73" s="93"/>
    </row>
    <row r="74" spans="1:8" s="91" customFormat="1" x14ac:dyDescent="0.35">
      <c r="A74" s="93"/>
      <c r="B74" s="81"/>
      <c r="D74" s="93"/>
      <c r="E74" s="93"/>
      <c r="F74" s="93"/>
      <c r="G74" s="93"/>
      <c r="H74" s="93"/>
    </row>
    <row r="75" spans="1:8" s="91" customFormat="1" x14ac:dyDescent="0.35">
      <c r="A75" s="93"/>
      <c r="B75" s="81"/>
      <c r="D75" s="93"/>
      <c r="E75" s="93"/>
      <c r="F75" s="93"/>
      <c r="G75" s="93"/>
      <c r="H75" s="93"/>
    </row>
    <row r="76" spans="1:8" s="91" customFormat="1" x14ac:dyDescent="0.35">
      <c r="A76" s="93"/>
      <c r="B76" s="82"/>
      <c r="D76" s="93"/>
      <c r="E76" s="93"/>
      <c r="F76" s="93"/>
      <c r="G76" s="93"/>
      <c r="H76" s="93"/>
    </row>
    <row r="77" spans="1:8" s="91" customFormat="1" x14ac:dyDescent="0.35">
      <c r="A77" s="93"/>
      <c r="B77" s="81"/>
      <c r="D77" s="93"/>
      <c r="E77" s="93"/>
      <c r="F77" s="93"/>
      <c r="G77" s="93"/>
      <c r="H77" s="93"/>
    </row>
    <row r="78" spans="1:8" s="91" customFormat="1" x14ac:dyDescent="0.35">
      <c r="A78" s="93"/>
      <c r="B78" s="82"/>
      <c r="D78" s="93"/>
      <c r="E78" s="93"/>
      <c r="F78" s="93"/>
      <c r="G78" s="93"/>
      <c r="H78" s="93"/>
    </row>
    <row r="79" spans="1:8" s="91" customFormat="1" x14ac:dyDescent="0.35">
      <c r="A79" s="93"/>
      <c r="B79" s="81"/>
      <c r="D79" s="93"/>
      <c r="E79" s="93"/>
      <c r="F79" s="93"/>
      <c r="G79" s="93"/>
      <c r="H79" s="93"/>
    </row>
    <row r="80" spans="1:8" s="91" customFormat="1" x14ac:dyDescent="0.35">
      <c r="A80" s="93"/>
      <c r="B80" s="83"/>
      <c r="D80" s="93"/>
      <c r="E80" s="93"/>
      <c r="F80" s="93"/>
      <c r="G80" s="93"/>
      <c r="H80" s="93"/>
    </row>
    <row r="81" spans="1:8" s="91" customFormat="1" x14ac:dyDescent="0.35">
      <c r="A81" s="93"/>
      <c r="B81" s="81"/>
      <c r="D81" s="93"/>
      <c r="E81" s="93"/>
      <c r="F81" s="93"/>
      <c r="G81" s="93"/>
      <c r="H81" s="93"/>
    </row>
    <row r="82" spans="1:8" s="91" customFormat="1" x14ac:dyDescent="0.35">
      <c r="A82" s="93"/>
      <c r="B82" s="84"/>
      <c r="D82" s="93"/>
      <c r="E82" s="93"/>
      <c r="F82" s="93"/>
      <c r="G82" s="93"/>
      <c r="H82" s="93"/>
    </row>
    <row r="83" spans="1:8" x14ac:dyDescent="0.35">
      <c r="B83" s="81"/>
    </row>
    <row r="84" spans="1:8" x14ac:dyDescent="0.35">
      <c r="B84" s="85"/>
    </row>
    <row r="85" spans="1:8" x14ac:dyDescent="0.35">
      <c r="B85" s="86"/>
    </row>
    <row r="86" spans="1:8" x14ac:dyDescent="0.35">
      <c r="B86" s="85"/>
    </row>
    <row r="87" spans="1:8" x14ac:dyDescent="0.35">
      <c r="B87" s="85"/>
    </row>
    <row r="88" spans="1:8" x14ac:dyDescent="0.35">
      <c r="B88" s="86"/>
    </row>
  </sheetData>
  <autoFilter ref="A20:AH61" xr:uid="{00000000-0009-0000-0000-000000000000}"/>
  <mergeCells count="34">
    <mergeCell ref="G56:G60"/>
    <mergeCell ref="G27:G31"/>
    <mergeCell ref="G32:G40"/>
    <mergeCell ref="G41:G46"/>
    <mergeCell ref="G47:G55"/>
    <mergeCell ref="AH18:AH19"/>
    <mergeCell ref="AB19:AB20"/>
    <mergeCell ref="AC19:AC20"/>
    <mergeCell ref="AD19:AD20"/>
    <mergeCell ref="AE19:AE20"/>
    <mergeCell ref="AF19:AF20"/>
    <mergeCell ref="AB18:AG18"/>
    <mergeCell ref="Q18:Q19"/>
    <mergeCell ref="P19:P20"/>
    <mergeCell ref="I19:J19"/>
    <mergeCell ref="K19:L19"/>
    <mergeCell ref="I18:P18"/>
    <mergeCell ref="O19:O20"/>
    <mergeCell ref="M19:N19"/>
    <mergeCell ref="S18:S19"/>
    <mergeCell ref="U18:Z18"/>
    <mergeCell ref="U19:U20"/>
    <mergeCell ref="V19:V20"/>
    <mergeCell ref="W19:W20"/>
    <mergeCell ref="X19:X20"/>
    <mergeCell ref="Y19:Y20"/>
    <mergeCell ref="G21:G26"/>
    <mergeCell ref="F18:F20"/>
    <mergeCell ref="G18:G20"/>
    <mergeCell ref="A18:A20"/>
    <mergeCell ref="B18:B20"/>
    <mergeCell ref="C18:C20"/>
    <mergeCell ref="D18:D20"/>
    <mergeCell ref="E18:E20"/>
  </mergeCells>
  <phoneticPr fontId="8" type="noConversion"/>
  <conditionalFormatting sqref="B21:B23 B25:B46 B49:B57">
    <cfRule type="expression" dxfId="69" priority="23" stopIfTrue="1">
      <formula>AND(COUNTIF($C$2:$C$65358, B21)+COUNTIF(#REF!, B21)&gt;1,NOT(ISBLANK(B21)))</formula>
    </cfRule>
  </conditionalFormatting>
  <conditionalFormatting sqref="B21:B23 B25:B60">
    <cfRule type="expression" dxfId="68" priority="28" stopIfTrue="1">
      <formula>AND(COUNTIF(#REF!, B21)+COUNTIF($B$1:$B$23, B21)+COUNTIF($B$25:$B$60, B21)&gt;1,NOT(ISBLANK(B21)))</formula>
    </cfRule>
  </conditionalFormatting>
  <conditionalFormatting sqref="B21:B60">
    <cfRule type="expression" dxfId="67" priority="27" stopIfTrue="1">
      <formula>AND(COUNTIF(#REF!, B21)+COUNTIF($B$1:$B$60, B21)&gt;1,NOT(ISBLANK(B21)))</formula>
    </cfRule>
  </conditionalFormatting>
  <conditionalFormatting sqref="B21:B61">
    <cfRule type="duplicateValues" dxfId="66" priority="1" stopIfTrue="1"/>
  </conditionalFormatting>
  <conditionalFormatting sqref="B24">
    <cfRule type="duplicateValues" dxfId="65" priority="2"/>
    <cfRule type="duplicateValues" dxfId="64" priority="3"/>
    <cfRule type="duplicateValues" dxfId="63" priority="4"/>
  </conditionalFormatting>
  <conditionalFormatting sqref="B25:B46 B21:B23 B49:B57">
    <cfRule type="expression" dxfId="62" priority="22" stopIfTrue="1">
      <formula>AND(COUNTIF($C$212:$C$65358, B21)+COUNTIF($C$192:$C$193, B21)+COUNTIF($C$154:$C$155, B21)+COUNTIF($C$112:$C$115, B21)+COUNTIF($C$89:$C$90, B21)+COUNTIF($C$62:$C$63, B21)+COUNTIF(#REF!, B21)+COUNTIF(#REF!, B21)+COUNTIF(#REF!, B21)+COUNTIF($C$27:$C$28, B21)+COUNTIF($C$11:$C$11, B21)+COUNTIF($C$5:$C$29, B21)+COUNTIF(#REF!, B21)+COUNTIF($C$2:$C$3, B21)&gt;1,NOT(ISBLANK(B21)))</formula>
    </cfRule>
  </conditionalFormatting>
  <conditionalFormatting sqref="B30:B31 B41:B43">
    <cfRule type="expression" dxfId="61" priority="30" stopIfTrue="1">
      <formula>AND(COUNTIF($E$2:$E$65362, B30)+COUNTIF(#REF!, B30)&gt;1,NOT(ISBLANK(B30)))</formula>
    </cfRule>
    <cfRule type="expression" dxfId="60" priority="31" stopIfTrue="1">
      <formula>AND(COUNTIF($E$260:$E$65362, B30)+COUNTIF($E$240:$E$241, B30)+COUNTIF($E$202:$E$203, B30)+COUNTIF($E$160:$E$163, B30)+COUNTIF($E$137:$E$138, B30)+COUNTIF($E$110:$E$111, B30)+COUNTIF($E$89:$E$89, B30)+COUNTIF($E$74:$E$75, B30)+COUNTIF(#REF!, B30)+COUNTIF(#REF!, B30)+COUNTIF(#REF!, B30)+COUNTIF($E$11:$E$38, B30)+COUNTIF(#REF!, B30)+COUNTIF($E$2:$E$38, B30)&gt;1,NOT(ISBLANK(B30)))</formula>
    </cfRule>
    <cfRule type="expression" dxfId="59" priority="32" stopIfTrue="1">
      <formula>AND(COUNTIF($E$2:$E$65352, B30)+COUNTIF(#REF!, B30)&gt;1,NOT(ISBLANK(B30)))</formula>
    </cfRule>
    <cfRule type="expression" dxfId="58" priority="33" stopIfTrue="1">
      <formula>AND(COUNTIF($E$250:$E$65352, B30)+COUNTIF($E$230:$E$231, B30)+COUNTIF($E$192:$E$193, B30)+COUNTIF($E$150:$E$153, B30)+COUNTIF($E$127:$E$128, B30)+COUNTIF($E$100:$E$101, B30)+COUNTIF($E$79:$E$79, B30)+COUNTIF(#REF!, B30)+COUNTIF(#REF!, B30)+COUNTIF($E$58:$E$61, B30)+COUNTIF(#REF!, B30)+COUNTIF($E$5:$E$28, B30)+COUNTIF(#REF!, B30)+COUNTIF($E$2:$E$4, B30)&gt;1,NOT(ISBLANK(B30)))</formula>
    </cfRule>
  </conditionalFormatting>
  <conditionalFormatting sqref="B31">
    <cfRule type="duplicateValues" dxfId="57" priority="8"/>
  </conditionalFormatting>
  <conditionalFormatting sqref="B32:B37 B41:B46">
    <cfRule type="expression" dxfId="56" priority="35" stopIfTrue="1">
      <formula>AND(COUNTIF($C$2:$C$65377, B32)+COUNTIF(#REF!, B32)&gt;1,NOT(ISBLANK(B32)))</formula>
    </cfRule>
  </conditionalFormatting>
  <conditionalFormatting sqref="B41:B46 B32:B37">
    <cfRule type="expression" dxfId="55" priority="34" stopIfTrue="1">
      <formula>AND(COUNTIF($C$231:$C$65377, B32)+COUNTIF($C$211:$C$212, B32)+COUNTIF($C$173:$C$174, B32)+COUNTIF($C$131:$C$134, B32)+COUNTIF($C$108:$C$109, B32)+COUNTIF($C$81:$C$82, B32)+COUNTIF(#REF!, B32)+COUNTIF(#REF!, B32)+COUNTIF(#REF!, B32)+COUNTIF(#REF!, B32)+COUNTIF($C$28:$C$28, B32)+COUNTIF($C$11:$C$11, B32)+COUNTIF($B$10:$B$24, B32)+COUNTIF($C$2:$C$10, B32)&gt;1,NOT(ISBLANK(B32)))</formula>
    </cfRule>
  </conditionalFormatting>
  <conditionalFormatting sqref="B49:B57 B21:B23 B25:B46">
    <cfRule type="expression" dxfId="54" priority="26" stopIfTrue="1">
      <formula>AND(COUNTIF($B$49:$B$57, B21)+COUNTIF($B$21:$B$23, B21)+COUNTIF($B$25:$B$46, B21)&gt;1,NOT(ISBLANK(B21)))</formula>
    </cfRule>
  </conditionalFormatting>
  <conditionalFormatting sqref="B49:B57">
    <cfRule type="expression" dxfId="53" priority="24" stopIfTrue="1">
      <formula>AND(COUNTIF($C$235:$C$65381, B49)+COUNTIF($C$215:$C$216, B49)+COUNTIF($C$177:$C$178, B49)+COUNTIF($C$135:$C$138, B49)+COUNTIF($C$112:$C$113, B49)+COUNTIF($C$85:$C$86, B49)+COUNTIF($C$64:$C$64, B49)+COUNTIF(#REF!, B49)+COUNTIF(#REF!, B49)+COUNTIF(#REF!, B49)+COUNTIF(#REF!, B49)+COUNTIF($C$6:$C$6, B49)+COUNTIF($B$8:$B$20, B49)+COUNTIF($C$1:$C$5, B49)&gt;1,NOT(ISBLANK(B49)))</formula>
    </cfRule>
    <cfRule type="expression" dxfId="52" priority="25" stopIfTrue="1">
      <formula>AND(COUNTIF($C$1:$C$65381, B49)+COUNTIF(#REF!, B49)&gt;1,NOT(ISBLANK(B49)))</formula>
    </cfRule>
  </conditionalFormatting>
  <conditionalFormatting sqref="B61">
    <cfRule type="duplicateValues" dxfId="51" priority="17"/>
    <cfRule type="duplicateValues" dxfId="50" priority="18"/>
    <cfRule type="duplicateValues" dxfId="49" priority="19"/>
    <cfRule type="duplicateValues" dxfId="48" priority="20"/>
    <cfRule type="duplicateValues" dxfId="47" priority="21"/>
  </conditionalFormatting>
  <conditionalFormatting sqref="B62:B66">
    <cfRule type="duplicateValues" dxfId="46" priority="122"/>
    <cfRule type="duplicateValues" dxfId="45" priority="123"/>
    <cfRule type="duplicateValues" dxfId="44" priority="124"/>
    <cfRule type="duplicateValues" dxfId="43" priority="125"/>
    <cfRule type="duplicateValues" dxfId="42" priority="126"/>
    <cfRule type="duplicateValues" dxfId="41" priority="127"/>
    <cfRule type="duplicateValues" dxfId="40" priority="4843"/>
  </conditionalFormatting>
  <conditionalFormatting sqref="B67:B1048576 B1:B20">
    <cfRule type="duplicateValues" dxfId="39" priority="136"/>
    <cfRule type="duplicateValues" dxfId="38" priority="161"/>
    <cfRule type="duplicateValues" dxfId="37" priority="170"/>
  </conditionalFormatting>
  <conditionalFormatting sqref="C21:C60">
    <cfRule type="expression" dxfId="36" priority="5" stopIfTrue="1">
      <formula>AND(COUNTIF(#REF!, C21)+COUNTIF(#REF!, C21)+COUNTIF(#REF!, C21)+COUNTIF(#REF!, C21)+COUNTIF(#REF!, C21)+COUNTIF(#REF!, C21)+COUNTIF(#REF!, C21)+COUNTIF(#REF!, C21)+COUNTIF(#REF!, C21)+COUNTIF(#REF!, C21)+COUNTIF(#REF!, C21)+COUNTIF(#REF!, C21)+COUNTIF(#REF!, C21)+COUNTIF(#REF!, C21)+COUNTIF(#REF!, C21)&gt;1,NOT(ISBLANK(C21)))</formula>
    </cfRule>
    <cfRule type="expression" dxfId="35" priority="6" stopIfTrue="1">
      <formula>AND(COUNTIF(#REF!, C21)+COUNTIF(#REF!, C21)+COUNTIF(#REF!, C21)+COUNTIF(#REF!, C21)+COUNTIF(#REF!, C21)+COUNTIF(#REF!, C21)+COUNTIF(#REF!, C21)+COUNTIF(#REF!, C21)+COUNTIF(#REF!, C21)+COUNTIF(#REF!, C21)+COUNTIF(#REF!, C21)+COUNTIF(#REF!, C21)+COUNTIF(#REF!, C21)+COUNTIF(#REF!, C21)&gt;1,NOT(ISBLANK(C21)))</formula>
    </cfRule>
    <cfRule type="expression" dxfId="34" priority="7" stopIfTrue="1">
      <formula>AND(COUNTIF(#REF!, C21)+COUNTIF(#REF!, C21)+COUNTIF(#REF!, C21)+COUNTIF(#REF!, C21)+COUNTIF(#REF!, C21)+COUNTIF(#REF!, C21)+COUNTIF(#REF!, C21)+COUNTIF(#REF!, C21)+COUNTIF(#REF!, C21)+COUNTIF(#REF!, C21)+COUNTIF(#REF!, C21)+COUNTIF(#REF!, C21)+COUNTIF(#REF!, C21)&gt;1,NOT(ISBLANK(C21)))</formula>
    </cfRule>
    <cfRule type="expression" dxfId="33" priority="9" stopIfTrue="1">
      <formula>AND(COUNTIF(#REF!, C21)+COUNTIF(#REF!, C21)+COUNTIF(#REF!, C21)+COUNTIF(#REF!, C21)+COUNTIF(#REF!, C21)+COUNTIF(#REF!, C21)+COUNTIF(#REF!, C21)+COUNTIF(#REF!, C21)+COUNTIF(#REF!, C21)+COUNTIF(#REF!, C21)+COUNTIF(#REF!, C21)+COUNTIF(#REF!, C21)&gt;1,NOT(ISBLANK(C21)))</formula>
    </cfRule>
    <cfRule type="expression" dxfId="32" priority="10" stopIfTrue="1">
      <formula>AND(COUNTIF(#REF!, C21)+COUNTIF(#REF!, C21)+COUNTIF(#REF!, C21)+COUNTIF(#REF!, C21)+COUNTIF(#REF!, C21)+COUNTIF(#REF!, C21)+COUNTIF(#REF!, C21)+COUNTIF(#REF!, C21)+COUNTIF(#REF!, C21)+COUNTIF(#REF!, C21)+COUNTIF(#REF!, C21)&gt;1,NOT(ISBLANK(C21)))</formula>
    </cfRule>
    <cfRule type="expression" dxfId="31" priority="11" stopIfTrue="1">
      <formula>AND(COUNTIF(#REF!, C21)+COUNTIF(#REF!, C21)+COUNTIF(#REF!, C21)+COUNTIF(#REF!, C21)+COUNTIF(#REF!, C21)+COUNTIF(#REF!, C21)+COUNTIF(#REF!, C21)+COUNTIF(#REF!, C21)+COUNTIF(#REF!, C21)+COUNTIF(#REF!, C21)+COUNTIF(#REF!, C21)+COUNTIF(#REF!, C21)+COUNTIF(#REF!, C21)+COUNTIF(#REF!, C21)&gt;1,NOT(ISBLANK(C21)))</formula>
    </cfRule>
    <cfRule type="expression" dxfId="30" priority="12" stopIfTrue="1">
      <formula>AND(COUNTIF(#REF!, C21)+COUNTIF(#REF!, C21)+COUNTIF(#REF!, C21)+COUNTIF(#REF!, C21)+COUNTIF(#REF!, C21)+COUNTIF(#REF!, C21)+COUNTIF(#REF!, C21)+COUNTIF(#REF!, C21)+COUNTIF(#REF!, C21)+COUNTIF(#REF!, C21)+COUNTIF(#REF!, C21)+COUNTIF(#REF!, C21)+COUNTIF(#REF!, C21)&gt;1,NOT(ISBLANK(C21)))</formula>
    </cfRule>
    <cfRule type="expression" dxfId="29" priority="13" stopIfTrue="1">
      <formula>AND(COUNTIF(#REF!, C21)+COUNTIF(#REF!, C21)+COUNTIF(#REF!, C21)+COUNTIF(#REF!, C21)+COUNTIF(#REF!, C21)+COUNTIF(#REF!, C21)+COUNTIF(#REF!, C21)+COUNTIF(#REF!, C21)+COUNTIF(#REF!, C21)+COUNTIF(#REF!, C21)+COUNTIF(#REF!, C21)+COUNTIF(#REF!, C21)+COUNTIF(#REF!, C21)+COUNTIF(#REF!, C21)&gt;1,NOT(ISBLANK(C21)))</formula>
    </cfRule>
    <cfRule type="expression" dxfId="28" priority="14" stopIfTrue="1">
      <formula>AND(COUNTIF(#REF!, C21)+COUNTIF(#REF!, C21)+COUNTIF(#REF!, C21)+COUNTIF(#REF!, C21)+COUNTIF(#REF!, C21)+COUNTIF(#REF!, C21)+COUNTIF(#REF!, C21)+COUNTIF(#REF!, C21)+COUNTIF(#REF!, C21)+COUNTIF(#REF!, C21)+COUNTIF(#REF!, C21)+COUNTIF(#REF!, C21)+COUNTIF(#REF!, C21)&gt;1,NOT(ISBLANK(C21)))</formula>
    </cfRule>
    <cfRule type="expression" dxfId="27" priority="15" stopIfTrue="1">
      <formula>AND(COUNTIF(#REF!, C21)+COUNTIF(#REF!, C21)+COUNTIF(#REF!, C21)+COUNTIF(#REF!, C21)+COUNTIF(#REF!, C21)+COUNTIF(#REF!, C21)+COUNTIF(#REF!, C21)+COUNTIF(#REF!, C21)+COUNTIF(#REF!, C21)+COUNTIF(#REF!, C21)+COUNTIF(#REF!, C21)+COUNTIF(#REF!, C21)&gt;1,NOT(ISBLANK(C21)))</formula>
    </cfRule>
    <cfRule type="expression" dxfId="26" priority="16" stopIfTrue="1">
      <formula>AND(COUNTIF(#REF!, C21)+COUNTIF(#REF!, C21)+COUNTIF(#REF!, C21)+COUNTIF(#REF!, C21)+COUNTIF(#REF!, C21)+COUNTIF(#REF!, C21)+COUNTIF(#REF!, C21)+COUNTIF(#REF!, C21)+COUNTIF(#REF!, C21)+COUNTIF(#REF!, C21)+COUNTIF(#REF!, C21)&gt;1,NOT(ISBLANK(C21)))</formula>
    </cfRule>
    <cfRule type="expression" dxfId="25" priority="36" stopIfTrue="1">
      <formula>AND(COUNTIF($G$249:$G$65371, C21)+COUNTIF($G$2:$G$29, C21)+COUNTIF($G$211:$G$212, C21)+COUNTIF(#REF!, C21)+COUNTIF($G$169:$G$172, C21)+COUNTIF($G$146:$G$147, C21)+COUNTIF($G$119:$G$120, C21)+COUNTIF($G$98:$G$98, C21)+COUNTIF($G$83:$G$84, C21)+COUNTIF(#REF!, C21)+COUNTIF(#REF!, C21)+COUNTIF($G$47:$G$61, C21)+COUNTIF(#REF!, C21)&gt;1,NOT(ISBLANK(C21)))</formula>
    </cfRule>
    <cfRule type="expression" dxfId="24" priority="37" stopIfTrue="1">
      <formula>AND(COUNTIF($G$211:$G$65371, C21)+COUNTIF($G$2:$G$29, C21)+COUNTIF(#REF!, C21)+COUNTIF($G$169:$G$172, C21)+COUNTIF($G$146:$G$147, C21)+COUNTIF($G$119:$G$120, C21)+COUNTIF($G$98:$G$98, C21)+COUNTIF($G$83:$G$84, C21)+COUNTIF(#REF!, C21)+COUNTIF(#REF!, C21)+COUNTIF($G$47:$G$61, C21)+COUNTIF(#REF!, C21)&gt;1,NOT(ISBLANK(C21)))</formula>
    </cfRule>
    <cfRule type="expression" dxfId="23" priority="38" stopIfTrue="1">
      <formula>AND(COUNTIF($G$169:$G$65371, C21)+COUNTIF(#REF!, C21)+COUNTIF($G$2:$G$29, C21)+COUNTIF($G$146:$G$147, C21)+COUNTIF($G$119:$G$120, C21)+COUNTIF($G$98:$G$98, C21)+COUNTIF($G$83:$G$84, C21)+COUNTIF(#REF!, C21)+COUNTIF(#REF!, C21)+COUNTIF($G$47:$G$61, C21)+COUNTIF(#REF!, C21)&gt;1,NOT(ISBLANK(C21)))</formula>
    </cfRule>
    <cfRule type="expression" dxfId="22" priority="39" stopIfTrue="1">
      <formula>AND(COUNTIF($G$169:$G$65371, C21)+COUNTIF($G$146:$G$147, C21)+COUNTIF($G$119:$G$120, C21)+COUNTIF($G$98:$G$98, C21)+COUNTIF($G$83:$G$84, C21)+COUNTIF($G$2:$G$29, C21)+COUNTIF(#REF!, C21)+COUNTIF(#REF!, C21)+COUNTIF(#REF!, C21)+COUNTIF(#REF!, C21)+COUNTIF($G$47:$G$61, C21)+COUNTIF(#REF!, C21)+COUNTIF($G$38:$G$38, C21)+COUNTIF(#REF!, C21)&gt;1,NOT(ISBLANK(C21)))</formula>
    </cfRule>
    <cfRule type="expression" dxfId="21" priority="40" stopIfTrue="1">
      <formula>AND(COUNTIF($G$146:$G$65371, C21)+COUNTIF($G$119:$G$120, C21)+COUNTIF($G$98:$G$98, C21)+COUNTIF($G$83:$G$84, C21)+COUNTIF($G$2:$G$29, C21)+COUNTIF(#REF!, C21)+COUNTIF(#REF!, C21)+COUNTIF(#REF!, C21)+COUNTIF(#REF!, C21)+COUNTIF($G$47:$G$61, C21)+COUNTIF(#REF!, C21)+COUNTIF($G$38:$G$38, C21)+COUNTIF(#REF!, C21)&gt;1,NOT(ISBLANK(C21)))</formula>
    </cfRule>
    <cfRule type="expression" dxfId="20" priority="41" stopIfTrue="1">
      <formula>AND(COUNTIF($G$286:$G$65371, C21)+COUNTIF($G$2:$G$29, C21)+COUNTIF(#REF!, C21)+COUNTIF($G$269:$G$270, C21)+COUNTIF($G$249:$G$250, C21)+COUNTIF($G$211:$G$212, C21)+COUNTIF($G$169:$G$172, C21)+COUNTIF($G$146:$G$147, C21)+COUNTIF($G$119:$G$120, C21)+COUNTIF($G$98:$G$98, C21)+COUNTIF($G$83:$G$84, C21)+COUNTIF(#REF!, C21)+COUNTIF(#REF!, C21)+COUNTIF($G$47:$G$61, C21)+COUNTIF(#REF!, C21)&gt;1,NOT(ISBLANK(C21)))</formula>
    </cfRule>
    <cfRule type="expression" dxfId="19" priority="42" stopIfTrue="1">
      <formula>AND(COUNTIF($G$269:$G$65371, C21)+COUNTIF(#REF!, C21)+COUNTIF($G$2:$G$29, C21)+COUNTIF($G$249:$G$250, C21)+COUNTIF($G$211:$G$212, C21)+COUNTIF($G$169:$G$172, C21)+COUNTIF($G$146:$G$147, C21)+COUNTIF($G$119:$G$120, C21)+COUNTIF($G$98:$G$98, C21)+COUNTIF($G$83:$G$84, C21)+COUNTIF(#REF!, C21)+COUNTIF(#REF!, C21)+COUNTIF($G$47:$G$61, C21)+COUNTIF(#REF!, C21)&gt;1,NOT(ISBLANK(C21)))</formula>
    </cfRule>
  </conditionalFormatting>
  <conditionalFormatting sqref="M4">
    <cfRule type="expression" dxfId="18" priority="5068" stopIfTrue="1">
      <formula>AND(COUNTIF($C$313:$C$65459, M4)+COUNTIF($C$293:$C$294, M4)+COUNTIF($C$255:$C$256, M4)+COUNTIF($C$213:$C$216, M4)+COUNTIF($C$190:$C$191, M4)+COUNTIF($C$163:$C$164, M4)+COUNTIF($C$142:$C$142, M4)+COUNTIF($C$127:$C$128, M4)+COUNTIF($C$102:$C$102, M4)+COUNTIF($C$91:$C$92, M4)+COUNTIF($C$72:$C$73, M4)+COUNTIF($C$57:$C$59, M4)+COUNTIF(#REF!, M4)+COUNTIF($C$1:$C$32, M4)&gt;1,NOT(ISBLANK(M4)))</formula>
    </cfRule>
    <cfRule type="expression" dxfId="17" priority="5069" stopIfTrue="1">
      <formula>AND(COUNTIF($C$1:$C$65459, M4)+COUNTIF(#REF!, M4)&gt;1,NOT(ISBLANK(M4)))</formula>
    </cfRule>
  </conditionalFormatting>
  <conditionalFormatting sqref="N4">
    <cfRule type="expression" dxfId="16" priority="5070" stopIfTrue="1">
      <formula>AND(COUNTIF($D$330:$D$65459, N4)+COUNTIF($D$1:$D$32, N4)+COUNTIF(#REF!, N4)+COUNTIF($D$313:$D$314, N4)+COUNTIF($D$293:$D$294, N4)+COUNTIF($D$255:$D$256, N4)+COUNTIF($D$213:$D$216, N4)+COUNTIF($D$190:$D$191, N4)+COUNTIF($D$163:$D$164, N4)+COUNTIF($D$142:$D$142, N4)+COUNTIF($D$127:$D$128, N4)+COUNTIF($D$102:$D$102, N4)+COUNTIF($D$91:$D$92, N4)+COUNTIF($D$72:$D$73, N4)+COUNTIF(#REF!, N4)&gt;1,NOT(ISBLANK(N4)))</formula>
    </cfRule>
    <cfRule type="expression" dxfId="15" priority="5071" stopIfTrue="1">
      <formula>AND(COUNTIF($D$313:$D$65459, N4)+COUNTIF(#REF!, N4)+COUNTIF($D$1:$D$32, N4)+COUNTIF($D$293:$D$294, N4)+COUNTIF($D$255:$D$256, N4)+COUNTIF($D$213:$D$216, N4)+COUNTIF($D$190:$D$191, N4)+COUNTIF($D$163:$D$164, N4)+COUNTIF($D$142:$D$142, N4)+COUNTIF($D$127:$D$128, N4)+COUNTIF($D$102:$D$102, N4)+COUNTIF($D$91:$D$92, N4)+COUNTIF($D$72:$D$73, N4)+COUNTIF(#REF!, N4)&gt;1,NOT(ISBLANK(N4)))</formula>
    </cfRule>
    <cfRule type="expression" dxfId="14" priority="5072" stopIfTrue="1">
      <formula>AND(COUNTIF($D$293:$D$65459, N4)+COUNTIF($D$1:$D$32, N4)+COUNTIF($D$255:$D$256, N4)+COUNTIF(#REF!, N4)+COUNTIF($D$213:$D$216, N4)+COUNTIF($D$190:$D$191, N4)+COUNTIF($D$163:$D$164, N4)+COUNTIF($D$142:$D$142, N4)+COUNTIF($D$127:$D$128, N4)+COUNTIF($D$102:$D$102, N4)+COUNTIF($D$91:$D$92, N4)+COUNTIF($D$72:$D$73, N4)+COUNTIF(#REF!, N4)&gt;1,NOT(ISBLANK(N4)))</formula>
    </cfRule>
    <cfRule type="expression" dxfId="13" priority="5073" stopIfTrue="1">
      <formula>AND(COUNTIF($D$255:$D$65459, N4)+COUNTIF($D$1:$D$32, N4)+COUNTIF(#REF!, N4)+COUNTIF($D$213:$D$216, N4)+COUNTIF($D$190:$D$191, N4)+COUNTIF($D$163:$D$164, N4)+COUNTIF($D$142:$D$142, N4)+COUNTIF($D$127:$D$128, N4)+COUNTIF($D$102:$D$102, N4)+COUNTIF($D$91:$D$92, N4)+COUNTIF($D$72:$D$73, N4)+COUNTIF(#REF!, N4)&gt;1,NOT(ISBLANK(N4)))</formula>
    </cfRule>
    <cfRule type="expression" dxfId="12" priority="5074" stopIfTrue="1">
      <formula>AND(COUNTIF($D$213:$D$65459, N4)+COUNTIF(#REF!, N4)+COUNTIF($D$1:$D$32, N4)+COUNTIF($D$190:$D$191, N4)+COUNTIF($D$163:$D$164, N4)+COUNTIF($D$142:$D$142, N4)+COUNTIF($D$127:$D$128, N4)+COUNTIF($D$102:$D$102, N4)+COUNTIF($D$91:$D$92, N4)+COUNTIF($D$72:$D$73, N4)+COUNTIF(#REF!, N4)&gt;1,NOT(ISBLANK(N4)))</formula>
    </cfRule>
    <cfRule type="expression" dxfId="11" priority="5075" stopIfTrue="1">
      <formula>AND(COUNTIF($D$213:$D$65459, N4)+COUNTIF($D$190:$D$191, N4)+COUNTIF($D$163:$D$164, N4)+COUNTIF($D$142:$D$142, N4)+COUNTIF($D$127:$D$128, N4)+COUNTIF($D$1:$D$32, N4)+COUNTIF(#REF!, N4)+COUNTIF($D$102:$D$102, N4)+COUNTIF($D$91:$D$92, N4)+COUNTIF(#REF!, N4)+COUNTIF($D$72:$D$73, N4)+COUNTIF(#REF!, N4)+COUNTIF($D$58:$D$60, N4)+COUNTIF(#REF!, N4)&gt;1,NOT(ISBLANK(N4)))</formula>
    </cfRule>
    <cfRule type="expression" dxfId="10" priority="5076" stopIfTrue="1">
      <formula>AND(COUNTIF($D$190:$D$65459, N4)+COUNTIF($D$163:$D$164, N4)+COUNTIF($D$142:$D$142, N4)+COUNTIF($D$127:$D$128, N4)+COUNTIF($D$1:$D$32, N4)+COUNTIF(#REF!, N4)+COUNTIF($D$102:$D$102, N4)+COUNTIF($D$91:$D$92, N4)+COUNTIF(#REF!, N4)+COUNTIF($D$72:$D$73, N4)+COUNTIF(#REF!, N4)+COUNTIF($D$58:$D$60, N4)+COUNTIF(#REF!, N4)&gt;1,NOT(ISBLANK(N4)))</formula>
    </cfRule>
    <cfRule type="expression" dxfId="9" priority="5077" stopIfTrue="1">
      <formula>AND(COUNTIF($F$368:$F$65453, N4)+COUNTIF($F$1:$F$32, N4)+COUNTIF(#REF!, N4)+COUNTIF($F$351:$F$352, N4)+COUNTIF($F$331:$F$332, N4)+COUNTIF($F$293:$F$294, N4)+COUNTIF($F$251:$F$254, N4)+COUNTIF($F$228:$F$229, N4)+COUNTIF($F$201:$F$202, N4)+COUNTIF($F$180:$F$180, N4)+COUNTIF($F$165:$F$166, N4)+COUNTIF($F$140:$F$140, N4)+COUNTIF($F$129:$F$130, N4)+COUNTIF($F$110:$F$111, N4)+COUNTIF($F$95:$F$97, N4)&gt;1,NOT(ISBLANK(N4)))</formula>
    </cfRule>
    <cfRule type="expression" dxfId="8" priority="5078" stopIfTrue="1">
      <formula>AND(COUNTIF($F$351:$F$65453, N4)+COUNTIF(#REF!, N4)+COUNTIF($F$1:$F$32, N4)+COUNTIF($F$331:$F$332, N4)+COUNTIF($F$293:$F$294, N4)+COUNTIF($F$251:$F$254, N4)+COUNTIF($F$228:$F$229, N4)+COUNTIF($F$201:$F$202, N4)+COUNTIF($F$180:$F$180, N4)+COUNTIF($F$165:$F$166, N4)+COUNTIF($F$140:$F$140, N4)+COUNTIF($F$129:$F$130, N4)+COUNTIF($F$110:$F$111, N4)+COUNTIF($F$95:$F$97, N4)&gt;1,NOT(ISBLANK(N4)))</formula>
    </cfRule>
    <cfRule type="expression" dxfId="7" priority="5079" stopIfTrue="1">
      <formula>AND(COUNTIF($F$331:$F$65453, N4)+COUNTIF($F$1:$F$32, N4)+COUNTIF($F$293:$F$294, N4)+COUNTIF(#REF!, N4)+COUNTIF($F$251:$F$254, N4)+COUNTIF($F$228:$F$229, N4)+COUNTIF($F$201:$F$202, N4)+COUNTIF($F$180:$F$180, N4)+COUNTIF($F$165:$F$166, N4)+COUNTIF($F$140:$F$140, N4)+COUNTIF($F$129:$F$130, N4)+COUNTIF($F$110:$F$111, N4)+COUNTIF($F$95:$F$97, N4)&gt;1,NOT(ISBLANK(N4)))</formula>
    </cfRule>
    <cfRule type="expression" dxfId="6" priority="5080" stopIfTrue="1">
      <formula>AND(COUNTIF($F$293:$F$65453, N4)+COUNTIF($F$1:$F$32, N4)+COUNTIF(#REF!, N4)+COUNTIF($F$251:$F$254, N4)+COUNTIF($F$228:$F$229, N4)+COUNTIF($F$201:$F$202, N4)+COUNTIF($F$180:$F$180, N4)+COUNTIF($F$165:$F$166, N4)+COUNTIF($F$140:$F$140, N4)+COUNTIF($F$129:$F$130, N4)+COUNTIF($F$110:$F$111, N4)+COUNTIF($F$95:$F$97, N4)&gt;1,NOT(ISBLANK(N4)))</formula>
    </cfRule>
    <cfRule type="expression" dxfId="5" priority="5081" stopIfTrue="1">
      <formula>AND(COUNTIF($F$251:$F$65453, N4)+COUNTIF(#REF!, N4)+COUNTIF($F$1:$F$32, N4)+COUNTIF($F$228:$F$229, N4)+COUNTIF($F$201:$F$202, N4)+COUNTIF($F$180:$F$180, N4)+COUNTIF($F$165:$F$166, N4)+COUNTIF($F$140:$F$140, N4)+COUNTIF($F$129:$F$130, N4)+COUNTIF($F$110:$F$111, N4)+COUNTIF($F$95:$F$97, N4)&gt;1,NOT(ISBLANK(N4)))</formula>
    </cfRule>
    <cfRule type="expression" dxfId="4" priority="5082" stopIfTrue="1">
      <formula>AND(COUNTIF($F$251:$F$65453, N4)+COUNTIF($F$228:$F$229, N4)+COUNTIF($F$201:$F$202, N4)+COUNTIF($F$180:$F$180, N4)+COUNTIF($F$165:$F$166, N4)+COUNTIF($F$1:$F$32, N4)+COUNTIF(#REF!, N4)+COUNTIF($F$140:$F$140, N4)+COUNTIF($F$129:$F$130, N4)+COUNTIF(#REF!, N4)+COUNTIF($F$110:$F$111, N4)+COUNTIF($F$88:$F$88, N4)+COUNTIF($F$90:$F$97, N4)+COUNTIF(#REF!, N4)&gt;1,NOT(ISBLANK(N4)))</formula>
    </cfRule>
    <cfRule type="expression" dxfId="3" priority="5083" stopIfTrue="1">
      <formula>AND(COUNTIF($F$228:$F$65453, N4)+COUNTIF($F$201:$F$202, N4)+COUNTIF($F$180:$F$180, N4)+COUNTIF($F$165:$F$166, N4)+COUNTIF($F$1:$F$32, N4)+COUNTIF(#REF!, N4)+COUNTIF($F$140:$F$140, N4)+COUNTIF($F$129:$F$130, N4)+COUNTIF(#REF!, N4)+COUNTIF($F$110:$F$111, N4)+COUNTIF($F$88:$F$88, N4)+COUNTIF($F$90:$F$97, N4)+COUNTIF(#REF!, N4)&gt;1,NOT(ISBLANK(N4)))</formula>
    </cfRule>
  </conditionalFormatting>
  <printOptions horizontalCentered="1"/>
  <pageMargins left="0.25" right="0.25" top="0.75" bottom="0.75" header="0.3" footer="0.3"/>
  <pageSetup paperSize="9" scale="39" orientation="landscape" r:id="rId1"/>
  <ignoredErrors>
    <ignoredError sqref="I21:L60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DD17D-1BF9-4AA3-A922-96088435F8FC}">
  <dimension ref="B1:F7"/>
  <sheetViews>
    <sheetView workbookViewId="0">
      <selection activeCell="F11" sqref="F11"/>
    </sheetView>
  </sheetViews>
  <sheetFormatPr defaultRowHeight="14.5" x14ac:dyDescent="0.35"/>
  <cols>
    <col min="3" max="3" width="15" customWidth="1"/>
    <col min="4" max="4" width="13.54296875" customWidth="1"/>
    <col min="5" max="5" width="18.1796875" customWidth="1"/>
    <col min="6" max="6" width="12.7265625" bestFit="1" customWidth="1"/>
  </cols>
  <sheetData>
    <row r="1" spans="2:6" ht="15" thickBot="1" x14ac:dyDescent="0.4"/>
    <row r="2" spans="2:6" ht="15" thickBot="1" x14ac:dyDescent="0.4">
      <c r="B2" s="105" t="s">
        <v>4</v>
      </c>
      <c r="C2" s="101" t="s">
        <v>22</v>
      </c>
      <c r="D2" s="101" t="s">
        <v>121</v>
      </c>
      <c r="E2" s="101" t="s">
        <v>122</v>
      </c>
      <c r="F2" s="101" t="s">
        <v>123</v>
      </c>
    </row>
    <row r="3" spans="2:6" ht="29.5" thickBot="1" x14ac:dyDescent="0.4">
      <c r="B3" s="106">
        <v>1</v>
      </c>
      <c r="C3" s="102" t="s">
        <v>1</v>
      </c>
      <c r="D3" s="102" t="s">
        <v>127</v>
      </c>
      <c r="E3" s="102" t="s">
        <v>129</v>
      </c>
      <c r="F3" s="103">
        <f>'Micro Plan-Nov24 TA-504'!Q61/10^7</f>
        <v>2.7161598380000003</v>
      </c>
    </row>
    <row r="4" spans="2:6" ht="15" thickBot="1" x14ac:dyDescent="0.4">
      <c r="B4" s="106">
        <v>2</v>
      </c>
      <c r="C4" s="102" t="s">
        <v>124</v>
      </c>
      <c r="D4" s="102" t="s">
        <v>128</v>
      </c>
      <c r="E4" s="102" t="s">
        <v>131</v>
      </c>
      <c r="F4" s="102">
        <v>0</v>
      </c>
    </row>
    <row r="5" spans="2:6" ht="15" thickBot="1" x14ac:dyDescent="0.4">
      <c r="B5" s="106">
        <v>3</v>
      </c>
      <c r="C5" s="102" t="s">
        <v>40</v>
      </c>
      <c r="D5" s="102" t="s">
        <v>125</v>
      </c>
      <c r="E5" s="102" t="s">
        <v>126</v>
      </c>
      <c r="F5" s="102"/>
    </row>
    <row r="6" spans="2:6" ht="15" thickBot="1" x14ac:dyDescent="0.4">
      <c r="B6" s="106"/>
      <c r="C6" s="102"/>
      <c r="D6" s="102"/>
      <c r="E6" s="104"/>
      <c r="F6" s="104" t="s">
        <v>130</v>
      </c>
    </row>
    <row r="7" spans="2:6" x14ac:dyDescent="0.35">
      <c r="B7" s="10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6"/>
  <sheetViews>
    <sheetView workbookViewId="0">
      <selection activeCell="U5" sqref="U5"/>
    </sheetView>
  </sheetViews>
  <sheetFormatPr defaultRowHeight="14.5" x14ac:dyDescent="0.35"/>
  <cols>
    <col min="2" max="2" width="12.7265625" customWidth="1"/>
    <col min="5" max="5" width="13.26953125" customWidth="1"/>
    <col min="6" max="6" width="14.7265625" customWidth="1"/>
    <col min="7" max="7" width="13.54296875" customWidth="1"/>
    <col min="8" max="15" width="0" hidden="1" customWidth="1"/>
    <col min="16" max="16" width="16.1796875" customWidth="1"/>
    <col min="17" max="17" width="0" hidden="1" customWidth="1"/>
    <col min="18" max="18" width="27" customWidth="1"/>
  </cols>
  <sheetData>
    <row r="2" spans="2:18" ht="15" thickBot="1" x14ac:dyDescent="0.4"/>
    <row r="3" spans="2:18" ht="56" thickBot="1" x14ac:dyDescent="0.4">
      <c r="B3" s="55" t="s">
        <v>49</v>
      </c>
      <c r="C3" s="55" t="s">
        <v>50</v>
      </c>
      <c r="D3" s="55" t="s">
        <v>6</v>
      </c>
      <c r="E3" s="55" t="s">
        <v>51</v>
      </c>
      <c r="F3" s="55" t="s">
        <v>52</v>
      </c>
      <c r="G3" s="56" t="s">
        <v>53</v>
      </c>
      <c r="H3" s="57" t="s">
        <v>54</v>
      </c>
      <c r="I3" s="57" t="s">
        <v>55</v>
      </c>
      <c r="J3" s="58" t="s">
        <v>56</v>
      </c>
      <c r="K3" s="57" t="s">
        <v>57</v>
      </c>
      <c r="L3" s="57" t="s">
        <v>58</v>
      </c>
      <c r="M3" s="57" t="s">
        <v>59</v>
      </c>
      <c r="N3" s="57" t="s">
        <v>60</v>
      </c>
      <c r="O3" s="57" t="s">
        <v>61</v>
      </c>
      <c r="P3" s="57" t="s">
        <v>71</v>
      </c>
      <c r="Q3" s="57" t="s">
        <v>62</v>
      </c>
      <c r="R3" s="57" t="s">
        <v>70</v>
      </c>
    </row>
    <row r="4" spans="2:18" ht="60" customHeight="1" x14ac:dyDescent="0.35">
      <c r="B4" s="59" t="s">
        <v>65</v>
      </c>
      <c r="C4" s="60" t="s">
        <v>63</v>
      </c>
      <c r="D4" s="61" t="s">
        <v>64</v>
      </c>
      <c r="E4" s="62" t="s">
        <v>66</v>
      </c>
      <c r="F4" s="63" t="s">
        <v>67</v>
      </c>
      <c r="G4" s="61">
        <v>45393</v>
      </c>
      <c r="H4" s="64">
        <v>26.861743999999998</v>
      </c>
      <c r="I4" s="65">
        <v>0.46323200000000003</v>
      </c>
      <c r="J4" s="66">
        <v>26.861743999999998</v>
      </c>
      <c r="K4" s="67">
        <v>0</v>
      </c>
      <c r="L4" s="68"/>
      <c r="M4" s="68"/>
      <c r="N4" s="68"/>
      <c r="O4" s="68">
        <v>0</v>
      </c>
      <c r="P4" s="71">
        <v>26.861743999999998</v>
      </c>
      <c r="Q4" s="69">
        <v>0</v>
      </c>
      <c r="R4" s="402" t="s">
        <v>72</v>
      </c>
    </row>
    <row r="5" spans="2:18" ht="15.5" x14ac:dyDescent="0.35">
      <c r="B5" s="59" t="s">
        <v>65</v>
      </c>
      <c r="C5" s="60" t="s">
        <v>63</v>
      </c>
      <c r="D5" s="61" t="s">
        <v>64</v>
      </c>
      <c r="E5" s="62" t="s">
        <v>68</v>
      </c>
      <c r="F5" s="63" t="s">
        <v>69</v>
      </c>
      <c r="G5" s="61">
        <v>45397</v>
      </c>
      <c r="H5" s="70">
        <v>126.634</v>
      </c>
      <c r="I5" s="65">
        <v>2.1840000000000002</v>
      </c>
      <c r="J5" s="66">
        <v>126.634</v>
      </c>
      <c r="K5" s="67"/>
      <c r="L5" s="68"/>
      <c r="M5" s="68"/>
      <c r="N5" s="68"/>
      <c r="O5" s="68"/>
      <c r="P5" s="71">
        <v>126.634</v>
      </c>
      <c r="Q5" s="69">
        <v>0</v>
      </c>
      <c r="R5" s="403"/>
    </row>
    <row r="6" spans="2:18" s="74" customFormat="1" x14ac:dyDescent="0.35">
      <c r="B6" s="404" t="s">
        <v>29</v>
      </c>
      <c r="C6" s="405"/>
      <c r="D6" s="406"/>
      <c r="E6" s="72">
        <v>160</v>
      </c>
      <c r="F6" s="72"/>
      <c r="G6" s="72"/>
      <c r="H6" s="72"/>
      <c r="I6" s="72"/>
      <c r="J6" s="72"/>
      <c r="K6" s="72"/>
      <c r="L6" s="72"/>
      <c r="M6" s="72"/>
      <c r="N6" s="72"/>
      <c r="O6" s="72"/>
      <c r="P6" s="73">
        <f>SUM(P4:P5)</f>
        <v>153.495744</v>
      </c>
      <c r="Q6" s="72"/>
      <c r="R6" s="72"/>
    </row>
  </sheetData>
  <mergeCells count="2">
    <mergeCell ref="R4:R5"/>
    <mergeCell ref="B6:D6"/>
  </mergeCells>
  <conditionalFormatting sqref="E4:E5">
    <cfRule type="containsText" dxfId="2" priority="1" operator="containsText" text="proto">
      <formula>NOT(ISERROR(SEARCH("proto",E4)))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B28"/>
  <sheetViews>
    <sheetView workbookViewId="0">
      <pane xSplit="4" ySplit="10" topLeftCell="E11" activePane="bottomRight" state="frozen"/>
      <selection pane="topRight" activeCell="E1" sqref="E1"/>
      <selection pane="bottomLeft" activeCell="A11" sqref="A11"/>
      <selection pane="bottomRight" activeCell="I9" sqref="I9"/>
    </sheetView>
  </sheetViews>
  <sheetFormatPr defaultColWidth="9.1796875" defaultRowHeight="14.5" x14ac:dyDescent="0.35"/>
  <cols>
    <col min="1" max="1" width="3.453125" style="4" customWidth="1"/>
    <col min="2" max="2" width="10" style="1" customWidth="1"/>
    <col min="3" max="3" width="11.26953125" style="1" customWidth="1"/>
    <col min="4" max="4" width="12.54296875" style="4" customWidth="1"/>
    <col min="5" max="5" width="12.7265625" style="4" customWidth="1"/>
    <col min="6" max="6" width="8.7265625" style="4" customWidth="1"/>
    <col min="7" max="7" width="10.7265625" style="4" customWidth="1"/>
    <col min="8" max="10" width="10.7265625" style="1" customWidth="1"/>
    <col min="11" max="11" width="13.26953125" style="1" customWidth="1"/>
    <col min="12" max="12" width="3.1796875" style="1" customWidth="1"/>
    <col min="13" max="13" width="14.54296875" style="1" customWidth="1"/>
    <col min="14" max="14" width="3.1796875" style="1" customWidth="1"/>
    <col min="15" max="20" width="8.7265625" style="1" customWidth="1"/>
    <col min="21" max="21" width="3.1796875" style="1" customWidth="1"/>
    <col min="22" max="27" width="10.7265625" style="1" customWidth="1"/>
    <col min="28" max="28" width="11.1796875" style="1" customWidth="1"/>
    <col min="29" max="16384" width="9.1796875" style="1"/>
  </cols>
  <sheetData>
    <row r="1" spans="1:8" ht="15" thickBot="1" x14ac:dyDescent="0.4">
      <c r="A1" s="14" t="s">
        <v>0</v>
      </c>
      <c r="D1" s="38"/>
    </row>
    <row r="2" spans="1:8" x14ac:dyDescent="0.35">
      <c r="A2" s="14" t="s">
        <v>21</v>
      </c>
      <c r="D2" s="1"/>
    </row>
    <row r="3" spans="1:8" x14ac:dyDescent="0.35">
      <c r="A3" s="6"/>
      <c r="D3" s="1"/>
    </row>
    <row r="4" spans="1:8" x14ac:dyDescent="0.35">
      <c r="A4" s="14" t="s">
        <v>22</v>
      </c>
      <c r="D4" s="45" t="s">
        <v>40</v>
      </c>
      <c r="E4" s="28" t="s">
        <v>36</v>
      </c>
    </row>
    <row r="5" spans="1:8" x14ac:dyDescent="0.35">
      <c r="A5" s="6"/>
      <c r="D5" s="2" t="s">
        <v>29</v>
      </c>
      <c r="E5" s="40"/>
    </row>
    <row r="6" spans="1:8" ht="16" x14ac:dyDescent="0.35">
      <c r="A6" s="6"/>
      <c r="D6" s="2" t="s">
        <v>32</v>
      </c>
      <c r="E6" s="41"/>
    </row>
    <row r="7" spans="1:8" x14ac:dyDescent="0.35">
      <c r="A7" s="6"/>
      <c r="D7" s="2" t="s">
        <v>2</v>
      </c>
      <c r="E7" s="30">
        <f>E5-E6</f>
        <v>0</v>
      </c>
    </row>
    <row r="8" spans="1:8" ht="5.15" customHeight="1" thickBot="1" x14ac:dyDescent="0.4">
      <c r="A8" s="6"/>
      <c r="D8" s="1"/>
    </row>
    <row r="9" spans="1:8" ht="15" thickBot="1" x14ac:dyDescent="0.4">
      <c r="A9" s="14" t="s">
        <v>23</v>
      </c>
      <c r="D9" s="39">
        <v>45413</v>
      </c>
      <c r="E9" s="42"/>
      <c r="F9" s="3" t="s">
        <v>45</v>
      </c>
      <c r="G9" s="31">
        <f>K28</f>
        <v>0</v>
      </c>
      <c r="H9" s="3" t="s">
        <v>33</v>
      </c>
    </row>
    <row r="10" spans="1:8" ht="5.15" customHeight="1" x14ac:dyDescent="0.35">
      <c r="A10" s="14"/>
      <c r="D10" s="1"/>
      <c r="E10" s="1"/>
      <c r="F10" s="14"/>
    </row>
    <row r="11" spans="1:8" x14ac:dyDescent="0.35">
      <c r="A11" s="14" t="s">
        <v>34</v>
      </c>
      <c r="D11" s="2" t="s">
        <v>24</v>
      </c>
      <c r="E11" s="33">
        <f>O28</f>
        <v>0</v>
      </c>
      <c r="F11" s="46" t="e">
        <f>E11/$E$9</f>
        <v>#DIV/0!</v>
      </c>
      <c r="G11" s="29">
        <f>V28</f>
        <v>0</v>
      </c>
      <c r="H11" s="46" t="e">
        <f>G11/$G$9</f>
        <v>#DIV/0!</v>
      </c>
    </row>
    <row r="12" spans="1:8" x14ac:dyDescent="0.35">
      <c r="A12" s="5"/>
      <c r="D12" s="2" t="s">
        <v>25</v>
      </c>
      <c r="E12" s="33">
        <f>P28</f>
        <v>0</v>
      </c>
      <c r="F12" s="46" t="e">
        <f t="shared" ref="F12:F16" si="0">E12/$E$9</f>
        <v>#DIV/0!</v>
      </c>
      <c r="G12" s="29">
        <f>W28</f>
        <v>0</v>
      </c>
      <c r="H12" s="46" t="e">
        <f t="shared" ref="H12:H16" si="1">G12/$G$9</f>
        <v>#DIV/0!</v>
      </c>
    </row>
    <row r="13" spans="1:8" x14ac:dyDescent="0.35">
      <c r="A13" s="5"/>
      <c r="D13" s="2" t="s">
        <v>26</v>
      </c>
      <c r="E13" s="33">
        <f>Q28</f>
        <v>0</v>
      </c>
      <c r="F13" s="46" t="e">
        <f t="shared" si="0"/>
        <v>#DIV/0!</v>
      </c>
      <c r="G13" s="29">
        <f>X28</f>
        <v>0</v>
      </c>
      <c r="H13" s="46" t="e">
        <f t="shared" si="1"/>
        <v>#DIV/0!</v>
      </c>
    </row>
    <row r="14" spans="1:8" x14ac:dyDescent="0.35">
      <c r="A14" s="5"/>
      <c r="D14" s="2" t="s">
        <v>27</v>
      </c>
      <c r="E14" s="33">
        <f>R28</f>
        <v>0</v>
      </c>
      <c r="F14" s="46" t="e">
        <f t="shared" si="0"/>
        <v>#DIV/0!</v>
      </c>
      <c r="G14" s="29">
        <f>Y28</f>
        <v>0</v>
      </c>
      <c r="H14" s="46" t="e">
        <f t="shared" si="1"/>
        <v>#DIV/0!</v>
      </c>
    </row>
    <row r="15" spans="1:8" ht="16" x14ac:dyDescent="0.35">
      <c r="A15" s="5"/>
      <c r="D15" s="28" t="s">
        <v>28</v>
      </c>
      <c r="E15" s="34">
        <f>S28</f>
        <v>0</v>
      </c>
      <c r="F15" s="46" t="e">
        <f t="shared" si="0"/>
        <v>#DIV/0!</v>
      </c>
      <c r="G15" s="32">
        <f>Z28</f>
        <v>0</v>
      </c>
      <c r="H15" s="46" t="e">
        <f t="shared" si="1"/>
        <v>#DIV/0!</v>
      </c>
    </row>
    <row r="16" spans="1:8" x14ac:dyDescent="0.35">
      <c r="A16" s="5"/>
      <c r="D16" s="27" t="s">
        <v>29</v>
      </c>
      <c r="E16" s="47">
        <f>SUM(E11:E15)</f>
        <v>0</v>
      </c>
      <c r="F16" s="49" t="e">
        <f t="shared" si="0"/>
        <v>#DIV/0!</v>
      </c>
      <c r="G16" s="31">
        <f>SUM(G11:G15)</f>
        <v>0</v>
      </c>
      <c r="H16" s="49" t="e">
        <f t="shared" si="1"/>
        <v>#DIV/0!</v>
      </c>
    </row>
    <row r="17" spans="1:28" x14ac:dyDescent="0.35">
      <c r="A17" s="5"/>
      <c r="D17" s="6"/>
      <c r="E17" s="6"/>
      <c r="F17" s="6"/>
    </row>
    <row r="18" spans="1:28" ht="22.5" customHeight="1" x14ac:dyDescent="0.35">
      <c r="A18" s="375" t="s">
        <v>4</v>
      </c>
      <c r="B18" s="375" t="s">
        <v>41</v>
      </c>
      <c r="C18" s="372" t="s">
        <v>46</v>
      </c>
      <c r="D18" s="372" t="s">
        <v>42</v>
      </c>
      <c r="E18" s="375" t="s">
        <v>8</v>
      </c>
      <c r="F18" s="388" t="s">
        <v>18</v>
      </c>
      <c r="G18" s="388"/>
      <c r="H18" s="388"/>
      <c r="I18" s="388"/>
      <c r="J18" s="388"/>
      <c r="K18" s="384" t="s">
        <v>19</v>
      </c>
      <c r="M18" s="372" t="s">
        <v>37</v>
      </c>
      <c r="O18" s="379" t="s">
        <v>31</v>
      </c>
      <c r="P18" s="380"/>
      <c r="Q18" s="380"/>
      <c r="R18" s="380"/>
      <c r="S18" s="380"/>
      <c r="T18" s="381"/>
      <c r="V18" s="379" t="s">
        <v>30</v>
      </c>
      <c r="W18" s="380"/>
      <c r="X18" s="380"/>
      <c r="Y18" s="380"/>
      <c r="Z18" s="380"/>
      <c r="AA18" s="381"/>
      <c r="AB18" s="389" t="s">
        <v>35</v>
      </c>
    </row>
    <row r="19" spans="1:28" ht="21" customHeight="1" x14ac:dyDescent="0.35">
      <c r="A19" s="376"/>
      <c r="B19" s="376"/>
      <c r="C19" s="373"/>
      <c r="D19" s="376"/>
      <c r="E19" s="376"/>
      <c r="F19" s="407" t="s">
        <v>39</v>
      </c>
      <c r="G19" s="409" t="s">
        <v>43</v>
      </c>
      <c r="H19" s="410"/>
      <c r="I19" s="409" t="s">
        <v>44</v>
      </c>
      <c r="J19" s="410"/>
      <c r="K19" s="384"/>
      <c r="M19" s="378"/>
      <c r="O19" s="382" t="s">
        <v>24</v>
      </c>
      <c r="P19" s="382" t="s">
        <v>25</v>
      </c>
      <c r="Q19" s="382" t="s">
        <v>26</v>
      </c>
      <c r="R19" s="382" t="s">
        <v>27</v>
      </c>
      <c r="S19" s="382" t="s">
        <v>28</v>
      </c>
      <c r="T19" s="43" t="s">
        <v>29</v>
      </c>
      <c r="V19" s="382" t="s">
        <v>24</v>
      </c>
      <c r="W19" s="382" t="s">
        <v>25</v>
      </c>
      <c r="X19" s="382" t="s">
        <v>26</v>
      </c>
      <c r="Y19" s="382" t="s">
        <v>27</v>
      </c>
      <c r="Z19" s="382" t="s">
        <v>28</v>
      </c>
      <c r="AA19" s="43" t="s">
        <v>29</v>
      </c>
      <c r="AB19" s="390"/>
    </row>
    <row r="20" spans="1:28" ht="15" thickBot="1" x14ac:dyDescent="0.4">
      <c r="A20" s="377"/>
      <c r="B20" s="377"/>
      <c r="C20" s="374"/>
      <c r="D20" s="377"/>
      <c r="E20" s="377"/>
      <c r="F20" s="408"/>
      <c r="G20" s="13" t="s">
        <v>10</v>
      </c>
      <c r="H20" s="13" t="s">
        <v>11</v>
      </c>
      <c r="I20" s="13" t="s">
        <v>10</v>
      </c>
      <c r="J20" s="13" t="s">
        <v>11</v>
      </c>
      <c r="K20" s="20" t="s">
        <v>20</v>
      </c>
      <c r="M20" s="19" t="s">
        <v>38</v>
      </c>
      <c r="O20" s="383"/>
      <c r="P20" s="383"/>
      <c r="Q20" s="383"/>
      <c r="R20" s="383"/>
      <c r="S20" s="383"/>
      <c r="T20" s="20"/>
      <c r="V20" s="383"/>
      <c r="W20" s="383"/>
      <c r="X20" s="383"/>
      <c r="Y20" s="383"/>
      <c r="Z20" s="383"/>
      <c r="AA20" s="20" t="s">
        <v>20</v>
      </c>
      <c r="AB20" s="44" t="s">
        <v>20</v>
      </c>
    </row>
    <row r="21" spans="1:28" ht="20.149999999999999" customHeight="1" x14ac:dyDescent="0.35">
      <c r="A21" s="9">
        <v>1</v>
      </c>
      <c r="B21" s="10"/>
      <c r="C21" s="10"/>
      <c r="D21" s="9"/>
      <c r="E21" s="9"/>
      <c r="F21" s="9"/>
      <c r="G21" s="9"/>
      <c r="H21" s="10"/>
      <c r="I21" s="10"/>
      <c r="J21" s="10"/>
      <c r="K21" s="16">
        <v>0</v>
      </c>
      <c r="M21" s="7"/>
      <c r="O21" s="23"/>
      <c r="P21" s="23"/>
      <c r="Q21" s="23"/>
      <c r="R21" s="23"/>
      <c r="S21" s="23"/>
      <c r="T21" s="23">
        <f>SUM(O21:S21)</f>
        <v>0</v>
      </c>
      <c r="V21" s="16">
        <f>$K$21*O21</f>
        <v>0</v>
      </c>
      <c r="W21" s="16">
        <f>$K$21*P21</f>
        <v>0</v>
      </c>
      <c r="X21" s="16">
        <f t="shared" ref="X21:Z21" si="2">$K$21*Q21</f>
        <v>0</v>
      </c>
      <c r="Y21" s="16">
        <f t="shared" si="2"/>
        <v>0</v>
      </c>
      <c r="Z21" s="16">
        <f t="shared" si="2"/>
        <v>0</v>
      </c>
      <c r="AA21" s="35">
        <f>SUM(V21:Z21)</f>
        <v>0</v>
      </c>
      <c r="AB21" s="21">
        <f>K21-AA21</f>
        <v>0</v>
      </c>
    </row>
    <row r="22" spans="1:28" ht="20.149999999999999" customHeight="1" x14ac:dyDescent="0.35">
      <c r="A22" s="8">
        <v>2</v>
      </c>
      <c r="B22" s="7"/>
      <c r="C22" s="7"/>
      <c r="D22" s="8"/>
      <c r="E22" s="8"/>
      <c r="F22" s="8"/>
      <c r="G22" s="8"/>
      <c r="H22" s="7"/>
      <c r="I22" s="7"/>
      <c r="J22" s="7"/>
      <c r="K22" s="16">
        <v>0</v>
      </c>
      <c r="M22" s="7"/>
      <c r="O22" s="24"/>
      <c r="P22" s="24"/>
      <c r="Q22" s="24"/>
      <c r="R22" s="24"/>
      <c r="S22" s="24"/>
      <c r="T22" s="23">
        <f t="shared" ref="T22:T27" si="3">SUM(O22:S22)</f>
        <v>0</v>
      </c>
      <c r="V22" s="16">
        <f>$K$22*O22</f>
        <v>0</v>
      </c>
      <c r="W22" s="16">
        <f t="shared" ref="W22:Z22" si="4">$K$22*P22</f>
        <v>0</v>
      </c>
      <c r="X22" s="16">
        <f t="shared" si="4"/>
        <v>0</v>
      </c>
      <c r="Y22" s="16">
        <f t="shared" si="4"/>
        <v>0</v>
      </c>
      <c r="Z22" s="16">
        <f t="shared" si="4"/>
        <v>0</v>
      </c>
      <c r="AA22" s="36">
        <f t="shared" ref="AA22:AA27" si="5">SUM(V22:Z22)</f>
        <v>0</v>
      </c>
      <c r="AB22" s="21">
        <f t="shared" ref="AB22:AB27" si="6">K22-AA22</f>
        <v>0</v>
      </c>
    </row>
    <row r="23" spans="1:28" ht="20.149999999999999" customHeight="1" x14ac:dyDescent="0.35">
      <c r="A23" s="8">
        <v>3</v>
      </c>
      <c r="B23" s="7"/>
      <c r="C23" s="7"/>
      <c r="D23" s="8"/>
      <c r="E23" s="8"/>
      <c r="F23" s="8"/>
      <c r="G23" s="8"/>
      <c r="H23" s="7"/>
      <c r="I23" s="7"/>
      <c r="J23" s="7"/>
      <c r="K23" s="16">
        <v>0</v>
      </c>
      <c r="M23" s="7"/>
      <c r="O23" s="24"/>
      <c r="P23" s="24"/>
      <c r="Q23" s="24"/>
      <c r="R23" s="24"/>
      <c r="S23" s="24"/>
      <c r="T23" s="23">
        <f t="shared" si="3"/>
        <v>0</v>
      </c>
      <c r="V23" s="16">
        <f>$K$23*O23</f>
        <v>0</v>
      </c>
      <c r="W23" s="16">
        <f t="shared" ref="W23:Z23" si="7">$K$23*P23</f>
        <v>0</v>
      </c>
      <c r="X23" s="16">
        <f t="shared" si="7"/>
        <v>0</v>
      </c>
      <c r="Y23" s="16">
        <f t="shared" si="7"/>
        <v>0</v>
      </c>
      <c r="Z23" s="16">
        <f t="shared" si="7"/>
        <v>0</v>
      </c>
      <c r="AA23" s="35">
        <f t="shared" si="5"/>
        <v>0</v>
      </c>
      <c r="AB23" s="21">
        <f t="shared" si="6"/>
        <v>0</v>
      </c>
    </row>
    <row r="24" spans="1:28" ht="20.149999999999999" customHeight="1" x14ac:dyDescent="0.35">
      <c r="A24" s="8">
        <v>4</v>
      </c>
      <c r="B24" s="7"/>
      <c r="C24" s="7"/>
      <c r="D24" s="8"/>
      <c r="E24" s="8"/>
      <c r="F24" s="8"/>
      <c r="G24" s="8"/>
      <c r="H24" s="7"/>
      <c r="I24" s="7"/>
      <c r="J24" s="7"/>
      <c r="K24" s="16">
        <v>0</v>
      </c>
      <c r="M24" s="7"/>
      <c r="O24" s="24"/>
      <c r="P24" s="24"/>
      <c r="Q24" s="24"/>
      <c r="R24" s="24"/>
      <c r="S24" s="24"/>
      <c r="T24" s="23">
        <f t="shared" si="3"/>
        <v>0</v>
      </c>
      <c r="V24" s="16">
        <f>$K$24*O24</f>
        <v>0</v>
      </c>
      <c r="W24" s="16">
        <f t="shared" ref="W24:Z24" si="8">$K$24*P24</f>
        <v>0</v>
      </c>
      <c r="X24" s="16">
        <f t="shared" si="8"/>
        <v>0</v>
      </c>
      <c r="Y24" s="16">
        <f t="shared" si="8"/>
        <v>0</v>
      </c>
      <c r="Z24" s="16">
        <f t="shared" si="8"/>
        <v>0</v>
      </c>
      <c r="AA24" s="35">
        <f t="shared" si="5"/>
        <v>0</v>
      </c>
      <c r="AB24" s="21">
        <f t="shared" si="6"/>
        <v>0</v>
      </c>
    </row>
    <row r="25" spans="1:28" ht="20.149999999999999" customHeight="1" x14ac:dyDescent="0.35">
      <c r="A25" s="8">
        <v>5</v>
      </c>
      <c r="B25" s="7"/>
      <c r="C25" s="7"/>
      <c r="D25" s="8"/>
      <c r="E25" s="8"/>
      <c r="F25" s="8"/>
      <c r="G25" s="8"/>
      <c r="H25" s="7"/>
      <c r="I25" s="7"/>
      <c r="J25" s="7"/>
      <c r="K25" s="16">
        <v>0</v>
      </c>
      <c r="M25" s="7"/>
      <c r="O25" s="24"/>
      <c r="P25" s="24"/>
      <c r="Q25" s="24"/>
      <c r="R25" s="24"/>
      <c r="S25" s="24"/>
      <c r="T25" s="23">
        <f t="shared" si="3"/>
        <v>0</v>
      </c>
      <c r="V25" s="16">
        <f>$K$25*O25</f>
        <v>0</v>
      </c>
      <c r="W25" s="16">
        <f t="shared" ref="W25:Z25" si="9">$K$25*P25</f>
        <v>0</v>
      </c>
      <c r="X25" s="16">
        <f t="shared" si="9"/>
        <v>0</v>
      </c>
      <c r="Y25" s="16">
        <f t="shared" si="9"/>
        <v>0</v>
      </c>
      <c r="Z25" s="16">
        <f t="shared" si="9"/>
        <v>0</v>
      </c>
      <c r="AA25" s="35">
        <f t="shared" si="5"/>
        <v>0</v>
      </c>
      <c r="AB25" s="21">
        <f t="shared" si="6"/>
        <v>0</v>
      </c>
    </row>
    <row r="26" spans="1:28" ht="20.149999999999999" customHeight="1" x14ac:dyDescent="0.35">
      <c r="A26" s="8">
        <v>6</v>
      </c>
      <c r="B26" s="7"/>
      <c r="C26" s="7"/>
      <c r="D26" s="8"/>
      <c r="E26" s="8"/>
      <c r="F26" s="8"/>
      <c r="G26" s="8"/>
      <c r="H26" s="7"/>
      <c r="I26" s="7"/>
      <c r="J26" s="7"/>
      <c r="K26" s="16">
        <v>0</v>
      </c>
      <c r="M26" s="7"/>
      <c r="O26" s="24"/>
      <c r="P26" s="24"/>
      <c r="Q26" s="24"/>
      <c r="R26" s="24"/>
      <c r="S26" s="24"/>
      <c r="T26" s="23">
        <f t="shared" si="3"/>
        <v>0</v>
      </c>
      <c r="V26" s="16">
        <f>$K$26*O26</f>
        <v>0</v>
      </c>
      <c r="W26" s="16">
        <f t="shared" ref="W26:Z26" si="10">$K$26*P26</f>
        <v>0</v>
      </c>
      <c r="X26" s="16">
        <f t="shared" si="10"/>
        <v>0</v>
      </c>
      <c r="Y26" s="16">
        <f t="shared" si="10"/>
        <v>0</v>
      </c>
      <c r="Z26" s="16">
        <f t="shared" si="10"/>
        <v>0</v>
      </c>
      <c r="AA26" s="35">
        <f t="shared" si="5"/>
        <v>0</v>
      </c>
      <c r="AB26" s="21">
        <f t="shared" si="6"/>
        <v>0</v>
      </c>
    </row>
    <row r="27" spans="1:28" ht="20.149999999999999" customHeight="1" thickBot="1" x14ac:dyDescent="0.4">
      <c r="A27" s="11">
        <v>7</v>
      </c>
      <c r="B27" s="12"/>
      <c r="C27" s="12"/>
      <c r="D27" s="11"/>
      <c r="E27" s="11"/>
      <c r="F27" s="11"/>
      <c r="G27" s="11"/>
      <c r="H27" s="12"/>
      <c r="I27" s="12"/>
      <c r="J27" s="12"/>
      <c r="K27" s="17">
        <v>0</v>
      </c>
      <c r="M27" s="12"/>
      <c r="O27" s="25"/>
      <c r="P27" s="25"/>
      <c r="Q27" s="25"/>
      <c r="R27" s="25"/>
      <c r="S27" s="25"/>
      <c r="T27" s="25">
        <f t="shared" si="3"/>
        <v>0</v>
      </c>
      <c r="V27" s="17">
        <f>$K$27*O27</f>
        <v>0</v>
      </c>
      <c r="W27" s="17">
        <f t="shared" ref="W27:Z27" si="11">$K$27*P27</f>
        <v>0</v>
      </c>
      <c r="X27" s="17">
        <f t="shared" si="11"/>
        <v>0</v>
      </c>
      <c r="Y27" s="17">
        <f t="shared" si="11"/>
        <v>0</v>
      </c>
      <c r="Z27" s="17">
        <f t="shared" si="11"/>
        <v>0</v>
      </c>
      <c r="AA27" s="37">
        <f t="shared" si="5"/>
        <v>0</v>
      </c>
      <c r="AB27" s="22">
        <f t="shared" si="6"/>
        <v>0</v>
      </c>
    </row>
    <row r="28" spans="1:28" ht="20.149999999999999" customHeight="1" x14ac:dyDescent="0.35">
      <c r="A28" s="9"/>
      <c r="B28" s="10"/>
      <c r="C28" s="15">
        <f>SUM(C21:C27)</f>
        <v>0</v>
      </c>
      <c r="D28" s="15"/>
      <c r="E28" s="15"/>
      <c r="F28" s="15"/>
      <c r="G28" s="9"/>
      <c r="H28" s="10"/>
      <c r="I28" s="10"/>
      <c r="J28" s="10"/>
      <c r="K28" s="18">
        <f>SUM(K21:K27)</f>
        <v>0</v>
      </c>
      <c r="M28" s="10"/>
      <c r="O28" s="26">
        <f t="shared" ref="O28:T28" si="12">SUM(O21:O27)</f>
        <v>0</v>
      </c>
      <c r="P28" s="26">
        <f t="shared" si="12"/>
        <v>0</v>
      </c>
      <c r="Q28" s="26">
        <f t="shared" si="12"/>
        <v>0</v>
      </c>
      <c r="R28" s="26">
        <f t="shared" si="12"/>
        <v>0</v>
      </c>
      <c r="S28" s="26">
        <f t="shared" si="12"/>
        <v>0</v>
      </c>
      <c r="T28" s="26">
        <f t="shared" si="12"/>
        <v>0</v>
      </c>
      <c r="V28" s="18">
        <f t="shared" ref="V28:AB28" si="13">SUM(V21:V27)</f>
        <v>0</v>
      </c>
      <c r="W28" s="18">
        <f t="shared" si="13"/>
        <v>0</v>
      </c>
      <c r="X28" s="18">
        <f t="shared" si="13"/>
        <v>0</v>
      </c>
      <c r="Y28" s="18">
        <f t="shared" si="13"/>
        <v>0</v>
      </c>
      <c r="Z28" s="18">
        <f t="shared" si="13"/>
        <v>0</v>
      </c>
      <c r="AA28" s="18">
        <f t="shared" si="13"/>
        <v>0</v>
      </c>
      <c r="AB28" s="18">
        <f t="shared" si="13"/>
        <v>0</v>
      </c>
    </row>
  </sheetData>
  <mergeCells count="24">
    <mergeCell ref="AB18:AB19"/>
    <mergeCell ref="F19:F20"/>
    <mergeCell ref="G19:H19"/>
    <mergeCell ref="O19:O20"/>
    <mergeCell ref="A18:A20"/>
    <mergeCell ref="B18:B20"/>
    <mergeCell ref="C18:C20"/>
    <mergeCell ref="D18:D20"/>
    <mergeCell ref="E18:E20"/>
    <mergeCell ref="F18:J18"/>
    <mergeCell ref="X19:X20"/>
    <mergeCell ref="Y19:Y20"/>
    <mergeCell ref="Z19:Z20"/>
    <mergeCell ref="I19:J19"/>
    <mergeCell ref="P19:P20"/>
    <mergeCell ref="Q19:Q20"/>
    <mergeCell ref="R19:R20"/>
    <mergeCell ref="S19:S20"/>
    <mergeCell ref="V19:V20"/>
    <mergeCell ref="W19:W20"/>
    <mergeCell ref="K18:K19"/>
    <mergeCell ref="M18:M19"/>
    <mergeCell ref="O18:T18"/>
    <mergeCell ref="V18:AA18"/>
  </mergeCells>
  <printOptions horizontalCentered="1"/>
  <pageMargins left="0.25" right="0.25" top="0.75" bottom="0.75" header="0.3" footer="0.3"/>
  <pageSetup paperSize="9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FDN</vt:lpstr>
      <vt:lpstr>ERE</vt:lpstr>
      <vt:lpstr>Micro Plan Dec-24 TA-504</vt:lpstr>
      <vt:lpstr>Micro Plan-Nov24 TA-504</vt:lpstr>
      <vt:lpstr>Sheet1</vt:lpstr>
      <vt:lpstr>Stub dispatch</vt:lpstr>
      <vt:lpstr>STG-July24</vt:lpstr>
      <vt:lpstr>ERE!Print_Area</vt:lpstr>
      <vt:lpstr>FDN!Print_Area</vt:lpstr>
      <vt:lpstr>ERE!Print_Titles</vt:lpstr>
      <vt:lpstr>FDN!Print_Titles</vt:lpstr>
      <vt:lpstr>'Micro Plan Dec-24 TA-504'!Print_Titles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Tarafdar</dc:creator>
  <cp:lastModifiedBy>Abir Kumar Das</cp:lastModifiedBy>
  <cp:lastPrinted>2024-05-23T07:04:00Z</cp:lastPrinted>
  <dcterms:created xsi:type="dcterms:W3CDTF">2015-06-05T18:17:20Z</dcterms:created>
  <dcterms:modified xsi:type="dcterms:W3CDTF">2025-11-01T07:27:05Z</dcterms:modified>
</cp:coreProperties>
</file>