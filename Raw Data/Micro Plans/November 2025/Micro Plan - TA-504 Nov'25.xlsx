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Projects\DPR\TA-504\"/>
    </mc:Choice>
  </mc:AlternateContent>
  <xr:revisionPtr revIDLastSave="0" documentId="13_ncr:1_{EF7E8B09-0672-410F-968C-B8D654793003}" xr6:coauthVersionLast="47" xr6:coauthVersionMax="47" xr10:uidLastSave="{00000000-0000-0000-0000-000000000000}"/>
  <bookViews>
    <workbookView xWindow="-110" yWindow="-110" windowWidth="19420" windowHeight="11500" tabRatio="757" firstSheet="2" activeTab="2" xr2:uid="{00000000-000D-0000-FFFF-FFFF00000000}"/>
  </bookViews>
  <sheets>
    <sheet name="FDN-June25" sheetId="1" state="hidden" r:id="rId1"/>
    <sheet name="Stub dispatch" sheetId="4" state="hidden" r:id="rId2"/>
    <sheet name="Erection-Nov25" sheetId="2" r:id="rId3"/>
    <sheet name="Stringing- Nov25 " sheetId="6" r:id="rId4"/>
    <sheet name="STG-Sep25" sheetId="3" state="hidden" r:id="rId5"/>
  </sheets>
  <definedNames>
    <definedName name="_xlnm._FilterDatabase" localSheetId="2" hidden="1">'Erection-Nov25'!$A$1:$O$22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" i="2"/>
  <c r="H13" i="6" l="1"/>
  <c r="K32" i="3" l="1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T26" i="3" l="1"/>
  <c r="T27" i="3"/>
  <c r="T28" i="3"/>
  <c r="T33" i="3"/>
  <c r="Y24" i="3"/>
  <c r="X24" i="3" l="1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AA30" i="3" l="1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<sst xmlns="http://schemas.openxmlformats.org/spreadsheetml/2006/main" count="306" uniqueCount="175">
  <si>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</si>
  <si>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</si>
  <si>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</si>
  <si>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</si>
  <si>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</si>
  <si>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</si>
  <si>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</si>
  <si>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</si>
  <si>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</si>
  <si>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</si>
  <si>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</si>
  <si>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</si>
  <si>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</si>
  <si>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</si>
  <si>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</si>
  <si>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</si>
  <si>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</si>
  <si>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</si>
  <si>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</si>
  <si>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</si>
  <si>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</si>
  <si>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</si>
  <si>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</si>
  <si>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</si>
  <si>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</si>
  <si>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</si>
  <si>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</si>
  <si>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</si>
  <si>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</si>
  <si>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</si>
  <si>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</si>
  <si>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</si>
  <si>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</si>
  <si>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</si>
  <si>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</si>
  <si>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</si>
  <si>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</si>
  <si>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</si>
  <si>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</si>
  <si>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</si>
  <si>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</si>
  <si>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</si>
  <si>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</si>
  <si>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</si>
  <si>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</si>
  <si>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</si>
  <si>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</si>
  <si>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</si>
  <si>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</si>
  <si>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</si>
  <si>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</si>
  <si>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</si>
  <si>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</si>
  <si>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</si>
  <si>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</si>
  <si>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</si>
  <si>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</si>
  <si>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</si>
  <si>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</si>
  <si>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</si>
  <si>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</si>
  <si>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</si>
  <si>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</si>
  <si>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</si>
  <si>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</si>
  <si>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</si>
  <si>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</si>
  <si>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</si>
  <si>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</si>
  <si>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</si>
  <si>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</si>
  <si>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</si>
  <si>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</si>
  <si>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</si>
  <si>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</si>
  <si>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</si>
  <si>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</si>
  <si>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</si>
  <si>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</si>
  <si>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</si>
  <si>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</si>
  <si>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</si>
  <si>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</si>
  <si>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</si>
  <si>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</si>
  <si>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</si>
  <si>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</si>
  <si>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</si>
  <si>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</si>
  <si>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</si>
  <si>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</si>
  <si>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</si>
  <si>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</si>
  <si>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</si>
  <si>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</si>
  <si>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</si>
  <si>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</si>
  <si>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</si>
  <si>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</si>
  <si>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</si>
  <si>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</si>
  <si>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</si>
  <si>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</si>
  <si>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</si>
  <si>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</si>
  <si>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</si>
  <si>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</si>
  <si>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Tower Weight</t>
  </si>
  <si>
    <t>Gang Name</t>
  </si>
  <si>
    <t>Revenue Planned</t>
  </si>
  <si>
    <t>Starting Date</t>
  </si>
  <si>
    <t>Completion Date</t>
  </si>
  <si>
    <t>Location No.</t>
  </si>
  <si>
    <t>Material Feeding</t>
  </si>
  <si>
    <t>Revenue Realised</t>
  </si>
  <si>
    <t>14/0</t>
  </si>
  <si>
    <t>13/0</t>
  </si>
  <si>
    <t>28/0</t>
  </si>
  <si>
    <t>22/0</t>
  </si>
  <si>
    <t>26/0</t>
  </si>
  <si>
    <t>27/0</t>
  </si>
  <si>
    <t>Name of the line : 765 KV D/C Bikaner III - Neemrana II TL02</t>
  </si>
  <si>
    <t>Powergrid Bikaner Neemrana Transmission Limited (Power Grid Corporation of India)</t>
  </si>
  <si>
    <t>Executing Agency:- KEC International Limited</t>
  </si>
  <si>
    <t>Datewise Stringing planning for the month of November 2025</t>
  </si>
  <si>
    <t>Sr no</t>
  </si>
  <si>
    <t>Section Name</t>
  </si>
  <si>
    <t>Tower Erection  Status</t>
  </si>
  <si>
    <t>Tower in section</t>
  </si>
  <si>
    <t>Insulator Hoisting</t>
  </si>
  <si>
    <t>Paying Out Start</t>
  </si>
  <si>
    <t>Paying Out Completed</t>
  </si>
  <si>
    <t>Final sag complete</t>
  </si>
  <si>
    <t>AP-6 - AP-7/0</t>
  </si>
  <si>
    <t xml:space="preserve">Complete </t>
  </si>
  <si>
    <t>Rahim Khan</t>
  </si>
  <si>
    <t>AP-5 - AP-5A/0</t>
  </si>
  <si>
    <t>AP-5A/0 - AP-6</t>
  </si>
  <si>
    <t>AP-32A/0 - AP-33/0</t>
  </si>
  <si>
    <t>Tanjira Bibi</t>
  </si>
  <si>
    <t>AP-32/0 - AP-32A/0</t>
  </si>
  <si>
    <t>AP-33/0 - AP-34/0</t>
  </si>
  <si>
    <t>Total length (KM)</t>
  </si>
  <si>
    <t xml:space="preserve">Micro Plan - Stringing </t>
  </si>
  <si>
    <t>Section Length Miter</t>
  </si>
  <si>
    <t>11/5</t>
  </si>
  <si>
    <t>DA+3</t>
  </si>
  <si>
    <t>DB2+0</t>
  </si>
  <si>
    <t>DD45+0</t>
  </si>
  <si>
    <t>26/9</t>
  </si>
  <si>
    <t>DA+0</t>
  </si>
  <si>
    <t>30/1</t>
  </si>
  <si>
    <t>DA+9</t>
  </si>
  <si>
    <t>16/4</t>
  </si>
  <si>
    <t>19/2</t>
  </si>
  <si>
    <t>23/0</t>
  </si>
  <si>
    <t>DC2+3</t>
  </si>
  <si>
    <t>DC2+0</t>
  </si>
  <si>
    <t>26/7</t>
  </si>
  <si>
    <t>26/10</t>
  </si>
  <si>
    <t>DC1+0</t>
  </si>
  <si>
    <t>30/0</t>
  </si>
  <si>
    <t>30/3</t>
  </si>
  <si>
    <t>31/0</t>
  </si>
  <si>
    <t>31/2</t>
  </si>
  <si>
    <t>DB1+6</t>
  </si>
  <si>
    <t xml:space="preserve">32/0 </t>
  </si>
  <si>
    <t>DB1+0</t>
  </si>
  <si>
    <t>32/2</t>
  </si>
  <si>
    <t>DB1+9</t>
  </si>
  <si>
    <t>33/0</t>
  </si>
  <si>
    <t>Prasant Kumar</t>
  </si>
  <si>
    <t>Rajesh Singh</t>
  </si>
  <si>
    <t>Teklal Mahto</t>
  </si>
  <si>
    <t>Rameswar Mahto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</si>
</sst>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_ * #,##0_ ;_ * \-#,##0_ ;_ * &quot;-&quot;??_ ;_ @_ "/>
    <numFmt numFmtId="165" formatCode="[$-409]d\-mmm\-yy;@"/>
    <numFmt numFmtId="166" formatCode="[$-F400]h:mm:ss\ AM/PM"/>
    <numFmt numFmtId="167" formatCode="[$-409]d/mmm/yy;@"/>
    <numFmt numFmtId="168" formatCode="0.0"/>
    <numFmt numFmtId="169" formatCode="#,##0.000"/>
    <numFmt numFmtId="170" formatCode="0.000"/>
    <numFmt numFmtId="171" formatCode="_-* #,##0.00_-;\-* #,##0.00_-;_-* &quot;-&quot;??_-;_-@_-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sz val="12"/>
      <name val="Calibri"/>
      <family val="2"/>
      <scheme val="minor"/>
    </font>
    <font>
      <b/>
      <sz val="10"/>
      <name val="Arial"/>
      <family val="2"/>
    </font>
    <font>
      <sz val="12"/>
      <color indexed="8"/>
      <name val="Verdana"/>
      <family val="2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  <font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7" fontId="1" fillId="0" borderId="0"/>
    <xf numFmtId="167" fontId="13" fillId="0" borderId="0"/>
    <xf numFmtId="9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30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30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13" fillId="0" borderId="0"/>
    <xf numFmtId="0" fontId="13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2" fillId="0" borderId="0"/>
    <xf numFmtId="0" fontId="1" fillId="0" borderId="0"/>
    <xf numFmtId="0" fontId="1" fillId="11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>
      <alignment vertical="center"/>
    </xf>
    <xf numFmtId="0" fontId="18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8" fillId="0" borderId="0">
      <protection locked="0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9" fontId="18" fillId="0" borderId="0" applyFont="0" applyFill="0" applyBorder="0" applyAlignment="0" applyProtection="0"/>
    <xf numFmtId="0" fontId="18" fillId="0" borderId="0">
      <alignment vertical="center"/>
    </xf>
    <xf numFmtId="0" fontId="1" fillId="0" borderId="0"/>
    <xf numFmtId="0" fontId="13" fillId="0" borderId="0"/>
    <xf numFmtId="0" fontId="1" fillId="0" borderId="0"/>
    <xf numFmtId="0" fontId="33" fillId="0" borderId="0"/>
    <xf numFmtId="43" fontId="33" fillId="0" borderId="0" applyFont="0" applyFill="0" applyBorder="0" applyAlignment="0" applyProtection="0"/>
    <xf numFmtId="171" fontId="13" fillId="0" borderId="0" applyFont="0" applyFill="0" applyBorder="0" applyAlignment="0" applyProtection="0"/>
    <xf numFmtId="0" fontId="1" fillId="0" borderId="0"/>
    <xf numFmtId="0" fontId="13" fillId="0" borderId="0"/>
    <xf numFmtId="171" fontId="13" fillId="0" borderId="0" applyFont="0" applyFill="0" applyBorder="0" applyAlignment="0" applyProtection="0"/>
    <xf numFmtId="0" fontId="13" fillId="0" borderId="0"/>
    <xf numFmtId="171" fontId="1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  <xf numFmtId="0" fontId="13" fillId="0" borderId="0"/>
    <xf numFmtId="0" fontId="13" fillId="0" borderId="0"/>
    <xf numFmtId="0" fontId="1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3" fillId="0" borderId="0" applyFont="0" applyFill="0" applyBorder="0" applyAlignment="0" applyProtection="0"/>
  </cellStyleXfs>
  <cellXfs count="22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43" fontId="0" fillId="0" borderId="3" xfId="1" applyFont="1" applyBorder="1" applyAlignment="1">
      <alignment vertical="center"/>
    </xf>
    <xf numFmtId="43" fontId="0" fillId="0" borderId="2" xfId="1" applyFont="1" applyBorder="1" applyAlignment="1">
      <alignment vertical="center"/>
    </xf>
    <xf numFmtId="43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43" fontId="0" fillId="0" borderId="1" xfId="0" applyNumberFormat="1" applyBorder="1" applyAlignment="1">
      <alignment vertical="center"/>
    </xf>
    <xf numFmtId="43" fontId="0" fillId="0" borderId="2" xfId="0" applyNumberFormat="1" applyBorder="1" applyAlignment="1">
      <alignment vertical="center"/>
    </xf>
    <xf numFmtId="164" fontId="0" fillId="0" borderId="3" xfId="1" applyNumberFormat="1" applyFont="1" applyBorder="1" applyAlignment="1">
      <alignment vertical="center"/>
    </xf>
    <xf numFmtId="164" fontId="0" fillId="0" borderId="1" xfId="1" applyNumberFormat="1" applyFont="1" applyBorder="1" applyAlignment="1">
      <alignment vertical="center"/>
    </xf>
    <xf numFmtId="164" fontId="0" fillId="0" borderId="2" xfId="1" applyNumberFormat="1" applyFont="1" applyBorder="1" applyAlignment="1">
      <alignment vertical="center"/>
    </xf>
    <xf numFmtId="164" fontId="0" fillId="0" borderId="6" xfId="1" applyNumberFormat="1" applyFont="1" applyBorder="1" applyAlignment="1">
      <alignment vertical="center"/>
    </xf>
    <xf numFmtId="164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43" fontId="0" fillId="0" borderId="0" xfId="0" applyNumberFormat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43" fontId="3" fillId="0" borderId="0" xfId="0" applyNumberFormat="1" applyFont="1" applyAlignment="1">
      <alignment horizontal="center" vertical="center"/>
    </xf>
    <xf numFmtId="43" fontId="10" fillId="0" borderId="0" xfId="0" applyNumberFormat="1" applyFont="1" applyAlignment="1">
      <alignment horizontal="center" vertical="center"/>
    </xf>
    <xf numFmtId="164" fontId="0" fillId="0" borderId="0" xfId="1" applyNumberFormat="1" applyFont="1" applyAlignment="1">
      <alignment vertical="center"/>
    </xf>
    <xf numFmtId="164" fontId="10" fillId="0" borderId="0" xfId="1" applyNumberFormat="1" applyFont="1" applyAlignment="1">
      <alignment vertical="center"/>
    </xf>
    <xf numFmtId="43" fontId="3" fillId="0" borderId="3" xfId="1" applyFont="1" applyBorder="1" applyAlignment="1">
      <alignment vertical="center"/>
    </xf>
    <xf numFmtId="43" fontId="3" fillId="0" borderId="1" xfId="1" applyFont="1" applyBorder="1" applyAlignment="1">
      <alignment vertical="center"/>
    </xf>
    <xf numFmtId="43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4" fontId="0" fillId="4" borderId="0" xfId="1" applyNumberFormat="1" applyFont="1" applyFill="1" applyAlignment="1">
      <alignment horizontal="center" vertical="center"/>
    </xf>
    <xf numFmtId="164" fontId="10" fillId="4" borderId="0" xfId="1" applyNumberFormat="1" applyFont="1" applyFill="1" applyAlignment="1">
      <alignment horizontal="center" vertical="center"/>
    </xf>
    <xf numFmtId="164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4" fontId="3" fillId="5" borderId="0" xfId="1" applyNumberFormat="1" applyFont="1" applyFill="1" applyAlignment="1">
      <alignment vertical="center"/>
    </xf>
    <xf numFmtId="164" fontId="3" fillId="4" borderId="0" xfId="1" applyNumberFormat="1" applyFont="1" applyFill="1" applyAlignment="1">
      <alignment horizontal="center" vertical="center"/>
    </xf>
    <xf numFmtId="164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6" fontId="17" fillId="6" borderId="14" xfId="3" applyNumberFormat="1" applyFont="1" applyFill="1" applyBorder="1" applyAlignment="1">
      <alignment horizontal="center" vertical="center" wrapText="1"/>
    </xf>
    <xf numFmtId="165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4" applyNumberFormat="1" applyFont="1" applyFill="1" applyBorder="1" applyAlignment="1">
      <alignment horizontal="center" vertical="center" wrapText="1"/>
    </xf>
    <xf numFmtId="167" fontId="18" fillId="0" borderId="1" xfId="5" applyFont="1" applyBorder="1" applyAlignment="1">
      <alignment horizontal="center" vertical="center" wrapText="1"/>
    </xf>
    <xf numFmtId="165" fontId="19" fillId="0" borderId="1" xfId="6" applyNumberFormat="1" applyFont="1" applyBorder="1" applyAlignment="1">
      <alignment horizontal="center" vertical="center" wrapText="1"/>
    </xf>
    <xf numFmtId="165" fontId="18" fillId="0" borderId="1" xfId="6" applyNumberFormat="1" applyFont="1" applyBorder="1" applyAlignment="1">
      <alignment horizontal="center" vertical="center" wrapText="1"/>
    </xf>
    <xf numFmtId="165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8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43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43" fontId="0" fillId="0" borderId="3" xfId="1" applyFont="1" applyFill="1" applyBorder="1" applyAlignment="1">
      <alignment vertical="center"/>
    </xf>
    <xf numFmtId="164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4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43" fontId="0" fillId="0" borderId="0" xfId="0" applyNumberFormat="1" applyAlignment="1">
      <alignment horizontal="center" vertical="center" wrapText="1"/>
    </xf>
    <xf numFmtId="164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43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69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43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0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0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right" vertical="center" indent="1"/>
    </xf>
    <xf numFmtId="0" fontId="7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15" fontId="27" fillId="10" borderId="1" xfId="0" applyNumberFormat="1" applyFont="1" applyFill="1" applyBorder="1" applyAlignment="1">
      <alignment horizontal="center" vertical="center"/>
    </xf>
    <xf numFmtId="15" fontId="14" fillId="10" borderId="1" xfId="0" applyNumberFormat="1" applyFont="1" applyFill="1" applyBorder="1" applyAlignment="1">
      <alignment horizontal="center"/>
    </xf>
    <xf numFmtId="15" fontId="13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70" fontId="23" fillId="10" borderId="1" xfId="0" applyNumberFormat="1" applyFont="1" applyFill="1" applyBorder="1" applyAlignment="1">
      <alignment horizontal="center" vertical="center" wrapText="1"/>
    </xf>
    <xf numFmtId="165" fontId="11" fillId="10" borderId="1" xfId="0" applyNumberFormat="1" applyFont="1" applyFill="1" applyBorder="1" applyAlignment="1">
      <alignment horizontal="center" vertical="center" wrapText="1"/>
    </xf>
    <xf numFmtId="1" fontId="11" fillId="10" borderId="1" xfId="0" applyNumberFormat="1" applyFont="1" applyFill="1" applyBorder="1" applyAlignment="1">
      <alignment horizontal="center" vertical="center"/>
    </xf>
    <xf numFmtId="1" fontId="11" fillId="10" borderId="1" xfId="0" applyNumberFormat="1" applyFont="1" applyFill="1" applyBorder="1" applyAlignment="1">
      <alignment vertical="center"/>
    </xf>
    <xf numFmtId="0" fontId="0" fillId="10" borderId="0" xfId="0" applyFill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right" vertical="center" indent="1"/>
    </xf>
    <xf numFmtId="0" fontId="6" fillId="10" borderId="0" xfId="0" applyFont="1" applyFill="1" applyAlignment="1">
      <alignment vertical="center"/>
    </xf>
    <xf numFmtId="1" fontId="11" fillId="10" borderId="0" xfId="0" applyNumberFormat="1" applyFont="1" applyFill="1" applyAlignment="1">
      <alignment vertical="center"/>
    </xf>
    <xf numFmtId="14" fontId="0" fillId="10" borderId="0" xfId="0" applyNumberFormat="1" applyFill="1" applyAlignment="1">
      <alignment vertical="center"/>
    </xf>
    <xf numFmtId="164" fontId="0" fillId="10" borderId="0" xfId="1" applyNumberFormat="1" applyFont="1" applyFill="1" applyBorder="1" applyAlignment="1">
      <alignment vertical="center"/>
    </xf>
    <xf numFmtId="43" fontId="11" fillId="10" borderId="0" xfId="1" applyFont="1" applyFill="1" applyBorder="1" applyAlignment="1">
      <alignment vertical="center"/>
    </xf>
    <xf numFmtId="43" fontId="12" fillId="10" borderId="0" xfId="1" applyFont="1" applyFill="1" applyBorder="1" applyAlignment="1">
      <alignment vertical="center"/>
    </xf>
    <xf numFmtId="43" fontId="11" fillId="10" borderId="0" xfId="0" applyNumberFormat="1" applyFont="1" applyFill="1" applyAlignment="1">
      <alignment vertical="center"/>
    </xf>
    <xf numFmtId="0" fontId="27" fillId="10" borderId="1" xfId="0" applyFont="1" applyFill="1" applyBorder="1" applyAlignment="1">
      <alignment horizontal="center" vertical="center"/>
    </xf>
    <xf numFmtId="170" fontId="28" fillId="10" borderId="1" xfId="0" applyNumberFormat="1" applyFont="1" applyFill="1" applyBorder="1" applyAlignment="1">
      <alignment vertical="center" wrapText="1"/>
    </xf>
    <xf numFmtId="15" fontId="14" fillId="10" borderId="1" xfId="0" applyNumberFormat="1" applyFont="1" applyFill="1" applyBorder="1" applyAlignment="1">
      <alignment horizontal="center" vertical="center"/>
    </xf>
    <xf numFmtId="0" fontId="0" fillId="10" borderId="0" xfId="0" applyFill="1"/>
    <xf numFmtId="0" fontId="0" fillId="0" borderId="1" xfId="0" applyBorder="1" applyAlignment="1">
      <alignment horizontal="left" vertical="center"/>
    </xf>
    <xf numFmtId="0" fontId="0" fillId="0" borderId="23" xfId="0" applyBorder="1"/>
    <xf numFmtId="0" fontId="3" fillId="0" borderId="17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0" fillId="0" borderId="14" xfId="0" applyBorder="1" applyAlignment="1">
      <alignment horizontal="left"/>
    </xf>
    <xf numFmtId="0" fontId="3" fillId="0" borderId="14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29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2" fillId="0" borderId="25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22" xfId="0" applyFont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10" borderId="24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9" fillId="12" borderId="20" xfId="78" applyFont="1" applyFill="1" applyBorder="1" applyAlignment="1">
      <alignment horizontal="center" vertical="center" wrapText="1"/>
    </xf>
    <xf numFmtId="0" fontId="29" fillId="12" borderId="1" xfId="78" applyFont="1" applyFill="1" applyBorder="1" applyAlignment="1">
      <alignment horizontal="center" vertical="center" wrapText="1"/>
    </xf>
    <xf numFmtId="0" fontId="29" fillId="12" borderId="19" xfId="78" applyFont="1" applyFill="1" applyBorder="1" applyAlignment="1">
      <alignment horizontal="center" vertical="center" wrapText="1"/>
    </xf>
    <xf numFmtId="0" fontId="29" fillId="12" borderId="16" xfId="78" applyFont="1" applyFill="1" applyBorder="1" applyAlignment="1">
      <alignment horizontal="center" vertical="center" wrapText="1"/>
    </xf>
    <xf numFmtId="0" fontId="29" fillId="12" borderId="28" xfId="78" applyFont="1" applyFill="1" applyBorder="1" applyAlignment="1">
      <alignment horizontal="center" vertical="center" wrapText="1"/>
    </xf>
    <xf numFmtId="0" fontId="29" fillId="12" borderId="18" xfId="78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1" xfId="0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34" fillId="0" borderId="1" xfId="9" applyFont="1" applyBorder="1" applyAlignment="1">
      <alignment horizontal="center" vertical="center" wrapText="1"/>
    </xf>
    <xf numFmtId="2" fontId="34" fillId="0" borderId="7" xfId="9" applyNumberFormat="1" applyFont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</cellXfs>
  <cellStyles count="172">
    <cellStyle name="Comma" xfId="1" builtinId="3"/>
    <cellStyle name="Comma 2" xfId="8" xr:uid="{2E20F6CD-B1A5-4CBE-90C6-C0D98A914F04}"/>
    <cellStyle name="Comma 2 2" xfId="27" xr:uid="{FD699774-564D-4165-ACA8-FE5796B9573C}"/>
    <cellStyle name="Comma 2 2 2" xfId="28" xr:uid="{A817A029-085D-4625-9226-EE73F9DA9A0D}"/>
    <cellStyle name="Comma 2 2 2 2" xfId="159" xr:uid="{AD7D65DB-7B03-45C3-A77F-978AAD2F1E35}"/>
    <cellStyle name="Comma 2 2 3" xfId="29" xr:uid="{537883D3-78F0-4D2A-8587-495B8601ADD9}"/>
    <cellStyle name="Comma 2 2 3 2" xfId="160" xr:uid="{074D0573-C959-41FE-9F25-F63FFA67F219}"/>
    <cellStyle name="Comma 2 2 4" xfId="158" xr:uid="{96381543-D925-4A8A-83CC-C39B75AF0E95}"/>
    <cellStyle name="Comma 2 3" xfId="30" xr:uid="{225BAD20-9382-4FC1-B85C-204265C025AC}"/>
    <cellStyle name="Comma 2 3 2" xfId="161" xr:uid="{5A94F3EC-3D03-4C4A-B56E-2295F981BE77}"/>
    <cellStyle name="Comma 2 4" xfId="31" xr:uid="{A6C5B56F-531A-4345-9E0D-888AE7883940}"/>
    <cellStyle name="Comma 2 4 2" xfId="162" xr:uid="{36486E07-785B-4463-8C66-35CA82049C19}"/>
    <cellStyle name="Comma 2 5" xfId="32" xr:uid="{64FE2180-8CB5-45B3-805A-DB552829590E}"/>
    <cellStyle name="Comma 2 5 2" xfId="163" xr:uid="{EAF5ED71-79C0-41A9-8A9E-9EABD98B6F35}"/>
    <cellStyle name="Comma 2 6" xfId="149" xr:uid="{EE7F84AA-8137-4872-A51E-41E62D5572E4}"/>
    <cellStyle name="Comma 3" xfId="33" xr:uid="{253F82C8-7CBD-46F0-B528-3A097F079746}"/>
    <cellStyle name="Comma 3 2" xfId="146" xr:uid="{E573A9C8-C8E7-4DED-84F5-CB7AE81E6868}"/>
    <cellStyle name="Comma 3 3" xfId="164" xr:uid="{E73AF516-30B2-421E-8C02-07CE17A635F4}"/>
    <cellStyle name="Comma 4" xfId="34" xr:uid="{A497CA63-8707-4BC2-9ED5-B5C07678F393}"/>
    <cellStyle name="Comma 4 2" xfId="35" xr:uid="{EF598F60-9954-43E9-931C-1D4050B92B5A}"/>
    <cellStyle name="Comma 4 2 2" xfId="165" xr:uid="{C2B0B798-EDB1-4950-AFF1-7DFF50E2CBC8}"/>
    <cellStyle name="Comma 4 3" xfId="36" xr:uid="{87763A32-5049-493C-B789-7823FE9D8A98}"/>
    <cellStyle name="Comma 4 3 2" xfId="166" xr:uid="{EF9A12CF-EA46-4D0A-B583-3E5AE993B322}"/>
    <cellStyle name="Comma 4 4" xfId="37" xr:uid="{FCB6173C-725A-47FD-8477-11BF6DEA92BA}"/>
    <cellStyle name="Comma 4 4 2" xfId="167" xr:uid="{278630B8-1B1B-437D-9A87-CF63686754A8}"/>
    <cellStyle name="Comma 4 5" xfId="145" xr:uid="{A480046C-3B3B-471A-B191-558B15215267}"/>
    <cellStyle name="Comma 4 5 2" xfId="171" xr:uid="{D5FD6221-72EC-40AD-B55E-8E17131BFBE3}"/>
    <cellStyle name="Comma 5" xfId="38" xr:uid="{B8DF94FC-FFB9-4FCE-9AE6-7C4393E98A5C}"/>
    <cellStyle name="Comma 5 2" xfId="151" xr:uid="{05F9C826-DD02-4C26-82B9-C17D5F294288}"/>
    <cellStyle name="Comma 5 3" xfId="168" xr:uid="{A1435E1A-2100-409B-99B3-B224E2FDF20E}"/>
    <cellStyle name="Comma 6" xfId="39" xr:uid="{9CCF015F-1C39-4245-AF9F-7675461D32E3}"/>
    <cellStyle name="Comma 6 2" xfId="169" xr:uid="{7FE6BE4C-B910-41C2-BB1A-1C2333095BA5}"/>
    <cellStyle name="Comma 8" xfId="123" xr:uid="{FC60556E-1828-419E-ACF9-70A516E700CA}"/>
    <cellStyle name="Comma 8 2" xfId="170" xr:uid="{C34DFFE9-BF29-44B7-8045-E3822403A006}"/>
    <cellStyle name="Comma 9 3" xfId="40" xr:uid="{DE253BD0-7B55-4B65-A3E9-2E05D1AE84E8}"/>
    <cellStyle name="Excel Built-in Normal" xfId="26" xr:uid="{4B0B78A8-24BE-4DE7-B5BF-D3DFA24ECD02}"/>
    <cellStyle name="Hyperlink 2" xfId="41" xr:uid="{5D512518-E55B-4CF1-B5B4-F3747C0639D1}"/>
    <cellStyle name="Normal" xfId="0" builtinId="0"/>
    <cellStyle name="Normal 10" xfId="42" xr:uid="{61EDC8BE-3F17-44F6-B8F7-77C6ACFE8EF1}"/>
    <cellStyle name="Normal 10 2" xfId="43" xr:uid="{DAD1D835-595F-4E1D-8EDF-0DF8294CB5A6}"/>
    <cellStyle name="Normal 10 2 2" xfId="44" xr:uid="{B8AA788E-5693-41F1-B275-189CED6A41CF}"/>
    <cellStyle name="Normal 10 2 2 2" xfId="45" xr:uid="{68F88BC1-CA3E-46C8-B14C-F15208C21D33}"/>
    <cellStyle name="Normal 10 2 3" xfId="46" xr:uid="{105C9580-075C-489A-ADD1-860611A7E48C}"/>
    <cellStyle name="Normal 10 3" xfId="47" xr:uid="{574BA8C5-B14F-4EF1-B031-45761E46E4E7}"/>
    <cellStyle name="Normal 10 3 2" xfId="48" xr:uid="{F486F0CE-0B9E-47B5-89BD-EA71EF05B214}"/>
    <cellStyle name="Normal 10 4" xfId="49" xr:uid="{4830B325-99EE-4663-AF27-ECFC7AAD8A89}"/>
    <cellStyle name="Normal 103" xfId="24" xr:uid="{91A4F84A-61E0-4BF9-80BE-E89A220C73D0}"/>
    <cellStyle name="Normal 11" xfId="5" xr:uid="{8A939B8D-25B5-4FC2-BE9D-DDCA7038C58F}"/>
    <cellStyle name="Normal 11 2" xfId="51" xr:uid="{5187C142-C010-4086-B8EF-C0D8D904146D}"/>
    <cellStyle name="Normal 11 2 2" xfId="52" xr:uid="{677E1718-98D0-4750-BE7D-F4B5DDEA912B}"/>
    <cellStyle name="Normal 11 3" xfId="53" xr:uid="{0E8DB0D8-01CE-4C54-BC15-E0E2D8852324}"/>
    <cellStyle name="Normal 11 4" xfId="50" xr:uid="{D67E0BBE-4D48-496E-A7E5-2DFC3D7CAA70}"/>
    <cellStyle name="Normal 12" xfId="54" xr:uid="{862B9B1A-71D1-4A1F-8A32-6F7AD0BB748F}"/>
    <cellStyle name="Normal 12 2" xfId="55" xr:uid="{62964828-3A9F-47BA-B352-70351C2E04FD}"/>
    <cellStyle name="Normal 120" xfId="21" xr:uid="{51933D66-E223-4713-A2CA-4B3163621514}"/>
    <cellStyle name="Normal 13" xfId="56" xr:uid="{AE508FE7-BCC3-4BA6-BC1A-63FADE47E2C0}"/>
    <cellStyle name="Normal 14" xfId="57" xr:uid="{3AB4460D-4F7C-4875-857E-5C58B8580619}"/>
    <cellStyle name="Normal 14 2 2" xfId="58" xr:uid="{0CEC88A3-2AE0-4CC1-9772-E6E76FD289B8}"/>
    <cellStyle name="Normal 15" xfId="127" xr:uid="{C09409E0-654A-4A29-9F3F-F6914948C869}"/>
    <cellStyle name="Normal 16" xfId="128" xr:uid="{3388264D-A2FB-4F43-9306-CACEDC48801E}"/>
    <cellStyle name="Normal 16 2" xfId="140" xr:uid="{A3D6A97B-DE01-49D9-83C0-5E830BC67B95}"/>
    <cellStyle name="Normal 17" xfId="10" xr:uid="{FB728059-7B66-4FB9-A5E0-ADE18B5FFE38}"/>
    <cellStyle name="Normal 17 2" xfId="154" xr:uid="{D1AB86D3-F2B6-4D46-87E5-A1F47B307EBB}"/>
    <cellStyle name="Normal 188" xfId="12" xr:uid="{3CFBDC6D-5D6B-482D-AA21-814FB75E0B2F}"/>
    <cellStyle name="Normal 191" xfId="22" xr:uid="{D3C5529B-92F0-42E8-A10F-B7F5CCCD876D}"/>
    <cellStyle name="Normal 192" xfId="11" xr:uid="{D8393BB2-6890-4D3C-9BE2-095148EFAA3D}"/>
    <cellStyle name="Normal 195" xfId="20" xr:uid="{29503BE6-7324-48E9-9756-7D243BA75515}"/>
    <cellStyle name="Normal 196" xfId="15" xr:uid="{90DC8C3C-61E2-4A76-8A25-09F0D5F88207}"/>
    <cellStyle name="Normal 197" xfId="59" xr:uid="{A0378080-C794-4A12-9F34-4C083ADBFB7C}"/>
    <cellStyle name="Normal 2" xfId="60" xr:uid="{D43E75B3-7195-4A4A-9A38-4FD879BDD943}"/>
    <cellStyle name="Normal 2 10" xfId="142" xr:uid="{2710CF07-BA82-4EC0-8765-D883D0043A8D}"/>
    <cellStyle name="Normal 2 10 2 5 2" xfId="6" xr:uid="{0EA982F3-DC21-4E99-AAAB-6AD064B0EC05}"/>
    <cellStyle name="Normal 2 10 2 6" xfId="3" xr:uid="{BB34A5C0-63BA-480D-920F-445FEC5EA3E3}"/>
    <cellStyle name="Normal 2 2" xfId="9" xr:uid="{EB1085D2-CAC1-49AF-881E-5E46E6B9465A}"/>
    <cellStyle name="Normal 2 2 2" xfId="62" xr:uid="{0F154F4E-4575-4B91-8C32-8C7F3FDC7039}"/>
    <cellStyle name="Normal 2 2 2 2" xfId="131" xr:uid="{F98A6351-3DBA-45B8-8548-0BD16A4450ED}"/>
    <cellStyle name="Normal 2 2 3" xfId="63" xr:uid="{0DA2AC20-3625-4136-A9E8-E3ED9573D39E}"/>
    <cellStyle name="Normal 2 2 4" xfId="64" xr:uid="{7710881D-B070-46AA-9671-E05445A50F75}"/>
    <cellStyle name="Normal 2 2 4 2" xfId="132" xr:uid="{55D34F5F-E256-4E39-9CAA-1361B8786553}"/>
    <cellStyle name="Normal 2 2 5" xfId="61" xr:uid="{65A878C0-A08A-4BCB-AA7D-F297E51316DE}"/>
    <cellStyle name="Normal 2 3" xfId="65" xr:uid="{D8D09899-7E7A-42DB-96EC-4E7F21B7AFFB}"/>
    <cellStyle name="Normal 2 3 2" xfId="66" xr:uid="{506DD230-8591-4823-BE60-CC5CACD5E2CE}"/>
    <cellStyle name="Normal 2 3 3" xfId="67" xr:uid="{2689612B-06FE-4300-8FAD-2AC655981E73}"/>
    <cellStyle name="Normal 2 3 3 2" xfId="133" xr:uid="{2CD6F429-9266-49AA-A821-A184FA868FCC}"/>
    <cellStyle name="Normal 2 3 5" xfId="155" xr:uid="{AB05C6DF-FAA9-42FF-973B-3C733AF8802B}"/>
    <cellStyle name="Normal 2 3 9" xfId="157" xr:uid="{C2228F76-E400-4F56-8AC4-0AE2A141C6DE}"/>
    <cellStyle name="Normal 2 4" xfId="68" xr:uid="{8C4DF45F-B64E-44F0-A8DE-4108ACBE94E8}"/>
    <cellStyle name="Normal 2 5" xfId="69" xr:uid="{F5A50168-4EF0-4E4D-9111-C00F431D34F1}"/>
    <cellStyle name="Normal 2 5 2" xfId="70" xr:uid="{A0A7370F-DDD1-430B-BAA8-8250CC898EEC}"/>
    <cellStyle name="Normal 2 5 2 2" xfId="71" xr:uid="{D203A526-1598-4459-87B3-D07D365EFB02}"/>
    <cellStyle name="Normal 2 5 3" xfId="72" xr:uid="{05F4E01B-3ABC-4CF8-878A-FAC507323BEC}"/>
    <cellStyle name="Normal 2 6" xfId="73" xr:uid="{12C9A841-0713-4B2E-9FEB-259259B857C1}"/>
    <cellStyle name="Normal 2 6 2" xfId="134" xr:uid="{2CEADF2C-1055-465F-9A8E-DC20ADCAE933}"/>
    <cellStyle name="Normal 201 2" xfId="19" xr:uid="{7A9F1CE6-A645-432E-B2C2-9793B018DF90}"/>
    <cellStyle name="Normal 207" xfId="14" xr:uid="{BA8AB5B8-961E-4DFA-94B4-5E9EEE3A490F}"/>
    <cellStyle name="Normal 211" xfId="13" xr:uid="{58520A77-1171-433D-8FAE-25797FF0B801}"/>
    <cellStyle name="Normal 218" xfId="17" xr:uid="{E55ABECC-E800-4903-9A1C-14BDD498D09D}"/>
    <cellStyle name="Normal 219" xfId="18" xr:uid="{DFC60562-02A4-4EA4-8096-F18F39B0DE19}"/>
    <cellStyle name="Normal 222" xfId="16" xr:uid="{83AE90D7-9474-4B42-9990-710167A5A419}"/>
    <cellStyle name="Normal 23 3" xfId="74" xr:uid="{71F02E23-7A9C-4F62-AF06-D0DD87D80160}"/>
    <cellStyle name="Normal 23 3 2" xfId="75" xr:uid="{6A09EECE-E2FF-4146-B602-2E48811CC568}"/>
    <cellStyle name="Normal 23 3 3" xfId="76" xr:uid="{57A9152D-A47F-43F7-80C7-28E1E55C8594}"/>
    <cellStyle name="Normal 3" xfId="25" xr:uid="{2DA1E557-7CA6-467D-8A70-659D8412FB6A}"/>
    <cellStyle name="Normal 3 10" xfId="78" xr:uid="{E10D7964-DE47-4FBD-90E9-F075491F9699}"/>
    <cellStyle name="Normal 3 2" xfId="79" xr:uid="{127652A4-A442-415F-B5DD-6DC574D9E517}"/>
    <cellStyle name="Normal 3 2 2" xfId="80" xr:uid="{2F8E8866-64D9-4ABC-8D0B-D95C6011ED93}"/>
    <cellStyle name="Normal 3 2 3" xfId="81" xr:uid="{294A3EE9-019B-4D1E-8BCB-FF43A76F5258}"/>
    <cellStyle name="Normal 3 2 4" xfId="82" xr:uid="{A0C54588-0E40-4DF0-828E-4952645BEECF}"/>
    <cellStyle name="Normal 3 2 5" xfId="152" xr:uid="{2E453548-EA17-469D-A766-59BEC6AF2718}"/>
    <cellStyle name="Normal 3 3" xfId="83" xr:uid="{20DCA2CC-6A3D-4824-AF1D-725283304112}"/>
    <cellStyle name="Normal 3 4" xfId="84" xr:uid="{77212FBC-48D1-41A3-8D0F-8210AC06A042}"/>
    <cellStyle name="Normal 3 4 2" xfId="136" xr:uid="{3BC25981-0201-40DC-9E9A-81F59F9F4B0B}"/>
    <cellStyle name="Normal 3 5" xfId="135" xr:uid="{E360D9AC-FDFB-4BCD-98FE-54531C1C2495}"/>
    <cellStyle name="Normal 3 6" xfId="144" xr:uid="{CE775F05-1A7D-45B1-A427-F6C5E52B29AF}"/>
    <cellStyle name="Normal 3 7" xfId="77" xr:uid="{C5AA02B2-5B5C-4016-9471-80FDEAB2A151}"/>
    <cellStyle name="Normal 31 2" xfId="85" xr:uid="{BF73545A-CB3F-4902-A479-D9720EB351F4}"/>
    <cellStyle name="Normal 4" xfId="86" xr:uid="{A80EC400-6FBA-4D54-8161-0B610B470F5D}"/>
    <cellStyle name="Normal 4 2" xfId="87" xr:uid="{879492FF-5AAD-439D-9D1F-33E52593655D}"/>
    <cellStyle name="Normal 4 2 2" xfId="88" xr:uid="{B6C39076-8261-459E-BD56-136E5E699100}"/>
    <cellStyle name="Normal 4 2 2 2" xfId="125" xr:uid="{DC5B950D-A3F4-4FC7-9450-B56C76430C77}"/>
    <cellStyle name="Normal 4 2 3" xfId="89" xr:uid="{C072DAE4-5B18-45FF-B024-231D1C751D0C}"/>
    <cellStyle name="Normal 4 2 4" xfId="90" xr:uid="{09CB6DDD-8F91-4B3B-B6E0-D35D28BD1F07}"/>
    <cellStyle name="Normal 4 2 5 2" xfId="126" xr:uid="{FE5E8AA6-6C64-4097-82C6-AE0E3F1EED7E}"/>
    <cellStyle name="Normal 4 2 6" xfId="122" xr:uid="{8DD8D17C-A0BD-49CC-9042-CA020E40048B}"/>
    <cellStyle name="Normal 4 2 7" xfId="141" xr:uid="{E2DDE9E8-B2B2-4AF4-B34E-6161A293D6D3}"/>
    <cellStyle name="Normal 4 3" xfId="91" xr:uid="{AA82797F-A2A8-46AF-ABA5-9F8918423FF9}"/>
    <cellStyle name="Normal 4 4" xfId="129" xr:uid="{D4C2032B-2DE2-4F27-8BF0-A4A6D3391CBB}"/>
    <cellStyle name="Normal 4 5" xfId="150" xr:uid="{C9E83FA6-B5A4-4216-A1E0-8FAF9F1E1ED1}"/>
    <cellStyle name="Normal 40" xfId="120" xr:uid="{FAA10356-B0BE-4A7E-BF9B-8DC29D560DD7}"/>
    <cellStyle name="Normal 42" xfId="147" xr:uid="{25E06453-2EA3-4264-8175-32212DE4F481}"/>
    <cellStyle name="Normal 48" xfId="148" xr:uid="{E875630B-6065-45B1-A957-8BB61C9DBA3E}"/>
    <cellStyle name="Normal 5" xfId="23" xr:uid="{3FC12385-9363-45A8-94D8-55F9303BEA9B}"/>
    <cellStyle name="Normal 5 2" xfId="93" xr:uid="{ECA4A7C7-45E6-436D-A6BA-C760992E37A7}"/>
    <cellStyle name="Normal 5 2 2" xfId="94" xr:uid="{AC647EB3-B0B1-4A4F-BD1B-BB1631263AFB}"/>
    <cellStyle name="Normal 5 3" xfId="95" xr:uid="{1353B93A-5300-4CEC-AC67-6D60788984A3}"/>
    <cellStyle name="Normal 5 4" xfId="96" xr:uid="{5EC9B0E8-6460-4E9F-B613-CD27D5A1595A}"/>
    <cellStyle name="Normal 5 5" xfId="97" xr:uid="{93F54DA2-4936-4C3C-B8CB-8B2D38225C67}"/>
    <cellStyle name="Normal 5 6" xfId="156" xr:uid="{F310C77F-304A-4740-9290-1CE0F042240E}"/>
    <cellStyle name="Normal 5 7" xfId="92" xr:uid="{D5A62684-07B0-4C49-9405-B76FB0A71851}"/>
    <cellStyle name="Normal 6" xfId="98" xr:uid="{02E760A2-C246-4029-B9A3-F0E853575294}"/>
    <cellStyle name="Normal 6 2" xfId="143" xr:uid="{3A0ECEF6-6DF5-4555-AEBD-118B24AA48C2}"/>
    <cellStyle name="Normal 7" xfId="99" xr:uid="{D788365C-1296-4F83-BC64-1D8C343D2AE7}"/>
    <cellStyle name="Normal 7 2" xfId="100" xr:uid="{7AECFAFE-DE26-4D34-8FDF-4E7392E2830E}"/>
    <cellStyle name="Normal 7 3" xfId="101" xr:uid="{33E6F553-1AE9-4C06-BE4C-C8464EA7EB39}"/>
    <cellStyle name="Normal 7 4" xfId="102" xr:uid="{09979A8B-B7A9-4288-952A-9C6754F01DC2}"/>
    <cellStyle name="Normal 7 4 2" xfId="137" xr:uid="{D23F6B30-F7C1-4AC8-8C2B-6478E36B53D0}"/>
    <cellStyle name="Normal 8" xfId="103" xr:uid="{20344BE7-C455-4AF8-9C1F-9B83D8F6EDA2}"/>
    <cellStyle name="Normal 8 2" xfId="104" xr:uid="{7338F2B5-014F-4F56-897D-69BA9104A31E}"/>
    <cellStyle name="Normal 8 2 2" xfId="105" xr:uid="{5705F4F9-4F32-4C8B-9BDC-5E526246A468}"/>
    <cellStyle name="Normal 8 3" xfId="106" xr:uid="{0242F18E-831B-447C-8C1D-3B8D9167B42A}"/>
    <cellStyle name="Normal 8 4" xfId="107" xr:uid="{07AF4C75-FF6A-40EA-AD50-4B9F4421CF6B}"/>
    <cellStyle name="Normal 8 5" xfId="108" xr:uid="{A15A7E48-AC72-4D47-AB6C-C4553663C44D}"/>
    <cellStyle name="Normal 9" xfId="109" xr:uid="{3EC5ECA8-8694-4CB4-AE4F-BF3B22390C31}"/>
    <cellStyle name="Normal 9 2" xfId="138" xr:uid="{860CFF03-D761-479C-91DD-07193DC7EFDD}"/>
    <cellStyle name="Normal_Rev_IPP_ BUB_ 10.04.09 2" xfId="4" xr:uid="{526D1CE4-A6A3-4EA2-BCF4-E0959F12CAFC}"/>
    <cellStyle name="Note 4" xfId="121" xr:uid="{F6C52005-A625-4F55-92BC-90AB7D388AEE}"/>
    <cellStyle name="Percent" xfId="2" builtinId="5"/>
    <cellStyle name="Percent 2" xfId="7" xr:uid="{36A5E538-A591-4B85-8561-9BC706E69FE8}"/>
    <cellStyle name="Percent 2 2" xfId="111" xr:uid="{1666128F-7A3F-4427-BC82-EBEB6C4721A7}"/>
    <cellStyle name="Percent 2 2 2" xfId="112" xr:uid="{008A1059-0C07-4C0E-BE37-1285306BB1FB}"/>
    <cellStyle name="Percent 2 2 2 2" xfId="113" xr:uid="{60D11F46-99F0-41D8-B0A9-230D65319602}"/>
    <cellStyle name="Percent 2 2 3" xfId="114" xr:uid="{CAF3E7A5-1A1F-49BA-AC67-8C34ECCF08CD}"/>
    <cellStyle name="Percent 2 3" xfId="115" xr:uid="{413D99DC-EB28-4E03-B8FB-48CFC2B0371B}"/>
    <cellStyle name="Percent 2 3 2" xfId="116" xr:uid="{B55271C3-2BB3-4697-A238-14EB628BBF5F}"/>
    <cellStyle name="Percent 2 4" xfId="117" xr:uid="{B138D523-64E4-438C-A1EE-E7A0720AD592}"/>
    <cellStyle name="Percent 2 5" xfId="130" xr:uid="{661B0C2A-C63F-4EA9-BEF8-DA01CF4E4D14}"/>
    <cellStyle name="Percent 2 6" xfId="153" xr:uid="{05B21553-878E-414E-8826-FFE7472F9BD7}"/>
    <cellStyle name="Percent 2 7" xfId="110" xr:uid="{D22CF2E6-AF39-45B1-9988-C8DEF0550250}"/>
    <cellStyle name="Percent 3" xfId="118" xr:uid="{ACBA461F-3A90-44CB-A70D-E80C7718A130}"/>
    <cellStyle name="Percent 3 2" xfId="139" xr:uid="{D460FD10-FE74-4097-BA26-D105F3D82820}"/>
    <cellStyle name="Percent 4" xfId="124" xr:uid="{32CBB0B0-D0C8-46CB-AD6B-26DAB717BBAE}"/>
    <cellStyle name="TableStyleLight1" xfId="119" xr:uid="{0B733BF9-52ED-40EC-B19D-44B5DCCD51EC}"/>
  </cellStyles>
  <dxfs count="70"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1796875" defaultRowHeight="14.5" x14ac:dyDescent="0.35"/>
  <cols>
    <col min="1" max="1" width="4.1796875" style="4" customWidth="1"/>
    <col min="2" max="3" width="10" style="1" customWidth="1"/>
    <col min="4" max="4" width="12.54296875" style="4" customWidth="1"/>
    <col min="5" max="6" width="8.7265625" style="4" customWidth="1"/>
    <col min="7" max="7" width="22.26953125" style="4" customWidth="1"/>
    <col min="8" max="8" width="14.26953125" style="1" customWidth="1"/>
    <col min="9" max="9" width="11.54296875" style="1" customWidth="1"/>
    <col min="10" max="10" width="12.54296875" style="1" customWidth="1"/>
    <col min="11" max="11" width="16.1796875" style="1" customWidth="1"/>
    <col min="12" max="12" width="12.1796875" style="1" customWidth="1"/>
    <col min="13" max="13" width="14.81640625" style="1" customWidth="1"/>
    <col min="14" max="14" width="11.26953125" style="1" customWidth="1"/>
    <col min="15" max="15" width="12.1796875" style="1" customWidth="1"/>
    <col min="16" max="16" width="17.7265625" style="1" customWidth="1"/>
    <col min="17" max="17" width="3.1796875" style="1" customWidth="1"/>
    <col min="18" max="18" width="14.54296875" style="1" customWidth="1"/>
    <col min="19" max="19" width="3.1796875" style="1" customWidth="1"/>
    <col min="20" max="25" width="8.7265625" style="1" customWidth="1"/>
    <col min="26" max="26" width="3.1796875" style="1" customWidth="1"/>
    <col min="27" max="27" width="15" style="1" customWidth="1"/>
    <col min="28" max="28" width="15.54296875" style="1" customWidth="1"/>
    <col min="29" max="29" width="17.1796875" style="1" customWidth="1"/>
    <col min="30" max="30" width="13.81640625" style="1" customWidth="1"/>
    <col min="31" max="31" width="10.7265625" style="1" customWidth="1"/>
    <col min="32" max="32" width="15.54296875" style="1" customWidth="1"/>
    <col min="33" max="33" width="17.1796875" style="1" customWidth="1"/>
    <col min="34" max="16384" width="9.17968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4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7"/>
    </row>
    <row r="7" spans="1:13" x14ac:dyDescent="0.35">
      <c r="A7" s="6"/>
      <c r="D7" s="2" t="s">
        <v>2</v>
      </c>
      <c r="E7" s="30">
        <f>E5-E6</f>
        <v>1</v>
      </c>
      <c r="K7" s="3"/>
      <c r="M7" s="97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180" t="s">
        <v>4</v>
      </c>
      <c r="B18" s="180" t="s">
        <v>5</v>
      </c>
      <c r="C18" s="177" t="s">
        <v>6</v>
      </c>
      <c r="D18" s="180" t="s">
        <v>7</v>
      </c>
      <c r="E18" s="177" t="s">
        <v>16</v>
      </c>
      <c r="F18" s="177" t="s">
        <v>17</v>
      </c>
      <c r="G18" s="180" t="s">
        <v>8</v>
      </c>
      <c r="H18" s="192" t="s">
        <v>18</v>
      </c>
      <c r="I18" s="192"/>
      <c r="J18" s="192"/>
      <c r="K18" s="192"/>
      <c r="L18" s="192"/>
      <c r="M18" s="192"/>
      <c r="N18" s="192"/>
      <c r="O18" s="192"/>
      <c r="P18" s="185" t="s">
        <v>19</v>
      </c>
      <c r="R18" s="177" t="s">
        <v>36</v>
      </c>
      <c r="T18" s="186" t="s">
        <v>31</v>
      </c>
      <c r="U18" s="187"/>
      <c r="V18" s="187"/>
      <c r="W18" s="187"/>
      <c r="X18" s="187"/>
      <c r="Y18" s="188"/>
      <c r="AA18" s="186" t="s">
        <v>30</v>
      </c>
      <c r="AB18" s="187"/>
      <c r="AC18" s="187"/>
      <c r="AD18" s="187"/>
      <c r="AE18" s="187"/>
      <c r="AF18" s="188"/>
      <c r="AG18" s="189" t="s">
        <v>34</v>
      </c>
    </row>
    <row r="19" spans="1:33" ht="21" customHeight="1" x14ac:dyDescent="0.35">
      <c r="A19" s="181"/>
      <c r="B19" s="181"/>
      <c r="C19" s="178"/>
      <c r="D19" s="181"/>
      <c r="E19" s="178"/>
      <c r="F19" s="178"/>
      <c r="G19" s="181"/>
      <c r="H19" s="197" t="s">
        <v>9</v>
      </c>
      <c r="I19" s="197"/>
      <c r="J19" s="197" t="s">
        <v>12</v>
      </c>
      <c r="K19" s="197"/>
      <c r="L19" s="197" t="s">
        <v>13</v>
      </c>
      <c r="M19" s="197"/>
      <c r="N19" s="193" t="s">
        <v>15</v>
      </c>
      <c r="O19" s="193" t="s">
        <v>14</v>
      </c>
      <c r="P19" s="185"/>
      <c r="R19" s="191"/>
      <c r="T19" s="183" t="s">
        <v>24</v>
      </c>
      <c r="U19" s="183" t="s">
        <v>25</v>
      </c>
      <c r="V19" s="183" t="s">
        <v>26</v>
      </c>
      <c r="W19" s="183" t="s">
        <v>27</v>
      </c>
      <c r="X19" s="183" t="s">
        <v>28</v>
      </c>
      <c r="Y19" s="43" t="s">
        <v>29</v>
      </c>
      <c r="AA19" s="183" t="s">
        <v>24</v>
      </c>
      <c r="AB19" s="183" t="s">
        <v>25</v>
      </c>
      <c r="AC19" s="183" t="s">
        <v>26</v>
      </c>
      <c r="AD19" s="183" t="s">
        <v>27</v>
      </c>
      <c r="AE19" s="183" t="s">
        <v>28</v>
      </c>
      <c r="AF19" s="43" t="s">
        <v>29</v>
      </c>
      <c r="AG19" s="190"/>
    </row>
    <row r="20" spans="1:33" ht="15" thickBot="1" x14ac:dyDescent="0.4">
      <c r="A20" s="182"/>
      <c r="B20" s="181"/>
      <c r="C20" s="178"/>
      <c r="D20" s="181"/>
      <c r="E20" s="179"/>
      <c r="F20" s="179"/>
      <c r="G20" s="181"/>
      <c r="H20" s="93" t="s">
        <v>10</v>
      </c>
      <c r="I20" s="93" t="s">
        <v>11</v>
      </c>
      <c r="J20" s="93" t="s">
        <v>10</v>
      </c>
      <c r="K20" s="93" t="s">
        <v>11</v>
      </c>
      <c r="L20" s="93" t="s">
        <v>10</v>
      </c>
      <c r="M20" s="93" t="s">
        <v>11</v>
      </c>
      <c r="N20" s="194"/>
      <c r="O20" s="194"/>
      <c r="P20" s="44" t="s">
        <v>50</v>
      </c>
      <c r="R20" s="18" t="s">
        <v>37</v>
      </c>
      <c r="T20" s="184"/>
      <c r="U20" s="184"/>
      <c r="V20" s="184"/>
      <c r="W20" s="184"/>
      <c r="X20" s="184"/>
      <c r="Y20" s="19"/>
      <c r="AA20" s="184"/>
      <c r="AB20" s="184"/>
      <c r="AC20" s="184"/>
      <c r="AD20" s="184"/>
      <c r="AE20" s="184"/>
      <c r="AF20" s="19" t="s">
        <v>50</v>
      </c>
      <c r="AG20" s="44" t="s">
        <v>50</v>
      </c>
    </row>
    <row r="21" spans="1:33" ht="15" customHeight="1" x14ac:dyDescent="0.35">
      <c r="A21" s="96">
        <v>1</v>
      </c>
      <c r="B21" s="107" t="s">
        <v>81</v>
      </c>
      <c r="C21" s="102" t="s">
        <v>80</v>
      </c>
      <c r="D21" s="8" t="s">
        <v>77</v>
      </c>
      <c r="E21" s="101">
        <v>261.19600000000003</v>
      </c>
      <c r="F21" s="96">
        <v>15.029</v>
      </c>
      <c r="G21" s="106" t="s">
        <v>78</v>
      </c>
      <c r="H21" s="98">
        <v>45798</v>
      </c>
      <c r="I21" s="98">
        <v>45801</v>
      </c>
      <c r="J21" s="98">
        <v>45802</v>
      </c>
      <c r="K21" s="98">
        <v>45803</v>
      </c>
      <c r="L21" s="98">
        <v>45804</v>
      </c>
      <c r="M21" s="98">
        <v>45809</v>
      </c>
      <c r="N21" s="98">
        <v>45810</v>
      </c>
      <c r="O21" s="98">
        <v>45811</v>
      </c>
      <c r="P21" s="99">
        <v>4925228.8899999997</v>
      </c>
      <c r="R21" s="98">
        <v>45811</v>
      </c>
      <c r="T21" s="90">
        <v>1</v>
      </c>
      <c r="U21" s="90"/>
      <c r="V21" s="95"/>
      <c r="W21" s="95"/>
      <c r="X21" s="95"/>
      <c r="Y21" s="95">
        <f>SUM(T21:X21)</f>
        <v>1</v>
      </c>
      <c r="AA21" s="87">
        <f>$P$21*T21</f>
        <v>4925228.8899999997</v>
      </c>
      <c r="AB21" s="87">
        <f>$P$21*U21</f>
        <v>0</v>
      </c>
      <c r="AC21" s="87">
        <f t="shared" ref="AC21:AE21" si="2">$P$21*V21</f>
        <v>0</v>
      </c>
      <c r="AD21" s="87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6">
        <v>2</v>
      </c>
      <c r="B22" s="109"/>
      <c r="C22" s="111"/>
      <c r="D22" s="112"/>
      <c r="E22" s="100"/>
      <c r="F22" s="8"/>
      <c r="G22" s="106"/>
      <c r="H22" s="98"/>
      <c r="I22" s="98"/>
      <c r="J22" s="98"/>
      <c r="K22" s="98"/>
      <c r="L22" s="98"/>
      <c r="M22" s="98"/>
      <c r="N22" s="98"/>
      <c r="O22" s="98"/>
      <c r="P22" s="99"/>
      <c r="R22" s="89"/>
      <c r="T22" s="90"/>
      <c r="U22" s="90"/>
      <c r="V22" s="95"/>
      <c r="W22" s="95"/>
      <c r="X22" s="95"/>
      <c r="Y22" s="95">
        <f t="shared" ref="Y22:Y23" si="3">SUM(T22:X22)</f>
        <v>0</v>
      </c>
      <c r="AA22" s="87"/>
      <c r="AB22" s="87"/>
      <c r="AC22" s="87"/>
      <c r="AD22" s="87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6">
        <v>3</v>
      </c>
      <c r="B23" s="107"/>
      <c r="C23" s="102"/>
      <c r="D23" s="85"/>
      <c r="E23" s="101"/>
      <c r="F23" s="96"/>
      <c r="G23" s="110"/>
      <c r="H23" s="98"/>
      <c r="I23" s="98"/>
      <c r="J23" s="98"/>
      <c r="K23" s="98"/>
      <c r="L23" s="98"/>
      <c r="M23" s="98"/>
      <c r="N23" s="98"/>
      <c r="O23" s="98"/>
      <c r="P23" s="99"/>
      <c r="R23" s="89"/>
      <c r="T23" s="90"/>
      <c r="U23" s="90"/>
      <c r="V23" s="95"/>
      <c r="W23" s="95"/>
      <c r="X23" s="95"/>
      <c r="Y23" s="95">
        <f t="shared" si="3"/>
        <v>0</v>
      </c>
      <c r="AA23" s="87">
        <f t="shared" ref="AA23:AA25" si="4">$P$21*T23</f>
        <v>0</v>
      </c>
      <c r="AB23" s="87">
        <f t="shared" ref="AB23:AB26" si="5">$P$21*U23</f>
        <v>0</v>
      </c>
      <c r="AC23" s="87">
        <f t="shared" ref="AC23:AC26" si="6">$P$21*V23</f>
        <v>0</v>
      </c>
      <c r="AD23" s="87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6">
        <v>4</v>
      </c>
      <c r="B24" s="115"/>
      <c r="C24" s="105"/>
      <c r="D24" s="85"/>
      <c r="E24" s="100"/>
      <c r="F24" s="8"/>
      <c r="G24" s="106"/>
      <c r="H24" s="98"/>
      <c r="I24" s="98"/>
      <c r="J24" s="98"/>
      <c r="K24" s="98"/>
      <c r="L24" s="98"/>
      <c r="M24" s="98"/>
      <c r="N24" s="98"/>
      <c r="O24" s="98"/>
      <c r="P24" s="99"/>
      <c r="R24" s="86"/>
      <c r="T24" s="88"/>
      <c r="U24" s="88"/>
      <c r="V24" s="88"/>
      <c r="W24" s="88"/>
      <c r="X24" s="88"/>
      <c r="Y24" s="88">
        <f t="shared" ref="Y24:Y29" si="9">SUM(T24:X24)</f>
        <v>0</v>
      </c>
      <c r="AA24" s="87">
        <f t="shared" si="4"/>
        <v>0</v>
      </c>
      <c r="AB24" s="87">
        <f t="shared" si="5"/>
        <v>0</v>
      </c>
      <c r="AC24" s="87">
        <f>$P$24*V24</f>
        <v>0</v>
      </c>
      <c r="AD24" s="87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6">
        <v>5</v>
      </c>
      <c r="B25" s="107"/>
      <c r="C25" s="102"/>
      <c r="D25" s="85"/>
      <c r="E25" s="100"/>
      <c r="F25" s="8"/>
      <c r="G25" s="195"/>
      <c r="H25" s="98"/>
      <c r="I25" s="98"/>
      <c r="J25" s="98"/>
      <c r="K25" s="98"/>
      <c r="L25" s="98"/>
      <c r="M25" s="98"/>
      <c r="N25" s="98"/>
      <c r="O25" s="98"/>
      <c r="P25" s="99"/>
      <c r="R25" s="86"/>
      <c r="T25" s="88"/>
      <c r="U25" s="88"/>
      <c r="V25" s="88"/>
      <c r="W25" s="88"/>
      <c r="X25" s="88"/>
      <c r="Y25" s="88">
        <f t="shared" si="9"/>
        <v>0</v>
      </c>
      <c r="AA25" s="87">
        <f t="shared" si="4"/>
        <v>0</v>
      </c>
      <c r="AB25" s="87">
        <f>$P$25*U25</f>
        <v>0</v>
      </c>
      <c r="AC25" s="87">
        <f>$P$25*V25</f>
        <v>0</v>
      </c>
      <c r="AD25" s="87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6">
        <v>6</v>
      </c>
      <c r="B26" s="107"/>
      <c r="C26" s="102"/>
      <c r="D26" s="8"/>
      <c r="E26" s="101"/>
      <c r="F26" s="96"/>
      <c r="G26" s="196"/>
      <c r="H26" s="98"/>
      <c r="I26" s="98"/>
      <c r="J26" s="98"/>
      <c r="K26" s="98"/>
      <c r="L26" s="98"/>
      <c r="M26" s="98"/>
      <c r="N26" s="98"/>
      <c r="O26" s="98"/>
      <c r="P26" s="99"/>
      <c r="R26" s="86"/>
      <c r="T26" s="88"/>
      <c r="U26" s="88"/>
      <c r="V26" s="88"/>
      <c r="W26" s="88"/>
      <c r="X26" s="88"/>
      <c r="Y26" s="88">
        <f t="shared" si="9"/>
        <v>0</v>
      </c>
      <c r="AA26" s="87">
        <f>$P$26*T26</f>
        <v>0</v>
      </c>
      <c r="AB26" s="87">
        <f t="shared" si="5"/>
        <v>0</v>
      </c>
      <c r="AC26" s="87">
        <f t="shared" si="6"/>
        <v>0</v>
      </c>
      <c r="AD26" s="87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6">
        <v>7</v>
      </c>
      <c r="B27" s="108"/>
      <c r="C27" s="102"/>
      <c r="D27" s="8"/>
      <c r="E27" s="101"/>
      <c r="F27" s="96"/>
      <c r="G27" s="106"/>
      <c r="H27" s="98"/>
      <c r="I27" s="98"/>
      <c r="J27" s="98"/>
      <c r="K27" s="98"/>
      <c r="L27" s="98"/>
      <c r="M27" s="98"/>
      <c r="N27" s="98"/>
      <c r="O27" s="98"/>
      <c r="P27" s="99"/>
      <c r="R27" s="86"/>
      <c r="T27" s="88"/>
      <c r="U27" s="88"/>
      <c r="V27" s="88"/>
      <c r="W27" s="88"/>
      <c r="X27" s="88"/>
      <c r="Y27" s="88">
        <f t="shared" si="9"/>
        <v>0</v>
      </c>
      <c r="AA27" s="87">
        <f>$P$21*T27</f>
        <v>0</v>
      </c>
      <c r="AB27" s="87">
        <f>$P$27*U27</f>
        <v>0</v>
      </c>
      <c r="AC27" s="87">
        <f t="shared" ref="AC27:AE28" si="12">$P$21*V27</f>
        <v>0</v>
      </c>
      <c r="AD27" s="87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6"/>
      <c r="B28" s="102"/>
      <c r="C28" s="102"/>
      <c r="D28" s="85"/>
      <c r="E28" s="100"/>
      <c r="F28" s="8"/>
      <c r="G28" s="103"/>
      <c r="H28" s="104"/>
      <c r="I28" s="98"/>
      <c r="J28" s="98"/>
      <c r="K28" s="98"/>
      <c r="L28" s="98"/>
      <c r="M28" s="104"/>
      <c r="N28" s="98"/>
      <c r="O28" s="98"/>
      <c r="P28" s="99"/>
      <c r="R28" s="89"/>
      <c r="T28" s="90"/>
      <c r="U28" s="90"/>
      <c r="V28" s="90"/>
      <c r="W28" s="90"/>
      <c r="X28" s="90"/>
      <c r="Y28" s="88">
        <f t="shared" si="9"/>
        <v>0</v>
      </c>
      <c r="AA28" s="87">
        <f>$P$21*T28</f>
        <v>0</v>
      </c>
      <c r="AB28" s="87">
        <f>$P$21*U28</f>
        <v>0</v>
      </c>
      <c r="AC28" s="87">
        <f t="shared" si="12"/>
        <v>0</v>
      </c>
      <c r="AD28" s="87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1"/>
      <c r="C29" s="92"/>
      <c r="D29" s="92"/>
      <c r="E29" s="92"/>
      <c r="F29" s="92"/>
      <c r="G29" s="92"/>
      <c r="H29" s="84"/>
      <c r="I29" s="84"/>
      <c r="J29" s="84"/>
      <c r="K29" s="84"/>
      <c r="L29" s="84"/>
      <c r="M29" s="84"/>
      <c r="N29" s="84"/>
      <c r="O29" s="84"/>
      <c r="P29" s="114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1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G25:G26"/>
    <mergeCell ref="O19:O20"/>
    <mergeCell ref="H19:I19"/>
    <mergeCell ref="J19:K19"/>
    <mergeCell ref="L19:M19"/>
    <mergeCell ref="H18:O18"/>
    <mergeCell ref="N19:N20"/>
    <mergeCell ref="U19:U20"/>
    <mergeCell ref="V19:V20"/>
    <mergeCell ref="W19:W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F18:F20"/>
    <mergeCell ref="G18:G20"/>
    <mergeCell ref="A18:A20"/>
    <mergeCell ref="B18:B20"/>
    <mergeCell ref="C18:C20"/>
    <mergeCell ref="D18:D20"/>
    <mergeCell ref="E18:E20"/>
  </mergeCells>
  <phoneticPr fontId="8" type="noConversion"/>
  <conditionalFormatting sqref="B21">
    <cfRule type="duplicateValues" dxfId="69" priority="1"/>
    <cfRule type="duplicateValues" dxfId="68" priority="2"/>
    <cfRule type="duplicateValues" dxfId="67" priority="3"/>
    <cfRule type="duplicateValues" dxfId="66" priority="4"/>
    <cfRule type="expression" dxfId="65" priority="5" stopIfTrue="1">
      <formula>AND(COUNTIF($D$28:$D$37, B21)+COUNTIF($D$16:$D$16, B21)&gt;1,NOT(ISBLANK(B21)))</formula>
    </cfRule>
    <cfRule type="expression" dxfId="64" priority="6" stopIfTrue="1">
      <formula>AND(COUNTIF($D$28:$D$65380, B21)+COUNTIF($D$1:$D$16, B21)&gt;1,NOT(ISBLANK(B21)))</formula>
    </cfRule>
    <cfRule type="expression" dxfId="63" priority="7" stopIfTrue="1">
      <formula>AND(COUNTIF($D$17:$D$65380, B21)+COUNTIF($D$1:$D$16, B21)&gt;1,NOT(ISBLANK(B21)))</formula>
    </cfRule>
    <cfRule type="expression" dxfId="62" priority="8" stopIfTrue="1">
      <formula>AND(COUNTIF($D$1:$D$123, B21)+COUNTIF($D$142:$D$65380, B21)&gt;1,NOT(ISBLANK(B21)))</formula>
    </cfRule>
    <cfRule type="expression" dxfId="61" priority="9" stopIfTrue="1">
      <formula>AND(COUNTIF($D$1:$D$191, B21)+COUNTIF($D$214:$D$65380, B21)&gt;1,NOT(ISBLANK(B21)))</formula>
    </cfRule>
    <cfRule type="expression" dxfId="60" priority="10" stopIfTrue="1">
      <formula>AND(COUNTIF($D$1:$D$191, B21)+COUNTIF($D$214:$D$65380, B21)&gt;1,NOT(ISBLANK(B21)))</formula>
    </cfRule>
    <cfRule type="expression" dxfId="59" priority="11" stopIfTrue="1">
      <formula>AND(COUNTIF($D$1:$D$191, B21)+COUNTIF($D$214:$D$65380, B21)&gt;1,NOT(ISBLANK(B21)))</formula>
    </cfRule>
    <cfRule type="expression" dxfId="58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57" priority="18"/>
  </conditionalFormatting>
  <conditionalFormatting sqref="B22">
    <cfRule type="duplicateValues" dxfId="56" priority="14"/>
    <cfRule type="duplicateValues" dxfId="55" priority="15"/>
    <cfRule type="duplicateValues" dxfId="54" priority="16"/>
  </conditionalFormatting>
  <conditionalFormatting sqref="B23">
    <cfRule type="duplicateValues" dxfId="53" priority="19"/>
    <cfRule type="duplicateValues" dxfId="52" priority="20"/>
    <cfRule type="expression" dxfId="51" priority="1251" stopIfTrue="1">
      <formula>AND(COUNTIF($C$2:$C$65291, B23)+COUNTIF(#REF!, B23)&gt;1,NOT(ISBLANK(B23)))</formula>
    </cfRule>
    <cfRule type="expression" dxfId="50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49" priority="1248" stopIfTrue="1">
      <formula>AND(COUNTIF($C$1:$C$65282, B21)+COUNTIF(#REF!, B21)&gt;1,NOT(ISBLANK(B21)))</formula>
    </cfRule>
  </conditionalFormatting>
  <conditionalFormatting sqref="B26:B27 B23 B21">
    <cfRule type="expression" dxfId="48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47" priority="1239"/>
    <cfRule type="expression" dxfId="46" priority="1240" stopIfTrue="1">
      <formula>AND(COUNTIF($D$28:$D$37, B26)+COUNTIF($D$16:$D$16, B26)&gt;1,NOT(ISBLANK(B26)))</formula>
    </cfRule>
    <cfRule type="expression" dxfId="45" priority="1241" stopIfTrue="1">
      <formula>AND(COUNTIF($D$28:$D$65380, B26)+COUNTIF($D$1:$D$16, B26)&gt;1,NOT(ISBLANK(B26)))</formula>
    </cfRule>
    <cfRule type="expression" dxfId="44" priority="1242" stopIfTrue="1">
      <formula>AND(COUNTIF($D$17:$D$65380, B26)+COUNTIF($D$1:$D$16, B26)&gt;1,NOT(ISBLANK(B26)))</formula>
    </cfRule>
    <cfRule type="expression" dxfId="43" priority="1243" stopIfTrue="1">
      <formula>AND(COUNTIF($D$1:$D$123, B26)+COUNTIF($D$142:$D$65380, B26)&gt;1,NOT(ISBLANK(B26)))</formula>
    </cfRule>
    <cfRule type="expression" dxfId="42" priority="1244" stopIfTrue="1">
      <formula>AND(COUNTIF($D$1:$D$191, B26)+COUNTIF($D$214:$D$65380, B26)&gt;1,NOT(ISBLANK(B26)))</formula>
    </cfRule>
    <cfRule type="expression" dxfId="41" priority="1245" stopIfTrue="1">
      <formula>AND(COUNTIF($D$1:$D$191, B26)+COUNTIF($D$214:$D$65380, B26)&gt;1,NOT(ISBLANK(B26)))</formula>
    </cfRule>
    <cfRule type="expression" dxfId="40" priority="1246" stopIfTrue="1">
      <formula>AND(COUNTIF($D$1:$D$191, B26)+COUNTIF($D$214:$D$65380, B26)&gt;1,NOT(ISBLANK(B26)))</formula>
    </cfRule>
    <cfRule type="expression" dxfId="39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</conditionalFormatting>
  <conditionalFormatting sqref="B27">
    <cfRule type="duplicateValues" dxfId="38" priority="22"/>
    <cfRule type="duplicateValues" dxfId="37" priority="23"/>
    <cfRule type="duplicateValues" dxfId="36" priority="24"/>
  </conditionalFormatting>
  <conditionalFormatting sqref="B28">
    <cfRule type="duplicateValues" dxfId="35" priority="1190"/>
    <cfRule type="duplicateValues" dxfId="34" priority="1191"/>
    <cfRule type="duplicateValues" dxfId="33" priority="1192"/>
  </conditionalFormatting>
  <conditionalFormatting sqref="B29:B1048576 B1:B20">
    <cfRule type="duplicateValues" dxfId="32" priority="347"/>
  </conditionalFormatting>
  <conditionalFormatting sqref="L4">
    <cfRule type="expression" dxfId="31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  <cfRule type="expression" dxfId="30" priority="1221" stopIfTrue="1">
      <formula>AND(COUNTIF($C$1:$C$65460, L4)+COUNTIF(#REF!, L4)&gt;1,NOT(ISBLANK(L4)))</formula>
    </cfRule>
  </conditionalFormatting>
  <conditionalFormatting sqref="M4">
    <cfRule type="expression" dxfId="29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8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7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6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5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24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23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22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21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20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19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18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17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16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D7AA-E2CC-4325-BB1A-65DAE33EC798}">
  <dimension ref="B2:R6"/>
  <sheetViews>
    <sheetView workbookViewId="0">
      <selection activeCell="U5" sqref="U5"/>
    </sheetView>
  </sheetViews>
  <sheetFormatPr defaultRowHeight="14.5" x14ac:dyDescent="0.35"/>
  <cols>
    <col min="2" max="2" width="12.7265625" customWidth="1"/>
    <col min="5" max="5" width="13.26953125" customWidth="1"/>
    <col min="6" max="6" width="14.7265625" customWidth="1"/>
    <col min="7" max="7" width="13.54296875" customWidth="1"/>
    <col min="8" max="15" width="0" hidden="1" customWidth="1"/>
    <col min="16" max="16" width="16.17968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98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99"/>
    </row>
    <row r="6" spans="2:18" s="75" customFormat="1" x14ac:dyDescent="0.35">
      <c r="B6" s="200" t="s">
        <v>29</v>
      </c>
      <c r="C6" s="201"/>
      <c r="D6" s="202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15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47A7-D1B5-4A88-918A-3701F4B0E907}">
  <sheetPr>
    <pageSetUpPr fitToPage="1"/>
  </sheetPr>
  <dimension ref="A1:AK22"/>
  <sheetViews>
    <sheetView tabSelected="1" zoomScale="88" zoomScaleNormal="80" workbookViewId="0">
      <selection activeCell="I8" sqref="I8"/>
    </sheetView>
  </sheetViews>
  <sheetFormatPr defaultColWidth="9.1796875" defaultRowHeight="14.5" x14ac:dyDescent="0.35"/>
  <cols>
    <col min="1" max="1" width="4.54296875" style="4" customWidth="1"/>
    <col min="2" max="2" width="11.81640625" style="1" customWidth="1"/>
    <col min="3" max="3" width="11.26953125" style="1" customWidth="1"/>
    <col min="4" max="4" width="12.54296875" style="4" customWidth="1"/>
    <col min="5" max="5" width="20.7265625" style="4" customWidth="1"/>
    <col min="6" max="6" width="12.7265625" style="4" customWidth="1"/>
    <col min="7" max="7" width="18.453125" style="4" customWidth="1"/>
    <col min="8" max="8" width="19.453125" style="4" customWidth="1"/>
    <col min="9" max="9" width="12.7265625" style="4" customWidth="1"/>
    <col min="10" max="10" width="11.81640625" style="4" customWidth="1"/>
    <col min="11" max="11" width="14.7265625" style="4" customWidth="1"/>
    <col min="12" max="12" width="16.1796875" style="1" bestFit="1" customWidth="1"/>
    <col min="13" max="13" width="10.7265625" style="1" customWidth="1"/>
    <col min="14" max="14" width="13.1796875" style="1" customWidth="1"/>
    <col min="15" max="15" width="16.7265625" style="1" bestFit="1" customWidth="1"/>
    <col min="16" max="16" width="18.453125" style="1" bestFit="1" customWidth="1"/>
    <col min="17" max="18" width="15.54296875" style="1" customWidth="1"/>
    <col min="19" max="19" width="3.1796875" style="1" customWidth="1"/>
    <col min="20" max="20" width="28.1796875" style="1" customWidth="1"/>
    <col min="21" max="21" width="3.1796875" style="1" customWidth="1"/>
    <col min="22" max="27" width="8.7265625" style="1" customWidth="1"/>
    <col min="28" max="28" width="3.1796875" style="1" customWidth="1"/>
    <col min="29" max="29" width="14.26953125" style="1" customWidth="1"/>
    <col min="30" max="30" width="13.26953125" style="1" customWidth="1"/>
    <col min="31" max="32" width="10.7265625" style="1" customWidth="1"/>
    <col min="33" max="33" width="11.26953125" style="1" customWidth="1"/>
    <col min="34" max="34" width="8.1796875" style="1" customWidth="1"/>
    <col min="35" max="35" width="38.1796875" style="1" customWidth="1"/>
    <col min="36" max="16384" width="9.1796875" style="1"/>
  </cols>
  <sheetData>
    <row r="1" spans="1:37" ht="43.5" x14ac:dyDescent="0.35">
      <c r="A1" s="126" t="s">
        <v>4</v>
      </c>
      <c r="B1" s="126" t="s">
        <v>112</v>
      </c>
      <c r="C1" s="127" t="s">
        <v>6</v>
      </c>
      <c r="D1" s="127" t="s">
        <v>107</v>
      </c>
      <c r="E1" s="126" t="s">
        <v>108</v>
      </c>
      <c r="F1" s="126" t="s">
        <v>103</v>
      </c>
      <c r="G1" s="127" t="s">
        <v>104</v>
      </c>
      <c r="H1" s="126" t="s">
        <v>105</v>
      </c>
      <c r="I1" s="127" t="s">
        <v>106</v>
      </c>
      <c r="J1" s="130" t="s">
        <v>113</v>
      </c>
      <c r="K1" s="131" t="s">
        <v>110</v>
      </c>
      <c r="L1" s="131" t="s">
        <v>111</v>
      </c>
      <c r="M1" s="130" t="s">
        <v>38</v>
      </c>
      <c r="N1" s="130" t="s">
        <v>39</v>
      </c>
      <c r="O1" s="128" t="s">
        <v>109</v>
      </c>
      <c r="P1" s="129" t="s">
        <v>114</v>
      </c>
    </row>
    <row r="2" spans="1:37" s="141" customFormat="1" ht="18.5" x14ac:dyDescent="0.35">
      <c r="A2" s="135">
        <v>1</v>
      </c>
      <c r="B2" s="223" t="s">
        <v>145</v>
      </c>
      <c r="C2" s="223" t="s">
        <v>146</v>
      </c>
      <c r="D2" s="224">
        <v>37.931087999999995</v>
      </c>
      <c r="E2" s="153"/>
      <c r="F2" s="136"/>
      <c r="G2" s="137" t="s">
        <v>171</v>
      </c>
      <c r="H2" s="152" t="s">
        <v>172</v>
      </c>
      <c r="I2" s="137"/>
      <c r="J2" s="138"/>
      <c r="K2" s="132"/>
      <c r="L2" s="132"/>
      <c r="M2" s="138"/>
      <c r="N2" s="138"/>
      <c r="O2" s="139">
        <f>D2*10540</f>
        <v>399793.66751999996</v>
      </c>
      <c r="P2" s="140"/>
    </row>
    <row r="3" spans="1:37" s="141" customFormat="1" ht="18.5" x14ac:dyDescent="0.35">
      <c r="A3" s="135">
        <v>2</v>
      </c>
      <c r="B3" s="223" t="s">
        <v>116</v>
      </c>
      <c r="C3" s="223" t="s">
        <v>147</v>
      </c>
      <c r="D3" s="224">
        <v>59.500628000000006</v>
      </c>
      <c r="E3" s="153"/>
      <c r="F3" s="136"/>
      <c r="G3" s="137" t="s">
        <v>171</v>
      </c>
      <c r="H3" s="152" t="s">
        <v>172</v>
      </c>
      <c r="I3" s="137"/>
      <c r="J3" s="138"/>
      <c r="K3" s="132"/>
      <c r="L3" s="132"/>
      <c r="M3" s="138"/>
      <c r="N3" s="138"/>
      <c r="O3" s="139">
        <f t="shared" ref="O3:O22" si="0">D3*10540</f>
        <v>627136.61912000005</v>
      </c>
      <c r="P3" s="140"/>
      <c r="Q3" s="142"/>
      <c r="R3" s="142"/>
      <c r="T3" s="143"/>
      <c r="V3" s="142"/>
      <c r="W3" s="142"/>
      <c r="X3" s="142"/>
      <c r="Y3" s="142"/>
      <c r="Z3" s="142"/>
      <c r="AA3" s="142"/>
      <c r="AC3" s="142"/>
      <c r="AD3" s="142"/>
      <c r="AE3" s="142"/>
      <c r="AF3" s="142"/>
      <c r="AG3" s="142"/>
      <c r="AH3" s="142"/>
      <c r="AI3" s="144"/>
    </row>
    <row r="4" spans="1:37" s="141" customFormat="1" ht="18.5" x14ac:dyDescent="0.35">
      <c r="A4" s="135">
        <v>3</v>
      </c>
      <c r="B4" s="223" t="s">
        <v>118</v>
      </c>
      <c r="C4" s="223" t="s">
        <v>148</v>
      </c>
      <c r="D4" s="224">
        <v>73.244547999999995</v>
      </c>
      <c r="E4" s="153"/>
      <c r="F4" s="136"/>
      <c r="G4" s="137" t="s">
        <v>171</v>
      </c>
      <c r="H4" s="152" t="s">
        <v>173</v>
      </c>
      <c r="I4" s="137"/>
      <c r="J4" s="138"/>
      <c r="K4" s="132"/>
      <c r="L4" s="132"/>
      <c r="M4" s="138"/>
      <c r="N4" s="138"/>
      <c r="O4" s="139">
        <f t="shared" si="0"/>
        <v>771997.53591999994</v>
      </c>
      <c r="P4" s="140"/>
      <c r="Q4" s="145"/>
      <c r="R4" s="144"/>
      <c r="T4" s="143"/>
      <c r="V4" s="142"/>
      <c r="W4" s="142"/>
      <c r="X4" s="142"/>
      <c r="Y4" s="142"/>
      <c r="Z4" s="142"/>
      <c r="AA4" s="144"/>
      <c r="AC4" s="142"/>
      <c r="AD4" s="142"/>
      <c r="AE4" s="142"/>
      <c r="AF4" s="142"/>
      <c r="AG4" s="142"/>
      <c r="AH4" s="144"/>
      <c r="AI4" s="144"/>
    </row>
    <row r="5" spans="1:37" s="141" customFormat="1" ht="18.5" x14ac:dyDescent="0.35">
      <c r="A5" s="135">
        <v>4</v>
      </c>
      <c r="B5" s="223" t="s">
        <v>149</v>
      </c>
      <c r="C5" s="223" t="s">
        <v>150</v>
      </c>
      <c r="D5" s="224">
        <v>36.159756000000002</v>
      </c>
      <c r="E5" s="153"/>
      <c r="F5" s="136"/>
      <c r="G5" s="137" t="s">
        <v>171</v>
      </c>
      <c r="H5" s="152" t="s">
        <v>173</v>
      </c>
      <c r="I5" s="137"/>
      <c r="J5" s="138"/>
      <c r="K5" s="133"/>
      <c r="L5" s="133"/>
      <c r="M5" s="138"/>
      <c r="N5" s="138"/>
      <c r="O5" s="139">
        <f t="shared" si="0"/>
        <v>381123.82824</v>
      </c>
      <c r="P5" s="140"/>
      <c r="Q5" s="146"/>
      <c r="R5" s="146"/>
      <c r="T5" s="147"/>
      <c r="V5" s="148"/>
      <c r="W5" s="148"/>
      <c r="X5" s="148"/>
      <c r="Y5" s="148"/>
      <c r="Z5" s="148"/>
      <c r="AA5" s="148"/>
      <c r="AC5" s="149"/>
      <c r="AD5" s="149"/>
      <c r="AE5" s="149"/>
      <c r="AF5" s="149"/>
      <c r="AG5" s="149"/>
      <c r="AH5" s="150"/>
      <c r="AI5" s="151"/>
    </row>
    <row r="6" spans="1:37" s="141" customFormat="1" ht="18.5" x14ac:dyDescent="0.35">
      <c r="A6" s="135">
        <v>5</v>
      </c>
      <c r="B6" s="223" t="s">
        <v>151</v>
      </c>
      <c r="C6" s="223" t="s">
        <v>152</v>
      </c>
      <c r="D6" s="224">
        <v>45.697021999999997</v>
      </c>
      <c r="E6" s="153"/>
      <c r="F6" s="136"/>
      <c r="G6" s="137" t="s">
        <v>171</v>
      </c>
      <c r="H6" s="152" t="s">
        <v>173</v>
      </c>
      <c r="I6" s="137"/>
      <c r="J6" s="138"/>
      <c r="K6" s="133"/>
      <c r="L6" s="133"/>
      <c r="M6" s="138"/>
      <c r="N6" s="138"/>
      <c r="O6" s="139">
        <f t="shared" si="0"/>
        <v>481646.61187999998</v>
      </c>
      <c r="P6" s="140"/>
      <c r="Q6" s="146"/>
      <c r="R6" s="146"/>
      <c r="T6" s="147"/>
      <c r="V6" s="148"/>
      <c r="W6" s="148"/>
      <c r="X6" s="148"/>
      <c r="Y6" s="148"/>
      <c r="Z6" s="148"/>
      <c r="AA6" s="148"/>
      <c r="AC6" s="149"/>
      <c r="AD6" s="149"/>
      <c r="AE6" s="149"/>
      <c r="AF6" s="149"/>
      <c r="AG6" s="149"/>
      <c r="AH6" s="150"/>
      <c r="AI6" s="151"/>
    </row>
    <row r="7" spans="1:37" s="141" customFormat="1" ht="18.5" x14ac:dyDescent="0.35">
      <c r="A7" s="135">
        <v>6</v>
      </c>
      <c r="B7" s="223" t="s">
        <v>115</v>
      </c>
      <c r="C7" s="223" t="s">
        <v>148</v>
      </c>
      <c r="D7" s="224">
        <v>73.244547999999995</v>
      </c>
      <c r="E7" s="153"/>
      <c r="F7" s="136"/>
      <c r="G7" s="137" t="s">
        <v>171</v>
      </c>
      <c r="H7" s="152" t="s">
        <v>172</v>
      </c>
      <c r="I7" s="137"/>
      <c r="J7" s="138"/>
      <c r="K7" s="133"/>
      <c r="L7" s="133"/>
      <c r="M7" s="138"/>
      <c r="N7" s="138"/>
      <c r="O7" s="139">
        <f t="shared" si="0"/>
        <v>771997.53591999994</v>
      </c>
      <c r="P7" s="140"/>
      <c r="Q7" s="146"/>
      <c r="R7" s="146"/>
      <c r="T7" s="147"/>
      <c r="V7" s="148"/>
      <c r="W7" s="148"/>
      <c r="X7" s="148"/>
      <c r="Y7" s="148"/>
      <c r="Z7" s="148"/>
      <c r="AA7" s="148"/>
      <c r="AC7" s="149"/>
      <c r="AD7" s="149"/>
      <c r="AE7" s="149"/>
      <c r="AF7" s="149"/>
      <c r="AG7" s="149"/>
      <c r="AH7" s="150"/>
      <c r="AI7" s="151"/>
    </row>
    <row r="8" spans="1:37" s="141" customFormat="1" ht="18.5" x14ac:dyDescent="0.35">
      <c r="A8" s="135">
        <v>7</v>
      </c>
      <c r="B8" s="223" t="s">
        <v>153</v>
      </c>
      <c r="C8" s="223" t="s">
        <v>152</v>
      </c>
      <c r="D8" s="224">
        <v>45.697021999999997</v>
      </c>
      <c r="E8" s="153"/>
      <c r="F8" s="136"/>
      <c r="G8" s="137" t="s">
        <v>171</v>
      </c>
      <c r="H8" s="152" t="s">
        <v>172</v>
      </c>
      <c r="I8" s="137"/>
      <c r="J8" s="138"/>
      <c r="K8" s="134"/>
      <c r="L8" s="134"/>
      <c r="M8" s="138"/>
      <c r="N8" s="138"/>
      <c r="O8" s="139">
        <f t="shared" si="0"/>
        <v>481646.61187999998</v>
      </c>
      <c r="P8" s="140"/>
      <c r="Q8" s="146"/>
      <c r="R8" s="146"/>
      <c r="T8" s="147"/>
      <c r="V8" s="148"/>
      <c r="W8" s="148"/>
      <c r="X8" s="148"/>
      <c r="Y8" s="148"/>
      <c r="Z8" s="148"/>
      <c r="AA8" s="148"/>
      <c r="AC8" s="149"/>
      <c r="AD8" s="149"/>
      <c r="AE8" s="149"/>
      <c r="AF8" s="149"/>
      <c r="AG8" s="149"/>
      <c r="AH8" s="150"/>
      <c r="AI8" s="151"/>
    </row>
    <row r="9" spans="1:37" s="141" customFormat="1" ht="18.5" x14ac:dyDescent="0.35">
      <c r="A9" s="135">
        <v>8</v>
      </c>
      <c r="B9" s="223" t="s">
        <v>154</v>
      </c>
      <c r="C9" s="223" t="s">
        <v>146</v>
      </c>
      <c r="D9" s="224">
        <v>37.931087999999995</v>
      </c>
      <c r="E9" s="153"/>
      <c r="F9" s="136"/>
      <c r="G9" s="137" t="s">
        <v>171</v>
      </c>
      <c r="H9" s="152" t="s">
        <v>172</v>
      </c>
      <c r="I9" s="137"/>
      <c r="J9" s="138"/>
      <c r="K9" s="133"/>
      <c r="L9" s="133"/>
      <c r="M9" s="138"/>
      <c r="N9" s="138"/>
      <c r="O9" s="139">
        <f t="shared" si="0"/>
        <v>399793.66751999996</v>
      </c>
      <c r="P9" s="140"/>
      <c r="Q9" s="146"/>
      <c r="R9" s="146"/>
      <c r="T9" s="147"/>
      <c r="V9" s="148"/>
      <c r="W9" s="148"/>
      <c r="X9" s="148"/>
      <c r="Y9" s="148"/>
      <c r="Z9" s="148"/>
      <c r="AA9" s="148"/>
      <c r="AC9" s="149"/>
      <c r="AD9" s="149"/>
      <c r="AE9" s="149"/>
      <c r="AF9" s="149"/>
      <c r="AG9" s="149"/>
      <c r="AH9" s="150"/>
      <c r="AI9" s="151"/>
    </row>
    <row r="10" spans="1:37" s="141" customFormat="1" ht="18.5" x14ac:dyDescent="0.35">
      <c r="A10" s="135">
        <v>9</v>
      </c>
      <c r="B10" s="223" t="s">
        <v>155</v>
      </c>
      <c r="C10" s="223" t="s">
        <v>156</v>
      </c>
      <c r="D10" s="224">
        <v>70.744719999999987</v>
      </c>
      <c r="E10" s="153"/>
      <c r="F10" s="136"/>
      <c r="G10" s="137" t="s">
        <v>171</v>
      </c>
      <c r="H10" s="152" t="s">
        <v>173</v>
      </c>
      <c r="I10" s="137"/>
      <c r="J10" s="138"/>
      <c r="K10" s="132"/>
      <c r="L10" s="132"/>
      <c r="M10" s="138"/>
      <c r="N10" s="138"/>
      <c r="O10" s="139">
        <f t="shared" si="0"/>
        <v>745649.3487999998</v>
      </c>
      <c r="P10" s="140"/>
      <c r="Q10" s="146"/>
      <c r="R10" s="146"/>
      <c r="T10" s="147"/>
      <c r="V10" s="148"/>
      <c r="W10" s="148"/>
      <c r="X10" s="148"/>
      <c r="Y10" s="148"/>
      <c r="Z10" s="148"/>
      <c r="AA10" s="148"/>
      <c r="AC10" s="149"/>
      <c r="AD10" s="149"/>
      <c r="AE10" s="149"/>
      <c r="AF10" s="149"/>
      <c r="AG10" s="149"/>
      <c r="AH10" s="150"/>
      <c r="AI10" s="151"/>
      <c r="AK10" s="140"/>
    </row>
    <row r="11" spans="1:37" s="141" customFormat="1" ht="18.5" x14ac:dyDescent="0.35">
      <c r="A11" s="135">
        <v>10</v>
      </c>
      <c r="B11" s="223" t="s">
        <v>119</v>
      </c>
      <c r="C11" s="223" t="s">
        <v>157</v>
      </c>
      <c r="D11" s="224">
        <v>67.261728000000005</v>
      </c>
      <c r="E11" s="153"/>
      <c r="F11" s="136"/>
      <c r="G11" s="137" t="s">
        <v>171</v>
      </c>
      <c r="H11" s="152" t="s">
        <v>173</v>
      </c>
      <c r="I11" s="137"/>
      <c r="J11" s="138"/>
      <c r="K11" s="132"/>
      <c r="L11" s="132"/>
      <c r="M11" s="138"/>
      <c r="N11" s="138"/>
      <c r="O11" s="139">
        <f t="shared" si="0"/>
        <v>708938.61312000011</v>
      </c>
      <c r="P11" s="140"/>
      <c r="Q11" s="146"/>
      <c r="R11" s="146"/>
      <c r="T11" s="147"/>
      <c r="V11" s="148"/>
      <c r="W11" s="148"/>
      <c r="X11" s="148"/>
      <c r="Y11" s="148"/>
      <c r="Z11" s="148"/>
      <c r="AA11" s="148"/>
      <c r="AC11" s="149"/>
      <c r="AD11" s="149"/>
      <c r="AE11" s="149"/>
      <c r="AF11" s="149"/>
      <c r="AG11" s="149"/>
      <c r="AH11" s="150"/>
      <c r="AI11" s="151"/>
    </row>
    <row r="12" spans="1:37" s="141" customFormat="1" ht="18.5" x14ac:dyDescent="0.35">
      <c r="A12" s="135">
        <v>11</v>
      </c>
      <c r="B12" s="223" t="s">
        <v>158</v>
      </c>
      <c r="C12" s="223" t="s">
        <v>150</v>
      </c>
      <c r="D12" s="224">
        <v>36.159756000000002</v>
      </c>
      <c r="E12" s="153"/>
      <c r="F12" s="136"/>
      <c r="G12" s="137" t="s">
        <v>171</v>
      </c>
      <c r="H12" s="152" t="s">
        <v>173</v>
      </c>
      <c r="I12" s="137"/>
      <c r="J12" s="138"/>
      <c r="K12" s="133"/>
      <c r="L12" s="133"/>
      <c r="M12" s="138"/>
      <c r="N12" s="138"/>
      <c r="O12" s="139">
        <f t="shared" si="0"/>
        <v>381123.82824</v>
      </c>
      <c r="P12" s="140"/>
      <c r="Q12" s="146"/>
      <c r="R12" s="146"/>
      <c r="T12" s="147"/>
      <c r="V12" s="148"/>
      <c r="W12" s="148"/>
      <c r="X12" s="148"/>
      <c r="Y12" s="148"/>
      <c r="Z12" s="148"/>
      <c r="AA12" s="148"/>
      <c r="AC12" s="149"/>
      <c r="AD12" s="149"/>
      <c r="AE12" s="149"/>
      <c r="AF12" s="149"/>
      <c r="AG12" s="149"/>
      <c r="AH12" s="150"/>
      <c r="AI12" s="151"/>
    </row>
    <row r="13" spans="1:37" s="141" customFormat="1" ht="18.5" x14ac:dyDescent="0.35">
      <c r="A13" s="135">
        <v>12</v>
      </c>
      <c r="B13" s="223" t="s">
        <v>159</v>
      </c>
      <c r="C13" s="223" t="s">
        <v>150</v>
      </c>
      <c r="D13" s="224">
        <v>36.159756000000002</v>
      </c>
      <c r="E13" s="153"/>
      <c r="F13" s="136"/>
      <c r="G13" s="137" t="s">
        <v>171</v>
      </c>
      <c r="H13" s="152" t="s">
        <v>173</v>
      </c>
      <c r="I13" s="137"/>
      <c r="J13" s="138"/>
      <c r="K13" s="133"/>
      <c r="L13" s="133"/>
      <c r="M13" s="138"/>
      <c r="N13" s="138"/>
      <c r="O13" s="139">
        <f t="shared" si="0"/>
        <v>381123.82824</v>
      </c>
      <c r="P13" s="140"/>
      <c r="Q13" s="146"/>
      <c r="R13" s="146"/>
      <c r="T13" s="147"/>
      <c r="V13" s="148"/>
      <c r="W13" s="148"/>
      <c r="X13" s="148"/>
      <c r="Y13" s="148"/>
      <c r="Z13" s="148"/>
      <c r="AA13" s="148"/>
      <c r="AC13" s="149"/>
      <c r="AD13" s="149"/>
      <c r="AE13" s="149"/>
      <c r="AF13" s="149"/>
      <c r="AG13" s="149"/>
      <c r="AH13" s="150"/>
      <c r="AI13" s="151"/>
    </row>
    <row r="14" spans="1:37" s="141" customFormat="1" ht="18.5" x14ac:dyDescent="0.35">
      <c r="A14" s="135">
        <v>13</v>
      </c>
      <c r="B14" s="223" t="s">
        <v>120</v>
      </c>
      <c r="C14" s="223" t="s">
        <v>160</v>
      </c>
      <c r="D14" s="224">
        <v>62.443705999999999</v>
      </c>
      <c r="E14" s="153"/>
      <c r="F14" s="136"/>
      <c r="G14" s="137" t="s">
        <v>171</v>
      </c>
      <c r="H14" s="152" t="s">
        <v>173</v>
      </c>
      <c r="I14" s="137"/>
      <c r="J14" s="138"/>
      <c r="K14" s="133"/>
      <c r="L14" s="133"/>
      <c r="M14" s="138"/>
      <c r="N14" s="138"/>
      <c r="O14" s="139">
        <f t="shared" si="0"/>
        <v>658156.66124000004</v>
      </c>
      <c r="P14" s="140"/>
      <c r="Q14" s="146"/>
      <c r="R14" s="146"/>
      <c r="T14" s="147"/>
      <c r="V14" s="148"/>
      <c r="W14" s="148"/>
      <c r="X14" s="148"/>
      <c r="Y14" s="148"/>
      <c r="Z14" s="148"/>
      <c r="AA14" s="148"/>
      <c r="AC14" s="149"/>
      <c r="AD14" s="149"/>
      <c r="AE14" s="149"/>
      <c r="AF14" s="149"/>
      <c r="AG14" s="149"/>
      <c r="AH14" s="150"/>
      <c r="AI14" s="151"/>
    </row>
    <row r="15" spans="1:37" s="141" customFormat="1" ht="18.5" x14ac:dyDescent="0.35">
      <c r="A15" s="135">
        <v>14</v>
      </c>
      <c r="B15" s="223" t="s">
        <v>117</v>
      </c>
      <c r="C15" s="223" t="s">
        <v>160</v>
      </c>
      <c r="D15" s="224">
        <v>62.443705999999999</v>
      </c>
      <c r="E15" s="153"/>
      <c r="F15" s="136"/>
      <c r="G15" s="137" t="s">
        <v>171</v>
      </c>
      <c r="H15" s="152" t="s">
        <v>173</v>
      </c>
      <c r="I15" s="137"/>
      <c r="J15" s="138"/>
      <c r="K15" s="154"/>
      <c r="L15" s="154"/>
      <c r="M15" s="138"/>
      <c r="N15" s="138"/>
      <c r="O15" s="139">
        <f t="shared" si="0"/>
        <v>658156.66124000004</v>
      </c>
      <c r="P15" s="140"/>
      <c r="Q15" s="146"/>
      <c r="R15" s="146"/>
      <c r="T15" s="147"/>
      <c r="V15" s="148"/>
      <c r="W15" s="148"/>
      <c r="X15" s="148"/>
      <c r="Y15" s="148"/>
      <c r="Z15" s="148"/>
      <c r="AA15" s="148"/>
      <c r="AC15" s="149"/>
      <c r="AD15" s="149"/>
      <c r="AE15" s="149"/>
      <c r="AF15" s="149"/>
      <c r="AG15" s="149"/>
      <c r="AH15" s="150"/>
      <c r="AI15" s="151"/>
    </row>
    <row r="16" spans="1:37" s="141" customFormat="1" ht="18.5" x14ac:dyDescent="0.35">
      <c r="A16" s="135">
        <v>15</v>
      </c>
      <c r="B16" s="223" t="s">
        <v>161</v>
      </c>
      <c r="C16" s="223" t="s">
        <v>157</v>
      </c>
      <c r="D16" s="224">
        <v>67.261728000000005</v>
      </c>
      <c r="E16" s="153"/>
      <c r="F16" s="136"/>
      <c r="G16" s="137" t="s">
        <v>171</v>
      </c>
      <c r="H16" s="225" t="s">
        <v>174</v>
      </c>
      <c r="I16" s="137"/>
      <c r="J16" s="138"/>
      <c r="K16" s="133"/>
      <c r="L16" s="133"/>
      <c r="M16" s="138"/>
      <c r="N16" s="138"/>
      <c r="O16" s="139">
        <f t="shared" si="0"/>
        <v>708938.61312000011</v>
      </c>
      <c r="P16" s="140"/>
      <c r="Q16" s="146"/>
      <c r="R16" s="146"/>
      <c r="T16" s="147"/>
      <c r="V16" s="148"/>
      <c r="W16" s="148"/>
      <c r="X16" s="148"/>
      <c r="Y16" s="148"/>
      <c r="Z16" s="148"/>
      <c r="AA16" s="148"/>
      <c r="AC16" s="149"/>
      <c r="AD16" s="149"/>
      <c r="AE16" s="149"/>
      <c r="AF16" s="149"/>
      <c r="AG16" s="149"/>
      <c r="AH16" s="150"/>
      <c r="AI16" s="151"/>
    </row>
    <row r="17" spans="1:35" s="141" customFormat="1" ht="18.5" x14ac:dyDescent="0.35">
      <c r="A17" s="135">
        <v>16</v>
      </c>
      <c r="B17" s="223" t="s">
        <v>162</v>
      </c>
      <c r="C17" s="223" t="s">
        <v>152</v>
      </c>
      <c r="D17" s="224">
        <v>45.697021999999997</v>
      </c>
      <c r="E17" s="153"/>
      <c r="F17" s="136"/>
      <c r="G17" s="137" t="s">
        <v>171</v>
      </c>
      <c r="H17" s="225" t="s">
        <v>174</v>
      </c>
      <c r="I17" s="137"/>
      <c r="J17" s="138"/>
      <c r="K17" s="133"/>
      <c r="L17" s="133"/>
      <c r="M17" s="138"/>
      <c r="N17" s="138"/>
      <c r="O17" s="139">
        <f t="shared" si="0"/>
        <v>481646.61187999998</v>
      </c>
      <c r="P17" s="140"/>
      <c r="Q17" s="146"/>
      <c r="R17" s="146"/>
      <c r="T17" s="147"/>
      <c r="V17" s="148"/>
      <c r="W17" s="148"/>
      <c r="X17" s="148"/>
      <c r="Y17" s="148"/>
      <c r="Z17" s="148"/>
      <c r="AA17" s="148"/>
      <c r="AC17" s="149"/>
      <c r="AD17" s="149"/>
      <c r="AE17" s="149"/>
      <c r="AF17" s="149"/>
      <c r="AG17" s="149"/>
      <c r="AH17" s="150"/>
      <c r="AI17" s="151"/>
    </row>
    <row r="18" spans="1:35" s="141" customFormat="1" ht="18.5" x14ac:dyDescent="0.35">
      <c r="A18" s="135">
        <v>17</v>
      </c>
      <c r="B18" s="223" t="s">
        <v>163</v>
      </c>
      <c r="C18" s="223" t="s">
        <v>148</v>
      </c>
      <c r="D18" s="224">
        <v>73.244547999999995</v>
      </c>
      <c r="E18" s="153"/>
      <c r="F18" s="136"/>
      <c r="G18" s="137" t="s">
        <v>171</v>
      </c>
      <c r="H18" s="225" t="s">
        <v>174</v>
      </c>
      <c r="I18" s="137"/>
      <c r="J18" s="138"/>
      <c r="K18" s="133"/>
      <c r="L18" s="133"/>
      <c r="M18" s="138"/>
      <c r="N18" s="138"/>
      <c r="O18" s="139">
        <f t="shared" si="0"/>
        <v>771997.53591999994</v>
      </c>
      <c r="P18" s="140"/>
      <c r="Q18" s="146"/>
      <c r="R18" s="146"/>
      <c r="T18" s="147"/>
      <c r="V18" s="148"/>
      <c r="W18" s="148"/>
      <c r="X18" s="148"/>
      <c r="Y18" s="148"/>
      <c r="Z18" s="148"/>
      <c r="AA18" s="148"/>
      <c r="AC18" s="149"/>
      <c r="AD18" s="149"/>
      <c r="AE18" s="149"/>
      <c r="AF18" s="149"/>
      <c r="AG18" s="149"/>
      <c r="AH18" s="150"/>
      <c r="AI18" s="151"/>
    </row>
    <row r="19" spans="1:35" s="141" customFormat="1" ht="18.5" x14ac:dyDescent="0.35">
      <c r="A19" s="135">
        <v>18</v>
      </c>
      <c r="B19" s="223" t="s">
        <v>164</v>
      </c>
      <c r="C19" s="223" t="s">
        <v>165</v>
      </c>
      <c r="D19" s="224">
        <v>65.022578999999993</v>
      </c>
      <c r="E19" s="153"/>
      <c r="F19" s="136"/>
      <c r="G19" s="137" t="s">
        <v>171</v>
      </c>
      <c r="H19" s="225" t="s">
        <v>174</v>
      </c>
      <c r="I19" s="137"/>
      <c r="J19" s="138"/>
      <c r="K19" s="133"/>
      <c r="L19" s="133"/>
      <c r="M19" s="138"/>
      <c r="N19" s="138"/>
      <c r="O19" s="139">
        <f t="shared" si="0"/>
        <v>685337.98265999998</v>
      </c>
      <c r="P19" s="140"/>
      <c r="Q19" s="146"/>
      <c r="R19" s="146"/>
      <c r="T19" s="147"/>
      <c r="V19" s="148"/>
      <c r="W19" s="148"/>
      <c r="X19" s="148"/>
      <c r="Y19" s="148"/>
      <c r="Z19" s="148"/>
      <c r="AA19" s="148"/>
      <c r="AC19" s="149"/>
      <c r="AD19" s="149"/>
      <c r="AE19" s="149"/>
      <c r="AF19" s="149"/>
      <c r="AG19" s="149"/>
      <c r="AH19" s="150"/>
      <c r="AI19" s="151"/>
    </row>
    <row r="20" spans="1:35" s="141" customFormat="1" ht="18.5" x14ac:dyDescent="0.35">
      <c r="A20" s="135">
        <v>19</v>
      </c>
      <c r="B20" s="223" t="s">
        <v>166</v>
      </c>
      <c r="C20" s="223" t="s">
        <v>167</v>
      </c>
      <c r="D20" s="224">
        <v>55.450851000000007</v>
      </c>
      <c r="E20" s="153"/>
      <c r="F20" s="136"/>
      <c r="G20" s="137" t="s">
        <v>171</v>
      </c>
      <c r="H20" s="225" t="s">
        <v>174</v>
      </c>
      <c r="I20" s="137"/>
      <c r="J20" s="138"/>
      <c r="K20" s="133"/>
      <c r="L20" s="133"/>
      <c r="M20" s="138"/>
      <c r="N20" s="138"/>
      <c r="O20" s="139">
        <f t="shared" si="0"/>
        <v>584451.96954000008</v>
      </c>
      <c r="P20" s="140"/>
      <c r="Q20" s="146"/>
      <c r="R20" s="146"/>
      <c r="V20" s="148"/>
      <c r="W20" s="148"/>
      <c r="X20" s="148"/>
      <c r="Y20" s="148"/>
      <c r="Z20" s="148"/>
      <c r="AA20" s="148"/>
      <c r="AC20" s="149"/>
      <c r="AD20" s="149"/>
      <c r="AE20" s="149"/>
      <c r="AF20" s="149"/>
      <c r="AG20" s="149"/>
      <c r="AH20" s="150"/>
      <c r="AI20" s="151"/>
    </row>
    <row r="21" spans="1:35" s="141" customFormat="1" ht="18.5" x14ac:dyDescent="0.35">
      <c r="A21" s="135">
        <v>20</v>
      </c>
      <c r="B21" s="223" t="s">
        <v>168</v>
      </c>
      <c r="C21" s="223" t="s">
        <v>169</v>
      </c>
      <c r="D21" s="224">
        <v>66.775700999999998</v>
      </c>
      <c r="E21" s="153"/>
      <c r="F21" s="136"/>
      <c r="G21" s="137" t="s">
        <v>171</v>
      </c>
      <c r="H21" s="225" t="s">
        <v>174</v>
      </c>
      <c r="I21" s="137"/>
      <c r="J21" s="138"/>
      <c r="K21" s="133"/>
      <c r="L21" s="133"/>
      <c r="M21" s="138"/>
      <c r="N21" s="138"/>
      <c r="O21" s="139">
        <f t="shared" si="0"/>
        <v>703815.88853999996</v>
      </c>
      <c r="P21" s="140"/>
      <c r="Q21" s="146"/>
      <c r="R21" s="146"/>
      <c r="T21" s="147"/>
      <c r="V21" s="148"/>
      <c r="W21" s="148"/>
      <c r="X21" s="148"/>
      <c r="Y21" s="148"/>
      <c r="Z21" s="148"/>
      <c r="AA21" s="148"/>
      <c r="AC21" s="149"/>
      <c r="AD21" s="149"/>
      <c r="AE21" s="149"/>
      <c r="AF21" s="149"/>
      <c r="AG21" s="149"/>
      <c r="AH21" s="150"/>
      <c r="AI21" s="151"/>
    </row>
    <row r="22" spans="1:35" s="141" customFormat="1" ht="18.5" x14ac:dyDescent="0.35">
      <c r="A22" s="135">
        <v>21</v>
      </c>
      <c r="B22" s="223" t="s">
        <v>170</v>
      </c>
      <c r="C22" s="223" t="s">
        <v>157</v>
      </c>
      <c r="D22" s="224">
        <v>67.261728000000005</v>
      </c>
      <c r="E22" s="153"/>
      <c r="F22" s="136"/>
      <c r="G22" s="137" t="s">
        <v>171</v>
      </c>
      <c r="H22" s="225" t="s">
        <v>174</v>
      </c>
      <c r="I22" s="137"/>
      <c r="J22" s="138"/>
      <c r="K22" s="133"/>
      <c r="L22" s="133"/>
      <c r="M22" s="138"/>
      <c r="N22" s="138"/>
      <c r="O22" s="139">
        <f t="shared" si="0"/>
        <v>708938.61312000011</v>
      </c>
      <c r="P22" s="140"/>
      <c r="Q22" s="146"/>
      <c r="R22" s="146"/>
      <c r="T22" s="147"/>
      <c r="V22" s="148"/>
      <c r="W22" s="148"/>
      <c r="X22" s="148"/>
      <c r="Y22" s="148"/>
      <c r="Z22" s="148"/>
      <c r="AA22" s="148"/>
      <c r="AC22" s="149"/>
      <c r="AD22" s="149"/>
      <c r="AE22" s="149"/>
      <c r="AF22" s="149"/>
      <c r="AG22" s="149"/>
      <c r="AH22" s="150"/>
      <c r="AI22" s="151"/>
    </row>
  </sheetData>
  <phoneticPr fontId="8" type="noConversion"/>
  <conditionalFormatting sqref="J2:J22 M2:N22">
    <cfRule type="containsText" dxfId="14" priority="83" operator="containsText" text="ROW">
      <formula>NOT(ISERROR(SEARCH("ROW",J2)))</formula>
    </cfRule>
  </conditionalFormatting>
  <conditionalFormatting sqref="J2:J22">
    <cfRule type="containsText" dxfId="13" priority="56" operator="containsText" text="WIP">
      <formula>NOT(ISERROR(SEARCH("WIP",J2)))</formula>
    </cfRule>
    <cfRule type="containsText" dxfId="12" priority="61" operator="containsText" text="Complete">
      <formula>NOT(ISERROR(SEARCH("Complete",J2)))</formula>
    </cfRule>
    <cfRule type="containsText" dxfId="11" priority="62" operator="containsText" text="ROW">
      <formula>NOT(ISERROR(SEARCH("ROW",J2)))</formula>
    </cfRule>
  </conditionalFormatting>
  <conditionalFormatting sqref="M2:N22 J2:J22">
    <cfRule type="containsText" dxfId="10" priority="82" operator="containsText" text="Complete">
      <formula>NOT(ISERROR(SEARCH("Complete",J2)))</formula>
    </cfRule>
  </conditionalFormatting>
  <conditionalFormatting sqref="M2:N22">
    <cfRule type="containsText" dxfId="9" priority="80" operator="containsText" text="Complete">
      <formula>NOT(ISERROR(SEARCH("Complete",M2)))</formula>
    </cfRule>
    <cfRule type="containsText" dxfId="8" priority="81" operator="containsText" text="ROW">
      <formula>NOT(ISERROR(SEARCH("ROW",M2)))</formula>
    </cfRule>
    <cfRule type="containsText" dxfId="7" priority="172" operator="containsText" text="WIP">
      <formula>NOT(ISERROR(SEARCH("WIP",M2)))</formula>
    </cfRule>
  </conditionalFormatting>
  <conditionalFormatting sqref="B2:B22">
    <cfRule type="duplicateValues" dxfId="6" priority="5" stopIfTrue="1"/>
    <cfRule type="duplicateValues" dxfId="5" priority="6" stopIfTrue="1"/>
  </conditionalFormatting>
  <conditionalFormatting sqref="B2:B22">
    <cfRule type="expression" dxfId="3" priority="1343" stopIfTrue="1">
      <formula>AND(COUNTIF(#REF!, B2)+COUNTIF($B$1:$B$22, B2)&gt;1,NOT(ISBLANK(B2)))</formula>
    </cfRule>
    <cfRule type="expression" dxfId="2" priority="1344" stopIfTrue="1">
      <formula>AND(COUNTIF($B$1:$B$22, B2)+COUNTIF($B$23:$B$65484, B2)&gt;1,NOT(ISBLANK(B2)))</formula>
    </cfRule>
    <cfRule type="expression" dxfId="1" priority="1345" stopIfTrue="1">
      <formula>AND(COUNTIF(#REF!, B2)+COUNTIF($B$1:$B$20, B2)+COUNTIF(#REF!, B2)&gt;1,NOT(ISBLANK(B2)))</formula>
    </cfRule>
  </conditionalFormatting>
  <conditionalFormatting sqref="B2:B22">
    <cfRule type="expression" dxfId="0" priority="1346" stopIfTrue="1">
      <formula>AND(COUNTIF($B$1:$B$20, B2)+COUNTIF($B$23:$B$65484, B2)+COUNTIF(#REF!, B2)&gt;1,NOT(ISBLANK(B2)))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F0E1F-80A5-4555-9FE1-744B1DEBC4EC}">
  <dimension ref="B1:L15"/>
  <sheetViews>
    <sheetView workbookViewId="0">
      <selection activeCell="F18" sqref="F18"/>
    </sheetView>
  </sheetViews>
  <sheetFormatPr defaultRowHeight="14.5" x14ac:dyDescent="0.35"/>
  <cols>
    <col min="1" max="1" width="1.26953125" customWidth="1"/>
    <col min="3" max="3" width="20.81640625" customWidth="1"/>
    <col min="4" max="4" width="13.453125" customWidth="1"/>
    <col min="5" max="5" width="14.54296875" customWidth="1"/>
    <col min="6" max="6" width="11.1796875" customWidth="1"/>
    <col min="7" max="7" width="13.453125" customWidth="1"/>
    <col min="8" max="8" width="12.54296875" customWidth="1"/>
    <col min="9" max="9" width="15.1796875" customWidth="1"/>
    <col min="10" max="10" width="11.1796875" customWidth="1"/>
    <col min="11" max="11" width="16" customWidth="1"/>
  </cols>
  <sheetData>
    <row r="1" spans="2:12" x14ac:dyDescent="0.35">
      <c r="B1" s="215" t="s">
        <v>121</v>
      </c>
      <c r="C1" s="215"/>
      <c r="D1" s="215"/>
      <c r="E1" s="215"/>
      <c r="F1" s="215"/>
      <c r="G1" s="215"/>
      <c r="H1" s="215"/>
      <c r="I1" s="215"/>
      <c r="J1" s="215"/>
      <c r="K1" s="215"/>
      <c r="L1" s="215"/>
    </row>
    <row r="2" spans="2:12" x14ac:dyDescent="0.35">
      <c r="B2" s="216" t="s">
        <v>122</v>
      </c>
      <c r="C2" s="216"/>
      <c r="D2" s="216"/>
      <c r="E2" s="216"/>
      <c r="F2" s="216"/>
      <c r="G2" s="216"/>
      <c r="H2" s="216"/>
      <c r="I2" s="216"/>
      <c r="J2" s="216"/>
      <c r="K2" s="216"/>
      <c r="L2" s="216"/>
    </row>
    <row r="3" spans="2:12" x14ac:dyDescent="0.35">
      <c r="B3" s="217" t="s">
        <v>123</v>
      </c>
      <c r="C3" s="217"/>
      <c r="D3" s="217"/>
      <c r="E3" s="217"/>
      <c r="F3" s="217"/>
      <c r="G3" s="217"/>
      <c r="H3" s="217"/>
      <c r="I3" s="217"/>
      <c r="J3" s="217"/>
      <c r="K3" s="217"/>
      <c r="L3" s="217"/>
    </row>
    <row r="4" spans="2:12" ht="15" thickBot="1" x14ac:dyDescent="0.4">
      <c r="B4" s="218" t="s">
        <v>124</v>
      </c>
      <c r="C4" s="218"/>
      <c r="D4" s="218"/>
      <c r="E4" s="218"/>
      <c r="F4" s="218"/>
      <c r="G4" s="218"/>
      <c r="H4" s="218"/>
      <c r="I4" s="218"/>
      <c r="J4" s="218"/>
      <c r="K4" s="218"/>
      <c r="L4" s="218"/>
    </row>
    <row r="5" spans="2:12" ht="16" thickBot="1" x14ac:dyDescent="0.4">
      <c r="B5" s="174" t="s">
        <v>143</v>
      </c>
      <c r="C5" s="175"/>
      <c r="D5" s="175"/>
      <c r="E5" s="175"/>
      <c r="F5" s="175"/>
      <c r="G5" s="175"/>
      <c r="H5" s="175"/>
      <c r="I5" s="175"/>
      <c r="J5" s="175"/>
      <c r="K5" s="176"/>
    </row>
    <row r="6" spans="2:12" x14ac:dyDescent="0.35">
      <c r="B6" s="211" t="s">
        <v>125</v>
      </c>
      <c r="C6" s="209" t="s">
        <v>126</v>
      </c>
      <c r="D6" s="209" t="s">
        <v>144</v>
      </c>
      <c r="E6" s="209" t="s">
        <v>127</v>
      </c>
      <c r="F6" s="209" t="s">
        <v>128</v>
      </c>
      <c r="G6" s="209" t="s">
        <v>129</v>
      </c>
      <c r="H6" s="209" t="s">
        <v>130</v>
      </c>
      <c r="I6" s="209" t="s">
        <v>131</v>
      </c>
      <c r="J6" s="209" t="s">
        <v>132</v>
      </c>
      <c r="K6" s="213" t="s">
        <v>108</v>
      </c>
    </row>
    <row r="7" spans="2:12" x14ac:dyDescent="0.35">
      <c r="B7" s="212"/>
      <c r="C7" s="210"/>
      <c r="D7" s="210"/>
      <c r="E7" s="210"/>
      <c r="F7" s="210"/>
      <c r="G7" s="210"/>
      <c r="H7" s="210"/>
      <c r="I7" s="210"/>
      <c r="J7" s="210"/>
      <c r="K7" s="214"/>
    </row>
    <row r="8" spans="2:12" x14ac:dyDescent="0.35">
      <c r="B8" s="171">
        <v>1</v>
      </c>
      <c r="C8" s="172" t="s">
        <v>133</v>
      </c>
      <c r="D8" s="173">
        <v>4901.2360000000008</v>
      </c>
      <c r="E8" s="173" t="s">
        <v>134</v>
      </c>
      <c r="F8" s="173">
        <v>13</v>
      </c>
      <c r="G8" s="133">
        <v>45967</v>
      </c>
      <c r="H8" s="133">
        <v>45968</v>
      </c>
      <c r="I8" s="133">
        <v>45972</v>
      </c>
      <c r="J8" s="133">
        <v>45974</v>
      </c>
      <c r="K8" s="203" t="s">
        <v>135</v>
      </c>
      <c r="L8" s="155"/>
    </row>
    <row r="9" spans="2:12" x14ac:dyDescent="0.35">
      <c r="B9" s="163">
        <v>2</v>
      </c>
      <c r="C9" s="164" t="s">
        <v>136</v>
      </c>
      <c r="D9" s="135">
        <v>4418.3890000000001</v>
      </c>
      <c r="E9" s="135" t="s">
        <v>134</v>
      </c>
      <c r="F9" s="135">
        <v>11</v>
      </c>
      <c r="G9" s="133">
        <v>45977</v>
      </c>
      <c r="H9" s="133">
        <v>45978</v>
      </c>
      <c r="I9" s="133">
        <v>45981</v>
      </c>
      <c r="J9" s="133">
        <v>45983</v>
      </c>
      <c r="K9" s="204"/>
      <c r="L9" s="155"/>
    </row>
    <row r="10" spans="2:12" x14ac:dyDescent="0.35">
      <c r="B10" s="163">
        <v>3</v>
      </c>
      <c r="C10" s="164" t="s">
        <v>137</v>
      </c>
      <c r="D10" s="135">
        <v>419.48</v>
      </c>
      <c r="E10" s="135" t="s">
        <v>134</v>
      </c>
      <c r="F10" s="135">
        <v>1</v>
      </c>
      <c r="G10" s="133">
        <v>45984</v>
      </c>
      <c r="H10" s="133">
        <v>45985</v>
      </c>
      <c r="I10" s="133">
        <v>45988</v>
      </c>
      <c r="J10" s="133">
        <v>45990</v>
      </c>
      <c r="K10" s="205"/>
      <c r="L10" s="155"/>
    </row>
    <row r="11" spans="2:12" x14ac:dyDescent="0.35">
      <c r="B11" s="162">
        <v>4</v>
      </c>
      <c r="C11" s="156" t="s">
        <v>138</v>
      </c>
      <c r="D11" s="8">
        <v>840.43900000000008</v>
      </c>
      <c r="E11" s="165" t="s">
        <v>134</v>
      </c>
      <c r="F11" s="8">
        <v>2</v>
      </c>
      <c r="G11" s="133">
        <v>45971</v>
      </c>
      <c r="H11" s="133">
        <v>45973</v>
      </c>
      <c r="I11" s="133">
        <v>45976</v>
      </c>
      <c r="J11" s="133">
        <v>45979</v>
      </c>
      <c r="K11" s="206" t="s">
        <v>139</v>
      </c>
    </row>
    <row r="12" spans="2:12" x14ac:dyDescent="0.35">
      <c r="B12" s="162">
        <v>5</v>
      </c>
      <c r="C12" s="156" t="s">
        <v>140</v>
      </c>
      <c r="D12" s="8">
        <v>3283.51</v>
      </c>
      <c r="E12" s="165" t="s">
        <v>134</v>
      </c>
      <c r="F12" s="8">
        <v>8</v>
      </c>
      <c r="G12" s="133">
        <v>45983</v>
      </c>
      <c r="H12" s="133">
        <v>45984</v>
      </c>
      <c r="I12" s="133">
        <v>45987</v>
      </c>
      <c r="J12" s="133">
        <v>45989</v>
      </c>
      <c r="K12" s="207"/>
    </row>
    <row r="13" spans="2:12" x14ac:dyDescent="0.35">
      <c r="B13" s="162">
        <v>6</v>
      </c>
      <c r="C13" s="156" t="s">
        <v>141</v>
      </c>
      <c r="D13" s="8">
        <v>4049.7639999999997</v>
      </c>
      <c r="E13" s="165" t="s">
        <v>134</v>
      </c>
      <c r="F13" s="8">
        <v>10</v>
      </c>
      <c r="G13" s="133">
        <v>45988</v>
      </c>
      <c r="H13" s="133">
        <f>G13+1</f>
        <v>45989</v>
      </c>
      <c r="I13" s="133">
        <v>45991</v>
      </c>
      <c r="J13" s="133">
        <v>45995</v>
      </c>
      <c r="K13" s="208"/>
    </row>
    <row r="14" spans="2:12" ht="15" thickBot="1" x14ac:dyDescent="0.4">
      <c r="B14" s="167"/>
      <c r="C14" s="168"/>
      <c r="D14" s="168"/>
      <c r="E14" s="169"/>
      <c r="F14" s="92"/>
      <c r="G14" s="92"/>
      <c r="H14" s="92"/>
      <c r="I14" s="92"/>
      <c r="J14" s="92"/>
      <c r="K14" s="170"/>
    </row>
    <row r="15" spans="2:12" ht="15" thickBot="1" x14ac:dyDescent="0.4">
      <c r="B15" s="158" t="s">
        <v>142</v>
      </c>
      <c r="C15" s="159"/>
      <c r="D15" s="166">
        <v>17.912817999999998</v>
      </c>
      <c r="E15" s="160"/>
      <c r="F15" s="161">
        <v>45</v>
      </c>
      <c r="G15" s="161"/>
      <c r="H15" s="161"/>
      <c r="I15" s="161"/>
      <c r="J15" s="161"/>
      <c r="K15" s="157"/>
    </row>
  </sheetData>
  <mergeCells count="16">
    <mergeCell ref="B1:L1"/>
    <mergeCell ref="B2:L2"/>
    <mergeCell ref="B3:L3"/>
    <mergeCell ref="B4:L4"/>
    <mergeCell ref="G6:G7"/>
    <mergeCell ref="H6:H7"/>
    <mergeCell ref="I6:I7"/>
    <mergeCell ref="J6:J7"/>
    <mergeCell ref="K8:K10"/>
    <mergeCell ref="K11:K13"/>
    <mergeCell ref="F6:F7"/>
    <mergeCell ref="B6:B7"/>
    <mergeCell ref="C6:C7"/>
    <mergeCell ref="D6:D7"/>
    <mergeCell ref="E6:E7"/>
    <mergeCell ref="K6:K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FCD75-33F5-49B3-A4C8-4F19BD2235FD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1796875" defaultRowHeight="14.5" x14ac:dyDescent="0.35"/>
  <cols>
    <col min="1" max="1" width="3.453125" style="4" customWidth="1"/>
    <col min="2" max="2" width="15.26953125" style="1" customWidth="1"/>
    <col min="3" max="3" width="11.26953125" style="1" customWidth="1"/>
    <col min="4" max="4" width="12.54296875" style="4" customWidth="1"/>
    <col min="5" max="5" width="12.7265625" style="4" customWidth="1"/>
    <col min="6" max="6" width="10.1796875" style="4" customWidth="1"/>
    <col min="7" max="7" width="12.54296875" style="4" customWidth="1"/>
    <col min="8" max="8" width="11.54296875" style="1" customWidth="1"/>
    <col min="9" max="10" width="10.7265625" style="1" customWidth="1"/>
    <col min="11" max="11" width="14.81640625" style="1" customWidth="1"/>
    <col min="12" max="12" width="3.1796875" style="1" customWidth="1"/>
    <col min="13" max="13" width="14.54296875" style="1" customWidth="1"/>
    <col min="14" max="14" width="3.1796875" style="1" customWidth="1"/>
    <col min="15" max="15" width="10.54296875" style="1" customWidth="1"/>
    <col min="16" max="20" width="8.7265625" style="1" customWidth="1"/>
    <col min="21" max="21" width="3.1796875" style="1" customWidth="1"/>
    <col min="22" max="22" width="10.7265625" style="1" customWidth="1"/>
    <col min="23" max="23" width="12.54296875" style="1" customWidth="1"/>
    <col min="24" max="24" width="12.453125" style="1" customWidth="1"/>
    <col min="25" max="26" width="10.7265625" style="1" customWidth="1"/>
    <col min="27" max="27" width="14.453125" style="1" customWidth="1"/>
    <col min="28" max="28" width="17.26953125" style="1" customWidth="1"/>
    <col min="29" max="16384" width="9.17968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8"/>
    </row>
    <row r="6" spans="1:15" ht="16" x14ac:dyDescent="0.35">
      <c r="A6" s="6"/>
      <c r="D6" s="2" t="s">
        <v>88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6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6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6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6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7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180" t="s">
        <v>4</v>
      </c>
      <c r="B18" s="180" t="s">
        <v>42</v>
      </c>
      <c r="C18" s="177" t="s">
        <v>47</v>
      </c>
      <c r="D18" s="177" t="s">
        <v>43</v>
      </c>
      <c r="E18" s="180" t="s">
        <v>8</v>
      </c>
      <c r="F18" s="192" t="s">
        <v>18</v>
      </c>
      <c r="G18" s="192"/>
      <c r="H18" s="192"/>
      <c r="I18" s="192"/>
      <c r="J18" s="192"/>
      <c r="K18" s="185" t="s">
        <v>19</v>
      </c>
      <c r="M18" s="177" t="s">
        <v>36</v>
      </c>
      <c r="O18" s="186" t="s">
        <v>31</v>
      </c>
      <c r="P18" s="187"/>
      <c r="Q18" s="187"/>
      <c r="R18" s="187"/>
      <c r="S18" s="187"/>
      <c r="T18" s="188"/>
      <c r="V18" s="186" t="s">
        <v>30</v>
      </c>
      <c r="W18" s="187"/>
      <c r="X18" s="187"/>
      <c r="Y18" s="187"/>
      <c r="Z18" s="187"/>
      <c r="AA18" s="188"/>
      <c r="AB18" s="189" t="s">
        <v>34</v>
      </c>
    </row>
    <row r="19" spans="1:28" ht="21" customHeight="1" x14ac:dyDescent="0.35">
      <c r="A19" s="181"/>
      <c r="B19" s="181"/>
      <c r="C19" s="178"/>
      <c r="D19" s="181"/>
      <c r="E19" s="181"/>
      <c r="F19" s="220" t="s">
        <v>40</v>
      </c>
      <c r="G19" s="221" t="s">
        <v>44</v>
      </c>
      <c r="H19" s="222"/>
      <c r="I19" s="221" t="s">
        <v>45</v>
      </c>
      <c r="J19" s="222"/>
      <c r="K19" s="185"/>
      <c r="M19" s="191"/>
      <c r="O19" s="183" t="s">
        <v>24</v>
      </c>
      <c r="P19" s="183" t="s">
        <v>25</v>
      </c>
      <c r="Q19" s="183" t="s">
        <v>26</v>
      </c>
      <c r="R19" s="183" t="s">
        <v>27</v>
      </c>
      <c r="S19" s="183" t="s">
        <v>28</v>
      </c>
      <c r="T19" s="43" t="s">
        <v>29</v>
      </c>
      <c r="V19" s="183" t="s">
        <v>24</v>
      </c>
      <c r="W19" s="183" t="s">
        <v>25</v>
      </c>
      <c r="X19" s="183" t="s">
        <v>26</v>
      </c>
      <c r="Y19" s="183" t="s">
        <v>27</v>
      </c>
      <c r="Z19" s="183" t="s">
        <v>28</v>
      </c>
      <c r="AA19" s="43" t="s">
        <v>29</v>
      </c>
      <c r="AB19" s="190"/>
    </row>
    <row r="20" spans="1:28" ht="36.75" customHeight="1" thickBot="1" x14ac:dyDescent="0.4">
      <c r="A20" s="181"/>
      <c r="B20" s="181"/>
      <c r="C20" s="178"/>
      <c r="D20" s="181"/>
      <c r="E20" s="181"/>
      <c r="F20" s="220"/>
      <c r="G20" s="93" t="s">
        <v>10</v>
      </c>
      <c r="H20" s="93" t="s">
        <v>11</v>
      </c>
      <c r="I20" s="93" t="s">
        <v>10</v>
      </c>
      <c r="J20" s="93" t="s">
        <v>11</v>
      </c>
      <c r="K20" s="44" t="s">
        <v>20</v>
      </c>
      <c r="M20" s="18" t="s">
        <v>37</v>
      </c>
      <c r="O20" s="184"/>
      <c r="P20" s="184"/>
      <c r="Q20" s="184"/>
      <c r="R20" s="184"/>
      <c r="S20" s="184"/>
      <c r="T20" s="19"/>
      <c r="V20" s="184"/>
      <c r="W20" s="184"/>
      <c r="X20" s="184"/>
      <c r="Y20" s="184"/>
      <c r="Z20" s="184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2" t="s">
        <v>89</v>
      </c>
      <c r="C21" s="121">
        <v>3.6110000000000002</v>
      </c>
      <c r="D21" s="8" t="s">
        <v>79</v>
      </c>
      <c r="E21" s="219" t="s">
        <v>98</v>
      </c>
      <c r="F21" s="113">
        <v>45899</v>
      </c>
      <c r="G21" s="113">
        <v>45901</v>
      </c>
      <c r="H21" s="113">
        <v>45908</v>
      </c>
      <c r="I21" s="113">
        <v>45909</v>
      </c>
      <c r="J21" s="113">
        <v>45912</v>
      </c>
      <c r="K21" s="23">
        <f>K4*C21</f>
        <v>3270887.1320000002</v>
      </c>
      <c r="M21" s="86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19" t="s">
        <v>90</v>
      </c>
      <c r="C22" s="121">
        <v>3.92</v>
      </c>
      <c r="D22" s="8" t="s">
        <v>79</v>
      </c>
      <c r="E22" s="219"/>
      <c r="F22" s="113">
        <v>45913</v>
      </c>
      <c r="G22" s="113">
        <v>45914</v>
      </c>
      <c r="H22" s="113">
        <v>45919</v>
      </c>
      <c r="I22" s="113">
        <v>45920</v>
      </c>
      <c r="J22" s="113">
        <v>45922</v>
      </c>
      <c r="K22" s="23">
        <f>K4*C22</f>
        <v>3550783.04</v>
      </c>
      <c r="M22" s="86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19" t="s">
        <v>91</v>
      </c>
      <c r="C23" s="121">
        <v>0.28000000000000003</v>
      </c>
      <c r="D23" s="8" t="s">
        <v>86</v>
      </c>
      <c r="E23" s="219"/>
      <c r="F23" s="113">
        <v>45910</v>
      </c>
      <c r="G23" s="113">
        <v>45911</v>
      </c>
      <c r="H23" s="113">
        <v>45912</v>
      </c>
      <c r="I23" s="113">
        <v>45912</v>
      </c>
      <c r="J23" s="113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19" t="s">
        <v>92</v>
      </c>
      <c r="C24" s="121">
        <v>0.313</v>
      </c>
      <c r="D24" s="8" t="s">
        <v>86</v>
      </c>
      <c r="E24" s="219"/>
      <c r="F24" s="113">
        <v>45927</v>
      </c>
      <c r="G24" s="113">
        <v>45928</v>
      </c>
      <c r="H24" s="113">
        <v>45928</v>
      </c>
      <c r="I24" s="113">
        <v>45928</v>
      </c>
      <c r="J24" s="113">
        <v>45928</v>
      </c>
      <c r="K24" s="23">
        <f>C24*K4</f>
        <v>283519.15600000002</v>
      </c>
      <c r="M24" s="86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19" t="s">
        <v>93</v>
      </c>
      <c r="C25" s="121">
        <v>0.31900000000000001</v>
      </c>
      <c r="D25" s="8" t="s">
        <v>86</v>
      </c>
      <c r="E25" s="219"/>
      <c r="F25" s="113">
        <v>45915</v>
      </c>
      <c r="G25" s="113">
        <v>45916</v>
      </c>
      <c r="H25" s="113">
        <v>45916</v>
      </c>
      <c r="I25" s="113">
        <v>45916</v>
      </c>
      <c r="J25" s="113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2" t="s">
        <v>94</v>
      </c>
      <c r="C26" s="121">
        <v>4.9580000000000002</v>
      </c>
      <c r="D26" s="8" t="s">
        <v>79</v>
      </c>
      <c r="E26" s="7" t="s">
        <v>99</v>
      </c>
      <c r="F26" s="113">
        <v>45903</v>
      </c>
      <c r="G26" s="113">
        <v>45904</v>
      </c>
      <c r="H26" s="113">
        <v>45909</v>
      </c>
      <c r="I26" s="113">
        <v>45910</v>
      </c>
      <c r="J26" s="113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19" t="s">
        <v>95</v>
      </c>
      <c r="C27" s="121">
        <v>1.6060000000000001</v>
      </c>
      <c r="D27" s="8" t="s">
        <v>79</v>
      </c>
      <c r="E27" s="7"/>
      <c r="F27" s="113">
        <v>45914</v>
      </c>
      <c r="G27" s="113">
        <v>45915</v>
      </c>
      <c r="H27" s="113">
        <v>45917</v>
      </c>
      <c r="I27" s="113">
        <v>45918</v>
      </c>
      <c r="J27" s="113">
        <v>45919</v>
      </c>
      <c r="K27" s="23">
        <f>C27*K4</f>
        <v>1454734.0720000002</v>
      </c>
      <c r="M27" s="86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19" t="s">
        <v>96</v>
      </c>
      <c r="C28" s="121">
        <v>0.32300000000000001</v>
      </c>
      <c r="D28" s="8" t="s">
        <v>86</v>
      </c>
      <c r="E28" s="7"/>
      <c r="F28" s="113">
        <v>45920</v>
      </c>
      <c r="G28" s="113">
        <v>45921</v>
      </c>
      <c r="H28" s="113">
        <v>45926</v>
      </c>
      <c r="I28" s="113">
        <v>45927</v>
      </c>
      <c r="J28" s="113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2" t="s">
        <v>97</v>
      </c>
      <c r="C29" s="120">
        <v>4.9470000000000001</v>
      </c>
      <c r="D29" s="8" t="s">
        <v>79</v>
      </c>
      <c r="E29" s="125"/>
      <c r="F29" s="113">
        <v>45899</v>
      </c>
      <c r="G29" s="113">
        <v>45900</v>
      </c>
      <c r="H29" s="113">
        <v>45906</v>
      </c>
      <c r="I29" s="113">
        <v>45907</v>
      </c>
      <c r="J29" s="113">
        <v>45910</v>
      </c>
      <c r="K29" s="23">
        <f>C29*K4</f>
        <v>4481051.9639999997</v>
      </c>
      <c r="M29" s="86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19" t="s">
        <v>100</v>
      </c>
      <c r="C30" s="120">
        <v>2.75</v>
      </c>
      <c r="D30" s="8" t="s">
        <v>79</v>
      </c>
      <c r="E30" s="125"/>
      <c r="F30" s="113">
        <v>45911</v>
      </c>
      <c r="G30" s="113">
        <v>45912</v>
      </c>
      <c r="H30" s="113">
        <v>45917</v>
      </c>
      <c r="I30" s="113">
        <v>45918</v>
      </c>
      <c r="J30" s="113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19" t="s">
        <v>101</v>
      </c>
      <c r="C31" s="123">
        <v>0.27</v>
      </c>
      <c r="D31" s="8" t="s">
        <v>79</v>
      </c>
      <c r="E31" s="125"/>
      <c r="F31" s="113">
        <v>45920</v>
      </c>
      <c r="G31" s="113">
        <v>45920</v>
      </c>
      <c r="H31" s="113">
        <v>45920</v>
      </c>
      <c r="I31" s="113">
        <v>45922</v>
      </c>
      <c r="J31" s="113">
        <v>45922</v>
      </c>
      <c r="K31" s="23">
        <f>C31*K4</f>
        <v>244569.24000000002</v>
      </c>
      <c r="M31" s="86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19" t="s">
        <v>102</v>
      </c>
      <c r="C32" s="120">
        <v>0.68799999999999994</v>
      </c>
      <c r="D32" s="8" t="s">
        <v>87</v>
      </c>
      <c r="E32" s="10"/>
      <c r="F32" s="113">
        <v>45927</v>
      </c>
      <c r="G32" s="113">
        <v>45928</v>
      </c>
      <c r="H32" s="113">
        <v>45928</v>
      </c>
      <c r="I32" s="113">
        <v>45928</v>
      </c>
      <c r="J32" s="113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19"/>
      <c r="C33" s="120"/>
      <c r="D33" s="8"/>
      <c r="E33" s="10"/>
      <c r="F33" s="113"/>
      <c r="G33" s="113"/>
      <c r="H33" s="113"/>
      <c r="I33" s="113"/>
      <c r="J33" s="113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4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  <mergeCell ref="A18:A20"/>
    <mergeCell ref="B18:B20"/>
    <mergeCell ref="C18:C20"/>
    <mergeCell ref="D18:D20"/>
    <mergeCell ref="E18:E20"/>
    <mergeCell ref="E21:E25"/>
    <mergeCell ref="W19:W20"/>
    <mergeCell ref="K18:K19"/>
    <mergeCell ref="M18:M19"/>
    <mergeCell ref="O18:T18"/>
    <mergeCell ref="V18:AA18"/>
    <mergeCell ref="V19:V20"/>
  </mergeCells>
  <conditionalFormatting sqref="C26:C27">
    <cfRule type="containsText" dxfId="4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Erection-Nov25</vt:lpstr>
      <vt:lpstr>Stringing- Nov25 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Abir Kumar Das</cp:lastModifiedBy>
  <cp:lastPrinted>2024-05-23T07:04:00Z</cp:lastPrinted>
  <dcterms:created xsi:type="dcterms:W3CDTF">2015-06-05T18:17:20Z</dcterms:created>
  <dcterms:modified xsi:type="dcterms:W3CDTF">2025-11-04T08:20:24Z</dcterms:modified>
</cp:coreProperties>
</file>