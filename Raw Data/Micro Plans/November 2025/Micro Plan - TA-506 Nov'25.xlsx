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Micro Plans\November 2025\"/>
    </mc:Choice>
  </mc:AlternateContent>
  <xr:revisionPtr revIDLastSave="0" documentId="13_ncr:1_{A65CE73B-AA6B-4C25-AE8C-37ED6E9E1121}" xr6:coauthVersionLast="47" xr6:coauthVersionMax="47" xr10:uidLastSave="{00000000-0000-0000-0000-000000000000}"/>
  <bookViews>
    <workbookView xWindow="-110" yWindow="-110" windowWidth="19420" windowHeight="10300" tabRatio="757" firstSheet="2" activeTab="2" xr2:uid="{00000000-000D-0000-FFFF-FFFF00000000}"/>
  </bookViews>
  <sheets>
    <sheet name="FDN-June25" sheetId="1" state="hidden" r:id="rId1"/>
    <sheet name="Stub dispatch" sheetId="4" state="hidden" r:id="rId2"/>
    <sheet name="Erection-Nov25" sheetId="2" r:id="rId3"/>
    <sheet name="STG-Sep25" sheetId="3" state="hidden" r:id="rId4"/>
  </sheets>
  <definedNames>
    <definedName name="_xlnm._FilterDatabase" localSheetId="2" hidden="1">'Erection-Nov25'!$B$1:$H$72</definedName>
    <definedName name="_xlnm._FilterDatabase" localSheetId="0" hidden="1">'FDN-June25'!$A$18:$P$28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K32" i="3" l="1"/>
  <c r="K31" i="3"/>
  <c r="K30" i="3"/>
  <c r="K29" i="3"/>
  <c r="K28" i="3"/>
  <c r="K27" i="3"/>
  <c r="K26" i="3"/>
  <c r="K25" i="3"/>
  <c r="K24" i="3"/>
  <c r="K23" i="3"/>
  <c r="K22" i="3"/>
  <c r="K21" i="3"/>
  <c r="K33" i="3"/>
  <c r="T32" i="3"/>
  <c r="T31" i="3"/>
  <c r="T30" i="3"/>
  <c r="T29" i="3"/>
  <c r="T26" i="3" l="1"/>
  <c r="T27" i="3"/>
  <c r="T28" i="3"/>
  <c r="T33" i="3"/>
  <c r="Y24" i="3"/>
  <c r="X24" i="3" l="1"/>
  <c r="Y32" i="3"/>
  <c r="W30" i="3"/>
  <c r="V29" i="3"/>
  <c r="Z31" i="3"/>
  <c r="Y31" i="3"/>
  <c r="W29" i="3"/>
  <c r="X32" i="3"/>
  <c r="W31" i="3"/>
  <c r="V30" i="3"/>
  <c r="V32" i="3"/>
  <c r="Y30" i="3"/>
  <c r="Z32" i="3"/>
  <c r="X30" i="3"/>
  <c r="W32" i="3"/>
  <c r="V31" i="3"/>
  <c r="Z29" i="3"/>
  <c r="Z30" i="3"/>
  <c r="Y29" i="3"/>
  <c r="X27" i="3"/>
  <c r="X31" i="3"/>
  <c r="X29" i="3"/>
  <c r="W25" i="3"/>
  <c r="Z24" i="3"/>
  <c r="Y27" i="3"/>
  <c r="V26" i="3"/>
  <c r="W24" i="3"/>
  <c r="Z25" i="3"/>
  <c r="V24" i="3"/>
  <c r="Z28" i="3"/>
  <c r="W27" i="3"/>
  <c r="Y25" i="3"/>
  <c r="Y28" i="3"/>
  <c r="V27" i="3"/>
  <c r="X25" i="3"/>
  <c r="X28" i="3"/>
  <c r="Z26" i="3"/>
  <c r="W28" i="3"/>
  <c r="Y26" i="3"/>
  <c r="V25" i="3"/>
  <c r="V28" i="3"/>
  <c r="X26" i="3"/>
  <c r="Z27" i="3"/>
  <c r="W26" i="3"/>
  <c r="T24" i="3"/>
  <c r="T25" i="3"/>
  <c r="AA30" i="3" l="1"/>
  <c r="AB30" i="3" s="1"/>
  <c r="AA31" i="3"/>
  <c r="AB31" i="3" s="1"/>
  <c r="AA29" i="3"/>
  <c r="AB29" i="3" s="1"/>
  <c r="AA32" i="3"/>
  <c r="AB32" i="3" s="1"/>
  <c r="AA24" i="3"/>
  <c r="AA25" i="3"/>
  <c r="AA27" i="3"/>
  <c r="AA28" i="3"/>
  <c r="AA26" i="3"/>
  <c r="AB26" i="3" s="1"/>
  <c r="AB24" i="3" l="1"/>
  <c r="AB25" i="3" l="1"/>
  <c r="AB27" i="3"/>
  <c r="Z33" i="3"/>
  <c r="P33" i="1" l="1"/>
  <c r="P32" i="1"/>
  <c r="Y21" i="1"/>
  <c r="AA21" i="1"/>
  <c r="AB21" i="1"/>
  <c r="AC21" i="1"/>
  <c r="AD21" i="1"/>
  <c r="AE21" i="1"/>
  <c r="Y22" i="1"/>
  <c r="AE22" i="1"/>
  <c r="AF22" i="1" s="1"/>
  <c r="AG22" i="1" s="1"/>
  <c r="Y23" i="1"/>
  <c r="AA23" i="1"/>
  <c r="AB23" i="1"/>
  <c r="AC23" i="1"/>
  <c r="AD23" i="1"/>
  <c r="AE23" i="1"/>
  <c r="Y24" i="1"/>
  <c r="AA24" i="1"/>
  <c r="AB24" i="1"/>
  <c r="AC24" i="1"/>
  <c r="AD24" i="1"/>
  <c r="AE24" i="1"/>
  <c r="Y25" i="1"/>
  <c r="AA25" i="1"/>
  <c r="AB25" i="1"/>
  <c r="AC25" i="1"/>
  <c r="AD25" i="1"/>
  <c r="AE25" i="1"/>
  <c r="Y26" i="1"/>
  <c r="AA26" i="1"/>
  <c r="AB26" i="1"/>
  <c r="AC26" i="1"/>
  <c r="AD26" i="1"/>
  <c r="AE26" i="1"/>
  <c r="AF21" i="1" l="1"/>
  <c r="AG21" i="1" s="1"/>
  <c r="AF24" i="1"/>
  <c r="AG24" i="1" s="1"/>
  <c r="AF25" i="1"/>
  <c r="AG25" i="1" s="1"/>
  <c r="AF26" i="1"/>
  <c r="AG26" i="1" s="1"/>
  <c r="AF23" i="1"/>
  <c r="AG23" i="1" s="1"/>
  <c r="W21" i="3" l="1"/>
  <c r="AB27" i="1" l="1"/>
  <c r="AA27" i="1" l="1"/>
  <c r="AC27" i="1"/>
  <c r="AD27" i="1"/>
  <c r="AE27" i="1"/>
  <c r="AF27" i="1" l="1"/>
  <c r="AG27" i="1" s="1"/>
  <c r="Y28" i="1" l="1"/>
  <c r="AA28" i="1"/>
  <c r="AB28" i="1"/>
  <c r="AC28" i="1"/>
  <c r="AD28" i="1"/>
  <c r="AE28" i="1"/>
  <c r="AF28" i="1" l="1"/>
  <c r="AG28" i="1" s="1"/>
  <c r="X30" i="1" l="1"/>
  <c r="E15" i="1" s="1"/>
  <c r="F15" i="1" s="1"/>
  <c r="W30" i="1"/>
  <c r="E14" i="1" s="1"/>
  <c r="F14" i="1" s="1"/>
  <c r="V30" i="1"/>
  <c r="E13" i="1" s="1"/>
  <c r="F13" i="1" s="1"/>
  <c r="U30" i="1"/>
  <c r="E12" i="1" s="1"/>
  <c r="F12" i="1" s="1"/>
  <c r="T30" i="1"/>
  <c r="E11" i="1" s="1"/>
  <c r="P30" i="1"/>
  <c r="G9" i="1" s="1"/>
  <c r="F30" i="1"/>
  <c r="E30" i="1"/>
  <c r="AE29" i="1"/>
  <c r="AD29" i="1"/>
  <c r="AC29" i="1"/>
  <c r="AB29" i="1"/>
  <c r="AA29" i="1"/>
  <c r="Y29" i="1"/>
  <c r="Y27" i="1"/>
  <c r="E7" i="1"/>
  <c r="P34" i="1" l="1"/>
  <c r="AE30" i="1"/>
  <c r="G15" i="1" s="1"/>
  <c r="AF29" i="1"/>
  <c r="AG29" i="1" s="1"/>
  <c r="AA30" i="1"/>
  <c r="G11" i="1" s="1"/>
  <c r="E16" i="1"/>
  <c r="F16" i="1" s="1"/>
  <c r="AC30" i="1"/>
  <c r="G13" i="1" s="1"/>
  <c r="AD30" i="1"/>
  <c r="G14" i="1" s="1"/>
  <c r="Y30" i="1"/>
  <c r="F11" i="1"/>
  <c r="AB30" i="1"/>
  <c r="G12" i="1" s="1"/>
  <c r="H15" i="1" l="1"/>
  <c r="H11" i="1"/>
  <c r="H12" i="1"/>
  <c r="H14" i="1"/>
  <c r="H13" i="1"/>
  <c r="AG30" i="1"/>
  <c r="AF30" i="1"/>
  <c r="G16" i="1"/>
  <c r="H16" i="1" s="1"/>
  <c r="P6" i="4" l="1"/>
  <c r="T23" i="3" l="1"/>
  <c r="T22" i="3"/>
  <c r="T21" i="3"/>
  <c r="C34" i="3"/>
  <c r="E9" i="3" s="1"/>
  <c r="T34" i="3" l="1"/>
  <c r="S34" i="3"/>
  <c r="E15" i="3" s="1"/>
  <c r="F15" i="3" s="1"/>
  <c r="R34" i="3"/>
  <c r="E14" i="3" s="1"/>
  <c r="F14" i="3" s="1"/>
  <c r="Q34" i="3"/>
  <c r="E13" i="3" s="1"/>
  <c r="F13" i="3" s="1"/>
  <c r="P34" i="3"/>
  <c r="E12" i="3" s="1"/>
  <c r="F12" i="3" s="1"/>
  <c r="O34" i="3"/>
  <c r="E11" i="3" s="1"/>
  <c r="F11" i="3" s="1"/>
  <c r="K34" i="3"/>
  <c r="G9" i="3" s="1"/>
  <c r="Y33" i="3"/>
  <c r="X33" i="3"/>
  <c r="W33" i="3"/>
  <c r="V33" i="3"/>
  <c r="Z23" i="3"/>
  <c r="Y23" i="3"/>
  <c r="X23" i="3"/>
  <c r="W23" i="3"/>
  <c r="V23" i="3"/>
  <c r="Z22" i="3"/>
  <c r="Y22" i="3"/>
  <c r="X22" i="3"/>
  <c r="W22" i="3"/>
  <c r="V22" i="3"/>
  <c r="Z21" i="3"/>
  <c r="Y21" i="3"/>
  <c r="X21" i="3"/>
  <c r="V21" i="3"/>
  <c r="E7" i="3"/>
  <c r="AA21" i="3" l="1"/>
  <c r="AB21" i="3" s="1"/>
  <c r="Y34" i="3"/>
  <c r="G14" i="3" s="1"/>
  <c r="H14" i="3" s="1"/>
  <c r="AB28" i="3"/>
  <c r="AA22" i="3"/>
  <c r="AB22" i="3" s="1"/>
  <c r="AA33" i="3"/>
  <c r="AB33" i="3" s="1"/>
  <c r="Z34" i="3"/>
  <c r="G15" i="3" s="1"/>
  <c r="H15" i="3" s="1"/>
  <c r="X34" i="3"/>
  <c r="G13" i="3" s="1"/>
  <c r="H13" i="3" s="1"/>
  <c r="AA23" i="3"/>
  <c r="AB23" i="3" s="1"/>
  <c r="W34" i="3"/>
  <c r="G12" i="3" s="1"/>
  <c r="H12" i="3" s="1"/>
  <c r="V34" i="3"/>
  <c r="G11" i="3" s="1"/>
  <c r="E16" i="3"/>
  <c r="F16" i="3" s="1"/>
  <c r="AB34" i="3" l="1"/>
  <c r="AA34" i="3"/>
  <c r="G16" i="3"/>
  <c r="H16" i="3" s="1"/>
  <c r="H11" i="3"/>
</calcChain>
</file>

<file path=xl/sharedStrings.xml><?xml version="1.0" encoding="utf-8"?>
<sst xmlns="http://schemas.openxmlformats.org/spreadsheetml/2006/main" count="476" uniqueCount="222">
  <si>
    <t>Project Code</t>
  </si>
  <si>
    <t>Foundation</t>
  </si>
  <si>
    <t>Balance</t>
  </si>
  <si>
    <t>Nos</t>
  </si>
  <si>
    <t>Sl</t>
  </si>
  <si>
    <t>Loc No.</t>
  </si>
  <si>
    <t>Tower type</t>
  </si>
  <si>
    <t>Classification</t>
  </si>
  <si>
    <t>Sub-Cont</t>
  </si>
  <si>
    <t>Excavation</t>
  </si>
  <si>
    <t xml:space="preserve">Start </t>
  </si>
  <si>
    <t>End</t>
  </si>
  <si>
    <t>Stub-setting</t>
  </si>
  <si>
    <t>Concreting</t>
  </si>
  <si>
    <t>Backfilling</t>
  </si>
  <si>
    <t>Earthing</t>
  </si>
  <si>
    <t>Conc. Vol (CuM)</t>
  </si>
  <si>
    <t>Reinf 
(MT)</t>
  </si>
  <si>
    <t>Work Plan</t>
  </si>
  <si>
    <t>Revenue</t>
  </si>
  <si>
    <t>Rs. Cr.</t>
  </si>
  <si>
    <t>Name of Line</t>
  </si>
  <si>
    <t>Activity</t>
  </si>
  <si>
    <t>Micro Plan for month</t>
  </si>
  <si>
    <t>Wk-1</t>
  </si>
  <si>
    <t>Wk-2</t>
  </si>
  <si>
    <t>Wk-3</t>
  </si>
  <si>
    <t>Wk-4</t>
  </si>
  <si>
    <t>Wk-5</t>
  </si>
  <si>
    <t>Total</t>
  </si>
  <si>
    <t>Revenue Achievement</t>
  </si>
  <si>
    <t>Physical Completion</t>
  </si>
  <si>
    <t>Rs. Cr</t>
  </si>
  <si>
    <t>Achievement for Month</t>
  </si>
  <si>
    <t>Shortfall</t>
  </si>
  <si>
    <t>Qty</t>
  </si>
  <si>
    <t>Actual Completion</t>
  </si>
  <si>
    <t>Date</t>
  </si>
  <si>
    <t>Tack-welding</t>
  </si>
  <si>
    <t>Final checking</t>
  </si>
  <si>
    <t>Matl feeding</t>
  </si>
  <si>
    <t>Stringing</t>
  </si>
  <si>
    <t>Section</t>
  </si>
  <si>
    <t>Manual/TSE</t>
  </si>
  <si>
    <t>Pay-Out</t>
  </si>
  <si>
    <t>Final Sag</t>
  </si>
  <si>
    <t>km</t>
  </si>
  <si>
    <t>Section Length 
(km)</t>
  </si>
  <si>
    <t>TA-416</t>
  </si>
  <si>
    <t>NEEMRANA-II-BAREILLY (PG) 765KV D/C LINE,WZ-5 (Part-III)</t>
  </si>
  <si>
    <t>Rs. Lacs.</t>
  </si>
  <si>
    <t>Actual for the  Month</t>
  </si>
  <si>
    <t>Location</t>
  </si>
  <si>
    <t>Project</t>
  </si>
  <si>
    <t>Structure</t>
  </si>
  <si>
    <t>B LOT</t>
  </si>
  <si>
    <t>Actual PRS Date</t>
  </si>
  <si>
    <t>STEEL Wt (MT)</t>
  </si>
  <si>
    <t xml:space="preserve">BNA Wt </t>
  </si>
  <si>
    <t>Disp Bal</t>
  </si>
  <si>
    <t>May'24 Disp Plan</t>
  </si>
  <si>
    <t>Wk01</t>
  </si>
  <si>
    <t>WK02</t>
  </si>
  <si>
    <t>WK03</t>
  </si>
  <si>
    <t>WK04</t>
  </si>
  <si>
    <t>July'24 Disp Plan</t>
  </si>
  <si>
    <t>TA416</t>
  </si>
  <si>
    <t>DA</t>
  </si>
  <si>
    <t>JPR</t>
  </si>
  <si>
    <t>Stub - 28 Nos</t>
  </si>
  <si>
    <t>TA416-00018</t>
  </si>
  <si>
    <t>Stub - 132 Nos</t>
  </si>
  <si>
    <t>TA416-00026</t>
  </si>
  <si>
    <t>Remark</t>
  </si>
  <si>
    <t>Jun'24 Disp Plan MT</t>
  </si>
  <si>
    <t>As on date 160 stub reieved.</t>
  </si>
  <si>
    <t>Total Reve</t>
  </si>
  <si>
    <t>FS</t>
  </si>
  <si>
    <t>AVI</t>
  </si>
  <si>
    <t>TSE</t>
  </si>
  <si>
    <t>DC2+18</t>
  </si>
  <si>
    <t>38/0</t>
  </si>
  <si>
    <t>Rate @Kms</t>
  </si>
  <si>
    <t>STUB Setting-1</t>
  </si>
  <si>
    <t>Earthing-1</t>
  </si>
  <si>
    <t>Completed (May-25)</t>
  </si>
  <si>
    <t>17/0</t>
  </si>
  <si>
    <t>Manual-1</t>
  </si>
  <si>
    <t>Manual-2</t>
  </si>
  <si>
    <t>Completed (Aug-25)</t>
  </si>
  <si>
    <t>14/0-15/0</t>
  </si>
  <si>
    <t>12/0-13/0</t>
  </si>
  <si>
    <t>3/0-4/0</t>
  </si>
  <si>
    <t>11/0-12/0</t>
  </si>
  <si>
    <t>13/0-14/0</t>
  </si>
  <si>
    <t>20/0-21/0</t>
  </si>
  <si>
    <t>21/0-22/0</t>
  </si>
  <si>
    <t>18/0-19/0</t>
  </si>
  <si>
    <t>36/0-37/0</t>
  </si>
  <si>
    <t>Anarul</t>
  </si>
  <si>
    <t>Pankaj</t>
  </si>
  <si>
    <t>30/0-31/0</t>
  </si>
  <si>
    <t>29/0-30/0</t>
  </si>
  <si>
    <t>28/0-29/0</t>
  </si>
  <si>
    <t>Manpower</t>
  </si>
  <si>
    <t>Section Incharge</t>
  </si>
  <si>
    <t>Supervisor</t>
  </si>
  <si>
    <t>Power Tools Issued (YES/NO)</t>
  </si>
  <si>
    <t>Tower Weight</t>
  </si>
  <si>
    <t>Gang Name</t>
  </si>
  <si>
    <t>Revenue Planned</t>
  </si>
  <si>
    <t>Starting Date</t>
  </si>
  <si>
    <t>Completion Date</t>
  </si>
  <si>
    <t>Location No.</t>
  </si>
  <si>
    <t>Material Feeding</t>
  </si>
  <si>
    <t>Revenue Realised</t>
  </si>
  <si>
    <t>28/0</t>
  </si>
  <si>
    <t>26/0</t>
  </si>
  <si>
    <t>37/0</t>
  </si>
  <si>
    <t>36/0</t>
  </si>
  <si>
    <t>16/0</t>
  </si>
  <si>
    <t>1/8</t>
  </si>
  <si>
    <t>DA+1.5</t>
  </si>
  <si>
    <t>1/9</t>
  </si>
  <si>
    <t>12/2</t>
  </si>
  <si>
    <t>12/8</t>
  </si>
  <si>
    <t>DA-3</t>
  </si>
  <si>
    <t>15/0</t>
  </si>
  <si>
    <t>DD45+3</t>
  </si>
  <si>
    <t>DB2+6</t>
  </si>
  <si>
    <t>DD45+9</t>
  </si>
  <si>
    <t>42/2</t>
  </si>
  <si>
    <t>52/1</t>
  </si>
  <si>
    <t>DA-1.5</t>
  </si>
  <si>
    <t>62/0</t>
  </si>
  <si>
    <t>DD60+9</t>
  </si>
  <si>
    <t>65A/3</t>
  </si>
  <si>
    <t>DC1+0</t>
  </si>
  <si>
    <t>110/0</t>
  </si>
  <si>
    <t>DC2+3</t>
  </si>
  <si>
    <t>167A/0</t>
  </si>
  <si>
    <t>197/2</t>
  </si>
  <si>
    <t>DA+3</t>
  </si>
  <si>
    <t>211/1</t>
  </si>
  <si>
    <t>DA+0</t>
  </si>
  <si>
    <t>220/5</t>
  </si>
  <si>
    <t>2/0</t>
  </si>
  <si>
    <t>DB2+0</t>
  </si>
  <si>
    <t>2A/1</t>
  </si>
  <si>
    <t>13/4</t>
  </si>
  <si>
    <t>DA+9</t>
  </si>
  <si>
    <t>13/5</t>
  </si>
  <si>
    <t>34/2</t>
  </si>
  <si>
    <t>35A/0</t>
  </si>
  <si>
    <t>DB2-3</t>
  </si>
  <si>
    <t>DC1-3</t>
  </si>
  <si>
    <t>36/1</t>
  </si>
  <si>
    <t>36/2</t>
  </si>
  <si>
    <t>DA+6</t>
  </si>
  <si>
    <t>40/0</t>
  </si>
  <si>
    <t>DD45+0</t>
  </si>
  <si>
    <t>42/1</t>
  </si>
  <si>
    <t>44/0</t>
  </si>
  <si>
    <t>44/1</t>
  </si>
  <si>
    <t>44A/0</t>
  </si>
  <si>
    <t>44A/1</t>
  </si>
  <si>
    <t>44A/2</t>
  </si>
  <si>
    <t>45/0</t>
  </si>
  <si>
    <t>46/0</t>
  </si>
  <si>
    <t>94/0</t>
  </si>
  <si>
    <t>DD45+6</t>
  </si>
  <si>
    <t>94/1</t>
  </si>
  <si>
    <t>94/2</t>
  </si>
  <si>
    <t>94/3</t>
  </si>
  <si>
    <t>95/0</t>
  </si>
  <si>
    <t>DC2+9</t>
  </si>
  <si>
    <t>95/1</t>
  </si>
  <si>
    <t>95A/0</t>
  </si>
  <si>
    <t>DB1+9</t>
  </si>
  <si>
    <t>97/0</t>
  </si>
  <si>
    <t>DB2+1.5</t>
  </si>
  <si>
    <t>107/1</t>
  </si>
  <si>
    <t>111/0</t>
  </si>
  <si>
    <t>114/1</t>
  </si>
  <si>
    <t>DB1+6</t>
  </si>
  <si>
    <t>166/1</t>
  </si>
  <si>
    <t>167A/1</t>
  </si>
  <si>
    <t>181/3</t>
  </si>
  <si>
    <t>182/0</t>
  </si>
  <si>
    <t>DD60+0</t>
  </si>
  <si>
    <t>182/6</t>
  </si>
  <si>
    <t>184/1</t>
  </si>
  <si>
    <t>193/0</t>
  </si>
  <si>
    <t>195/0</t>
  </si>
  <si>
    <t>DB1+0</t>
  </si>
  <si>
    <t>199/1</t>
  </si>
  <si>
    <t>199/3</t>
  </si>
  <si>
    <t>211/4</t>
  </si>
  <si>
    <t>211/5</t>
  </si>
  <si>
    <t>211/6</t>
  </si>
  <si>
    <t>212/0</t>
  </si>
  <si>
    <t>DB2+3</t>
  </si>
  <si>
    <t>212/1</t>
  </si>
  <si>
    <t>215/0</t>
  </si>
  <si>
    <t>220/8</t>
  </si>
  <si>
    <t>221/0</t>
  </si>
  <si>
    <t>DB2+9</t>
  </si>
  <si>
    <t>DC1+18</t>
  </si>
  <si>
    <t>17/1</t>
  </si>
  <si>
    <t>18/0</t>
  </si>
  <si>
    <t>25/2</t>
  </si>
  <si>
    <t>30/0</t>
  </si>
  <si>
    <t>DD60+3</t>
  </si>
  <si>
    <t>31/0</t>
  </si>
  <si>
    <t>Dharmendra Pandey</t>
  </si>
  <si>
    <t>Anil Kumar</t>
  </si>
  <si>
    <t>Bipattaran Dolui</t>
  </si>
  <si>
    <t>Rajkumar Tomar</t>
  </si>
  <si>
    <t>Abhishek Kumar</t>
  </si>
  <si>
    <t>Sahadev Gope</t>
  </si>
  <si>
    <t>Sunil Kumar</t>
  </si>
  <si>
    <t>Bhola Karmakat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</si>
</sst>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_ * #,##0_ ;_ * \-#,##0_ ;_ * &quot;-&quot;??_ ;_ @_ "/>
    <numFmt numFmtId="166" formatCode="[$-409]d\-mmm\-yy;@"/>
    <numFmt numFmtId="167" formatCode="[$-F400]h:mm:ss\ AM/PM"/>
    <numFmt numFmtId="168" formatCode="[$-409]d/mmm/yy;@"/>
    <numFmt numFmtId="169" formatCode="0.0"/>
    <numFmt numFmtId="170" formatCode="#,##0.000"/>
    <numFmt numFmtId="171" formatCode="0.000"/>
    <numFmt numFmtId="172" formatCode="_-* #,##0.00_-;\-* #,##0.00_-;_-* &quot;-&quot;??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Tahoma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Verdana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72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168" fontId="1" fillId="0" borderId="0"/>
    <xf numFmtId="168" fontId="13" fillId="0" borderId="0"/>
    <xf numFmtId="9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30" fillId="0" borderId="0" applyNumberFormat="0" applyFill="0" applyBorder="0" applyProtection="0">
      <alignment vertical="top" wrapText="1"/>
    </xf>
    <xf numFmtId="0" fontId="18" fillId="0" borderId="0">
      <protection locked="0"/>
    </xf>
    <xf numFmtId="0" fontId="30" fillId="0" borderId="0" applyNumberFormat="0" applyFill="0" applyBorder="0" applyProtection="0">
      <alignment vertical="top" wrapText="1"/>
    </xf>
    <xf numFmtId="0" fontId="18" fillId="0" borderId="0">
      <protection locked="0"/>
    </xf>
    <xf numFmtId="0" fontId="13" fillId="0" borderId="0"/>
    <xf numFmtId="0" fontId="13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protection locked="0"/>
    </xf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2" fillId="0" borderId="0"/>
    <xf numFmtId="0" fontId="1" fillId="0" borderId="0"/>
    <xf numFmtId="0" fontId="1" fillId="11" borderId="15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>
      <alignment vertical="center"/>
    </xf>
    <xf numFmtId="0" fontId="18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18" fillId="0" borderId="0">
      <protection locked="0"/>
    </xf>
    <xf numFmtId="0" fontId="18" fillId="0" borderId="0">
      <protection locked="0"/>
    </xf>
    <xf numFmtId="0" fontId="18" fillId="0" borderId="0">
      <alignment vertical="center"/>
    </xf>
    <xf numFmtId="0" fontId="18" fillId="0" borderId="0">
      <protection locked="0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/>
    <xf numFmtId="0" fontId="18" fillId="0" borderId="0">
      <alignment vertical="center"/>
    </xf>
    <xf numFmtId="0" fontId="1" fillId="0" borderId="0"/>
    <xf numFmtId="0" fontId="13" fillId="0" borderId="0"/>
    <xf numFmtId="0" fontId="1" fillId="0" borderId="0"/>
    <xf numFmtId="0" fontId="33" fillId="0" borderId="0"/>
    <xf numFmtId="164" fontId="3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" fillId="0" borderId="0"/>
    <xf numFmtId="0" fontId="13" fillId="0" borderId="0"/>
    <xf numFmtId="172" fontId="13" fillId="0" borderId="0" applyFont="0" applyFill="0" applyBorder="0" applyAlignment="0" applyProtection="0"/>
    <xf numFmtId="0" fontId="13" fillId="0" borderId="0"/>
    <xf numFmtId="172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  <xf numFmtId="0" fontId="13" fillId="0" borderId="0"/>
    <xf numFmtId="0" fontId="13" fillId="0" borderId="0"/>
    <xf numFmtId="0" fontId="1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3" fillId="0" borderId="0" applyFont="0" applyFill="0" applyBorder="0" applyAlignment="0" applyProtection="0"/>
  </cellStyleXfs>
  <cellXfs count="19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4" fontId="0" fillId="0" borderId="3" xfId="1" applyFont="1" applyBorder="1" applyAlignment="1">
      <alignment vertical="center"/>
    </xf>
    <xf numFmtId="164" fontId="0" fillId="0" borderId="2" xfId="1" applyFont="1" applyBorder="1" applyAlignment="1">
      <alignment vertical="center"/>
    </xf>
    <xf numFmtId="164" fontId="3" fillId="0" borderId="3" xfId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center" indent="1"/>
    </xf>
    <xf numFmtId="164" fontId="0" fillId="0" borderId="1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165" fontId="0" fillId="0" borderId="3" xfId="1" applyNumberFormat="1" applyFont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165" fontId="0" fillId="0" borderId="2" xfId="1" applyNumberFormat="1" applyFont="1" applyBorder="1" applyAlignment="1">
      <alignment vertical="center"/>
    </xf>
    <xf numFmtId="165" fontId="0" fillId="0" borderId="6" xfId="1" applyNumberFormat="1" applyFont="1" applyBorder="1" applyAlignment="1">
      <alignment vertical="center"/>
    </xf>
    <xf numFmtId="165" fontId="3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 indent="1"/>
    </xf>
    <xf numFmtId="0" fontId="9" fillId="0" borderId="0" xfId="0" applyFont="1" applyAlignment="1">
      <alignment horizontal="right" vertical="center" indent="1"/>
    </xf>
    <xf numFmtId="164" fontId="0" fillId="0" borderId="0" xfId="0" applyNumberForma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5" fontId="0" fillId="0" borderId="0" xfId="1" applyNumberFormat="1" applyFont="1" applyAlignment="1">
      <alignment vertical="center"/>
    </xf>
    <xf numFmtId="165" fontId="10" fillId="0" borderId="0" xfId="1" applyNumberFormat="1" applyFont="1" applyAlignment="1">
      <alignment vertical="center"/>
    </xf>
    <xf numFmtId="164" fontId="3" fillId="0" borderId="3" xfId="1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164" fontId="3" fillId="0" borderId="6" xfId="1" applyFont="1" applyBorder="1" applyAlignment="1">
      <alignment vertical="center"/>
    </xf>
    <xf numFmtId="0" fontId="0" fillId="4" borderId="12" xfId="0" applyFill="1" applyBorder="1" applyAlignment="1">
      <alignment vertical="center"/>
    </xf>
    <xf numFmtId="17" fontId="3" fillId="2" borderId="12" xfId="0" applyNumberFormat="1" applyFont="1" applyFill="1" applyBorder="1" applyAlignment="1">
      <alignment horizontal="right" vertical="center" indent="1"/>
    </xf>
    <xf numFmtId="165" fontId="0" fillId="4" borderId="0" xfId="1" applyNumberFormat="1" applyFont="1" applyFill="1" applyAlignment="1">
      <alignment horizontal="center" vertical="center"/>
    </xf>
    <xf numFmtId="165" fontId="10" fillId="4" borderId="0" xfId="1" applyNumberFormat="1" applyFont="1" applyFill="1" applyAlignment="1">
      <alignment horizontal="center" vertical="center"/>
    </xf>
    <xf numFmtId="165" fontId="3" fillId="4" borderId="0" xfId="1" applyNumberFormat="1" applyFont="1" applyFill="1" applyAlignment="1">
      <alignment vertical="center"/>
    </xf>
    <xf numFmtId="0" fontId="6" fillId="3" borderId="4" xfId="0" applyFont="1" applyFill="1" applyBorder="1" applyAlignment="1">
      <alignment horizontal="right" vertical="center" indent="1"/>
    </xf>
    <xf numFmtId="0" fontId="4" fillId="3" borderId="4" xfId="0" applyFont="1" applyFill="1" applyBorder="1" applyAlignment="1">
      <alignment horizontal="right" vertical="center" indent="1"/>
    </xf>
    <xf numFmtId="0" fontId="5" fillId="2" borderId="0" xfId="0" applyFont="1" applyFill="1" applyAlignment="1">
      <alignment horizontal="right" vertical="center" indent="1"/>
    </xf>
    <xf numFmtId="9" fontId="11" fillId="0" borderId="0" xfId="2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9" fontId="11" fillId="0" borderId="0" xfId="2" applyFont="1" applyAlignment="1">
      <alignment horizontal="left" vertical="center" indent="1"/>
    </xf>
    <xf numFmtId="9" fontId="12" fillId="0" borderId="0" xfId="2" applyFont="1" applyAlignment="1">
      <alignment horizontal="left" vertical="center"/>
    </xf>
    <xf numFmtId="2" fontId="12" fillId="0" borderId="0" xfId="0" applyNumberFormat="1" applyFont="1" applyAlignment="1">
      <alignment horizontal="left" vertical="center" indent="1"/>
    </xf>
    <xf numFmtId="2" fontId="12" fillId="0" borderId="0" xfId="0" applyNumberFormat="1" applyFont="1" applyAlignment="1">
      <alignment vertical="center"/>
    </xf>
    <xf numFmtId="165" fontId="3" fillId="5" borderId="0" xfId="1" applyNumberFormat="1" applyFont="1" applyFill="1" applyAlignment="1">
      <alignment vertical="center"/>
    </xf>
    <xf numFmtId="165" fontId="3" fillId="4" borderId="0" xfId="1" applyNumberFormat="1" applyFont="1" applyFill="1" applyAlignment="1">
      <alignment horizontal="center" vertical="center"/>
    </xf>
    <xf numFmtId="165" fontId="15" fillId="4" borderId="0" xfId="1" applyNumberFormat="1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167" fontId="17" fillId="6" borderId="14" xfId="3" applyNumberFormat="1" applyFont="1" applyFill="1" applyBorder="1" applyAlignment="1">
      <alignment horizontal="center" vertical="center" wrapText="1"/>
    </xf>
    <xf numFmtId="166" fontId="17" fillId="6" borderId="14" xfId="3" applyNumberFormat="1" applyFont="1" applyFill="1" applyBorder="1" applyAlignment="1" applyProtection="1">
      <alignment horizontal="center" vertical="center" wrapText="1"/>
      <protection locked="0"/>
    </xf>
    <xf numFmtId="1" fontId="17" fillId="6" borderId="14" xfId="3" applyNumberFormat="1" applyFont="1" applyFill="1" applyBorder="1" applyAlignment="1">
      <alignment horizontal="center" vertical="center" wrapText="1"/>
    </xf>
    <xf numFmtId="167" fontId="17" fillId="6" borderId="14" xfId="4" applyNumberFormat="1" applyFont="1" applyFill="1" applyBorder="1" applyAlignment="1">
      <alignment horizontal="center" vertical="center" wrapText="1"/>
    </xf>
    <xf numFmtId="168" fontId="18" fillId="0" borderId="1" xfId="5" applyFont="1" applyBorder="1" applyAlignment="1">
      <alignment horizontal="center" vertical="center" wrapText="1"/>
    </xf>
    <xf numFmtId="166" fontId="19" fillId="0" borderId="1" xfId="6" applyNumberFormat="1" applyFont="1" applyBorder="1" applyAlignment="1">
      <alignment horizontal="center" vertical="center" wrapText="1"/>
    </xf>
    <xf numFmtId="166" fontId="18" fillId="0" borderId="1" xfId="6" applyNumberFormat="1" applyFont="1" applyBorder="1" applyAlignment="1">
      <alignment horizontal="center" vertical="center" wrapText="1"/>
    </xf>
    <xf numFmtId="166" fontId="18" fillId="0" borderId="1" xfId="6" quotePrefix="1" applyNumberFormat="1" applyFont="1" applyBorder="1" applyAlignment="1">
      <alignment vertical="center" wrapText="1"/>
    </xf>
    <xf numFmtId="0" fontId="18" fillId="0" borderId="1" xfId="6" applyNumberFormat="1" applyFont="1" applyBorder="1" applyAlignment="1">
      <alignment horizontal="center" vertical="center" wrapText="1"/>
    </xf>
    <xf numFmtId="1" fontId="20" fillId="0" borderId="4" xfId="7" applyNumberFormat="1" applyFont="1" applyBorder="1" applyAlignment="1">
      <alignment horizontal="center" vertical="center" wrapText="1"/>
    </xf>
    <xf numFmtId="1" fontId="20" fillId="0" borderId="3" xfId="7" applyNumberFormat="1" applyFont="1" applyBorder="1" applyAlignment="1">
      <alignment horizontal="center" vertical="center" wrapText="1"/>
    </xf>
    <xf numFmtId="1" fontId="18" fillId="7" borderId="3" xfId="7" applyNumberFormat="1" applyFont="1" applyFill="1" applyBorder="1" applyAlignment="1">
      <alignment horizontal="center" vertical="center" wrapText="1"/>
    </xf>
    <xf numFmtId="1" fontId="18" fillId="2" borderId="3" xfId="7" applyNumberFormat="1" applyFont="1" applyFill="1" applyBorder="1" applyAlignment="1">
      <alignment horizontal="center" vertical="center" wrapText="1"/>
    </xf>
    <xf numFmtId="1" fontId="18" fillId="0" borderId="1" xfId="7" applyNumberFormat="1" applyFont="1" applyBorder="1" applyAlignment="1">
      <alignment horizontal="center" vertical="center" wrapText="1"/>
    </xf>
    <xf numFmtId="1" fontId="14" fillId="2" borderId="3" xfId="6" applyNumberFormat="1" applyFont="1" applyFill="1" applyBorder="1" applyAlignment="1" applyProtection="1">
      <alignment horizontal="center" vertical="center"/>
      <protection locked="0"/>
    </xf>
    <xf numFmtId="1" fontId="20" fillId="0" borderId="1" xfId="7" applyNumberFormat="1" applyFont="1" applyBorder="1" applyAlignment="1">
      <alignment horizontal="center" vertical="center" wrapText="1"/>
    </xf>
    <xf numFmtId="169" fontId="18" fillId="8" borderId="3" xfId="7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6" fillId="0" borderId="0" xfId="0" applyFont="1"/>
    <xf numFmtId="164" fontId="3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64" fontId="0" fillId="0" borderId="3" xfId="1" applyFont="1" applyFill="1" applyBorder="1" applyAlignment="1">
      <alignment vertical="center"/>
    </xf>
    <xf numFmtId="165" fontId="0" fillId="0" borderId="1" xfId="1" applyNumberFormat="1" applyFont="1" applyFill="1" applyBorder="1" applyAlignment="1">
      <alignment vertical="center"/>
    </xf>
    <xf numFmtId="14" fontId="0" fillId="0" borderId="4" xfId="0" applyNumberFormat="1" applyBorder="1" applyAlignment="1">
      <alignment vertical="center"/>
    </xf>
    <xf numFmtId="165" fontId="0" fillId="0" borderId="4" xfId="1" applyNumberFormat="1" applyFont="1" applyFill="1" applyBorder="1" applyAlignment="1">
      <alignment vertical="center"/>
    </xf>
    <xf numFmtId="0" fontId="0" fillId="0" borderId="6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5" fontId="0" fillId="0" borderId="3" xfId="1" applyNumberFormat="1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4" fontId="13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170" fontId="0" fillId="0" borderId="9" xfId="0" applyNumberForma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13" fillId="0" borderId="3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4" fontId="0" fillId="0" borderId="6" xfId="1" applyFont="1" applyBorder="1" applyAlignment="1">
      <alignment vertical="center"/>
    </xf>
    <xf numFmtId="0" fontId="23" fillId="9" borderId="1" xfId="0" applyFont="1" applyFill="1" applyBorder="1" applyAlignment="1">
      <alignment horizontal="center"/>
    </xf>
    <xf numFmtId="165" fontId="0" fillId="0" borderId="0" xfId="0" applyNumberForma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vertical="center"/>
    </xf>
    <xf numFmtId="0" fontId="25" fillId="0" borderId="1" xfId="0" applyFont="1" applyBorder="1" applyAlignment="1">
      <alignment horizontal="center" vertical="center" wrapText="1"/>
    </xf>
    <xf numFmtId="2" fontId="26" fillId="0" borderId="1" xfId="0" applyNumberFormat="1" applyFont="1" applyBorder="1" applyAlignment="1">
      <alignment horizontal="center" vertical="center" wrapText="1"/>
    </xf>
    <xf numFmtId="171" fontId="26" fillId="0" borderId="1" xfId="0" applyNumberFormat="1" applyFont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2" fontId="26" fillId="4" borderId="1" xfId="0" applyNumberFormat="1" applyFont="1" applyFill="1" applyBorder="1" applyAlignment="1">
      <alignment horizontal="center" vertical="center" wrapText="1"/>
    </xf>
    <xf numFmtId="171" fontId="3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right" vertical="center" indent="1"/>
    </xf>
    <xf numFmtId="0" fontId="7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15" fontId="27" fillId="10" borderId="1" xfId="0" applyNumberFormat="1" applyFont="1" applyFill="1" applyBorder="1" applyAlignment="1">
      <alignment horizontal="center" vertical="center"/>
    </xf>
    <xf numFmtId="15" fontId="14" fillId="10" borderId="1" xfId="0" applyNumberFormat="1" applyFont="1" applyFill="1" applyBorder="1" applyAlignment="1">
      <alignment horizontal="center"/>
    </xf>
    <xf numFmtId="15" fontId="13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171" fontId="23" fillId="10" borderId="1" xfId="0" applyNumberFormat="1" applyFont="1" applyFill="1" applyBorder="1" applyAlignment="1">
      <alignment horizontal="center" vertical="center" wrapText="1"/>
    </xf>
    <xf numFmtId="166" fontId="11" fillId="10" borderId="1" xfId="0" applyNumberFormat="1" applyFont="1" applyFill="1" applyBorder="1" applyAlignment="1">
      <alignment horizontal="center" vertical="center" wrapText="1"/>
    </xf>
    <xf numFmtId="1" fontId="11" fillId="10" borderId="1" xfId="0" applyNumberFormat="1" applyFont="1" applyFill="1" applyBorder="1" applyAlignment="1">
      <alignment vertical="center"/>
    </xf>
    <xf numFmtId="0" fontId="0" fillId="10" borderId="0" xfId="0" applyFill="1" applyAlignment="1">
      <alignment vertical="center"/>
    </xf>
    <xf numFmtId="0" fontId="6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right" vertical="center" indent="1"/>
    </xf>
    <xf numFmtId="0" fontId="6" fillId="10" borderId="0" xfId="0" applyFont="1" applyFill="1" applyAlignment="1">
      <alignment vertical="center"/>
    </xf>
    <xf numFmtId="0" fontId="4" fillId="10" borderId="0" xfId="0" applyFont="1" applyFill="1" applyAlignment="1">
      <alignment horizontal="right" vertical="center" indent="1"/>
    </xf>
    <xf numFmtId="0" fontId="7" fillId="10" borderId="0" xfId="0" applyFont="1" applyFill="1" applyAlignment="1">
      <alignment horizontal="center" vertical="center"/>
    </xf>
    <xf numFmtId="1" fontId="11" fillId="10" borderId="0" xfId="0" applyNumberFormat="1" applyFont="1" applyFill="1" applyAlignment="1">
      <alignment vertical="center"/>
    </xf>
    <xf numFmtId="14" fontId="0" fillId="10" borderId="0" xfId="0" applyNumberFormat="1" applyFill="1" applyAlignment="1">
      <alignment vertical="center"/>
    </xf>
    <xf numFmtId="165" fontId="0" fillId="10" borderId="0" xfId="1" applyNumberFormat="1" applyFont="1" applyFill="1" applyBorder="1" applyAlignment="1">
      <alignment vertical="center"/>
    </xf>
    <xf numFmtId="164" fontId="11" fillId="10" borderId="0" xfId="1" applyFont="1" applyFill="1" applyBorder="1" applyAlignment="1">
      <alignment vertical="center"/>
    </xf>
    <xf numFmtId="164" fontId="12" fillId="10" borderId="0" xfId="1" applyFont="1" applyFill="1" applyBorder="1" applyAlignment="1">
      <alignment vertical="center"/>
    </xf>
    <xf numFmtId="164" fontId="11" fillId="10" borderId="0" xfId="0" applyNumberFormat="1" applyFont="1" applyFill="1" applyAlignment="1">
      <alignment vertical="center"/>
    </xf>
    <xf numFmtId="15" fontId="28" fillId="10" borderId="1" xfId="0" applyNumberFormat="1" applyFont="1" applyFill="1" applyBorder="1" applyAlignment="1">
      <alignment horizontal="center"/>
    </xf>
    <xf numFmtId="0" fontId="27" fillId="10" borderId="1" xfId="0" applyFont="1" applyFill="1" applyBorder="1" applyAlignment="1">
      <alignment horizontal="center" vertical="center"/>
    </xf>
    <xf numFmtId="15" fontId="14" fillId="10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11" fillId="10" borderId="9" xfId="0" applyNumberFormat="1" applyFont="1" applyFill="1" applyBorder="1" applyAlignment="1">
      <alignment horizontal="center" vertical="center"/>
    </xf>
    <xf numFmtId="171" fontId="29" fillId="10" borderId="1" xfId="0" applyNumberFormat="1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 inden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right" vertical="center" indent="1"/>
    </xf>
    <xf numFmtId="0" fontId="6" fillId="3" borderId="11" xfId="0" applyFont="1" applyFill="1" applyBorder="1" applyAlignment="1">
      <alignment horizontal="right" vertical="center" inden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72">
    <cellStyle name="Comma" xfId="1" builtinId="3"/>
    <cellStyle name="Comma 2" xfId="8" xr:uid="{2E20F6CD-B1A5-4CBE-90C6-C0D98A914F04}"/>
    <cellStyle name="Comma 2 2" xfId="27" xr:uid="{FD699774-564D-4165-ACA8-FE5796B9573C}"/>
    <cellStyle name="Comma 2 2 2" xfId="28" xr:uid="{A817A029-085D-4625-9226-EE73F9DA9A0D}"/>
    <cellStyle name="Comma 2 2 2 2" xfId="159" xr:uid="{AD7D65DB-7B03-45C3-A77F-978AAD2F1E35}"/>
    <cellStyle name="Comma 2 2 3" xfId="29" xr:uid="{537883D3-78F0-4D2A-8587-495B8601ADD9}"/>
    <cellStyle name="Comma 2 2 3 2" xfId="160" xr:uid="{074D0573-C959-41FE-9F25-F63FFA67F219}"/>
    <cellStyle name="Comma 2 2 4" xfId="158" xr:uid="{96381543-D925-4A8A-83CC-C39B75AF0E95}"/>
    <cellStyle name="Comma 2 3" xfId="30" xr:uid="{225BAD20-9382-4FC1-B85C-204265C025AC}"/>
    <cellStyle name="Comma 2 3 2" xfId="161" xr:uid="{5A94F3EC-3D03-4C4A-B56E-2295F981BE77}"/>
    <cellStyle name="Comma 2 4" xfId="31" xr:uid="{A6C5B56F-531A-4345-9E0D-888AE7883940}"/>
    <cellStyle name="Comma 2 4 2" xfId="162" xr:uid="{36486E07-785B-4463-8C66-35CA82049C19}"/>
    <cellStyle name="Comma 2 5" xfId="32" xr:uid="{64FE2180-8CB5-45B3-805A-DB552829590E}"/>
    <cellStyle name="Comma 2 5 2" xfId="163" xr:uid="{EAF5ED71-79C0-41A9-8A9E-9EABD98B6F35}"/>
    <cellStyle name="Comma 2 6" xfId="149" xr:uid="{EE7F84AA-8137-4872-A51E-41E62D5572E4}"/>
    <cellStyle name="Comma 3" xfId="33" xr:uid="{253F82C8-7CBD-46F0-B528-3A097F079746}"/>
    <cellStyle name="Comma 3 2" xfId="146" xr:uid="{E573A9C8-C8E7-4DED-84F5-CB7AE81E6868}"/>
    <cellStyle name="Comma 3 3" xfId="164" xr:uid="{E73AF516-30B2-421E-8C02-07CE17A635F4}"/>
    <cellStyle name="Comma 4" xfId="34" xr:uid="{A497CA63-8707-4BC2-9ED5-B5C07678F393}"/>
    <cellStyle name="Comma 4 2" xfId="35" xr:uid="{EF598F60-9954-43E9-931C-1D4050B92B5A}"/>
    <cellStyle name="Comma 4 2 2" xfId="165" xr:uid="{C2B0B798-EDB1-4950-AFF1-7DFF50E2CBC8}"/>
    <cellStyle name="Comma 4 3" xfId="36" xr:uid="{87763A32-5049-493C-B789-7823FE9D8A98}"/>
    <cellStyle name="Comma 4 3 2" xfId="166" xr:uid="{EF9A12CF-EA46-4D0A-B583-3E5AE993B322}"/>
    <cellStyle name="Comma 4 4" xfId="37" xr:uid="{FCB6173C-725A-47FD-8477-11BF6DEA92BA}"/>
    <cellStyle name="Comma 4 4 2" xfId="167" xr:uid="{278630B8-1B1B-437D-9A87-CF63686754A8}"/>
    <cellStyle name="Comma 4 5" xfId="145" xr:uid="{A480046C-3B3B-471A-B191-558B15215267}"/>
    <cellStyle name="Comma 4 5 2" xfId="171" xr:uid="{D5FD6221-72EC-40AD-B55E-8E17131BFBE3}"/>
    <cellStyle name="Comma 5" xfId="38" xr:uid="{B8DF94FC-FFB9-4FCE-9AE6-7C4393E98A5C}"/>
    <cellStyle name="Comma 5 2" xfId="151" xr:uid="{05F9C826-DD02-4C26-82B9-C17D5F294288}"/>
    <cellStyle name="Comma 5 3" xfId="168" xr:uid="{A1435E1A-2100-409B-99B3-B224E2FDF20E}"/>
    <cellStyle name="Comma 6" xfId="39" xr:uid="{9CCF015F-1C39-4245-AF9F-7675461D32E3}"/>
    <cellStyle name="Comma 6 2" xfId="169" xr:uid="{7FE6BE4C-B910-41C2-BB1A-1C2333095BA5}"/>
    <cellStyle name="Comma 8" xfId="123" xr:uid="{FC60556E-1828-419E-ACF9-70A516E700CA}"/>
    <cellStyle name="Comma 8 2" xfId="170" xr:uid="{C34DFFE9-BF29-44B7-8045-E3822403A006}"/>
    <cellStyle name="Comma 9 3" xfId="40" xr:uid="{DE253BD0-7B55-4B65-A3E9-2E05D1AE84E8}"/>
    <cellStyle name="Excel Built-in Normal" xfId="26" xr:uid="{4B0B78A8-24BE-4DE7-B5BF-D3DFA24ECD02}"/>
    <cellStyle name="Hyperlink 2" xfId="41" xr:uid="{5D512518-E55B-4CF1-B5B4-F3747C0639D1}"/>
    <cellStyle name="Normal" xfId="0" builtinId="0"/>
    <cellStyle name="Normal 10" xfId="42" xr:uid="{61EDC8BE-3F17-44F6-B8F7-77C6ACFE8EF1}"/>
    <cellStyle name="Normal 10 2" xfId="43" xr:uid="{DAD1D835-595F-4E1D-8EDF-0DF8294CB5A6}"/>
    <cellStyle name="Normal 10 2 2" xfId="44" xr:uid="{B8AA788E-5693-41F1-B275-189CED6A41CF}"/>
    <cellStyle name="Normal 10 2 2 2" xfId="45" xr:uid="{68F88BC1-CA3E-46C8-B14C-F15208C21D33}"/>
    <cellStyle name="Normal 10 2 3" xfId="46" xr:uid="{105C9580-075C-489A-ADD1-860611A7E48C}"/>
    <cellStyle name="Normal 10 3" xfId="47" xr:uid="{574BA8C5-B14F-4EF1-B031-45761E46E4E7}"/>
    <cellStyle name="Normal 10 3 2" xfId="48" xr:uid="{F486F0CE-0B9E-47B5-89BD-EA71EF05B214}"/>
    <cellStyle name="Normal 10 4" xfId="49" xr:uid="{4830B325-99EE-4663-AF27-ECFC7AAD8A89}"/>
    <cellStyle name="Normal 103" xfId="24" xr:uid="{91A4F84A-61E0-4BF9-80BE-E89A220C73D0}"/>
    <cellStyle name="Normal 11" xfId="5" xr:uid="{8A939B8D-25B5-4FC2-BE9D-DDCA7038C58F}"/>
    <cellStyle name="Normal 11 2" xfId="51" xr:uid="{5187C142-C010-4086-B8EF-C0D8D904146D}"/>
    <cellStyle name="Normal 11 2 2" xfId="52" xr:uid="{677E1718-98D0-4750-BE7D-F4B5DDEA912B}"/>
    <cellStyle name="Normal 11 3" xfId="53" xr:uid="{0E8DB0D8-01CE-4C54-BC15-E0E2D8852324}"/>
    <cellStyle name="Normal 11 4" xfId="50" xr:uid="{D67E0BBE-4D48-496E-A7E5-2DFC3D7CAA70}"/>
    <cellStyle name="Normal 12" xfId="54" xr:uid="{862B9B1A-71D1-4A1F-8A32-6F7AD0BB748F}"/>
    <cellStyle name="Normal 12 2" xfId="55" xr:uid="{62964828-3A9F-47BA-B352-70351C2E04FD}"/>
    <cellStyle name="Normal 120" xfId="21" xr:uid="{51933D66-E223-4713-A2CA-4B3163621514}"/>
    <cellStyle name="Normal 13" xfId="56" xr:uid="{AE508FE7-BCC3-4BA6-BC1A-63FADE47E2C0}"/>
    <cellStyle name="Normal 14" xfId="57" xr:uid="{3AB4460D-4F7C-4875-857E-5C58B8580619}"/>
    <cellStyle name="Normal 14 2 2" xfId="58" xr:uid="{0CEC88A3-2AE0-4CC1-9772-E6E76FD289B8}"/>
    <cellStyle name="Normal 15" xfId="127" xr:uid="{C09409E0-654A-4A29-9F3F-F6914948C869}"/>
    <cellStyle name="Normal 16" xfId="128" xr:uid="{3388264D-A2FB-4F43-9306-CACEDC48801E}"/>
    <cellStyle name="Normal 16 2" xfId="140" xr:uid="{A3D6A97B-DE01-49D9-83C0-5E830BC67B95}"/>
    <cellStyle name="Normal 17" xfId="10" xr:uid="{FB728059-7B66-4FB9-A5E0-ADE18B5FFE38}"/>
    <cellStyle name="Normal 17 2" xfId="154" xr:uid="{D1AB86D3-F2B6-4D46-87E5-A1F47B307EBB}"/>
    <cellStyle name="Normal 188" xfId="12" xr:uid="{3CFBDC6D-5D6B-482D-AA21-814FB75E0B2F}"/>
    <cellStyle name="Normal 191" xfId="22" xr:uid="{D3C5529B-92F0-42E8-A10F-B7F5CCCD876D}"/>
    <cellStyle name="Normal 192" xfId="11" xr:uid="{D8393BB2-6890-4D3C-9BE2-095148EFAA3D}"/>
    <cellStyle name="Normal 195" xfId="20" xr:uid="{29503BE6-7324-48E9-9756-7D243BA75515}"/>
    <cellStyle name="Normal 196" xfId="15" xr:uid="{90DC8C3C-61E2-4A76-8A25-09F0D5F88207}"/>
    <cellStyle name="Normal 197" xfId="59" xr:uid="{A0378080-C794-4A12-9F34-4C083ADBFB7C}"/>
    <cellStyle name="Normal 2" xfId="60" xr:uid="{D43E75B3-7195-4A4A-9A38-4FD879BDD943}"/>
    <cellStyle name="Normal 2 10" xfId="142" xr:uid="{2710CF07-BA82-4EC0-8765-D883D0043A8D}"/>
    <cellStyle name="Normal 2 10 2 5 2" xfId="6" xr:uid="{0EA982F3-DC21-4E99-AAAB-6AD064B0EC05}"/>
    <cellStyle name="Normal 2 10 2 6" xfId="3" xr:uid="{BB34A5C0-63BA-480D-920F-445FEC5EA3E3}"/>
    <cellStyle name="Normal 2 2" xfId="9" xr:uid="{EB1085D2-CAC1-49AF-881E-5E46E6B9465A}"/>
    <cellStyle name="Normal 2 2 2" xfId="62" xr:uid="{0F154F4E-4575-4B91-8C32-8C7F3FDC7039}"/>
    <cellStyle name="Normal 2 2 2 2" xfId="131" xr:uid="{F98A6351-3DBA-45B8-8548-0BD16A4450ED}"/>
    <cellStyle name="Normal 2 2 3" xfId="63" xr:uid="{0DA2AC20-3625-4136-A9E8-E3ED9573D39E}"/>
    <cellStyle name="Normal 2 2 4" xfId="64" xr:uid="{7710881D-B070-46AA-9671-E05445A50F75}"/>
    <cellStyle name="Normal 2 2 4 2" xfId="132" xr:uid="{55D34F5F-E256-4E39-9CAA-1361B8786553}"/>
    <cellStyle name="Normal 2 2 5" xfId="61" xr:uid="{65A878C0-A08A-4BCB-AA7D-F297E51316DE}"/>
    <cellStyle name="Normal 2 3" xfId="65" xr:uid="{D8D09899-7E7A-42DB-96EC-4E7F21B7AFFB}"/>
    <cellStyle name="Normal 2 3 2" xfId="66" xr:uid="{506DD230-8591-4823-BE60-CC5CACD5E2CE}"/>
    <cellStyle name="Normal 2 3 3" xfId="67" xr:uid="{2689612B-06FE-4300-8FAD-2AC655981E73}"/>
    <cellStyle name="Normal 2 3 3 2" xfId="133" xr:uid="{2CD6F429-9266-49AA-A821-A184FA868FCC}"/>
    <cellStyle name="Normal 2 3 5" xfId="155" xr:uid="{AB05C6DF-FAA9-42FF-973B-3C733AF8802B}"/>
    <cellStyle name="Normal 2 3 9" xfId="157" xr:uid="{C2228F76-E400-4F56-8AC4-0AE2A141C6DE}"/>
    <cellStyle name="Normal 2 4" xfId="68" xr:uid="{8C4DF45F-B64E-44F0-A8DE-4108ACBE94E8}"/>
    <cellStyle name="Normal 2 5" xfId="69" xr:uid="{F5A50168-4EF0-4E4D-9111-C00F431D34F1}"/>
    <cellStyle name="Normal 2 5 2" xfId="70" xr:uid="{A0A7370F-DDD1-430B-BAA8-8250CC898EEC}"/>
    <cellStyle name="Normal 2 5 2 2" xfId="71" xr:uid="{D203A526-1598-4459-87B3-D07D365EFB02}"/>
    <cellStyle name="Normal 2 5 3" xfId="72" xr:uid="{05F4E01B-3ABC-4CF8-878A-FAC507323BEC}"/>
    <cellStyle name="Normal 2 6" xfId="73" xr:uid="{12C9A841-0713-4B2E-9FEB-259259B857C1}"/>
    <cellStyle name="Normal 2 6 2" xfId="134" xr:uid="{2CEADF2C-1055-465F-9A8E-DC20ADCAE933}"/>
    <cellStyle name="Normal 201 2" xfId="19" xr:uid="{7A9F1CE6-A645-432E-B2C2-9793B018DF90}"/>
    <cellStyle name="Normal 207" xfId="14" xr:uid="{BA8AB5B8-961E-4DFA-94B4-5E9EEE3A490F}"/>
    <cellStyle name="Normal 211" xfId="13" xr:uid="{58520A77-1171-433D-8FAE-25797FF0B801}"/>
    <cellStyle name="Normal 218" xfId="17" xr:uid="{E55ABECC-E800-4903-9A1C-14BDD498D09D}"/>
    <cellStyle name="Normal 219" xfId="18" xr:uid="{DFC60562-02A4-4EA4-8096-F18F39B0DE19}"/>
    <cellStyle name="Normal 222" xfId="16" xr:uid="{83AE90D7-9474-4B42-9990-710167A5A419}"/>
    <cellStyle name="Normal 23 3" xfId="74" xr:uid="{71F02E23-7A9C-4F62-AF06-D0DD87D80160}"/>
    <cellStyle name="Normal 23 3 2" xfId="75" xr:uid="{6A09EECE-E2FF-4146-B602-2E48811CC568}"/>
    <cellStyle name="Normal 23 3 3" xfId="76" xr:uid="{57A9152D-A47F-43F7-80C7-28E1E55C8594}"/>
    <cellStyle name="Normal 3" xfId="25" xr:uid="{2DA1E557-7CA6-467D-8A70-659D8412FB6A}"/>
    <cellStyle name="Normal 3 10" xfId="78" xr:uid="{E10D7964-DE47-4FBD-90E9-F075491F9699}"/>
    <cellStyle name="Normal 3 2" xfId="79" xr:uid="{127652A4-A442-415F-B5DD-6DC574D9E517}"/>
    <cellStyle name="Normal 3 2 2" xfId="80" xr:uid="{2F8E8866-64D9-4ABC-8D0B-D95C6011ED93}"/>
    <cellStyle name="Normal 3 2 3" xfId="81" xr:uid="{294A3EE9-019B-4D1E-8BCB-FF43A76F5258}"/>
    <cellStyle name="Normal 3 2 4" xfId="82" xr:uid="{A0C54588-0E40-4DF0-828E-4952645BEECF}"/>
    <cellStyle name="Normal 3 2 5" xfId="152" xr:uid="{2E453548-EA17-469D-A766-59BEC6AF2718}"/>
    <cellStyle name="Normal 3 3" xfId="83" xr:uid="{20DCA2CC-6A3D-4824-AF1D-725283304112}"/>
    <cellStyle name="Normal 3 4" xfId="84" xr:uid="{77212FBC-48D1-41A3-8D0F-8210AC06A042}"/>
    <cellStyle name="Normal 3 4 2" xfId="136" xr:uid="{3BC25981-0201-40DC-9E9A-81F59F9F4B0B}"/>
    <cellStyle name="Normal 3 5" xfId="135" xr:uid="{E360D9AC-FDFB-4BCD-98FE-54531C1C2495}"/>
    <cellStyle name="Normal 3 6" xfId="144" xr:uid="{CE775F05-1A7D-45B1-A427-F6C5E52B29AF}"/>
    <cellStyle name="Normal 3 7" xfId="77" xr:uid="{C5AA02B2-5B5C-4016-9471-80FDEAB2A151}"/>
    <cellStyle name="Normal 31 2" xfId="85" xr:uid="{BF73545A-CB3F-4902-A479-D9720EB351F4}"/>
    <cellStyle name="Normal 4" xfId="86" xr:uid="{A80EC400-6FBA-4D54-8161-0B610B470F5D}"/>
    <cellStyle name="Normal 4 2" xfId="87" xr:uid="{879492FF-5AAD-439D-9D1F-33E52593655D}"/>
    <cellStyle name="Normal 4 2 2" xfId="88" xr:uid="{B6C39076-8261-459E-BD56-136E5E699100}"/>
    <cellStyle name="Normal 4 2 2 2" xfId="125" xr:uid="{DC5B950D-A3F4-4FC7-9450-B56C76430C77}"/>
    <cellStyle name="Normal 4 2 3" xfId="89" xr:uid="{C072DAE4-5B18-45FF-B024-231D1C751D0C}"/>
    <cellStyle name="Normal 4 2 4" xfId="90" xr:uid="{09CB6DDD-8F91-4B3B-B6E0-D35D28BD1F07}"/>
    <cellStyle name="Normal 4 2 5 2" xfId="126" xr:uid="{FE5E8AA6-6C64-4097-82C6-AE0E3F1EED7E}"/>
    <cellStyle name="Normal 4 2 6" xfId="122" xr:uid="{8DD8D17C-A0BD-49CC-9042-CA020E40048B}"/>
    <cellStyle name="Normal 4 2 7" xfId="141" xr:uid="{E2DDE9E8-B2B2-4AF4-B34E-6161A293D6D3}"/>
    <cellStyle name="Normal 4 3" xfId="91" xr:uid="{AA82797F-A2A8-46AF-ABA5-9F8918423FF9}"/>
    <cellStyle name="Normal 4 4" xfId="129" xr:uid="{D4C2032B-2DE2-4F27-8BF0-A4A6D3391CBB}"/>
    <cellStyle name="Normal 4 5" xfId="150" xr:uid="{C9E83FA6-B5A4-4216-A1E0-8FAF9F1E1ED1}"/>
    <cellStyle name="Normal 40" xfId="120" xr:uid="{FAA10356-B0BE-4A7E-BF9B-8DC29D560DD7}"/>
    <cellStyle name="Normal 42" xfId="147" xr:uid="{25E06453-2EA3-4264-8175-32212DE4F481}"/>
    <cellStyle name="Normal 48" xfId="148" xr:uid="{E875630B-6065-45B1-A957-8BB61C9DBA3E}"/>
    <cellStyle name="Normal 5" xfId="23" xr:uid="{3FC12385-9363-45A8-94D8-55F9303BEA9B}"/>
    <cellStyle name="Normal 5 2" xfId="93" xr:uid="{ECA4A7C7-45E6-436D-A6BA-C760992E37A7}"/>
    <cellStyle name="Normal 5 2 2" xfId="94" xr:uid="{AC647EB3-B0B1-4A4F-BD1B-BB1631263AFB}"/>
    <cellStyle name="Normal 5 3" xfId="95" xr:uid="{1353B93A-5300-4CEC-AC67-6D60788984A3}"/>
    <cellStyle name="Normal 5 4" xfId="96" xr:uid="{5EC9B0E8-6460-4E9F-B613-CD27D5A1595A}"/>
    <cellStyle name="Normal 5 5" xfId="97" xr:uid="{93F54DA2-4936-4C3C-B8CB-8B2D38225C67}"/>
    <cellStyle name="Normal 5 6" xfId="156" xr:uid="{F310C77F-304A-4740-9290-1CE0F042240E}"/>
    <cellStyle name="Normal 5 7" xfId="92" xr:uid="{D5A62684-07B0-4C49-9405-B76FB0A71851}"/>
    <cellStyle name="Normal 6" xfId="98" xr:uid="{02E760A2-C246-4029-B9A3-F0E853575294}"/>
    <cellStyle name="Normal 6 2" xfId="143" xr:uid="{3A0ECEF6-6DF5-4555-AEBD-118B24AA48C2}"/>
    <cellStyle name="Normal 7" xfId="99" xr:uid="{D788365C-1296-4F83-BC64-1D8C343D2AE7}"/>
    <cellStyle name="Normal 7 2" xfId="100" xr:uid="{7AECFAFE-DE26-4D34-8FDF-4E7392E2830E}"/>
    <cellStyle name="Normal 7 3" xfId="101" xr:uid="{33E6F553-1AE9-4C06-BE4C-C8464EA7EB39}"/>
    <cellStyle name="Normal 7 4" xfId="102" xr:uid="{09979A8B-B7A9-4288-952A-9C6754F01DC2}"/>
    <cellStyle name="Normal 7 4 2" xfId="137" xr:uid="{D23F6B30-F7C1-4AC8-8C2B-6478E36B53D0}"/>
    <cellStyle name="Normal 8" xfId="103" xr:uid="{20344BE7-C455-4AF8-9C1F-9B83D8F6EDA2}"/>
    <cellStyle name="Normal 8 2" xfId="104" xr:uid="{7338F2B5-014F-4F56-897D-69BA9104A31E}"/>
    <cellStyle name="Normal 8 2 2" xfId="105" xr:uid="{5705F4F9-4F32-4C8B-9BDC-5E526246A468}"/>
    <cellStyle name="Normal 8 3" xfId="106" xr:uid="{0242F18E-831B-447C-8C1D-3B8D9167B42A}"/>
    <cellStyle name="Normal 8 4" xfId="107" xr:uid="{07AF4C75-FF6A-40EA-AD50-4B9F4421CF6B}"/>
    <cellStyle name="Normal 8 5" xfId="108" xr:uid="{A15A7E48-AC72-4D47-AB6C-C4553663C44D}"/>
    <cellStyle name="Normal 9" xfId="109" xr:uid="{3EC5ECA8-8694-4CB4-AE4F-BF3B22390C31}"/>
    <cellStyle name="Normal 9 2" xfId="138" xr:uid="{860CFF03-D761-479C-91DD-07193DC7EFDD}"/>
    <cellStyle name="Normal_Rev_IPP_ BUB_ 10.04.09 2" xfId="4" xr:uid="{526D1CE4-A6A3-4EA2-BCF4-E0959F12CAFC}"/>
    <cellStyle name="Note 4" xfId="121" xr:uid="{F6C52005-A625-4F55-92BC-90AB7D388AEE}"/>
    <cellStyle name="Percent" xfId="2" builtinId="5"/>
    <cellStyle name="Percent 2" xfId="7" xr:uid="{36A5E538-A591-4B85-8561-9BC706E69FE8}"/>
    <cellStyle name="Percent 2 2" xfId="111" xr:uid="{1666128F-7A3F-4427-BC82-EBEB6C4721A7}"/>
    <cellStyle name="Percent 2 2 2" xfId="112" xr:uid="{008A1059-0C07-4C0E-BE37-1285306BB1FB}"/>
    <cellStyle name="Percent 2 2 2 2" xfId="113" xr:uid="{60D11F46-99F0-41D8-B0A9-230D65319602}"/>
    <cellStyle name="Percent 2 2 3" xfId="114" xr:uid="{CAF3E7A5-1A1F-49BA-AC67-8C34ECCF08CD}"/>
    <cellStyle name="Percent 2 3" xfId="115" xr:uid="{413D99DC-EB28-4E03-B8FB-48CFC2B0371B}"/>
    <cellStyle name="Percent 2 3 2" xfId="116" xr:uid="{B55271C3-2BB3-4697-A238-14EB628BBF5F}"/>
    <cellStyle name="Percent 2 4" xfId="117" xr:uid="{B138D523-64E4-438C-A1EE-E7A0720AD592}"/>
    <cellStyle name="Percent 2 5" xfId="130" xr:uid="{661B0C2A-C63F-4EA9-BEF8-DA01CF4E4D14}"/>
    <cellStyle name="Percent 2 6" xfId="153" xr:uid="{05B21553-878E-414E-8826-FFE7472F9BD7}"/>
    <cellStyle name="Percent 2 7" xfId="110" xr:uid="{D22CF2E6-AF39-45B1-9988-C8DEF0550250}"/>
    <cellStyle name="Percent 3" xfId="118" xr:uid="{ACBA461F-3A90-44CB-A70D-E80C7718A130}"/>
    <cellStyle name="Percent 3 2" xfId="139" xr:uid="{D460FD10-FE74-4097-BA26-D105F3D82820}"/>
    <cellStyle name="Percent 4" xfId="124" xr:uid="{32CBB0B0-D0C8-46CB-AD6B-26DAB717BBAE}"/>
    <cellStyle name="TableStyleLight1" xfId="119" xr:uid="{0B733BF9-52ED-40EC-B19D-44B5DCCD51EC}"/>
  </cellStyles>
  <dxfs count="65">
    <dxf>
      <font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indexed="6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4"/>
  <sheetViews>
    <sheetView zoomScale="80" zoomScaleNormal="80" workbookViewId="0">
      <pane xSplit="4" ySplit="10" topLeftCell="E11" activePane="bottomRight" state="frozen"/>
      <selection activeCell="G16" sqref="G16"/>
      <selection pane="topRight" activeCell="G16" sqref="G16"/>
      <selection pane="bottomLeft" activeCell="G16" sqref="G16"/>
      <selection pane="bottomRight" activeCell="G16" sqref="G16"/>
    </sheetView>
  </sheetViews>
  <sheetFormatPr defaultColWidth="9.1796875" defaultRowHeight="14.5" x14ac:dyDescent="0.35"/>
  <cols>
    <col min="1" max="1" width="4.1796875" style="4" customWidth="1"/>
    <col min="2" max="3" width="10" style="1" customWidth="1"/>
    <col min="4" max="4" width="12.54296875" style="4" customWidth="1"/>
    <col min="5" max="6" width="8.7265625" style="4" customWidth="1"/>
    <col min="7" max="7" width="22.26953125" style="4" customWidth="1"/>
    <col min="8" max="8" width="14.26953125" style="1" customWidth="1"/>
    <col min="9" max="9" width="11.54296875" style="1" customWidth="1"/>
    <col min="10" max="10" width="12.54296875" style="1" customWidth="1"/>
    <col min="11" max="11" width="16.1796875" style="1" customWidth="1"/>
    <col min="12" max="12" width="12.1796875" style="1" customWidth="1"/>
    <col min="13" max="13" width="14.81640625" style="1" customWidth="1"/>
    <col min="14" max="14" width="11.26953125" style="1" customWidth="1"/>
    <col min="15" max="15" width="12.1796875" style="1" customWidth="1"/>
    <col min="16" max="16" width="17.7265625" style="1" customWidth="1"/>
    <col min="17" max="17" width="3.1796875" style="1" customWidth="1"/>
    <col min="18" max="18" width="14.54296875" style="1" customWidth="1"/>
    <col min="19" max="19" width="3.1796875" style="1" customWidth="1"/>
    <col min="20" max="25" width="8.7265625" style="1" customWidth="1"/>
    <col min="26" max="26" width="3.1796875" style="1" customWidth="1"/>
    <col min="27" max="27" width="15" style="1" customWidth="1"/>
    <col min="28" max="28" width="15.54296875" style="1" customWidth="1"/>
    <col min="29" max="29" width="17.1796875" style="1" customWidth="1"/>
    <col min="30" max="30" width="13.81640625" style="1" customWidth="1"/>
    <col min="31" max="31" width="10.7265625" style="1" customWidth="1"/>
    <col min="32" max="32" width="15.54296875" style="1" customWidth="1"/>
    <col min="33" max="33" width="17.1796875" style="1" customWidth="1"/>
    <col min="34" max="16384" width="9.1796875" style="1"/>
  </cols>
  <sheetData>
    <row r="1" spans="1:13" ht="15" thickBot="1" x14ac:dyDescent="0.4">
      <c r="A1" s="13" t="s">
        <v>0</v>
      </c>
      <c r="D1" s="38" t="s">
        <v>48</v>
      </c>
    </row>
    <row r="2" spans="1:13" x14ac:dyDescent="0.35">
      <c r="A2" s="13" t="s">
        <v>21</v>
      </c>
      <c r="D2" s="3" t="s">
        <v>49</v>
      </c>
    </row>
    <row r="3" spans="1:13" x14ac:dyDescent="0.35">
      <c r="A3" s="6"/>
      <c r="D3" s="1"/>
    </row>
    <row r="4" spans="1:13" ht="15.5" x14ac:dyDescent="0.35">
      <c r="A4" s="13" t="s">
        <v>22</v>
      </c>
      <c r="D4" s="45" t="s">
        <v>1</v>
      </c>
      <c r="E4" s="28" t="s">
        <v>35</v>
      </c>
      <c r="I4" s="80"/>
      <c r="J4" s="81"/>
      <c r="K4" s="94"/>
      <c r="L4" s="82"/>
      <c r="M4" s="83"/>
    </row>
    <row r="5" spans="1:13" x14ac:dyDescent="0.35">
      <c r="A5" s="6"/>
      <c r="D5" s="2" t="s">
        <v>29</v>
      </c>
      <c r="E5" s="53">
        <v>302</v>
      </c>
      <c r="J5" s="4"/>
      <c r="K5" s="4"/>
    </row>
    <row r="6" spans="1:13" ht="16" x14ac:dyDescent="0.35">
      <c r="A6" s="6"/>
      <c r="D6" s="2" t="s">
        <v>85</v>
      </c>
      <c r="E6" s="54">
        <v>301</v>
      </c>
      <c r="K6" s="3"/>
      <c r="M6" s="97"/>
    </row>
    <row r="7" spans="1:13" x14ac:dyDescent="0.35">
      <c r="A7" s="6"/>
      <c r="D7" s="2" t="s">
        <v>2</v>
      </c>
      <c r="E7" s="30">
        <f>E5-E6</f>
        <v>1</v>
      </c>
      <c r="K7" s="3"/>
      <c r="M7" s="97"/>
    </row>
    <row r="8" spans="1:13" ht="5.15" customHeight="1" thickBot="1" x14ac:dyDescent="0.4">
      <c r="A8" s="6"/>
      <c r="D8" s="1"/>
    </row>
    <row r="9" spans="1:13" ht="15" thickBot="1" x14ac:dyDescent="0.4">
      <c r="A9" s="13" t="s">
        <v>23</v>
      </c>
      <c r="D9" s="39">
        <v>45809</v>
      </c>
      <c r="E9" s="42">
        <v>1</v>
      </c>
      <c r="F9" s="3" t="s">
        <v>3</v>
      </c>
      <c r="G9" s="47">
        <f>P30</f>
        <v>4925228.8899999997</v>
      </c>
      <c r="H9" s="3" t="s">
        <v>20</v>
      </c>
    </row>
    <row r="10" spans="1:13" ht="5.15" customHeight="1" x14ac:dyDescent="0.35">
      <c r="A10" s="13"/>
      <c r="D10" s="1"/>
      <c r="E10" s="1"/>
      <c r="F10" s="13"/>
    </row>
    <row r="11" spans="1:13" x14ac:dyDescent="0.35">
      <c r="A11" s="13" t="s">
        <v>33</v>
      </c>
      <c r="D11" s="2" t="s">
        <v>24</v>
      </c>
      <c r="E11" s="33">
        <f>T30</f>
        <v>1</v>
      </c>
      <c r="F11" s="48">
        <f>E11/$E$9</f>
        <v>1</v>
      </c>
      <c r="G11" s="29">
        <f>AA30</f>
        <v>4925228.8899999997</v>
      </c>
      <c r="H11" s="48">
        <f>G11/$G$9</f>
        <v>1</v>
      </c>
    </row>
    <row r="12" spans="1:13" x14ac:dyDescent="0.35">
      <c r="A12" s="5"/>
      <c r="D12" s="2" t="s">
        <v>25</v>
      </c>
      <c r="E12" s="33">
        <f>U30</f>
        <v>0</v>
      </c>
      <c r="F12" s="48">
        <f t="shared" ref="F12:F15" si="0">E12/$E$9</f>
        <v>0</v>
      </c>
      <c r="G12" s="29">
        <f>AB30</f>
        <v>0</v>
      </c>
      <c r="H12" s="48">
        <f t="shared" ref="H12:H15" si="1">G12/$G$9</f>
        <v>0</v>
      </c>
    </row>
    <row r="13" spans="1:13" x14ac:dyDescent="0.35">
      <c r="A13" s="5"/>
      <c r="D13" s="2" t="s">
        <v>26</v>
      </c>
      <c r="E13" s="33">
        <f>V30</f>
        <v>0</v>
      </c>
      <c r="F13" s="48">
        <f t="shared" si="0"/>
        <v>0</v>
      </c>
      <c r="G13" s="29">
        <f>AC30</f>
        <v>0</v>
      </c>
      <c r="H13" s="48">
        <f t="shared" si="1"/>
        <v>0</v>
      </c>
    </row>
    <row r="14" spans="1:13" x14ac:dyDescent="0.35">
      <c r="A14" s="5"/>
      <c r="D14" s="2" t="s">
        <v>27</v>
      </c>
      <c r="E14" s="33">
        <f>W30</f>
        <v>0</v>
      </c>
      <c r="F14" s="48">
        <f t="shared" si="0"/>
        <v>0</v>
      </c>
      <c r="G14" s="29">
        <f>AD30</f>
        <v>0</v>
      </c>
      <c r="H14" s="48">
        <f t="shared" si="1"/>
        <v>0</v>
      </c>
    </row>
    <row r="15" spans="1:13" ht="16" x14ac:dyDescent="0.35">
      <c r="A15" s="5"/>
      <c r="D15" s="28" t="s">
        <v>28</v>
      </c>
      <c r="E15" s="34">
        <f>X30</f>
        <v>0</v>
      </c>
      <c r="F15" s="48">
        <f t="shared" si="0"/>
        <v>0</v>
      </c>
      <c r="G15" s="32">
        <f>AE30</f>
        <v>0</v>
      </c>
      <c r="H15" s="48">
        <f t="shared" si="1"/>
        <v>0</v>
      </c>
    </row>
    <row r="16" spans="1:13" x14ac:dyDescent="0.35">
      <c r="A16" s="5" t="s">
        <v>51</v>
      </c>
      <c r="D16" s="27" t="s">
        <v>29</v>
      </c>
      <c r="E16" s="52">
        <f>SUM(E11:E15)</f>
        <v>1</v>
      </c>
      <c r="F16" s="51">
        <f>E16/E9</f>
        <v>1</v>
      </c>
      <c r="G16" s="31">
        <f>SUM(G11:G15)</f>
        <v>4925228.8899999997</v>
      </c>
      <c r="H16" s="50">
        <f>G16/G9</f>
        <v>1</v>
      </c>
    </row>
    <row r="17" spans="1:33" x14ac:dyDescent="0.35">
      <c r="A17" s="5"/>
      <c r="D17" s="6"/>
      <c r="E17" s="6"/>
      <c r="F17" s="6"/>
    </row>
    <row r="18" spans="1:33" ht="22.5" customHeight="1" x14ac:dyDescent="0.35">
      <c r="A18" s="178" t="s">
        <v>4</v>
      </c>
      <c r="B18" s="178" t="s">
        <v>5</v>
      </c>
      <c r="C18" s="174" t="s">
        <v>6</v>
      </c>
      <c r="D18" s="178" t="s">
        <v>7</v>
      </c>
      <c r="E18" s="174" t="s">
        <v>16</v>
      </c>
      <c r="F18" s="174" t="s">
        <v>17</v>
      </c>
      <c r="G18" s="178" t="s">
        <v>8</v>
      </c>
      <c r="H18" s="165" t="s">
        <v>18</v>
      </c>
      <c r="I18" s="165"/>
      <c r="J18" s="165"/>
      <c r="K18" s="165"/>
      <c r="L18" s="165"/>
      <c r="M18" s="165"/>
      <c r="N18" s="165"/>
      <c r="O18" s="165"/>
      <c r="P18" s="168" t="s">
        <v>19</v>
      </c>
      <c r="R18" s="174" t="s">
        <v>36</v>
      </c>
      <c r="T18" s="169" t="s">
        <v>31</v>
      </c>
      <c r="U18" s="170"/>
      <c r="V18" s="170"/>
      <c r="W18" s="170"/>
      <c r="X18" s="170"/>
      <c r="Y18" s="171"/>
      <c r="AA18" s="169" t="s">
        <v>30</v>
      </c>
      <c r="AB18" s="170"/>
      <c r="AC18" s="170"/>
      <c r="AD18" s="170"/>
      <c r="AE18" s="170"/>
      <c r="AF18" s="171"/>
      <c r="AG18" s="172" t="s">
        <v>34</v>
      </c>
    </row>
    <row r="19" spans="1:33" ht="21" customHeight="1" x14ac:dyDescent="0.35">
      <c r="A19" s="179"/>
      <c r="B19" s="179"/>
      <c r="C19" s="176"/>
      <c r="D19" s="179"/>
      <c r="E19" s="176"/>
      <c r="F19" s="176"/>
      <c r="G19" s="179"/>
      <c r="H19" s="164" t="s">
        <v>9</v>
      </c>
      <c r="I19" s="164"/>
      <c r="J19" s="164" t="s">
        <v>12</v>
      </c>
      <c r="K19" s="164"/>
      <c r="L19" s="164" t="s">
        <v>13</v>
      </c>
      <c r="M19" s="164"/>
      <c r="N19" s="162" t="s">
        <v>15</v>
      </c>
      <c r="O19" s="162" t="s">
        <v>14</v>
      </c>
      <c r="P19" s="168"/>
      <c r="R19" s="175"/>
      <c r="T19" s="166" t="s">
        <v>24</v>
      </c>
      <c r="U19" s="166" t="s">
        <v>25</v>
      </c>
      <c r="V19" s="166" t="s">
        <v>26</v>
      </c>
      <c r="W19" s="166" t="s">
        <v>27</v>
      </c>
      <c r="X19" s="166" t="s">
        <v>28</v>
      </c>
      <c r="Y19" s="43" t="s">
        <v>29</v>
      </c>
      <c r="AA19" s="166" t="s">
        <v>24</v>
      </c>
      <c r="AB19" s="166" t="s">
        <v>25</v>
      </c>
      <c r="AC19" s="166" t="s">
        <v>26</v>
      </c>
      <c r="AD19" s="166" t="s">
        <v>27</v>
      </c>
      <c r="AE19" s="166" t="s">
        <v>28</v>
      </c>
      <c r="AF19" s="43" t="s">
        <v>29</v>
      </c>
      <c r="AG19" s="173"/>
    </row>
    <row r="20" spans="1:33" ht="15" thickBot="1" x14ac:dyDescent="0.4">
      <c r="A20" s="180"/>
      <c r="B20" s="179"/>
      <c r="C20" s="176"/>
      <c r="D20" s="179"/>
      <c r="E20" s="177"/>
      <c r="F20" s="177"/>
      <c r="G20" s="179"/>
      <c r="H20" s="93" t="s">
        <v>10</v>
      </c>
      <c r="I20" s="93" t="s">
        <v>11</v>
      </c>
      <c r="J20" s="93" t="s">
        <v>10</v>
      </c>
      <c r="K20" s="93" t="s">
        <v>11</v>
      </c>
      <c r="L20" s="93" t="s">
        <v>10</v>
      </c>
      <c r="M20" s="93" t="s">
        <v>11</v>
      </c>
      <c r="N20" s="163"/>
      <c r="O20" s="163"/>
      <c r="P20" s="44" t="s">
        <v>50</v>
      </c>
      <c r="R20" s="18" t="s">
        <v>37</v>
      </c>
      <c r="T20" s="167"/>
      <c r="U20" s="167"/>
      <c r="V20" s="167"/>
      <c r="W20" s="167"/>
      <c r="X20" s="167"/>
      <c r="Y20" s="19"/>
      <c r="AA20" s="167"/>
      <c r="AB20" s="167"/>
      <c r="AC20" s="167"/>
      <c r="AD20" s="167"/>
      <c r="AE20" s="167"/>
      <c r="AF20" s="19" t="s">
        <v>50</v>
      </c>
      <c r="AG20" s="44" t="s">
        <v>50</v>
      </c>
    </row>
    <row r="21" spans="1:33" ht="15" customHeight="1" x14ac:dyDescent="0.35">
      <c r="A21" s="96">
        <v>1</v>
      </c>
      <c r="B21" s="107" t="s">
        <v>81</v>
      </c>
      <c r="C21" s="102" t="s">
        <v>80</v>
      </c>
      <c r="D21" s="8" t="s">
        <v>77</v>
      </c>
      <c r="E21" s="101">
        <v>261.19600000000003</v>
      </c>
      <c r="F21" s="96">
        <v>15.029</v>
      </c>
      <c r="G21" s="106" t="s">
        <v>78</v>
      </c>
      <c r="H21" s="98">
        <v>45798</v>
      </c>
      <c r="I21" s="98">
        <v>45801</v>
      </c>
      <c r="J21" s="98">
        <v>45802</v>
      </c>
      <c r="K21" s="98">
        <v>45803</v>
      </c>
      <c r="L21" s="98">
        <v>45804</v>
      </c>
      <c r="M21" s="98">
        <v>45809</v>
      </c>
      <c r="N21" s="98">
        <v>45810</v>
      </c>
      <c r="O21" s="98">
        <v>45811</v>
      </c>
      <c r="P21" s="99">
        <v>4925228.8899999997</v>
      </c>
      <c r="R21" s="98">
        <v>45811</v>
      </c>
      <c r="T21" s="90">
        <v>1</v>
      </c>
      <c r="U21" s="90"/>
      <c r="V21" s="95"/>
      <c r="W21" s="95"/>
      <c r="X21" s="95"/>
      <c r="Y21" s="95">
        <f>SUM(T21:X21)</f>
        <v>1</v>
      </c>
      <c r="AA21" s="87">
        <f>$P$21*T21</f>
        <v>4925228.8899999997</v>
      </c>
      <c r="AB21" s="87">
        <f>$P$21*U21</f>
        <v>0</v>
      </c>
      <c r="AC21" s="87">
        <f t="shared" ref="AC21:AE21" si="2">$P$21*V21</f>
        <v>0</v>
      </c>
      <c r="AD21" s="87">
        <f t="shared" si="2"/>
        <v>0</v>
      </c>
      <c r="AE21" s="15">
        <f t="shared" si="2"/>
        <v>0</v>
      </c>
      <c r="AF21" s="35">
        <f>SUM(AA21:AE21)</f>
        <v>4925228.8899999997</v>
      </c>
      <c r="AG21" s="20">
        <f>P21-AF21</f>
        <v>0</v>
      </c>
    </row>
    <row r="22" spans="1:33" ht="15" hidden="1" customHeight="1" x14ac:dyDescent="0.35">
      <c r="A22" s="96">
        <v>2</v>
      </c>
      <c r="B22" s="109"/>
      <c r="C22" s="111"/>
      <c r="D22" s="112"/>
      <c r="E22" s="100"/>
      <c r="F22" s="8"/>
      <c r="G22" s="106"/>
      <c r="H22" s="98"/>
      <c r="I22" s="98"/>
      <c r="J22" s="98"/>
      <c r="K22" s="98"/>
      <c r="L22" s="98"/>
      <c r="M22" s="98"/>
      <c r="N22" s="98"/>
      <c r="O22" s="98"/>
      <c r="P22" s="99"/>
      <c r="R22" s="89"/>
      <c r="T22" s="90"/>
      <c r="U22" s="90"/>
      <c r="V22" s="95"/>
      <c r="W22" s="95"/>
      <c r="X22" s="95"/>
      <c r="Y22" s="95">
        <f t="shared" ref="Y22:Y23" si="3">SUM(T22:X22)</f>
        <v>0</v>
      </c>
      <c r="AA22" s="87"/>
      <c r="AB22" s="87"/>
      <c r="AC22" s="87"/>
      <c r="AD22" s="87"/>
      <c r="AE22" s="15">
        <f>$P$22*X22</f>
        <v>0</v>
      </c>
      <c r="AF22" s="35">
        <f>SUM(AA22:AE22)</f>
        <v>0</v>
      </c>
      <c r="AG22" s="20">
        <f>P22-AF22</f>
        <v>0</v>
      </c>
    </row>
    <row r="23" spans="1:33" ht="15" hidden="1" customHeight="1" x14ac:dyDescent="0.35">
      <c r="A23" s="96">
        <v>3</v>
      </c>
      <c r="B23" s="107"/>
      <c r="C23" s="102"/>
      <c r="D23" s="85"/>
      <c r="E23" s="101"/>
      <c r="F23" s="96"/>
      <c r="G23" s="110"/>
      <c r="H23" s="98"/>
      <c r="I23" s="98"/>
      <c r="J23" s="98"/>
      <c r="K23" s="98"/>
      <c r="L23" s="98"/>
      <c r="M23" s="98"/>
      <c r="N23" s="98"/>
      <c r="O23" s="98"/>
      <c r="P23" s="99"/>
      <c r="R23" s="89"/>
      <c r="T23" s="90"/>
      <c r="U23" s="90"/>
      <c r="V23" s="95"/>
      <c r="W23" s="95"/>
      <c r="X23" s="95"/>
      <c r="Y23" s="95">
        <f t="shared" si="3"/>
        <v>0</v>
      </c>
      <c r="AA23" s="87">
        <f t="shared" ref="AA23:AA25" si="4">$P$21*T23</f>
        <v>0</v>
      </c>
      <c r="AB23" s="87">
        <f t="shared" ref="AB23:AB26" si="5">$P$21*U23</f>
        <v>0</v>
      </c>
      <c r="AC23" s="87">
        <f t="shared" ref="AC23:AC26" si="6">$P$21*V23</f>
        <v>0</v>
      </c>
      <c r="AD23" s="87">
        <f>$P$23*W23</f>
        <v>0</v>
      </c>
      <c r="AE23" s="15">
        <f t="shared" ref="AE23:AE26" si="7">$P$21*X23</f>
        <v>0</v>
      </c>
      <c r="AF23" s="35">
        <f t="shared" ref="AF23:AF27" si="8">SUM(AA23:AE23)</f>
        <v>0</v>
      </c>
      <c r="AG23" s="20">
        <f>P23-AF23</f>
        <v>0</v>
      </c>
    </row>
    <row r="24" spans="1:33" ht="15" hidden="1" customHeight="1" x14ac:dyDescent="0.35">
      <c r="A24" s="96">
        <v>4</v>
      </c>
      <c r="B24" s="115"/>
      <c r="C24" s="105"/>
      <c r="D24" s="85"/>
      <c r="E24" s="100"/>
      <c r="F24" s="8"/>
      <c r="G24" s="106"/>
      <c r="H24" s="98"/>
      <c r="I24" s="98"/>
      <c r="J24" s="98"/>
      <c r="K24" s="98"/>
      <c r="L24" s="98"/>
      <c r="M24" s="98"/>
      <c r="N24" s="98"/>
      <c r="O24" s="98"/>
      <c r="P24" s="99"/>
      <c r="R24" s="86"/>
      <c r="T24" s="88"/>
      <c r="U24" s="88"/>
      <c r="V24" s="88"/>
      <c r="W24" s="88"/>
      <c r="X24" s="88"/>
      <c r="Y24" s="88">
        <f t="shared" ref="Y24:Y29" si="9">SUM(T24:X24)</f>
        <v>0</v>
      </c>
      <c r="AA24" s="87">
        <f t="shared" si="4"/>
        <v>0</v>
      </c>
      <c r="AB24" s="87">
        <f t="shared" si="5"/>
        <v>0</v>
      </c>
      <c r="AC24" s="87">
        <f>$P$24*V24</f>
        <v>0</v>
      </c>
      <c r="AD24" s="87">
        <f t="shared" ref="AD24:AD25" si="10">$P$21*W24</f>
        <v>0</v>
      </c>
      <c r="AE24" s="15">
        <f>$P$24*X24</f>
        <v>0</v>
      </c>
      <c r="AF24" s="35">
        <f t="shared" si="8"/>
        <v>0</v>
      </c>
      <c r="AG24" s="20">
        <f t="shared" ref="AG24:AG28" si="11">P24-AF24</f>
        <v>0</v>
      </c>
    </row>
    <row r="25" spans="1:33" ht="15" hidden="1" customHeight="1" x14ac:dyDescent="0.35">
      <c r="A25" s="96">
        <v>5</v>
      </c>
      <c r="B25" s="107"/>
      <c r="C25" s="102"/>
      <c r="D25" s="85"/>
      <c r="E25" s="100"/>
      <c r="F25" s="8"/>
      <c r="G25" s="160"/>
      <c r="H25" s="98"/>
      <c r="I25" s="98"/>
      <c r="J25" s="98"/>
      <c r="K25" s="98"/>
      <c r="L25" s="98"/>
      <c r="M25" s="98"/>
      <c r="N25" s="98"/>
      <c r="O25" s="98"/>
      <c r="P25" s="99"/>
      <c r="R25" s="86"/>
      <c r="T25" s="88"/>
      <c r="U25" s="88"/>
      <c r="V25" s="88"/>
      <c r="W25" s="88"/>
      <c r="X25" s="88"/>
      <c r="Y25" s="88">
        <f t="shared" si="9"/>
        <v>0</v>
      </c>
      <c r="AA25" s="87">
        <f t="shared" si="4"/>
        <v>0</v>
      </c>
      <c r="AB25" s="87">
        <f>$P$25*U25</f>
        <v>0</v>
      </c>
      <c r="AC25" s="87">
        <f>$P$25*V25</f>
        <v>0</v>
      </c>
      <c r="AD25" s="87">
        <f t="shared" si="10"/>
        <v>0</v>
      </c>
      <c r="AE25" s="15">
        <f t="shared" si="7"/>
        <v>0</v>
      </c>
      <c r="AF25" s="35">
        <f t="shared" si="8"/>
        <v>0</v>
      </c>
      <c r="AG25" s="20">
        <f t="shared" si="11"/>
        <v>0</v>
      </c>
    </row>
    <row r="26" spans="1:33" ht="15" hidden="1" customHeight="1" x14ac:dyDescent="0.35">
      <c r="A26" s="96">
        <v>6</v>
      </c>
      <c r="B26" s="107"/>
      <c r="C26" s="102"/>
      <c r="D26" s="8"/>
      <c r="E26" s="101"/>
      <c r="F26" s="96"/>
      <c r="G26" s="161"/>
      <c r="H26" s="98"/>
      <c r="I26" s="98"/>
      <c r="J26" s="98"/>
      <c r="K26" s="98"/>
      <c r="L26" s="98"/>
      <c r="M26" s="98"/>
      <c r="N26" s="98"/>
      <c r="O26" s="98"/>
      <c r="P26" s="99"/>
      <c r="R26" s="86"/>
      <c r="T26" s="88"/>
      <c r="U26" s="88"/>
      <c r="V26" s="88"/>
      <c r="W26" s="88"/>
      <c r="X26" s="88"/>
      <c r="Y26" s="88">
        <f t="shared" si="9"/>
        <v>0</v>
      </c>
      <c r="AA26" s="87">
        <f>$P$26*T26</f>
        <v>0</v>
      </c>
      <c r="AB26" s="87">
        <f t="shared" si="5"/>
        <v>0</v>
      </c>
      <c r="AC26" s="87">
        <f t="shared" si="6"/>
        <v>0</v>
      </c>
      <c r="AD26" s="87">
        <f>$P$26*W26</f>
        <v>0</v>
      </c>
      <c r="AE26" s="15">
        <f t="shared" si="7"/>
        <v>0</v>
      </c>
      <c r="AF26" s="35">
        <f t="shared" si="8"/>
        <v>0</v>
      </c>
      <c r="AG26" s="20">
        <f t="shared" si="11"/>
        <v>0</v>
      </c>
    </row>
    <row r="27" spans="1:33" ht="15" hidden="1" customHeight="1" x14ac:dyDescent="0.35">
      <c r="A27" s="96">
        <v>7</v>
      </c>
      <c r="B27" s="108"/>
      <c r="C27" s="102"/>
      <c r="D27" s="8"/>
      <c r="E27" s="101"/>
      <c r="F27" s="96"/>
      <c r="G27" s="106"/>
      <c r="H27" s="98"/>
      <c r="I27" s="98"/>
      <c r="J27" s="98"/>
      <c r="K27" s="98"/>
      <c r="L27" s="98"/>
      <c r="M27" s="98"/>
      <c r="N27" s="98"/>
      <c r="O27" s="98"/>
      <c r="P27" s="99"/>
      <c r="R27" s="86"/>
      <c r="T27" s="88"/>
      <c r="U27" s="88"/>
      <c r="V27" s="88"/>
      <c r="W27" s="88"/>
      <c r="X27" s="88"/>
      <c r="Y27" s="88">
        <f t="shared" si="9"/>
        <v>0</v>
      </c>
      <c r="AA27" s="87">
        <f>$P$21*T27</f>
        <v>0</v>
      </c>
      <c r="AB27" s="87">
        <f>$P$27*U27</f>
        <v>0</v>
      </c>
      <c r="AC27" s="87">
        <f t="shared" ref="AC27:AE28" si="12">$P$21*V27</f>
        <v>0</v>
      </c>
      <c r="AD27" s="87">
        <f t="shared" si="12"/>
        <v>0</v>
      </c>
      <c r="AE27" s="15">
        <f t="shared" si="12"/>
        <v>0</v>
      </c>
      <c r="AF27" s="35">
        <f t="shared" si="8"/>
        <v>0</v>
      </c>
      <c r="AG27" s="20">
        <f t="shared" si="11"/>
        <v>0</v>
      </c>
    </row>
    <row r="28" spans="1:33" ht="15" hidden="1" customHeight="1" x14ac:dyDescent="0.35">
      <c r="A28" s="96"/>
      <c r="B28" s="102"/>
      <c r="C28" s="102"/>
      <c r="D28" s="85"/>
      <c r="E28" s="100"/>
      <c r="F28" s="8"/>
      <c r="G28" s="103"/>
      <c r="H28" s="104"/>
      <c r="I28" s="98"/>
      <c r="J28" s="98"/>
      <c r="K28" s="98"/>
      <c r="L28" s="98"/>
      <c r="M28" s="104"/>
      <c r="N28" s="98"/>
      <c r="O28" s="98"/>
      <c r="P28" s="99"/>
      <c r="R28" s="89"/>
      <c r="T28" s="90"/>
      <c r="U28" s="90"/>
      <c r="V28" s="90"/>
      <c r="W28" s="90"/>
      <c r="X28" s="90"/>
      <c r="Y28" s="88">
        <f t="shared" si="9"/>
        <v>0</v>
      </c>
      <c r="AA28" s="87">
        <f>$P$21*T28</f>
        <v>0</v>
      </c>
      <c r="AB28" s="87">
        <f>$P$21*U28</f>
        <v>0</v>
      </c>
      <c r="AC28" s="87">
        <f t="shared" si="12"/>
        <v>0</v>
      </c>
      <c r="AD28" s="87">
        <f t="shared" si="12"/>
        <v>0</v>
      </c>
      <c r="AE28" s="15">
        <f t="shared" si="12"/>
        <v>0</v>
      </c>
      <c r="AF28" s="35">
        <f t="shared" ref="AF28" si="13">SUM(AA28:AE28)</f>
        <v>0</v>
      </c>
      <c r="AG28" s="20">
        <f t="shared" si="11"/>
        <v>0</v>
      </c>
    </row>
    <row r="29" spans="1:33" ht="20.149999999999999" hidden="1" customHeight="1" thickBot="1" x14ac:dyDescent="0.4">
      <c r="A29" s="11"/>
      <c r="B29" s="91"/>
      <c r="C29" s="92"/>
      <c r="D29" s="92"/>
      <c r="E29" s="92"/>
      <c r="F29" s="92"/>
      <c r="G29" s="92"/>
      <c r="H29" s="84"/>
      <c r="I29" s="84"/>
      <c r="J29" s="84"/>
      <c r="K29" s="84"/>
      <c r="L29" s="84"/>
      <c r="M29" s="84"/>
      <c r="N29" s="84"/>
      <c r="O29" s="84"/>
      <c r="P29" s="114"/>
      <c r="R29" s="12"/>
      <c r="T29" s="24"/>
      <c r="U29" s="24"/>
      <c r="V29" s="24"/>
      <c r="W29" s="24"/>
      <c r="X29" s="24"/>
      <c r="Y29" s="25">
        <f t="shared" si="9"/>
        <v>0</v>
      </c>
      <c r="AA29" s="16">
        <f>$P$29*T29</f>
        <v>0</v>
      </c>
      <c r="AB29" s="16">
        <f t="shared" ref="AB29:AE29" si="14">$P$29*U29</f>
        <v>0</v>
      </c>
      <c r="AC29" s="16">
        <f t="shared" si="14"/>
        <v>0</v>
      </c>
      <c r="AD29" s="16">
        <f t="shared" si="14"/>
        <v>0</v>
      </c>
      <c r="AE29" s="16">
        <f t="shared" si="14"/>
        <v>0</v>
      </c>
      <c r="AF29" s="37">
        <f t="shared" ref="AF29" si="15">SUM(AA29:AE29)</f>
        <v>0</v>
      </c>
      <c r="AG29" s="21">
        <f t="shared" ref="AG29" si="16">P29-AF29</f>
        <v>0</v>
      </c>
    </row>
    <row r="30" spans="1:33" ht="20.149999999999999" customHeight="1" x14ac:dyDescent="0.35">
      <c r="A30" s="9"/>
      <c r="B30" s="10"/>
      <c r="C30" s="10"/>
      <c r="D30" s="9"/>
      <c r="E30" s="14">
        <f>SUM(E21:E29)</f>
        <v>261.19600000000003</v>
      </c>
      <c r="F30" s="14">
        <f>SUM(F21:F29)</f>
        <v>15.029</v>
      </c>
      <c r="G30" s="9"/>
      <c r="H30" s="10"/>
      <c r="I30" s="10"/>
      <c r="J30" s="10"/>
      <c r="K30" s="10"/>
      <c r="L30" s="10"/>
      <c r="M30" s="10"/>
      <c r="N30" s="10"/>
      <c r="O30" s="10"/>
      <c r="P30" s="17">
        <f>SUM(P21:P29)</f>
        <v>4925228.8899999997</v>
      </c>
      <c r="R30" s="10"/>
      <c r="T30" s="26">
        <f t="shared" ref="T30:Y30" si="17">SUM(T21:T29)</f>
        <v>1</v>
      </c>
      <c r="U30" s="26">
        <f t="shared" si="17"/>
        <v>0</v>
      </c>
      <c r="V30" s="26">
        <f t="shared" si="17"/>
        <v>0</v>
      </c>
      <c r="W30" s="26">
        <f t="shared" si="17"/>
        <v>0</v>
      </c>
      <c r="X30" s="26">
        <f t="shared" si="17"/>
        <v>0</v>
      </c>
      <c r="Y30" s="26">
        <f t="shared" si="17"/>
        <v>1</v>
      </c>
      <c r="AA30" s="17">
        <f t="shared" ref="AA30:AG30" si="18">SUM(AA21:AA29)</f>
        <v>4925228.8899999997</v>
      </c>
      <c r="AB30" s="17">
        <f t="shared" si="18"/>
        <v>0</v>
      </c>
      <c r="AC30" s="17">
        <f t="shared" si="18"/>
        <v>0</v>
      </c>
      <c r="AD30" s="17">
        <f t="shared" si="18"/>
        <v>0</v>
      </c>
      <c r="AE30" s="17">
        <f t="shared" si="18"/>
        <v>0</v>
      </c>
      <c r="AF30" s="17">
        <f t="shared" si="18"/>
        <v>4925228.8899999997</v>
      </c>
      <c r="AG30" s="17">
        <f t="shared" si="18"/>
        <v>0</v>
      </c>
    </row>
    <row r="32" spans="1:33" x14ac:dyDescent="0.35">
      <c r="N32" s="55" t="s">
        <v>83</v>
      </c>
      <c r="P32" s="3">
        <f>7224.33*1</f>
        <v>7224.33</v>
      </c>
    </row>
    <row r="33" spans="2:16" x14ac:dyDescent="0.35">
      <c r="B33" s="76"/>
      <c r="C33" s="76"/>
      <c r="D33" s="77"/>
      <c r="E33" s="77"/>
      <c r="F33" s="77"/>
      <c r="G33" s="77"/>
      <c r="H33" s="76"/>
      <c r="I33" s="76"/>
      <c r="J33" s="76"/>
      <c r="N33" s="55" t="s">
        <v>84</v>
      </c>
      <c r="P33" s="3">
        <f>7782.57*1</f>
        <v>7782.57</v>
      </c>
    </row>
    <row r="34" spans="2:16" x14ac:dyDescent="0.3">
      <c r="B34" s="78"/>
      <c r="C34" s="76"/>
      <c r="D34" s="77"/>
      <c r="E34" s="77"/>
      <c r="F34" s="77"/>
      <c r="G34" s="77"/>
      <c r="H34" s="76"/>
      <c r="I34" s="76"/>
      <c r="J34" s="76"/>
      <c r="N34" s="55" t="s">
        <v>76</v>
      </c>
      <c r="P34" s="79">
        <f>SUM(P30:P33)</f>
        <v>4940235.79</v>
      </c>
    </row>
  </sheetData>
  <autoFilter ref="A18:P28" xr:uid="{00000000-0001-0000-0000-000000000000}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29">
    <mergeCell ref="F18:F20"/>
    <mergeCell ref="G18:G20"/>
    <mergeCell ref="A18:A20"/>
    <mergeCell ref="B18:B20"/>
    <mergeCell ref="C18:C20"/>
    <mergeCell ref="D18:D20"/>
    <mergeCell ref="E18:E20"/>
    <mergeCell ref="X19:X20"/>
    <mergeCell ref="P18:P19"/>
    <mergeCell ref="AA18:AF18"/>
    <mergeCell ref="AG18:AG19"/>
    <mergeCell ref="AA19:AA20"/>
    <mergeCell ref="AB19:AB20"/>
    <mergeCell ref="AC19:AC20"/>
    <mergeCell ref="AD19:AD20"/>
    <mergeCell ref="AE19:AE20"/>
    <mergeCell ref="R18:R19"/>
    <mergeCell ref="T18:Y18"/>
    <mergeCell ref="T19:T20"/>
    <mergeCell ref="H18:O18"/>
    <mergeCell ref="N19:N20"/>
    <mergeCell ref="U19:U20"/>
    <mergeCell ref="V19:V20"/>
    <mergeCell ref="W19:W20"/>
    <mergeCell ref="G25:G26"/>
    <mergeCell ref="O19:O20"/>
    <mergeCell ref="H19:I19"/>
    <mergeCell ref="J19:K19"/>
    <mergeCell ref="L19:M19"/>
  </mergeCells>
  <phoneticPr fontId="8" type="noConversion"/>
  <conditionalFormatting sqref="B21">
    <cfRule type="duplicateValues" dxfId="64" priority="1"/>
    <cfRule type="duplicateValues" dxfId="63" priority="2"/>
    <cfRule type="duplicateValues" dxfId="62" priority="3"/>
    <cfRule type="duplicateValues" dxfId="61" priority="4"/>
    <cfRule type="expression" dxfId="60" priority="5" stopIfTrue="1">
      <formula>AND(COUNTIF($D$28:$D$37, B21)+COUNTIF($D$16:$D$16, B21)&gt;1,NOT(ISBLANK(B21)))</formula>
    </cfRule>
    <cfRule type="expression" dxfId="59" priority="6" stopIfTrue="1">
      <formula>AND(COUNTIF($D$28:$D$65380, B21)+COUNTIF($D$1:$D$16, B21)&gt;1,NOT(ISBLANK(B21)))</formula>
    </cfRule>
    <cfRule type="expression" dxfId="58" priority="7" stopIfTrue="1">
      <formula>AND(COUNTIF($D$17:$D$65380, B21)+COUNTIF($D$1:$D$16, B21)&gt;1,NOT(ISBLANK(B21)))</formula>
    </cfRule>
    <cfRule type="expression" dxfId="57" priority="8" stopIfTrue="1">
      <formula>AND(COUNTIF($D$1:$D$123, B21)+COUNTIF($D$142:$D$65380, B21)&gt;1,NOT(ISBLANK(B21)))</formula>
    </cfRule>
    <cfRule type="expression" dxfId="56" priority="9" stopIfTrue="1">
      <formula>AND(COUNTIF($D$1:$D$191, B21)+COUNTIF($D$214:$D$65380, B21)&gt;1,NOT(ISBLANK(B21)))</formula>
    </cfRule>
    <cfRule type="expression" dxfId="55" priority="10" stopIfTrue="1">
      <formula>AND(COUNTIF($D$1:$D$191, B21)+COUNTIF($D$214:$D$65380, B21)&gt;1,NOT(ISBLANK(B21)))</formula>
    </cfRule>
    <cfRule type="expression" dxfId="54" priority="11" stopIfTrue="1">
      <formula>AND(COUNTIF($D$1:$D$191, B21)+COUNTIF($D$214:$D$65380, B21)&gt;1,NOT(ISBLANK(B21)))</formula>
    </cfRule>
    <cfRule type="expression" dxfId="53" priority="12" stopIfTrue="1">
      <formula>AND(COUNTIF($D$474:$D$65380, B21)+COUNTIF($D$454:$D$455, B21)+COUNTIF($D$416:$D$417, B21)+COUNTIF($D$374:$D$377, B21)+COUNTIF($D$351:$D$352, B21)+COUNTIF($D$324:$D$325, B21)+COUNTIF($D$303:$D$303, B21)+COUNTIF($D$288:$D$289, B21)+COUNTIF($D$263:$D$263, B21)+COUNTIF($D$252:$D$253, B21)+COUNTIF($D$233:$D$234, B21)+COUNTIF($D$51:$D$218, B21)+COUNTIF($D$219:$D$220, B21)+COUNTIF($D$1:$D$50, B21)&gt;1,NOT(ISBLANK(B21)))</formula>
    </cfRule>
  </conditionalFormatting>
  <conditionalFormatting sqref="B21:B27">
    <cfRule type="duplicateValues" dxfId="52" priority="18"/>
  </conditionalFormatting>
  <conditionalFormatting sqref="B22">
    <cfRule type="duplicateValues" dxfId="51" priority="14"/>
    <cfRule type="duplicateValues" dxfId="50" priority="15"/>
    <cfRule type="duplicateValues" dxfId="49" priority="16"/>
  </conditionalFormatting>
  <conditionalFormatting sqref="B23">
    <cfRule type="duplicateValues" dxfId="48" priority="19"/>
    <cfRule type="duplicateValues" dxfId="47" priority="20"/>
    <cfRule type="expression" dxfId="46" priority="1251" stopIfTrue="1">
      <formula>AND(COUNTIF($C$2:$C$65291, B23)+COUNTIF(#REF!, B23)&gt;1,NOT(ISBLANK(B23)))</formula>
    </cfRule>
    <cfRule type="expression" dxfId="45" priority="1252" stopIfTrue="1">
      <formula>AND(COUNTIF($C$145:$C$65291, B23)+COUNTIF($C$125:$C$126, B23)+COUNTIF($C$87:$C$88, B23)+COUNTIF($C$45:$C$48, B23)+COUNTIF(#REF!, B23)+COUNTIF(#REF!, B23)+COUNTIF(#REF!, B23)+COUNTIF(#REF!, B23)+COUNTIF(#REF!, B23)+COUNTIF(#REF!, B23)+COUNTIF(#REF!, B23)+COUNTIF(#REF!, B23)+COUNTIF($B$9:$B$9, B23)+COUNTIF($C$2:$C$8, B23)&gt;1,NOT(ISBLANK(B23)))</formula>
    </cfRule>
  </conditionalFormatting>
  <conditionalFormatting sqref="B26:B27 B21 B23">
    <cfRule type="expression" dxfId="44" priority="1248" stopIfTrue="1">
      <formula>AND(COUNTIF($C$1:$C$65282, B21)+COUNTIF(#REF!, B21)&gt;1,NOT(ISBLANK(B21)))</formula>
    </cfRule>
  </conditionalFormatting>
  <conditionalFormatting sqref="B26:B27 B23 B21">
    <cfRule type="expression" dxfId="43" priority="1236" stopIfTrue="1">
      <formula>AND(COUNTIF($C$136:$C$65282, B21)+COUNTIF($C$116:$C$117, B21)+COUNTIF($C$78:$C$79, B21)+COUNTIF($C$36:$C$39, B21)+COUNTIF($C$23:$C$24, B21)+COUNTIF(#REF!, B21)+COUNTIF(#REF!, B21)+COUNTIF(#REF!, B21)+COUNTIF(#REF!, B21)+COUNTIF(#REF!, B21)+COUNTIF(#REF!, B21)+COUNTIF(#REF!, B21)+COUNTIF(#REF!, B21)+COUNTIF($C$1:$C$5, B21)&gt;1,NOT(ISBLANK(B21)))</formula>
    </cfRule>
  </conditionalFormatting>
  <conditionalFormatting sqref="B26:B27">
    <cfRule type="duplicateValues" dxfId="42" priority="1239"/>
    <cfRule type="expression" dxfId="41" priority="1240" stopIfTrue="1">
      <formula>AND(COUNTIF($D$28:$D$37, B26)+COUNTIF($D$16:$D$16, B26)&gt;1,NOT(ISBLANK(B26)))</formula>
    </cfRule>
    <cfRule type="expression" dxfId="40" priority="1241" stopIfTrue="1">
      <formula>AND(COUNTIF($D$28:$D$65380, B26)+COUNTIF($D$1:$D$16, B26)&gt;1,NOT(ISBLANK(B26)))</formula>
    </cfRule>
    <cfRule type="expression" dxfId="39" priority="1242" stopIfTrue="1">
      <formula>AND(COUNTIF($D$17:$D$65380, B26)+COUNTIF($D$1:$D$16, B26)&gt;1,NOT(ISBLANK(B26)))</formula>
    </cfRule>
    <cfRule type="expression" dxfId="38" priority="1243" stopIfTrue="1">
      <formula>AND(COUNTIF($D$1:$D$123, B26)+COUNTIF($D$142:$D$65380, B26)&gt;1,NOT(ISBLANK(B26)))</formula>
    </cfRule>
    <cfRule type="expression" dxfId="37" priority="1245" stopIfTrue="1">
      <formula>AND(COUNTIF($D$1:$D$191, B26)+COUNTIF($D$214:$D$65380, B26)&gt;1,NOT(ISBLANK(B26)))</formula>
    </cfRule>
    <cfRule type="expression" dxfId="36" priority="1246" stopIfTrue="1">
      <formula>AND(COUNTIF($D$1:$D$191, B26)+COUNTIF($D$214:$D$65380, B26)&gt;1,NOT(ISBLANK(B26)))</formula>
    </cfRule>
    <cfRule type="expression" dxfId="35" priority="1247" stopIfTrue="1">
      <formula>AND(COUNTIF($D$474:$D$65380, B26)+COUNTIF($D$454:$D$455, B26)+COUNTIF($D$416:$D$417, B26)+COUNTIF($D$374:$D$377, B26)+COUNTIF($D$351:$D$352, B26)+COUNTIF($D$324:$D$325, B26)+COUNTIF($D$303:$D$303, B26)+COUNTIF($D$288:$D$289, B26)+COUNTIF($D$263:$D$263, B26)+COUNTIF($D$252:$D$253, B26)+COUNTIF($D$233:$D$234, B26)+COUNTIF($D$51:$D$218, B26)+COUNTIF($D$219:$D$220, B26)+COUNTIF($D$1:$D$50, B26)&gt;1,NOT(ISBLANK(B26)))</formula>
    </cfRule>
    <cfRule type="expression" dxfId="34" priority="1244" stopIfTrue="1">
      <formula>AND(COUNTIF($D$1:$D$191, B26)+COUNTIF($D$214:$D$65380, B26)&gt;1,NOT(ISBLANK(B26)))</formula>
    </cfRule>
  </conditionalFormatting>
  <conditionalFormatting sqref="B27">
    <cfRule type="duplicateValues" dxfId="33" priority="22"/>
    <cfRule type="duplicateValues" dxfId="32" priority="23"/>
    <cfRule type="duplicateValues" dxfId="31" priority="24"/>
  </conditionalFormatting>
  <conditionalFormatting sqref="B28">
    <cfRule type="duplicateValues" dxfId="30" priority="1190"/>
    <cfRule type="duplicateValues" dxfId="29" priority="1191"/>
    <cfRule type="duplicateValues" dxfId="28" priority="1192"/>
  </conditionalFormatting>
  <conditionalFormatting sqref="B29:B1048576 B1:B20">
    <cfRule type="duplicateValues" dxfId="27" priority="347"/>
  </conditionalFormatting>
  <conditionalFormatting sqref="L4">
    <cfRule type="expression" dxfId="26" priority="1221" stopIfTrue="1">
      <formula>AND(COUNTIF($C$1:$C$65460, L4)+COUNTIF(#REF!, L4)&gt;1,NOT(ISBLANK(L4)))</formula>
    </cfRule>
    <cfRule type="expression" dxfId="25" priority="1220" stopIfTrue="1">
      <formula>AND(COUNTIF($C$314:$C$65460, L4)+COUNTIF($C$294:$C$295, L4)+COUNTIF($C$256:$C$257, L4)+COUNTIF($C$214:$C$217, L4)+COUNTIF($C$191:$C$192, L4)+COUNTIF($C$164:$C$165, L4)+COUNTIF($C$143:$C$143, L4)+COUNTIF($C$128:$C$129, L4)+COUNTIF($C$103:$C$103, L4)+COUNTIF($C$92:$C$93, L4)+COUNTIF($C$73:$C$74, L4)+COUNTIF($C$29:$C$56, L4)+COUNTIF($C$58:$C$60, L4)+COUNTIF($C$1:$C$27, L4)&gt;1,NOT(ISBLANK(L4)))</formula>
    </cfRule>
  </conditionalFormatting>
  <conditionalFormatting sqref="M4">
    <cfRule type="expression" dxfId="24" priority="1223" stopIfTrue="1">
      <formula>AND(COUNTIF($D$314:$D$65460, M4)+COUNTIF(#REF!, M4)+COUNTIF($D$1:$D$27,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23" priority="1224" stopIfTrue="1">
      <formula>AND(COUNTIF($D$294:$D$65460, M4)+COUNTIF($D$1:$D$27, M4)+COUNTIF($D$256:$D$257,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22" priority="1225" stopIfTrue="1">
      <formula>AND(COUNTIF($D$256:$D$65460, M4)+COUNTIF($D$1:$D$27, M4)+COUNTIF(#REF!,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21" priority="1226" stopIfTrue="1">
      <formula>AND(COUNTIF($D$214:$D$65460, M4)+COUNTIF(#REF!, M4)+COUNTIF($D$1:$D$27, M4)+COUNTIF($D$191:$D$192, M4)+COUNTIF($D$164:$D$165, M4)+COUNTIF($D$143:$D$143, M4)+COUNTIF($D$128:$D$129, M4)+COUNTIF($D$103:$D$103, M4)+COUNTIF($D$92:$D$93, M4)+COUNTIF($D$73:$D$74, M4)+COUNTIF($D$58:$D$60, M4)&gt;1,NOT(ISBLANK(M4)))</formula>
    </cfRule>
    <cfRule type="expression" dxfId="20" priority="1227" stopIfTrue="1">
      <formula>AND(COUNTIF($D$214:$D$65460, M4)+COUNTIF($D$191:$D$192,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19" priority="1228" stopIfTrue="1">
      <formula>AND(COUNTIF($D$191:$D$65460, M4)+COUNTIF($D$164:$D$165, M4)+COUNTIF($D$143:$D$143, M4)+COUNTIF($D$128:$D$129, M4)+COUNTIF($D$1:$D$27, M4)+COUNTIF(#REF!, M4)+COUNTIF($D$103:$D$103, M4)+COUNTIF($D$92:$D$93, M4)+COUNTIF(#REF!, M4)+COUNTIF($D$73:$D$74, M4)+COUNTIF($D$51:$D$51, M4)+COUNTIF($D$53:$D$60, M4)+COUNTIF(#REF!, M4)&gt;1,NOT(ISBLANK(M4)))</formula>
    </cfRule>
    <cfRule type="expression" dxfId="18" priority="1229" stopIfTrue="1">
      <formula>AND(COUNTIF($F$369:$F$65454, M4)+COUNTIF($F$1:$F$27, M4)+COUNTIF(#REF!, M4)+COUNTIF($F$352:$F$353,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7" priority="1230" stopIfTrue="1">
      <formula>AND(COUNTIF($F$352:$F$65454, M4)+COUNTIF(#REF!, M4)+COUNTIF($F$1:$F$27, M4)+COUNTIF($F$332:$F$333, M4)+COUNTIF($F$294:$F$295,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6" priority="1231" stopIfTrue="1">
      <formula>AND(COUNTIF($F$332:$F$65454, M4)+COUNTIF($F$1:$F$27, M4)+COUNTIF($F$294:$F$295,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5" priority="1232" stopIfTrue="1">
      <formula>AND(COUNTIF($F$294:$F$65454, M4)+COUNTIF($F$1:$F$27, M4)+COUNTIF(#REF!, M4)+COUNTIF($F$252:$F$255,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4" priority="1233" stopIfTrue="1">
      <formula>AND(COUNTIF($F$252:$F$65454, M4)+COUNTIF(#REF!, M4)+COUNTIF($F$1:$F$27, M4)+COUNTIF($F$229:$F$230, M4)+COUNTIF($F$202:$F$203, M4)+COUNTIF($F$181:$F$181, M4)+COUNTIF($F$166:$F$167, M4)+COUNTIF($F$141:$F$141, M4)+COUNTIF($F$130:$F$131, M4)+COUNTIF($F$111:$F$112, M4)+COUNTIF($F$96:$F$98, M4)&gt;1,NOT(ISBLANK(M4)))</formula>
    </cfRule>
    <cfRule type="expression" dxfId="13" priority="1234" stopIfTrue="1">
      <formula>AND(COUNTIF($F$252:$F$65454, M4)+COUNTIF($F$229:$F$230,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12" priority="1235" stopIfTrue="1">
      <formula>AND(COUNTIF($F$229:$F$65454, M4)+COUNTIF($F$202:$F$203, M4)+COUNTIF($F$181:$F$181, M4)+COUNTIF($F$166:$F$167, M4)+COUNTIF($F$1:$F$27, M4)+COUNTIF(#REF!, M4)+COUNTIF($F$141:$F$141, M4)+COUNTIF($F$130:$F$131, M4)+COUNTIF(#REF!, M4)+COUNTIF($F$111:$F$112, M4)+COUNTIF($F$89:$F$89, M4)+COUNTIF($F$91:$F$98, M4)+COUNTIF(#REF!, M4)&gt;1,NOT(ISBLANK(M4)))</formula>
    </cfRule>
    <cfRule type="expression" dxfId="11" priority="1222" stopIfTrue="1">
      <formula>AND(COUNTIF($D$331:$D$65460, M4)+COUNTIF($D$1:$D$27, M4)+COUNTIF(#REF!, M4)+COUNTIF($D$314:$D$315, M4)+COUNTIF($D$294:$D$295, M4)+COUNTIF($D$256:$D$257, M4)+COUNTIF($D$214:$D$217, M4)+COUNTIF($D$191:$D$192, M4)+COUNTIF($D$164:$D$165, M4)+COUNTIF($D$143:$D$143, M4)+COUNTIF($D$128:$D$129, M4)+COUNTIF($D$103:$D$103, M4)+COUNTIF($D$92:$D$93, M4)+COUNTIF($D$73:$D$74, M4)+COUNTIF($D$58:$D$60, M4)&gt;1,NOT(ISBLANK(M4)))</formula>
    </cfRule>
  </conditionalFormatting>
  <printOptions horizontalCentered="1"/>
  <pageMargins left="0.25" right="0.25" top="0.75" bottom="0.75" header="0.3" footer="0.3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D7AA-E2CC-4325-BB1A-65DAE33EC798}">
  <dimension ref="B2:R6"/>
  <sheetViews>
    <sheetView workbookViewId="0">
      <selection activeCell="U5" sqref="U5"/>
    </sheetView>
  </sheetViews>
  <sheetFormatPr defaultRowHeight="14.5" x14ac:dyDescent="0.35"/>
  <cols>
    <col min="2" max="2" width="12.7265625" customWidth="1"/>
    <col min="5" max="5" width="13.26953125" customWidth="1"/>
    <col min="6" max="6" width="14.7265625" customWidth="1"/>
    <col min="7" max="7" width="13.54296875" customWidth="1"/>
    <col min="8" max="15" width="0" hidden="1" customWidth="1"/>
    <col min="16" max="16" width="16.1796875" customWidth="1"/>
    <col min="17" max="17" width="0" hidden="1" customWidth="1"/>
    <col min="18" max="18" width="27" customWidth="1"/>
  </cols>
  <sheetData>
    <row r="2" spans="2:18" ht="15" thickBot="1" x14ac:dyDescent="0.4"/>
    <row r="3" spans="2:18" ht="56" thickBot="1" x14ac:dyDescent="0.4">
      <c r="B3" s="56" t="s">
        <v>52</v>
      </c>
      <c r="C3" s="56" t="s">
        <v>53</v>
      </c>
      <c r="D3" s="56" t="s">
        <v>6</v>
      </c>
      <c r="E3" s="56" t="s">
        <v>54</v>
      </c>
      <c r="F3" s="56" t="s">
        <v>55</v>
      </c>
      <c r="G3" s="57" t="s">
        <v>56</v>
      </c>
      <c r="H3" s="58" t="s">
        <v>57</v>
      </c>
      <c r="I3" s="58" t="s">
        <v>58</v>
      </c>
      <c r="J3" s="59" t="s">
        <v>59</v>
      </c>
      <c r="K3" s="58" t="s">
        <v>60</v>
      </c>
      <c r="L3" s="58" t="s">
        <v>61</v>
      </c>
      <c r="M3" s="58" t="s">
        <v>62</v>
      </c>
      <c r="N3" s="58" t="s">
        <v>63</v>
      </c>
      <c r="O3" s="58" t="s">
        <v>64</v>
      </c>
      <c r="P3" s="58" t="s">
        <v>74</v>
      </c>
      <c r="Q3" s="58" t="s">
        <v>65</v>
      </c>
      <c r="R3" s="58" t="s">
        <v>73</v>
      </c>
    </row>
    <row r="4" spans="2:18" ht="60" customHeight="1" x14ac:dyDescent="0.35">
      <c r="B4" s="60" t="s">
        <v>68</v>
      </c>
      <c r="C4" s="61" t="s">
        <v>66</v>
      </c>
      <c r="D4" s="62" t="s">
        <v>67</v>
      </c>
      <c r="E4" s="63" t="s">
        <v>69</v>
      </c>
      <c r="F4" s="64" t="s">
        <v>70</v>
      </c>
      <c r="G4" s="62">
        <v>45393</v>
      </c>
      <c r="H4" s="65">
        <v>26.861743999999998</v>
      </c>
      <c r="I4" s="66">
        <v>0.46323200000000003</v>
      </c>
      <c r="J4" s="67">
        <v>26.861743999999998</v>
      </c>
      <c r="K4" s="68">
        <v>0</v>
      </c>
      <c r="L4" s="69"/>
      <c r="M4" s="69"/>
      <c r="N4" s="69"/>
      <c r="O4" s="69">
        <v>0</v>
      </c>
      <c r="P4" s="72">
        <v>26.861743999999998</v>
      </c>
      <c r="Q4" s="70">
        <v>0</v>
      </c>
      <c r="R4" s="181" t="s">
        <v>75</v>
      </c>
    </row>
    <row r="5" spans="2:18" ht="15.5" x14ac:dyDescent="0.35">
      <c r="B5" s="60" t="s">
        <v>68</v>
      </c>
      <c r="C5" s="61" t="s">
        <v>66</v>
      </c>
      <c r="D5" s="62" t="s">
        <v>67</v>
      </c>
      <c r="E5" s="63" t="s">
        <v>71</v>
      </c>
      <c r="F5" s="64" t="s">
        <v>72</v>
      </c>
      <c r="G5" s="62">
        <v>45397</v>
      </c>
      <c r="H5" s="71">
        <v>126.634</v>
      </c>
      <c r="I5" s="66">
        <v>2.1840000000000002</v>
      </c>
      <c r="J5" s="67">
        <v>126.634</v>
      </c>
      <c r="K5" s="68"/>
      <c r="L5" s="69"/>
      <c r="M5" s="69"/>
      <c r="N5" s="69"/>
      <c r="O5" s="69"/>
      <c r="P5" s="72">
        <v>126.634</v>
      </c>
      <c r="Q5" s="70">
        <v>0</v>
      </c>
      <c r="R5" s="182"/>
    </row>
    <row r="6" spans="2:18" s="75" customFormat="1" x14ac:dyDescent="0.35">
      <c r="B6" s="183" t="s">
        <v>29</v>
      </c>
      <c r="C6" s="184"/>
      <c r="D6" s="185"/>
      <c r="E6" s="73">
        <v>160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4">
        <f>SUM(P4:P5)</f>
        <v>153.495744</v>
      </c>
      <c r="Q6" s="73"/>
      <c r="R6" s="73"/>
    </row>
  </sheetData>
  <mergeCells count="2">
    <mergeCell ref="R4:R5"/>
    <mergeCell ref="B6:D6"/>
  </mergeCells>
  <conditionalFormatting sqref="E4:E5">
    <cfRule type="containsText" dxfId="10" priority="1" operator="containsText" text="proto">
      <formula>NOT(ISERROR(SEARCH("proto",E4)))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47A7-D1B5-4A88-918A-3701F4B0E907}">
  <sheetPr>
    <pageSetUpPr fitToPage="1"/>
  </sheetPr>
  <dimension ref="A1:AK72"/>
  <sheetViews>
    <sheetView tabSelected="1" zoomScale="88" zoomScaleNormal="80" workbookViewId="0">
      <selection activeCell="J6" sqref="J6"/>
    </sheetView>
  </sheetViews>
  <sheetFormatPr defaultColWidth="9.1796875" defaultRowHeight="14.5" x14ac:dyDescent="0.35"/>
  <cols>
    <col min="1" max="1" width="4.54296875" style="4" customWidth="1"/>
    <col min="2" max="2" width="11.81640625" style="1" customWidth="1"/>
    <col min="3" max="3" width="11.26953125" style="1" customWidth="1"/>
    <col min="4" max="4" width="12.54296875" style="4" customWidth="1"/>
    <col min="5" max="5" width="20.7265625" style="4" customWidth="1"/>
    <col min="6" max="6" width="12.7265625" style="4" customWidth="1"/>
    <col min="7" max="7" width="18.453125" style="4" customWidth="1"/>
    <col min="8" max="8" width="19.453125" style="4" customWidth="1"/>
    <col min="9" max="9" width="12.7265625" style="4" customWidth="1"/>
    <col min="10" max="10" width="11.81640625" style="4" customWidth="1"/>
    <col min="11" max="11" width="14.7265625" style="4" customWidth="1"/>
    <col min="12" max="12" width="16.1796875" style="1" bestFit="1" customWidth="1"/>
    <col min="13" max="13" width="10.7265625" style="1" customWidth="1"/>
    <col min="14" max="14" width="13.1796875" style="1" customWidth="1"/>
    <col min="15" max="15" width="16.7265625" style="1" bestFit="1" customWidth="1"/>
    <col min="16" max="16" width="18.453125" style="1" bestFit="1" customWidth="1"/>
    <col min="17" max="18" width="15.54296875" style="1" customWidth="1"/>
    <col min="19" max="19" width="3.1796875" style="1" customWidth="1"/>
    <col min="20" max="20" width="28.1796875" style="1" customWidth="1"/>
    <col min="21" max="21" width="3.1796875" style="1" customWidth="1"/>
    <col min="22" max="27" width="8.7265625" style="1" customWidth="1"/>
    <col min="28" max="28" width="3.1796875" style="1" customWidth="1"/>
    <col min="29" max="29" width="14.26953125" style="1" customWidth="1"/>
    <col min="30" max="30" width="13.26953125" style="1" customWidth="1"/>
    <col min="31" max="32" width="10.7265625" style="1" customWidth="1"/>
    <col min="33" max="33" width="11.26953125" style="1" customWidth="1"/>
    <col min="34" max="34" width="8.1796875" style="1" customWidth="1"/>
    <col min="35" max="35" width="38.1796875" style="1" customWidth="1"/>
    <col min="36" max="16384" width="9.1796875" style="1"/>
  </cols>
  <sheetData>
    <row r="1" spans="1:37" ht="43.5" x14ac:dyDescent="0.35">
      <c r="A1" s="126" t="s">
        <v>4</v>
      </c>
      <c r="B1" s="126" t="s">
        <v>113</v>
      </c>
      <c r="C1" s="127" t="s">
        <v>6</v>
      </c>
      <c r="D1" s="127" t="s">
        <v>108</v>
      </c>
      <c r="E1" s="126" t="s">
        <v>109</v>
      </c>
      <c r="F1" s="126" t="s">
        <v>104</v>
      </c>
      <c r="G1" s="127" t="s">
        <v>105</v>
      </c>
      <c r="H1" s="126" t="s">
        <v>106</v>
      </c>
      <c r="I1" s="127" t="s">
        <v>107</v>
      </c>
      <c r="J1" s="130" t="s">
        <v>114</v>
      </c>
      <c r="K1" s="131" t="s">
        <v>111</v>
      </c>
      <c r="L1" s="131" t="s">
        <v>112</v>
      </c>
      <c r="M1" s="130" t="s">
        <v>38</v>
      </c>
      <c r="N1" s="130" t="s">
        <v>39</v>
      </c>
      <c r="O1" s="128" t="s">
        <v>110</v>
      </c>
      <c r="P1" s="129" t="s">
        <v>115</v>
      </c>
    </row>
    <row r="2" spans="1:37" s="140" customFormat="1" ht="31" x14ac:dyDescent="0.35">
      <c r="A2" s="135">
        <v>1</v>
      </c>
      <c r="B2" s="8" t="s">
        <v>121</v>
      </c>
      <c r="C2" s="8" t="s">
        <v>122</v>
      </c>
      <c r="D2" s="156">
        <v>17.633662000000001</v>
      </c>
      <c r="E2" s="158"/>
      <c r="F2" s="136"/>
      <c r="G2" s="137" t="s">
        <v>214</v>
      </c>
      <c r="H2" s="154" t="s">
        <v>215</v>
      </c>
      <c r="I2" s="137"/>
      <c r="J2" s="138"/>
      <c r="K2" s="132"/>
      <c r="L2" s="132"/>
      <c r="M2" s="138"/>
      <c r="N2" s="138"/>
      <c r="O2" s="157">
        <f>D2*13433</f>
        <v>236872.981646</v>
      </c>
      <c r="P2" s="139"/>
    </row>
    <row r="3" spans="1:37" s="140" customFormat="1" ht="31" x14ac:dyDescent="0.35">
      <c r="A3" s="135">
        <f>A2+1</f>
        <v>2</v>
      </c>
      <c r="B3" s="8" t="s">
        <v>123</v>
      </c>
      <c r="C3" s="8" t="s">
        <v>122</v>
      </c>
      <c r="D3" s="156">
        <v>17.633662000000001</v>
      </c>
      <c r="E3" s="158"/>
      <c r="F3" s="136"/>
      <c r="G3" s="137" t="s">
        <v>214</v>
      </c>
      <c r="H3" s="154" t="s">
        <v>215</v>
      </c>
      <c r="I3" s="137"/>
      <c r="J3" s="138"/>
      <c r="K3" s="132"/>
      <c r="L3" s="132"/>
      <c r="M3" s="138"/>
      <c r="N3" s="138"/>
      <c r="O3" s="157">
        <f t="shared" ref="O3:O66" si="0">D3*13433</f>
        <v>236872.981646</v>
      </c>
      <c r="P3" s="139"/>
      <c r="Q3" s="141"/>
      <c r="R3" s="141"/>
      <c r="T3" s="142"/>
      <c r="V3" s="141"/>
      <c r="W3" s="141"/>
      <c r="X3" s="141"/>
      <c r="Y3" s="141"/>
      <c r="Z3" s="141"/>
      <c r="AA3" s="141"/>
      <c r="AC3" s="141"/>
      <c r="AD3" s="141"/>
      <c r="AE3" s="141"/>
      <c r="AF3" s="141"/>
      <c r="AG3" s="141"/>
      <c r="AH3" s="141"/>
      <c r="AI3" s="143"/>
    </row>
    <row r="4" spans="1:37" s="140" customFormat="1" ht="31" x14ac:dyDescent="0.35">
      <c r="A4" s="135">
        <f t="shared" ref="A4:A67" si="1">A3+1</f>
        <v>3</v>
      </c>
      <c r="B4" s="8" t="s">
        <v>124</v>
      </c>
      <c r="C4" s="8" t="s">
        <v>122</v>
      </c>
      <c r="D4" s="156">
        <v>17.633662000000001</v>
      </c>
      <c r="E4" s="158"/>
      <c r="F4" s="136"/>
      <c r="G4" s="137" t="s">
        <v>214</v>
      </c>
      <c r="H4" s="154" t="s">
        <v>215</v>
      </c>
      <c r="I4" s="137"/>
      <c r="J4" s="138"/>
      <c r="K4" s="132"/>
      <c r="L4" s="132"/>
      <c r="M4" s="138"/>
      <c r="N4" s="138"/>
      <c r="O4" s="157">
        <f t="shared" si="0"/>
        <v>236872.981646</v>
      </c>
      <c r="P4" s="139"/>
      <c r="Q4" s="144"/>
      <c r="R4" s="143"/>
      <c r="T4" s="142"/>
      <c r="V4" s="141"/>
      <c r="W4" s="141"/>
      <c r="X4" s="141"/>
      <c r="Y4" s="141"/>
      <c r="Z4" s="141"/>
      <c r="AA4" s="143"/>
      <c r="AC4" s="141"/>
      <c r="AD4" s="141"/>
      <c r="AE4" s="141"/>
      <c r="AF4" s="141"/>
      <c r="AG4" s="141"/>
      <c r="AH4" s="143"/>
      <c r="AI4" s="143"/>
    </row>
    <row r="5" spans="1:37" s="140" customFormat="1" ht="31" x14ac:dyDescent="0.35">
      <c r="A5" s="135">
        <f t="shared" si="1"/>
        <v>4</v>
      </c>
      <c r="B5" s="8" t="s">
        <v>125</v>
      </c>
      <c r="C5" s="8" t="s">
        <v>126</v>
      </c>
      <c r="D5" s="156">
        <v>15.857766</v>
      </c>
      <c r="E5" s="158"/>
      <c r="F5" s="136"/>
      <c r="G5" s="137" t="s">
        <v>214</v>
      </c>
      <c r="H5" s="154" t="s">
        <v>215</v>
      </c>
      <c r="I5" s="137"/>
      <c r="J5" s="138"/>
      <c r="K5" s="133"/>
      <c r="L5" s="133"/>
      <c r="M5" s="138"/>
      <c r="N5" s="138"/>
      <c r="O5" s="157">
        <f t="shared" si="0"/>
        <v>213017.37067800001</v>
      </c>
      <c r="P5" s="139"/>
      <c r="Q5" s="147"/>
      <c r="R5" s="147"/>
      <c r="T5" s="148"/>
      <c r="V5" s="149"/>
      <c r="W5" s="149"/>
      <c r="X5" s="149"/>
      <c r="Y5" s="149"/>
      <c r="Z5" s="149"/>
      <c r="AA5" s="149"/>
      <c r="AC5" s="150"/>
      <c r="AD5" s="150"/>
      <c r="AE5" s="150"/>
      <c r="AF5" s="150"/>
      <c r="AG5" s="150"/>
      <c r="AH5" s="151"/>
      <c r="AI5" s="152"/>
    </row>
    <row r="6" spans="1:37" s="140" customFormat="1" ht="31" x14ac:dyDescent="0.35">
      <c r="A6" s="135">
        <f t="shared" si="1"/>
        <v>5</v>
      </c>
      <c r="B6" s="8" t="s">
        <v>127</v>
      </c>
      <c r="C6" s="8" t="s">
        <v>128</v>
      </c>
      <c r="D6" s="156">
        <v>38.137878999999998</v>
      </c>
      <c r="E6" s="158"/>
      <c r="F6" s="136"/>
      <c r="G6" s="137" t="s">
        <v>214</v>
      </c>
      <c r="H6" s="154" t="s">
        <v>215</v>
      </c>
      <c r="I6" s="137"/>
      <c r="J6" s="138"/>
      <c r="K6" s="133"/>
      <c r="L6" s="133"/>
      <c r="M6" s="138"/>
      <c r="N6" s="138"/>
      <c r="O6" s="157">
        <f t="shared" si="0"/>
        <v>512306.12860699999</v>
      </c>
      <c r="P6" s="139"/>
      <c r="Q6" s="147"/>
      <c r="R6" s="147"/>
      <c r="T6" s="148"/>
      <c r="V6" s="149"/>
      <c r="W6" s="149"/>
      <c r="X6" s="149"/>
      <c r="Y6" s="149"/>
      <c r="Z6" s="149"/>
      <c r="AA6" s="149"/>
      <c r="AC6" s="150"/>
      <c r="AD6" s="150"/>
      <c r="AE6" s="150"/>
      <c r="AF6" s="150"/>
      <c r="AG6" s="150"/>
      <c r="AH6" s="151"/>
      <c r="AI6" s="152"/>
    </row>
    <row r="7" spans="1:37" s="140" customFormat="1" ht="31" x14ac:dyDescent="0.35">
      <c r="A7" s="135">
        <f t="shared" si="1"/>
        <v>6</v>
      </c>
      <c r="B7" s="8" t="s">
        <v>120</v>
      </c>
      <c r="C7" s="8" t="s">
        <v>129</v>
      </c>
      <c r="D7" s="156">
        <v>34.166430999999996</v>
      </c>
      <c r="E7" s="158"/>
      <c r="F7" s="136"/>
      <c r="G7" s="137" t="s">
        <v>214</v>
      </c>
      <c r="H7" s="154" t="s">
        <v>215</v>
      </c>
      <c r="I7" s="137"/>
      <c r="J7" s="138"/>
      <c r="K7" s="133"/>
      <c r="L7" s="133"/>
      <c r="M7" s="138"/>
      <c r="N7" s="138"/>
      <c r="O7" s="157">
        <f t="shared" si="0"/>
        <v>458957.66762299993</v>
      </c>
      <c r="P7" s="139"/>
      <c r="Q7" s="147"/>
      <c r="R7" s="147"/>
      <c r="T7" s="148"/>
      <c r="V7" s="149"/>
      <c r="W7" s="149"/>
      <c r="X7" s="149"/>
      <c r="Y7" s="149"/>
      <c r="Z7" s="149"/>
      <c r="AA7" s="149"/>
      <c r="AC7" s="150"/>
      <c r="AD7" s="150"/>
      <c r="AE7" s="150"/>
      <c r="AF7" s="150"/>
      <c r="AG7" s="150"/>
      <c r="AH7" s="151"/>
      <c r="AI7" s="152"/>
    </row>
    <row r="8" spans="1:37" s="140" customFormat="1" ht="31" x14ac:dyDescent="0.35">
      <c r="A8" s="135">
        <f t="shared" si="1"/>
        <v>7</v>
      </c>
      <c r="B8" s="8" t="s">
        <v>116</v>
      </c>
      <c r="C8" s="8" t="s">
        <v>130</v>
      </c>
      <c r="D8" s="156">
        <v>48.341991</v>
      </c>
      <c r="E8" s="158"/>
      <c r="F8" s="136"/>
      <c r="G8" s="137" t="s">
        <v>214</v>
      </c>
      <c r="H8" s="136" t="s">
        <v>216</v>
      </c>
      <c r="I8" s="137"/>
      <c r="J8" s="138"/>
      <c r="K8" s="134"/>
      <c r="L8" s="134"/>
      <c r="M8" s="138"/>
      <c r="N8" s="138"/>
      <c r="O8" s="157">
        <f t="shared" si="0"/>
        <v>649377.96510300005</v>
      </c>
      <c r="P8" s="139"/>
      <c r="Q8" s="147"/>
      <c r="R8" s="147"/>
      <c r="T8" s="148"/>
      <c r="V8" s="149"/>
      <c r="W8" s="149"/>
      <c r="X8" s="149"/>
      <c r="Y8" s="149"/>
      <c r="Z8" s="149"/>
      <c r="AA8" s="149"/>
      <c r="AC8" s="150"/>
      <c r="AD8" s="150"/>
      <c r="AE8" s="150"/>
      <c r="AF8" s="150"/>
      <c r="AG8" s="150"/>
      <c r="AH8" s="151"/>
      <c r="AI8" s="152"/>
    </row>
    <row r="9" spans="1:37" s="140" customFormat="1" ht="31" x14ac:dyDescent="0.35">
      <c r="A9" s="135">
        <f t="shared" si="1"/>
        <v>8</v>
      </c>
      <c r="B9" s="8" t="s">
        <v>118</v>
      </c>
      <c r="C9" s="8" t="s">
        <v>130</v>
      </c>
      <c r="D9" s="156">
        <v>48.341991</v>
      </c>
      <c r="E9" s="158"/>
      <c r="F9" s="136"/>
      <c r="G9" s="137" t="s">
        <v>214</v>
      </c>
      <c r="H9" s="136" t="s">
        <v>216</v>
      </c>
      <c r="I9" s="137"/>
      <c r="J9" s="138"/>
      <c r="K9" s="133"/>
      <c r="L9" s="133"/>
      <c r="M9" s="138"/>
      <c r="N9" s="138"/>
      <c r="O9" s="157">
        <f t="shared" si="0"/>
        <v>649377.96510300005</v>
      </c>
      <c r="P9" s="139"/>
      <c r="Q9" s="147"/>
      <c r="R9" s="147"/>
      <c r="T9" s="148"/>
      <c r="V9" s="149"/>
      <c r="W9" s="149"/>
      <c r="X9" s="149"/>
      <c r="Y9" s="149"/>
      <c r="Z9" s="149"/>
      <c r="AA9" s="149"/>
      <c r="AC9" s="150"/>
      <c r="AD9" s="150"/>
      <c r="AE9" s="150"/>
      <c r="AF9" s="150"/>
      <c r="AG9" s="150"/>
      <c r="AH9" s="151"/>
      <c r="AI9" s="152"/>
    </row>
    <row r="10" spans="1:37" s="140" customFormat="1" ht="31" x14ac:dyDescent="0.35">
      <c r="A10" s="135">
        <f t="shared" si="1"/>
        <v>9</v>
      </c>
      <c r="B10" s="8" t="s">
        <v>131</v>
      </c>
      <c r="C10" s="8" t="s">
        <v>126</v>
      </c>
      <c r="D10" s="156">
        <v>15.857766</v>
      </c>
      <c r="E10" s="158"/>
      <c r="F10" s="136"/>
      <c r="G10" s="137" t="s">
        <v>214</v>
      </c>
      <c r="H10" s="136" t="s">
        <v>216</v>
      </c>
      <c r="I10" s="137"/>
      <c r="J10" s="138"/>
      <c r="K10" s="132"/>
      <c r="L10" s="132"/>
      <c r="M10" s="138"/>
      <c r="N10" s="138"/>
      <c r="O10" s="157">
        <f t="shared" si="0"/>
        <v>213017.37067800001</v>
      </c>
      <c r="P10" s="139"/>
      <c r="Q10" s="147"/>
      <c r="R10" s="147"/>
      <c r="T10" s="148"/>
      <c r="V10" s="149"/>
      <c r="W10" s="149"/>
      <c r="X10" s="149"/>
      <c r="Y10" s="149"/>
      <c r="Z10" s="149"/>
      <c r="AA10" s="149"/>
      <c r="AC10" s="150"/>
      <c r="AD10" s="150"/>
      <c r="AE10" s="150"/>
      <c r="AF10" s="150"/>
      <c r="AG10" s="150"/>
      <c r="AH10" s="151"/>
      <c r="AI10" s="152"/>
      <c r="AK10" s="139"/>
    </row>
    <row r="11" spans="1:37" s="140" customFormat="1" ht="31" x14ac:dyDescent="0.35">
      <c r="A11" s="135">
        <f t="shared" si="1"/>
        <v>10</v>
      </c>
      <c r="B11" s="8" t="s">
        <v>132</v>
      </c>
      <c r="C11" s="8" t="s">
        <v>133</v>
      </c>
      <c r="D11" s="156">
        <v>16.452445999999998</v>
      </c>
      <c r="E11" s="158"/>
      <c r="F11" s="136"/>
      <c r="G11" s="137" t="s">
        <v>214</v>
      </c>
      <c r="H11" s="136" t="s">
        <v>216</v>
      </c>
      <c r="I11" s="137"/>
      <c r="J11" s="138"/>
      <c r="K11" s="132"/>
      <c r="L11" s="132"/>
      <c r="M11" s="138"/>
      <c r="N11" s="138"/>
      <c r="O11" s="157">
        <f t="shared" si="0"/>
        <v>221005.70711799999</v>
      </c>
      <c r="P11" s="139"/>
      <c r="Q11" s="147"/>
      <c r="R11" s="147"/>
      <c r="T11" s="148"/>
      <c r="V11" s="149"/>
      <c r="W11" s="149"/>
      <c r="X11" s="149"/>
      <c r="Y11" s="149"/>
      <c r="Z11" s="149"/>
      <c r="AA11" s="149"/>
      <c r="AC11" s="150"/>
      <c r="AD11" s="150"/>
      <c r="AE11" s="150"/>
      <c r="AF11" s="150"/>
      <c r="AG11" s="150"/>
      <c r="AH11" s="151"/>
      <c r="AI11" s="152"/>
    </row>
    <row r="12" spans="1:37" s="140" customFormat="1" ht="31" x14ac:dyDescent="0.35">
      <c r="A12" s="135">
        <f t="shared" si="1"/>
        <v>11</v>
      </c>
      <c r="B12" s="8" t="s">
        <v>134</v>
      </c>
      <c r="C12" s="8" t="s">
        <v>135</v>
      </c>
      <c r="D12" s="156">
        <v>53.122635000000002</v>
      </c>
      <c r="E12" s="158"/>
      <c r="F12" s="136"/>
      <c r="G12" s="137" t="s">
        <v>214</v>
      </c>
      <c r="H12" s="136" t="s">
        <v>216</v>
      </c>
      <c r="I12" s="137"/>
      <c r="J12" s="138"/>
      <c r="K12" s="133"/>
      <c r="L12" s="133"/>
      <c r="M12" s="138"/>
      <c r="N12" s="138"/>
      <c r="O12" s="157">
        <f t="shared" si="0"/>
        <v>713596.35595500004</v>
      </c>
      <c r="P12" s="139"/>
      <c r="Q12" s="147"/>
      <c r="R12" s="147"/>
      <c r="T12" s="148"/>
      <c r="V12" s="149"/>
      <c r="W12" s="149"/>
      <c r="X12" s="149"/>
      <c r="Y12" s="149"/>
      <c r="Z12" s="149"/>
      <c r="AA12" s="149"/>
      <c r="AC12" s="150"/>
      <c r="AD12" s="150"/>
      <c r="AE12" s="150"/>
      <c r="AF12" s="150"/>
      <c r="AG12" s="150"/>
      <c r="AH12" s="151"/>
      <c r="AI12" s="152"/>
    </row>
    <row r="13" spans="1:37" s="140" customFormat="1" ht="31" x14ac:dyDescent="0.35">
      <c r="A13" s="135">
        <f t="shared" si="1"/>
        <v>12</v>
      </c>
      <c r="B13" s="8" t="s">
        <v>136</v>
      </c>
      <c r="C13" s="8" t="s">
        <v>137</v>
      </c>
      <c r="D13" s="156">
        <v>29.777915000000004</v>
      </c>
      <c r="E13" s="158"/>
      <c r="F13" s="136"/>
      <c r="G13" s="137" t="s">
        <v>214</v>
      </c>
      <c r="H13" s="136" t="s">
        <v>216</v>
      </c>
      <c r="I13" s="137"/>
      <c r="J13" s="138"/>
      <c r="K13" s="133"/>
      <c r="L13" s="133"/>
      <c r="M13" s="138"/>
      <c r="N13" s="138"/>
      <c r="O13" s="157">
        <f t="shared" si="0"/>
        <v>400006.73219500005</v>
      </c>
      <c r="P13" s="139"/>
      <c r="Q13" s="147"/>
      <c r="R13" s="147"/>
      <c r="T13" s="148"/>
      <c r="V13" s="149"/>
      <c r="W13" s="149"/>
      <c r="X13" s="149"/>
      <c r="Y13" s="149"/>
      <c r="Z13" s="149"/>
      <c r="AA13" s="149"/>
      <c r="AC13" s="150"/>
      <c r="AD13" s="150"/>
      <c r="AE13" s="150"/>
      <c r="AF13" s="150"/>
      <c r="AG13" s="150"/>
      <c r="AH13" s="151"/>
      <c r="AI13" s="152"/>
    </row>
    <row r="14" spans="1:37" s="140" customFormat="1" ht="15.5" x14ac:dyDescent="0.35">
      <c r="A14" s="135">
        <f t="shared" si="1"/>
        <v>13</v>
      </c>
      <c r="B14" s="8" t="s">
        <v>138</v>
      </c>
      <c r="C14" s="8" t="s">
        <v>139</v>
      </c>
      <c r="D14" s="156">
        <v>31.864677</v>
      </c>
      <c r="E14" s="158"/>
      <c r="F14" s="136"/>
      <c r="G14" s="137" t="s">
        <v>217</v>
      </c>
      <c r="H14" s="159" t="s">
        <v>219</v>
      </c>
      <c r="I14" s="137"/>
      <c r="J14" s="138"/>
      <c r="K14" s="133"/>
      <c r="L14" s="133"/>
      <c r="M14" s="138"/>
      <c r="N14" s="138"/>
      <c r="O14" s="157">
        <f t="shared" si="0"/>
        <v>428038.20614100003</v>
      </c>
      <c r="P14" s="139"/>
      <c r="Q14" s="147"/>
      <c r="R14" s="147"/>
      <c r="T14" s="148"/>
      <c r="V14" s="149"/>
      <c r="W14" s="149"/>
      <c r="X14" s="149"/>
      <c r="Y14" s="149"/>
      <c r="Z14" s="149"/>
      <c r="AA14" s="149"/>
      <c r="AC14" s="150"/>
      <c r="AD14" s="150"/>
      <c r="AE14" s="150"/>
      <c r="AF14" s="150"/>
      <c r="AG14" s="150"/>
      <c r="AH14" s="151"/>
      <c r="AI14" s="152"/>
    </row>
    <row r="15" spans="1:37" s="140" customFormat="1" ht="15.5" x14ac:dyDescent="0.35">
      <c r="A15" s="135">
        <f t="shared" si="1"/>
        <v>14</v>
      </c>
      <c r="B15" s="8" t="s">
        <v>140</v>
      </c>
      <c r="C15" s="8" t="s">
        <v>128</v>
      </c>
      <c r="D15" s="156">
        <v>38.137878999999998</v>
      </c>
      <c r="E15" s="158"/>
      <c r="F15" s="136"/>
      <c r="G15" s="137" t="s">
        <v>217</v>
      </c>
      <c r="H15" s="159" t="s">
        <v>219</v>
      </c>
      <c r="I15" s="137"/>
      <c r="J15" s="138"/>
      <c r="K15" s="155"/>
      <c r="L15" s="155"/>
      <c r="M15" s="138"/>
      <c r="N15" s="138"/>
      <c r="O15" s="157">
        <f t="shared" si="0"/>
        <v>512306.12860699999</v>
      </c>
      <c r="P15" s="139"/>
      <c r="Q15" s="147"/>
      <c r="R15" s="147"/>
      <c r="T15" s="148"/>
      <c r="V15" s="149"/>
      <c r="W15" s="149"/>
      <c r="X15" s="149"/>
      <c r="Y15" s="149"/>
      <c r="Z15" s="149"/>
      <c r="AA15" s="149"/>
      <c r="AC15" s="150"/>
      <c r="AD15" s="150"/>
      <c r="AE15" s="150"/>
      <c r="AF15" s="150"/>
      <c r="AG15" s="150"/>
      <c r="AH15" s="151"/>
      <c r="AI15" s="152"/>
    </row>
    <row r="16" spans="1:37" s="140" customFormat="1" ht="15.5" x14ac:dyDescent="0.35">
      <c r="A16" s="135">
        <f t="shared" si="1"/>
        <v>15</v>
      </c>
      <c r="B16" s="8" t="s">
        <v>141</v>
      </c>
      <c r="C16" s="8" t="s">
        <v>142</v>
      </c>
      <c r="D16" s="156">
        <v>18.118815999999999</v>
      </c>
      <c r="E16" s="158"/>
      <c r="F16" s="136"/>
      <c r="G16" s="137" t="s">
        <v>218</v>
      </c>
      <c r="H16" s="159" t="s">
        <v>221</v>
      </c>
      <c r="I16" s="137"/>
      <c r="J16" s="138"/>
      <c r="K16" s="133"/>
      <c r="L16" s="133"/>
      <c r="M16" s="138"/>
      <c r="N16" s="138"/>
      <c r="O16" s="157">
        <f t="shared" si="0"/>
        <v>243390.05532799999</v>
      </c>
      <c r="P16" s="139"/>
      <c r="Q16" s="147"/>
      <c r="R16" s="147"/>
      <c r="T16" s="148"/>
      <c r="V16" s="149"/>
      <c r="W16" s="149"/>
      <c r="X16" s="149"/>
      <c r="Y16" s="149"/>
      <c r="Z16" s="149"/>
      <c r="AA16" s="149"/>
      <c r="AC16" s="150"/>
      <c r="AD16" s="150"/>
      <c r="AE16" s="150"/>
      <c r="AF16" s="150"/>
      <c r="AG16" s="150"/>
      <c r="AH16" s="151"/>
      <c r="AI16" s="152"/>
    </row>
    <row r="17" spans="1:35" s="140" customFormat="1" ht="15.5" x14ac:dyDescent="0.35">
      <c r="A17" s="135">
        <f t="shared" si="1"/>
        <v>16</v>
      </c>
      <c r="B17" s="8" t="s">
        <v>143</v>
      </c>
      <c r="C17" s="8" t="s">
        <v>144</v>
      </c>
      <c r="D17" s="156">
        <v>16.966723999999999</v>
      </c>
      <c r="E17" s="158"/>
      <c r="F17" s="136"/>
      <c r="G17" s="137" t="s">
        <v>218</v>
      </c>
      <c r="H17" s="8" t="s">
        <v>220</v>
      </c>
      <c r="I17" s="137"/>
      <c r="J17" s="138"/>
      <c r="K17" s="133"/>
      <c r="L17" s="133"/>
      <c r="M17" s="138"/>
      <c r="N17" s="138"/>
      <c r="O17" s="157">
        <f t="shared" si="0"/>
        <v>227914.00349199999</v>
      </c>
      <c r="P17" s="139"/>
      <c r="Q17" s="147"/>
      <c r="R17" s="147"/>
      <c r="T17" s="148"/>
      <c r="V17" s="149"/>
      <c r="W17" s="149"/>
      <c r="X17" s="149"/>
      <c r="Y17" s="149"/>
      <c r="Z17" s="149"/>
      <c r="AA17" s="149"/>
      <c r="AC17" s="150"/>
      <c r="AD17" s="150"/>
      <c r="AE17" s="150"/>
      <c r="AF17" s="150"/>
      <c r="AG17" s="150"/>
      <c r="AH17" s="151"/>
      <c r="AI17" s="152"/>
    </row>
    <row r="18" spans="1:35" s="140" customFormat="1" ht="15.5" x14ac:dyDescent="0.35">
      <c r="A18" s="135">
        <f t="shared" si="1"/>
        <v>17</v>
      </c>
      <c r="B18" s="8" t="s">
        <v>145</v>
      </c>
      <c r="C18" s="8" t="s">
        <v>133</v>
      </c>
      <c r="D18" s="156">
        <v>16.452445999999998</v>
      </c>
      <c r="E18" s="158"/>
      <c r="F18" s="136"/>
      <c r="G18" s="137" t="s">
        <v>218</v>
      </c>
      <c r="H18" s="8" t="s">
        <v>220</v>
      </c>
      <c r="I18" s="137"/>
      <c r="J18" s="138"/>
      <c r="K18" s="133"/>
      <c r="L18" s="133"/>
      <c r="M18" s="138"/>
      <c r="N18" s="138"/>
      <c r="O18" s="157">
        <f t="shared" si="0"/>
        <v>221005.70711799999</v>
      </c>
      <c r="P18" s="139"/>
      <c r="Q18" s="147"/>
      <c r="R18" s="147"/>
      <c r="T18" s="148"/>
      <c r="V18" s="149"/>
      <c r="W18" s="149"/>
      <c r="X18" s="149"/>
      <c r="Y18" s="149"/>
      <c r="Z18" s="149"/>
      <c r="AA18" s="149"/>
      <c r="AC18" s="150"/>
      <c r="AD18" s="150"/>
      <c r="AE18" s="150"/>
      <c r="AF18" s="150"/>
      <c r="AG18" s="150"/>
      <c r="AH18" s="151"/>
      <c r="AI18" s="152"/>
    </row>
    <row r="19" spans="1:35" s="140" customFormat="1" ht="31" x14ac:dyDescent="0.35">
      <c r="A19" s="135">
        <f t="shared" si="1"/>
        <v>18</v>
      </c>
      <c r="B19" s="8" t="s">
        <v>146</v>
      </c>
      <c r="C19" s="8" t="s">
        <v>147</v>
      </c>
      <c r="D19" s="156">
        <v>27.092148999999996</v>
      </c>
      <c r="E19" s="158"/>
      <c r="F19" s="136"/>
      <c r="G19" s="137" t="s">
        <v>214</v>
      </c>
      <c r="H19" s="154" t="s">
        <v>215</v>
      </c>
      <c r="I19" s="137"/>
      <c r="J19" s="138"/>
      <c r="K19" s="133"/>
      <c r="L19" s="133"/>
      <c r="M19" s="138"/>
      <c r="N19" s="138"/>
      <c r="O19" s="157">
        <f t="shared" si="0"/>
        <v>363928.83751699992</v>
      </c>
      <c r="P19" s="139"/>
      <c r="Q19" s="147"/>
      <c r="R19" s="147"/>
      <c r="T19" s="148"/>
      <c r="V19" s="149"/>
      <c r="W19" s="149"/>
      <c r="X19" s="149"/>
      <c r="Y19" s="149"/>
      <c r="Z19" s="149"/>
      <c r="AA19" s="149"/>
      <c r="AC19" s="150"/>
      <c r="AD19" s="150"/>
      <c r="AE19" s="150"/>
      <c r="AF19" s="150"/>
      <c r="AG19" s="150"/>
      <c r="AH19" s="151"/>
      <c r="AI19" s="152"/>
    </row>
    <row r="20" spans="1:35" s="140" customFormat="1" ht="31" x14ac:dyDescent="0.35">
      <c r="A20" s="135">
        <f t="shared" si="1"/>
        <v>19</v>
      </c>
      <c r="B20" s="8" t="s">
        <v>148</v>
      </c>
      <c r="C20" s="8" t="s">
        <v>126</v>
      </c>
      <c r="D20" s="156">
        <v>15.857766</v>
      </c>
      <c r="E20" s="158"/>
      <c r="F20" s="136"/>
      <c r="G20" s="137" t="s">
        <v>214</v>
      </c>
      <c r="H20" s="154" t="s">
        <v>215</v>
      </c>
      <c r="I20" s="137"/>
      <c r="J20" s="138"/>
      <c r="K20" s="133"/>
      <c r="L20" s="133"/>
      <c r="M20" s="138"/>
      <c r="N20" s="138"/>
      <c r="O20" s="157">
        <f t="shared" si="0"/>
        <v>213017.37067800001</v>
      </c>
      <c r="P20" s="139"/>
      <c r="Q20" s="147"/>
      <c r="R20" s="147"/>
      <c r="V20" s="149"/>
      <c r="W20" s="149"/>
      <c r="X20" s="149"/>
      <c r="Y20" s="149"/>
      <c r="Z20" s="149"/>
      <c r="AA20" s="149"/>
      <c r="AC20" s="150"/>
      <c r="AD20" s="150"/>
      <c r="AE20" s="150"/>
      <c r="AF20" s="150"/>
      <c r="AG20" s="150"/>
      <c r="AH20" s="151"/>
      <c r="AI20" s="152"/>
    </row>
    <row r="21" spans="1:35" s="140" customFormat="1" ht="31" x14ac:dyDescent="0.35">
      <c r="A21" s="135">
        <f t="shared" si="1"/>
        <v>20</v>
      </c>
      <c r="B21" s="8" t="s">
        <v>149</v>
      </c>
      <c r="C21" s="8" t="s">
        <v>150</v>
      </c>
      <c r="D21" s="156">
        <v>22.488373999999997</v>
      </c>
      <c r="E21" s="158"/>
      <c r="F21" s="136"/>
      <c r="G21" s="137" t="s">
        <v>214</v>
      </c>
      <c r="H21" s="154" t="s">
        <v>215</v>
      </c>
      <c r="I21" s="137"/>
      <c r="J21" s="138"/>
      <c r="K21" s="133"/>
      <c r="L21" s="133"/>
      <c r="M21" s="138"/>
      <c r="N21" s="138"/>
      <c r="O21" s="157">
        <f t="shared" si="0"/>
        <v>302086.32794199995</v>
      </c>
      <c r="P21" s="139"/>
      <c r="Q21" s="147"/>
      <c r="R21" s="147"/>
      <c r="T21" s="148"/>
      <c r="V21" s="149"/>
      <c r="W21" s="149"/>
      <c r="X21" s="149"/>
      <c r="Y21" s="149"/>
      <c r="Z21" s="149"/>
      <c r="AA21" s="149"/>
      <c r="AC21" s="150"/>
      <c r="AD21" s="150"/>
      <c r="AE21" s="150"/>
      <c r="AF21" s="150"/>
      <c r="AG21" s="150"/>
      <c r="AH21" s="151"/>
      <c r="AI21" s="152"/>
    </row>
    <row r="22" spans="1:35" s="140" customFormat="1" ht="31" x14ac:dyDescent="0.35">
      <c r="A22" s="135">
        <f t="shared" si="1"/>
        <v>21</v>
      </c>
      <c r="B22" s="8" t="s">
        <v>151</v>
      </c>
      <c r="C22" s="8" t="s">
        <v>142</v>
      </c>
      <c r="D22" s="156">
        <v>18.118815999999999</v>
      </c>
      <c r="E22" s="158"/>
      <c r="F22" s="136"/>
      <c r="G22" s="137" t="s">
        <v>214</v>
      </c>
      <c r="H22" s="154" t="s">
        <v>215</v>
      </c>
      <c r="I22" s="137"/>
      <c r="J22" s="138"/>
      <c r="K22" s="133"/>
      <c r="L22" s="133"/>
      <c r="M22" s="138"/>
      <c r="N22" s="138"/>
      <c r="O22" s="157">
        <f t="shared" si="0"/>
        <v>243390.05532799999</v>
      </c>
      <c r="P22" s="139"/>
      <c r="Q22" s="147"/>
      <c r="R22" s="147"/>
      <c r="T22" s="148"/>
      <c r="V22" s="149"/>
      <c r="W22" s="149"/>
      <c r="X22" s="149"/>
      <c r="Y22" s="149"/>
      <c r="Z22" s="149"/>
      <c r="AA22" s="149"/>
      <c r="AC22" s="150"/>
      <c r="AD22" s="150"/>
      <c r="AE22" s="150"/>
      <c r="AF22" s="150"/>
      <c r="AG22" s="150"/>
      <c r="AH22" s="151"/>
      <c r="AI22" s="152"/>
    </row>
    <row r="23" spans="1:35" s="140" customFormat="1" ht="31" x14ac:dyDescent="0.35">
      <c r="A23" s="135">
        <f t="shared" si="1"/>
        <v>22</v>
      </c>
      <c r="B23" s="8" t="s">
        <v>152</v>
      </c>
      <c r="C23" s="8" t="s">
        <v>122</v>
      </c>
      <c r="D23" s="156">
        <v>17.633662000000001</v>
      </c>
      <c r="E23" s="158"/>
      <c r="F23" s="136"/>
      <c r="G23" s="137" t="s">
        <v>214</v>
      </c>
      <c r="H23" s="136" t="s">
        <v>216</v>
      </c>
      <c r="I23" s="137"/>
      <c r="J23" s="138"/>
      <c r="K23" s="133"/>
      <c r="L23" s="133"/>
      <c r="M23" s="138"/>
      <c r="N23" s="138"/>
      <c r="O23" s="157">
        <f t="shared" si="0"/>
        <v>236872.981646</v>
      </c>
      <c r="P23" s="139"/>
      <c r="Q23" s="147"/>
      <c r="R23" s="147"/>
      <c r="T23" s="148"/>
      <c r="V23" s="149"/>
      <c r="W23" s="149"/>
      <c r="X23" s="149"/>
      <c r="Y23" s="149"/>
      <c r="Z23" s="149"/>
      <c r="AA23" s="149"/>
      <c r="AC23" s="150"/>
      <c r="AD23" s="150"/>
      <c r="AE23" s="150"/>
      <c r="AF23" s="150"/>
      <c r="AG23" s="150"/>
      <c r="AH23" s="151"/>
      <c r="AI23" s="152"/>
    </row>
    <row r="24" spans="1:35" s="140" customFormat="1" ht="31" x14ac:dyDescent="0.35">
      <c r="A24" s="135">
        <f t="shared" si="1"/>
        <v>23</v>
      </c>
      <c r="B24" s="8" t="s">
        <v>153</v>
      </c>
      <c r="C24" s="8" t="s">
        <v>154</v>
      </c>
      <c r="D24" s="156">
        <v>24.700088999999998</v>
      </c>
      <c r="E24" s="158"/>
      <c r="F24" s="136"/>
      <c r="G24" s="137" t="s">
        <v>214</v>
      </c>
      <c r="H24" s="136" t="s">
        <v>216</v>
      </c>
      <c r="I24" s="137"/>
      <c r="J24" s="138"/>
      <c r="K24" s="133"/>
      <c r="L24" s="133"/>
      <c r="M24" s="138"/>
      <c r="N24" s="138"/>
      <c r="O24" s="157">
        <f t="shared" si="0"/>
        <v>331796.295537</v>
      </c>
      <c r="P24" s="139"/>
      <c r="Q24" s="147"/>
      <c r="R24" s="147"/>
      <c r="T24" s="148"/>
      <c r="V24" s="149"/>
      <c r="W24" s="149"/>
      <c r="X24" s="149"/>
      <c r="Y24" s="149"/>
      <c r="Z24" s="149"/>
      <c r="AA24" s="149"/>
      <c r="AC24" s="150"/>
      <c r="AD24" s="150"/>
      <c r="AE24" s="150"/>
      <c r="AF24" s="150"/>
      <c r="AG24" s="150"/>
      <c r="AH24" s="151"/>
      <c r="AI24" s="152"/>
    </row>
    <row r="25" spans="1:35" s="140" customFormat="1" ht="31" x14ac:dyDescent="0.35">
      <c r="A25" s="135">
        <f t="shared" si="1"/>
        <v>24</v>
      </c>
      <c r="B25" s="8" t="s">
        <v>119</v>
      </c>
      <c r="C25" s="8" t="s">
        <v>155</v>
      </c>
      <c r="D25" s="156">
        <v>27.249818999999999</v>
      </c>
      <c r="E25" s="158"/>
      <c r="F25" s="136"/>
      <c r="G25" s="137" t="s">
        <v>214</v>
      </c>
      <c r="H25" s="136" t="s">
        <v>216</v>
      </c>
      <c r="I25" s="137"/>
      <c r="J25" s="138"/>
      <c r="K25" s="133"/>
      <c r="L25" s="133"/>
      <c r="M25" s="138"/>
      <c r="N25" s="138"/>
      <c r="O25" s="157">
        <f t="shared" si="0"/>
        <v>366046.81862699997</v>
      </c>
      <c r="P25" s="139"/>
      <c r="Q25" s="147"/>
      <c r="R25" s="147"/>
      <c r="T25" s="148"/>
      <c r="V25" s="149"/>
      <c r="W25" s="149"/>
      <c r="X25" s="149"/>
      <c r="Y25" s="149"/>
      <c r="Z25" s="149"/>
      <c r="AA25" s="149"/>
      <c r="AC25" s="150"/>
      <c r="AD25" s="150"/>
      <c r="AE25" s="150"/>
      <c r="AF25" s="150"/>
      <c r="AG25" s="150"/>
      <c r="AH25" s="151"/>
      <c r="AI25" s="152"/>
    </row>
    <row r="26" spans="1:35" s="140" customFormat="1" ht="31" x14ac:dyDescent="0.35">
      <c r="A26" s="135">
        <f t="shared" si="1"/>
        <v>25</v>
      </c>
      <c r="B26" s="8" t="s">
        <v>156</v>
      </c>
      <c r="C26" s="8" t="s">
        <v>150</v>
      </c>
      <c r="D26" s="156">
        <v>22.488373999999997</v>
      </c>
      <c r="E26" s="158"/>
      <c r="F26" s="136"/>
      <c r="G26" s="137" t="s">
        <v>214</v>
      </c>
      <c r="H26" s="136" t="s">
        <v>216</v>
      </c>
      <c r="I26" s="137"/>
      <c r="J26" s="138"/>
      <c r="K26" s="133"/>
      <c r="L26" s="133"/>
      <c r="M26" s="138"/>
      <c r="N26" s="138"/>
      <c r="O26" s="157">
        <f t="shared" si="0"/>
        <v>302086.32794199995</v>
      </c>
      <c r="P26" s="139"/>
      <c r="Q26" s="147"/>
      <c r="R26" s="147"/>
      <c r="T26" s="148"/>
      <c r="V26" s="149"/>
      <c r="W26" s="149"/>
      <c r="X26" s="149"/>
      <c r="Y26" s="149"/>
      <c r="Z26" s="149"/>
      <c r="AA26" s="149"/>
      <c r="AC26" s="150"/>
      <c r="AD26" s="150"/>
      <c r="AE26" s="150"/>
      <c r="AF26" s="150"/>
      <c r="AG26" s="150"/>
      <c r="AH26" s="151"/>
      <c r="AI26" s="152"/>
    </row>
    <row r="27" spans="1:35" s="140" customFormat="1" ht="31" x14ac:dyDescent="0.35">
      <c r="A27" s="135">
        <f t="shared" si="1"/>
        <v>26</v>
      </c>
      <c r="B27" s="8" t="s">
        <v>157</v>
      </c>
      <c r="C27" s="8" t="s">
        <v>158</v>
      </c>
      <c r="D27" s="156">
        <v>21.096916</v>
      </c>
      <c r="E27" s="158"/>
      <c r="F27" s="136"/>
      <c r="G27" s="137" t="s">
        <v>214</v>
      </c>
      <c r="H27" s="136" t="s">
        <v>216</v>
      </c>
      <c r="I27" s="137"/>
      <c r="J27" s="138"/>
      <c r="K27" s="134"/>
      <c r="L27" s="134"/>
      <c r="M27" s="138"/>
      <c r="N27" s="138"/>
      <c r="O27" s="157">
        <f t="shared" si="0"/>
        <v>283394.87262799998</v>
      </c>
      <c r="P27" s="139"/>
      <c r="Q27" s="147"/>
      <c r="R27" s="147"/>
      <c r="T27" s="148"/>
      <c r="V27" s="149"/>
      <c r="W27" s="149"/>
      <c r="X27" s="149"/>
      <c r="Y27" s="149"/>
      <c r="Z27" s="149"/>
      <c r="AA27" s="149"/>
      <c r="AC27" s="150"/>
      <c r="AD27" s="150"/>
      <c r="AE27" s="150"/>
      <c r="AF27" s="150"/>
      <c r="AG27" s="150"/>
      <c r="AH27" s="151"/>
      <c r="AI27" s="152"/>
    </row>
    <row r="28" spans="1:35" s="140" customFormat="1" ht="31" x14ac:dyDescent="0.35">
      <c r="A28" s="135">
        <f t="shared" si="1"/>
        <v>27</v>
      </c>
      <c r="B28" s="8" t="s">
        <v>159</v>
      </c>
      <c r="C28" s="8" t="s">
        <v>160</v>
      </c>
      <c r="D28" s="156">
        <v>35.845216999999991</v>
      </c>
      <c r="E28" s="158"/>
      <c r="F28" s="136"/>
      <c r="G28" s="137" t="s">
        <v>214</v>
      </c>
      <c r="H28" s="136" t="s">
        <v>216</v>
      </c>
      <c r="I28" s="137"/>
      <c r="J28" s="138"/>
      <c r="K28" s="134"/>
      <c r="L28" s="134"/>
      <c r="M28" s="138"/>
      <c r="N28" s="138"/>
      <c r="O28" s="157">
        <f t="shared" si="0"/>
        <v>481508.79996099987</v>
      </c>
      <c r="P28" s="139"/>
      <c r="Q28" s="147"/>
      <c r="R28" s="147"/>
      <c r="T28" s="148"/>
      <c r="V28" s="149"/>
      <c r="W28" s="149"/>
      <c r="X28" s="149"/>
      <c r="Y28" s="149"/>
      <c r="Z28" s="149"/>
      <c r="AA28" s="149"/>
      <c r="AC28" s="150"/>
      <c r="AD28" s="150"/>
      <c r="AE28" s="150"/>
      <c r="AF28" s="150"/>
      <c r="AG28" s="150"/>
      <c r="AH28" s="151"/>
      <c r="AI28" s="152"/>
    </row>
    <row r="29" spans="1:35" s="140" customFormat="1" ht="31" x14ac:dyDescent="0.35">
      <c r="A29" s="135">
        <f t="shared" si="1"/>
        <v>28</v>
      </c>
      <c r="B29" s="8" t="s">
        <v>161</v>
      </c>
      <c r="C29" s="8" t="s">
        <v>144</v>
      </c>
      <c r="D29" s="156">
        <v>16.966723999999999</v>
      </c>
      <c r="E29" s="158"/>
      <c r="F29" s="136"/>
      <c r="G29" s="137" t="s">
        <v>214</v>
      </c>
      <c r="H29" s="136" t="s">
        <v>216</v>
      </c>
      <c r="I29" s="137"/>
      <c r="J29" s="138"/>
      <c r="K29" s="133"/>
      <c r="L29" s="133"/>
      <c r="M29" s="138"/>
      <c r="N29" s="138"/>
      <c r="O29" s="157">
        <f t="shared" si="0"/>
        <v>227914.00349199999</v>
      </c>
      <c r="P29" s="139"/>
      <c r="Q29" s="147"/>
      <c r="R29" s="147"/>
      <c r="T29" s="148"/>
      <c r="V29" s="149"/>
      <c r="W29" s="149"/>
      <c r="X29" s="149"/>
      <c r="Y29" s="149"/>
      <c r="Z29" s="149"/>
      <c r="AA29" s="149"/>
      <c r="AC29" s="150"/>
      <c r="AD29" s="150"/>
      <c r="AE29" s="150"/>
      <c r="AF29" s="150"/>
      <c r="AG29" s="150"/>
      <c r="AH29" s="151"/>
      <c r="AI29" s="152"/>
    </row>
    <row r="30" spans="1:35" s="140" customFormat="1" ht="31" x14ac:dyDescent="0.35">
      <c r="A30" s="135">
        <f t="shared" si="1"/>
        <v>29</v>
      </c>
      <c r="B30" s="8" t="s">
        <v>162</v>
      </c>
      <c r="C30" s="8" t="s">
        <v>139</v>
      </c>
      <c r="D30" s="156">
        <v>31.864677</v>
      </c>
      <c r="E30" s="158"/>
      <c r="F30" s="136"/>
      <c r="G30" s="137" t="s">
        <v>214</v>
      </c>
      <c r="H30" s="136" t="s">
        <v>216</v>
      </c>
      <c r="I30" s="137"/>
      <c r="J30" s="138"/>
      <c r="K30" s="133"/>
      <c r="L30" s="133"/>
      <c r="M30" s="138"/>
      <c r="N30" s="138"/>
      <c r="O30" s="157">
        <f t="shared" si="0"/>
        <v>428038.20614100003</v>
      </c>
      <c r="P30" s="139"/>
      <c r="Q30" s="147"/>
      <c r="R30" s="147"/>
      <c r="T30" s="148"/>
      <c r="V30" s="149"/>
      <c r="W30" s="149"/>
      <c r="X30" s="149"/>
      <c r="Y30" s="149"/>
      <c r="Z30" s="149"/>
      <c r="AA30" s="149"/>
      <c r="AC30" s="150"/>
      <c r="AD30" s="150"/>
      <c r="AE30" s="150"/>
      <c r="AF30" s="150"/>
      <c r="AG30" s="150"/>
      <c r="AH30" s="151"/>
      <c r="AI30" s="152"/>
    </row>
    <row r="31" spans="1:35" s="140" customFormat="1" ht="31" x14ac:dyDescent="0.35">
      <c r="A31" s="135">
        <f t="shared" si="1"/>
        <v>30</v>
      </c>
      <c r="B31" s="8" t="s">
        <v>163</v>
      </c>
      <c r="C31" s="8" t="s">
        <v>144</v>
      </c>
      <c r="D31" s="156">
        <v>16.966723999999999</v>
      </c>
      <c r="E31" s="158"/>
      <c r="F31" s="136"/>
      <c r="G31" s="137" t="s">
        <v>214</v>
      </c>
      <c r="H31" s="136" t="s">
        <v>216</v>
      </c>
      <c r="I31" s="137"/>
      <c r="J31" s="138"/>
      <c r="K31" s="133"/>
      <c r="L31" s="133"/>
      <c r="M31" s="138"/>
      <c r="N31" s="138"/>
      <c r="O31" s="157">
        <f t="shared" si="0"/>
        <v>227914.00349199999</v>
      </c>
      <c r="P31" s="139"/>
      <c r="Q31" s="147"/>
      <c r="R31" s="147"/>
      <c r="T31" s="148"/>
      <c r="V31" s="149"/>
      <c r="W31" s="149"/>
      <c r="X31" s="149"/>
      <c r="Y31" s="149"/>
      <c r="Z31" s="149"/>
      <c r="AA31" s="149"/>
      <c r="AC31" s="150"/>
      <c r="AD31" s="150"/>
      <c r="AE31" s="150"/>
      <c r="AF31" s="150"/>
      <c r="AG31" s="150"/>
      <c r="AH31" s="151"/>
      <c r="AI31" s="152"/>
    </row>
    <row r="32" spans="1:35" s="140" customFormat="1" ht="31" x14ac:dyDescent="0.35">
      <c r="A32" s="135">
        <f t="shared" si="1"/>
        <v>31</v>
      </c>
      <c r="B32" s="8" t="s">
        <v>164</v>
      </c>
      <c r="C32" s="8" t="s">
        <v>139</v>
      </c>
      <c r="D32" s="156">
        <v>31.864677</v>
      </c>
      <c r="E32" s="158"/>
      <c r="F32" s="136"/>
      <c r="G32" s="137" t="s">
        <v>214</v>
      </c>
      <c r="H32" s="136" t="s">
        <v>216</v>
      </c>
      <c r="I32" s="137"/>
      <c r="J32" s="138"/>
      <c r="K32" s="133"/>
      <c r="L32" s="133"/>
      <c r="M32" s="138"/>
      <c r="N32" s="138"/>
      <c r="O32" s="157">
        <f t="shared" si="0"/>
        <v>428038.20614100003</v>
      </c>
      <c r="P32" s="139"/>
      <c r="Q32" s="147"/>
      <c r="R32" s="147"/>
      <c r="T32" s="148"/>
      <c r="V32" s="149"/>
      <c r="W32" s="149"/>
      <c r="X32" s="149"/>
      <c r="Y32" s="149"/>
      <c r="Z32" s="149"/>
      <c r="AA32" s="149"/>
      <c r="AC32" s="150"/>
      <c r="AD32" s="150"/>
      <c r="AE32" s="150"/>
      <c r="AF32" s="150"/>
      <c r="AG32" s="150"/>
      <c r="AH32" s="151"/>
      <c r="AI32" s="152"/>
    </row>
    <row r="33" spans="1:35" s="140" customFormat="1" ht="31" x14ac:dyDescent="0.35">
      <c r="A33" s="135">
        <f t="shared" si="1"/>
        <v>32</v>
      </c>
      <c r="B33" s="8" t="s">
        <v>165</v>
      </c>
      <c r="C33" s="8" t="s">
        <v>133</v>
      </c>
      <c r="D33" s="156">
        <v>16.452445999999998</v>
      </c>
      <c r="E33" s="158"/>
      <c r="F33" s="136"/>
      <c r="G33" s="137" t="s">
        <v>214</v>
      </c>
      <c r="H33" s="136" t="s">
        <v>216</v>
      </c>
      <c r="I33" s="137"/>
      <c r="J33" s="138"/>
      <c r="K33" s="133"/>
      <c r="L33" s="133"/>
      <c r="M33" s="138"/>
      <c r="N33" s="138"/>
      <c r="O33" s="157">
        <f t="shared" si="0"/>
        <v>221005.70711799999</v>
      </c>
      <c r="P33" s="139"/>
      <c r="Q33" s="147"/>
      <c r="R33" s="147"/>
      <c r="T33" s="148"/>
      <c r="V33" s="149"/>
      <c r="W33" s="149"/>
      <c r="X33" s="149"/>
      <c r="Y33" s="149"/>
      <c r="Z33" s="149"/>
      <c r="AA33" s="149"/>
      <c r="AC33" s="150"/>
      <c r="AD33" s="150"/>
      <c r="AE33" s="150"/>
      <c r="AF33" s="150"/>
      <c r="AG33" s="150"/>
      <c r="AH33" s="151"/>
      <c r="AI33" s="152"/>
    </row>
    <row r="34" spans="1:35" s="140" customFormat="1" ht="31" x14ac:dyDescent="0.35">
      <c r="A34" s="135">
        <f t="shared" si="1"/>
        <v>33</v>
      </c>
      <c r="B34" s="8" t="s">
        <v>166</v>
      </c>
      <c r="C34" s="8" t="s">
        <v>144</v>
      </c>
      <c r="D34" s="156">
        <v>16.966723999999999</v>
      </c>
      <c r="E34" s="158"/>
      <c r="F34" s="136"/>
      <c r="G34" s="137" t="s">
        <v>214</v>
      </c>
      <c r="H34" s="136" t="s">
        <v>216</v>
      </c>
      <c r="I34" s="137"/>
      <c r="J34" s="138"/>
      <c r="K34" s="133"/>
      <c r="L34" s="133"/>
      <c r="M34" s="138"/>
      <c r="N34" s="138"/>
      <c r="O34" s="157">
        <f t="shared" si="0"/>
        <v>227914.00349199999</v>
      </c>
      <c r="P34" s="139"/>
      <c r="Q34" s="147"/>
      <c r="R34" s="147"/>
      <c r="T34" s="148"/>
      <c r="V34" s="149"/>
      <c r="W34" s="149"/>
      <c r="X34" s="149"/>
      <c r="Y34" s="149"/>
      <c r="Z34" s="149"/>
      <c r="AA34" s="149"/>
      <c r="AC34" s="150"/>
      <c r="AD34" s="150"/>
      <c r="AE34" s="150"/>
      <c r="AF34" s="150"/>
      <c r="AG34" s="150"/>
      <c r="AH34" s="151"/>
      <c r="AI34" s="152"/>
    </row>
    <row r="35" spans="1:35" s="140" customFormat="1" ht="31" x14ac:dyDescent="0.35">
      <c r="A35" s="135">
        <f t="shared" si="1"/>
        <v>34</v>
      </c>
      <c r="B35" s="8" t="s">
        <v>167</v>
      </c>
      <c r="C35" s="8" t="s">
        <v>160</v>
      </c>
      <c r="D35" s="156">
        <v>35.845216999999991</v>
      </c>
      <c r="E35" s="158"/>
      <c r="F35" s="136"/>
      <c r="G35" s="137" t="s">
        <v>214</v>
      </c>
      <c r="H35" s="136" t="s">
        <v>216</v>
      </c>
      <c r="I35" s="137"/>
      <c r="J35" s="138"/>
      <c r="K35" s="133"/>
      <c r="L35" s="133"/>
      <c r="M35" s="138"/>
      <c r="N35" s="138"/>
      <c r="O35" s="157">
        <f t="shared" si="0"/>
        <v>481508.79996099987</v>
      </c>
      <c r="P35" s="139"/>
      <c r="Q35" s="147"/>
      <c r="R35" s="147"/>
      <c r="T35" s="148"/>
      <c r="V35" s="149"/>
      <c r="W35" s="149"/>
      <c r="X35" s="149"/>
      <c r="Y35" s="149"/>
      <c r="Z35" s="149"/>
      <c r="AA35" s="149"/>
      <c r="AC35" s="150"/>
      <c r="AD35" s="150"/>
      <c r="AE35" s="150"/>
      <c r="AF35" s="150"/>
      <c r="AG35" s="150"/>
      <c r="AH35" s="151"/>
      <c r="AI35" s="152"/>
    </row>
    <row r="36" spans="1:35" s="140" customFormat="1" ht="31" x14ac:dyDescent="0.35">
      <c r="A36" s="135">
        <f t="shared" si="1"/>
        <v>35</v>
      </c>
      <c r="B36" s="8" t="s">
        <v>168</v>
      </c>
      <c r="C36" s="8" t="s">
        <v>135</v>
      </c>
      <c r="D36" s="156">
        <v>53.122635000000002</v>
      </c>
      <c r="E36" s="158"/>
      <c r="F36" s="136"/>
      <c r="G36" s="137" t="s">
        <v>214</v>
      </c>
      <c r="H36" s="136" t="s">
        <v>216</v>
      </c>
      <c r="I36" s="137"/>
      <c r="J36" s="138"/>
      <c r="K36" s="133"/>
      <c r="L36" s="133"/>
      <c r="M36" s="138"/>
      <c r="N36" s="138"/>
      <c r="O36" s="157">
        <f t="shared" si="0"/>
        <v>713596.35595500004</v>
      </c>
      <c r="P36" s="139"/>
      <c r="Q36" s="147"/>
      <c r="R36" s="147"/>
      <c r="T36" s="148"/>
      <c r="V36" s="149"/>
      <c r="W36" s="149"/>
      <c r="X36" s="149"/>
      <c r="Y36" s="149"/>
      <c r="Z36" s="149"/>
      <c r="AA36" s="149"/>
      <c r="AC36" s="150"/>
      <c r="AD36" s="150"/>
      <c r="AE36" s="150"/>
      <c r="AF36" s="150"/>
      <c r="AG36" s="150"/>
      <c r="AH36" s="151"/>
      <c r="AI36" s="152"/>
    </row>
    <row r="37" spans="1:35" s="140" customFormat="1" ht="15.5" x14ac:dyDescent="0.35">
      <c r="A37" s="135">
        <f t="shared" si="1"/>
        <v>36</v>
      </c>
      <c r="B37" s="8" t="s">
        <v>169</v>
      </c>
      <c r="C37" s="8" t="s">
        <v>170</v>
      </c>
      <c r="D37" s="156">
        <v>46.468620999999999</v>
      </c>
      <c r="E37" s="158"/>
      <c r="F37" s="136"/>
      <c r="G37" s="137" t="s">
        <v>217</v>
      </c>
      <c r="H37" s="159" t="s">
        <v>219</v>
      </c>
      <c r="I37" s="137"/>
      <c r="J37" s="138"/>
      <c r="K37" s="133"/>
      <c r="L37" s="133"/>
      <c r="M37" s="138"/>
      <c r="N37" s="138"/>
      <c r="O37" s="157">
        <f t="shared" si="0"/>
        <v>624212.98589300003</v>
      </c>
      <c r="P37" s="139"/>
      <c r="Q37" s="147"/>
      <c r="R37" s="147"/>
      <c r="T37" s="148"/>
      <c r="V37" s="149"/>
      <c r="W37" s="149"/>
      <c r="X37" s="149"/>
      <c r="Y37" s="149"/>
      <c r="Z37" s="149"/>
      <c r="AA37" s="149"/>
      <c r="AC37" s="150"/>
      <c r="AD37" s="150"/>
      <c r="AE37" s="150"/>
      <c r="AF37" s="150"/>
      <c r="AG37" s="150"/>
      <c r="AH37" s="151"/>
      <c r="AI37" s="152"/>
    </row>
    <row r="38" spans="1:35" s="140" customFormat="1" ht="15.5" x14ac:dyDescent="0.35">
      <c r="A38" s="135">
        <f t="shared" si="1"/>
        <v>37</v>
      </c>
      <c r="B38" s="8" t="s">
        <v>171</v>
      </c>
      <c r="C38" s="8" t="s">
        <v>150</v>
      </c>
      <c r="D38" s="156">
        <v>22.488373999999997</v>
      </c>
      <c r="E38" s="158"/>
      <c r="F38" s="136"/>
      <c r="G38" s="137" t="s">
        <v>217</v>
      </c>
      <c r="H38" s="159" t="s">
        <v>219</v>
      </c>
      <c r="I38" s="137"/>
      <c r="J38" s="138"/>
      <c r="K38" s="133"/>
      <c r="L38" s="133"/>
      <c r="M38" s="138"/>
      <c r="N38" s="138"/>
      <c r="O38" s="157">
        <f t="shared" si="0"/>
        <v>302086.32794199995</v>
      </c>
      <c r="P38" s="139"/>
      <c r="Q38" s="147"/>
      <c r="R38" s="147"/>
      <c r="T38" s="148"/>
      <c r="V38" s="149"/>
      <c r="W38" s="149"/>
      <c r="X38" s="149"/>
      <c r="Y38" s="149"/>
      <c r="Z38" s="149"/>
      <c r="AA38" s="149"/>
      <c r="AC38" s="150"/>
      <c r="AD38" s="150"/>
      <c r="AE38" s="150"/>
      <c r="AF38" s="150"/>
      <c r="AG38" s="150"/>
      <c r="AH38" s="151"/>
      <c r="AI38" s="152"/>
    </row>
    <row r="39" spans="1:35" s="140" customFormat="1" ht="15.5" x14ac:dyDescent="0.35">
      <c r="A39" s="135">
        <f t="shared" si="1"/>
        <v>38</v>
      </c>
      <c r="B39" s="8" t="s">
        <v>172</v>
      </c>
      <c r="C39" s="8" t="s">
        <v>150</v>
      </c>
      <c r="D39" s="156">
        <v>22.488373999999997</v>
      </c>
      <c r="E39" s="158"/>
      <c r="F39" s="136"/>
      <c r="G39" s="137" t="s">
        <v>217</v>
      </c>
      <c r="H39" s="159" t="s">
        <v>219</v>
      </c>
      <c r="I39" s="137"/>
      <c r="J39" s="138"/>
      <c r="K39" s="133"/>
      <c r="L39" s="133"/>
      <c r="M39" s="138"/>
      <c r="N39" s="138"/>
      <c r="O39" s="157">
        <f t="shared" si="0"/>
        <v>302086.32794199995</v>
      </c>
      <c r="P39" s="139"/>
      <c r="Q39" s="147"/>
      <c r="R39" s="147"/>
      <c r="T39" s="148"/>
      <c r="V39" s="149"/>
      <c r="W39" s="149"/>
      <c r="X39" s="149"/>
      <c r="Y39" s="149"/>
      <c r="Z39" s="149"/>
      <c r="AA39" s="149"/>
      <c r="AC39" s="150"/>
      <c r="AD39" s="150"/>
      <c r="AE39" s="150"/>
      <c r="AF39" s="150"/>
      <c r="AG39" s="150"/>
      <c r="AH39" s="151"/>
      <c r="AI39" s="152"/>
    </row>
    <row r="40" spans="1:35" s="140" customFormat="1" ht="15.5" x14ac:dyDescent="0.35">
      <c r="A40" s="135">
        <f t="shared" si="1"/>
        <v>39</v>
      </c>
      <c r="B40" s="8" t="s">
        <v>173</v>
      </c>
      <c r="C40" s="8" t="s">
        <v>150</v>
      </c>
      <c r="D40" s="156">
        <v>22.488373999999997</v>
      </c>
      <c r="E40" s="158"/>
      <c r="F40" s="136"/>
      <c r="G40" s="137" t="s">
        <v>217</v>
      </c>
      <c r="H40" s="159" t="s">
        <v>219</v>
      </c>
      <c r="I40" s="137"/>
      <c r="J40" s="138"/>
      <c r="K40" s="133"/>
      <c r="L40" s="133"/>
      <c r="M40" s="138"/>
      <c r="N40" s="138"/>
      <c r="O40" s="157">
        <f t="shared" si="0"/>
        <v>302086.32794199995</v>
      </c>
      <c r="P40" s="139"/>
      <c r="Q40" s="147"/>
      <c r="R40" s="147"/>
      <c r="T40" s="148"/>
      <c r="V40" s="149"/>
      <c r="W40" s="149"/>
      <c r="X40" s="149"/>
      <c r="Y40" s="149"/>
      <c r="Z40" s="149"/>
      <c r="AA40" s="149"/>
      <c r="AC40" s="150"/>
      <c r="AD40" s="150"/>
      <c r="AE40" s="150"/>
      <c r="AF40" s="150"/>
      <c r="AG40" s="150"/>
      <c r="AH40" s="151"/>
      <c r="AI40" s="152"/>
    </row>
    <row r="41" spans="1:35" s="140" customFormat="1" ht="15.5" x14ac:dyDescent="0.35">
      <c r="A41" s="135">
        <f t="shared" si="1"/>
        <v>40</v>
      </c>
      <c r="B41" s="8" t="s">
        <v>174</v>
      </c>
      <c r="C41" s="8" t="s">
        <v>175</v>
      </c>
      <c r="D41" s="156">
        <v>39.622447000000008</v>
      </c>
      <c r="E41" s="158"/>
      <c r="F41" s="136"/>
      <c r="G41" s="137" t="s">
        <v>217</v>
      </c>
      <c r="H41" s="159" t="s">
        <v>219</v>
      </c>
      <c r="I41" s="137"/>
      <c r="J41" s="138"/>
      <c r="K41" s="133"/>
      <c r="L41" s="133"/>
      <c r="M41" s="138"/>
      <c r="N41" s="138"/>
      <c r="O41" s="157">
        <f t="shared" si="0"/>
        <v>532248.33055100008</v>
      </c>
      <c r="P41" s="139"/>
      <c r="Q41" s="147"/>
      <c r="R41" s="147"/>
      <c r="T41" s="148"/>
      <c r="V41" s="149"/>
      <c r="W41" s="149"/>
      <c r="X41" s="149"/>
      <c r="Y41" s="149"/>
      <c r="Z41" s="149"/>
      <c r="AA41" s="149"/>
      <c r="AC41" s="150"/>
      <c r="AD41" s="150"/>
      <c r="AE41" s="150"/>
      <c r="AF41" s="150"/>
      <c r="AG41" s="150"/>
      <c r="AH41" s="151"/>
      <c r="AI41" s="152"/>
    </row>
    <row r="42" spans="1:35" s="140" customFormat="1" ht="15.5" x14ac:dyDescent="0.35">
      <c r="A42" s="135">
        <f t="shared" si="1"/>
        <v>41</v>
      </c>
      <c r="B42" s="8" t="s">
        <v>176</v>
      </c>
      <c r="C42" s="8" t="s">
        <v>142</v>
      </c>
      <c r="D42" s="156">
        <v>18.118815999999999</v>
      </c>
      <c r="E42" s="158"/>
      <c r="F42" s="136"/>
      <c r="G42" s="137" t="s">
        <v>217</v>
      </c>
      <c r="H42" s="159" t="s">
        <v>219</v>
      </c>
      <c r="I42" s="137"/>
      <c r="J42" s="138"/>
      <c r="K42" s="133"/>
      <c r="L42" s="133"/>
      <c r="M42" s="138"/>
      <c r="N42" s="138"/>
      <c r="O42" s="157">
        <f t="shared" si="0"/>
        <v>243390.05532799999</v>
      </c>
      <c r="P42" s="139"/>
      <c r="Q42" s="147"/>
      <c r="R42" s="147"/>
      <c r="T42" s="148"/>
      <c r="V42" s="149"/>
      <c r="W42" s="149"/>
      <c r="X42" s="149"/>
      <c r="Y42" s="149"/>
      <c r="Z42" s="149"/>
      <c r="AA42" s="149"/>
      <c r="AC42" s="150"/>
      <c r="AD42" s="150"/>
      <c r="AE42" s="150"/>
      <c r="AF42" s="150"/>
      <c r="AG42" s="150"/>
      <c r="AH42" s="151"/>
      <c r="AI42" s="152"/>
    </row>
    <row r="43" spans="1:35" s="140" customFormat="1" ht="15.5" x14ac:dyDescent="0.35">
      <c r="A43" s="135">
        <f t="shared" si="1"/>
        <v>42</v>
      </c>
      <c r="B43" s="8" t="s">
        <v>177</v>
      </c>
      <c r="C43" s="8" t="s">
        <v>178</v>
      </c>
      <c r="D43" s="156">
        <v>36.585352999999998</v>
      </c>
      <c r="E43" s="158"/>
      <c r="F43" s="136"/>
      <c r="G43" s="137" t="s">
        <v>217</v>
      </c>
      <c r="H43" s="159" t="s">
        <v>219</v>
      </c>
      <c r="I43" s="137"/>
      <c r="J43" s="138"/>
      <c r="K43" s="133"/>
      <c r="L43" s="133"/>
      <c r="M43" s="138"/>
      <c r="N43" s="138"/>
      <c r="O43" s="157">
        <f t="shared" si="0"/>
        <v>491451.04684899998</v>
      </c>
      <c r="P43" s="139"/>
      <c r="Q43" s="147"/>
      <c r="R43" s="147"/>
      <c r="T43" s="148"/>
      <c r="V43" s="149"/>
      <c r="W43" s="149"/>
      <c r="X43" s="149"/>
      <c r="Y43" s="149"/>
      <c r="Z43" s="149"/>
      <c r="AA43" s="149"/>
      <c r="AC43" s="150"/>
      <c r="AD43" s="150"/>
      <c r="AE43" s="150"/>
      <c r="AF43" s="150"/>
      <c r="AG43" s="150"/>
      <c r="AH43" s="151"/>
      <c r="AI43" s="152"/>
    </row>
    <row r="44" spans="1:35" s="140" customFormat="1" ht="15.5" x14ac:dyDescent="0.35">
      <c r="A44" s="135">
        <f t="shared" si="1"/>
        <v>43</v>
      </c>
      <c r="B44" s="8" t="s">
        <v>179</v>
      </c>
      <c r="C44" s="8" t="s">
        <v>180</v>
      </c>
      <c r="D44" s="156">
        <v>27.860022999999998</v>
      </c>
      <c r="E44" s="158"/>
      <c r="F44" s="136"/>
      <c r="G44" s="137" t="s">
        <v>217</v>
      </c>
      <c r="H44" s="159" t="s">
        <v>219</v>
      </c>
      <c r="I44" s="137"/>
      <c r="J44" s="138"/>
      <c r="K44" s="153"/>
      <c r="L44" s="153"/>
      <c r="M44" s="138"/>
      <c r="N44" s="138"/>
      <c r="O44" s="157">
        <f t="shared" si="0"/>
        <v>374243.68895899999</v>
      </c>
      <c r="P44" s="139"/>
      <c r="Q44" s="147"/>
      <c r="R44" s="147"/>
      <c r="T44" s="148"/>
      <c r="V44" s="149"/>
      <c r="W44" s="149"/>
      <c r="X44" s="149"/>
      <c r="Y44" s="149"/>
      <c r="Z44" s="149"/>
      <c r="AA44" s="149"/>
      <c r="AC44" s="150"/>
      <c r="AD44" s="150"/>
      <c r="AE44" s="150"/>
      <c r="AF44" s="150"/>
      <c r="AG44" s="150"/>
      <c r="AH44" s="151"/>
      <c r="AI44" s="152"/>
    </row>
    <row r="45" spans="1:35" s="140" customFormat="1" ht="15.5" x14ac:dyDescent="0.35">
      <c r="A45" s="135">
        <f t="shared" si="1"/>
        <v>44</v>
      </c>
      <c r="B45" s="8" t="s">
        <v>181</v>
      </c>
      <c r="C45" s="8" t="s">
        <v>142</v>
      </c>
      <c r="D45" s="156">
        <v>18.118815999999999</v>
      </c>
      <c r="E45" s="158"/>
      <c r="F45" s="136"/>
      <c r="G45" s="137" t="s">
        <v>217</v>
      </c>
      <c r="H45" s="159" t="s">
        <v>219</v>
      </c>
      <c r="I45" s="137"/>
      <c r="J45" s="138"/>
      <c r="K45" s="133"/>
      <c r="L45" s="133"/>
      <c r="M45" s="138"/>
      <c r="N45" s="138"/>
      <c r="O45" s="157">
        <f t="shared" si="0"/>
        <v>243390.05532799999</v>
      </c>
      <c r="P45" s="139"/>
      <c r="Q45" s="147"/>
      <c r="R45" s="147"/>
      <c r="T45" s="148"/>
      <c r="V45" s="149"/>
      <c r="W45" s="149"/>
      <c r="X45" s="149"/>
      <c r="Y45" s="149"/>
      <c r="Z45" s="149"/>
      <c r="AA45" s="149"/>
      <c r="AC45" s="150"/>
      <c r="AD45" s="150"/>
      <c r="AE45" s="150"/>
      <c r="AF45" s="150"/>
      <c r="AG45" s="150"/>
      <c r="AH45" s="151"/>
      <c r="AI45" s="152"/>
    </row>
    <row r="46" spans="1:35" s="140" customFormat="1" ht="15.5" x14ac:dyDescent="0.35">
      <c r="A46" s="135">
        <f t="shared" si="1"/>
        <v>45</v>
      </c>
      <c r="B46" s="8" t="s">
        <v>182</v>
      </c>
      <c r="C46" s="8" t="s">
        <v>137</v>
      </c>
      <c r="D46" s="156">
        <v>29.777915000000004</v>
      </c>
      <c r="E46" s="158"/>
      <c r="F46" s="136"/>
      <c r="G46" s="137" t="s">
        <v>217</v>
      </c>
      <c r="H46" s="159" t="s">
        <v>219</v>
      </c>
      <c r="I46" s="137"/>
      <c r="J46" s="138"/>
      <c r="K46" s="133"/>
      <c r="L46" s="133"/>
      <c r="M46" s="138"/>
      <c r="N46" s="138"/>
      <c r="O46" s="157">
        <f t="shared" si="0"/>
        <v>400006.73219500005</v>
      </c>
      <c r="P46" s="139"/>
      <c r="Q46" s="147"/>
      <c r="R46" s="147"/>
      <c r="T46" s="148"/>
      <c r="V46" s="149"/>
      <c r="W46" s="149"/>
      <c r="X46" s="149"/>
      <c r="Y46" s="149"/>
      <c r="Z46" s="149"/>
      <c r="AA46" s="149"/>
      <c r="AC46" s="150"/>
      <c r="AD46" s="150"/>
      <c r="AE46" s="150"/>
      <c r="AF46" s="150"/>
      <c r="AG46" s="150"/>
      <c r="AH46" s="151"/>
      <c r="AI46" s="152"/>
    </row>
    <row r="47" spans="1:35" s="140" customFormat="1" ht="15.5" x14ac:dyDescent="0.35">
      <c r="A47" s="135">
        <f t="shared" si="1"/>
        <v>46</v>
      </c>
      <c r="B47" s="8" t="s">
        <v>183</v>
      </c>
      <c r="C47" s="8" t="s">
        <v>184</v>
      </c>
      <c r="D47" s="156">
        <v>34.166430999999996</v>
      </c>
      <c r="E47" s="158"/>
      <c r="F47" s="136"/>
      <c r="G47" s="137" t="s">
        <v>217</v>
      </c>
      <c r="H47" s="159" t="s">
        <v>219</v>
      </c>
      <c r="I47" s="137"/>
      <c r="J47" s="138"/>
      <c r="K47" s="133"/>
      <c r="L47" s="133"/>
      <c r="M47" s="138"/>
      <c r="N47" s="138"/>
      <c r="O47" s="157">
        <f t="shared" si="0"/>
        <v>458957.66762299993</v>
      </c>
      <c r="P47" s="139"/>
      <c r="Q47" s="147"/>
      <c r="R47" s="147"/>
      <c r="T47" s="148"/>
      <c r="V47" s="149"/>
      <c r="W47" s="149"/>
      <c r="X47" s="149"/>
      <c r="Y47" s="149"/>
      <c r="Z47" s="149"/>
      <c r="AA47" s="149"/>
      <c r="AC47" s="150"/>
      <c r="AD47" s="150"/>
      <c r="AE47" s="150"/>
      <c r="AF47" s="150"/>
      <c r="AG47" s="150"/>
      <c r="AH47" s="151"/>
      <c r="AI47" s="152"/>
    </row>
    <row r="48" spans="1:35" s="140" customFormat="1" ht="15.5" x14ac:dyDescent="0.35">
      <c r="A48" s="135">
        <f t="shared" si="1"/>
        <v>47</v>
      </c>
      <c r="B48" s="8" t="s">
        <v>185</v>
      </c>
      <c r="C48" s="8" t="s">
        <v>184</v>
      </c>
      <c r="D48" s="156">
        <v>34.166430999999996</v>
      </c>
      <c r="E48" s="158"/>
      <c r="F48" s="136"/>
      <c r="G48" s="137" t="s">
        <v>217</v>
      </c>
      <c r="H48" s="159" t="s">
        <v>219</v>
      </c>
      <c r="I48" s="137"/>
      <c r="J48" s="138"/>
      <c r="K48" s="132"/>
      <c r="L48" s="132"/>
      <c r="M48" s="138"/>
      <c r="N48" s="138"/>
      <c r="O48" s="157">
        <f t="shared" si="0"/>
        <v>458957.66762299993</v>
      </c>
      <c r="P48" s="139"/>
      <c r="Q48" s="145"/>
      <c r="R48" s="145"/>
      <c r="T48" s="146"/>
      <c r="V48" s="141"/>
      <c r="W48" s="141"/>
      <c r="X48" s="141"/>
      <c r="Y48" s="141"/>
      <c r="Z48" s="141"/>
      <c r="AA48" s="145"/>
      <c r="AC48" s="141"/>
      <c r="AD48" s="141"/>
      <c r="AE48" s="141"/>
      <c r="AF48" s="141"/>
      <c r="AG48" s="141"/>
      <c r="AH48" s="145"/>
      <c r="AI48" s="145"/>
    </row>
    <row r="49" spans="1:35" s="140" customFormat="1" ht="15.5" x14ac:dyDescent="0.35">
      <c r="A49" s="135">
        <f t="shared" si="1"/>
        <v>48</v>
      </c>
      <c r="B49" s="8" t="s">
        <v>186</v>
      </c>
      <c r="C49" s="8" t="s">
        <v>137</v>
      </c>
      <c r="D49" s="156">
        <v>29.777915000000004</v>
      </c>
      <c r="E49" s="158"/>
      <c r="F49" s="136"/>
      <c r="G49" s="137" t="s">
        <v>217</v>
      </c>
      <c r="H49" s="159" t="s">
        <v>219</v>
      </c>
      <c r="I49" s="137"/>
      <c r="J49" s="138"/>
      <c r="K49" s="133"/>
      <c r="L49" s="133"/>
      <c r="M49" s="138"/>
      <c r="N49" s="138"/>
      <c r="O49" s="157">
        <f t="shared" si="0"/>
        <v>400006.73219500005</v>
      </c>
      <c r="P49" s="139"/>
      <c r="Q49" s="147"/>
      <c r="R49" s="147"/>
      <c r="T49" s="148"/>
      <c r="V49" s="149"/>
      <c r="W49" s="149"/>
      <c r="X49" s="149"/>
      <c r="Y49" s="149"/>
      <c r="Z49" s="149"/>
      <c r="AA49" s="149"/>
      <c r="AC49" s="150"/>
      <c r="AD49" s="150"/>
      <c r="AE49" s="150"/>
      <c r="AF49" s="150"/>
      <c r="AG49" s="150"/>
      <c r="AH49" s="151"/>
      <c r="AI49" s="152"/>
    </row>
    <row r="50" spans="1:35" s="140" customFormat="1" ht="15.5" x14ac:dyDescent="0.35">
      <c r="A50" s="135">
        <f t="shared" si="1"/>
        <v>49</v>
      </c>
      <c r="B50" s="8" t="s">
        <v>187</v>
      </c>
      <c r="C50" s="8" t="s">
        <v>158</v>
      </c>
      <c r="D50" s="156">
        <v>21.096916</v>
      </c>
      <c r="E50" s="158"/>
      <c r="F50" s="136"/>
      <c r="G50" s="137" t="s">
        <v>218</v>
      </c>
      <c r="H50" s="159" t="s">
        <v>221</v>
      </c>
      <c r="I50" s="137"/>
      <c r="J50" s="138"/>
      <c r="K50" s="133"/>
      <c r="L50" s="133"/>
      <c r="M50" s="138"/>
      <c r="N50" s="138"/>
      <c r="O50" s="157">
        <f t="shared" si="0"/>
        <v>283394.87262799998</v>
      </c>
      <c r="P50" s="139"/>
      <c r="Q50" s="147"/>
      <c r="R50" s="147"/>
      <c r="T50" s="148"/>
      <c r="V50" s="149"/>
      <c r="W50" s="149"/>
      <c r="X50" s="149"/>
      <c r="Y50" s="149"/>
      <c r="Z50" s="149"/>
      <c r="AA50" s="149"/>
      <c r="AC50" s="150"/>
      <c r="AD50" s="150"/>
      <c r="AE50" s="150"/>
      <c r="AF50" s="150"/>
      <c r="AG50" s="150"/>
      <c r="AH50" s="151"/>
      <c r="AI50" s="152"/>
    </row>
    <row r="51" spans="1:35" ht="15.5" x14ac:dyDescent="0.35">
      <c r="A51" s="135">
        <f t="shared" si="1"/>
        <v>50</v>
      </c>
      <c r="B51" s="8" t="s">
        <v>188</v>
      </c>
      <c r="C51" s="8" t="s">
        <v>189</v>
      </c>
      <c r="D51" s="156">
        <v>39.59669499999999</v>
      </c>
      <c r="E51" s="8"/>
      <c r="F51" s="8"/>
      <c r="G51" s="137" t="s">
        <v>218</v>
      </c>
      <c r="H51" s="159" t="s">
        <v>221</v>
      </c>
      <c r="I51" s="8"/>
      <c r="J51" s="8"/>
      <c r="K51" s="8"/>
      <c r="L51" s="8"/>
      <c r="M51" s="8"/>
      <c r="N51" s="8"/>
      <c r="O51" s="157">
        <f t="shared" si="0"/>
        <v>531902.40393499983</v>
      </c>
      <c r="P51" s="7"/>
    </row>
    <row r="52" spans="1:35" ht="15.5" x14ac:dyDescent="0.35">
      <c r="A52" s="135">
        <f t="shared" si="1"/>
        <v>51</v>
      </c>
      <c r="B52" s="8" t="s">
        <v>190</v>
      </c>
      <c r="C52" s="8" t="s">
        <v>142</v>
      </c>
      <c r="D52" s="156">
        <v>18.118815999999999</v>
      </c>
      <c r="E52" s="8"/>
      <c r="F52" s="8"/>
      <c r="G52" s="137" t="s">
        <v>218</v>
      </c>
      <c r="H52" s="159" t="s">
        <v>221</v>
      </c>
      <c r="I52" s="8"/>
      <c r="J52" s="8"/>
      <c r="K52" s="8"/>
      <c r="L52" s="8"/>
      <c r="M52" s="8"/>
      <c r="N52" s="8"/>
      <c r="O52" s="157">
        <f t="shared" si="0"/>
        <v>243390.05532799999</v>
      </c>
      <c r="P52" s="7"/>
    </row>
    <row r="53" spans="1:35" ht="15.5" x14ac:dyDescent="0.35">
      <c r="A53" s="135">
        <f t="shared" si="1"/>
        <v>52</v>
      </c>
      <c r="B53" s="8" t="s">
        <v>191</v>
      </c>
      <c r="C53" s="8" t="s">
        <v>142</v>
      </c>
      <c r="D53" s="156">
        <v>18.118815999999999</v>
      </c>
      <c r="E53" s="8"/>
      <c r="F53" s="8"/>
      <c r="G53" s="137" t="s">
        <v>218</v>
      </c>
      <c r="H53" s="159" t="s">
        <v>221</v>
      </c>
      <c r="I53" s="8"/>
      <c r="J53" s="8"/>
      <c r="K53" s="8"/>
      <c r="L53" s="8"/>
      <c r="M53" s="8"/>
      <c r="N53" s="8"/>
      <c r="O53" s="157">
        <f t="shared" si="0"/>
        <v>243390.05532799999</v>
      </c>
      <c r="P53" s="7"/>
    </row>
    <row r="54" spans="1:35" ht="15.5" x14ac:dyDescent="0.35">
      <c r="A54" s="135">
        <f t="shared" si="1"/>
        <v>53</v>
      </c>
      <c r="B54" s="8" t="s">
        <v>192</v>
      </c>
      <c r="C54" s="8" t="s">
        <v>129</v>
      </c>
      <c r="D54" s="156">
        <v>34.166430999999996</v>
      </c>
      <c r="E54" s="8"/>
      <c r="F54" s="8"/>
      <c r="G54" s="137" t="s">
        <v>218</v>
      </c>
      <c r="H54" s="159" t="s">
        <v>221</v>
      </c>
      <c r="I54" s="8"/>
      <c r="J54" s="8"/>
      <c r="K54" s="8"/>
      <c r="L54" s="8"/>
      <c r="M54" s="8"/>
      <c r="N54" s="8"/>
      <c r="O54" s="157">
        <f t="shared" si="0"/>
        <v>458957.66762299993</v>
      </c>
      <c r="P54" s="7"/>
    </row>
    <row r="55" spans="1:35" ht="15.5" x14ac:dyDescent="0.35">
      <c r="A55" s="135">
        <f t="shared" si="1"/>
        <v>54</v>
      </c>
      <c r="B55" s="8" t="s">
        <v>193</v>
      </c>
      <c r="C55" s="8" t="s">
        <v>194</v>
      </c>
      <c r="D55" s="156">
        <v>27.092148999999996</v>
      </c>
      <c r="E55" s="8"/>
      <c r="F55" s="8"/>
      <c r="G55" s="137" t="s">
        <v>218</v>
      </c>
      <c r="H55" s="159" t="s">
        <v>221</v>
      </c>
      <c r="I55" s="8"/>
      <c r="J55" s="8"/>
      <c r="K55" s="8"/>
      <c r="L55" s="8"/>
      <c r="M55" s="8"/>
      <c r="N55" s="8"/>
      <c r="O55" s="157">
        <f t="shared" si="0"/>
        <v>363928.83751699992</v>
      </c>
      <c r="P55" s="7"/>
    </row>
    <row r="56" spans="1:35" ht="15.5" x14ac:dyDescent="0.35">
      <c r="A56" s="135">
        <f t="shared" si="1"/>
        <v>55</v>
      </c>
      <c r="B56" s="8" t="s">
        <v>195</v>
      </c>
      <c r="C56" s="8" t="s">
        <v>158</v>
      </c>
      <c r="D56" s="156">
        <v>21.096916</v>
      </c>
      <c r="E56" s="8"/>
      <c r="F56" s="8"/>
      <c r="G56" s="137" t="s">
        <v>218</v>
      </c>
      <c r="H56" s="159" t="s">
        <v>221</v>
      </c>
      <c r="I56" s="8"/>
      <c r="J56" s="8"/>
      <c r="K56" s="8"/>
      <c r="L56" s="8"/>
      <c r="M56" s="8"/>
      <c r="N56" s="8"/>
      <c r="O56" s="157">
        <f t="shared" si="0"/>
        <v>283394.87262799998</v>
      </c>
      <c r="P56" s="7"/>
    </row>
    <row r="57" spans="1:35" ht="15.5" x14ac:dyDescent="0.35">
      <c r="A57" s="135">
        <f t="shared" si="1"/>
        <v>56</v>
      </c>
      <c r="B57" s="8" t="s">
        <v>196</v>
      </c>
      <c r="C57" s="8" t="s">
        <v>142</v>
      </c>
      <c r="D57" s="156">
        <v>18.118815999999999</v>
      </c>
      <c r="E57" s="8"/>
      <c r="F57" s="8"/>
      <c r="G57" s="137" t="s">
        <v>218</v>
      </c>
      <c r="H57" s="159" t="s">
        <v>221</v>
      </c>
      <c r="I57" s="8"/>
      <c r="J57" s="8"/>
      <c r="K57" s="8"/>
      <c r="L57" s="8"/>
      <c r="M57" s="8"/>
      <c r="N57" s="8"/>
      <c r="O57" s="157">
        <f t="shared" si="0"/>
        <v>243390.05532799999</v>
      </c>
      <c r="P57" s="7"/>
    </row>
    <row r="58" spans="1:35" ht="15.5" x14ac:dyDescent="0.35">
      <c r="A58" s="135">
        <f t="shared" si="1"/>
        <v>57</v>
      </c>
      <c r="B58" s="8" t="s">
        <v>197</v>
      </c>
      <c r="C58" s="8" t="s">
        <v>158</v>
      </c>
      <c r="D58" s="156">
        <v>21.096916</v>
      </c>
      <c r="E58" s="8"/>
      <c r="F58" s="8"/>
      <c r="G58" s="137" t="s">
        <v>218</v>
      </c>
      <c r="H58" s="8" t="s">
        <v>220</v>
      </c>
      <c r="I58" s="8"/>
      <c r="J58" s="8"/>
      <c r="K58" s="8"/>
      <c r="L58" s="8"/>
      <c r="M58" s="8"/>
      <c r="N58" s="8"/>
      <c r="O58" s="157">
        <f t="shared" si="0"/>
        <v>283394.87262799998</v>
      </c>
      <c r="P58" s="7"/>
    </row>
    <row r="59" spans="1:35" ht="15.5" x14ac:dyDescent="0.35">
      <c r="A59" s="135">
        <f t="shared" si="1"/>
        <v>58</v>
      </c>
      <c r="B59" s="8" t="s">
        <v>198</v>
      </c>
      <c r="C59" s="8" t="s">
        <v>158</v>
      </c>
      <c r="D59" s="156">
        <v>21.096916</v>
      </c>
      <c r="E59" s="8"/>
      <c r="F59" s="8"/>
      <c r="G59" s="137" t="s">
        <v>218</v>
      </c>
      <c r="H59" s="8" t="s">
        <v>220</v>
      </c>
      <c r="I59" s="8"/>
      <c r="J59" s="8"/>
      <c r="K59" s="8"/>
      <c r="L59" s="8"/>
      <c r="M59" s="8"/>
      <c r="N59" s="8"/>
      <c r="O59" s="157">
        <f t="shared" si="0"/>
        <v>283394.87262799998</v>
      </c>
      <c r="P59" s="7"/>
    </row>
    <row r="60" spans="1:35" ht="15.5" x14ac:dyDescent="0.35">
      <c r="A60" s="135">
        <f t="shared" si="1"/>
        <v>59</v>
      </c>
      <c r="B60" s="8" t="s">
        <v>199</v>
      </c>
      <c r="C60" s="8" t="s">
        <v>158</v>
      </c>
      <c r="D60" s="156">
        <v>21.096916</v>
      </c>
      <c r="E60" s="8"/>
      <c r="F60" s="8"/>
      <c r="G60" s="137" t="s">
        <v>218</v>
      </c>
      <c r="H60" s="8" t="s">
        <v>220</v>
      </c>
      <c r="I60" s="8"/>
      <c r="J60" s="8"/>
      <c r="K60" s="8"/>
      <c r="L60" s="8"/>
      <c r="M60" s="8"/>
      <c r="N60" s="8"/>
      <c r="O60" s="157">
        <f t="shared" si="0"/>
        <v>283394.87262799998</v>
      </c>
      <c r="P60" s="7"/>
    </row>
    <row r="61" spans="1:35" ht="15.5" x14ac:dyDescent="0.35">
      <c r="A61" s="135">
        <f t="shared" si="1"/>
        <v>60</v>
      </c>
      <c r="B61" s="8" t="s">
        <v>200</v>
      </c>
      <c r="C61" s="8" t="s">
        <v>201</v>
      </c>
      <c r="D61" s="156">
        <v>28.368053</v>
      </c>
      <c r="E61" s="8"/>
      <c r="F61" s="8"/>
      <c r="G61" s="137" t="s">
        <v>218</v>
      </c>
      <c r="H61" s="8" t="s">
        <v>220</v>
      </c>
      <c r="I61" s="8"/>
      <c r="J61" s="8"/>
      <c r="K61" s="8"/>
      <c r="L61" s="8"/>
      <c r="M61" s="8"/>
      <c r="N61" s="8"/>
      <c r="O61" s="157">
        <f t="shared" si="0"/>
        <v>381068.055949</v>
      </c>
      <c r="P61" s="7"/>
    </row>
    <row r="62" spans="1:35" ht="15.5" x14ac:dyDescent="0.35">
      <c r="A62" s="135">
        <f t="shared" si="1"/>
        <v>61</v>
      </c>
      <c r="B62" s="8" t="s">
        <v>202</v>
      </c>
      <c r="C62" s="8" t="s">
        <v>158</v>
      </c>
      <c r="D62" s="156">
        <v>21.096916</v>
      </c>
      <c r="E62" s="8"/>
      <c r="F62" s="8"/>
      <c r="G62" s="137" t="s">
        <v>218</v>
      </c>
      <c r="H62" s="8" t="s">
        <v>220</v>
      </c>
      <c r="I62" s="8"/>
      <c r="J62" s="8"/>
      <c r="K62" s="8"/>
      <c r="L62" s="8"/>
      <c r="M62" s="8"/>
      <c r="N62" s="8"/>
      <c r="O62" s="157">
        <f t="shared" si="0"/>
        <v>283394.87262799998</v>
      </c>
      <c r="P62" s="7"/>
    </row>
    <row r="63" spans="1:35" ht="15.5" x14ac:dyDescent="0.35">
      <c r="A63" s="135">
        <f t="shared" si="1"/>
        <v>62</v>
      </c>
      <c r="B63" s="8" t="s">
        <v>203</v>
      </c>
      <c r="C63" s="8" t="s">
        <v>184</v>
      </c>
      <c r="D63" s="156">
        <v>34.166430999999996</v>
      </c>
      <c r="E63" s="8"/>
      <c r="F63" s="8"/>
      <c r="G63" s="137" t="s">
        <v>218</v>
      </c>
      <c r="H63" s="8" t="s">
        <v>220</v>
      </c>
      <c r="I63" s="8"/>
      <c r="J63" s="8"/>
      <c r="K63" s="8"/>
      <c r="L63" s="8"/>
      <c r="M63" s="8"/>
      <c r="N63" s="8"/>
      <c r="O63" s="157">
        <f t="shared" si="0"/>
        <v>458957.66762299993</v>
      </c>
      <c r="P63" s="7"/>
    </row>
    <row r="64" spans="1:35" ht="15.5" x14ac:dyDescent="0.35">
      <c r="A64" s="135">
        <f t="shared" si="1"/>
        <v>63</v>
      </c>
      <c r="B64" s="8" t="s">
        <v>204</v>
      </c>
      <c r="C64" s="8" t="s">
        <v>142</v>
      </c>
      <c r="D64" s="156">
        <v>18.118815999999999</v>
      </c>
      <c r="E64" s="8"/>
      <c r="F64" s="8"/>
      <c r="G64" s="137" t="s">
        <v>218</v>
      </c>
      <c r="H64" s="8" t="s">
        <v>220</v>
      </c>
      <c r="I64" s="8"/>
      <c r="J64" s="8"/>
      <c r="K64" s="8"/>
      <c r="L64" s="8"/>
      <c r="M64" s="8"/>
      <c r="N64" s="8"/>
      <c r="O64" s="157">
        <f t="shared" si="0"/>
        <v>243390.05532799999</v>
      </c>
      <c r="P64" s="7"/>
    </row>
    <row r="65" spans="1:16" ht="15.5" x14ac:dyDescent="0.35">
      <c r="A65" s="135">
        <f t="shared" si="1"/>
        <v>64</v>
      </c>
      <c r="B65" s="8" t="s">
        <v>205</v>
      </c>
      <c r="C65" s="8" t="s">
        <v>206</v>
      </c>
      <c r="D65" s="156">
        <v>36.585352999999998</v>
      </c>
      <c r="E65" s="8"/>
      <c r="F65" s="8"/>
      <c r="G65" s="137" t="s">
        <v>218</v>
      </c>
      <c r="H65" s="8" t="s">
        <v>220</v>
      </c>
      <c r="I65" s="8"/>
      <c r="J65" s="8"/>
      <c r="K65" s="8"/>
      <c r="L65" s="8"/>
      <c r="M65" s="8"/>
      <c r="N65" s="8"/>
      <c r="O65" s="157">
        <f t="shared" si="0"/>
        <v>491451.04684899998</v>
      </c>
      <c r="P65" s="7"/>
    </row>
    <row r="66" spans="1:16" ht="31" x14ac:dyDescent="0.35">
      <c r="A66" s="135">
        <f t="shared" si="1"/>
        <v>65</v>
      </c>
      <c r="B66" s="8" t="s">
        <v>86</v>
      </c>
      <c r="C66" s="8" t="s">
        <v>207</v>
      </c>
      <c r="D66" s="156">
        <v>53.238641000000001</v>
      </c>
      <c r="E66" s="8"/>
      <c r="F66" s="8"/>
      <c r="G66" s="137" t="s">
        <v>214</v>
      </c>
      <c r="H66" s="154" t="s">
        <v>215</v>
      </c>
      <c r="I66" s="8"/>
      <c r="J66" s="8"/>
      <c r="K66" s="8"/>
      <c r="L66" s="8"/>
      <c r="M66" s="8"/>
      <c r="N66" s="8"/>
      <c r="O66" s="157">
        <f t="shared" si="0"/>
        <v>715154.66455300001</v>
      </c>
      <c r="P66" s="7"/>
    </row>
    <row r="67" spans="1:16" ht="31" x14ac:dyDescent="0.35">
      <c r="A67" s="135">
        <f t="shared" si="1"/>
        <v>66</v>
      </c>
      <c r="B67" s="8" t="s">
        <v>208</v>
      </c>
      <c r="C67" s="8" t="s">
        <v>144</v>
      </c>
      <c r="D67" s="156">
        <v>16.966723999999999</v>
      </c>
      <c r="E67" s="8"/>
      <c r="F67" s="8"/>
      <c r="G67" s="137" t="s">
        <v>214</v>
      </c>
      <c r="H67" s="154" t="s">
        <v>215</v>
      </c>
      <c r="I67" s="8"/>
      <c r="J67" s="8"/>
      <c r="K67" s="8"/>
      <c r="L67" s="8"/>
      <c r="M67" s="8"/>
      <c r="N67" s="8"/>
      <c r="O67" s="157">
        <f t="shared" ref="O67:O72" si="2">D67*13433</f>
        <v>227914.00349199999</v>
      </c>
      <c r="P67" s="7"/>
    </row>
    <row r="68" spans="1:16" ht="31" x14ac:dyDescent="0.35">
      <c r="A68" s="135">
        <f t="shared" ref="A68:A72" si="3">A67+1</f>
        <v>67</v>
      </c>
      <c r="B68" s="8" t="s">
        <v>209</v>
      </c>
      <c r="C68" s="8" t="s">
        <v>160</v>
      </c>
      <c r="D68" s="156">
        <v>35.845216999999991</v>
      </c>
      <c r="E68" s="8"/>
      <c r="F68" s="8"/>
      <c r="G68" s="137" t="s">
        <v>214</v>
      </c>
      <c r="H68" s="154" t="s">
        <v>215</v>
      </c>
      <c r="I68" s="8"/>
      <c r="J68" s="8"/>
      <c r="K68" s="8"/>
      <c r="L68" s="8"/>
      <c r="M68" s="8"/>
      <c r="N68" s="8"/>
      <c r="O68" s="157">
        <f t="shared" si="2"/>
        <v>481508.79996099987</v>
      </c>
      <c r="P68" s="7"/>
    </row>
    <row r="69" spans="1:16" ht="31" x14ac:dyDescent="0.35">
      <c r="A69" s="135">
        <f t="shared" si="3"/>
        <v>68</v>
      </c>
      <c r="B69" s="8" t="s">
        <v>210</v>
      </c>
      <c r="C69" s="8" t="s">
        <v>122</v>
      </c>
      <c r="D69" s="156">
        <v>17.633662000000001</v>
      </c>
      <c r="E69" s="8"/>
      <c r="F69" s="8"/>
      <c r="G69" s="137" t="s">
        <v>214</v>
      </c>
      <c r="H69" s="154" t="s">
        <v>215</v>
      </c>
      <c r="I69" s="8"/>
      <c r="J69" s="8"/>
      <c r="K69" s="8"/>
      <c r="L69" s="8"/>
      <c r="M69" s="8"/>
      <c r="N69" s="8"/>
      <c r="O69" s="157">
        <f t="shared" si="2"/>
        <v>236872.981646</v>
      </c>
      <c r="P69" s="7"/>
    </row>
    <row r="70" spans="1:16" ht="31" x14ac:dyDescent="0.35">
      <c r="A70" s="135">
        <f t="shared" si="3"/>
        <v>69</v>
      </c>
      <c r="B70" s="8" t="s">
        <v>117</v>
      </c>
      <c r="C70" s="8" t="s">
        <v>160</v>
      </c>
      <c r="D70" s="156">
        <v>35.845216999999991</v>
      </c>
      <c r="E70" s="8"/>
      <c r="F70" s="8"/>
      <c r="G70" s="137" t="s">
        <v>214</v>
      </c>
      <c r="H70" s="154" t="s">
        <v>215</v>
      </c>
      <c r="I70" s="8"/>
      <c r="J70" s="8"/>
      <c r="K70" s="8"/>
      <c r="L70" s="8"/>
      <c r="M70" s="8"/>
      <c r="N70" s="8"/>
      <c r="O70" s="157">
        <f t="shared" si="2"/>
        <v>481508.79996099987</v>
      </c>
      <c r="P70" s="7"/>
    </row>
    <row r="71" spans="1:16" ht="31" x14ac:dyDescent="0.35">
      <c r="A71" s="135">
        <f t="shared" si="3"/>
        <v>70</v>
      </c>
      <c r="B71" s="8" t="s">
        <v>211</v>
      </c>
      <c r="C71" s="8" t="s">
        <v>212</v>
      </c>
      <c r="D71" s="156">
        <v>41.832876999999996</v>
      </c>
      <c r="E71" s="8"/>
      <c r="F71" s="8"/>
      <c r="G71" s="137" t="s">
        <v>214</v>
      </c>
      <c r="H71" s="154" t="s">
        <v>215</v>
      </c>
      <c r="I71" s="8"/>
      <c r="J71" s="8"/>
      <c r="K71" s="8"/>
      <c r="L71" s="8"/>
      <c r="M71" s="8"/>
      <c r="N71" s="8"/>
      <c r="O71" s="157">
        <f t="shared" si="2"/>
        <v>561941.0367409999</v>
      </c>
      <c r="P71" s="7"/>
    </row>
    <row r="72" spans="1:16" ht="31" x14ac:dyDescent="0.35">
      <c r="A72" s="135">
        <f t="shared" si="3"/>
        <v>71</v>
      </c>
      <c r="B72" s="8" t="s">
        <v>213</v>
      </c>
      <c r="C72" s="8" t="s">
        <v>170</v>
      </c>
      <c r="D72" s="156">
        <v>46.468620999999999</v>
      </c>
      <c r="E72" s="8"/>
      <c r="F72" s="8"/>
      <c r="G72" s="137" t="s">
        <v>214</v>
      </c>
      <c r="H72" s="154" t="s">
        <v>215</v>
      </c>
      <c r="I72" s="8"/>
      <c r="J72" s="8"/>
      <c r="K72" s="8"/>
      <c r="L72" s="8"/>
      <c r="M72" s="8"/>
      <c r="N72" s="8"/>
      <c r="O72" s="157">
        <f t="shared" si="2"/>
        <v>624212.98589300003</v>
      </c>
      <c r="P72" s="7"/>
    </row>
  </sheetData>
  <phoneticPr fontId="8" type="noConversion"/>
  <conditionalFormatting sqref="B2:B32">
    <cfRule type="duplicateValues" dxfId="9" priority="1"/>
  </conditionalFormatting>
  <conditionalFormatting sqref="J2:J50 M2:N50">
    <cfRule type="containsText" dxfId="8" priority="78" operator="containsText" text="ROW">
      <formula>NOT(ISERROR(SEARCH("ROW",J2)))</formula>
    </cfRule>
  </conditionalFormatting>
  <conditionalFormatting sqref="J2:J50">
    <cfRule type="containsText" dxfId="7" priority="51" operator="containsText" text="WIP">
      <formula>NOT(ISERROR(SEARCH("WIP",J2)))</formula>
    </cfRule>
    <cfRule type="containsText" dxfId="6" priority="56" operator="containsText" text="Complete">
      <formula>NOT(ISERROR(SEARCH("Complete",J2)))</formula>
    </cfRule>
    <cfRule type="containsText" dxfId="5" priority="57" operator="containsText" text="ROW">
      <formula>NOT(ISERROR(SEARCH("ROW",J2)))</formula>
    </cfRule>
  </conditionalFormatting>
  <conditionalFormatting sqref="M2:N50 J2:J50">
    <cfRule type="containsText" dxfId="4" priority="77" operator="containsText" text="Complete">
      <formula>NOT(ISERROR(SEARCH("Complete",J2)))</formula>
    </cfRule>
  </conditionalFormatting>
  <conditionalFormatting sqref="M2:N50">
    <cfRule type="containsText" dxfId="3" priority="75" operator="containsText" text="Complete">
      <formula>NOT(ISERROR(SEARCH("Complete",M2)))</formula>
    </cfRule>
    <cfRule type="containsText" dxfId="2" priority="76" operator="containsText" text="ROW">
      <formula>NOT(ISERROR(SEARCH("ROW",M2)))</formula>
    </cfRule>
    <cfRule type="containsText" dxfId="1" priority="167" operator="containsText" text="WIP">
      <formula>NOT(ISERROR(SEARCH("WIP",M2)))</formula>
    </cfRule>
  </conditionalFormatting>
  <printOptions horizontalCentered="1"/>
  <pageMargins left="0.25" right="0.25" top="0.75" bottom="0.75" header="0.3" footer="0.3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CD75-33F5-49B3-A4C8-4F19BD2235FD}">
  <sheetPr>
    <pageSetUpPr fitToPage="1"/>
  </sheetPr>
  <dimension ref="A1:AB34"/>
  <sheetViews>
    <sheetView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M4" sqref="M4"/>
    </sheetView>
  </sheetViews>
  <sheetFormatPr defaultColWidth="9.1796875" defaultRowHeight="14.5" x14ac:dyDescent="0.35"/>
  <cols>
    <col min="1" max="1" width="3.453125" style="4" customWidth="1"/>
    <col min="2" max="2" width="15.26953125" style="1" customWidth="1"/>
    <col min="3" max="3" width="11.26953125" style="1" customWidth="1"/>
    <col min="4" max="4" width="12.54296875" style="4" customWidth="1"/>
    <col min="5" max="5" width="12.7265625" style="4" customWidth="1"/>
    <col min="6" max="6" width="10.1796875" style="4" customWidth="1"/>
    <col min="7" max="7" width="12.54296875" style="4" customWidth="1"/>
    <col min="8" max="8" width="11.54296875" style="1" customWidth="1"/>
    <col min="9" max="10" width="10.7265625" style="1" customWidth="1"/>
    <col min="11" max="11" width="14.81640625" style="1" customWidth="1"/>
    <col min="12" max="12" width="3.1796875" style="1" customWidth="1"/>
    <col min="13" max="13" width="14.54296875" style="1" customWidth="1"/>
    <col min="14" max="14" width="3.1796875" style="1" customWidth="1"/>
    <col min="15" max="15" width="10.54296875" style="1" customWidth="1"/>
    <col min="16" max="20" width="8.7265625" style="1" customWidth="1"/>
    <col min="21" max="21" width="3.1796875" style="1" customWidth="1"/>
    <col min="22" max="22" width="10.7265625" style="1" customWidth="1"/>
    <col min="23" max="23" width="12.54296875" style="1" customWidth="1"/>
    <col min="24" max="24" width="12.453125" style="1" customWidth="1"/>
    <col min="25" max="26" width="10.7265625" style="1" customWidth="1"/>
    <col min="27" max="27" width="14.453125" style="1" customWidth="1"/>
    <col min="28" max="28" width="17.26953125" style="1" customWidth="1"/>
    <col min="29" max="16384" width="9.1796875" style="1"/>
  </cols>
  <sheetData>
    <row r="1" spans="1:15" ht="15" thickBot="1" x14ac:dyDescent="0.4">
      <c r="A1" s="13" t="s">
        <v>0</v>
      </c>
      <c r="D1" s="38"/>
    </row>
    <row r="2" spans="1:15" x14ac:dyDescent="0.35">
      <c r="A2" s="13" t="s">
        <v>21</v>
      </c>
      <c r="D2" s="1"/>
    </row>
    <row r="3" spans="1:15" x14ac:dyDescent="0.35">
      <c r="A3" s="6"/>
      <c r="D3" s="1"/>
    </row>
    <row r="4" spans="1:15" x14ac:dyDescent="0.35">
      <c r="A4" s="13" t="s">
        <v>22</v>
      </c>
      <c r="D4" s="45" t="s">
        <v>41</v>
      </c>
      <c r="E4" s="28" t="s">
        <v>35</v>
      </c>
      <c r="J4" s="55" t="s">
        <v>82</v>
      </c>
      <c r="K4" s="55">
        <v>905812</v>
      </c>
    </row>
    <row r="5" spans="1:15" x14ac:dyDescent="0.35">
      <c r="A5" s="6"/>
      <c r="D5" s="2" t="s">
        <v>29</v>
      </c>
      <c r="E5" s="40">
        <v>115</v>
      </c>
      <c r="O5" s="118"/>
    </row>
    <row r="6" spans="1:15" ht="16" x14ac:dyDescent="0.35">
      <c r="A6" s="6"/>
      <c r="D6" s="2" t="s">
        <v>89</v>
      </c>
      <c r="E6" s="41">
        <v>32.6</v>
      </c>
    </row>
    <row r="7" spans="1:15" x14ac:dyDescent="0.35">
      <c r="A7" s="6"/>
      <c r="D7" s="2" t="s">
        <v>2</v>
      </c>
      <c r="E7" s="30">
        <f>E5-E6</f>
        <v>82.4</v>
      </c>
    </row>
    <row r="8" spans="1:15" ht="5.15" customHeight="1" thickBot="1" x14ac:dyDescent="0.4">
      <c r="A8" s="6"/>
      <c r="D8" s="1"/>
    </row>
    <row r="9" spans="1:15" ht="15" thickBot="1" x14ac:dyDescent="0.4">
      <c r="A9" s="13" t="s">
        <v>23</v>
      </c>
      <c r="D9" s="39">
        <v>45901</v>
      </c>
      <c r="E9" s="42">
        <f>C34</f>
        <v>23.984999999999999</v>
      </c>
      <c r="F9" s="3" t="s">
        <v>46</v>
      </c>
      <c r="G9" s="47">
        <f>K34</f>
        <v>21725900.82</v>
      </c>
      <c r="H9" s="3" t="s">
        <v>32</v>
      </c>
    </row>
    <row r="10" spans="1:15" ht="5.15" customHeight="1" x14ac:dyDescent="0.35">
      <c r="A10" s="13"/>
      <c r="D10" s="1"/>
      <c r="E10" s="1"/>
      <c r="F10" s="13"/>
    </row>
    <row r="11" spans="1:15" x14ac:dyDescent="0.35">
      <c r="A11" s="13" t="s">
        <v>33</v>
      </c>
      <c r="D11" s="2" t="s">
        <v>24</v>
      </c>
      <c r="E11" s="33">
        <f>O34</f>
        <v>0</v>
      </c>
      <c r="F11" s="46">
        <f>E11/$E$9</f>
        <v>0</v>
      </c>
      <c r="G11" s="116">
        <f>V34</f>
        <v>0</v>
      </c>
      <c r="H11" s="46">
        <f>G11/$G$9</f>
        <v>0</v>
      </c>
    </row>
    <row r="12" spans="1:15" x14ac:dyDescent="0.35">
      <c r="A12" s="5"/>
      <c r="D12" s="2" t="s">
        <v>25</v>
      </c>
      <c r="E12" s="33">
        <f>P34</f>
        <v>0</v>
      </c>
      <c r="F12" s="46">
        <f t="shared" ref="F12:F16" si="0">E12/$E$9</f>
        <v>0</v>
      </c>
      <c r="G12" s="116">
        <f>W34</f>
        <v>0</v>
      </c>
      <c r="H12" s="46">
        <f t="shared" ref="H12:H16" si="1">G12/$G$9</f>
        <v>0</v>
      </c>
    </row>
    <row r="13" spans="1:15" x14ac:dyDescent="0.35">
      <c r="A13" s="5"/>
      <c r="D13" s="2" t="s">
        <v>26</v>
      </c>
      <c r="E13" s="33">
        <f>Q34</f>
        <v>0</v>
      </c>
      <c r="F13" s="46">
        <f t="shared" si="0"/>
        <v>0</v>
      </c>
      <c r="G13" s="116">
        <f>X34</f>
        <v>0</v>
      </c>
      <c r="H13" s="46">
        <f t="shared" si="1"/>
        <v>0</v>
      </c>
    </row>
    <row r="14" spans="1:15" x14ac:dyDescent="0.35">
      <c r="A14" s="5"/>
      <c r="D14" s="2" t="s">
        <v>27</v>
      </c>
      <c r="E14" s="33">
        <f>R34</f>
        <v>0</v>
      </c>
      <c r="F14" s="46">
        <f t="shared" si="0"/>
        <v>0</v>
      </c>
      <c r="G14" s="116">
        <f>Y34</f>
        <v>0</v>
      </c>
      <c r="H14" s="46">
        <f t="shared" si="1"/>
        <v>0</v>
      </c>
    </row>
    <row r="15" spans="1:15" ht="16" x14ac:dyDescent="0.35">
      <c r="A15" s="5"/>
      <c r="D15" s="28" t="s">
        <v>28</v>
      </c>
      <c r="E15" s="34">
        <f>S34</f>
        <v>0</v>
      </c>
      <c r="F15" s="46">
        <f t="shared" si="0"/>
        <v>0</v>
      </c>
      <c r="G15" s="117">
        <f>Z34</f>
        <v>0</v>
      </c>
      <c r="H15" s="46">
        <f t="shared" si="1"/>
        <v>0</v>
      </c>
    </row>
    <row r="16" spans="1:15" x14ac:dyDescent="0.35">
      <c r="A16" s="5"/>
      <c r="D16" s="27" t="s">
        <v>29</v>
      </c>
      <c r="E16" s="47">
        <f>SUM(E11:E15)</f>
        <v>0</v>
      </c>
      <c r="F16" s="49">
        <f t="shared" si="0"/>
        <v>0</v>
      </c>
      <c r="G16" s="47">
        <f>SUM(G11:G15)</f>
        <v>0</v>
      </c>
      <c r="H16" s="49">
        <f t="shared" si="1"/>
        <v>0</v>
      </c>
    </row>
    <row r="17" spans="1:28" x14ac:dyDescent="0.35">
      <c r="A17" s="5"/>
      <c r="D17" s="6"/>
      <c r="E17" s="6"/>
      <c r="F17" s="6"/>
    </row>
    <row r="18" spans="1:28" ht="22.5" customHeight="1" x14ac:dyDescent="0.35">
      <c r="A18" s="178" t="s">
        <v>4</v>
      </c>
      <c r="B18" s="178" t="s">
        <v>42</v>
      </c>
      <c r="C18" s="174" t="s">
        <v>47</v>
      </c>
      <c r="D18" s="174" t="s">
        <v>43</v>
      </c>
      <c r="E18" s="178" t="s">
        <v>8</v>
      </c>
      <c r="F18" s="165" t="s">
        <v>18</v>
      </c>
      <c r="G18" s="165"/>
      <c r="H18" s="165"/>
      <c r="I18" s="165"/>
      <c r="J18" s="165"/>
      <c r="K18" s="168" t="s">
        <v>19</v>
      </c>
      <c r="M18" s="174" t="s">
        <v>36</v>
      </c>
      <c r="O18" s="169" t="s">
        <v>31</v>
      </c>
      <c r="P18" s="170"/>
      <c r="Q18" s="170"/>
      <c r="R18" s="170"/>
      <c r="S18" s="170"/>
      <c r="T18" s="171"/>
      <c r="V18" s="169" t="s">
        <v>30</v>
      </c>
      <c r="W18" s="170"/>
      <c r="X18" s="170"/>
      <c r="Y18" s="170"/>
      <c r="Z18" s="170"/>
      <c r="AA18" s="171"/>
      <c r="AB18" s="172" t="s">
        <v>34</v>
      </c>
    </row>
    <row r="19" spans="1:28" ht="21" customHeight="1" x14ac:dyDescent="0.35">
      <c r="A19" s="179"/>
      <c r="B19" s="179"/>
      <c r="C19" s="176"/>
      <c r="D19" s="179"/>
      <c r="E19" s="179"/>
      <c r="F19" s="186" t="s">
        <v>40</v>
      </c>
      <c r="G19" s="187" t="s">
        <v>44</v>
      </c>
      <c r="H19" s="188"/>
      <c r="I19" s="187" t="s">
        <v>45</v>
      </c>
      <c r="J19" s="188"/>
      <c r="K19" s="168"/>
      <c r="M19" s="175"/>
      <c r="O19" s="166" t="s">
        <v>24</v>
      </c>
      <c r="P19" s="166" t="s">
        <v>25</v>
      </c>
      <c r="Q19" s="166" t="s">
        <v>26</v>
      </c>
      <c r="R19" s="166" t="s">
        <v>27</v>
      </c>
      <c r="S19" s="166" t="s">
        <v>28</v>
      </c>
      <c r="T19" s="43" t="s">
        <v>29</v>
      </c>
      <c r="V19" s="166" t="s">
        <v>24</v>
      </c>
      <c r="W19" s="166" t="s">
        <v>25</v>
      </c>
      <c r="X19" s="166" t="s">
        <v>26</v>
      </c>
      <c r="Y19" s="166" t="s">
        <v>27</v>
      </c>
      <c r="Z19" s="166" t="s">
        <v>28</v>
      </c>
      <c r="AA19" s="43" t="s">
        <v>29</v>
      </c>
      <c r="AB19" s="173"/>
    </row>
    <row r="20" spans="1:28" ht="36.75" customHeight="1" thickBot="1" x14ac:dyDescent="0.4">
      <c r="A20" s="179"/>
      <c r="B20" s="179"/>
      <c r="C20" s="176"/>
      <c r="D20" s="179"/>
      <c r="E20" s="179"/>
      <c r="F20" s="186"/>
      <c r="G20" s="93" t="s">
        <v>10</v>
      </c>
      <c r="H20" s="93" t="s">
        <v>11</v>
      </c>
      <c r="I20" s="93" t="s">
        <v>10</v>
      </c>
      <c r="J20" s="93" t="s">
        <v>11</v>
      </c>
      <c r="K20" s="44" t="s">
        <v>20</v>
      </c>
      <c r="M20" s="18" t="s">
        <v>37</v>
      </c>
      <c r="O20" s="167"/>
      <c r="P20" s="167"/>
      <c r="Q20" s="167"/>
      <c r="R20" s="167"/>
      <c r="S20" s="167"/>
      <c r="T20" s="19"/>
      <c r="V20" s="167"/>
      <c r="W20" s="167"/>
      <c r="X20" s="167"/>
      <c r="Y20" s="167"/>
      <c r="Z20" s="167"/>
      <c r="AA20" s="19" t="s">
        <v>20</v>
      </c>
      <c r="AB20" s="44" t="s">
        <v>20</v>
      </c>
    </row>
    <row r="21" spans="1:28" ht="20.149999999999999" customHeight="1" x14ac:dyDescent="0.35">
      <c r="A21" s="8">
        <v>1</v>
      </c>
      <c r="B21" s="122" t="s">
        <v>90</v>
      </c>
      <c r="C21" s="121">
        <v>3.6110000000000002</v>
      </c>
      <c r="D21" s="8" t="s">
        <v>79</v>
      </c>
      <c r="E21" s="189" t="s">
        <v>99</v>
      </c>
      <c r="F21" s="113">
        <v>45899</v>
      </c>
      <c r="G21" s="113">
        <v>45901</v>
      </c>
      <c r="H21" s="113">
        <v>45908</v>
      </c>
      <c r="I21" s="113">
        <v>45909</v>
      </c>
      <c r="J21" s="113">
        <v>45912</v>
      </c>
      <c r="K21" s="23">
        <f>K4*C21</f>
        <v>3270887.1320000002</v>
      </c>
      <c r="M21" s="86"/>
      <c r="O21" s="22"/>
      <c r="P21" s="22"/>
      <c r="Q21" s="22"/>
      <c r="R21" s="22"/>
      <c r="S21" s="22"/>
      <c r="T21" s="22">
        <f>SUM(O21:S21)</f>
        <v>0</v>
      </c>
      <c r="V21" s="15">
        <f>$K$21*O21</f>
        <v>0</v>
      </c>
      <c r="W21" s="15">
        <f>$K$21*P21</f>
        <v>0</v>
      </c>
      <c r="X21" s="15">
        <f t="shared" ref="X21:Z21" si="2">$K$21*Q21</f>
        <v>0</v>
      </c>
      <c r="Y21" s="15">
        <f t="shared" si="2"/>
        <v>0</v>
      </c>
      <c r="Z21" s="15">
        <f t="shared" si="2"/>
        <v>0</v>
      </c>
      <c r="AA21" s="35">
        <f>SUM(V21:Z21)</f>
        <v>0</v>
      </c>
      <c r="AB21" s="20">
        <f>K21-AA21</f>
        <v>3270887.1320000002</v>
      </c>
    </row>
    <row r="22" spans="1:28" ht="20.149999999999999" customHeight="1" x14ac:dyDescent="0.35">
      <c r="A22" s="8">
        <v>2</v>
      </c>
      <c r="B22" s="119" t="s">
        <v>91</v>
      </c>
      <c r="C22" s="121">
        <v>3.92</v>
      </c>
      <c r="D22" s="8" t="s">
        <v>79</v>
      </c>
      <c r="E22" s="189"/>
      <c r="F22" s="113">
        <v>45913</v>
      </c>
      <c r="G22" s="113">
        <v>45914</v>
      </c>
      <c r="H22" s="113">
        <v>45919</v>
      </c>
      <c r="I22" s="113">
        <v>45920</v>
      </c>
      <c r="J22" s="113">
        <v>45922</v>
      </c>
      <c r="K22" s="23">
        <f>K4*C22</f>
        <v>3550783.04</v>
      </c>
      <c r="M22" s="86"/>
      <c r="O22" s="23"/>
      <c r="P22" s="23"/>
      <c r="Q22" s="23"/>
      <c r="R22" s="23"/>
      <c r="S22" s="23"/>
      <c r="T22" s="22">
        <f t="shared" ref="T22:T33" si="3">SUM(O22:S22)</f>
        <v>0</v>
      </c>
      <c r="V22" s="15">
        <f>$K$22*O22</f>
        <v>0</v>
      </c>
      <c r="W22" s="15">
        <f t="shared" ref="W22:Z22" si="4">$K$22*P22</f>
        <v>0</v>
      </c>
      <c r="X22" s="15">
        <f t="shared" si="4"/>
        <v>0</v>
      </c>
      <c r="Y22" s="15">
        <f t="shared" si="4"/>
        <v>0</v>
      </c>
      <c r="Z22" s="15">
        <f t="shared" si="4"/>
        <v>0</v>
      </c>
      <c r="AA22" s="36">
        <f t="shared" ref="AA22:AA33" si="5">SUM(V22:Z22)</f>
        <v>0</v>
      </c>
      <c r="AB22" s="20">
        <f t="shared" ref="AB22:AB33" si="6">K22-AA22</f>
        <v>3550783.04</v>
      </c>
    </row>
    <row r="23" spans="1:28" ht="20.149999999999999" customHeight="1" x14ac:dyDescent="0.35">
      <c r="A23" s="8">
        <v>3</v>
      </c>
      <c r="B23" s="119" t="s">
        <v>92</v>
      </c>
      <c r="C23" s="121">
        <v>0.28000000000000003</v>
      </c>
      <c r="D23" s="8" t="s">
        <v>87</v>
      </c>
      <c r="E23" s="189"/>
      <c r="F23" s="113">
        <v>45910</v>
      </c>
      <c r="G23" s="113">
        <v>45911</v>
      </c>
      <c r="H23" s="113">
        <v>45912</v>
      </c>
      <c r="I23" s="113">
        <v>45912</v>
      </c>
      <c r="J23" s="113">
        <v>45912</v>
      </c>
      <c r="K23" s="23">
        <f>C23*K4</f>
        <v>253627.36000000002</v>
      </c>
      <c r="M23" s="7"/>
      <c r="O23" s="23"/>
      <c r="P23" s="23"/>
      <c r="Q23" s="23"/>
      <c r="R23" s="23"/>
      <c r="S23" s="23"/>
      <c r="T23" s="22">
        <f t="shared" si="3"/>
        <v>0</v>
      </c>
      <c r="V23" s="15">
        <f>$K$23*O23</f>
        <v>0</v>
      </c>
      <c r="W23" s="15">
        <f t="shared" ref="W23:Z33" si="7">$K$23*P23</f>
        <v>0</v>
      </c>
      <c r="X23" s="15">
        <f t="shared" si="7"/>
        <v>0</v>
      </c>
      <c r="Y23" s="15">
        <f t="shared" si="7"/>
        <v>0</v>
      </c>
      <c r="Z23" s="15">
        <f t="shared" si="7"/>
        <v>0</v>
      </c>
      <c r="AA23" s="35">
        <f t="shared" si="5"/>
        <v>0</v>
      </c>
      <c r="AB23" s="20">
        <f t="shared" si="6"/>
        <v>253627.36000000002</v>
      </c>
    </row>
    <row r="24" spans="1:28" ht="20.149999999999999" customHeight="1" x14ac:dyDescent="0.35">
      <c r="A24" s="8">
        <v>4</v>
      </c>
      <c r="B24" s="119" t="s">
        <v>93</v>
      </c>
      <c r="C24" s="121">
        <v>0.313</v>
      </c>
      <c r="D24" s="8" t="s">
        <v>87</v>
      </c>
      <c r="E24" s="189"/>
      <c r="F24" s="113">
        <v>45927</v>
      </c>
      <c r="G24" s="113">
        <v>45928</v>
      </c>
      <c r="H24" s="113">
        <v>45928</v>
      </c>
      <c r="I24" s="113">
        <v>45928</v>
      </c>
      <c r="J24" s="113">
        <v>45928</v>
      </c>
      <c r="K24" s="23">
        <f>C24*K4</f>
        <v>283519.15600000002</v>
      </c>
      <c r="M24" s="86"/>
      <c r="O24" s="23"/>
      <c r="P24" s="23"/>
      <c r="Q24" s="23"/>
      <c r="R24" s="23"/>
      <c r="S24" s="23"/>
      <c r="T24" s="22">
        <f t="shared" si="3"/>
        <v>0</v>
      </c>
      <c r="V24" s="15">
        <f t="shared" ref="V24:V28" si="8">$K$23*O24</f>
        <v>0</v>
      </c>
      <c r="W24" s="15">
        <f t="shared" ref="W24:W28" si="9">$K$23*P24</f>
        <v>0</v>
      </c>
      <c r="X24" s="15">
        <f t="shared" ref="X24:X28" si="10">$K$23*Q24</f>
        <v>0</v>
      </c>
      <c r="Y24" s="15">
        <f>$K$24*R24</f>
        <v>0</v>
      </c>
      <c r="Z24" s="15">
        <f t="shared" ref="Z24:Z28" si="11">$K$23*S24</f>
        <v>0</v>
      </c>
      <c r="AA24" s="35">
        <f>SUM(V24:Z24)</f>
        <v>0</v>
      </c>
      <c r="AB24" s="20">
        <f t="shared" si="6"/>
        <v>283519.15600000002</v>
      </c>
    </row>
    <row r="25" spans="1:28" ht="20.149999999999999" customHeight="1" x14ac:dyDescent="0.35">
      <c r="A25" s="8">
        <v>5</v>
      </c>
      <c r="B25" s="119" t="s">
        <v>94</v>
      </c>
      <c r="C25" s="121">
        <v>0.31900000000000001</v>
      </c>
      <c r="D25" s="8" t="s">
        <v>87</v>
      </c>
      <c r="E25" s="189"/>
      <c r="F25" s="113">
        <v>45915</v>
      </c>
      <c r="G25" s="113">
        <v>45916</v>
      </c>
      <c r="H25" s="113">
        <v>45916</v>
      </c>
      <c r="I25" s="113">
        <v>45916</v>
      </c>
      <c r="J25" s="113">
        <v>45916</v>
      </c>
      <c r="K25" s="23">
        <f>C25*K4</f>
        <v>288954.02799999999</v>
      </c>
      <c r="M25" s="7"/>
      <c r="O25" s="23"/>
      <c r="P25" s="23"/>
      <c r="Q25" s="23"/>
      <c r="R25" s="23"/>
      <c r="S25" s="23"/>
      <c r="T25" s="22">
        <f t="shared" si="3"/>
        <v>0</v>
      </c>
      <c r="V25" s="15">
        <f t="shared" si="8"/>
        <v>0</v>
      </c>
      <c r="W25" s="15">
        <f t="shared" si="9"/>
        <v>0</v>
      </c>
      <c r="X25" s="15">
        <f t="shared" si="10"/>
        <v>0</v>
      </c>
      <c r="Y25" s="15">
        <f t="shared" ref="Y25:Y28" si="12">$K$23*R25</f>
        <v>0</v>
      </c>
      <c r="Z25" s="15">
        <f t="shared" si="11"/>
        <v>0</v>
      </c>
      <c r="AA25" s="35">
        <f t="shared" ref="AA25:AA28" si="13">SUM(V25:Z25)</f>
        <v>0</v>
      </c>
      <c r="AB25" s="20">
        <f t="shared" si="6"/>
        <v>288954.02799999999</v>
      </c>
    </row>
    <row r="26" spans="1:28" ht="20.149999999999999" customHeight="1" x14ac:dyDescent="0.35">
      <c r="A26" s="8">
        <v>6</v>
      </c>
      <c r="B26" s="122" t="s">
        <v>95</v>
      </c>
      <c r="C26" s="121">
        <v>4.9580000000000002</v>
      </c>
      <c r="D26" s="8" t="s">
        <v>79</v>
      </c>
      <c r="E26" s="7" t="s">
        <v>100</v>
      </c>
      <c r="F26" s="113">
        <v>45903</v>
      </c>
      <c r="G26" s="113">
        <v>45904</v>
      </c>
      <c r="H26" s="113">
        <v>45909</v>
      </c>
      <c r="I26" s="113">
        <v>45910</v>
      </c>
      <c r="J26" s="113">
        <v>45913</v>
      </c>
      <c r="K26" s="23">
        <f>C26*K4</f>
        <v>4491015.8959999997</v>
      </c>
      <c r="M26" s="7"/>
      <c r="O26" s="23"/>
      <c r="P26" s="23"/>
      <c r="Q26" s="23"/>
      <c r="R26" s="23"/>
      <c r="S26" s="23"/>
      <c r="T26" s="22">
        <f t="shared" si="3"/>
        <v>0</v>
      </c>
      <c r="V26" s="15">
        <f t="shared" si="8"/>
        <v>0</v>
      </c>
      <c r="W26" s="15">
        <f t="shared" si="9"/>
        <v>0</v>
      </c>
      <c r="X26" s="15">
        <f t="shared" si="10"/>
        <v>0</v>
      </c>
      <c r="Y26" s="15">
        <f t="shared" si="12"/>
        <v>0</v>
      </c>
      <c r="Z26" s="15">
        <f t="shared" si="11"/>
        <v>0</v>
      </c>
      <c r="AA26" s="35">
        <f t="shared" si="13"/>
        <v>0</v>
      </c>
      <c r="AB26" s="20">
        <f t="shared" si="6"/>
        <v>4491015.8959999997</v>
      </c>
    </row>
    <row r="27" spans="1:28" ht="20.149999999999999" customHeight="1" x14ac:dyDescent="0.35">
      <c r="A27" s="8">
        <v>7</v>
      </c>
      <c r="B27" s="119" t="s">
        <v>96</v>
      </c>
      <c r="C27" s="121">
        <v>1.6060000000000001</v>
      </c>
      <c r="D27" s="8" t="s">
        <v>79</v>
      </c>
      <c r="E27" s="7"/>
      <c r="F27" s="113">
        <v>45914</v>
      </c>
      <c r="G27" s="113">
        <v>45915</v>
      </c>
      <c r="H27" s="113">
        <v>45917</v>
      </c>
      <c r="I27" s="113">
        <v>45918</v>
      </c>
      <c r="J27" s="113">
        <v>45919</v>
      </c>
      <c r="K27" s="23">
        <f>C27*K4</f>
        <v>1454734.0720000002</v>
      </c>
      <c r="M27" s="86"/>
      <c r="O27" s="23"/>
      <c r="P27" s="23"/>
      <c r="Q27" s="23"/>
      <c r="R27" s="23"/>
      <c r="S27" s="23"/>
      <c r="T27" s="22">
        <f t="shared" si="3"/>
        <v>0</v>
      </c>
      <c r="V27" s="15">
        <f t="shared" si="8"/>
        <v>0</v>
      </c>
      <c r="W27" s="15">
        <f t="shared" si="9"/>
        <v>0</v>
      </c>
      <c r="X27" s="15">
        <f>$K$27*Q27</f>
        <v>0</v>
      </c>
      <c r="Y27" s="15">
        <f t="shared" si="12"/>
        <v>0</v>
      </c>
      <c r="Z27" s="15">
        <f t="shared" si="11"/>
        <v>0</v>
      </c>
      <c r="AA27" s="35">
        <f t="shared" si="13"/>
        <v>0</v>
      </c>
      <c r="AB27" s="20">
        <f t="shared" si="6"/>
        <v>1454734.0720000002</v>
      </c>
    </row>
    <row r="28" spans="1:28" ht="20.149999999999999" customHeight="1" x14ac:dyDescent="0.35">
      <c r="A28" s="8">
        <v>8</v>
      </c>
      <c r="B28" s="119" t="s">
        <v>97</v>
      </c>
      <c r="C28" s="121">
        <v>0.32300000000000001</v>
      </c>
      <c r="D28" s="8" t="s">
        <v>87</v>
      </c>
      <c r="E28" s="7"/>
      <c r="F28" s="113">
        <v>45920</v>
      </c>
      <c r="G28" s="113">
        <v>45921</v>
      </c>
      <c r="H28" s="113">
        <v>45926</v>
      </c>
      <c r="I28" s="113">
        <v>45927</v>
      </c>
      <c r="J28" s="113">
        <v>45930</v>
      </c>
      <c r="K28" s="23">
        <f>C28*K4</f>
        <v>292577.27600000001</v>
      </c>
      <c r="M28" s="7"/>
      <c r="O28" s="23"/>
      <c r="P28" s="23"/>
      <c r="Q28" s="23"/>
      <c r="R28" s="23"/>
      <c r="S28" s="23"/>
      <c r="T28" s="22">
        <f t="shared" si="3"/>
        <v>0</v>
      </c>
      <c r="V28" s="15">
        <f t="shared" si="8"/>
        <v>0</v>
      </c>
      <c r="W28" s="15">
        <f t="shared" si="9"/>
        <v>0</v>
      </c>
      <c r="X28" s="15">
        <f t="shared" si="10"/>
        <v>0</v>
      </c>
      <c r="Y28" s="15">
        <f t="shared" si="12"/>
        <v>0</v>
      </c>
      <c r="Z28" s="15">
        <f t="shared" si="11"/>
        <v>0</v>
      </c>
      <c r="AA28" s="35">
        <f t="shared" si="13"/>
        <v>0</v>
      </c>
      <c r="AB28" s="20">
        <f t="shared" si="6"/>
        <v>292577.27600000001</v>
      </c>
    </row>
    <row r="29" spans="1:28" ht="20.149999999999999" customHeight="1" x14ac:dyDescent="0.35">
      <c r="A29" s="8">
        <v>9</v>
      </c>
      <c r="B29" s="122" t="s">
        <v>98</v>
      </c>
      <c r="C29" s="120">
        <v>4.9470000000000001</v>
      </c>
      <c r="D29" s="8" t="s">
        <v>79</v>
      </c>
      <c r="E29" s="125"/>
      <c r="F29" s="113">
        <v>45899</v>
      </c>
      <c r="G29" s="113">
        <v>45900</v>
      </c>
      <c r="H29" s="113">
        <v>45906</v>
      </c>
      <c r="I29" s="113">
        <v>45907</v>
      </c>
      <c r="J29" s="113">
        <v>45910</v>
      </c>
      <c r="K29" s="23">
        <f>C29*K4</f>
        <v>4481051.9639999997</v>
      </c>
      <c r="M29" s="86"/>
      <c r="O29" s="23"/>
      <c r="P29" s="23"/>
      <c r="Q29" s="23"/>
      <c r="R29" s="23"/>
      <c r="S29" s="23"/>
      <c r="T29" s="22">
        <f t="shared" ref="T29:T32" si="14">SUM(O29:S29)</f>
        <v>0</v>
      </c>
      <c r="V29" s="15">
        <f t="shared" ref="V29:V32" si="15">$K$23*O29</f>
        <v>0</v>
      </c>
      <c r="W29" s="15">
        <f t="shared" ref="W29:W32" si="16">$K$23*P29</f>
        <v>0</v>
      </c>
      <c r="X29" s="15">
        <f t="shared" ref="X29" si="17">$K$27*Q29</f>
        <v>0</v>
      </c>
      <c r="Y29" s="15">
        <f t="shared" ref="Y29:Y32" si="18">$K$23*R29</f>
        <v>0</v>
      </c>
      <c r="Z29" s="15">
        <f t="shared" ref="Z29:Z32" si="19">$K$23*S29</f>
        <v>0</v>
      </c>
      <c r="AA29" s="35">
        <f t="shared" ref="AA29:AA32" si="20">SUM(V29:Z29)</f>
        <v>0</v>
      </c>
      <c r="AB29" s="20">
        <f t="shared" ref="AB29:AB32" si="21">K29-AA29</f>
        <v>4481051.9639999997</v>
      </c>
    </row>
    <row r="30" spans="1:28" ht="20.149999999999999" customHeight="1" x14ac:dyDescent="0.35">
      <c r="A30" s="8">
        <v>10</v>
      </c>
      <c r="B30" s="119" t="s">
        <v>101</v>
      </c>
      <c r="C30" s="120">
        <v>2.75</v>
      </c>
      <c r="D30" s="8" t="s">
        <v>79</v>
      </c>
      <c r="E30" s="125"/>
      <c r="F30" s="113">
        <v>45911</v>
      </c>
      <c r="G30" s="113">
        <v>45912</v>
      </c>
      <c r="H30" s="113">
        <v>45917</v>
      </c>
      <c r="I30" s="113">
        <v>45918</v>
      </c>
      <c r="J30" s="113">
        <v>45921</v>
      </c>
      <c r="K30" s="23">
        <f>C30*K4</f>
        <v>2490983</v>
      </c>
      <c r="M30" s="7"/>
      <c r="O30" s="23"/>
      <c r="P30" s="23"/>
      <c r="Q30" s="23"/>
      <c r="R30" s="23"/>
      <c r="S30" s="23"/>
      <c r="T30" s="22">
        <f t="shared" si="14"/>
        <v>0</v>
      </c>
      <c r="V30" s="15">
        <f t="shared" si="15"/>
        <v>0</v>
      </c>
      <c r="W30" s="15">
        <f t="shared" si="16"/>
        <v>0</v>
      </c>
      <c r="X30" s="15">
        <f t="shared" ref="X30" si="22">$K$23*Q30</f>
        <v>0</v>
      </c>
      <c r="Y30" s="15">
        <f t="shared" si="18"/>
        <v>0</v>
      </c>
      <c r="Z30" s="15">
        <f t="shared" si="19"/>
        <v>0</v>
      </c>
      <c r="AA30" s="35">
        <f t="shared" si="20"/>
        <v>0</v>
      </c>
      <c r="AB30" s="20">
        <f t="shared" si="21"/>
        <v>2490983</v>
      </c>
    </row>
    <row r="31" spans="1:28" ht="20.149999999999999" customHeight="1" x14ac:dyDescent="0.35">
      <c r="A31" s="8">
        <v>11</v>
      </c>
      <c r="B31" s="119" t="s">
        <v>102</v>
      </c>
      <c r="C31" s="123">
        <v>0.27</v>
      </c>
      <c r="D31" s="8" t="s">
        <v>79</v>
      </c>
      <c r="E31" s="125"/>
      <c r="F31" s="113">
        <v>45920</v>
      </c>
      <c r="G31" s="113">
        <v>45920</v>
      </c>
      <c r="H31" s="113">
        <v>45920</v>
      </c>
      <c r="I31" s="113">
        <v>45922</v>
      </c>
      <c r="J31" s="113">
        <v>45922</v>
      </c>
      <c r="K31" s="23">
        <f>C31*K4</f>
        <v>244569.24000000002</v>
      </c>
      <c r="M31" s="86"/>
      <c r="O31" s="23"/>
      <c r="P31" s="23"/>
      <c r="Q31" s="23"/>
      <c r="R31" s="23"/>
      <c r="S31" s="23"/>
      <c r="T31" s="22">
        <f t="shared" si="14"/>
        <v>0</v>
      </c>
      <c r="V31" s="15">
        <f t="shared" si="15"/>
        <v>0</v>
      </c>
      <c r="W31" s="15">
        <f t="shared" si="16"/>
        <v>0</v>
      </c>
      <c r="X31" s="15">
        <f t="shared" ref="X31" si="23">$K$27*Q31</f>
        <v>0</v>
      </c>
      <c r="Y31" s="15">
        <f t="shared" si="18"/>
        <v>0</v>
      </c>
      <c r="Z31" s="15">
        <f t="shared" si="19"/>
        <v>0</v>
      </c>
      <c r="AA31" s="35">
        <f t="shared" si="20"/>
        <v>0</v>
      </c>
      <c r="AB31" s="20">
        <f t="shared" si="21"/>
        <v>244569.24000000002</v>
      </c>
    </row>
    <row r="32" spans="1:28" ht="20.149999999999999" customHeight="1" x14ac:dyDescent="0.35">
      <c r="A32" s="8">
        <v>12</v>
      </c>
      <c r="B32" s="119" t="s">
        <v>103</v>
      </c>
      <c r="C32" s="120">
        <v>0.68799999999999994</v>
      </c>
      <c r="D32" s="8" t="s">
        <v>88</v>
      </c>
      <c r="E32" s="10"/>
      <c r="F32" s="113">
        <v>45927</v>
      </c>
      <c r="G32" s="113">
        <v>45928</v>
      </c>
      <c r="H32" s="113">
        <v>45928</v>
      </c>
      <c r="I32" s="113">
        <v>45928</v>
      </c>
      <c r="J32" s="113">
        <v>45928</v>
      </c>
      <c r="K32" s="23">
        <f>C32*K4</f>
        <v>623198.65599999996</v>
      </c>
      <c r="M32" s="7"/>
      <c r="O32" s="23"/>
      <c r="P32" s="23"/>
      <c r="Q32" s="23"/>
      <c r="R32" s="23"/>
      <c r="S32" s="23"/>
      <c r="T32" s="22">
        <f t="shared" si="14"/>
        <v>0</v>
      </c>
      <c r="V32" s="15">
        <f t="shared" si="15"/>
        <v>0</v>
      </c>
      <c r="W32" s="15">
        <f t="shared" si="16"/>
        <v>0</v>
      </c>
      <c r="X32" s="15">
        <f t="shared" ref="X32" si="24">$K$23*Q32</f>
        <v>0</v>
      </c>
      <c r="Y32" s="15">
        <f t="shared" si="18"/>
        <v>0</v>
      </c>
      <c r="Z32" s="15">
        <f t="shared" si="19"/>
        <v>0</v>
      </c>
      <c r="AA32" s="35">
        <f t="shared" si="20"/>
        <v>0</v>
      </c>
      <c r="AB32" s="20">
        <f t="shared" si="21"/>
        <v>623198.65599999996</v>
      </c>
    </row>
    <row r="33" spans="1:28" ht="20.149999999999999" customHeight="1" thickBot="1" x14ac:dyDescent="0.4">
      <c r="A33" s="8">
        <v>13</v>
      </c>
      <c r="B33" s="119"/>
      <c r="C33" s="120"/>
      <c r="D33" s="8"/>
      <c r="E33" s="10"/>
      <c r="F33" s="113"/>
      <c r="G33" s="113"/>
      <c r="H33" s="113"/>
      <c r="I33" s="113"/>
      <c r="J33" s="113"/>
      <c r="K33" s="23">
        <f>C33*K4</f>
        <v>0</v>
      </c>
      <c r="M33" s="12"/>
      <c r="O33" s="24"/>
      <c r="P33" s="24"/>
      <c r="Q33" s="24"/>
      <c r="R33" s="24"/>
      <c r="S33" s="24"/>
      <c r="T33" s="22">
        <f t="shared" si="3"/>
        <v>0</v>
      </c>
      <c r="V33" s="16">
        <f>$K$33*O33</f>
        <v>0</v>
      </c>
      <c r="W33" s="16">
        <f t="shared" ref="W33:Y33" si="25">$K$33*P33</f>
        <v>0</v>
      </c>
      <c r="X33" s="16">
        <f t="shared" si="25"/>
        <v>0</v>
      </c>
      <c r="Y33" s="16">
        <f t="shared" si="25"/>
        <v>0</v>
      </c>
      <c r="Z33" s="15">
        <f t="shared" si="7"/>
        <v>0</v>
      </c>
      <c r="AA33" s="37">
        <f t="shared" si="5"/>
        <v>0</v>
      </c>
      <c r="AB33" s="21">
        <f t="shared" si="6"/>
        <v>0</v>
      </c>
    </row>
    <row r="34" spans="1:28" ht="20.149999999999999" customHeight="1" x14ac:dyDescent="0.35">
      <c r="A34" s="9"/>
      <c r="B34" s="10"/>
      <c r="C34" s="124">
        <f>SUM(C21:C33)</f>
        <v>23.984999999999999</v>
      </c>
      <c r="D34" s="14"/>
      <c r="E34" s="14"/>
      <c r="F34" s="14"/>
      <c r="G34" s="9"/>
      <c r="H34" s="10"/>
      <c r="I34" s="10"/>
      <c r="J34" s="10"/>
      <c r="K34" s="17">
        <f>SUM(K21:K33)</f>
        <v>21725900.82</v>
      </c>
      <c r="M34" s="10"/>
      <c r="O34" s="26">
        <f t="shared" ref="O34:T34" si="26">SUM(O21:O33)</f>
        <v>0</v>
      </c>
      <c r="P34" s="26">
        <f t="shared" si="26"/>
        <v>0</v>
      </c>
      <c r="Q34" s="26">
        <f t="shared" si="26"/>
        <v>0</v>
      </c>
      <c r="R34" s="26">
        <f t="shared" si="26"/>
        <v>0</v>
      </c>
      <c r="S34" s="26">
        <f t="shared" si="26"/>
        <v>0</v>
      </c>
      <c r="T34" s="26">
        <f t="shared" si="26"/>
        <v>0</v>
      </c>
      <c r="V34" s="17">
        <f t="shared" ref="V34:AB34" si="27">SUM(V21:V33)</f>
        <v>0</v>
      </c>
      <c r="W34" s="17">
        <f t="shared" si="27"/>
        <v>0</v>
      </c>
      <c r="X34" s="17">
        <f t="shared" si="27"/>
        <v>0</v>
      </c>
      <c r="Y34" s="17">
        <f t="shared" si="27"/>
        <v>0</v>
      </c>
      <c r="Z34" s="17">
        <f t="shared" si="27"/>
        <v>0</v>
      </c>
      <c r="AA34" s="17">
        <f t="shared" si="27"/>
        <v>0</v>
      </c>
      <c r="AB34" s="17">
        <f t="shared" si="27"/>
        <v>21725900.82</v>
      </c>
    </row>
  </sheetData>
  <mergeCells count="25">
    <mergeCell ref="E21:E25"/>
    <mergeCell ref="W19:W20"/>
    <mergeCell ref="K18:K19"/>
    <mergeCell ref="M18:M19"/>
    <mergeCell ref="O18:T18"/>
    <mergeCell ref="V18:AA18"/>
    <mergeCell ref="V19:V20"/>
    <mergeCell ref="A18:A20"/>
    <mergeCell ref="B18:B20"/>
    <mergeCell ref="C18:C20"/>
    <mergeCell ref="D18:D20"/>
    <mergeCell ref="E18:E20"/>
    <mergeCell ref="AB18:AB19"/>
    <mergeCell ref="F19:F20"/>
    <mergeCell ref="G19:H19"/>
    <mergeCell ref="O19:O20"/>
    <mergeCell ref="F18:J18"/>
    <mergeCell ref="X19:X20"/>
    <mergeCell ref="Y19:Y20"/>
    <mergeCell ref="Z19:Z20"/>
    <mergeCell ref="I19:J19"/>
    <mergeCell ref="P19:P20"/>
    <mergeCell ref="Q19:Q20"/>
    <mergeCell ref="R19:R20"/>
    <mergeCell ref="S19:S20"/>
  </mergeCells>
  <conditionalFormatting sqref="C26:C27">
    <cfRule type="containsText" dxfId="0" priority="1" operator="containsText" text="4DT6">
      <formula>NOT(ISERROR(SEARCH("4DT6",C26)))</formula>
    </cfRule>
  </conditionalFormatting>
  <printOptions horizontalCentered="1"/>
  <pageMargins left="0.25" right="0.25" top="0.75" bottom="0.75" header="0.3" footer="0.3"/>
  <pageSetup paperSize="9"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FDN-June25</vt:lpstr>
      <vt:lpstr>Stub dispatch</vt:lpstr>
      <vt:lpstr>Erection-Nov25</vt:lpstr>
      <vt:lpstr>STG-Sep25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Bharat Kaushik</cp:lastModifiedBy>
  <cp:lastPrinted>2024-05-23T07:04:00Z</cp:lastPrinted>
  <dcterms:created xsi:type="dcterms:W3CDTF">2015-06-05T18:17:20Z</dcterms:created>
  <dcterms:modified xsi:type="dcterms:W3CDTF">2025-11-18T10:55:23Z</dcterms:modified>
</cp:coreProperties>
</file>