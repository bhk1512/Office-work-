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Micro Plans\November 2025\"/>
    </mc:Choice>
  </mc:AlternateContent>
  <xr:revisionPtr revIDLastSave="0" documentId="13_ncr:1_{C4AB3526-4543-4878-A702-0C6441F16C43}" xr6:coauthVersionLast="47" xr6:coauthVersionMax="47" xr10:uidLastSave="{00000000-0000-0000-0000-000000000000}"/>
  <bookViews>
    <workbookView xWindow="-110" yWindow="-110" windowWidth="19420" windowHeight="10300" tabRatio="757" firstSheet="2" activeTab="3" xr2:uid="{00000000-000D-0000-FFFF-FFFF00000000}"/>
  </bookViews>
  <sheets>
    <sheet name="FDN-June25" sheetId="1" state="hidden" r:id="rId1"/>
    <sheet name="Stub dispatch" sheetId="4" state="hidden" r:id="rId2"/>
    <sheet name="Erection-Nov'25" sheetId="5" r:id="rId3"/>
    <sheet name="Stringing Nov'25" sheetId="6" r:id="rId4"/>
    <sheet name="STG-Sep25" sheetId="3" state="hidden" r:id="rId5"/>
  </sheets>
  <definedNames>
    <definedName name="_xlnm._FilterDatabase" localSheetId="2" hidden="1">'Erection-Nov''25'!$A$1:$O$30</definedName>
    <definedName name="_xlnm._FilterDatabase" localSheetId="0" hidden="1">'FDN-June25'!$A$18:$P$28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3" l="1"/>
  <c r="K31" i="3"/>
  <c r="K30" i="3"/>
  <c r="K29" i="3"/>
  <c r="K28" i="3"/>
  <c r="K27" i="3"/>
  <c r="K26" i="3"/>
  <c r="K25" i="3"/>
  <c r="K24" i="3"/>
  <c r="K23" i="3"/>
  <c r="K22" i="3"/>
  <c r="K21" i="3"/>
  <c r="K33" i="3"/>
  <c r="T32" i="3"/>
  <c r="T31" i="3"/>
  <c r="T30" i="3"/>
  <c r="T29" i="3"/>
  <c r="T26" i="3" l="1"/>
  <c r="T27" i="3"/>
  <c r="T28" i="3"/>
  <c r="T33" i="3"/>
  <c r="Y24" i="3"/>
  <c r="X24" i="3" l="1"/>
  <c r="Y32" i="3"/>
  <c r="W30" i="3"/>
  <c r="V29" i="3"/>
  <c r="Z31" i="3"/>
  <c r="Y31" i="3"/>
  <c r="W29" i="3"/>
  <c r="X32" i="3"/>
  <c r="W31" i="3"/>
  <c r="V30" i="3"/>
  <c r="V32" i="3"/>
  <c r="Y30" i="3"/>
  <c r="Z32" i="3"/>
  <c r="X30" i="3"/>
  <c r="W32" i="3"/>
  <c r="V31" i="3"/>
  <c r="Z29" i="3"/>
  <c r="Z30" i="3"/>
  <c r="Y29" i="3"/>
  <c r="X27" i="3"/>
  <c r="X31" i="3"/>
  <c r="X29" i="3"/>
  <c r="W25" i="3"/>
  <c r="Z24" i="3"/>
  <c r="Y27" i="3"/>
  <c r="V26" i="3"/>
  <c r="W24" i="3"/>
  <c r="Z25" i="3"/>
  <c r="V24" i="3"/>
  <c r="Z28" i="3"/>
  <c r="W27" i="3"/>
  <c r="Y25" i="3"/>
  <c r="Y28" i="3"/>
  <c r="V27" i="3"/>
  <c r="X25" i="3"/>
  <c r="X28" i="3"/>
  <c r="Z26" i="3"/>
  <c r="W28" i="3"/>
  <c r="Y26" i="3"/>
  <c r="V25" i="3"/>
  <c r="V28" i="3"/>
  <c r="X26" i="3"/>
  <c r="Z27" i="3"/>
  <c r="W26" i="3"/>
  <c r="T24" i="3"/>
  <c r="T25" i="3"/>
  <c r="AA30" i="3" l="1"/>
  <c r="AB30" i="3" s="1"/>
  <c r="AA31" i="3"/>
  <c r="AB31" i="3" s="1"/>
  <c r="AA29" i="3"/>
  <c r="AB29" i="3" s="1"/>
  <c r="AA32" i="3"/>
  <c r="AB32" i="3" s="1"/>
  <c r="AA24" i="3"/>
  <c r="AA25" i="3"/>
  <c r="AA27" i="3"/>
  <c r="AA28" i="3"/>
  <c r="AA26" i="3"/>
  <c r="AB26" i="3" s="1"/>
  <c r="AB24" i="3" l="1"/>
  <c r="AB25" i="3" l="1"/>
  <c r="AB27" i="3"/>
  <c r="Z33" i="3"/>
  <c r="P33" i="1" l="1"/>
  <c r="P32" i="1"/>
  <c r="Y21" i="1"/>
  <c r="AA21" i="1"/>
  <c r="AB21" i="1"/>
  <c r="AC21" i="1"/>
  <c r="AD21" i="1"/>
  <c r="AE21" i="1"/>
  <c r="Y22" i="1"/>
  <c r="AE22" i="1"/>
  <c r="AF22" i="1" s="1"/>
  <c r="AG22" i="1" s="1"/>
  <c r="Y23" i="1"/>
  <c r="AA23" i="1"/>
  <c r="AB23" i="1"/>
  <c r="AC23" i="1"/>
  <c r="AD23" i="1"/>
  <c r="AE23" i="1"/>
  <c r="Y24" i="1"/>
  <c r="AA24" i="1"/>
  <c r="AB24" i="1"/>
  <c r="AC24" i="1"/>
  <c r="AD24" i="1"/>
  <c r="AE24" i="1"/>
  <c r="Y25" i="1"/>
  <c r="AA25" i="1"/>
  <c r="AB25" i="1"/>
  <c r="AC25" i="1"/>
  <c r="AD25" i="1"/>
  <c r="AE25" i="1"/>
  <c r="Y26" i="1"/>
  <c r="AA26" i="1"/>
  <c r="AB26" i="1"/>
  <c r="AC26" i="1"/>
  <c r="AD26" i="1"/>
  <c r="AE26" i="1"/>
  <c r="AF21" i="1" l="1"/>
  <c r="AG21" i="1" s="1"/>
  <c r="AF24" i="1"/>
  <c r="AG24" i="1" s="1"/>
  <c r="AF25" i="1"/>
  <c r="AG25" i="1" s="1"/>
  <c r="AF26" i="1"/>
  <c r="AG26" i="1" s="1"/>
  <c r="AF23" i="1"/>
  <c r="AG23" i="1" s="1"/>
  <c r="W21" i="3" l="1"/>
  <c r="AB27" i="1" l="1"/>
  <c r="AA27" i="1" l="1"/>
  <c r="AC27" i="1"/>
  <c r="AD27" i="1"/>
  <c r="AE27" i="1"/>
  <c r="AF27" i="1" l="1"/>
  <c r="AG27" i="1" s="1"/>
  <c r="Y28" i="1" l="1"/>
  <c r="AA28" i="1"/>
  <c r="AB28" i="1"/>
  <c r="AC28" i="1"/>
  <c r="AD28" i="1"/>
  <c r="AE28" i="1"/>
  <c r="AF28" i="1" l="1"/>
  <c r="AG28" i="1" s="1"/>
  <c r="X30" i="1" l="1"/>
  <c r="E15" i="1" s="1"/>
  <c r="F15" i="1" s="1"/>
  <c r="W30" i="1"/>
  <c r="E14" i="1" s="1"/>
  <c r="F14" i="1" s="1"/>
  <c r="V30" i="1"/>
  <c r="E13" i="1" s="1"/>
  <c r="F13" i="1" s="1"/>
  <c r="U30" i="1"/>
  <c r="E12" i="1" s="1"/>
  <c r="F12" i="1" s="1"/>
  <c r="T30" i="1"/>
  <c r="E11" i="1" s="1"/>
  <c r="P30" i="1"/>
  <c r="G9" i="1" s="1"/>
  <c r="F30" i="1"/>
  <c r="E30" i="1"/>
  <c r="AE29" i="1"/>
  <c r="AD29" i="1"/>
  <c r="AC29" i="1"/>
  <c r="AB29" i="1"/>
  <c r="AA29" i="1"/>
  <c r="Y29" i="1"/>
  <c r="Y27" i="1"/>
  <c r="E7" i="1"/>
  <c r="P34" i="1" l="1"/>
  <c r="AE30" i="1"/>
  <c r="G15" i="1" s="1"/>
  <c r="AF29" i="1"/>
  <c r="AG29" i="1" s="1"/>
  <c r="AA30" i="1"/>
  <c r="G11" i="1" s="1"/>
  <c r="E16" i="1"/>
  <c r="F16" i="1" s="1"/>
  <c r="AC30" i="1"/>
  <c r="G13" i="1" s="1"/>
  <c r="AD30" i="1"/>
  <c r="G14" i="1" s="1"/>
  <c r="Y30" i="1"/>
  <c r="F11" i="1"/>
  <c r="AB30" i="1"/>
  <c r="G12" i="1" s="1"/>
  <c r="H15" i="1" l="1"/>
  <c r="H11" i="1"/>
  <c r="H12" i="1"/>
  <c r="H14" i="1"/>
  <c r="H13" i="1"/>
  <c r="AG30" i="1"/>
  <c r="AF30" i="1"/>
  <c r="G16" i="1"/>
  <c r="H16" i="1" s="1"/>
  <c r="P6" i="4" l="1"/>
  <c r="T23" i="3" l="1"/>
  <c r="T22" i="3"/>
  <c r="T21" i="3"/>
  <c r="C34" i="3"/>
  <c r="E9" i="3" s="1"/>
  <c r="T34" i="3" l="1"/>
  <c r="S34" i="3"/>
  <c r="E15" i="3" s="1"/>
  <c r="F15" i="3" s="1"/>
  <c r="R34" i="3"/>
  <c r="E14" i="3" s="1"/>
  <c r="F14" i="3" s="1"/>
  <c r="Q34" i="3"/>
  <c r="E13" i="3" s="1"/>
  <c r="F13" i="3" s="1"/>
  <c r="P34" i="3"/>
  <c r="E12" i="3" s="1"/>
  <c r="F12" i="3" s="1"/>
  <c r="O34" i="3"/>
  <c r="E11" i="3" s="1"/>
  <c r="F11" i="3" s="1"/>
  <c r="K34" i="3"/>
  <c r="G9" i="3" s="1"/>
  <c r="Y33" i="3"/>
  <c r="X33" i="3"/>
  <c r="W33" i="3"/>
  <c r="V33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V21" i="3"/>
  <c r="E7" i="3"/>
  <c r="AA21" i="3" l="1"/>
  <c r="AB21" i="3" s="1"/>
  <c r="Y34" i="3"/>
  <c r="G14" i="3" s="1"/>
  <c r="H14" i="3" s="1"/>
  <c r="AB28" i="3"/>
  <c r="AA22" i="3"/>
  <c r="AB22" i="3" s="1"/>
  <c r="AA33" i="3"/>
  <c r="AB33" i="3" s="1"/>
  <c r="Z34" i="3"/>
  <c r="G15" i="3" s="1"/>
  <c r="H15" i="3" s="1"/>
  <c r="X34" i="3"/>
  <c r="G13" i="3" s="1"/>
  <c r="H13" i="3" s="1"/>
  <c r="AA23" i="3"/>
  <c r="AB23" i="3" s="1"/>
  <c r="W34" i="3"/>
  <c r="G12" i="3" s="1"/>
  <c r="H12" i="3" s="1"/>
  <c r="V34" i="3"/>
  <c r="G11" i="3" s="1"/>
  <c r="E16" i="3"/>
  <c r="F16" i="3" s="1"/>
  <c r="AB34" i="3" l="1"/>
  <c r="AA34" i="3"/>
  <c r="G16" i="3"/>
  <c r="H16" i="3" s="1"/>
  <c r="H11" i="3"/>
</calcChain>
</file>

<file path=xl/sharedStrings.xml><?xml version="1.0" encoding="utf-8"?>
<sst xmlns="http://schemas.openxmlformats.org/spreadsheetml/2006/main" count="427" uniqueCount="185">
  <si>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</si>
  <si>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</si>
  <si>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</si>
  <si>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</si>
  <si>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</si>
  <si>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</si>
  <si>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</si>
  <si>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</si>
  <si>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</si>
  <si>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</si>
  <si>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</si>
  <si>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</si>
  <si>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</si>
  <si>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</si>
  <si>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</si>
  <si>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</si>
  <si>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</si>
  <si>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</si>
  <si>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</si>
  <si>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</si>
  <si>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</si>
  <si>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</si>
  <si>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</si>
  <si>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</si>
  <si>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</si>
  <si>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</si>
  <si>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</si>
  <si>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</si>
  <si>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</si>
  <si>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</si>
  <si>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</si>
  <si>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</si>
  <si>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Rs. Cr</t>
  </si>
  <si>
    <t>Achievement for Month</t>
  </si>
  <si>
    <t>Shortfall</t>
  </si>
  <si>
    <t>Qty</t>
  </si>
  <si>
    <t>Actual Completion</t>
  </si>
  <si>
    <t>Date</t>
  </si>
  <si>
    <t>Tack-welding</t>
  </si>
  <si>
    <t>Final checking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</si>
  <si>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</si>
  <si>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</si>
  <si>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</si>
  <si>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</si>
  <si>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</si>
  <si>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</si>
  <si>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</si>
  <si>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</si>
  <si>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TA-416</t>
  </si>
  <si>
    <t>NEEMRANA-II-BAREILLY (PG) 765KV D/C LINE,WZ-5 (Part-III)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</si>
  <si>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</si>
  <si>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</si>
  <si>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</si>
  <si>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</si>
  <si>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</si>
  <si>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</si>
  <si>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</si>
  <si>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</si>
  <si>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</si>
  <si>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</si>
  <si>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</si>
  <si>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</si>
  <si>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</si>
  <si>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</si>
  <si>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</si>
  <si>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</si>
  <si>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</si>
  <si>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</si>
  <si>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</si>
  <si>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</si>
  <si>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</si>
  <si>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</si>
  <si>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</si>
  <si>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</si>
  <si>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</si>
  <si>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</si>
  <si>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Total Reve</t>
  </si>
  <si>
    <t>FS</t>
  </si>
  <si>
    <t>AVI</t>
  </si>
  <si>
    <t>TSE</t>
  </si>
  <si>
    <t>DC2+18</t>
  </si>
  <si>
    <t>38/0</t>
  </si>
  <si>
    <t>Rate @Kms</t>
  </si>
  <si>
    <t>STUB Setting-1</t>
  </si>
  <si>
    <t>Earthing-1</t>
  </si>
  <si>
    <t>Completed (May-25)</t>
  </si>
  <si>
    <t>Manual-1</t>
  </si>
  <si>
    <t>Manual-2</t>
  </si>
  <si>
    <t>Completed (Aug-25)</t>
  </si>
  <si>
    <t>14/0-15/0</t>
  </si>
  <si>
    <t>12/0-13/0</t>
  </si>
  <si>
    <t>3/0-4/0</t>
  </si>
  <si>
    <t>11/0-12/0</t>
  </si>
  <si>
    <t>13/0-14/0</t>
  </si>
  <si>
    <t>20/0-21/0</t>
  </si>
  <si>
    <t>21/0-22/0</t>
  </si>
  <si>
    <t>18/0-19/0</t>
  </si>
  <si>
    <t>36/0-37/0</t>
  </si>
  <si>
    <t>Anarul</t>
  </si>
  <si>
    <t>Pankaj</t>
  </si>
  <si>
    <t>30/0-31/0</t>
  </si>
  <si>
    <t>29/0-30/0</t>
  </si>
  <si>
    <t>28/0-29/0</t>
  </si>
  <si>
    <t>Manpower</t>
  </si>
  <si>
    <t>Section Incharge</t>
  </si>
  <si>
    <t>Supervisor</t>
  </si>
  <si>
    <t>Power Tools Issued (YES/NO)</t>
  </si>
  <si>
    <t>Tower Weight</t>
  </si>
  <si>
    <t>Gang Name</t>
  </si>
  <si>
    <t>Revenue Planned</t>
  </si>
  <si>
    <t>Starting Date</t>
  </si>
  <si>
    <t>Completion Date</t>
  </si>
  <si>
    <t>Location No.</t>
  </si>
  <si>
    <t>Material Feeding</t>
  </si>
  <si>
    <t>Revenue Realised</t>
  </si>
  <si>
    <t>8/1.</t>
  </si>
  <si>
    <t>8/2.</t>
  </si>
  <si>
    <t>8/4.</t>
  </si>
  <si>
    <t xml:space="preserve">YES </t>
  </si>
  <si>
    <t>S. No.</t>
  </si>
  <si>
    <t>From AP</t>
  </si>
  <si>
    <t>To AP</t>
  </si>
  <si>
    <t>Span (m)</t>
  </si>
  <si>
    <t>Tower Erection Status</t>
  </si>
  <si>
    <t>Towers in section</t>
  </si>
  <si>
    <t>Insulator Hoisting</t>
  </si>
  <si>
    <t>Paying Out Start</t>
  </si>
  <si>
    <t>Paying Out Completed</t>
  </si>
  <si>
    <t>Final Sag Complete</t>
  </si>
  <si>
    <t>Method</t>
  </si>
  <si>
    <t>Gang Strength</t>
  </si>
  <si>
    <t>10/2</t>
  </si>
  <si>
    <t>16/2</t>
  </si>
  <si>
    <t>DA+0</t>
  </si>
  <si>
    <t>DA+3</t>
  </si>
  <si>
    <t>DA-3</t>
  </si>
  <si>
    <t>DB2+0</t>
  </si>
  <si>
    <t>DA+6</t>
  </si>
  <si>
    <t>DEVI CONST.</t>
  </si>
  <si>
    <t>Prasanta Das</t>
  </si>
  <si>
    <t>9/2.</t>
  </si>
  <si>
    <t>7/2.</t>
  </si>
  <si>
    <t>7/4.</t>
  </si>
  <si>
    <t>8/3.</t>
  </si>
  <si>
    <t>9/3.</t>
  </si>
  <si>
    <t>12/3.</t>
  </si>
  <si>
    <t>12/4.</t>
  </si>
  <si>
    <t>12/5.</t>
  </si>
  <si>
    <t>15/3.</t>
  </si>
  <si>
    <t>15/1.</t>
  </si>
  <si>
    <t>15/4.</t>
  </si>
  <si>
    <t>7/0</t>
  </si>
  <si>
    <t>7/3</t>
  </si>
  <si>
    <t>8/0</t>
  </si>
  <si>
    <t>9/0</t>
  </si>
  <si>
    <t>10/0</t>
  </si>
  <si>
    <t>10/3</t>
  </si>
  <si>
    <t>13/5</t>
  </si>
  <si>
    <t>15/7</t>
  </si>
  <si>
    <t>15/8</t>
  </si>
  <si>
    <t>15/9</t>
  </si>
  <si>
    <t>16/3</t>
  </si>
  <si>
    <t>16/5</t>
  </si>
  <si>
    <t>16/10</t>
  </si>
  <si>
    <t>21/1</t>
  </si>
  <si>
    <t>DA+1.5</t>
  </si>
  <si>
    <t>DC2+0</t>
  </si>
  <si>
    <t>DB1+0</t>
  </si>
  <si>
    <t>DA(-)3</t>
  </si>
  <si>
    <t>DA+9</t>
  </si>
  <si>
    <t>Aravali Infra-1</t>
  </si>
  <si>
    <t>Aravali Infra-2</t>
  </si>
  <si>
    <t>Tek lal maheto</t>
  </si>
  <si>
    <t>Mr. Sunil chouhan</t>
  </si>
  <si>
    <t>Mr. Abhishekh Yadav</t>
  </si>
  <si>
    <t>Mr.Sumanta Bashu</t>
  </si>
  <si>
    <t>Mr.Manjur alam</t>
  </si>
  <si>
    <t>08.11.2025</t>
  </si>
  <si>
    <t>11.11.2025</t>
  </si>
  <si>
    <t>03.11.2025</t>
  </si>
  <si>
    <t>07.11.2025</t>
  </si>
  <si>
    <t>26.10.2025</t>
  </si>
  <si>
    <t>02.11.2025</t>
  </si>
  <si>
    <t>16.11.2025</t>
  </si>
  <si>
    <t>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</si>
</sst>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_ * #,##0_ ;_ * \-#,##0_ ;_ * &quot;-&quot;??_ ;_ @_ "/>
    <numFmt numFmtId="166" formatCode="[$-409]d\-mmm\-yy;@"/>
    <numFmt numFmtId="167" formatCode="[$-F400]h:mm:ss\ AM/PM"/>
    <numFmt numFmtId="168" formatCode="[$-409]d/mmm/yy;@"/>
    <numFmt numFmtId="169" formatCode="0.0"/>
    <numFmt numFmtId="170" formatCode="#,##0.000"/>
    <numFmt numFmtId="171" formatCode="0.0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u/>
      <sz val="10"/>
      <color theme="0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8" fontId="1" fillId="0" borderId="0"/>
    <xf numFmtId="168" fontId="13" fillId="0" borderId="0"/>
    <xf numFmtId="9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</cellStyleXfs>
  <cellXfs count="2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4" fontId="0" fillId="0" borderId="3" xfId="1" applyFont="1" applyBorder="1" applyAlignment="1">
      <alignment vertical="center"/>
    </xf>
    <xf numFmtId="164" fontId="0" fillId="0" borderId="2" xfId="1" applyFont="1" applyBorder="1" applyAlignment="1">
      <alignment vertical="center"/>
    </xf>
    <xf numFmtId="164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164" fontId="0" fillId="0" borderId="1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5" fontId="0" fillId="0" borderId="3" xfId="1" applyNumberFormat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165" fontId="0" fillId="0" borderId="2" xfId="1" applyNumberFormat="1" applyFont="1" applyBorder="1" applyAlignment="1">
      <alignment vertical="center"/>
    </xf>
    <xf numFmtId="165" fontId="0" fillId="0" borderId="6" xfId="1" applyNumberFormat="1" applyFont="1" applyBorder="1" applyAlignment="1">
      <alignment vertical="center"/>
    </xf>
    <xf numFmtId="165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164" fontId="0" fillId="0" borderId="0" xfId="0" applyNumberForma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165" fontId="10" fillId="0" borderId="0" xfId="1" applyNumberFormat="1" applyFont="1" applyAlignment="1">
      <alignment vertical="center"/>
    </xf>
    <xf numFmtId="164" fontId="3" fillId="0" borderId="3" xfId="1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5" fontId="0" fillId="4" borderId="0" xfId="1" applyNumberFormat="1" applyFont="1" applyFill="1" applyAlignment="1">
      <alignment horizontal="center" vertical="center"/>
    </xf>
    <xf numFmtId="165" fontId="10" fillId="4" borderId="0" xfId="1" applyNumberFormat="1" applyFont="1" applyFill="1" applyAlignment="1">
      <alignment horizontal="center" vertical="center"/>
    </xf>
    <xf numFmtId="165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5" fontId="3" fillId="5" borderId="0" xfId="1" applyNumberFormat="1" applyFont="1" applyFill="1" applyAlignment="1">
      <alignment vertical="center"/>
    </xf>
    <xf numFmtId="165" fontId="3" fillId="4" borderId="0" xfId="1" applyNumberFormat="1" applyFont="1" applyFill="1" applyAlignment="1">
      <alignment horizontal="center" vertical="center"/>
    </xf>
    <xf numFmtId="165" fontId="15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67" fontId="17" fillId="6" borderId="14" xfId="3" applyNumberFormat="1" applyFont="1" applyFill="1" applyBorder="1" applyAlignment="1">
      <alignment horizontal="center" vertical="center" wrapText="1"/>
    </xf>
    <xf numFmtId="166" fontId="17" fillId="6" borderId="14" xfId="3" applyNumberFormat="1" applyFont="1" applyFill="1" applyBorder="1" applyAlignment="1" applyProtection="1">
      <alignment horizontal="center" vertical="center" wrapText="1"/>
      <protection locked="0"/>
    </xf>
    <xf numFmtId="1" fontId="17" fillId="6" borderId="14" xfId="3" applyNumberFormat="1" applyFont="1" applyFill="1" applyBorder="1" applyAlignment="1">
      <alignment horizontal="center" vertical="center" wrapText="1"/>
    </xf>
    <xf numFmtId="167" fontId="17" fillId="6" borderId="14" xfId="4" applyNumberFormat="1" applyFont="1" applyFill="1" applyBorder="1" applyAlignment="1">
      <alignment horizontal="center" vertical="center" wrapText="1"/>
    </xf>
    <xf numFmtId="168" fontId="18" fillId="0" borderId="1" xfId="5" applyFont="1" applyBorder="1" applyAlignment="1">
      <alignment horizontal="center" vertical="center" wrapText="1"/>
    </xf>
    <xf numFmtId="166" fontId="19" fillId="0" borderId="1" xfId="6" applyNumberFormat="1" applyFont="1" applyBorder="1" applyAlignment="1">
      <alignment horizontal="center" vertical="center" wrapText="1"/>
    </xf>
    <xf numFmtId="166" fontId="18" fillId="0" borderId="1" xfId="6" applyNumberFormat="1" applyFont="1" applyBorder="1" applyAlignment="1">
      <alignment horizontal="center" vertical="center" wrapText="1"/>
    </xf>
    <xf numFmtId="166" fontId="18" fillId="0" borderId="1" xfId="6" quotePrefix="1" applyNumberFormat="1" applyFont="1" applyBorder="1" applyAlignment="1">
      <alignment vertical="center" wrapText="1"/>
    </xf>
    <xf numFmtId="0" fontId="18" fillId="0" borderId="1" xfId="6" applyNumberFormat="1" applyFont="1" applyBorder="1" applyAlignment="1">
      <alignment horizontal="center" vertical="center" wrapText="1"/>
    </xf>
    <xf numFmtId="1" fontId="20" fillId="0" borderId="4" xfId="7" applyNumberFormat="1" applyFont="1" applyBorder="1" applyAlignment="1">
      <alignment horizontal="center" vertical="center" wrapText="1"/>
    </xf>
    <xf numFmtId="1" fontId="20" fillId="0" borderId="3" xfId="7" applyNumberFormat="1" applyFont="1" applyBorder="1" applyAlignment="1">
      <alignment horizontal="center" vertical="center" wrapText="1"/>
    </xf>
    <xf numFmtId="1" fontId="18" fillId="7" borderId="3" xfId="7" applyNumberFormat="1" applyFont="1" applyFill="1" applyBorder="1" applyAlignment="1">
      <alignment horizontal="center" vertical="center" wrapText="1"/>
    </xf>
    <xf numFmtId="1" fontId="18" fillId="2" borderId="3" xfId="7" applyNumberFormat="1" applyFont="1" applyFill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20" fillId="0" borderId="1" xfId="7" applyNumberFormat="1" applyFont="1" applyBorder="1" applyAlignment="1">
      <alignment horizontal="center" vertical="center" wrapText="1"/>
    </xf>
    <xf numFmtId="169" fontId="18" fillId="8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/>
    <xf numFmtId="164" fontId="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166" fontId="11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64" fontId="0" fillId="0" borderId="3" xfId="1" applyFont="1" applyFill="1" applyBorder="1" applyAlignment="1">
      <alignment vertical="center"/>
    </xf>
    <xf numFmtId="165" fontId="0" fillId="0" borderId="1" xfId="1" applyNumberFormat="1" applyFont="1" applyFill="1" applyBorder="1" applyAlignment="1">
      <alignment vertical="center"/>
    </xf>
    <xf numFmtId="14" fontId="0" fillId="0" borderId="4" xfId="0" applyNumberFormat="1" applyBorder="1" applyAlignment="1">
      <alignment vertical="center"/>
    </xf>
    <xf numFmtId="165" fontId="0" fillId="0" borderId="4" xfId="1" applyNumberFormat="1" applyFont="1" applyFill="1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5" fontId="0" fillId="0" borderId="3" xfId="1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4" fontId="1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13" fillId="0" borderId="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6" xfId="1" applyFont="1" applyBorder="1" applyAlignment="1">
      <alignment vertical="center"/>
    </xf>
    <xf numFmtId="0" fontId="23" fillId="9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71" fontId="26" fillId="0" borderId="1" xfId="0" applyNumberFormat="1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2" fontId="26" fillId="4" borderId="1" xfId="0" applyNumberFormat="1" applyFont="1" applyFill="1" applyBorder="1" applyAlignment="1">
      <alignment horizontal="center" vertical="center" wrapText="1"/>
    </xf>
    <xf numFmtId="171" fontId="3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1" fontId="11" fillId="0" borderId="0" xfId="0" applyNumberFormat="1" applyFont="1" applyAlignment="1">
      <alignment vertical="center"/>
    </xf>
    <xf numFmtId="164" fontId="11" fillId="0" borderId="0" xfId="1" applyFont="1" applyFill="1" applyBorder="1" applyAlignment="1">
      <alignment vertical="center"/>
    </xf>
    <xf numFmtId="164" fontId="12" fillId="0" borderId="0" xfId="1" applyFont="1" applyFill="1" applyBorder="1" applyAlignment="1">
      <alignment vertic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1" fontId="11" fillId="0" borderId="1" xfId="0" applyNumberFormat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29" fillId="0" borderId="0" xfId="0" applyFont="1" applyAlignment="1">
      <alignment vertical="center"/>
    </xf>
    <xf numFmtId="0" fontId="28" fillId="0" borderId="0" xfId="0" applyFont="1" applyAlignment="1">
      <alignment horizontal="right" vertical="center" indent="1"/>
    </xf>
    <xf numFmtId="0" fontId="30" fillId="0" borderId="0" xfId="0" applyFont="1" applyAlignment="1">
      <alignment horizontal="center" vertical="center"/>
    </xf>
    <xf numFmtId="14" fontId="11" fillId="0" borderId="0" xfId="0" applyNumberFormat="1" applyFont="1" applyAlignment="1">
      <alignment vertical="center"/>
    </xf>
    <xf numFmtId="165" fontId="11" fillId="0" borderId="0" xfId="1" applyNumberFormat="1" applyFont="1" applyFill="1" applyBorder="1" applyAlignment="1">
      <alignment vertical="center"/>
    </xf>
    <xf numFmtId="0" fontId="28" fillId="3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center"/>
    </xf>
    <xf numFmtId="165" fontId="11" fillId="10" borderId="1" xfId="1" applyNumberFormat="1" applyFont="1" applyFill="1" applyBorder="1" applyAlignment="1">
      <alignment horizontal="center"/>
    </xf>
    <xf numFmtId="14" fontId="11" fillId="10" borderId="1" xfId="0" applyNumberFormat="1" applyFont="1" applyFill="1" applyBorder="1" applyAlignment="1">
      <alignment horizontal="center" vertical="center"/>
    </xf>
    <xf numFmtId="14" fontId="11" fillId="10" borderId="1" xfId="0" applyNumberFormat="1" applyFont="1" applyFill="1" applyBorder="1" applyAlignment="1">
      <alignment horizontal="center"/>
    </xf>
    <xf numFmtId="14" fontId="11" fillId="0" borderId="1" xfId="0" applyNumberFormat="1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0" fontId="27" fillId="3" borderId="4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14" fontId="31" fillId="0" borderId="1" xfId="0" applyNumberFormat="1" applyFont="1" applyBorder="1" applyAlignment="1">
      <alignment horizontal="center"/>
    </xf>
    <xf numFmtId="0" fontId="32" fillId="0" borderId="0" xfId="0" applyFont="1"/>
    <xf numFmtId="0" fontId="33" fillId="2" borderId="15" xfId="27" applyFont="1" applyFill="1" applyBorder="1" applyAlignment="1">
      <alignment horizontal="center" vertical="center"/>
    </xf>
    <xf numFmtId="0" fontId="33" fillId="2" borderId="13" xfId="27" applyFont="1" applyFill="1" applyBorder="1" applyAlignment="1">
      <alignment horizontal="center" vertical="center"/>
    </xf>
    <xf numFmtId="0" fontId="33" fillId="2" borderId="1" xfId="27" applyFont="1" applyFill="1" applyBorder="1" applyAlignment="1">
      <alignment horizontal="center" vertical="center"/>
    </xf>
    <xf numFmtId="0" fontId="33" fillId="2" borderId="16" xfId="27" applyFont="1" applyFill="1" applyBorder="1" applyAlignment="1">
      <alignment horizontal="center" vertical="center"/>
    </xf>
    <xf numFmtId="0" fontId="33" fillId="2" borderId="17" xfId="27" applyFont="1" applyFill="1" applyBorder="1" applyAlignment="1">
      <alignment horizontal="center" vertical="center"/>
    </xf>
    <xf numFmtId="0" fontId="33" fillId="2" borderId="4" xfId="27" applyFont="1" applyFill="1" applyBorder="1" applyAlignment="1">
      <alignment horizontal="center" vertical="center"/>
    </xf>
    <xf numFmtId="0" fontId="33" fillId="2" borderId="18" xfId="27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6" fontId="25" fillId="0" borderId="20" xfId="0" quotePrefix="1" applyNumberFormat="1" applyFont="1" applyBorder="1" applyAlignment="1">
      <alignment horizontal="center" vertical="center"/>
    </xf>
    <xf numFmtId="14" fontId="25" fillId="0" borderId="1" xfId="0" quotePrefix="1" applyNumberFormat="1" applyFont="1" applyBorder="1" applyAlignment="1">
      <alignment horizontal="center" vertical="center" wrapText="1"/>
    </xf>
    <xf numFmtId="15" fontId="33" fillId="10" borderId="1" xfId="0" applyNumberFormat="1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/>
    </xf>
    <xf numFmtId="15" fontId="33" fillId="10" borderId="1" xfId="0" applyNumberFormat="1" applyFont="1" applyFill="1" applyBorder="1" applyAlignment="1">
      <alignment horizontal="center"/>
    </xf>
    <xf numFmtId="0" fontId="25" fillId="0" borderId="20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10" borderId="1" xfId="0" applyFill="1" applyBorder="1" applyAlignment="1">
      <alignment horizontal="center" vertical="center" wrapText="1"/>
    </xf>
    <xf numFmtId="16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34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171" fontId="34" fillId="10" borderId="9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inden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8">
    <cellStyle name="Comma" xfId="1" builtinId="3"/>
    <cellStyle name="Comma 2" xfId="8" xr:uid="{2E20F6CD-B1A5-4CBE-90C6-C0D98A914F04}"/>
    <cellStyle name="Excel Built-in Normal" xfId="26" xr:uid="{4B0B78A8-24BE-4DE7-B5BF-D3DFA24ECD02}"/>
    <cellStyle name="Normal" xfId="0" builtinId="0"/>
    <cellStyle name="Normal 103" xfId="24" xr:uid="{91A4F84A-61E0-4BF9-80BE-E89A220C73D0}"/>
    <cellStyle name="Normal 11" xfId="5" xr:uid="{8A939B8D-25B5-4FC2-BE9D-DDCA7038C58F}"/>
    <cellStyle name="Normal 120" xfId="21" xr:uid="{51933D66-E223-4713-A2CA-4B3163621514}"/>
    <cellStyle name="Normal 17" xfId="10" xr:uid="{FB728059-7B66-4FB9-A5E0-ADE18B5FFE38}"/>
    <cellStyle name="Normal 188" xfId="12" xr:uid="{3CFBDC6D-5D6B-482D-AA21-814FB75E0B2F}"/>
    <cellStyle name="Normal 191" xfId="22" xr:uid="{D3C5529B-92F0-42E8-A10F-B7F5CCCD876D}"/>
    <cellStyle name="Normal 192" xfId="11" xr:uid="{D8393BB2-6890-4D3C-9BE2-095148EFAA3D}"/>
    <cellStyle name="Normal 195" xfId="20" xr:uid="{29503BE6-7324-48E9-9756-7D243BA75515}"/>
    <cellStyle name="Normal 196" xfId="15" xr:uid="{90DC8C3C-61E2-4A76-8A25-09F0D5F88207}"/>
    <cellStyle name="Normal 2 10 2 5 2" xfId="6" xr:uid="{0EA982F3-DC21-4E99-AAAB-6AD064B0EC05}"/>
    <cellStyle name="Normal 2 10 2 6" xfId="3" xr:uid="{BB34A5C0-63BA-480D-920F-445FEC5EA3E3}"/>
    <cellStyle name="Normal 2 2" xfId="9" xr:uid="{EB1085D2-CAC1-49AF-881E-5E46E6B9465A}"/>
    <cellStyle name="Normal 201 2" xfId="19" xr:uid="{7A9F1CE6-A645-432E-B2C2-9793B018DF90}"/>
    <cellStyle name="Normal 207" xfId="14" xr:uid="{BA8AB5B8-961E-4DFA-94B4-5E9EEE3A490F}"/>
    <cellStyle name="Normal 211" xfId="13" xr:uid="{58520A77-1171-433D-8FAE-25797FF0B801}"/>
    <cellStyle name="Normal 218" xfId="17" xr:uid="{E55ABECC-E800-4903-9A1C-14BDD498D09D}"/>
    <cellStyle name="Normal 219" xfId="18" xr:uid="{DFC60562-02A4-4EA4-8096-F18F39B0DE19}"/>
    <cellStyle name="Normal 222" xfId="16" xr:uid="{83AE90D7-9474-4B42-9990-710167A5A419}"/>
    <cellStyle name="Normal 3" xfId="25" xr:uid="{2DA1E557-7CA6-467D-8A70-659D8412FB6A}"/>
    <cellStyle name="Normal 3 10" xfId="27" xr:uid="{CA7B12E2-DB4F-41A0-8414-726E8D4B45BC}"/>
    <cellStyle name="Normal 5" xfId="23" xr:uid="{3FC12385-9363-45A8-94D8-55F9303BEA9B}"/>
    <cellStyle name="Normal_Rev_IPP_ BUB_ 10.04.09 2" xfId="4" xr:uid="{526D1CE4-A6A3-4EA2-BCF4-E0959F12CAFC}"/>
    <cellStyle name="Percent" xfId="2" builtinId="5"/>
    <cellStyle name="Percent 2" xfId="7" xr:uid="{36A5E538-A591-4B85-8561-9BC706E69FE8}"/>
  </cellStyles>
  <dxfs count="128"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"/>
  <sheetViews>
    <sheetView zoomScale="80" zoomScaleNormal="80" workbookViewId="0">
      <pane xSplit="4" ySplit="10" topLeftCell="E11" activePane="bottomRight" state="frozen"/>
      <selection activeCell="G16" sqref="G16"/>
      <selection pane="topRight" activeCell="G16" sqref="G16"/>
      <selection pane="bottomLeft" activeCell="G16" sqref="G16"/>
      <selection pane="bottomRight" activeCell="G16" sqref="G16"/>
    </sheetView>
  </sheetViews>
  <sheetFormatPr defaultColWidth="9.1796875" defaultRowHeight="14.5" x14ac:dyDescent="0.35"/>
  <cols>
    <col min="1" max="1" width="4.1796875" style="4" customWidth="1"/>
    <col min="2" max="3" width="10" style="1" customWidth="1"/>
    <col min="4" max="4" width="12.54296875" style="4" customWidth="1"/>
    <col min="5" max="6" width="8.7265625" style="4" customWidth="1"/>
    <col min="7" max="7" width="22.26953125" style="4" customWidth="1"/>
    <col min="8" max="8" width="14.26953125" style="1" customWidth="1"/>
    <col min="9" max="9" width="11.54296875" style="1" customWidth="1"/>
    <col min="10" max="10" width="12.54296875" style="1" customWidth="1"/>
    <col min="11" max="11" width="16.1796875" style="1" customWidth="1"/>
    <col min="12" max="12" width="12.1796875" style="1" customWidth="1"/>
    <col min="13" max="13" width="14.81640625" style="1" customWidth="1"/>
    <col min="14" max="14" width="11.26953125" style="1" customWidth="1"/>
    <col min="15" max="15" width="12.1796875" style="1" customWidth="1"/>
    <col min="16" max="16" width="17.7265625" style="1" customWidth="1"/>
    <col min="17" max="17" width="3.1796875" style="1" customWidth="1"/>
    <col min="18" max="18" width="14.54296875" style="1" customWidth="1"/>
    <col min="19" max="19" width="3.1796875" style="1" customWidth="1"/>
    <col min="20" max="25" width="8.7265625" style="1" customWidth="1"/>
    <col min="26" max="26" width="3.1796875" style="1" customWidth="1"/>
    <col min="27" max="27" width="15" style="1" customWidth="1"/>
    <col min="28" max="28" width="15.54296875" style="1" customWidth="1"/>
    <col min="29" max="29" width="17.1796875" style="1" customWidth="1"/>
    <col min="30" max="30" width="13.81640625" style="1" customWidth="1"/>
    <col min="31" max="31" width="10.7265625" style="1" customWidth="1"/>
    <col min="32" max="32" width="15.54296875" style="1" customWidth="1"/>
    <col min="33" max="33" width="17.1796875" style="1" customWidth="1"/>
    <col min="34" max="16384" width="9.1796875" style="1"/>
  </cols>
  <sheetData>
    <row r="1" spans="1:13" ht="15" thickBot="1" x14ac:dyDescent="0.4">
      <c r="A1" s="13" t="s">
        <v>0</v>
      </c>
      <c r="D1" s="38" t="s">
        <v>48</v>
      </c>
    </row>
    <row r="2" spans="1:13" x14ac:dyDescent="0.35">
      <c r="A2" s="13" t="s">
        <v>21</v>
      </c>
      <c r="D2" s="3" t="s">
        <v>49</v>
      </c>
    </row>
    <row r="3" spans="1:13" x14ac:dyDescent="0.35">
      <c r="A3" s="6"/>
      <c r="D3" s="1"/>
    </row>
    <row r="4" spans="1:13" ht="15.5" x14ac:dyDescent="0.35">
      <c r="A4" s="13" t="s">
        <v>22</v>
      </c>
      <c r="D4" s="45" t="s">
        <v>1</v>
      </c>
      <c r="E4" s="28" t="s">
        <v>35</v>
      </c>
      <c r="I4" s="80"/>
      <c r="J4" s="81"/>
      <c r="K4" s="95"/>
      <c r="L4" s="82"/>
      <c r="M4" s="83"/>
    </row>
    <row r="5" spans="1:13" x14ac:dyDescent="0.35">
      <c r="A5" s="6"/>
      <c r="D5" s="2" t="s">
        <v>29</v>
      </c>
      <c r="E5" s="53">
        <v>302</v>
      </c>
      <c r="J5" s="4"/>
      <c r="K5" s="4"/>
    </row>
    <row r="6" spans="1:13" ht="16" x14ac:dyDescent="0.35">
      <c r="A6" s="6"/>
      <c r="D6" s="2" t="s">
        <v>85</v>
      </c>
      <c r="E6" s="54">
        <v>301</v>
      </c>
      <c r="K6" s="3"/>
      <c r="M6" s="98"/>
    </row>
    <row r="7" spans="1:13" x14ac:dyDescent="0.35">
      <c r="A7" s="6"/>
      <c r="D7" s="2" t="s">
        <v>2</v>
      </c>
      <c r="E7" s="30">
        <f>E5-E6</f>
        <v>1</v>
      </c>
      <c r="K7" s="3"/>
      <c r="M7" s="98"/>
    </row>
    <row r="8" spans="1:13" ht="5.15" customHeight="1" thickBot="1" x14ac:dyDescent="0.4">
      <c r="A8" s="6"/>
      <c r="D8" s="1"/>
    </row>
    <row r="9" spans="1:13" ht="15" thickBot="1" x14ac:dyDescent="0.4">
      <c r="A9" s="13" t="s">
        <v>23</v>
      </c>
      <c r="D9" s="39">
        <v>45809</v>
      </c>
      <c r="E9" s="42">
        <v>1</v>
      </c>
      <c r="F9" s="3" t="s">
        <v>3</v>
      </c>
      <c r="G9" s="47">
        <f>P30</f>
        <v>4925228.8899999997</v>
      </c>
      <c r="H9" s="3" t="s">
        <v>20</v>
      </c>
    </row>
    <row r="10" spans="1:13" ht="5.15" customHeight="1" x14ac:dyDescent="0.35">
      <c r="A10" s="13"/>
      <c r="D10" s="1"/>
      <c r="E10" s="1"/>
      <c r="F10" s="13"/>
    </row>
    <row r="11" spans="1:13" x14ac:dyDescent="0.35">
      <c r="A11" s="13" t="s">
        <v>33</v>
      </c>
      <c r="D11" s="2" t="s">
        <v>24</v>
      </c>
      <c r="E11" s="33">
        <f>T30</f>
        <v>1</v>
      </c>
      <c r="F11" s="48">
        <f>E11/$E$9</f>
        <v>1</v>
      </c>
      <c r="G11" s="29">
        <f>AA30</f>
        <v>4925228.8899999997</v>
      </c>
      <c r="H11" s="48">
        <f>G11/$G$9</f>
        <v>1</v>
      </c>
    </row>
    <row r="12" spans="1:13" x14ac:dyDescent="0.35">
      <c r="A12" s="5"/>
      <c r="D12" s="2" t="s">
        <v>25</v>
      </c>
      <c r="E12" s="33">
        <f>U30</f>
        <v>0</v>
      </c>
      <c r="F12" s="48">
        <f t="shared" ref="F12:F15" si="0">E12/$E$9</f>
        <v>0</v>
      </c>
      <c r="G12" s="29">
        <f>AB30</f>
        <v>0</v>
      </c>
      <c r="H12" s="48">
        <f t="shared" ref="H12:H15" si="1">G12/$G$9</f>
        <v>0</v>
      </c>
    </row>
    <row r="13" spans="1:13" x14ac:dyDescent="0.35">
      <c r="A13" s="5"/>
      <c r="D13" s="2" t="s">
        <v>26</v>
      </c>
      <c r="E13" s="33">
        <f>V30</f>
        <v>0</v>
      </c>
      <c r="F13" s="48">
        <f t="shared" si="0"/>
        <v>0</v>
      </c>
      <c r="G13" s="29">
        <f>AC30</f>
        <v>0</v>
      </c>
      <c r="H13" s="48">
        <f t="shared" si="1"/>
        <v>0</v>
      </c>
    </row>
    <row r="14" spans="1:13" x14ac:dyDescent="0.35">
      <c r="A14" s="5"/>
      <c r="D14" s="2" t="s">
        <v>27</v>
      </c>
      <c r="E14" s="33">
        <f>W30</f>
        <v>0</v>
      </c>
      <c r="F14" s="48">
        <f t="shared" si="0"/>
        <v>0</v>
      </c>
      <c r="G14" s="29">
        <f>AD30</f>
        <v>0</v>
      </c>
      <c r="H14" s="48">
        <f t="shared" si="1"/>
        <v>0</v>
      </c>
    </row>
    <row r="15" spans="1:13" ht="16" x14ac:dyDescent="0.35">
      <c r="A15" s="5"/>
      <c r="D15" s="28" t="s">
        <v>28</v>
      </c>
      <c r="E15" s="34">
        <f>X30</f>
        <v>0</v>
      </c>
      <c r="F15" s="48">
        <f t="shared" si="0"/>
        <v>0</v>
      </c>
      <c r="G15" s="32">
        <f>AE30</f>
        <v>0</v>
      </c>
      <c r="H15" s="48">
        <f t="shared" si="1"/>
        <v>0</v>
      </c>
    </row>
    <row r="16" spans="1:13" x14ac:dyDescent="0.35">
      <c r="A16" s="5" t="s">
        <v>51</v>
      </c>
      <c r="D16" s="27" t="s">
        <v>29</v>
      </c>
      <c r="E16" s="52">
        <f>SUM(E11:E15)</f>
        <v>1</v>
      </c>
      <c r="F16" s="51">
        <f>E16/E9</f>
        <v>1</v>
      </c>
      <c r="G16" s="31">
        <f>SUM(G11:G15)</f>
        <v>4925228.8899999997</v>
      </c>
      <c r="H16" s="50">
        <f>G16/G9</f>
        <v>1</v>
      </c>
    </row>
    <row r="17" spans="1:33" x14ac:dyDescent="0.35">
      <c r="A17" s="5"/>
      <c r="D17" s="6"/>
      <c r="E17" s="6"/>
      <c r="F17" s="6"/>
    </row>
    <row r="18" spans="1:33" ht="22.5" customHeight="1" x14ac:dyDescent="0.35">
      <c r="A18" s="201" t="s">
        <v>4</v>
      </c>
      <c r="B18" s="201" t="s">
        <v>5</v>
      </c>
      <c r="C18" s="197" t="s">
        <v>6</v>
      </c>
      <c r="D18" s="201" t="s">
        <v>7</v>
      </c>
      <c r="E18" s="197" t="s">
        <v>16</v>
      </c>
      <c r="F18" s="197" t="s">
        <v>17</v>
      </c>
      <c r="G18" s="201" t="s">
        <v>8</v>
      </c>
      <c r="H18" s="188" t="s">
        <v>18</v>
      </c>
      <c r="I18" s="188"/>
      <c r="J18" s="188"/>
      <c r="K18" s="188"/>
      <c r="L18" s="188"/>
      <c r="M18" s="188"/>
      <c r="N18" s="188"/>
      <c r="O18" s="188"/>
      <c r="P18" s="191" t="s">
        <v>19</v>
      </c>
      <c r="R18" s="197" t="s">
        <v>36</v>
      </c>
      <c r="T18" s="192" t="s">
        <v>31</v>
      </c>
      <c r="U18" s="193"/>
      <c r="V18" s="193"/>
      <c r="W18" s="193"/>
      <c r="X18" s="193"/>
      <c r="Y18" s="194"/>
      <c r="AA18" s="192" t="s">
        <v>30</v>
      </c>
      <c r="AB18" s="193"/>
      <c r="AC18" s="193"/>
      <c r="AD18" s="193"/>
      <c r="AE18" s="193"/>
      <c r="AF18" s="194"/>
      <c r="AG18" s="195" t="s">
        <v>34</v>
      </c>
    </row>
    <row r="19" spans="1:33" ht="21" customHeight="1" x14ac:dyDescent="0.35">
      <c r="A19" s="202"/>
      <c r="B19" s="202"/>
      <c r="C19" s="199"/>
      <c r="D19" s="202"/>
      <c r="E19" s="199"/>
      <c r="F19" s="199"/>
      <c r="G19" s="202"/>
      <c r="H19" s="187" t="s">
        <v>9</v>
      </c>
      <c r="I19" s="187"/>
      <c r="J19" s="187" t="s">
        <v>12</v>
      </c>
      <c r="K19" s="187"/>
      <c r="L19" s="187" t="s">
        <v>13</v>
      </c>
      <c r="M19" s="187"/>
      <c r="N19" s="185" t="s">
        <v>15</v>
      </c>
      <c r="O19" s="185" t="s">
        <v>14</v>
      </c>
      <c r="P19" s="191"/>
      <c r="R19" s="198"/>
      <c r="T19" s="189" t="s">
        <v>24</v>
      </c>
      <c r="U19" s="189" t="s">
        <v>25</v>
      </c>
      <c r="V19" s="189" t="s">
        <v>26</v>
      </c>
      <c r="W19" s="189" t="s">
        <v>27</v>
      </c>
      <c r="X19" s="189" t="s">
        <v>28</v>
      </c>
      <c r="Y19" s="43" t="s">
        <v>29</v>
      </c>
      <c r="AA19" s="189" t="s">
        <v>24</v>
      </c>
      <c r="AB19" s="189" t="s">
        <v>25</v>
      </c>
      <c r="AC19" s="189" t="s">
        <v>26</v>
      </c>
      <c r="AD19" s="189" t="s">
        <v>27</v>
      </c>
      <c r="AE19" s="189" t="s">
        <v>28</v>
      </c>
      <c r="AF19" s="43" t="s">
        <v>29</v>
      </c>
      <c r="AG19" s="196"/>
    </row>
    <row r="20" spans="1:33" ht="15" thickBot="1" x14ac:dyDescent="0.4">
      <c r="A20" s="203"/>
      <c r="B20" s="202"/>
      <c r="C20" s="199"/>
      <c r="D20" s="202"/>
      <c r="E20" s="200"/>
      <c r="F20" s="200"/>
      <c r="G20" s="202"/>
      <c r="H20" s="94" t="s">
        <v>10</v>
      </c>
      <c r="I20" s="94" t="s">
        <v>11</v>
      </c>
      <c r="J20" s="94" t="s">
        <v>10</v>
      </c>
      <c r="K20" s="94" t="s">
        <v>11</v>
      </c>
      <c r="L20" s="94" t="s">
        <v>10</v>
      </c>
      <c r="M20" s="94" t="s">
        <v>11</v>
      </c>
      <c r="N20" s="186"/>
      <c r="O20" s="186"/>
      <c r="P20" s="44" t="s">
        <v>50</v>
      </c>
      <c r="R20" s="18" t="s">
        <v>37</v>
      </c>
      <c r="T20" s="190"/>
      <c r="U20" s="190"/>
      <c r="V20" s="190"/>
      <c r="W20" s="190"/>
      <c r="X20" s="190"/>
      <c r="Y20" s="19"/>
      <c r="AA20" s="190"/>
      <c r="AB20" s="190"/>
      <c r="AC20" s="190"/>
      <c r="AD20" s="190"/>
      <c r="AE20" s="190"/>
      <c r="AF20" s="19" t="s">
        <v>50</v>
      </c>
      <c r="AG20" s="44" t="s">
        <v>50</v>
      </c>
    </row>
    <row r="21" spans="1:33" ht="15" customHeight="1" x14ac:dyDescent="0.35">
      <c r="A21" s="97">
        <v>1</v>
      </c>
      <c r="B21" s="108" t="s">
        <v>81</v>
      </c>
      <c r="C21" s="103" t="s">
        <v>80</v>
      </c>
      <c r="D21" s="8" t="s">
        <v>77</v>
      </c>
      <c r="E21" s="102">
        <v>261.19600000000003</v>
      </c>
      <c r="F21" s="97">
        <v>15.029</v>
      </c>
      <c r="G21" s="107" t="s">
        <v>78</v>
      </c>
      <c r="H21" s="99">
        <v>45798</v>
      </c>
      <c r="I21" s="99">
        <v>45801</v>
      </c>
      <c r="J21" s="99">
        <v>45802</v>
      </c>
      <c r="K21" s="99">
        <v>45803</v>
      </c>
      <c r="L21" s="99">
        <v>45804</v>
      </c>
      <c r="M21" s="99">
        <v>45809</v>
      </c>
      <c r="N21" s="99">
        <v>45810</v>
      </c>
      <c r="O21" s="99">
        <v>45811</v>
      </c>
      <c r="P21" s="100">
        <v>4925228.8899999997</v>
      </c>
      <c r="R21" s="99">
        <v>45811</v>
      </c>
      <c r="T21" s="91">
        <v>1</v>
      </c>
      <c r="U21" s="91"/>
      <c r="V21" s="96"/>
      <c r="W21" s="96"/>
      <c r="X21" s="96"/>
      <c r="Y21" s="96">
        <f>SUM(T21:X21)</f>
        <v>1</v>
      </c>
      <c r="AA21" s="88">
        <f>$P$21*T21</f>
        <v>4925228.8899999997</v>
      </c>
      <c r="AB21" s="88">
        <f>$P$21*U21</f>
        <v>0</v>
      </c>
      <c r="AC21" s="88">
        <f t="shared" ref="AC21:AE21" si="2">$P$21*V21</f>
        <v>0</v>
      </c>
      <c r="AD21" s="88">
        <f t="shared" si="2"/>
        <v>0</v>
      </c>
      <c r="AE21" s="15">
        <f t="shared" si="2"/>
        <v>0</v>
      </c>
      <c r="AF21" s="35">
        <f>SUM(AA21:AE21)</f>
        <v>4925228.8899999997</v>
      </c>
      <c r="AG21" s="20">
        <f>P21-AF21</f>
        <v>0</v>
      </c>
    </row>
    <row r="22" spans="1:33" ht="15" hidden="1" customHeight="1" x14ac:dyDescent="0.35">
      <c r="A22" s="97">
        <v>2</v>
      </c>
      <c r="B22" s="110"/>
      <c r="C22" s="112"/>
      <c r="D22" s="113"/>
      <c r="E22" s="101"/>
      <c r="F22" s="8"/>
      <c r="G22" s="107"/>
      <c r="H22" s="99"/>
      <c r="I22" s="99"/>
      <c r="J22" s="99"/>
      <c r="K22" s="99"/>
      <c r="L22" s="99"/>
      <c r="M22" s="99"/>
      <c r="N22" s="99"/>
      <c r="O22" s="99"/>
      <c r="P22" s="100"/>
      <c r="R22" s="90"/>
      <c r="T22" s="91"/>
      <c r="U22" s="91"/>
      <c r="V22" s="96"/>
      <c r="W22" s="96"/>
      <c r="X22" s="96"/>
      <c r="Y22" s="96">
        <f t="shared" ref="Y22:Y23" si="3">SUM(T22:X22)</f>
        <v>0</v>
      </c>
      <c r="AA22" s="88"/>
      <c r="AB22" s="88"/>
      <c r="AC22" s="88"/>
      <c r="AD22" s="88"/>
      <c r="AE22" s="15">
        <f>$P$22*X22</f>
        <v>0</v>
      </c>
      <c r="AF22" s="35">
        <f>SUM(AA22:AE22)</f>
        <v>0</v>
      </c>
      <c r="AG22" s="20">
        <f>P22-AF22</f>
        <v>0</v>
      </c>
    </row>
    <row r="23" spans="1:33" ht="15" hidden="1" customHeight="1" x14ac:dyDescent="0.35">
      <c r="A23" s="97">
        <v>3</v>
      </c>
      <c r="B23" s="108"/>
      <c r="C23" s="103"/>
      <c r="D23" s="86"/>
      <c r="E23" s="102"/>
      <c r="F23" s="97"/>
      <c r="G23" s="111"/>
      <c r="H23" s="99"/>
      <c r="I23" s="99"/>
      <c r="J23" s="99"/>
      <c r="K23" s="99"/>
      <c r="L23" s="99"/>
      <c r="M23" s="99"/>
      <c r="N23" s="99"/>
      <c r="O23" s="99"/>
      <c r="P23" s="100"/>
      <c r="R23" s="90"/>
      <c r="T23" s="91"/>
      <c r="U23" s="91"/>
      <c r="V23" s="96"/>
      <c r="W23" s="96"/>
      <c r="X23" s="96"/>
      <c r="Y23" s="96">
        <f t="shared" si="3"/>
        <v>0</v>
      </c>
      <c r="AA23" s="88">
        <f t="shared" ref="AA23:AA25" si="4">$P$21*T23</f>
        <v>0</v>
      </c>
      <c r="AB23" s="88">
        <f t="shared" ref="AB23:AB26" si="5">$P$21*U23</f>
        <v>0</v>
      </c>
      <c r="AC23" s="88">
        <f t="shared" ref="AC23:AC26" si="6">$P$21*V23</f>
        <v>0</v>
      </c>
      <c r="AD23" s="88">
        <f>$P$23*W23</f>
        <v>0</v>
      </c>
      <c r="AE23" s="15">
        <f t="shared" ref="AE23:AE26" si="7">$P$21*X23</f>
        <v>0</v>
      </c>
      <c r="AF23" s="35">
        <f t="shared" ref="AF23:AF27" si="8">SUM(AA23:AE23)</f>
        <v>0</v>
      </c>
      <c r="AG23" s="20">
        <f>P23-AF23</f>
        <v>0</v>
      </c>
    </row>
    <row r="24" spans="1:33" ht="15" hidden="1" customHeight="1" x14ac:dyDescent="0.35">
      <c r="A24" s="97">
        <v>4</v>
      </c>
      <c r="B24" s="116"/>
      <c r="C24" s="106"/>
      <c r="D24" s="86"/>
      <c r="E24" s="101"/>
      <c r="F24" s="8"/>
      <c r="G24" s="107"/>
      <c r="H24" s="99"/>
      <c r="I24" s="99"/>
      <c r="J24" s="99"/>
      <c r="K24" s="99"/>
      <c r="L24" s="99"/>
      <c r="M24" s="99"/>
      <c r="N24" s="99"/>
      <c r="O24" s="99"/>
      <c r="P24" s="100"/>
      <c r="R24" s="87"/>
      <c r="T24" s="89"/>
      <c r="U24" s="89"/>
      <c r="V24" s="89"/>
      <c r="W24" s="89"/>
      <c r="X24" s="89"/>
      <c r="Y24" s="89">
        <f t="shared" ref="Y24:Y29" si="9">SUM(T24:X24)</f>
        <v>0</v>
      </c>
      <c r="AA24" s="88">
        <f t="shared" si="4"/>
        <v>0</v>
      </c>
      <c r="AB24" s="88">
        <f t="shared" si="5"/>
        <v>0</v>
      </c>
      <c r="AC24" s="88">
        <f>$P$24*V24</f>
        <v>0</v>
      </c>
      <c r="AD24" s="88">
        <f t="shared" ref="AD24:AD25" si="10">$P$21*W24</f>
        <v>0</v>
      </c>
      <c r="AE24" s="15">
        <f>$P$24*X24</f>
        <v>0</v>
      </c>
      <c r="AF24" s="35">
        <f t="shared" si="8"/>
        <v>0</v>
      </c>
      <c r="AG24" s="20">
        <f t="shared" ref="AG24:AG28" si="11">P24-AF24</f>
        <v>0</v>
      </c>
    </row>
    <row r="25" spans="1:33" ht="15" hidden="1" customHeight="1" x14ac:dyDescent="0.35">
      <c r="A25" s="97">
        <v>5</v>
      </c>
      <c r="B25" s="108"/>
      <c r="C25" s="103"/>
      <c r="D25" s="86"/>
      <c r="E25" s="101"/>
      <c r="F25" s="8"/>
      <c r="G25" s="183"/>
      <c r="H25" s="99"/>
      <c r="I25" s="99"/>
      <c r="J25" s="99"/>
      <c r="K25" s="99"/>
      <c r="L25" s="99"/>
      <c r="M25" s="99"/>
      <c r="N25" s="99"/>
      <c r="O25" s="99"/>
      <c r="P25" s="100"/>
      <c r="R25" s="87"/>
      <c r="T25" s="89"/>
      <c r="U25" s="89"/>
      <c r="V25" s="89"/>
      <c r="W25" s="89"/>
      <c r="X25" s="89"/>
      <c r="Y25" s="89">
        <f t="shared" si="9"/>
        <v>0</v>
      </c>
      <c r="AA25" s="88">
        <f t="shared" si="4"/>
        <v>0</v>
      </c>
      <c r="AB25" s="88">
        <f>$P$25*U25</f>
        <v>0</v>
      </c>
      <c r="AC25" s="88">
        <f>$P$25*V25</f>
        <v>0</v>
      </c>
      <c r="AD25" s="88">
        <f t="shared" si="10"/>
        <v>0</v>
      </c>
      <c r="AE25" s="15">
        <f t="shared" si="7"/>
        <v>0</v>
      </c>
      <c r="AF25" s="35">
        <f t="shared" si="8"/>
        <v>0</v>
      </c>
      <c r="AG25" s="20">
        <f t="shared" si="11"/>
        <v>0</v>
      </c>
    </row>
    <row r="26" spans="1:33" ht="15" hidden="1" customHeight="1" x14ac:dyDescent="0.35">
      <c r="A26" s="97">
        <v>6</v>
      </c>
      <c r="B26" s="108"/>
      <c r="C26" s="103"/>
      <c r="D26" s="8"/>
      <c r="E26" s="102"/>
      <c r="F26" s="97"/>
      <c r="G26" s="184"/>
      <c r="H26" s="99"/>
      <c r="I26" s="99"/>
      <c r="J26" s="99"/>
      <c r="K26" s="99"/>
      <c r="L26" s="99"/>
      <c r="M26" s="99"/>
      <c r="N26" s="99"/>
      <c r="O26" s="99"/>
      <c r="P26" s="100"/>
      <c r="R26" s="87"/>
      <c r="T26" s="89"/>
      <c r="U26" s="89"/>
      <c r="V26" s="89"/>
      <c r="W26" s="89"/>
      <c r="X26" s="89"/>
      <c r="Y26" s="89">
        <f t="shared" si="9"/>
        <v>0</v>
      </c>
      <c r="AA26" s="88">
        <f>$P$26*T26</f>
        <v>0</v>
      </c>
      <c r="AB26" s="88">
        <f t="shared" si="5"/>
        <v>0</v>
      </c>
      <c r="AC26" s="88">
        <f t="shared" si="6"/>
        <v>0</v>
      </c>
      <c r="AD26" s="88">
        <f>$P$26*W26</f>
        <v>0</v>
      </c>
      <c r="AE26" s="15">
        <f t="shared" si="7"/>
        <v>0</v>
      </c>
      <c r="AF26" s="35">
        <f t="shared" si="8"/>
        <v>0</v>
      </c>
      <c r="AG26" s="20">
        <f t="shared" si="11"/>
        <v>0</v>
      </c>
    </row>
    <row r="27" spans="1:33" ht="15" hidden="1" customHeight="1" x14ac:dyDescent="0.35">
      <c r="A27" s="97">
        <v>7</v>
      </c>
      <c r="B27" s="109"/>
      <c r="C27" s="103"/>
      <c r="D27" s="8"/>
      <c r="E27" s="102"/>
      <c r="F27" s="97"/>
      <c r="G27" s="107"/>
      <c r="H27" s="99"/>
      <c r="I27" s="99"/>
      <c r="J27" s="99"/>
      <c r="K27" s="99"/>
      <c r="L27" s="99"/>
      <c r="M27" s="99"/>
      <c r="N27" s="99"/>
      <c r="O27" s="99"/>
      <c r="P27" s="100"/>
      <c r="R27" s="87"/>
      <c r="T27" s="89"/>
      <c r="U27" s="89"/>
      <c r="V27" s="89"/>
      <c r="W27" s="89"/>
      <c r="X27" s="89"/>
      <c r="Y27" s="89">
        <f t="shared" si="9"/>
        <v>0</v>
      </c>
      <c r="AA27" s="88">
        <f>$P$21*T27</f>
        <v>0</v>
      </c>
      <c r="AB27" s="88">
        <f>$P$27*U27</f>
        <v>0</v>
      </c>
      <c r="AC27" s="88">
        <f t="shared" ref="AC27:AE28" si="12">$P$21*V27</f>
        <v>0</v>
      </c>
      <c r="AD27" s="88">
        <f t="shared" si="12"/>
        <v>0</v>
      </c>
      <c r="AE27" s="15">
        <f t="shared" si="12"/>
        <v>0</v>
      </c>
      <c r="AF27" s="35">
        <f t="shared" si="8"/>
        <v>0</v>
      </c>
      <c r="AG27" s="20">
        <f t="shared" si="11"/>
        <v>0</v>
      </c>
    </row>
    <row r="28" spans="1:33" ht="15" hidden="1" customHeight="1" x14ac:dyDescent="0.35">
      <c r="A28" s="97"/>
      <c r="B28" s="103"/>
      <c r="C28" s="103"/>
      <c r="D28" s="86"/>
      <c r="E28" s="101"/>
      <c r="F28" s="8"/>
      <c r="G28" s="104"/>
      <c r="H28" s="105"/>
      <c r="I28" s="99"/>
      <c r="J28" s="99"/>
      <c r="K28" s="99"/>
      <c r="L28" s="99"/>
      <c r="M28" s="105"/>
      <c r="N28" s="99"/>
      <c r="O28" s="99"/>
      <c r="P28" s="100"/>
      <c r="R28" s="90"/>
      <c r="T28" s="91"/>
      <c r="U28" s="91"/>
      <c r="V28" s="91"/>
      <c r="W28" s="91"/>
      <c r="X28" s="91"/>
      <c r="Y28" s="89">
        <f t="shared" si="9"/>
        <v>0</v>
      </c>
      <c r="AA28" s="88">
        <f>$P$21*T28</f>
        <v>0</v>
      </c>
      <c r="AB28" s="88">
        <f>$P$21*U28</f>
        <v>0</v>
      </c>
      <c r="AC28" s="88">
        <f t="shared" si="12"/>
        <v>0</v>
      </c>
      <c r="AD28" s="88">
        <f t="shared" si="12"/>
        <v>0</v>
      </c>
      <c r="AE28" s="15">
        <f t="shared" si="12"/>
        <v>0</v>
      </c>
      <c r="AF28" s="35">
        <f t="shared" ref="AF28" si="13">SUM(AA28:AE28)</f>
        <v>0</v>
      </c>
      <c r="AG28" s="20">
        <f t="shared" si="11"/>
        <v>0</v>
      </c>
    </row>
    <row r="29" spans="1:33" ht="20.149999999999999" hidden="1" customHeight="1" thickBot="1" x14ac:dyDescent="0.4">
      <c r="A29" s="11"/>
      <c r="B29" s="92"/>
      <c r="C29" s="93"/>
      <c r="D29" s="93"/>
      <c r="E29" s="93"/>
      <c r="F29" s="93"/>
      <c r="G29" s="93"/>
      <c r="H29" s="84"/>
      <c r="I29" s="84"/>
      <c r="J29" s="84"/>
      <c r="K29" s="84"/>
      <c r="L29" s="84"/>
      <c r="M29" s="84"/>
      <c r="N29" s="84"/>
      <c r="O29" s="84"/>
      <c r="P29" s="115"/>
      <c r="R29" s="12"/>
      <c r="T29" s="24"/>
      <c r="U29" s="24"/>
      <c r="V29" s="24"/>
      <c r="W29" s="24"/>
      <c r="X29" s="24"/>
      <c r="Y29" s="25">
        <f t="shared" si="9"/>
        <v>0</v>
      </c>
      <c r="AA29" s="16">
        <f>$P$29*T29</f>
        <v>0</v>
      </c>
      <c r="AB29" s="16">
        <f t="shared" ref="AB29:AE29" si="14">$P$29*U29</f>
        <v>0</v>
      </c>
      <c r="AC29" s="16">
        <f t="shared" si="14"/>
        <v>0</v>
      </c>
      <c r="AD29" s="16">
        <f t="shared" si="14"/>
        <v>0</v>
      </c>
      <c r="AE29" s="16">
        <f t="shared" si="14"/>
        <v>0</v>
      </c>
      <c r="AF29" s="37">
        <f t="shared" ref="AF29" si="15">SUM(AA29:AE29)</f>
        <v>0</v>
      </c>
      <c r="AG29" s="21">
        <f t="shared" ref="AG29" si="16">P29-AF29</f>
        <v>0</v>
      </c>
    </row>
    <row r="30" spans="1:33" ht="20.149999999999999" customHeight="1" x14ac:dyDescent="0.35">
      <c r="A30" s="9"/>
      <c r="B30" s="10"/>
      <c r="C30" s="10"/>
      <c r="D30" s="9"/>
      <c r="E30" s="14">
        <f>SUM(E21:E29)</f>
        <v>261.19600000000003</v>
      </c>
      <c r="F30" s="14">
        <f>SUM(F21:F29)</f>
        <v>15.029</v>
      </c>
      <c r="G30" s="9"/>
      <c r="H30" s="10"/>
      <c r="I30" s="10"/>
      <c r="J30" s="10"/>
      <c r="K30" s="10"/>
      <c r="L30" s="10"/>
      <c r="M30" s="10"/>
      <c r="N30" s="10"/>
      <c r="O30" s="10"/>
      <c r="P30" s="17">
        <f>SUM(P21:P29)</f>
        <v>4925228.8899999997</v>
      </c>
      <c r="R30" s="10"/>
      <c r="T30" s="26">
        <f t="shared" ref="T30:Y30" si="17">SUM(T21:T29)</f>
        <v>1</v>
      </c>
      <c r="U30" s="26">
        <f t="shared" si="17"/>
        <v>0</v>
      </c>
      <c r="V30" s="26">
        <f t="shared" si="17"/>
        <v>0</v>
      </c>
      <c r="W30" s="26">
        <f t="shared" si="17"/>
        <v>0</v>
      </c>
      <c r="X30" s="26">
        <f t="shared" si="17"/>
        <v>0</v>
      </c>
      <c r="Y30" s="26">
        <f t="shared" si="17"/>
        <v>1</v>
      </c>
      <c r="AA30" s="17">
        <f t="shared" ref="AA30:AG30" si="18">SUM(AA21:AA29)</f>
        <v>4925228.8899999997</v>
      </c>
      <c r="AB30" s="17">
        <f t="shared" si="18"/>
        <v>0</v>
      </c>
      <c r="AC30" s="17">
        <f t="shared" si="18"/>
        <v>0</v>
      </c>
      <c r="AD30" s="17">
        <f t="shared" si="18"/>
        <v>0</v>
      </c>
      <c r="AE30" s="17">
        <f t="shared" si="18"/>
        <v>0</v>
      </c>
      <c r="AF30" s="17">
        <f t="shared" si="18"/>
        <v>4925228.8899999997</v>
      </c>
      <c r="AG30" s="17">
        <f t="shared" si="18"/>
        <v>0</v>
      </c>
    </row>
    <row r="32" spans="1:33" x14ac:dyDescent="0.35">
      <c r="N32" s="55" t="s">
        <v>83</v>
      </c>
      <c r="P32" s="3">
        <f>7224.33*1</f>
        <v>7224.33</v>
      </c>
    </row>
    <row r="33" spans="2:16" x14ac:dyDescent="0.35">
      <c r="B33" s="76"/>
      <c r="C33" s="76"/>
      <c r="D33" s="77"/>
      <c r="E33" s="77"/>
      <c r="F33" s="77"/>
      <c r="G33" s="77"/>
      <c r="H33" s="76"/>
      <c r="I33" s="76"/>
      <c r="J33" s="76"/>
      <c r="N33" s="55" t="s">
        <v>84</v>
      </c>
      <c r="P33" s="3">
        <f>7782.57*1</f>
        <v>7782.57</v>
      </c>
    </row>
    <row r="34" spans="2:16" x14ac:dyDescent="0.3">
      <c r="B34" s="78"/>
      <c r="C34" s="76"/>
      <c r="D34" s="77"/>
      <c r="E34" s="77"/>
      <c r="F34" s="77"/>
      <c r="G34" s="77"/>
      <c r="H34" s="76"/>
      <c r="I34" s="76"/>
      <c r="J34" s="76"/>
      <c r="N34" s="55" t="s">
        <v>76</v>
      </c>
      <c r="P34" s="79">
        <f>SUM(P30:P33)</f>
        <v>4940235.79</v>
      </c>
    </row>
  </sheetData>
  <autoFilter ref="A18:P28" xr:uid="{00000000-0001-0000-00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9">
    <mergeCell ref="F18:F20"/>
    <mergeCell ref="G18:G20"/>
    <mergeCell ref="A18:A20"/>
    <mergeCell ref="B18:B20"/>
    <mergeCell ref="C18:C20"/>
    <mergeCell ref="D18:D20"/>
    <mergeCell ref="E18:E20"/>
    <mergeCell ref="X19:X20"/>
    <mergeCell ref="P18:P19"/>
    <mergeCell ref="AA18:AF18"/>
    <mergeCell ref="AG18:AG19"/>
    <mergeCell ref="AA19:AA20"/>
    <mergeCell ref="AB19:AB20"/>
    <mergeCell ref="AC19:AC20"/>
    <mergeCell ref="AD19:AD20"/>
    <mergeCell ref="AE19:AE20"/>
    <mergeCell ref="R18:R19"/>
    <mergeCell ref="T18:Y18"/>
    <mergeCell ref="T19:T20"/>
    <mergeCell ref="H18:O18"/>
    <mergeCell ref="N19:N20"/>
    <mergeCell ref="U19:U20"/>
    <mergeCell ref="V19:V20"/>
    <mergeCell ref="W19:W20"/>
    <mergeCell ref="G25:G26"/>
    <mergeCell ref="O19:O20"/>
    <mergeCell ref="H19:I19"/>
    <mergeCell ref="J19:K19"/>
    <mergeCell ref="L19:M19"/>
  </mergeCells>
  <phoneticPr fontId="8" type="noConversion"/>
  <conditionalFormatting sqref="B21">
    <cfRule type="duplicateValues" dxfId="127" priority="1"/>
    <cfRule type="duplicateValues" dxfId="126" priority="2"/>
    <cfRule type="duplicateValues" dxfId="125" priority="3"/>
    <cfRule type="duplicateValues" dxfId="124" priority="4"/>
    <cfRule type="expression" dxfId="123" priority="5" stopIfTrue="1">
      <formula>AND(COUNTIF($D$28:$D$37, B21)+COUNTIF($D$16:$D$16, B21)&gt;1,NOT(ISBLANK(B21)))</formula>
    </cfRule>
    <cfRule type="expression" dxfId="122" priority="6" stopIfTrue="1">
      <formula>AND(COUNTIF($D$28:$D$65380, B21)+COUNTIF($D$1:$D$16, B21)&gt;1,NOT(ISBLANK(B21)))</formula>
    </cfRule>
    <cfRule type="expression" dxfId="121" priority="7" stopIfTrue="1">
      <formula>AND(COUNTIF($D$17:$D$65380, B21)+COUNTIF($D$1:$D$16, B21)&gt;1,NOT(ISBLANK(B21)))</formula>
    </cfRule>
    <cfRule type="expression" dxfId="120" priority="8" stopIfTrue="1">
      <formula>AND(COUNTIF($D$1:$D$123, B21)+COUNTIF($D$142:$D$65380, B21)&gt;1,NOT(ISBLANK(B21)))</formula>
    </cfRule>
    <cfRule type="expression" dxfId="119" priority="9" stopIfTrue="1">
      <formula>AND(COUNTIF($D$1:$D$191, B21)+COUNTIF($D$214:$D$65380, B21)&gt;1,NOT(ISBLANK(B21)))</formula>
    </cfRule>
    <cfRule type="expression" dxfId="118" priority="10" stopIfTrue="1">
      <formula>AND(COUNTIF($D$1:$D$191, B21)+COUNTIF($D$214:$D$65380, B21)&gt;1,NOT(ISBLANK(B21)))</formula>
    </cfRule>
    <cfRule type="expression" dxfId="117" priority="11" stopIfTrue="1">
      <formula>AND(COUNTIF($D$1:$D$191, B21)+COUNTIF($D$214:$D$65380, B21)&gt;1,NOT(ISBLANK(B21)))</formula>
    </cfRule>
    <cfRule type="expression" dxfId="116" priority="12" stopIfTrue="1">
      <formula>AND(COUNTIF($D$474:$D$65380, B21)+COUNTIF($D$454:$D$455, B21)+COUNTIF($D$416:$D$417, B21)+COUNTIF($D$374:$D$377, B21)+COUNTIF($D$351:$D$352, B21)+COUNTIF($D$324:$D$325, B21)+COUNTIF($D$303:$D$303, B21)+COUNTIF($D$288:$D$289, B21)+COUNTIF($D$263:$D$263, B21)+COUNTIF($D$252:$D$253, B21)+COUNTIF($D$233:$D$234, B21)+COUNTIF($D$51:$D$218, B21)+COUNTIF($D$219:$D$220, B21)+COUNTIF($D$1:$D$50, B21)&gt;1,NOT(ISBLANK(B21)))</formula>
    </cfRule>
  </conditionalFormatting>
  <conditionalFormatting sqref="B21:B27">
    <cfRule type="duplicateValues" dxfId="115" priority="18"/>
  </conditionalFormatting>
  <conditionalFormatting sqref="B22">
    <cfRule type="duplicateValues" dxfId="114" priority="14"/>
    <cfRule type="duplicateValues" dxfId="113" priority="15"/>
    <cfRule type="duplicateValues" dxfId="112" priority="16"/>
  </conditionalFormatting>
  <conditionalFormatting sqref="B23">
    <cfRule type="duplicateValues" dxfId="111" priority="19"/>
    <cfRule type="duplicateValues" dxfId="110" priority="20"/>
    <cfRule type="expression" dxfId="109" priority="1251" stopIfTrue="1">
      <formula>AND(COUNTIF($C$2:$C$65291, B23)+COUNTIF(#REF!, B23)&gt;1,NOT(ISBLANK(B23)))</formula>
    </cfRule>
    <cfRule type="expression" dxfId="108" priority="1252" stopIfTrue="1">
      <formula>AND(COUNTIF($C$145:$C$65291, B23)+COUNTIF($C$125:$C$126, B23)+COUNTIF($C$87:$C$88, B23)+COUNTIF($C$45:$C$48, B23)+COUNTIF(#REF!, B23)+COUNTIF(#REF!, B23)+COUNTIF(#REF!, B23)+COUNTIF(#REF!, B23)+COUNTIF(#REF!, B23)+COUNTIF(#REF!, B23)+COUNTIF(#REF!, B23)+COUNTIF(#REF!, B23)+COUNTIF($B$9:$B$9, B23)+COUNTIF($C$2:$C$8, B23)&gt;1,NOT(ISBLANK(B23)))</formula>
    </cfRule>
  </conditionalFormatting>
  <conditionalFormatting sqref="B26:B27 B21 B23">
    <cfRule type="expression" dxfId="107" priority="1248" stopIfTrue="1">
      <formula>AND(COUNTIF($C$1:$C$65282, B21)+COUNTIF(#REF!, B21)&gt;1,NOT(ISBLANK(B21)))</formula>
    </cfRule>
  </conditionalFormatting>
  <conditionalFormatting sqref="B26:B27 B23 B21">
    <cfRule type="expression" dxfId="106" priority="1236" stopIfTrue="1">
      <formula>AND(COUNTIF($C$136:$C$65282, B21)+COUNTIF($C$116:$C$117, B21)+COUNTIF($C$78:$C$79, B21)+COUNTIF($C$36:$C$39, B21)+COUNTIF($C$23:$C$24, B21)+COUNTIF(#REF!, B21)+COUNTIF(#REF!, B21)+COUNTIF(#REF!, B21)+COUNTIF(#REF!, B21)+COUNTIF(#REF!, B21)+COUNTIF(#REF!, B21)+COUNTIF(#REF!, B21)+COUNTIF(#REF!, B21)+COUNTIF($C$1:$C$5, B21)&gt;1,NOT(ISBLANK(B21)))</formula>
    </cfRule>
  </conditionalFormatting>
  <conditionalFormatting sqref="B26:B27">
    <cfRule type="duplicateValues" dxfId="105" priority="1239"/>
    <cfRule type="expression" dxfId="104" priority="1240" stopIfTrue="1">
      <formula>AND(COUNTIF($D$28:$D$37, B26)+COUNTIF($D$16:$D$16, B26)&gt;1,NOT(ISBLANK(B26)))</formula>
    </cfRule>
    <cfRule type="expression" dxfId="103" priority="1241" stopIfTrue="1">
      <formula>AND(COUNTIF($D$28:$D$65380, B26)+COUNTIF($D$1:$D$16, B26)&gt;1,NOT(ISBLANK(B26)))</formula>
    </cfRule>
    <cfRule type="expression" dxfId="102" priority="1242" stopIfTrue="1">
      <formula>AND(COUNTIF($D$17:$D$65380, B26)+COUNTIF($D$1:$D$16, B26)&gt;1,NOT(ISBLANK(B26)))</formula>
    </cfRule>
    <cfRule type="expression" dxfId="101" priority="1243" stopIfTrue="1">
      <formula>AND(COUNTIF($D$1:$D$123, B26)+COUNTIF($D$142:$D$65380, B26)&gt;1,NOT(ISBLANK(B26)))</formula>
    </cfRule>
    <cfRule type="expression" dxfId="100" priority="1245" stopIfTrue="1">
      <formula>AND(COUNTIF($D$1:$D$191, B26)+COUNTIF($D$214:$D$65380, B26)&gt;1,NOT(ISBLANK(B26)))</formula>
    </cfRule>
    <cfRule type="expression" dxfId="99" priority="1246" stopIfTrue="1">
      <formula>AND(COUNTIF($D$1:$D$191, B26)+COUNTIF($D$214:$D$65380, B26)&gt;1,NOT(ISBLANK(B26)))</formula>
    </cfRule>
    <cfRule type="expression" dxfId="98" priority="1247" stopIfTrue="1">
      <formula>AND(COUNTIF($D$474:$D$65380, B26)+COUNTIF($D$454:$D$455, B26)+COUNTIF($D$416:$D$417, B26)+COUNTIF($D$374:$D$377, B26)+COUNTIF($D$351:$D$352, B26)+COUNTIF($D$324:$D$325, B26)+COUNTIF($D$303:$D$303, B26)+COUNTIF($D$288:$D$289, B26)+COUNTIF($D$263:$D$263, B26)+COUNTIF($D$252:$D$253, B26)+COUNTIF($D$233:$D$234, B26)+COUNTIF($D$51:$D$218, B26)+COUNTIF($D$219:$D$220, B26)+COUNTIF($D$1:$D$50, B26)&gt;1,NOT(ISBLANK(B26)))</formula>
    </cfRule>
    <cfRule type="expression" dxfId="97" priority="1244" stopIfTrue="1">
      <formula>AND(COUNTIF($D$1:$D$191, B26)+COUNTIF($D$214:$D$65380, B26)&gt;1,NOT(ISBLANK(B26)))</formula>
    </cfRule>
  </conditionalFormatting>
  <conditionalFormatting sqref="B27">
    <cfRule type="duplicateValues" dxfId="96" priority="22"/>
    <cfRule type="duplicateValues" dxfId="95" priority="23"/>
    <cfRule type="duplicateValues" dxfId="94" priority="24"/>
  </conditionalFormatting>
  <conditionalFormatting sqref="B28">
    <cfRule type="duplicateValues" dxfId="93" priority="1190"/>
    <cfRule type="duplicateValues" dxfId="92" priority="1191"/>
    <cfRule type="duplicateValues" dxfId="91" priority="1192"/>
  </conditionalFormatting>
  <conditionalFormatting sqref="B29:B1048576 B1:B20">
    <cfRule type="duplicateValues" dxfId="90" priority="347"/>
  </conditionalFormatting>
  <conditionalFormatting sqref="L4">
    <cfRule type="expression" dxfId="89" priority="1221" stopIfTrue="1">
      <formula>AND(COUNTIF($C$1:$C$65460, L4)+COUNTIF(#REF!, L4)&gt;1,NOT(ISBLANK(L4)))</formula>
    </cfRule>
    <cfRule type="expression" dxfId="88" priority="1220" stopIfTrue="1">
      <formula>AND(COUNTIF($C$314:$C$65460, L4)+COUNTIF($C$294:$C$295, L4)+COUNTIF($C$256:$C$257, L4)+COUNTIF($C$214:$C$217, L4)+COUNTIF($C$191:$C$192, L4)+COUNTIF($C$164:$C$165, L4)+COUNTIF($C$143:$C$143, L4)+COUNTIF($C$128:$C$129, L4)+COUNTIF($C$103:$C$103, L4)+COUNTIF($C$92:$C$93, L4)+COUNTIF($C$73:$C$74, L4)+COUNTIF($C$29:$C$56, L4)+COUNTIF($C$58:$C$60, L4)+COUNTIF($C$1:$C$27, L4)&gt;1,NOT(ISBLANK(L4)))</formula>
    </cfRule>
  </conditionalFormatting>
  <conditionalFormatting sqref="M4">
    <cfRule type="expression" dxfId="87" priority="1223" stopIfTrue="1">
      <formula>AND(COUNTIF($D$314:$D$65460, M4)+COUNTIF(#REF!, M4)+COUNTIF($D$1:$D$27,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86" priority="1224" stopIfTrue="1">
      <formula>AND(COUNTIF($D$294:$D$65460, M4)+COUNTIF($D$1:$D$27, M4)+COUNTIF($D$256:$D$257,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85" priority="1225" stopIfTrue="1">
      <formula>AND(COUNTIF($D$256:$D$65460, M4)+COUNTIF($D$1:$D$27,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84" priority="1226" stopIfTrue="1">
      <formula>AND(COUNTIF($D$214:$D$65460, M4)+COUNTIF(#REF!, M4)+COUNTIF($D$1:$D$27,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83" priority="1227" stopIfTrue="1">
      <formula>AND(COUNTIF($D$214:$D$65460, M4)+COUNTIF($D$191:$D$192,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82" priority="1228" stopIfTrue="1">
      <formula>AND(COUNTIF($D$191:$D$65460,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81" priority="1229" stopIfTrue="1">
      <formula>AND(COUNTIF($F$369:$F$65454, M4)+COUNTIF($F$1:$F$27, M4)+COUNTIF(#REF!, M4)+COUNTIF($F$352:$F$353,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80" priority="1230" stopIfTrue="1">
      <formula>AND(COUNTIF($F$352:$F$65454, M4)+COUNTIF(#REF!, M4)+COUNTIF($F$1:$F$27,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79" priority="1231" stopIfTrue="1">
      <formula>AND(COUNTIF($F$332:$F$65454, M4)+COUNTIF($F$1:$F$27, M4)+COUNTIF($F$294:$F$295,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78" priority="1232" stopIfTrue="1">
      <formula>AND(COUNTIF($F$294:$F$65454, M4)+COUNTIF($F$1:$F$27,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77" priority="1233" stopIfTrue="1">
      <formula>AND(COUNTIF($F$252:$F$65454, M4)+COUNTIF(#REF!, M4)+COUNTIF($F$1:$F$27,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76" priority="1234" stopIfTrue="1">
      <formula>AND(COUNTIF($F$252:$F$65454, M4)+COUNTIF($F$229:$F$230,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75" priority="1235" stopIfTrue="1">
      <formula>AND(COUNTIF($F$229:$F$65454,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74" priority="1222" stopIfTrue="1">
      <formula>AND(COUNTIF($D$331:$D$65460, M4)+COUNTIF($D$1:$D$27, M4)+COUNTIF(#REF!, M4)+COUNTIF($D$314:$D$315,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</conditionalFormatting>
  <printOptions horizontalCentered="1"/>
  <pageMargins left="0.25" right="0.25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D7AA-E2CC-4325-BB1A-65DAE33EC798}">
  <dimension ref="B2:R6"/>
  <sheetViews>
    <sheetView workbookViewId="0">
      <selection activeCell="U5" sqref="U5"/>
    </sheetView>
  </sheetViews>
  <sheetFormatPr defaultRowHeight="14.5" x14ac:dyDescent="0.35"/>
  <cols>
    <col min="2" max="2" width="12.7265625" customWidth="1"/>
    <col min="5" max="5" width="13.26953125" customWidth="1"/>
    <col min="6" max="6" width="14.7265625" customWidth="1"/>
    <col min="7" max="7" width="13.54296875" customWidth="1"/>
    <col min="8" max="15" width="0" hidden="1" customWidth="1"/>
    <col min="16" max="16" width="16.1796875" customWidth="1"/>
    <col min="17" max="17" width="0" hidden="1" customWidth="1"/>
    <col min="18" max="18" width="27" customWidth="1"/>
  </cols>
  <sheetData>
    <row r="2" spans="2:18" ht="15" thickBot="1" x14ac:dyDescent="0.4"/>
    <row r="3" spans="2:18" ht="56" thickBot="1" x14ac:dyDescent="0.4">
      <c r="B3" s="56" t="s">
        <v>52</v>
      </c>
      <c r="C3" s="56" t="s">
        <v>53</v>
      </c>
      <c r="D3" s="56" t="s">
        <v>6</v>
      </c>
      <c r="E3" s="56" t="s">
        <v>54</v>
      </c>
      <c r="F3" s="56" t="s">
        <v>55</v>
      </c>
      <c r="G3" s="57" t="s">
        <v>56</v>
      </c>
      <c r="H3" s="58" t="s">
        <v>57</v>
      </c>
      <c r="I3" s="58" t="s">
        <v>58</v>
      </c>
      <c r="J3" s="59" t="s">
        <v>59</v>
      </c>
      <c r="K3" s="58" t="s">
        <v>60</v>
      </c>
      <c r="L3" s="58" t="s">
        <v>61</v>
      </c>
      <c r="M3" s="58" t="s">
        <v>62</v>
      </c>
      <c r="N3" s="58" t="s">
        <v>63</v>
      </c>
      <c r="O3" s="58" t="s">
        <v>64</v>
      </c>
      <c r="P3" s="58" t="s">
        <v>74</v>
      </c>
      <c r="Q3" s="58" t="s">
        <v>65</v>
      </c>
      <c r="R3" s="58" t="s">
        <v>73</v>
      </c>
    </row>
    <row r="4" spans="2:18" ht="60" customHeight="1" x14ac:dyDescent="0.35">
      <c r="B4" s="60" t="s">
        <v>68</v>
      </c>
      <c r="C4" s="61" t="s">
        <v>66</v>
      </c>
      <c r="D4" s="62" t="s">
        <v>67</v>
      </c>
      <c r="E4" s="63" t="s">
        <v>69</v>
      </c>
      <c r="F4" s="64" t="s">
        <v>70</v>
      </c>
      <c r="G4" s="62">
        <v>45393</v>
      </c>
      <c r="H4" s="65">
        <v>26.861743999999998</v>
      </c>
      <c r="I4" s="66">
        <v>0.46323200000000003</v>
      </c>
      <c r="J4" s="67">
        <v>26.861743999999998</v>
      </c>
      <c r="K4" s="68">
        <v>0</v>
      </c>
      <c r="L4" s="69"/>
      <c r="M4" s="69"/>
      <c r="N4" s="69"/>
      <c r="O4" s="69">
        <v>0</v>
      </c>
      <c r="P4" s="72">
        <v>26.861743999999998</v>
      </c>
      <c r="Q4" s="70">
        <v>0</v>
      </c>
      <c r="R4" s="204" t="s">
        <v>75</v>
      </c>
    </row>
    <row r="5" spans="2:18" ht="15.5" x14ac:dyDescent="0.35">
      <c r="B5" s="60" t="s">
        <v>68</v>
      </c>
      <c r="C5" s="61" t="s">
        <v>66</v>
      </c>
      <c r="D5" s="62" t="s">
        <v>67</v>
      </c>
      <c r="E5" s="63" t="s">
        <v>71</v>
      </c>
      <c r="F5" s="64" t="s">
        <v>72</v>
      </c>
      <c r="G5" s="62">
        <v>45397</v>
      </c>
      <c r="H5" s="71">
        <v>126.634</v>
      </c>
      <c r="I5" s="66">
        <v>2.1840000000000002</v>
      </c>
      <c r="J5" s="67">
        <v>126.634</v>
      </c>
      <c r="K5" s="68"/>
      <c r="L5" s="69"/>
      <c r="M5" s="69"/>
      <c r="N5" s="69"/>
      <c r="O5" s="69"/>
      <c r="P5" s="72">
        <v>126.634</v>
      </c>
      <c r="Q5" s="70">
        <v>0</v>
      </c>
      <c r="R5" s="205"/>
    </row>
    <row r="6" spans="2:18" s="75" customFormat="1" x14ac:dyDescent="0.35">
      <c r="B6" s="206" t="s">
        <v>29</v>
      </c>
      <c r="C6" s="207"/>
      <c r="D6" s="208"/>
      <c r="E6" s="73">
        <v>160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4">
        <f>SUM(P4:P5)</f>
        <v>153.495744</v>
      </c>
      <c r="Q6" s="73"/>
      <c r="R6" s="73"/>
    </row>
  </sheetData>
  <mergeCells count="2">
    <mergeCell ref="R4:R5"/>
    <mergeCell ref="B6:D6"/>
  </mergeCells>
  <conditionalFormatting sqref="E4:E5">
    <cfRule type="containsText" dxfId="73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241B-D84F-4878-BFBC-8EA1912EEBF9}">
  <sheetPr>
    <pageSetUpPr fitToPage="1"/>
  </sheetPr>
  <dimension ref="A1:AK31"/>
  <sheetViews>
    <sheetView topLeftCell="A22" zoomScale="88" zoomScaleNormal="80" workbookViewId="0">
      <selection activeCell="L17" sqref="L17"/>
    </sheetView>
  </sheetViews>
  <sheetFormatPr defaultColWidth="9.1796875" defaultRowHeight="13" x14ac:dyDescent="0.35"/>
  <cols>
    <col min="1" max="1" width="3.453125" style="135" customWidth="1"/>
    <col min="2" max="2" width="13.453125" style="131" customWidth="1"/>
    <col min="3" max="3" width="11.26953125" style="131" customWidth="1"/>
    <col min="4" max="4" width="12.54296875" style="135" customWidth="1"/>
    <col min="5" max="5" width="23.26953125" style="135" bestFit="1" customWidth="1"/>
    <col min="6" max="6" width="12.7265625" style="135" customWidth="1"/>
    <col min="7" max="7" width="16.81640625" style="135" bestFit="1" customWidth="1"/>
    <col min="8" max="8" width="21.1796875" style="135" bestFit="1" customWidth="1"/>
    <col min="9" max="9" width="12.7265625" style="135" customWidth="1"/>
    <col min="10" max="10" width="11.81640625" style="135" customWidth="1"/>
    <col min="11" max="11" width="14.7265625" style="135" customWidth="1"/>
    <col min="12" max="12" width="16.1796875" style="131" bestFit="1" customWidth="1"/>
    <col min="13" max="13" width="10.7265625" style="131" customWidth="1"/>
    <col min="14" max="14" width="13.1796875" style="131" customWidth="1"/>
    <col min="15" max="15" width="16.7265625" style="135" customWidth="1"/>
    <col min="16" max="16" width="18.453125" style="131" bestFit="1" customWidth="1"/>
    <col min="17" max="18" width="15.54296875" style="131" customWidth="1"/>
    <col min="19" max="19" width="3.1796875" style="131" customWidth="1"/>
    <col min="20" max="20" width="28.1796875" style="131" customWidth="1"/>
    <col min="21" max="21" width="3.1796875" style="131" customWidth="1"/>
    <col min="22" max="27" width="8.7265625" style="131" customWidth="1"/>
    <col min="28" max="28" width="3.1796875" style="131" customWidth="1"/>
    <col min="29" max="29" width="14.26953125" style="131" customWidth="1"/>
    <col min="30" max="30" width="13.26953125" style="131" customWidth="1"/>
    <col min="31" max="32" width="10.7265625" style="131" customWidth="1"/>
    <col min="33" max="33" width="11.26953125" style="131" customWidth="1"/>
    <col min="34" max="34" width="8.1796875" style="131" customWidth="1"/>
    <col min="35" max="35" width="38.1796875" style="131" customWidth="1"/>
    <col min="36" max="16384" width="9.1796875" style="131"/>
  </cols>
  <sheetData>
    <row r="1" spans="1:37" ht="39" x14ac:dyDescent="0.35">
      <c r="A1" s="152" t="s">
        <v>4</v>
      </c>
      <c r="B1" s="152" t="s">
        <v>112</v>
      </c>
      <c r="C1" s="152" t="s">
        <v>6</v>
      </c>
      <c r="D1" s="152" t="s">
        <v>107</v>
      </c>
      <c r="E1" s="152" t="s">
        <v>108</v>
      </c>
      <c r="F1" s="152" t="s">
        <v>103</v>
      </c>
      <c r="G1" s="152" t="s">
        <v>104</v>
      </c>
      <c r="H1" s="152" t="s">
        <v>105</v>
      </c>
      <c r="I1" s="152" t="s">
        <v>106</v>
      </c>
      <c r="J1" s="153" t="s">
        <v>113</v>
      </c>
      <c r="K1" s="153" t="s">
        <v>110</v>
      </c>
      <c r="L1" s="153" t="s">
        <v>111</v>
      </c>
      <c r="M1" s="153" t="s">
        <v>38</v>
      </c>
      <c r="N1" s="153" t="s">
        <v>39</v>
      </c>
      <c r="O1" s="152" t="s">
        <v>109</v>
      </c>
      <c r="P1" s="145" t="s">
        <v>114</v>
      </c>
    </row>
    <row r="2" spans="1:37" ht="27" customHeight="1" x14ac:dyDescent="0.3">
      <c r="A2" s="132">
        <v>1</v>
      </c>
      <c r="B2" s="171" t="s">
        <v>140</v>
      </c>
      <c r="C2" s="171" t="s">
        <v>133</v>
      </c>
      <c r="D2" s="178">
        <v>36.158999999999999</v>
      </c>
      <c r="E2" s="8" t="s">
        <v>138</v>
      </c>
      <c r="F2" s="134">
        <v>25</v>
      </c>
      <c r="G2" s="133" t="s">
        <v>139</v>
      </c>
      <c r="H2" s="8" t="s">
        <v>173</v>
      </c>
      <c r="I2" s="85" t="s">
        <v>118</v>
      </c>
      <c r="J2" s="85" t="s">
        <v>118</v>
      </c>
      <c r="K2" s="181" t="s">
        <v>181</v>
      </c>
      <c r="L2" s="146" t="s">
        <v>182</v>
      </c>
      <c r="M2" s="149"/>
      <c r="N2" s="149"/>
      <c r="O2" s="147">
        <v>363759</v>
      </c>
      <c r="P2" s="100"/>
    </row>
    <row r="3" spans="1:37" ht="22.5" customHeight="1" x14ac:dyDescent="0.3">
      <c r="A3" s="132">
        <v>2</v>
      </c>
      <c r="B3" s="171" t="s">
        <v>141</v>
      </c>
      <c r="C3" s="171" t="s">
        <v>133</v>
      </c>
      <c r="D3" s="178">
        <v>36.158999999999999</v>
      </c>
      <c r="E3" s="8" t="s">
        <v>138</v>
      </c>
      <c r="F3" s="134"/>
      <c r="G3" s="133" t="s">
        <v>139</v>
      </c>
      <c r="H3" s="8" t="s">
        <v>173</v>
      </c>
      <c r="I3" s="85" t="s">
        <v>118</v>
      </c>
      <c r="J3" s="85" t="s">
        <v>118</v>
      </c>
      <c r="K3" s="148"/>
      <c r="L3" s="148"/>
      <c r="M3" s="149"/>
      <c r="N3" s="149"/>
      <c r="O3" s="147">
        <v>363759</v>
      </c>
      <c r="P3" s="100"/>
      <c r="Q3" s="137"/>
      <c r="R3" s="137"/>
      <c r="T3" s="138"/>
      <c r="V3" s="137"/>
      <c r="W3" s="137"/>
      <c r="X3" s="137"/>
      <c r="Y3" s="137"/>
      <c r="Z3" s="137"/>
      <c r="AA3" s="137"/>
      <c r="AC3" s="137"/>
      <c r="AD3" s="137"/>
      <c r="AE3" s="137"/>
      <c r="AF3" s="137"/>
      <c r="AG3" s="137"/>
      <c r="AH3" s="137"/>
      <c r="AI3" s="139"/>
    </row>
    <row r="4" spans="1:37" ht="21" customHeight="1" x14ac:dyDescent="0.3">
      <c r="A4" s="132">
        <v>3</v>
      </c>
      <c r="B4" s="171" t="s">
        <v>142</v>
      </c>
      <c r="C4" s="175" t="s">
        <v>133</v>
      </c>
      <c r="D4" s="178">
        <v>36.158999999999999</v>
      </c>
      <c r="E4" s="8" t="s">
        <v>138</v>
      </c>
      <c r="F4" s="134"/>
      <c r="G4" s="133" t="s">
        <v>139</v>
      </c>
      <c r="H4" s="8" t="s">
        <v>173</v>
      </c>
      <c r="I4" s="85" t="s">
        <v>118</v>
      </c>
      <c r="J4" s="85" t="s">
        <v>118</v>
      </c>
      <c r="K4" s="148"/>
      <c r="L4" s="148"/>
      <c r="M4" s="149"/>
      <c r="N4" s="149"/>
      <c r="O4" s="147">
        <v>363759</v>
      </c>
      <c r="P4" s="100"/>
      <c r="Q4" s="140"/>
      <c r="R4" s="139"/>
      <c r="T4" s="138"/>
      <c r="V4" s="137"/>
      <c r="W4" s="137"/>
      <c r="X4" s="137"/>
      <c r="Y4" s="137"/>
      <c r="Z4" s="137"/>
      <c r="AA4" s="139"/>
      <c r="AC4" s="137"/>
      <c r="AD4" s="137"/>
      <c r="AE4" s="137"/>
      <c r="AF4" s="137"/>
      <c r="AG4" s="137"/>
      <c r="AH4" s="139"/>
      <c r="AI4" s="139"/>
    </row>
    <row r="5" spans="1:37" ht="13.5" customHeight="1" x14ac:dyDescent="0.3">
      <c r="A5" s="132">
        <v>4</v>
      </c>
      <c r="B5" s="171" t="s">
        <v>115</v>
      </c>
      <c r="C5" s="175" t="s">
        <v>133</v>
      </c>
      <c r="D5" s="178">
        <v>36.158999999999999</v>
      </c>
      <c r="E5" s="8" t="s">
        <v>138</v>
      </c>
      <c r="F5" s="134"/>
      <c r="G5" s="133" t="s">
        <v>139</v>
      </c>
      <c r="H5" s="8" t="s">
        <v>173</v>
      </c>
      <c r="I5" s="85" t="s">
        <v>118</v>
      </c>
      <c r="J5" s="85" t="s">
        <v>118</v>
      </c>
      <c r="K5" s="148"/>
      <c r="L5" s="148"/>
      <c r="M5" s="149"/>
      <c r="N5" s="149"/>
      <c r="O5" s="147">
        <v>363759</v>
      </c>
      <c r="P5" s="100"/>
      <c r="Q5" s="141"/>
      <c r="R5" s="141"/>
      <c r="T5" s="142"/>
      <c r="V5" s="137"/>
      <c r="W5" s="137"/>
      <c r="X5" s="137"/>
      <c r="Y5" s="137"/>
      <c r="Z5" s="137"/>
      <c r="AA5" s="141"/>
      <c r="AC5" s="137"/>
      <c r="AD5" s="137"/>
      <c r="AE5" s="137"/>
      <c r="AF5" s="137"/>
      <c r="AG5" s="137"/>
      <c r="AH5" s="141"/>
      <c r="AI5" s="141"/>
    </row>
    <row r="6" spans="1:37" ht="20.25" customHeight="1" x14ac:dyDescent="0.35">
      <c r="A6" s="132">
        <v>5</v>
      </c>
      <c r="B6" s="113" t="s">
        <v>116</v>
      </c>
      <c r="C6" s="176" t="s">
        <v>134</v>
      </c>
      <c r="D6" s="178">
        <v>37.930999999999997</v>
      </c>
      <c r="E6" s="8" t="s">
        <v>138</v>
      </c>
      <c r="F6" s="134"/>
      <c r="G6" s="133" t="s">
        <v>139</v>
      </c>
      <c r="H6" s="8" t="s">
        <v>173</v>
      </c>
      <c r="I6" s="85" t="s">
        <v>118</v>
      </c>
      <c r="J6" s="85" t="s">
        <v>118</v>
      </c>
      <c r="K6" s="148"/>
      <c r="L6" s="148"/>
      <c r="M6" s="149"/>
      <c r="N6" s="149"/>
      <c r="O6" s="147">
        <v>381585</v>
      </c>
      <c r="P6" s="100"/>
      <c r="Q6" s="127"/>
      <c r="R6" s="127"/>
      <c r="T6" s="143"/>
      <c r="V6" s="144"/>
      <c r="W6" s="144"/>
      <c r="X6" s="144"/>
      <c r="Y6" s="144"/>
      <c r="Z6" s="144"/>
      <c r="AA6" s="144"/>
      <c r="AC6" s="128"/>
      <c r="AD6" s="128"/>
      <c r="AE6" s="128"/>
      <c r="AF6" s="128"/>
      <c r="AG6" s="128"/>
      <c r="AH6" s="129"/>
      <c r="AI6" s="130"/>
    </row>
    <row r="7" spans="1:37" ht="20.149999999999999" customHeight="1" x14ac:dyDescent="0.35">
      <c r="A7" s="132">
        <v>6</v>
      </c>
      <c r="B7" s="172" t="s">
        <v>143</v>
      </c>
      <c r="C7" s="176" t="s">
        <v>134</v>
      </c>
      <c r="D7" s="178">
        <v>37.930999999999997</v>
      </c>
      <c r="E7" s="8" t="s">
        <v>138</v>
      </c>
      <c r="F7" s="134"/>
      <c r="G7" s="133" t="s">
        <v>139</v>
      </c>
      <c r="H7" s="8" t="s">
        <v>174</v>
      </c>
      <c r="I7" s="85" t="s">
        <v>118</v>
      </c>
      <c r="J7" s="85" t="s">
        <v>118</v>
      </c>
      <c r="K7" s="148"/>
      <c r="L7" s="148"/>
      <c r="M7" s="149"/>
      <c r="N7" s="149"/>
      <c r="O7" s="147">
        <v>381585</v>
      </c>
      <c r="P7" s="100"/>
      <c r="Q7" s="127"/>
      <c r="R7" s="127"/>
      <c r="T7" s="143"/>
      <c r="V7" s="144"/>
      <c r="W7" s="144"/>
      <c r="X7" s="144"/>
      <c r="Y7" s="144"/>
      <c r="Z7" s="144"/>
      <c r="AA7" s="144"/>
      <c r="AC7" s="128"/>
      <c r="AD7" s="128"/>
      <c r="AE7" s="128"/>
      <c r="AF7" s="128"/>
      <c r="AG7" s="128"/>
      <c r="AH7" s="129"/>
      <c r="AI7" s="130"/>
    </row>
    <row r="8" spans="1:37" ht="20.149999999999999" customHeight="1" x14ac:dyDescent="0.35">
      <c r="A8" s="132">
        <v>7</v>
      </c>
      <c r="B8" s="113" t="s">
        <v>117</v>
      </c>
      <c r="C8" s="177" t="s">
        <v>134</v>
      </c>
      <c r="D8" s="178">
        <v>37.930999999999997</v>
      </c>
      <c r="E8" s="8" t="s">
        <v>138</v>
      </c>
      <c r="F8" s="134">
        <v>40</v>
      </c>
      <c r="G8" s="133" t="s">
        <v>139</v>
      </c>
      <c r="H8" s="8" t="s">
        <v>174</v>
      </c>
      <c r="I8" s="85" t="s">
        <v>118</v>
      </c>
      <c r="J8" s="85" t="s">
        <v>118</v>
      </c>
      <c r="K8" s="8" t="s">
        <v>179</v>
      </c>
      <c r="L8" s="8" t="s">
        <v>180</v>
      </c>
      <c r="M8" s="149"/>
      <c r="O8" s="147">
        <v>381585</v>
      </c>
      <c r="P8" s="100"/>
      <c r="Q8" s="127"/>
      <c r="R8" s="127"/>
      <c r="T8" s="143"/>
      <c r="V8" s="144"/>
      <c r="W8" s="144"/>
      <c r="X8" s="144"/>
      <c r="Y8" s="144"/>
      <c r="Z8" s="144"/>
      <c r="AA8" s="144"/>
      <c r="AC8" s="128"/>
      <c r="AD8" s="128"/>
      <c r="AE8" s="128"/>
      <c r="AF8" s="128"/>
      <c r="AG8" s="128"/>
      <c r="AH8" s="129"/>
      <c r="AI8" s="130"/>
    </row>
    <row r="9" spans="1:37" ht="20.149999999999999" customHeight="1" x14ac:dyDescent="0.35">
      <c r="A9" s="132">
        <v>8</v>
      </c>
      <c r="B9" s="172" t="s">
        <v>144</v>
      </c>
      <c r="C9" s="176" t="s">
        <v>137</v>
      </c>
      <c r="D9" s="179">
        <v>43.804000000000002</v>
      </c>
      <c r="E9" s="8" t="s">
        <v>138</v>
      </c>
      <c r="F9" s="134"/>
      <c r="G9" s="133" t="s">
        <v>139</v>
      </c>
      <c r="H9" s="8" t="s">
        <v>174</v>
      </c>
      <c r="I9" s="85" t="s">
        <v>118</v>
      </c>
      <c r="J9" s="85" t="s">
        <v>118</v>
      </c>
      <c r="K9" s="150"/>
      <c r="L9" s="149"/>
      <c r="M9" s="149"/>
      <c r="N9" s="149"/>
      <c r="O9" s="147">
        <v>440668</v>
      </c>
      <c r="P9" s="100"/>
      <c r="Q9" s="127"/>
      <c r="R9" s="127"/>
      <c r="T9" s="143"/>
      <c r="V9" s="144"/>
      <c r="W9" s="144"/>
      <c r="X9" s="144"/>
      <c r="Y9" s="144"/>
      <c r="Z9" s="144"/>
      <c r="AA9" s="144"/>
      <c r="AC9" s="128"/>
      <c r="AD9" s="128"/>
      <c r="AE9" s="128"/>
      <c r="AF9" s="128"/>
      <c r="AG9" s="128"/>
      <c r="AH9" s="129"/>
      <c r="AI9" s="130"/>
    </row>
    <row r="10" spans="1:37" ht="20.149999999999999" customHeight="1" x14ac:dyDescent="0.35">
      <c r="A10" s="132">
        <v>9</v>
      </c>
      <c r="B10" s="172" t="s">
        <v>145</v>
      </c>
      <c r="C10" s="177" t="s">
        <v>135</v>
      </c>
      <c r="D10" s="178">
        <v>34.789000000000001</v>
      </c>
      <c r="E10" s="8" t="s">
        <v>138</v>
      </c>
      <c r="F10" s="134">
        <v>40</v>
      </c>
      <c r="G10" s="133" t="s">
        <v>139</v>
      </c>
      <c r="H10" s="8" t="s">
        <v>174</v>
      </c>
      <c r="I10" s="85" t="s">
        <v>118</v>
      </c>
      <c r="J10" s="85" t="s">
        <v>118</v>
      </c>
      <c r="K10" s="8" t="s">
        <v>178</v>
      </c>
      <c r="L10" s="8" t="s">
        <v>183</v>
      </c>
      <c r="M10" s="149"/>
      <c r="N10" s="149"/>
      <c r="O10" s="147">
        <v>349997</v>
      </c>
      <c r="P10" s="100"/>
      <c r="Q10" s="127"/>
      <c r="R10" s="127"/>
      <c r="T10" s="143"/>
      <c r="V10" s="144"/>
      <c r="W10" s="144"/>
      <c r="X10" s="144"/>
      <c r="Y10" s="144"/>
      <c r="Z10" s="144"/>
      <c r="AA10" s="144"/>
      <c r="AC10" s="128"/>
      <c r="AD10" s="128"/>
      <c r="AE10" s="128"/>
      <c r="AF10" s="128"/>
      <c r="AG10" s="128"/>
      <c r="AH10" s="129"/>
      <c r="AI10" s="130"/>
    </row>
    <row r="11" spans="1:37" ht="20.149999999999999" customHeight="1" x14ac:dyDescent="0.35">
      <c r="A11" s="132">
        <v>10</v>
      </c>
      <c r="B11" s="172" t="s">
        <v>146</v>
      </c>
      <c r="C11" s="113" t="s">
        <v>133</v>
      </c>
      <c r="D11" s="178">
        <v>36.158999999999999</v>
      </c>
      <c r="E11" s="8" t="s">
        <v>138</v>
      </c>
      <c r="F11" s="134"/>
      <c r="G11" s="133" t="s">
        <v>139</v>
      </c>
      <c r="H11" s="8" t="s">
        <v>174</v>
      </c>
      <c r="I11" s="85" t="s">
        <v>118</v>
      </c>
      <c r="J11" s="85" t="s">
        <v>118</v>
      </c>
      <c r="K11" s="150"/>
      <c r="L11" s="149"/>
      <c r="M11" s="149"/>
      <c r="N11" s="149"/>
      <c r="O11" s="147">
        <v>363759</v>
      </c>
      <c r="P11" s="100"/>
      <c r="Q11" s="127"/>
      <c r="R11" s="127"/>
      <c r="T11" s="143"/>
      <c r="V11" s="144"/>
      <c r="W11" s="144"/>
      <c r="X11" s="144"/>
      <c r="Y11" s="144"/>
      <c r="Z11" s="144"/>
      <c r="AA11" s="144"/>
      <c r="AC11" s="128"/>
      <c r="AD11" s="128"/>
      <c r="AE11" s="128"/>
      <c r="AF11" s="128"/>
      <c r="AG11" s="128"/>
      <c r="AH11" s="129"/>
      <c r="AI11" s="130"/>
    </row>
    <row r="12" spans="1:37" ht="20.149999999999999" customHeight="1" x14ac:dyDescent="0.3">
      <c r="A12" s="132">
        <v>11</v>
      </c>
      <c r="B12" s="173" t="s">
        <v>147</v>
      </c>
      <c r="C12" s="171" t="s">
        <v>165</v>
      </c>
      <c r="D12" s="178">
        <v>37.137999999999998</v>
      </c>
      <c r="E12" s="8" t="s">
        <v>138</v>
      </c>
      <c r="F12" s="134"/>
      <c r="G12" s="133" t="s">
        <v>139</v>
      </c>
      <c r="H12" s="8" t="s">
        <v>174</v>
      </c>
      <c r="I12" s="85" t="s">
        <v>118</v>
      </c>
      <c r="J12" s="85" t="s">
        <v>118</v>
      </c>
      <c r="K12" s="150"/>
      <c r="L12" s="149"/>
      <c r="M12" s="149"/>
      <c r="N12" s="149"/>
      <c r="O12" s="147">
        <v>373608</v>
      </c>
      <c r="P12" s="100"/>
      <c r="Q12" s="127"/>
      <c r="R12" s="127"/>
      <c r="T12" s="143"/>
      <c r="V12" s="144"/>
      <c r="W12" s="144"/>
      <c r="X12" s="144"/>
      <c r="Y12" s="144"/>
      <c r="Z12" s="144"/>
      <c r="AA12" s="144"/>
      <c r="AC12" s="128"/>
      <c r="AD12" s="128"/>
      <c r="AE12" s="128"/>
      <c r="AF12" s="128"/>
      <c r="AG12" s="128"/>
      <c r="AH12" s="129"/>
      <c r="AI12" s="130"/>
    </row>
    <row r="13" spans="1:37" ht="20.149999999999999" customHeight="1" x14ac:dyDescent="0.35">
      <c r="A13" s="132">
        <v>12</v>
      </c>
      <c r="B13" s="172" t="s">
        <v>148</v>
      </c>
      <c r="C13" s="177" t="s">
        <v>133</v>
      </c>
      <c r="D13" s="178">
        <v>36.158999999999999</v>
      </c>
      <c r="E13" s="8" t="s">
        <v>170</v>
      </c>
      <c r="F13" s="134"/>
      <c r="G13" s="133" t="s">
        <v>139</v>
      </c>
      <c r="H13" s="8" t="s">
        <v>174</v>
      </c>
      <c r="I13" s="85" t="s">
        <v>118</v>
      </c>
      <c r="J13" s="85" t="s">
        <v>118</v>
      </c>
      <c r="K13" s="150"/>
      <c r="L13" s="149"/>
      <c r="M13" s="149"/>
      <c r="N13" s="149"/>
      <c r="O13" s="147">
        <v>363759</v>
      </c>
      <c r="P13" s="100"/>
      <c r="Q13" s="127"/>
      <c r="R13" s="127"/>
      <c r="T13" s="143"/>
      <c r="V13" s="144"/>
      <c r="W13" s="144"/>
      <c r="X13" s="144"/>
      <c r="Y13" s="144"/>
      <c r="Z13" s="144"/>
      <c r="AA13" s="144"/>
      <c r="AC13" s="128"/>
      <c r="AD13" s="128"/>
      <c r="AE13" s="128"/>
      <c r="AF13" s="128"/>
      <c r="AG13" s="128"/>
      <c r="AH13" s="129"/>
      <c r="AI13" s="130"/>
    </row>
    <row r="14" spans="1:37" ht="20.149999999999999" customHeight="1" x14ac:dyDescent="0.35">
      <c r="A14" s="132">
        <v>13</v>
      </c>
      <c r="B14" s="172" t="s">
        <v>149</v>
      </c>
      <c r="C14" s="177" t="s">
        <v>133</v>
      </c>
      <c r="D14" s="178">
        <v>36.158999999999999</v>
      </c>
      <c r="E14" s="8" t="s">
        <v>170</v>
      </c>
      <c r="F14" s="134"/>
      <c r="G14" s="133" t="s">
        <v>139</v>
      </c>
      <c r="H14" s="8" t="s">
        <v>175</v>
      </c>
      <c r="I14" s="85" t="s">
        <v>118</v>
      </c>
      <c r="J14" s="85" t="s">
        <v>118</v>
      </c>
      <c r="K14" s="150"/>
      <c r="L14" s="149"/>
      <c r="M14" s="149"/>
      <c r="N14" s="149"/>
      <c r="O14" s="147">
        <v>363759</v>
      </c>
      <c r="P14" s="100"/>
      <c r="Q14" s="127"/>
      <c r="R14" s="127"/>
      <c r="T14" s="143"/>
      <c r="V14" s="144"/>
      <c r="W14" s="144"/>
      <c r="X14" s="144"/>
      <c r="Y14" s="144"/>
      <c r="Z14" s="144"/>
      <c r="AA14" s="144"/>
      <c r="AC14" s="128"/>
      <c r="AD14" s="128"/>
      <c r="AE14" s="128"/>
      <c r="AF14" s="128"/>
      <c r="AG14" s="128"/>
      <c r="AH14" s="129"/>
      <c r="AI14" s="130"/>
      <c r="AK14" s="100"/>
    </row>
    <row r="15" spans="1:37" ht="20.149999999999999" customHeight="1" x14ac:dyDescent="0.35">
      <c r="A15" s="132">
        <v>14</v>
      </c>
      <c r="B15" s="172" t="s">
        <v>150</v>
      </c>
      <c r="C15" s="177" t="s">
        <v>137</v>
      </c>
      <c r="D15" s="178">
        <v>43.804000000000002</v>
      </c>
      <c r="E15" s="8" t="s">
        <v>170</v>
      </c>
      <c r="F15" s="134">
        <v>38</v>
      </c>
      <c r="G15" s="133" t="s">
        <v>139</v>
      </c>
      <c r="H15" s="8" t="s">
        <v>172</v>
      </c>
      <c r="I15" s="85" t="s">
        <v>118</v>
      </c>
      <c r="J15" s="85" t="s">
        <v>118</v>
      </c>
      <c r="K15" s="182" t="s">
        <v>184</v>
      </c>
      <c r="L15" s="149"/>
      <c r="N15" s="149"/>
      <c r="O15" s="147">
        <v>440668</v>
      </c>
      <c r="P15" s="100"/>
      <c r="Q15" s="127"/>
      <c r="R15" s="127"/>
      <c r="T15" s="143"/>
      <c r="V15" s="144"/>
      <c r="W15" s="144"/>
      <c r="X15" s="144"/>
      <c r="Y15" s="144"/>
      <c r="Z15" s="144"/>
      <c r="AA15" s="144"/>
      <c r="AC15" s="128"/>
      <c r="AD15" s="128"/>
      <c r="AE15" s="128"/>
      <c r="AF15" s="128"/>
      <c r="AG15" s="128"/>
      <c r="AH15" s="129"/>
      <c r="AI15" s="130"/>
    </row>
    <row r="16" spans="1:37" ht="20.149999999999999" customHeight="1" x14ac:dyDescent="0.35">
      <c r="A16" s="132">
        <v>15</v>
      </c>
      <c r="B16" s="174" t="s">
        <v>151</v>
      </c>
      <c r="C16" s="177" t="s">
        <v>166</v>
      </c>
      <c r="D16" s="178">
        <v>67.260999999999996</v>
      </c>
      <c r="E16" s="8" t="s">
        <v>138</v>
      </c>
      <c r="F16" s="134"/>
      <c r="G16" s="133" t="s">
        <v>139</v>
      </c>
      <c r="H16" s="8" t="s">
        <v>172</v>
      </c>
      <c r="I16" s="85" t="s">
        <v>118</v>
      </c>
      <c r="J16" s="85" t="s">
        <v>118</v>
      </c>
      <c r="K16" s="149"/>
      <c r="L16" s="149"/>
      <c r="M16" s="149"/>
      <c r="N16" s="143"/>
      <c r="O16" s="147">
        <v>676645</v>
      </c>
      <c r="P16" s="100"/>
      <c r="Q16" s="127"/>
      <c r="R16" s="127"/>
      <c r="T16" s="143"/>
      <c r="V16" s="144"/>
      <c r="W16" s="144"/>
      <c r="X16" s="144"/>
      <c r="Y16" s="144"/>
      <c r="Z16" s="144"/>
      <c r="AA16" s="144"/>
      <c r="AC16" s="128"/>
      <c r="AD16" s="128"/>
      <c r="AE16" s="128"/>
      <c r="AF16" s="128"/>
      <c r="AG16" s="128"/>
      <c r="AH16" s="129"/>
      <c r="AI16" s="130"/>
    </row>
    <row r="17" spans="1:35" ht="20.149999999999999" customHeight="1" x14ac:dyDescent="0.35">
      <c r="A17" s="132">
        <v>16</v>
      </c>
      <c r="B17" s="174" t="s">
        <v>152</v>
      </c>
      <c r="C17" s="177" t="s">
        <v>133</v>
      </c>
      <c r="D17" s="178">
        <v>36.158999999999999</v>
      </c>
      <c r="E17" s="8" t="s">
        <v>138</v>
      </c>
      <c r="F17" s="134"/>
      <c r="G17" s="133" t="s">
        <v>139</v>
      </c>
      <c r="H17" s="8" t="s">
        <v>172</v>
      </c>
      <c r="I17" s="85" t="s">
        <v>118</v>
      </c>
      <c r="J17" s="85" t="s">
        <v>118</v>
      </c>
      <c r="K17" s="150"/>
      <c r="L17" s="149"/>
      <c r="M17" s="149"/>
      <c r="N17" s="149"/>
      <c r="O17" s="147">
        <v>363759</v>
      </c>
      <c r="P17" s="100"/>
      <c r="Q17" s="127"/>
      <c r="R17" s="127"/>
      <c r="T17" s="143"/>
      <c r="V17" s="144"/>
      <c r="W17" s="144"/>
      <c r="X17" s="144"/>
      <c r="Y17" s="144"/>
      <c r="Z17" s="144"/>
      <c r="AA17" s="144"/>
      <c r="AC17" s="128"/>
      <c r="AD17" s="128"/>
      <c r="AE17" s="128"/>
      <c r="AF17" s="128"/>
      <c r="AG17" s="128"/>
      <c r="AH17" s="129"/>
      <c r="AI17" s="130"/>
    </row>
    <row r="18" spans="1:35" ht="20.149999999999999" customHeight="1" x14ac:dyDescent="0.35">
      <c r="A18" s="132">
        <v>17</v>
      </c>
      <c r="B18" s="174" t="s">
        <v>153</v>
      </c>
      <c r="C18" s="177" t="s">
        <v>167</v>
      </c>
      <c r="D18" s="180">
        <v>55.45</v>
      </c>
      <c r="E18" s="8" t="s">
        <v>138</v>
      </c>
      <c r="F18" s="134"/>
      <c r="G18" s="133" t="s">
        <v>139</v>
      </c>
      <c r="H18" s="8" t="s">
        <v>172</v>
      </c>
      <c r="I18" s="85" t="s">
        <v>118</v>
      </c>
      <c r="J18" s="85" t="s">
        <v>118</v>
      </c>
      <c r="K18" s="150"/>
      <c r="L18" s="149"/>
      <c r="M18" s="149"/>
      <c r="N18" s="149"/>
      <c r="O18" s="147">
        <v>557827</v>
      </c>
      <c r="P18" s="100"/>
      <c r="Q18" s="127"/>
      <c r="R18" s="127"/>
      <c r="T18" s="143"/>
      <c r="V18" s="144"/>
      <c r="W18" s="144"/>
      <c r="X18" s="144"/>
      <c r="Y18" s="144"/>
      <c r="Z18" s="144"/>
      <c r="AA18" s="144"/>
      <c r="AC18" s="128"/>
      <c r="AD18" s="128"/>
      <c r="AE18" s="128"/>
      <c r="AF18" s="128"/>
      <c r="AG18" s="128"/>
      <c r="AH18" s="129"/>
      <c r="AI18" s="130"/>
    </row>
    <row r="19" spans="1:35" ht="20.149999999999999" customHeight="1" x14ac:dyDescent="0.35">
      <c r="A19" s="132">
        <v>18</v>
      </c>
      <c r="B19" s="174" t="s">
        <v>154</v>
      </c>
      <c r="C19" s="177" t="s">
        <v>136</v>
      </c>
      <c r="D19" s="180">
        <v>59.5</v>
      </c>
      <c r="E19" s="8" t="s">
        <v>138</v>
      </c>
      <c r="F19" s="134"/>
      <c r="G19" s="133" t="s">
        <v>139</v>
      </c>
      <c r="H19" s="8" t="s">
        <v>172</v>
      </c>
      <c r="I19" s="85" t="s">
        <v>118</v>
      </c>
      <c r="J19" s="85" t="s">
        <v>118</v>
      </c>
      <c r="K19" s="114"/>
      <c r="L19" s="149"/>
      <c r="M19" s="149"/>
      <c r="N19" s="149"/>
      <c r="O19" s="147">
        <v>598570</v>
      </c>
      <c r="P19" s="100"/>
      <c r="Q19" s="127"/>
      <c r="R19" s="127"/>
      <c r="T19" s="143"/>
      <c r="V19" s="144"/>
      <c r="W19" s="144"/>
      <c r="X19" s="144"/>
      <c r="Y19" s="144"/>
      <c r="Z19" s="144"/>
      <c r="AA19" s="144"/>
      <c r="AC19" s="128"/>
      <c r="AD19" s="128"/>
      <c r="AE19" s="128"/>
      <c r="AF19" s="128"/>
      <c r="AG19" s="128"/>
      <c r="AH19" s="129"/>
      <c r="AI19" s="130"/>
    </row>
    <row r="20" spans="1:35" ht="20.149999999999999" customHeight="1" x14ac:dyDescent="0.35">
      <c r="A20" s="132">
        <v>19</v>
      </c>
      <c r="B20" s="174" t="s">
        <v>155</v>
      </c>
      <c r="C20" s="177" t="s">
        <v>167</v>
      </c>
      <c r="D20" s="180">
        <v>55.45</v>
      </c>
      <c r="E20" s="8" t="s">
        <v>138</v>
      </c>
      <c r="F20" s="134"/>
      <c r="G20" s="133" t="s">
        <v>139</v>
      </c>
      <c r="H20" s="8" t="s">
        <v>175</v>
      </c>
      <c r="I20" s="85" t="s">
        <v>118</v>
      </c>
      <c r="J20" s="85" t="s">
        <v>118</v>
      </c>
      <c r="K20" s="114"/>
      <c r="L20" s="149"/>
      <c r="M20" s="149"/>
      <c r="N20" s="149"/>
      <c r="O20" s="147">
        <v>557827</v>
      </c>
      <c r="P20" s="100"/>
      <c r="Q20" s="127"/>
      <c r="R20" s="127"/>
      <c r="T20" s="143"/>
      <c r="V20" s="144"/>
      <c r="W20" s="144"/>
      <c r="X20" s="144"/>
      <c r="Y20" s="144"/>
      <c r="Z20" s="144"/>
      <c r="AA20" s="144"/>
      <c r="AC20" s="128"/>
      <c r="AD20" s="128"/>
      <c r="AE20" s="128"/>
      <c r="AF20" s="128"/>
      <c r="AG20" s="128"/>
      <c r="AH20" s="129"/>
      <c r="AI20" s="130"/>
    </row>
    <row r="21" spans="1:35" ht="20.149999999999999" customHeight="1" x14ac:dyDescent="0.35">
      <c r="A21" s="132">
        <v>20</v>
      </c>
      <c r="B21" s="174" t="s">
        <v>131</v>
      </c>
      <c r="C21" s="177" t="s">
        <v>168</v>
      </c>
      <c r="D21" s="178">
        <v>34.789000000000001</v>
      </c>
      <c r="E21" s="8" t="s">
        <v>138</v>
      </c>
      <c r="F21" s="134">
        <v>40</v>
      </c>
      <c r="G21" s="133" t="s">
        <v>139</v>
      </c>
      <c r="H21" s="8" t="s">
        <v>175</v>
      </c>
      <c r="I21" s="85" t="s">
        <v>118</v>
      </c>
      <c r="J21" s="85" t="s">
        <v>118</v>
      </c>
      <c r="K21" s="8" t="s">
        <v>177</v>
      </c>
      <c r="L21" s="8" t="s">
        <v>178</v>
      </c>
      <c r="M21" s="149"/>
      <c r="N21" s="149"/>
      <c r="O21" s="147">
        <v>349997</v>
      </c>
      <c r="P21" s="100"/>
      <c r="Q21" s="127"/>
      <c r="R21" s="127"/>
      <c r="T21" s="143"/>
      <c r="V21" s="144"/>
      <c r="W21" s="144"/>
      <c r="X21" s="144"/>
      <c r="Y21" s="144"/>
      <c r="Z21" s="144"/>
      <c r="AA21" s="144"/>
      <c r="AC21" s="128"/>
      <c r="AD21" s="128"/>
      <c r="AE21" s="128"/>
      <c r="AF21" s="128"/>
      <c r="AG21" s="128"/>
      <c r="AH21" s="129"/>
      <c r="AI21" s="130"/>
    </row>
    <row r="22" spans="1:35" ht="20.149999999999999" customHeight="1" x14ac:dyDescent="0.35">
      <c r="A22" s="132">
        <v>21</v>
      </c>
      <c r="B22" s="174" t="s">
        <v>156</v>
      </c>
      <c r="C22" s="177" t="s">
        <v>134</v>
      </c>
      <c r="D22" s="178">
        <v>37.930999999999997</v>
      </c>
      <c r="E22" s="8" t="s">
        <v>138</v>
      </c>
      <c r="F22" s="134"/>
      <c r="G22" s="133" t="s">
        <v>139</v>
      </c>
      <c r="H22" s="8" t="s">
        <v>175</v>
      </c>
      <c r="I22" s="85" t="s">
        <v>118</v>
      </c>
      <c r="J22" s="85" t="s">
        <v>118</v>
      </c>
      <c r="K22" s="114"/>
      <c r="L22" s="149"/>
      <c r="M22" s="149"/>
      <c r="N22" s="149"/>
      <c r="O22" s="147">
        <v>381585</v>
      </c>
      <c r="P22" s="100"/>
      <c r="Q22" s="127"/>
      <c r="R22" s="127"/>
      <c r="T22" s="143"/>
      <c r="V22" s="144"/>
      <c r="W22" s="144"/>
      <c r="X22" s="144"/>
      <c r="Y22" s="144"/>
      <c r="Z22" s="144"/>
      <c r="AA22" s="144"/>
      <c r="AC22" s="128"/>
      <c r="AD22" s="128"/>
      <c r="AE22" s="128"/>
      <c r="AF22" s="128"/>
      <c r="AG22" s="128"/>
      <c r="AH22" s="129"/>
      <c r="AI22" s="130"/>
    </row>
    <row r="23" spans="1:35" ht="20.149999999999999" customHeight="1" x14ac:dyDescent="0.35">
      <c r="A23" s="132">
        <v>22</v>
      </c>
      <c r="B23" s="174" t="s">
        <v>157</v>
      </c>
      <c r="C23" s="177" t="s">
        <v>133</v>
      </c>
      <c r="D23" s="178">
        <v>36.158999999999999</v>
      </c>
      <c r="E23" s="8" t="s">
        <v>138</v>
      </c>
      <c r="F23" s="134"/>
      <c r="G23" s="133" t="s">
        <v>139</v>
      </c>
      <c r="H23" s="8" t="s">
        <v>175</v>
      </c>
      <c r="I23" s="85" t="s">
        <v>118</v>
      </c>
      <c r="J23" s="85" t="s">
        <v>118</v>
      </c>
      <c r="K23" s="114"/>
      <c r="L23" s="149"/>
      <c r="M23" s="149"/>
      <c r="N23" s="149"/>
      <c r="O23" s="147">
        <v>363759</v>
      </c>
      <c r="P23" s="100"/>
      <c r="Q23" s="127"/>
      <c r="R23" s="127"/>
      <c r="T23" s="143"/>
      <c r="V23" s="144"/>
      <c r="W23" s="144"/>
      <c r="X23" s="144"/>
      <c r="Y23" s="144"/>
      <c r="Z23" s="144"/>
      <c r="AA23" s="144"/>
      <c r="AC23" s="128"/>
      <c r="AD23" s="128"/>
      <c r="AE23" s="128"/>
      <c r="AF23" s="128"/>
      <c r="AG23" s="128"/>
      <c r="AH23" s="129"/>
      <c r="AI23" s="130"/>
    </row>
    <row r="24" spans="1:35" ht="20.149999999999999" customHeight="1" x14ac:dyDescent="0.35">
      <c r="A24" s="132">
        <v>23</v>
      </c>
      <c r="B24" s="174" t="s">
        <v>158</v>
      </c>
      <c r="C24" s="177" t="s">
        <v>133</v>
      </c>
      <c r="D24" s="178">
        <v>36.158999999999999</v>
      </c>
      <c r="E24" s="8" t="s">
        <v>170</v>
      </c>
      <c r="F24" s="134"/>
      <c r="G24" s="133" t="s">
        <v>139</v>
      </c>
      <c r="H24" s="8" t="s">
        <v>176</v>
      </c>
      <c r="I24" s="85" t="s">
        <v>118</v>
      </c>
      <c r="J24" s="85" t="s">
        <v>118</v>
      </c>
      <c r="K24" s="151"/>
      <c r="L24" s="149"/>
      <c r="M24" s="149"/>
      <c r="N24" s="149"/>
      <c r="O24" s="147">
        <v>363759</v>
      </c>
      <c r="P24" s="100"/>
      <c r="Q24" s="127"/>
      <c r="R24" s="127"/>
      <c r="T24" s="143"/>
      <c r="V24" s="144"/>
      <c r="W24" s="144"/>
      <c r="X24" s="144"/>
      <c r="Y24" s="144"/>
      <c r="Z24" s="144"/>
      <c r="AA24" s="144"/>
      <c r="AC24" s="128"/>
      <c r="AD24" s="128"/>
      <c r="AE24" s="128"/>
      <c r="AF24" s="128"/>
      <c r="AG24" s="128"/>
      <c r="AH24" s="129"/>
      <c r="AI24" s="130"/>
    </row>
    <row r="25" spans="1:35" ht="20.149999999999999" customHeight="1" x14ac:dyDescent="0.35">
      <c r="A25" s="132">
        <v>24</v>
      </c>
      <c r="B25" s="174" t="s">
        <v>159</v>
      </c>
      <c r="C25" s="177" t="s">
        <v>133</v>
      </c>
      <c r="D25" s="178">
        <v>36.158999999999999</v>
      </c>
      <c r="E25" s="8" t="s">
        <v>170</v>
      </c>
      <c r="F25" s="134"/>
      <c r="G25" s="133" t="s">
        <v>139</v>
      </c>
      <c r="H25" s="8" t="s">
        <v>176</v>
      </c>
      <c r="I25" s="85" t="s">
        <v>118</v>
      </c>
      <c r="J25" s="85" t="s">
        <v>118</v>
      </c>
      <c r="K25" s="151"/>
      <c r="L25" s="149"/>
      <c r="M25" s="149"/>
      <c r="N25" s="149"/>
      <c r="O25" s="147">
        <v>363759</v>
      </c>
      <c r="P25" s="100"/>
      <c r="Q25" s="127"/>
      <c r="R25" s="127"/>
      <c r="V25" s="144"/>
      <c r="W25" s="144"/>
      <c r="X25" s="144"/>
      <c r="Y25" s="144"/>
      <c r="Z25" s="144"/>
      <c r="AA25" s="144"/>
      <c r="AC25" s="128"/>
      <c r="AD25" s="128"/>
      <c r="AE25" s="128"/>
      <c r="AF25" s="128"/>
      <c r="AG25" s="128"/>
      <c r="AH25" s="129"/>
      <c r="AI25" s="130"/>
    </row>
    <row r="26" spans="1:35" ht="20.149999999999999" customHeight="1" x14ac:dyDescent="0.35">
      <c r="A26" s="132">
        <v>25</v>
      </c>
      <c r="B26" s="174" t="s">
        <v>160</v>
      </c>
      <c r="C26" s="177" t="s">
        <v>134</v>
      </c>
      <c r="D26" s="178">
        <v>37.930999999999997</v>
      </c>
      <c r="E26" s="8" t="s">
        <v>170</v>
      </c>
      <c r="F26" s="134"/>
      <c r="G26" s="133" t="s">
        <v>139</v>
      </c>
      <c r="H26" s="8" t="s">
        <v>176</v>
      </c>
      <c r="I26" s="85" t="s">
        <v>118</v>
      </c>
      <c r="J26" s="85" t="s">
        <v>118</v>
      </c>
      <c r="K26" s="151"/>
      <c r="L26" s="149"/>
      <c r="M26" s="149"/>
      <c r="N26" s="149"/>
      <c r="O26" s="147">
        <v>381585</v>
      </c>
      <c r="P26" s="100"/>
      <c r="Q26" s="127"/>
      <c r="R26" s="127"/>
      <c r="T26" s="143"/>
      <c r="V26" s="144"/>
      <c r="W26" s="144"/>
      <c r="X26" s="144"/>
      <c r="Y26" s="144"/>
      <c r="Z26" s="144"/>
      <c r="AA26" s="144"/>
      <c r="AC26" s="128"/>
      <c r="AD26" s="128"/>
      <c r="AE26" s="128"/>
      <c r="AF26" s="128"/>
      <c r="AG26" s="128"/>
      <c r="AH26" s="129"/>
      <c r="AI26" s="130"/>
    </row>
    <row r="27" spans="1:35" ht="20.149999999999999" customHeight="1" x14ac:dyDescent="0.35">
      <c r="A27" s="132">
        <v>26</v>
      </c>
      <c r="B27" s="174" t="s">
        <v>132</v>
      </c>
      <c r="C27" s="177" t="s">
        <v>133</v>
      </c>
      <c r="D27" s="178">
        <v>36.158999999999999</v>
      </c>
      <c r="E27" s="8" t="s">
        <v>171</v>
      </c>
      <c r="F27" s="134">
        <v>25</v>
      </c>
      <c r="G27" s="133" t="s">
        <v>139</v>
      </c>
      <c r="H27" s="8" t="s">
        <v>176</v>
      </c>
      <c r="I27" s="85" t="s">
        <v>118</v>
      </c>
      <c r="J27" s="85" t="s">
        <v>118</v>
      </c>
      <c r="K27" s="151" t="s">
        <v>184</v>
      </c>
      <c r="L27" s="149"/>
      <c r="M27" s="149"/>
      <c r="N27" s="149"/>
      <c r="O27" s="147">
        <v>381585</v>
      </c>
      <c r="P27" s="100"/>
      <c r="Q27" s="127"/>
      <c r="R27" s="127"/>
      <c r="T27" s="143"/>
      <c r="V27" s="144"/>
      <c r="W27" s="144"/>
      <c r="X27" s="144"/>
      <c r="Y27" s="144"/>
      <c r="Z27" s="144"/>
      <c r="AA27" s="144"/>
      <c r="AC27" s="128"/>
      <c r="AD27" s="128"/>
      <c r="AE27" s="128"/>
      <c r="AF27" s="128"/>
      <c r="AG27" s="128"/>
      <c r="AH27" s="129"/>
      <c r="AI27" s="130"/>
    </row>
    <row r="28" spans="1:35" ht="20.149999999999999" customHeight="1" x14ac:dyDescent="0.35">
      <c r="A28" s="132">
        <v>27</v>
      </c>
      <c r="B28" s="174" t="s">
        <v>161</v>
      </c>
      <c r="C28" s="177" t="s">
        <v>169</v>
      </c>
      <c r="D28" s="178">
        <v>45.697000000000003</v>
      </c>
      <c r="E28" s="8" t="s">
        <v>171</v>
      </c>
      <c r="F28" s="136"/>
      <c r="G28" s="133" t="s">
        <v>139</v>
      </c>
      <c r="H28" s="8" t="s">
        <v>173</v>
      </c>
      <c r="I28" s="85" t="s">
        <v>118</v>
      </c>
      <c r="J28" s="85" t="s">
        <v>118</v>
      </c>
      <c r="K28" s="151"/>
      <c r="L28" s="149"/>
      <c r="M28" s="149"/>
      <c r="N28" s="149"/>
      <c r="O28" s="147">
        <v>459711</v>
      </c>
      <c r="P28" s="100"/>
      <c r="Q28" s="127"/>
      <c r="R28" s="127"/>
      <c r="T28" s="143"/>
      <c r="V28" s="144"/>
      <c r="W28" s="144"/>
      <c r="X28" s="144"/>
      <c r="Y28" s="144"/>
      <c r="Z28" s="144"/>
      <c r="AA28" s="144"/>
      <c r="AC28" s="128"/>
      <c r="AD28" s="128"/>
      <c r="AE28" s="128"/>
      <c r="AF28" s="128"/>
      <c r="AG28" s="128"/>
      <c r="AH28" s="129"/>
      <c r="AI28" s="130"/>
    </row>
    <row r="29" spans="1:35" ht="20.149999999999999" customHeight="1" x14ac:dyDescent="0.35">
      <c r="A29" s="132">
        <v>28</v>
      </c>
      <c r="B29" s="174" t="s">
        <v>162</v>
      </c>
      <c r="C29" s="177" t="s">
        <v>137</v>
      </c>
      <c r="D29" s="178">
        <v>43.804000000000002</v>
      </c>
      <c r="E29" s="8" t="s">
        <v>171</v>
      </c>
      <c r="F29" s="136"/>
      <c r="G29" s="133" t="s">
        <v>139</v>
      </c>
      <c r="H29" s="8" t="s">
        <v>176</v>
      </c>
      <c r="I29" s="85" t="s">
        <v>118</v>
      </c>
      <c r="J29" s="85" t="s">
        <v>118</v>
      </c>
      <c r="K29" s="151"/>
      <c r="L29" s="149"/>
      <c r="M29" s="149"/>
      <c r="N29" s="149"/>
      <c r="O29" s="147">
        <v>440668</v>
      </c>
      <c r="P29" s="100"/>
      <c r="Q29" s="127"/>
      <c r="R29" s="127"/>
      <c r="T29" s="143"/>
      <c r="V29" s="144"/>
      <c r="W29" s="144"/>
      <c r="X29" s="144"/>
      <c r="Y29" s="144"/>
      <c r="Z29" s="144"/>
      <c r="AA29" s="144"/>
      <c r="AC29" s="128"/>
      <c r="AD29" s="128"/>
      <c r="AE29" s="128"/>
      <c r="AF29" s="128"/>
      <c r="AG29" s="128"/>
      <c r="AH29" s="129"/>
      <c r="AI29" s="130"/>
    </row>
    <row r="30" spans="1:35" ht="26.25" customHeight="1" x14ac:dyDescent="0.35">
      <c r="A30" s="132">
        <v>29</v>
      </c>
      <c r="B30" s="174" t="s">
        <v>163</v>
      </c>
      <c r="C30" s="177" t="s">
        <v>137</v>
      </c>
      <c r="D30" s="178">
        <v>43.804000000000002</v>
      </c>
      <c r="E30" s="8" t="s">
        <v>171</v>
      </c>
      <c r="F30" s="136"/>
      <c r="G30" s="133" t="s">
        <v>139</v>
      </c>
      <c r="H30" s="8" t="s">
        <v>175</v>
      </c>
      <c r="I30" s="85" t="s">
        <v>118</v>
      </c>
      <c r="J30" s="85" t="s">
        <v>118</v>
      </c>
      <c r="K30" s="154"/>
      <c r="L30" s="149"/>
      <c r="M30" s="149"/>
      <c r="N30" s="149"/>
      <c r="O30" s="147">
        <v>440668</v>
      </c>
      <c r="P30" s="100"/>
      <c r="Q30" s="127"/>
      <c r="R30" s="127"/>
      <c r="T30" s="143"/>
      <c r="V30" s="144"/>
      <c r="W30" s="144"/>
      <c r="X30" s="144"/>
      <c r="Y30" s="144"/>
      <c r="Z30" s="144"/>
      <c r="AA30" s="144"/>
      <c r="AC30" s="128"/>
      <c r="AD30" s="128"/>
      <c r="AE30" s="128"/>
      <c r="AF30" s="128"/>
      <c r="AG30" s="128"/>
      <c r="AH30" s="129"/>
      <c r="AI30" s="130"/>
    </row>
    <row r="31" spans="1:35" ht="26.25" customHeight="1" x14ac:dyDescent="0.35">
      <c r="A31" s="132">
        <v>30</v>
      </c>
      <c r="B31" s="174" t="s">
        <v>164</v>
      </c>
      <c r="C31" s="177" t="s">
        <v>168</v>
      </c>
      <c r="D31" s="178">
        <v>34.789000000000001</v>
      </c>
      <c r="E31" s="8" t="s">
        <v>171</v>
      </c>
      <c r="F31" s="136"/>
      <c r="G31" s="133" t="s">
        <v>139</v>
      </c>
      <c r="H31" s="8" t="s">
        <v>172</v>
      </c>
      <c r="I31" s="85" t="s">
        <v>118</v>
      </c>
      <c r="J31" s="85" t="s">
        <v>118</v>
      </c>
      <c r="K31" s="154"/>
      <c r="L31" s="149"/>
      <c r="M31" s="149"/>
      <c r="N31" s="149"/>
      <c r="O31" s="147">
        <v>349997</v>
      </c>
      <c r="P31" s="100"/>
      <c r="Q31" s="127"/>
      <c r="R31" s="127"/>
      <c r="T31" s="143"/>
      <c r="V31" s="144"/>
      <c r="W31" s="144"/>
      <c r="X31" s="144"/>
      <c r="Y31" s="144"/>
      <c r="Z31" s="144"/>
      <c r="AA31" s="144"/>
      <c r="AC31" s="128"/>
      <c r="AD31" s="128"/>
      <c r="AE31" s="128"/>
      <c r="AF31" s="128"/>
      <c r="AG31" s="128"/>
      <c r="AH31" s="129"/>
      <c r="AI31" s="130"/>
    </row>
  </sheetData>
  <phoneticPr fontId="8" type="noConversion"/>
  <conditionalFormatting sqref="B32:B1048576 B1">
    <cfRule type="duplicateValues" dxfId="72" priority="221"/>
  </conditionalFormatting>
  <conditionalFormatting sqref="I2:I31">
    <cfRule type="containsText" dxfId="71" priority="52" operator="containsText" text="ROW">
      <formula>NOT(ISERROR(SEARCH("ROW",I2)))</formula>
    </cfRule>
    <cfRule type="containsText" dxfId="70" priority="51" operator="containsText" text="Complete">
      <formula>NOT(ISERROR(SEARCH("Complete",I2)))</formula>
    </cfRule>
    <cfRule type="containsText" dxfId="69" priority="50" operator="containsText" text="ROW">
      <formula>NOT(ISERROR(SEARCH("ROW",I2)))</formula>
    </cfRule>
    <cfRule type="containsText" dxfId="68" priority="49" operator="containsText" text="Complete">
      <formula>NOT(ISERROR(SEARCH("Complete",I2)))</formula>
    </cfRule>
  </conditionalFormatting>
  <conditionalFormatting sqref="I2:J31">
    <cfRule type="containsText" dxfId="67" priority="48" operator="containsText" text="WIP">
      <formula>NOT(ISERROR(SEARCH("WIP",I2)))</formula>
    </cfRule>
    <cfRule type="containsText" dxfId="66" priority="53" operator="containsText" text="Complete">
      <formula>NOT(ISERROR(SEARCH("Complete",I2)))</formula>
    </cfRule>
    <cfRule type="containsText" dxfId="65" priority="54" operator="containsText" text="ROW">
      <formula>NOT(ISERROR(SEARCH("ROW",I2)))</formula>
    </cfRule>
  </conditionalFormatting>
  <conditionalFormatting sqref="J2:J31 K16">
    <cfRule type="containsText" dxfId="64" priority="258" operator="containsText" text="Complete">
      <formula>NOT(ISERROR(SEARCH("Complete",J2)))</formula>
    </cfRule>
    <cfRule type="containsText" dxfId="63" priority="259" operator="containsText" text="ROW">
      <formula>NOT(ISERROR(SEARCH("ROW",J2)))</formula>
    </cfRule>
  </conditionalFormatting>
  <conditionalFormatting sqref="K3:K7 K9:K13 K20:K22">
    <cfRule type="containsText" dxfId="62" priority="173" operator="containsText" text="ROW">
      <formula>NOT(ISERROR(SEARCH("ROW",K3)))</formula>
    </cfRule>
    <cfRule type="containsText" dxfId="61" priority="172" operator="containsText" text="Complete">
      <formula>NOT(ISERROR(SEARCH("Complete",K3)))</formula>
    </cfRule>
  </conditionalFormatting>
  <conditionalFormatting sqref="K3:K7 K9:K13 K20:N22">
    <cfRule type="containsText" dxfId="60" priority="171" operator="containsText" text="WIP">
      <formula>NOT(ISERROR(SEARCH("WIP",K3)))</formula>
    </cfRule>
  </conditionalFormatting>
  <conditionalFormatting sqref="K3:K7 L4:L5 K9:K13">
    <cfRule type="containsText" dxfId="59" priority="170" operator="containsText" text="ROW">
      <formula>NOT(ISERROR(SEARCH("ROW",K3)))</formula>
    </cfRule>
    <cfRule type="containsText" dxfId="58" priority="169" operator="containsText" text="Complete">
      <formula>NOT(ISERROR(SEARCH("Complete",K3)))</formula>
    </cfRule>
  </conditionalFormatting>
  <conditionalFormatting sqref="K3:K7">
    <cfRule type="containsText" dxfId="57" priority="132" operator="containsText" text="ROW">
      <formula>NOT(ISERROR(SEARCH("ROW",K3)))</formula>
    </cfRule>
    <cfRule type="containsText" dxfId="56" priority="131" operator="containsText" text="Complete">
      <formula>NOT(ISERROR(SEARCH("Complete",K3)))</formula>
    </cfRule>
  </conditionalFormatting>
  <conditionalFormatting sqref="K16">
    <cfRule type="containsText" dxfId="55" priority="243" operator="containsText" text="Complete">
      <formula>NOT(ISERROR(SEARCH("Complete",K16)))</formula>
    </cfRule>
    <cfRule type="containsText" dxfId="54" priority="240" operator="containsText" text="WIP">
      <formula>NOT(ISERROR(SEARCH("WIP",K16)))</formula>
    </cfRule>
    <cfRule type="containsText" dxfId="53" priority="244" operator="containsText" text="ROW">
      <formula>NOT(ISERROR(SEARCH("ROW",K16)))</formula>
    </cfRule>
  </conditionalFormatting>
  <conditionalFormatting sqref="K16:M16 L2:N7 L9:N14 L8:M8 K17:N18 L23:N26 K25:K26 K27:N31">
    <cfRule type="containsText" dxfId="52" priority="245" operator="containsText" text="WIP">
      <formula>NOT(ISERROR(SEARCH("WIP",K2)))</formula>
    </cfRule>
  </conditionalFormatting>
  <conditionalFormatting sqref="K20:N22">
    <cfRule type="containsText" dxfId="51" priority="127" operator="containsText" text="Complete">
      <formula>NOT(ISERROR(SEARCH("Complete",K20)))</formula>
    </cfRule>
    <cfRule type="containsText" dxfId="50" priority="128" operator="containsText" text="ROW">
      <formula>NOT(ISERROR(SEARCH("ROW",K20)))</formula>
    </cfRule>
  </conditionalFormatting>
  <conditionalFormatting sqref="L10:L11">
    <cfRule type="containsText" dxfId="49" priority="133" operator="containsText" text="Complete">
      <formula>NOT(ISERROR(SEARCH("Complete",L10)))</formula>
    </cfRule>
    <cfRule type="containsText" dxfId="48" priority="134" operator="containsText" text="ROW">
      <formula>NOT(ISERROR(SEARCH("ROW",L10)))</formula>
    </cfRule>
  </conditionalFormatting>
  <conditionalFormatting sqref="L15">
    <cfRule type="containsText" dxfId="47" priority="62" operator="containsText" text="WIP">
      <formula>NOT(ISERROR(SEARCH("WIP",L15)))</formula>
    </cfRule>
    <cfRule type="containsText" dxfId="46" priority="64" operator="containsText" text="ROW">
      <formula>NOT(ISERROR(SEARCH("ROW",L15)))</formula>
    </cfRule>
    <cfRule type="containsText" dxfId="45" priority="63" operator="containsText" text="Complete">
      <formula>NOT(ISERROR(SEARCH("Complete",L15)))</formula>
    </cfRule>
  </conditionalFormatting>
  <conditionalFormatting sqref="L2:N7 J2:J31 L8:M8 L9:N14 N15 K16:M16 K17:N18 L23:N26 K25:K26 K27:N31">
    <cfRule type="containsText" dxfId="44" priority="247" operator="containsText" text="ROW">
      <formula>NOT(ISERROR(SEARCH("ROW",J2)))</formula>
    </cfRule>
  </conditionalFormatting>
  <conditionalFormatting sqref="L2:N7 L8:M8 L9:N14 K16:M16 K17:N18 L23:N26 K25:K26 K27:N31 J2:J31 N15">
    <cfRule type="containsText" dxfId="43" priority="246" operator="containsText" text="Complete">
      <formula>NOT(ISERROR(SEARCH("Complete",J2)))</formula>
    </cfRule>
  </conditionalFormatting>
  <conditionalFormatting sqref="L19:N19">
    <cfRule type="containsText" dxfId="42" priority="78" operator="containsText" text="Complete">
      <formula>NOT(ISERROR(SEARCH("Complete",L19)))</formula>
    </cfRule>
    <cfRule type="containsText" dxfId="41" priority="79" operator="containsText" text="ROW">
      <formula>NOT(ISERROR(SEARCH("ROW",L19)))</formula>
    </cfRule>
  </conditionalFormatting>
  <conditionalFormatting sqref="L19:O19">
    <cfRule type="containsText" dxfId="40" priority="80" operator="containsText" text="WIP">
      <formula>NOT(ISERROR(SEARCH("WIP",L19)))</formula>
    </cfRule>
  </conditionalFormatting>
  <conditionalFormatting sqref="N15:O15">
    <cfRule type="containsText" dxfId="39" priority="26" operator="containsText" text="WIP">
      <formula>NOT(ISERROR(SEARCH("WIP",N15)))</formula>
    </cfRule>
  </conditionalFormatting>
  <conditionalFormatting sqref="O2:O5">
    <cfRule type="containsText" dxfId="38" priority="8" operator="containsText" text="Complete">
      <formula>NOT(ISERROR(SEARCH("Complete",O2)))</formula>
    </cfRule>
    <cfRule type="containsText" dxfId="37" priority="9" operator="containsText" text="ROW">
      <formula>NOT(ISERROR(SEARCH("ROW",O2)))</formula>
    </cfRule>
    <cfRule type="containsText" dxfId="36" priority="7" operator="containsText" text="WIP">
      <formula>NOT(ISERROR(SEARCH("WIP",O2)))</formula>
    </cfRule>
  </conditionalFormatting>
  <conditionalFormatting sqref="O6:O8">
    <cfRule type="containsText" dxfId="35" priority="98" operator="containsText" text="ROW">
      <formula>NOT(ISERROR(SEARCH("ROW",O6)))</formula>
    </cfRule>
    <cfRule type="containsText" dxfId="34" priority="96" operator="containsText" text="WIP">
      <formula>NOT(ISERROR(SEARCH("WIP",O6)))</formula>
    </cfRule>
    <cfRule type="containsText" dxfId="33" priority="97" operator="containsText" text="Complete">
      <formula>NOT(ISERROR(SEARCH("Complete",O6)))</formula>
    </cfRule>
  </conditionalFormatting>
  <conditionalFormatting sqref="O6:O10">
    <cfRule type="containsText" dxfId="32" priority="88" operator="containsText" text="Complete">
      <formula>NOT(ISERROR(SEARCH("Complete",O6)))</formula>
    </cfRule>
    <cfRule type="containsText" dxfId="31" priority="89" operator="containsText" text="ROW">
      <formula>NOT(ISERROR(SEARCH("ROW",O6)))</formula>
    </cfRule>
  </conditionalFormatting>
  <conditionalFormatting sqref="O9">
    <cfRule type="containsText" dxfId="30" priority="87" operator="containsText" text="WIP">
      <formula>NOT(ISERROR(SEARCH("WIP",O9)))</formula>
    </cfRule>
  </conditionalFormatting>
  <conditionalFormatting sqref="O10">
    <cfRule type="containsText" dxfId="29" priority="119" operator="containsText" text="Complete">
      <formula>NOT(ISERROR(SEARCH("Complete",O10)))</formula>
    </cfRule>
    <cfRule type="containsText" dxfId="28" priority="120" operator="containsText" text="ROW">
      <formula>NOT(ISERROR(SEARCH("ROW",O10)))</formula>
    </cfRule>
    <cfRule type="containsText" dxfId="27" priority="118" operator="containsText" text="WIP">
      <formula>NOT(ISERROR(SEARCH("WIP",O10)))</formula>
    </cfRule>
  </conditionalFormatting>
  <conditionalFormatting sqref="O11:O14">
    <cfRule type="containsText" dxfId="26" priority="1" operator="containsText" text="WIP">
      <formula>NOT(ISERROR(SEARCH("WIP",O11)))</formula>
    </cfRule>
    <cfRule type="containsText" dxfId="25" priority="3" operator="containsText" text="ROW">
      <formula>NOT(ISERROR(SEARCH("ROW",O11)))</formula>
    </cfRule>
    <cfRule type="containsText" dxfId="24" priority="2" operator="containsText" text="Complete">
      <formula>NOT(ISERROR(SEARCH("Complete",O11)))</formula>
    </cfRule>
  </conditionalFormatting>
  <conditionalFormatting sqref="O15:O16">
    <cfRule type="containsText" dxfId="23" priority="27" operator="containsText" text="Complete">
      <formula>NOT(ISERROR(SEARCH("Complete",O15)))</formula>
    </cfRule>
    <cfRule type="containsText" dxfId="22" priority="28" operator="containsText" text="ROW">
      <formula>NOT(ISERROR(SEARCH("ROW",O15)))</formula>
    </cfRule>
  </conditionalFormatting>
  <conditionalFormatting sqref="O16:O17">
    <cfRule type="containsText" dxfId="21" priority="74" operator="containsText" text="ROW">
      <formula>NOT(ISERROR(SEARCH("ROW",O16)))</formula>
    </cfRule>
    <cfRule type="containsText" dxfId="20" priority="73" operator="containsText" text="Complete">
      <formula>NOT(ISERROR(SEARCH("Complete",O16)))</formula>
    </cfRule>
    <cfRule type="containsText" dxfId="19" priority="72" operator="containsText" text="WIP">
      <formula>NOT(ISERROR(SEARCH("WIP",O16)))</formula>
    </cfRule>
  </conditionalFormatting>
  <conditionalFormatting sqref="O19">
    <cfRule type="containsText" dxfId="18" priority="82" operator="containsText" text="ROW">
      <formula>NOT(ISERROR(SEARCH("ROW",O19)))</formula>
    </cfRule>
    <cfRule type="containsText" dxfId="17" priority="81" operator="containsText" text="Complete">
      <formula>NOT(ISERROR(SEARCH("Complete",O19)))</formula>
    </cfRule>
  </conditionalFormatting>
  <conditionalFormatting sqref="O21">
    <cfRule type="containsText" dxfId="16" priority="20" operator="containsText" text="WIP">
      <formula>NOT(ISERROR(SEARCH("WIP",O21)))</formula>
    </cfRule>
    <cfRule type="containsText" dxfId="15" priority="19" operator="containsText" text="ROW">
      <formula>NOT(ISERROR(SEARCH("ROW",O21)))</formula>
    </cfRule>
    <cfRule type="containsText" dxfId="14" priority="18" operator="containsText" text="Complete">
      <formula>NOT(ISERROR(SEARCH("Complete",O21)))</formula>
    </cfRule>
  </conditionalFormatting>
  <conditionalFormatting sqref="O21:O22">
    <cfRule type="containsText" dxfId="13" priority="21" operator="containsText" text="Complete">
      <formula>NOT(ISERROR(SEARCH("Complete",O21)))</formula>
    </cfRule>
    <cfRule type="containsText" dxfId="12" priority="22" operator="containsText" text="ROW">
      <formula>NOT(ISERROR(SEARCH("ROW",O21)))</formula>
    </cfRule>
  </conditionalFormatting>
  <conditionalFormatting sqref="O22">
    <cfRule type="containsText" dxfId="11" priority="38" operator="containsText" text="ROW">
      <formula>NOT(ISERROR(SEARCH("ROW",O22)))</formula>
    </cfRule>
    <cfRule type="containsText" dxfId="10" priority="36" operator="containsText" text="WIP">
      <formula>NOT(ISERROR(SEARCH("WIP",O22)))</formula>
    </cfRule>
    <cfRule type="containsText" dxfId="9" priority="37" operator="containsText" text="Complete">
      <formula>NOT(ISERROR(SEARCH("Complete",O22)))</formula>
    </cfRule>
  </conditionalFormatting>
  <conditionalFormatting sqref="O23:O25">
    <cfRule type="containsText" dxfId="8" priority="10" operator="containsText" text="WIP">
      <formula>NOT(ISERROR(SEARCH("WIP",O23)))</formula>
    </cfRule>
  </conditionalFormatting>
  <conditionalFormatting sqref="O23:O26">
    <cfRule type="containsText" dxfId="7" priority="11" operator="containsText" text="Complete">
      <formula>NOT(ISERROR(SEARCH("Complete",O23)))</formula>
    </cfRule>
    <cfRule type="containsText" dxfId="6" priority="12" operator="containsText" text="ROW">
      <formula>NOT(ISERROR(SEARCH("ROW",O23)))</formula>
    </cfRule>
  </conditionalFormatting>
  <conditionalFormatting sqref="O26:O31">
    <cfRule type="containsText" dxfId="5" priority="17" operator="containsText" text="ROW">
      <formula>NOT(ISERROR(SEARCH("ROW",O26)))</formula>
    </cfRule>
    <cfRule type="containsText" dxfId="4" priority="16" operator="containsText" text="Complete">
      <formula>NOT(ISERROR(SEARCH("Complete",O26)))</formula>
    </cfRule>
    <cfRule type="containsText" dxfId="3" priority="15" operator="containsText" text="WIP">
      <formula>NOT(ISERROR(SEARCH("WIP",O26)))</formula>
    </cfRule>
  </conditionalFormatting>
  <conditionalFormatting sqref="O31">
    <cfRule type="containsText" dxfId="2" priority="14" operator="containsText" text="ROW">
      <formula>NOT(ISERROR(SEARCH("ROW",O31)))</formula>
    </cfRule>
    <cfRule type="containsText" dxfId="1" priority="13" operator="containsText" text="Complete">
      <formula>NOT(ISERROR(SEARCH("Complete",O31)))</formula>
    </cfRule>
  </conditionalFormatting>
  <printOptions horizontalCentered="1"/>
  <pageMargins left="0.25" right="0.25" top="0.75" bottom="0.75" header="0.3" footer="0.3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3407-BB56-4257-97C7-4D69D83F8D4A}">
  <dimension ref="A1:O11"/>
  <sheetViews>
    <sheetView tabSelected="1" topLeftCell="A3" zoomScale="46" zoomScaleNormal="82" workbookViewId="0">
      <selection activeCell="G8" sqref="G8"/>
    </sheetView>
  </sheetViews>
  <sheetFormatPr defaultColWidth="9.1796875" defaultRowHeight="13" x14ac:dyDescent="0.3"/>
  <cols>
    <col min="1" max="1" width="12" style="155" customWidth="1"/>
    <col min="2" max="2" width="10.81640625" style="155" customWidth="1"/>
    <col min="3" max="3" width="28.7265625" style="155" customWidth="1"/>
    <col min="4" max="4" width="21.7265625" style="155" customWidth="1"/>
    <col min="5" max="5" width="24.26953125" style="155" customWidth="1"/>
    <col min="6" max="6" width="19.453125" style="155" customWidth="1"/>
    <col min="7" max="7" width="19.1796875" style="155" customWidth="1"/>
    <col min="8" max="8" width="19.26953125" style="155" customWidth="1"/>
    <col min="9" max="9" width="25.7265625" style="155" customWidth="1"/>
    <col min="10" max="10" width="25.1796875" style="155" customWidth="1"/>
    <col min="11" max="11" width="17.1796875" style="155" customWidth="1"/>
    <col min="12" max="12" width="22.54296875" style="155" customWidth="1"/>
    <col min="13" max="13" width="26.81640625" style="155" customWidth="1"/>
    <col min="14" max="14" width="41.7265625" style="155" customWidth="1"/>
    <col min="15" max="15" width="23.1796875" style="155" customWidth="1"/>
    <col min="16" max="16384" width="9.1796875" style="155"/>
  </cols>
  <sheetData>
    <row r="1" spans="1:15" ht="14.5" customHeight="1" thickBot="1" x14ac:dyDescent="0.35"/>
    <row r="2" spans="1:15" ht="55.5" customHeight="1" x14ac:dyDescent="0.3">
      <c r="A2" s="156" t="s">
        <v>119</v>
      </c>
      <c r="B2" s="157" t="s">
        <v>120</v>
      </c>
      <c r="C2" s="158" t="s">
        <v>121</v>
      </c>
      <c r="D2" s="157" t="s">
        <v>122</v>
      </c>
      <c r="E2" s="157" t="s">
        <v>123</v>
      </c>
      <c r="F2" s="157" t="s">
        <v>124</v>
      </c>
      <c r="G2" s="157" t="s">
        <v>125</v>
      </c>
      <c r="H2" s="157" t="s">
        <v>126</v>
      </c>
      <c r="I2" s="157" t="s">
        <v>127</v>
      </c>
      <c r="J2" s="157" t="s">
        <v>128</v>
      </c>
      <c r="K2" s="159" t="s">
        <v>129</v>
      </c>
      <c r="L2" s="159" t="s">
        <v>108</v>
      </c>
      <c r="M2" s="160" t="s">
        <v>130</v>
      </c>
      <c r="N2" s="161" t="s">
        <v>105</v>
      </c>
      <c r="O2" s="162" t="s">
        <v>104</v>
      </c>
    </row>
    <row r="3" spans="1:15" ht="66.75" customHeight="1" x14ac:dyDescent="0.3">
      <c r="A3" s="163"/>
      <c r="B3" s="164"/>
      <c r="C3" s="4"/>
      <c r="D3" s="8"/>
      <c r="E3" s="165"/>
      <c r="F3" s="163"/>
      <c r="G3" s="114"/>
      <c r="H3" s="114"/>
      <c r="I3" s="114"/>
      <c r="J3" s="166"/>
      <c r="K3" s="167"/>
      <c r="L3" s="168"/>
      <c r="M3" s="168"/>
      <c r="N3" s="163"/>
      <c r="O3" s="163"/>
    </row>
    <row r="4" spans="1:15" ht="63" customHeight="1" x14ac:dyDescent="0.3">
      <c r="A4" s="163"/>
      <c r="B4" s="164"/>
      <c r="C4" s="8"/>
      <c r="D4" s="8"/>
      <c r="E4" s="165"/>
      <c r="F4" s="163"/>
      <c r="G4" s="150"/>
      <c r="H4" s="114"/>
      <c r="I4" s="114"/>
      <c r="J4" s="166"/>
      <c r="K4" s="167"/>
      <c r="L4" s="168"/>
      <c r="M4" s="168"/>
      <c r="N4" s="163"/>
      <c r="O4" s="163"/>
    </row>
    <row r="5" spans="1:15" ht="63" customHeight="1" x14ac:dyDescent="0.3">
      <c r="A5" s="163"/>
      <c r="B5" s="164"/>
      <c r="C5" s="8"/>
      <c r="D5" s="8"/>
      <c r="E5" s="165"/>
      <c r="F5" s="163"/>
      <c r="G5" s="114"/>
      <c r="H5" s="114"/>
      <c r="I5" s="114"/>
      <c r="J5" s="166"/>
      <c r="K5" s="167"/>
      <c r="L5" s="168"/>
      <c r="M5" s="168"/>
      <c r="N5" s="163"/>
      <c r="O5" s="163"/>
    </row>
    <row r="6" spans="1:15" ht="60" customHeight="1" x14ac:dyDescent="0.3">
      <c r="A6" s="163"/>
      <c r="B6" s="164"/>
      <c r="C6" s="8"/>
      <c r="D6" s="8"/>
      <c r="E6" s="165"/>
      <c r="F6" s="163"/>
      <c r="G6" s="114"/>
      <c r="H6" s="114"/>
      <c r="I6" s="114"/>
      <c r="J6" s="166"/>
      <c r="K6" s="169"/>
      <c r="L6" s="168"/>
      <c r="M6" s="168"/>
      <c r="N6" s="163"/>
      <c r="O6" s="163"/>
    </row>
    <row r="7" spans="1:15" ht="60" customHeight="1" x14ac:dyDescent="0.3">
      <c r="A7" s="163"/>
      <c r="B7" s="164"/>
      <c r="C7" s="8"/>
      <c r="D7" s="8"/>
      <c r="E7" s="165"/>
      <c r="F7" s="163"/>
      <c r="G7" s="114"/>
      <c r="H7" s="114"/>
      <c r="I7" s="114"/>
      <c r="J7" s="166"/>
      <c r="K7" s="169"/>
      <c r="L7" s="168"/>
      <c r="M7" s="168"/>
      <c r="N7" s="163"/>
      <c r="O7" s="163"/>
    </row>
    <row r="8" spans="1:15" ht="60" customHeight="1" x14ac:dyDescent="0.3">
      <c r="A8" s="163"/>
      <c r="B8" s="164"/>
      <c r="C8" s="8"/>
      <c r="D8" s="8"/>
      <c r="E8" s="165"/>
      <c r="F8" s="163"/>
      <c r="G8" s="114"/>
      <c r="H8" s="114"/>
      <c r="I8" s="114"/>
      <c r="J8" s="166"/>
      <c r="K8" s="169"/>
      <c r="L8" s="168"/>
      <c r="M8" s="168"/>
      <c r="N8" s="163"/>
      <c r="O8" s="163"/>
    </row>
    <row r="9" spans="1:15" ht="68.25" customHeight="1" x14ac:dyDescent="0.3">
      <c r="A9" s="163"/>
      <c r="B9" s="164"/>
      <c r="C9" s="8"/>
      <c r="D9" s="8"/>
      <c r="E9" s="165"/>
      <c r="F9" s="163"/>
      <c r="G9" s="114"/>
      <c r="H9" s="114"/>
      <c r="I9" s="114"/>
      <c r="J9" s="166"/>
      <c r="K9" s="169"/>
      <c r="L9" s="163"/>
      <c r="M9" s="163"/>
      <c r="N9" s="163"/>
      <c r="O9" s="163"/>
    </row>
    <row r="10" spans="1:15" ht="76.5" customHeight="1" x14ac:dyDescent="0.3">
      <c r="A10" s="163"/>
      <c r="B10" s="164"/>
      <c r="C10" s="8"/>
      <c r="D10" s="8"/>
      <c r="E10" s="165"/>
      <c r="F10" s="163"/>
      <c r="G10" s="114"/>
      <c r="H10" s="114"/>
      <c r="I10" s="114"/>
      <c r="J10" s="166"/>
      <c r="K10" s="169"/>
      <c r="L10" s="163"/>
      <c r="M10" s="163"/>
      <c r="N10" s="163"/>
      <c r="O10" s="163"/>
    </row>
    <row r="11" spans="1:15" ht="63" customHeight="1" x14ac:dyDescent="0.3">
      <c r="A11" s="163"/>
      <c r="B11" s="164"/>
      <c r="C11" s="8"/>
      <c r="D11" s="8"/>
      <c r="E11" s="170"/>
      <c r="F11" s="163"/>
      <c r="G11" s="114"/>
      <c r="H11" s="114"/>
      <c r="I11" s="114"/>
      <c r="J11" s="166"/>
      <c r="K11" s="169"/>
      <c r="L11" s="163"/>
      <c r="M11" s="163"/>
      <c r="N11" s="163"/>
      <c r="O11" s="163"/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CD75-33F5-49B3-A4C8-4F19BD2235FD}">
  <sheetPr>
    <pageSetUpPr fitToPage="1"/>
  </sheetPr>
  <dimension ref="A1:AB34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M4" sqref="M4"/>
    </sheetView>
  </sheetViews>
  <sheetFormatPr defaultColWidth="9.1796875" defaultRowHeight="14.5" x14ac:dyDescent="0.35"/>
  <cols>
    <col min="1" max="1" width="3.453125" style="4" customWidth="1"/>
    <col min="2" max="2" width="15.26953125" style="1" customWidth="1"/>
    <col min="3" max="3" width="11.26953125" style="1" customWidth="1"/>
    <col min="4" max="4" width="12.54296875" style="4" customWidth="1"/>
    <col min="5" max="5" width="12.7265625" style="4" customWidth="1"/>
    <col min="6" max="6" width="10.1796875" style="4" customWidth="1"/>
    <col min="7" max="7" width="12.54296875" style="4" customWidth="1"/>
    <col min="8" max="8" width="11.54296875" style="1" customWidth="1"/>
    <col min="9" max="10" width="10.7265625" style="1" customWidth="1"/>
    <col min="11" max="11" width="14.81640625" style="1" customWidth="1"/>
    <col min="12" max="12" width="3.1796875" style="1" customWidth="1"/>
    <col min="13" max="13" width="14.54296875" style="1" customWidth="1"/>
    <col min="14" max="14" width="3.1796875" style="1" customWidth="1"/>
    <col min="15" max="15" width="10.54296875" style="1" customWidth="1"/>
    <col min="16" max="20" width="8.7265625" style="1" customWidth="1"/>
    <col min="21" max="21" width="3.1796875" style="1" customWidth="1"/>
    <col min="22" max="22" width="10.7265625" style="1" customWidth="1"/>
    <col min="23" max="23" width="12.54296875" style="1" customWidth="1"/>
    <col min="24" max="24" width="12.453125" style="1" customWidth="1"/>
    <col min="25" max="26" width="10.7265625" style="1" customWidth="1"/>
    <col min="27" max="27" width="14.453125" style="1" customWidth="1"/>
    <col min="28" max="28" width="17.26953125" style="1" customWidth="1"/>
    <col min="29" max="16384" width="9.1796875" style="1"/>
  </cols>
  <sheetData>
    <row r="1" spans="1:15" ht="15" thickBot="1" x14ac:dyDescent="0.4">
      <c r="A1" s="13" t="s">
        <v>0</v>
      </c>
      <c r="D1" s="38"/>
    </row>
    <row r="2" spans="1:15" x14ac:dyDescent="0.35">
      <c r="A2" s="13" t="s">
        <v>21</v>
      </c>
      <c r="D2" s="1"/>
    </row>
    <row r="3" spans="1:15" x14ac:dyDescent="0.35">
      <c r="A3" s="6"/>
      <c r="D3" s="1"/>
    </row>
    <row r="4" spans="1:15" x14ac:dyDescent="0.35">
      <c r="A4" s="13" t="s">
        <v>22</v>
      </c>
      <c r="D4" s="45" t="s">
        <v>41</v>
      </c>
      <c r="E4" s="28" t="s">
        <v>35</v>
      </c>
      <c r="J4" s="55" t="s">
        <v>82</v>
      </c>
      <c r="K4" s="55">
        <v>905812</v>
      </c>
    </row>
    <row r="5" spans="1:15" x14ac:dyDescent="0.35">
      <c r="A5" s="6"/>
      <c r="D5" s="2" t="s">
        <v>29</v>
      </c>
      <c r="E5" s="40">
        <v>115</v>
      </c>
      <c r="O5" s="119"/>
    </row>
    <row r="6" spans="1:15" ht="16" x14ac:dyDescent="0.35">
      <c r="A6" s="6"/>
      <c r="D6" s="2" t="s">
        <v>88</v>
      </c>
      <c r="E6" s="41">
        <v>32.6</v>
      </c>
    </row>
    <row r="7" spans="1:15" x14ac:dyDescent="0.35">
      <c r="A7" s="6"/>
      <c r="D7" s="2" t="s">
        <v>2</v>
      </c>
      <c r="E7" s="30">
        <f>E5-E6</f>
        <v>82.4</v>
      </c>
    </row>
    <row r="8" spans="1:15" ht="5.15" customHeight="1" thickBot="1" x14ac:dyDescent="0.4">
      <c r="A8" s="6"/>
      <c r="D8" s="1"/>
    </row>
    <row r="9" spans="1:15" ht="15" thickBot="1" x14ac:dyDescent="0.4">
      <c r="A9" s="13" t="s">
        <v>23</v>
      </c>
      <c r="D9" s="39">
        <v>45901</v>
      </c>
      <c r="E9" s="42">
        <f>C34</f>
        <v>23.984999999999999</v>
      </c>
      <c r="F9" s="3" t="s">
        <v>46</v>
      </c>
      <c r="G9" s="47">
        <f>K34</f>
        <v>21725900.82</v>
      </c>
      <c r="H9" s="3" t="s">
        <v>32</v>
      </c>
    </row>
    <row r="10" spans="1:15" ht="5.15" customHeight="1" x14ac:dyDescent="0.35">
      <c r="A10" s="13"/>
      <c r="D10" s="1"/>
      <c r="E10" s="1"/>
      <c r="F10" s="13"/>
    </row>
    <row r="11" spans="1:15" x14ac:dyDescent="0.35">
      <c r="A11" s="13" t="s">
        <v>33</v>
      </c>
      <c r="D11" s="2" t="s">
        <v>24</v>
      </c>
      <c r="E11" s="33">
        <f>O34</f>
        <v>0</v>
      </c>
      <c r="F11" s="46">
        <f>E11/$E$9</f>
        <v>0</v>
      </c>
      <c r="G11" s="117">
        <f>V34</f>
        <v>0</v>
      </c>
      <c r="H11" s="46">
        <f>G11/$G$9</f>
        <v>0</v>
      </c>
    </row>
    <row r="12" spans="1:15" x14ac:dyDescent="0.35">
      <c r="A12" s="5"/>
      <c r="D12" s="2" t="s">
        <v>25</v>
      </c>
      <c r="E12" s="33">
        <f>P34</f>
        <v>0</v>
      </c>
      <c r="F12" s="46">
        <f t="shared" ref="F12:F16" si="0">E12/$E$9</f>
        <v>0</v>
      </c>
      <c r="G12" s="117">
        <f>W34</f>
        <v>0</v>
      </c>
      <c r="H12" s="46">
        <f t="shared" ref="H12:H16" si="1">G12/$G$9</f>
        <v>0</v>
      </c>
    </row>
    <row r="13" spans="1:15" x14ac:dyDescent="0.35">
      <c r="A13" s="5"/>
      <c r="D13" s="2" t="s">
        <v>26</v>
      </c>
      <c r="E13" s="33">
        <f>Q34</f>
        <v>0</v>
      </c>
      <c r="F13" s="46">
        <f t="shared" si="0"/>
        <v>0</v>
      </c>
      <c r="G13" s="117">
        <f>X34</f>
        <v>0</v>
      </c>
      <c r="H13" s="46">
        <f t="shared" si="1"/>
        <v>0</v>
      </c>
    </row>
    <row r="14" spans="1:15" x14ac:dyDescent="0.35">
      <c r="A14" s="5"/>
      <c r="D14" s="2" t="s">
        <v>27</v>
      </c>
      <c r="E14" s="33">
        <f>R34</f>
        <v>0</v>
      </c>
      <c r="F14" s="46">
        <f t="shared" si="0"/>
        <v>0</v>
      </c>
      <c r="G14" s="117">
        <f>Y34</f>
        <v>0</v>
      </c>
      <c r="H14" s="46">
        <f t="shared" si="1"/>
        <v>0</v>
      </c>
    </row>
    <row r="15" spans="1:15" ht="16" x14ac:dyDescent="0.35">
      <c r="A15" s="5"/>
      <c r="D15" s="28" t="s">
        <v>28</v>
      </c>
      <c r="E15" s="34">
        <f>S34</f>
        <v>0</v>
      </c>
      <c r="F15" s="46">
        <f t="shared" si="0"/>
        <v>0</v>
      </c>
      <c r="G15" s="118">
        <f>Z34</f>
        <v>0</v>
      </c>
      <c r="H15" s="46">
        <f t="shared" si="1"/>
        <v>0</v>
      </c>
    </row>
    <row r="16" spans="1:15" x14ac:dyDescent="0.35">
      <c r="A16" s="5"/>
      <c r="D16" s="27" t="s">
        <v>29</v>
      </c>
      <c r="E16" s="47">
        <f>SUM(E11:E15)</f>
        <v>0</v>
      </c>
      <c r="F16" s="49">
        <f t="shared" si="0"/>
        <v>0</v>
      </c>
      <c r="G16" s="47">
        <f>SUM(G11:G15)</f>
        <v>0</v>
      </c>
      <c r="H16" s="49">
        <f t="shared" si="1"/>
        <v>0</v>
      </c>
    </row>
    <row r="17" spans="1:28" x14ac:dyDescent="0.35">
      <c r="A17" s="5"/>
      <c r="D17" s="6"/>
      <c r="E17" s="6"/>
      <c r="F17" s="6"/>
    </row>
    <row r="18" spans="1:28" ht="22.5" customHeight="1" x14ac:dyDescent="0.35">
      <c r="A18" s="201" t="s">
        <v>4</v>
      </c>
      <c r="B18" s="201" t="s">
        <v>42</v>
      </c>
      <c r="C18" s="197" t="s">
        <v>47</v>
      </c>
      <c r="D18" s="197" t="s">
        <v>43</v>
      </c>
      <c r="E18" s="201" t="s">
        <v>8</v>
      </c>
      <c r="F18" s="188" t="s">
        <v>18</v>
      </c>
      <c r="G18" s="188"/>
      <c r="H18" s="188"/>
      <c r="I18" s="188"/>
      <c r="J18" s="188"/>
      <c r="K18" s="191" t="s">
        <v>19</v>
      </c>
      <c r="M18" s="197" t="s">
        <v>36</v>
      </c>
      <c r="O18" s="192" t="s">
        <v>31</v>
      </c>
      <c r="P18" s="193"/>
      <c r="Q18" s="193"/>
      <c r="R18" s="193"/>
      <c r="S18" s="193"/>
      <c r="T18" s="194"/>
      <c r="V18" s="192" t="s">
        <v>30</v>
      </c>
      <c r="W18" s="193"/>
      <c r="X18" s="193"/>
      <c r="Y18" s="193"/>
      <c r="Z18" s="193"/>
      <c r="AA18" s="194"/>
      <c r="AB18" s="195" t="s">
        <v>34</v>
      </c>
    </row>
    <row r="19" spans="1:28" ht="21" customHeight="1" x14ac:dyDescent="0.35">
      <c r="A19" s="202"/>
      <c r="B19" s="202"/>
      <c r="C19" s="199"/>
      <c r="D19" s="202"/>
      <c r="E19" s="202"/>
      <c r="F19" s="209" t="s">
        <v>40</v>
      </c>
      <c r="G19" s="210" t="s">
        <v>44</v>
      </c>
      <c r="H19" s="211"/>
      <c r="I19" s="210" t="s">
        <v>45</v>
      </c>
      <c r="J19" s="211"/>
      <c r="K19" s="191"/>
      <c r="M19" s="198"/>
      <c r="O19" s="189" t="s">
        <v>24</v>
      </c>
      <c r="P19" s="189" t="s">
        <v>25</v>
      </c>
      <c r="Q19" s="189" t="s">
        <v>26</v>
      </c>
      <c r="R19" s="189" t="s">
        <v>27</v>
      </c>
      <c r="S19" s="189" t="s">
        <v>28</v>
      </c>
      <c r="T19" s="43" t="s">
        <v>29</v>
      </c>
      <c r="V19" s="189" t="s">
        <v>24</v>
      </c>
      <c r="W19" s="189" t="s">
        <v>25</v>
      </c>
      <c r="X19" s="189" t="s">
        <v>26</v>
      </c>
      <c r="Y19" s="189" t="s">
        <v>27</v>
      </c>
      <c r="Z19" s="189" t="s">
        <v>28</v>
      </c>
      <c r="AA19" s="43" t="s">
        <v>29</v>
      </c>
      <c r="AB19" s="196"/>
    </row>
    <row r="20" spans="1:28" ht="36.75" customHeight="1" thickBot="1" x14ac:dyDescent="0.4">
      <c r="A20" s="202"/>
      <c r="B20" s="202"/>
      <c r="C20" s="199"/>
      <c r="D20" s="202"/>
      <c r="E20" s="202"/>
      <c r="F20" s="209"/>
      <c r="G20" s="94" t="s">
        <v>10</v>
      </c>
      <c r="H20" s="94" t="s">
        <v>11</v>
      </c>
      <c r="I20" s="94" t="s">
        <v>10</v>
      </c>
      <c r="J20" s="94" t="s">
        <v>11</v>
      </c>
      <c r="K20" s="44" t="s">
        <v>20</v>
      </c>
      <c r="M20" s="18" t="s">
        <v>37</v>
      </c>
      <c r="O20" s="190"/>
      <c r="P20" s="190"/>
      <c r="Q20" s="190"/>
      <c r="R20" s="190"/>
      <c r="S20" s="190"/>
      <c r="T20" s="19"/>
      <c r="V20" s="190"/>
      <c r="W20" s="190"/>
      <c r="X20" s="190"/>
      <c r="Y20" s="190"/>
      <c r="Z20" s="190"/>
      <c r="AA20" s="19" t="s">
        <v>20</v>
      </c>
      <c r="AB20" s="44" t="s">
        <v>20</v>
      </c>
    </row>
    <row r="21" spans="1:28" ht="20.149999999999999" customHeight="1" x14ac:dyDescent="0.35">
      <c r="A21" s="8">
        <v>1</v>
      </c>
      <c r="B21" s="123" t="s">
        <v>89</v>
      </c>
      <c r="C21" s="122">
        <v>3.6110000000000002</v>
      </c>
      <c r="D21" s="8" t="s">
        <v>79</v>
      </c>
      <c r="E21" s="212" t="s">
        <v>98</v>
      </c>
      <c r="F21" s="114">
        <v>45899</v>
      </c>
      <c r="G21" s="114">
        <v>45901</v>
      </c>
      <c r="H21" s="114">
        <v>45908</v>
      </c>
      <c r="I21" s="114">
        <v>45909</v>
      </c>
      <c r="J21" s="114">
        <v>45912</v>
      </c>
      <c r="K21" s="23">
        <f>K4*C21</f>
        <v>3270887.1320000002</v>
      </c>
      <c r="M21" s="87"/>
      <c r="O21" s="22"/>
      <c r="P21" s="22"/>
      <c r="Q21" s="22"/>
      <c r="R21" s="22"/>
      <c r="S21" s="22"/>
      <c r="T21" s="22">
        <f>SUM(O21:S21)</f>
        <v>0</v>
      </c>
      <c r="V21" s="15">
        <f>$K$21*O21</f>
        <v>0</v>
      </c>
      <c r="W21" s="15">
        <f>$K$21*P21</f>
        <v>0</v>
      </c>
      <c r="X21" s="15">
        <f t="shared" ref="X21:Z21" si="2">$K$21*Q21</f>
        <v>0</v>
      </c>
      <c r="Y21" s="15">
        <f t="shared" si="2"/>
        <v>0</v>
      </c>
      <c r="Z21" s="15">
        <f t="shared" si="2"/>
        <v>0</v>
      </c>
      <c r="AA21" s="35">
        <f>SUM(V21:Z21)</f>
        <v>0</v>
      </c>
      <c r="AB21" s="20">
        <f>K21-AA21</f>
        <v>3270887.1320000002</v>
      </c>
    </row>
    <row r="22" spans="1:28" ht="20.149999999999999" customHeight="1" x14ac:dyDescent="0.35">
      <c r="A22" s="8">
        <v>2</v>
      </c>
      <c r="B22" s="120" t="s">
        <v>90</v>
      </c>
      <c r="C22" s="122">
        <v>3.92</v>
      </c>
      <c r="D22" s="8" t="s">
        <v>79</v>
      </c>
      <c r="E22" s="212"/>
      <c r="F22" s="114">
        <v>45913</v>
      </c>
      <c r="G22" s="114">
        <v>45914</v>
      </c>
      <c r="H22" s="114">
        <v>45919</v>
      </c>
      <c r="I22" s="114">
        <v>45920</v>
      </c>
      <c r="J22" s="114">
        <v>45922</v>
      </c>
      <c r="K22" s="23">
        <f>K4*C22</f>
        <v>3550783.04</v>
      </c>
      <c r="M22" s="87"/>
      <c r="O22" s="23"/>
      <c r="P22" s="23"/>
      <c r="Q22" s="23"/>
      <c r="R22" s="23"/>
      <c r="S22" s="23"/>
      <c r="T22" s="22">
        <f t="shared" ref="T22:T33" si="3">SUM(O22:S22)</f>
        <v>0</v>
      </c>
      <c r="V22" s="15">
        <f>$K$22*O22</f>
        <v>0</v>
      </c>
      <c r="W22" s="15">
        <f t="shared" ref="W22:Z22" si="4">$K$22*P22</f>
        <v>0</v>
      </c>
      <c r="X22" s="15">
        <f t="shared" si="4"/>
        <v>0</v>
      </c>
      <c r="Y22" s="15">
        <f t="shared" si="4"/>
        <v>0</v>
      </c>
      <c r="Z22" s="15">
        <f t="shared" si="4"/>
        <v>0</v>
      </c>
      <c r="AA22" s="36">
        <f t="shared" ref="AA22:AA33" si="5">SUM(V22:Z22)</f>
        <v>0</v>
      </c>
      <c r="AB22" s="20">
        <f t="shared" ref="AB22:AB33" si="6">K22-AA22</f>
        <v>3550783.04</v>
      </c>
    </row>
    <row r="23" spans="1:28" ht="20.149999999999999" customHeight="1" x14ac:dyDescent="0.35">
      <c r="A23" s="8">
        <v>3</v>
      </c>
      <c r="B23" s="120" t="s">
        <v>91</v>
      </c>
      <c r="C23" s="122">
        <v>0.28000000000000003</v>
      </c>
      <c r="D23" s="8" t="s">
        <v>86</v>
      </c>
      <c r="E23" s="212"/>
      <c r="F23" s="114">
        <v>45910</v>
      </c>
      <c r="G23" s="114">
        <v>45911</v>
      </c>
      <c r="H23" s="114">
        <v>45912</v>
      </c>
      <c r="I23" s="114">
        <v>45912</v>
      </c>
      <c r="J23" s="114">
        <v>45912</v>
      </c>
      <c r="K23" s="23">
        <f>C23*K4</f>
        <v>253627.36000000002</v>
      </c>
      <c r="M23" s="7"/>
      <c r="O23" s="23"/>
      <c r="P23" s="23"/>
      <c r="Q23" s="23"/>
      <c r="R23" s="23"/>
      <c r="S23" s="23"/>
      <c r="T23" s="22">
        <f t="shared" si="3"/>
        <v>0</v>
      </c>
      <c r="V23" s="15">
        <f>$K$23*O23</f>
        <v>0</v>
      </c>
      <c r="W23" s="15">
        <f t="shared" ref="W23:Z33" si="7">$K$23*P23</f>
        <v>0</v>
      </c>
      <c r="X23" s="15">
        <f t="shared" si="7"/>
        <v>0</v>
      </c>
      <c r="Y23" s="15">
        <f t="shared" si="7"/>
        <v>0</v>
      </c>
      <c r="Z23" s="15">
        <f t="shared" si="7"/>
        <v>0</v>
      </c>
      <c r="AA23" s="35">
        <f t="shared" si="5"/>
        <v>0</v>
      </c>
      <c r="AB23" s="20">
        <f t="shared" si="6"/>
        <v>253627.36000000002</v>
      </c>
    </row>
    <row r="24" spans="1:28" ht="20.149999999999999" customHeight="1" x14ac:dyDescent="0.35">
      <c r="A24" s="8">
        <v>4</v>
      </c>
      <c r="B24" s="120" t="s">
        <v>92</v>
      </c>
      <c r="C24" s="122">
        <v>0.313</v>
      </c>
      <c r="D24" s="8" t="s">
        <v>86</v>
      </c>
      <c r="E24" s="212"/>
      <c r="F24" s="114">
        <v>45927</v>
      </c>
      <c r="G24" s="114">
        <v>45928</v>
      </c>
      <c r="H24" s="114">
        <v>45928</v>
      </c>
      <c r="I24" s="114">
        <v>45928</v>
      </c>
      <c r="J24" s="114">
        <v>45928</v>
      </c>
      <c r="K24" s="23">
        <f>C24*K4</f>
        <v>283519.15600000002</v>
      </c>
      <c r="M24" s="87"/>
      <c r="O24" s="23"/>
      <c r="P24" s="23"/>
      <c r="Q24" s="23"/>
      <c r="R24" s="23"/>
      <c r="S24" s="23"/>
      <c r="T24" s="22">
        <f t="shared" si="3"/>
        <v>0</v>
      </c>
      <c r="V24" s="15">
        <f t="shared" ref="V24:V28" si="8">$K$23*O24</f>
        <v>0</v>
      </c>
      <c r="W24" s="15">
        <f t="shared" ref="W24:W28" si="9">$K$23*P24</f>
        <v>0</v>
      </c>
      <c r="X24" s="15">
        <f t="shared" ref="X24:X28" si="10">$K$23*Q24</f>
        <v>0</v>
      </c>
      <c r="Y24" s="15">
        <f>$K$24*R24</f>
        <v>0</v>
      </c>
      <c r="Z24" s="15">
        <f t="shared" ref="Z24:Z28" si="11">$K$23*S24</f>
        <v>0</v>
      </c>
      <c r="AA24" s="35">
        <f>SUM(V24:Z24)</f>
        <v>0</v>
      </c>
      <c r="AB24" s="20">
        <f t="shared" si="6"/>
        <v>283519.15600000002</v>
      </c>
    </row>
    <row r="25" spans="1:28" ht="20.149999999999999" customHeight="1" x14ac:dyDescent="0.35">
      <c r="A25" s="8">
        <v>5</v>
      </c>
      <c r="B25" s="120" t="s">
        <v>93</v>
      </c>
      <c r="C25" s="122">
        <v>0.31900000000000001</v>
      </c>
      <c r="D25" s="8" t="s">
        <v>86</v>
      </c>
      <c r="E25" s="212"/>
      <c r="F25" s="114">
        <v>45915</v>
      </c>
      <c r="G25" s="114">
        <v>45916</v>
      </c>
      <c r="H25" s="114">
        <v>45916</v>
      </c>
      <c r="I25" s="114">
        <v>45916</v>
      </c>
      <c r="J25" s="114">
        <v>45916</v>
      </c>
      <c r="K25" s="23">
        <f>C25*K4</f>
        <v>288954.02799999999</v>
      </c>
      <c r="M25" s="7"/>
      <c r="O25" s="23"/>
      <c r="P25" s="23"/>
      <c r="Q25" s="23"/>
      <c r="R25" s="23"/>
      <c r="S25" s="23"/>
      <c r="T25" s="22">
        <f t="shared" si="3"/>
        <v>0</v>
      </c>
      <c r="V25" s="15">
        <f t="shared" si="8"/>
        <v>0</v>
      </c>
      <c r="W25" s="15">
        <f t="shared" si="9"/>
        <v>0</v>
      </c>
      <c r="X25" s="15">
        <f t="shared" si="10"/>
        <v>0</v>
      </c>
      <c r="Y25" s="15">
        <f t="shared" ref="Y25:Y28" si="12">$K$23*R25</f>
        <v>0</v>
      </c>
      <c r="Z25" s="15">
        <f t="shared" si="11"/>
        <v>0</v>
      </c>
      <c r="AA25" s="35">
        <f t="shared" ref="AA25:AA28" si="13">SUM(V25:Z25)</f>
        <v>0</v>
      </c>
      <c r="AB25" s="20">
        <f t="shared" si="6"/>
        <v>288954.02799999999</v>
      </c>
    </row>
    <row r="26" spans="1:28" ht="20.149999999999999" customHeight="1" x14ac:dyDescent="0.35">
      <c r="A26" s="8">
        <v>6</v>
      </c>
      <c r="B26" s="123" t="s">
        <v>94</v>
      </c>
      <c r="C26" s="122">
        <v>4.9580000000000002</v>
      </c>
      <c r="D26" s="8" t="s">
        <v>79</v>
      </c>
      <c r="E26" s="7" t="s">
        <v>99</v>
      </c>
      <c r="F26" s="114">
        <v>45903</v>
      </c>
      <c r="G26" s="114">
        <v>45904</v>
      </c>
      <c r="H26" s="114">
        <v>45909</v>
      </c>
      <c r="I26" s="114">
        <v>45910</v>
      </c>
      <c r="J26" s="114">
        <v>45913</v>
      </c>
      <c r="K26" s="23">
        <f>C26*K4</f>
        <v>4491015.8959999997</v>
      </c>
      <c r="M26" s="7"/>
      <c r="O26" s="23"/>
      <c r="P26" s="23"/>
      <c r="Q26" s="23"/>
      <c r="R26" s="23"/>
      <c r="S26" s="23"/>
      <c r="T26" s="22">
        <f t="shared" si="3"/>
        <v>0</v>
      </c>
      <c r="V26" s="15">
        <f t="shared" si="8"/>
        <v>0</v>
      </c>
      <c r="W26" s="15">
        <f t="shared" si="9"/>
        <v>0</v>
      </c>
      <c r="X26" s="15">
        <f t="shared" si="10"/>
        <v>0</v>
      </c>
      <c r="Y26" s="15">
        <f t="shared" si="12"/>
        <v>0</v>
      </c>
      <c r="Z26" s="15">
        <f t="shared" si="11"/>
        <v>0</v>
      </c>
      <c r="AA26" s="35">
        <f t="shared" si="13"/>
        <v>0</v>
      </c>
      <c r="AB26" s="20">
        <f t="shared" si="6"/>
        <v>4491015.8959999997</v>
      </c>
    </row>
    <row r="27" spans="1:28" ht="20.149999999999999" customHeight="1" x14ac:dyDescent="0.35">
      <c r="A27" s="8">
        <v>7</v>
      </c>
      <c r="B27" s="120" t="s">
        <v>95</v>
      </c>
      <c r="C27" s="122">
        <v>1.6060000000000001</v>
      </c>
      <c r="D27" s="8" t="s">
        <v>79</v>
      </c>
      <c r="E27" s="7"/>
      <c r="F27" s="114">
        <v>45914</v>
      </c>
      <c r="G27" s="114">
        <v>45915</v>
      </c>
      <c r="H27" s="114">
        <v>45917</v>
      </c>
      <c r="I27" s="114">
        <v>45918</v>
      </c>
      <c r="J27" s="114">
        <v>45919</v>
      </c>
      <c r="K27" s="23">
        <f>C27*K4</f>
        <v>1454734.0720000002</v>
      </c>
      <c r="M27" s="87"/>
      <c r="O27" s="23"/>
      <c r="P27" s="23"/>
      <c r="Q27" s="23"/>
      <c r="R27" s="23"/>
      <c r="S27" s="23"/>
      <c r="T27" s="22">
        <f t="shared" si="3"/>
        <v>0</v>
      </c>
      <c r="V27" s="15">
        <f t="shared" si="8"/>
        <v>0</v>
      </c>
      <c r="W27" s="15">
        <f t="shared" si="9"/>
        <v>0</v>
      </c>
      <c r="X27" s="15">
        <f>$K$27*Q27</f>
        <v>0</v>
      </c>
      <c r="Y27" s="15">
        <f t="shared" si="12"/>
        <v>0</v>
      </c>
      <c r="Z27" s="15">
        <f t="shared" si="11"/>
        <v>0</v>
      </c>
      <c r="AA27" s="35">
        <f t="shared" si="13"/>
        <v>0</v>
      </c>
      <c r="AB27" s="20">
        <f t="shared" si="6"/>
        <v>1454734.0720000002</v>
      </c>
    </row>
    <row r="28" spans="1:28" ht="20.149999999999999" customHeight="1" x14ac:dyDescent="0.35">
      <c r="A28" s="8">
        <v>8</v>
      </c>
      <c r="B28" s="120" t="s">
        <v>96</v>
      </c>
      <c r="C28" s="122">
        <v>0.32300000000000001</v>
      </c>
      <c r="D28" s="8" t="s">
        <v>86</v>
      </c>
      <c r="E28" s="7"/>
      <c r="F28" s="114">
        <v>45920</v>
      </c>
      <c r="G28" s="114">
        <v>45921</v>
      </c>
      <c r="H28" s="114">
        <v>45926</v>
      </c>
      <c r="I28" s="114">
        <v>45927</v>
      </c>
      <c r="J28" s="114">
        <v>45930</v>
      </c>
      <c r="K28" s="23">
        <f>C28*K4</f>
        <v>292577.27600000001</v>
      </c>
      <c r="M28" s="7"/>
      <c r="O28" s="23"/>
      <c r="P28" s="23"/>
      <c r="Q28" s="23"/>
      <c r="R28" s="23"/>
      <c r="S28" s="23"/>
      <c r="T28" s="22">
        <f t="shared" si="3"/>
        <v>0</v>
      </c>
      <c r="V28" s="15">
        <f t="shared" si="8"/>
        <v>0</v>
      </c>
      <c r="W28" s="15">
        <f t="shared" si="9"/>
        <v>0</v>
      </c>
      <c r="X28" s="15">
        <f t="shared" si="10"/>
        <v>0</v>
      </c>
      <c r="Y28" s="15">
        <f t="shared" si="12"/>
        <v>0</v>
      </c>
      <c r="Z28" s="15">
        <f t="shared" si="11"/>
        <v>0</v>
      </c>
      <c r="AA28" s="35">
        <f t="shared" si="13"/>
        <v>0</v>
      </c>
      <c r="AB28" s="20">
        <f t="shared" si="6"/>
        <v>292577.27600000001</v>
      </c>
    </row>
    <row r="29" spans="1:28" ht="20.149999999999999" customHeight="1" x14ac:dyDescent="0.35">
      <c r="A29" s="8">
        <v>9</v>
      </c>
      <c r="B29" s="123" t="s">
        <v>97</v>
      </c>
      <c r="C29" s="121">
        <v>4.9470000000000001</v>
      </c>
      <c r="D29" s="8" t="s">
        <v>79</v>
      </c>
      <c r="E29" s="126"/>
      <c r="F29" s="114">
        <v>45899</v>
      </c>
      <c r="G29" s="114">
        <v>45900</v>
      </c>
      <c r="H29" s="114">
        <v>45906</v>
      </c>
      <c r="I29" s="114">
        <v>45907</v>
      </c>
      <c r="J29" s="114">
        <v>45910</v>
      </c>
      <c r="K29" s="23">
        <f>C29*K4</f>
        <v>4481051.9639999997</v>
      </c>
      <c r="M29" s="87"/>
      <c r="O29" s="23"/>
      <c r="P29" s="23"/>
      <c r="Q29" s="23"/>
      <c r="R29" s="23"/>
      <c r="S29" s="23"/>
      <c r="T29" s="22">
        <f t="shared" ref="T29:T32" si="14">SUM(O29:S29)</f>
        <v>0</v>
      </c>
      <c r="V29" s="15">
        <f t="shared" ref="V29:V32" si="15">$K$23*O29</f>
        <v>0</v>
      </c>
      <c r="W29" s="15">
        <f t="shared" ref="W29:W32" si="16">$K$23*P29</f>
        <v>0</v>
      </c>
      <c r="X29" s="15">
        <f t="shared" ref="X29" si="17">$K$27*Q29</f>
        <v>0</v>
      </c>
      <c r="Y29" s="15">
        <f t="shared" ref="Y29:Y32" si="18">$K$23*R29</f>
        <v>0</v>
      </c>
      <c r="Z29" s="15">
        <f t="shared" ref="Z29:Z32" si="19">$K$23*S29</f>
        <v>0</v>
      </c>
      <c r="AA29" s="35">
        <f t="shared" ref="AA29:AA32" si="20">SUM(V29:Z29)</f>
        <v>0</v>
      </c>
      <c r="AB29" s="20">
        <f t="shared" ref="AB29:AB32" si="21">K29-AA29</f>
        <v>4481051.9639999997</v>
      </c>
    </row>
    <row r="30" spans="1:28" ht="20.149999999999999" customHeight="1" x14ac:dyDescent="0.35">
      <c r="A30" s="8">
        <v>10</v>
      </c>
      <c r="B30" s="120" t="s">
        <v>100</v>
      </c>
      <c r="C30" s="121">
        <v>2.75</v>
      </c>
      <c r="D30" s="8" t="s">
        <v>79</v>
      </c>
      <c r="E30" s="126"/>
      <c r="F30" s="114">
        <v>45911</v>
      </c>
      <c r="G30" s="114">
        <v>45912</v>
      </c>
      <c r="H30" s="114">
        <v>45917</v>
      </c>
      <c r="I30" s="114">
        <v>45918</v>
      </c>
      <c r="J30" s="114">
        <v>45921</v>
      </c>
      <c r="K30" s="23">
        <f>C30*K4</f>
        <v>2490983</v>
      </c>
      <c r="M30" s="7"/>
      <c r="O30" s="23"/>
      <c r="P30" s="23"/>
      <c r="Q30" s="23"/>
      <c r="R30" s="23"/>
      <c r="S30" s="23"/>
      <c r="T30" s="22">
        <f t="shared" si="14"/>
        <v>0</v>
      </c>
      <c r="V30" s="15">
        <f t="shared" si="15"/>
        <v>0</v>
      </c>
      <c r="W30" s="15">
        <f t="shared" si="16"/>
        <v>0</v>
      </c>
      <c r="X30" s="15">
        <f t="shared" ref="X30" si="22">$K$23*Q30</f>
        <v>0</v>
      </c>
      <c r="Y30" s="15">
        <f t="shared" si="18"/>
        <v>0</v>
      </c>
      <c r="Z30" s="15">
        <f t="shared" si="19"/>
        <v>0</v>
      </c>
      <c r="AA30" s="35">
        <f t="shared" si="20"/>
        <v>0</v>
      </c>
      <c r="AB30" s="20">
        <f t="shared" si="21"/>
        <v>2490983</v>
      </c>
    </row>
    <row r="31" spans="1:28" ht="20.149999999999999" customHeight="1" x14ac:dyDescent="0.35">
      <c r="A31" s="8">
        <v>11</v>
      </c>
      <c r="B31" s="120" t="s">
        <v>101</v>
      </c>
      <c r="C31" s="124">
        <v>0.27</v>
      </c>
      <c r="D31" s="8" t="s">
        <v>79</v>
      </c>
      <c r="E31" s="126"/>
      <c r="F31" s="114">
        <v>45920</v>
      </c>
      <c r="G31" s="114">
        <v>45920</v>
      </c>
      <c r="H31" s="114">
        <v>45920</v>
      </c>
      <c r="I31" s="114">
        <v>45922</v>
      </c>
      <c r="J31" s="114">
        <v>45922</v>
      </c>
      <c r="K31" s="23">
        <f>C31*K4</f>
        <v>244569.24000000002</v>
      </c>
      <c r="M31" s="87"/>
      <c r="O31" s="23"/>
      <c r="P31" s="23"/>
      <c r="Q31" s="23"/>
      <c r="R31" s="23"/>
      <c r="S31" s="23"/>
      <c r="T31" s="22">
        <f t="shared" si="14"/>
        <v>0</v>
      </c>
      <c r="V31" s="15">
        <f t="shared" si="15"/>
        <v>0</v>
      </c>
      <c r="W31" s="15">
        <f t="shared" si="16"/>
        <v>0</v>
      </c>
      <c r="X31" s="15">
        <f t="shared" ref="X31" si="23">$K$27*Q31</f>
        <v>0</v>
      </c>
      <c r="Y31" s="15">
        <f t="shared" si="18"/>
        <v>0</v>
      </c>
      <c r="Z31" s="15">
        <f t="shared" si="19"/>
        <v>0</v>
      </c>
      <c r="AA31" s="35">
        <f t="shared" si="20"/>
        <v>0</v>
      </c>
      <c r="AB31" s="20">
        <f t="shared" si="21"/>
        <v>244569.24000000002</v>
      </c>
    </row>
    <row r="32" spans="1:28" ht="20.149999999999999" customHeight="1" x14ac:dyDescent="0.35">
      <c r="A32" s="8">
        <v>12</v>
      </c>
      <c r="B32" s="120" t="s">
        <v>102</v>
      </c>
      <c r="C32" s="121">
        <v>0.68799999999999994</v>
      </c>
      <c r="D32" s="8" t="s">
        <v>87</v>
      </c>
      <c r="E32" s="10"/>
      <c r="F32" s="114">
        <v>45927</v>
      </c>
      <c r="G32" s="114">
        <v>45928</v>
      </c>
      <c r="H32" s="114">
        <v>45928</v>
      </c>
      <c r="I32" s="114">
        <v>45928</v>
      </c>
      <c r="J32" s="114">
        <v>45928</v>
      </c>
      <c r="K32" s="23">
        <f>C32*K4</f>
        <v>623198.65599999996</v>
      </c>
      <c r="M32" s="7"/>
      <c r="O32" s="23"/>
      <c r="P32" s="23"/>
      <c r="Q32" s="23"/>
      <c r="R32" s="23"/>
      <c r="S32" s="23"/>
      <c r="T32" s="22">
        <f t="shared" si="14"/>
        <v>0</v>
      </c>
      <c r="V32" s="15">
        <f t="shared" si="15"/>
        <v>0</v>
      </c>
      <c r="W32" s="15">
        <f t="shared" si="16"/>
        <v>0</v>
      </c>
      <c r="X32" s="15">
        <f t="shared" ref="X32" si="24">$K$23*Q32</f>
        <v>0</v>
      </c>
      <c r="Y32" s="15">
        <f t="shared" si="18"/>
        <v>0</v>
      </c>
      <c r="Z32" s="15">
        <f t="shared" si="19"/>
        <v>0</v>
      </c>
      <c r="AA32" s="35">
        <f t="shared" si="20"/>
        <v>0</v>
      </c>
      <c r="AB32" s="20">
        <f t="shared" si="21"/>
        <v>623198.65599999996</v>
      </c>
    </row>
    <row r="33" spans="1:28" ht="20.149999999999999" customHeight="1" thickBot="1" x14ac:dyDescent="0.4">
      <c r="A33" s="8">
        <v>13</v>
      </c>
      <c r="B33" s="120"/>
      <c r="C33" s="121"/>
      <c r="D33" s="8"/>
      <c r="E33" s="10"/>
      <c r="F33" s="114"/>
      <c r="G33" s="114"/>
      <c r="H33" s="114"/>
      <c r="I33" s="114"/>
      <c r="J33" s="114"/>
      <c r="K33" s="23">
        <f>C33*K4</f>
        <v>0</v>
      </c>
      <c r="M33" s="12"/>
      <c r="O33" s="24"/>
      <c r="P33" s="24"/>
      <c r="Q33" s="24"/>
      <c r="R33" s="24"/>
      <c r="S33" s="24"/>
      <c r="T33" s="22">
        <f t="shared" si="3"/>
        <v>0</v>
      </c>
      <c r="V33" s="16">
        <f>$K$33*O33</f>
        <v>0</v>
      </c>
      <c r="W33" s="16">
        <f t="shared" ref="W33:Y33" si="25">$K$33*P33</f>
        <v>0</v>
      </c>
      <c r="X33" s="16">
        <f t="shared" si="25"/>
        <v>0</v>
      </c>
      <c r="Y33" s="16">
        <f t="shared" si="25"/>
        <v>0</v>
      </c>
      <c r="Z33" s="15">
        <f t="shared" si="7"/>
        <v>0</v>
      </c>
      <c r="AA33" s="37">
        <f t="shared" si="5"/>
        <v>0</v>
      </c>
      <c r="AB33" s="21">
        <f t="shared" si="6"/>
        <v>0</v>
      </c>
    </row>
    <row r="34" spans="1:28" ht="20.149999999999999" customHeight="1" x14ac:dyDescent="0.35">
      <c r="A34" s="9"/>
      <c r="B34" s="10"/>
      <c r="C34" s="125">
        <f>SUM(C21:C33)</f>
        <v>23.984999999999999</v>
      </c>
      <c r="D34" s="14"/>
      <c r="E34" s="14"/>
      <c r="F34" s="14"/>
      <c r="G34" s="9"/>
      <c r="H34" s="10"/>
      <c r="I34" s="10"/>
      <c r="J34" s="10"/>
      <c r="K34" s="17">
        <f>SUM(K21:K33)</f>
        <v>21725900.82</v>
      </c>
      <c r="M34" s="10"/>
      <c r="O34" s="26">
        <f t="shared" ref="O34:T34" si="26">SUM(O21:O33)</f>
        <v>0</v>
      </c>
      <c r="P34" s="26">
        <f t="shared" si="26"/>
        <v>0</v>
      </c>
      <c r="Q34" s="26">
        <f t="shared" si="26"/>
        <v>0</v>
      </c>
      <c r="R34" s="26">
        <f t="shared" si="26"/>
        <v>0</v>
      </c>
      <c r="S34" s="26">
        <f t="shared" si="26"/>
        <v>0</v>
      </c>
      <c r="T34" s="26">
        <f t="shared" si="26"/>
        <v>0</v>
      </c>
      <c r="V34" s="17">
        <f t="shared" ref="V34:AB34" si="27">SUM(V21:V33)</f>
        <v>0</v>
      </c>
      <c r="W34" s="17">
        <f t="shared" si="27"/>
        <v>0</v>
      </c>
      <c r="X34" s="17">
        <f t="shared" si="27"/>
        <v>0</v>
      </c>
      <c r="Y34" s="17">
        <f t="shared" si="27"/>
        <v>0</v>
      </c>
      <c r="Z34" s="17">
        <f t="shared" si="27"/>
        <v>0</v>
      </c>
      <c r="AA34" s="17">
        <f t="shared" si="27"/>
        <v>0</v>
      </c>
      <c r="AB34" s="17">
        <f t="shared" si="27"/>
        <v>21725900.82</v>
      </c>
    </row>
  </sheetData>
  <mergeCells count="25">
    <mergeCell ref="E21:E25"/>
    <mergeCell ref="W19:W20"/>
    <mergeCell ref="K18:K19"/>
    <mergeCell ref="M18:M19"/>
    <mergeCell ref="O18:T18"/>
    <mergeCell ref="V18:AA18"/>
    <mergeCell ref="V19:V20"/>
    <mergeCell ref="A18:A20"/>
    <mergeCell ref="B18:B20"/>
    <mergeCell ref="C18:C20"/>
    <mergeCell ref="D18:D20"/>
    <mergeCell ref="E18:E20"/>
    <mergeCell ref="AB18:AB19"/>
    <mergeCell ref="F19:F20"/>
    <mergeCell ref="G19:H19"/>
    <mergeCell ref="O19:O20"/>
    <mergeCell ref="F18:J18"/>
    <mergeCell ref="X19:X20"/>
    <mergeCell ref="Y19:Y20"/>
    <mergeCell ref="Z19:Z20"/>
    <mergeCell ref="I19:J19"/>
    <mergeCell ref="P19:P20"/>
    <mergeCell ref="Q19:Q20"/>
    <mergeCell ref="R19:R20"/>
    <mergeCell ref="S19:S20"/>
  </mergeCells>
  <conditionalFormatting sqref="C26:C27">
    <cfRule type="containsText" dxfId="0" priority="1" operator="containsText" text="4DT6">
      <formula>NOT(ISERROR(SEARCH("4DT6",C26)))</formula>
    </cfRule>
  </conditionalFormatting>
  <printOptions horizontalCentered="1"/>
  <pageMargins left="0.25" right="0.25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FDN-June25</vt:lpstr>
      <vt:lpstr>Stub dispatch</vt:lpstr>
      <vt:lpstr>Erection-Nov'25</vt:lpstr>
      <vt:lpstr>Stringing Nov'25</vt:lpstr>
      <vt:lpstr>STG-Sep25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Bharat Kaushik</cp:lastModifiedBy>
  <cp:lastPrinted>2024-05-23T07:04:00Z</cp:lastPrinted>
  <dcterms:created xsi:type="dcterms:W3CDTF">2015-06-05T18:17:20Z</dcterms:created>
  <dcterms:modified xsi:type="dcterms:W3CDTF">2025-11-21T06:30:44Z</dcterms:modified>
</cp:coreProperties>
</file>