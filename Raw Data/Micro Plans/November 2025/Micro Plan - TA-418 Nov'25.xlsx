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November 2025\"/>
    </mc:Choice>
  </mc:AlternateContent>
  <xr:revisionPtr revIDLastSave="0" documentId="13_ncr:1_{BD672C04-A615-47EE-BAE1-B5900DFFBC61}" xr6:coauthVersionLast="47" xr6:coauthVersionMax="47" xr10:uidLastSave="{00000000-0000-0000-0000-000000000000}"/>
  <bookViews>
    <workbookView xWindow="-110" yWindow="-110" windowWidth="19420" windowHeight="10300" tabRatio="757" firstSheet="2" activeTab="3" xr2:uid="{00000000-000D-0000-FFFF-FFFF00000000}"/>
  </bookViews>
  <sheets>
    <sheet name="FDN-June25" sheetId="1" state="hidden" r:id="rId1"/>
    <sheet name="Stub dispatch" sheetId="4" state="hidden" r:id="rId2"/>
    <sheet name="Erection-Nov25" sheetId="2" r:id="rId3"/>
    <sheet name="Stringing- Nov25 " sheetId="6" r:id="rId4"/>
    <sheet name="STG-Sep25" sheetId="3" state="hidden" r:id="rId5"/>
  </sheets>
  <definedNames>
    <definedName name="_xlnm._FilterDatabase" localSheetId="2" hidden="1">'Erection-Nov25'!$A$1:$O$21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" l="1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M9" i="2" l="1"/>
  <c r="N9" i="2" s="1"/>
  <c r="M12" i="2"/>
  <c r="N12" i="2" s="1"/>
  <c r="M2" i="2"/>
  <c r="N2" i="2" s="1"/>
  <c r="M20" i="2"/>
  <c r="N20" i="2" s="1"/>
  <c r="M15" i="2"/>
  <c r="N15" i="2" s="1"/>
  <c r="M14" i="2"/>
  <c r="N14" i="2" s="1"/>
  <c r="M8" i="2"/>
  <c r="N8" i="2" s="1"/>
  <c r="M19" i="2" l="1"/>
  <c r="N19" i="2" s="1"/>
  <c r="M18" i="2"/>
  <c r="N18" i="2" s="1"/>
  <c r="M21" i="2"/>
  <c r="N21" i="2" s="1"/>
  <c r="M10" i="2"/>
  <c r="N10" i="2" s="1"/>
  <c r="M4" i="2"/>
  <c r="N4" i="2" s="1"/>
  <c r="M7" i="2"/>
  <c r="N7" i="2" s="1"/>
  <c r="M3" i="2"/>
  <c r="N3" i="2" s="1"/>
  <c r="M13" i="2"/>
  <c r="N13" i="2" s="1"/>
  <c r="K32" i="3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M5" i="2" l="1"/>
  <c r="N5" i="2" s="1"/>
  <c r="M11" i="2"/>
  <c r="N11" i="2" s="1"/>
  <c r="T26" i="3"/>
  <c r="T27" i="3"/>
  <c r="T28" i="3"/>
  <c r="T33" i="3"/>
  <c r="Y24" i="3"/>
  <c r="M6" i="2" l="1"/>
  <c r="N6" i="2" s="1"/>
  <c r="M16" i="2"/>
  <c r="N16" i="2" s="1"/>
  <c r="X24" i="3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M17" i="2" l="1"/>
  <c r="N17" i="2" s="1"/>
  <c r="AA30" i="3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<sst xmlns="http://schemas.openxmlformats.org/spreadsheetml/2006/main" count="340" uniqueCount="183">
  <si>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</si>
  <si>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</si>
  <si>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</si>
  <si>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</si>
  <si>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</si>
  <si>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</si>
  <si>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</si>
  <si>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</si>
  <si>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</si>
  <si>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</si>
  <si>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</si>
  <si>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</si>
  <si>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</si>
  <si>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</si>
  <si>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</si>
  <si>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</si>
  <si>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</si>
  <si>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</si>
  <si>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</si>
  <si>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</si>
  <si>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</si>
  <si>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</si>
  <si>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</si>
  <si>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</si>
  <si>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</si>
  <si>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</si>
  <si>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</si>
  <si>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</si>
  <si>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</si>
  <si>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</si>
  <si>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</si>
  <si>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</si>
  <si>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</si>
  <si>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</si>
  <si>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</si>
  <si>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</si>
  <si>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</si>
  <si>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</si>
  <si>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</si>
  <si>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</si>
  <si>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</si>
  <si>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</si>
  <si>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</si>
  <si>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</si>
  <si>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</si>
  <si>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</si>
  <si>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</si>
  <si>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</si>
  <si>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</si>
  <si>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</si>
  <si>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</si>
  <si>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</si>
  <si>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</si>
  <si>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</si>
  <si>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</si>
  <si>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</si>
  <si>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</si>
  <si>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</si>
  <si>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</si>
  <si>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</si>
  <si>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</si>
  <si>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</si>
  <si>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</si>
  <si>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</si>
  <si>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</si>
  <si>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</si>
  <si>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</si>
  <si>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</si>
  <si>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</si>
  <si>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</si>
  <si>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</si>
  <si>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</si>
  <si>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</si>
  <si>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</si>
  <si>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</si>
  <si>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</si>
  <si>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</si>
  <si>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</si>
  <si>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</si>
  <si>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</si>
  <si>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</si>
  <si>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</si>
  <si>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</si>
  <si>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</si>
  <si>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</si>
  <si>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</si>
  <si>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</si>
  <si>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</si>
  <si>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</si>
  <si>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</si>
  <si>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</si>
  <si>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</si>
  <si>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</si>
  <si>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</si>
  <si>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</si>
  <si>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</si>
  <si>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</si>
  <si>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</si>
  <si>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</si>
  <si>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</si>
  <si>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</si>
  <si>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</si>
  <si>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</si>
  <si>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</si>
  <si>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</si>
  <si>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</si>
  <si>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</si>
  <si>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Tower Weight</t>
  </si>
  <si>
    <t>Gang Name</t>
  </si>
  <si>
    <t>Starting Date</t>
  </si>
  <si>
    <t>Completion Date</t>
  </si>
  <si>
    <t>Location No.</t>
  </si>
  <si>
    <t>Material Feeding</t>
  </si>
  <si>
    <t>Revenue Realised</t>
  </si>
  <si>
    <t>Executing Agency:- KEC International Limited</t>
  </si>
  <si>
    <t>Datewise Stringing planning for the month of November 2025</t>
  </si>
  <si>
    <t>Insulator Hoisting</t>
  </si>
  <si>
    <t>Paying Out Start</t>
  </si>
  <si>
    <t>Paying Out Completed</t>
  </si>
  <si>
    <t xml:space="preserve">Micro Plan - Stringing </t>
  </si>
  <si>
    <t>33/0</t>
  </si>
  <si>
    <t>DD45+18</t>
  </si>
  <si>
    <t>33/4</t>
  </si>
  <si>
    <t>DA+3</t>
  </si>
  <si>
    <t>43/2</t>
  </si>
  <si>
    <t>DA+0</t>
  </si>
  <si>
    <t>43/3</t>
  </si>
  <si>
    <t>DA-3</t>
  </si>
  <si>
    <t>44/1</t>
  </si>
  <si>
    <t>DD60+6</t>
  </si>
  <si>
    <t>46/10</t>
  </si>
  <si>
    <t>46/6</t>
  </si>
  <si>
    <t>46/11</t>
  </si>
  <si>
    <t>DA-1.5</t>
  </si>
  <si>
    <t>46/1</t>
  </si>
  <si>
    <t>48/0</t>
  </si>
  <si>
    <t>DB2+0</t>
  </si>
  <si>
    <t>39/0</t>
  </si>
  <si>
    <t>47/0</t>
  </si>
  <si>
    <t>DC1+0</t>
  </si>
  <si>
    <t>47/1</t>
  </si>
  <si>
    <t>54/2</t>
  </si>
  <si>
    <t>52/1</t>
  </si>
  <si>
    <t>52/2</t>
  </si>
  <si>
    <t>Team - 04</t>
  </si>
  <si>
    <t>56/1</t>
  </si>
  <si>
    <t>DA+6</t>
  </si>
  <si>
    <t>56/2</t>
  </si>
  <si>
    <t>56/3</t>
  </si>
  <si>
    <t>DB1+6</t>
  </si>
  <si>
    <t>M/s TOFIT MIA</t>
  </si>
  <si>
    <t>M/s BARKAT ALI</t>
  </si>
  <si>
    <t>M/s MDPL</t>
  </si>
  <si>
    <t>Ajith</t>
  </si>
  <si>
    <t>Jitender Kumar</t>
  </si>
  <si>
    <t>Rahman</t>
  </si>
  <si>
    <t>Prabhu Prasad</t>
  </si>
  <si>
    <t>Basudev Mahato</t>
  </si>
  <si>
    <t>Name of the line : '765KV D/C  KOPPAL  II(PS) - RAICHUR TL  (Part-1)</t>
  </si>
  <si>
    <t>Powergrid Koppal - Gadag Transmission Limited (Power Grid Corporation of India)</t>
  </si>
  <si>
    <t>M/s SUFIYAN</t>
  </si>
  <si>
    <t>Revenue Planned</t>
  </si>
  <si>
    <t>S. No.</t>
  </si>
  <si>
    <t>From AP</t>
  </si>
  <si>
    <t>To AP</t>
  </si>
  <si>
    <t>Span (m)</t>
  </si>
  <si>
    <t>Tower Erection Status</t>
  </si>
  <si>
    <t>Towers in Section</t>
  </si>
  <si>
    <t>Final Sag Complete</t>
  </si>
  <si>
    <t>Method</t>
  </si>
  <si>
    <t>Gang Strength</t>
  </si>
  <si>
    <t>36/0</t>
  </si>
  <si>
    <t>36/1</t>
  </si>
  <si>
    <t>Complete</t>
  </si>
  <si>
    <t>35/0</t>
  </si>
  <si>
    <t>34/0</t>
  </si>
  <si>
    <t>40/0</t>
  </si>
  <si>
    <t>41/0</t>
  </si>
  <si>
    <t>D1</t>
  </si>
  <si>
    <t>D2</t>
  </si>
  <si>
    <t>A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</si>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</sst>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F400]h:mm:ss\ AM/PM"/>
    <numFmt numFmtId="168" formatCode="[$-409]d/mmm/yy;@"/>
    <numFmt numFmtId="169" formatCode="0.0"/>
    <numFmt numFmtId="170" formatCode="#,##0.000"/>
    <numFmt numFmtId="171" formatCode="0.000"/>
    <numFmt numFmtId="172" formatCode="_-* #,##0.00_-;\-* #,##0.0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sz val="12"/>
      <color indexed="8"/>
      <name val="Verdana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8" fontId="1" fillId="0" borderId="0"/>
    <xf numFmtId="168" fontId="1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28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28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13" fillId="0" borderId="0"/>
    <xf numFmtId="0" fontId="13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0" fillId="0" borderId="0"/>
    <xf numFmtId="0" fontId="1" fillId="0" borderId="0"/>
    <xf numFmtId="0" fontId="1" fillId="11" borderId="15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/>
    <xf numFmtId="0" fontId="18" fillId="0" borderId="0">
      <alignment vertical="center"/>
    </xf>
    <xf numFmtId="0" fontId="1" fillId="0" borderId="0"/>
    <xf numFmtId="0" fontId="13" fillId="0" borderId="0"/>
    <xf numFmtId="0" fontId="1" fillId="0" borderId="0"/>
    <xf numFmtId="0" fontId="31" fillId="0" borderId="0"/>
    <xf numFmtId="164" fontId="31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" fillId="0" borderId="0"/>
    <xf numFmtId="0" fontId="13" fillId="0" borderId="0"/>
    <xf numFmtId="172" fontId="13" fillId="0" borderId="0" applyFont="0" applyFill="0" applyBorder="0" applyAlignment="0" applyProtection="0"/>
    <xf numFmtId="0" fontId="13" fillId="0" borderId="0"/>
    <xf numFmtId="172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4" fontId="0" fillId="0" borderId="3" xfId="1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64" fontId="0" fillId="0" borderId="0" xfId="0" applyNumberForma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164" fontId="3" fillId="0" borderId="3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5" fontId="0" fillId="4" borderId="0" xfId="1" applyNumberFormat="1" applyFont="1" applyFill="1" applyAlignment="1">
      <alignment horizontal="center" vertical="center"/>
    </xf>
    <xf numFmtId="165" fontId="10" fillId="4" borderId="0" xfId="1" applyNumberFormat="1" applyFont="1" applyFill="1" applyAlignment="1">
      <alignment horizontal="center" vertical="center"/>
    </xf>
    <xf numFmtId="165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horizontal="center" vertical="center"/>
    </xf>
    <xf numFmtId="165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7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7" fontId="17" fillId="6" borderId="14" xfId="4" applyNumberFormat="1" applyFont="1" applyFill="1" applyBorder="1" applyAlignment="1">
      <alignment horizontal="center" vertical="center" wrapText="1"/>
    </xf>
    <xf numFmtId="168" fontId="18" fillId="0" borderId="1" xfId="5" applyFont="1" applyBorder="1" applyAlignment="1">
      <alignment horizontal="center" vertical="center" wrapText="1"/>
    </xf>
    <xf numFmtId="166" fontId="19" fillId="0" borderId="1" xfId="6" applyNumberFormat="1" applyFont="1" applyBorder="1" applyAlignment="1">
      <alignment horizontal="center" vertical="center" wrapText="1"/>
    </xf>
    <xf numFmtId="166" fontId="18" fillId="0" borderId="1" xfId="6" applyNumberFormat="1" applyFont="1" applyBorder="1" applyAlignment="1">
      <alignment horizontal="center" vertical="center" wrapText="1"/>
    </xf>
    <xf numFmtId="166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9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164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4" fontId="0" fillId="0" borderId="3" xfId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3" borderId="0" xfId="0" applyFont="1" applyFill="1" applyAlignment="1">
      <alignment horizontal="right" vertical="center" indent="1"/>
    </xf>
    <xf numFmtId="15" fontId="14" fillId="10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71" fontId="23" fillId="10" borderId="1" xfId="0" applyNumberFormat="1" applyFont="1" applyFill="1" applyBorder="1" applyAlignment="1">
      <alignment horizontal="center" vertical="center" wrapText="1"/>
    </xf>
    <xf numFmtId="166" fontId="11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right" vertical="center" indent="1"/>
    </xf>
    <xf numFmtId="0" fontId="6" fillId="10" borderId="0" xfId="0" applyFont="1" applyFill="1" applyAlignment="1">
      <alignment vertical="center"/>
    </xf>
    <xf numFmtId="1" fontId="11" fillId="10" borderId="0" xfId="0" applyNumberFormat="1" applyFont="1" applyFill="1" applyAlignment="1">
      <alignment vertical="center"/>
    </xf>
    <xf numFmtId="14" fontId="0" fillId="10" borderId="0" xfId="0" applyNumberFormat="1" applyFill="1" applyAlignment="1">
      <alignment vertical="center"/>
    </xf>
    <xf numFmtId="165" fontId="0" fillId="10" borderId="0" xfId="1" applyNumberFormat="1" applyFont="1" applyFill="1" applyBorder="1" applyAlignment="1">
      <alignment vertical="center"/>
    </xf>
    <xf numFmtId="164" fontId="11" fillId="10" borderId="0" xfId="1" applyFont="1" applyFill="1" applyBorder="1" applyAlignment="1">
      <alignment vertical="center"/>
    </xf>
    <xf numFmtId="164" fontId="12" fillId="10" borderId="0" xfId="1" applyFont="1" applyFill="1" applyBorder="1" applyAlignment="1">
      <alignment vertical="center"/>
    </xf>
    <xf numFmtId="164" fontId="11" fillId="10" borderId="0" xfId="0" applyNumberFormat="1" applyFont="1" applyFill="1" applyAlignment="1">
      <alignment vertical="center"/>
    </xf>
    <xf numFmtId="0" fontId="27" fillId="10" borderId="1" xfId="0" applyFont="1" applyFill="1" applyBorder="1" applyAlignment="1">
      <alignment horizontal="center" vertical="center"/>
    </xf>
    <xf numFmtId="0" fontId="0" fillId="0" borderId="20" xfId="0" applyBorder="1"/>
    <xf numFmtId="0" fontId="3" fillId="0" borderId="1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24" xfId="0" applyBorder="1" applyAlignment="1">
      <alignment horizontal="center" vertical="center"/>
    </xf>
    <xf numFmtId="0" fontId="22" fillId="0" borderId="21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71" fontId="11" fillId="10" borderId="1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171" fontId="0" fillId="0" borderId="6" xfId="0" applyNumberFormat="1" applyBorder="1" applyAlignment="1">
      <alignment horizontal="left" vertical="center"/>
    </xf>
    <xf numFmtId="171" fontId="0" fillId="0" borderId="14" xfId="0" applyNumberFormat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72">
    <cellStyle name="Comma" xfId="1" builtinId="3"/>
    <cellStyle name="Comma 2" xfId="8" xr:uid="{00000000-0005-0000-0000-000001000000}"/>
    <cellStyle name="Comma 2 2" xfId="27" xr:uid="{00000000-0005-0000-0000-000002000000}"/>
    <cellStyle name="Comma 2 2 2" xfId="28" xr:uid="{00000000-0005-0000-0000-000003000000}"/>
    <cellStyle name="Comma 2 2 2 2" xfId="159" xr:uid="{00000000-0005-0000-0000-000004000000}"/>
    <cellStyle name="Comma 2 2 3" xfId="29" xr:uid="{00000000-0005-0000-0000-000005000000}"/>
    <cellStyle name="Comma 2 2 3 2" xfId="160" xr:uid="{00000000-0005-0000-0000-000006000000}"/>
    <cellStyle name="Comma 2 2 4" xfId="158" xr:uid="{00000000-0005-0000-0000-000007000000}"/>
    <cellStyle name="Comma 2 3" xfId="30" xr:uid="{00000000-0005-0000-0000-000008000000}"/>
    <cellStyle name="Comma 2 3 2" xfId="161" xr:uid="{00000000-0005-0000-0000-000009000000}"/>
    <cellStyle name="Comma 2 4" xfId="31" xr:uid="{00000000-0005-0000-0000-00000A000000}"/>
    <cellStyle name="Comma 2 4 2" xfId="162" xr:uid="{00000000-0005-0000-0000-00000B000000}"/>
    <cellStyle name="Comma 2 5" xfId="32" xr:uid="{00000000-0005-0000-0000-00000C000000}"/>
    <cellStyle name="Comma 2 5 2" xfId="163" xr:uid="{00000000-0005-0000-0000-00000D000000}"/>
    <cellStyle name="Comma 2 6" xfId="149" xr:uid="{00000000-0005-0000-0000-00000E000000}"/>
    <cellStyle name="Comma 3" xfId="33" xr:uid="{00000000-0005-0000-0000-00000F000000}"/>
    <cellStyle name="Comma 3 2" xfId="146" xr:uid="{00000000-0005-0000-0000-000010000000}"/>
    <cellStyle name="Comma 3 3" xfId="164" xr:uid="{00000000-0005-0000-0000-000011000000}"/>
    <cellStyle name="Comma 4" xfId="34" xr:uid="{00000000-0005-0000-0000-000012000000}"/>
    <cellStyle name="Comma 4 2" xfId="35" xr:uid="{00000000-0005-0000-0000-000013000000}"/>
    <cellStyle name="Comma 4 2 2" xfId="165" xr:uid="{00000000-0005-0000-0000-000014000000}"/>
    <cellStyle name="Comma 4 3" xfId="36" xr:uid="{00000000-0005-0000-0000-000015000000}"/>
    <cellStyle name="Comma 4 3 2" xfId="166" xr:uid="{00000000-0005-0000-0000-000016000000}"/>
    <cellStyle name="Comma 4 4" xfId="37" xr:uid="{00000000-0005-0000-0000-000017000000}"/>
    <cellStyle name="Comma 4 4 2" xfId="167" xr:uid="{00000000-0005-0000-0000-000018000000}"/>
    <cellStyle name="Comma 4 5" xfId="145" xr:uid="{00000000-0005-0000-0000-000019000000}"/>
    <cellStyle name="Comma 4 5 2" xfId="171" xr:uid="{00000000-0005-0000-0000-00001A000000}"/>
    <cellStyle name="Comma 5" xfId="38" xr:uid="{00000000-0005-0000-0000-00001B000000}"/>
    <cellStyle name="Comma 5 2" xfId="151" xr:uid="{00000000-0005-0000-0000-00001C000000}"/>
    <cellStyle name="Comma 5 3" xfId="168" xr:uid="{00000000-0005-0000-0000-00001D000000}"/>
    <cellStyle name="Comma 6" xfId="39" xr:uid="{00000000-0005-0000-0000-00001E000000}"/>
    <cellStyle name="Comma 6 2" xfId="169" xr:uid="{00000000-0005-0000-0000-00001F000000}"/>
    <cellStyle name="Comma 8" xfId="123" xr:uid="{00000000-0005-0000-0000-000020000000}"/>
    <cellStyle name="Comma 8 2" xfId="170" xr:uid="{00000000-0005-0000-0000-000021000000}"/>
    <cellStyle name="Comma 9 3" xfId="40" xr:uid="{00000000-0005-0000-0000-000022000000}"/>
    <cellStyle name="Excel Built-in Normal" xfId="26" xr:uid="{00000000-0005-0000-0000-000023000000}"/>
    <cellStyle name="Hyperlink 2" xfId="41" xr:uid="{00000000-0005-0000-0000-000024000000}"/>
    <cellStyle name="Normal" xfId="0" builtinId="0"/>
    <cellStyle name="Normal 10" xfId="42" xr:uid="{00000000-0005-0000-0000-000026000000}"/>
    <cellStyle name="Normal 10 2" xfId="43" xr:uid="{00000000-0005-0000-0000-000027000000}"/>
    <cellStyle name="Normal 10 2 2" xfId="44" xr:uid="{00000000-0005-0000-0000-000028000000}"/>
    <cellStyle name="Normal 10 2 2 2" xfId="45" xr:uid="{00000000-0005-0000-0000-000029000000}"/>
    <cellStyle name="Normal 10 2 3" xfId="46" xr:uid="{00000000-0005-0000-0000-00002A000000}"/>
    <cellStyle name="Normal 10 3" xfId="47" xr:uid="{00000000-0005-0000-0000-00002B000000}"/>
    <cellStyle name="Normal 10 3 2" xfId="48" xr:uid="{00000000-0005-0000-0000-00002C000000}"/>
    <cellStyle name="Normal 10 4" xfId="49" xr:uid="{00000000-0005-0000-0000-00002D000000}"/>
    <cellStyle name="Normal 103" xfId="24" xr:uid="{00000000-0005-0000-0000-00002E000000}"/>
    <cellStyle name="Normal 11" xfId="5" xr:uid="{00000000-0005-0000-0000-00002F000000}"/>
    <cellStyle name="Normal 11 2" xfId="51" xr:uid="{00000000-0005-0000-0000-000030000000}"/>
    <cellStyle name="Normal 11 2 2" xfId="52" xr:uid="{00000000-0005-0000-0000-000031000000}"/>
    <cellStyle name="Normal 11 3" xfId="53" xr:uid="{00000000-0005-0000-0000-000032000000}"/>
    <cellStyle name="Normal 11 4" xfId="50" xr:uid="{00000000-0005-0000-0000-000033000000}"/>
    <cellStyle name="Normal 12" xfId="54" xr:uid="{00000000-0005-0000-0000-000034000000}"/>
    <cellStyle name="Normal 12 2" xfId="55" xr:uid="{00000000-0005-0000-0000-000035000000}"/>
    <cellStyle name="Normal 120" xfId="21" xr:uid="{00000000-0005-0000-0000-000036000000}"/>
    <cellStyle name="Normal 13" xfId="56" xr:uid="{00000000-0005-0000-0000-000037000000}"/>
    <cellStyle name="Normal 14" xfId="57" xr:uid="{00000000-0005-0000-0000-000038000000}"/>
    <cellStyle name="Normal 14 2 2" xfId="58" xr:uid="{00000000-0005-0000-0000-000039000000}"/>
    <cellStyle name="Normal 15" xfId="127" xr:uid="{00000000-0005-0000-0000-00003A000000}"/>
    <cellStyle name="Normal 16" xfId="128" xr:uid="{00000000-0005-0000-0000-00003B000000}"/>
    <cellStyle name="Normal 16 2" xfId="140" xr:uid="{00000000-0005-0000-0000-00003C000000}"/>
    <cellStyle name="Normal 17" xfId="10" xr:uid="{00000000-0005-0000-0000-00003D000000}"/>
    <cellStyle name="Normal 17 2" xfId="154" xr:uid="{00000000-0005-0000-0000-00003E000000}"/>
    <cellStyle name="Normal 188" xfId="12" xr:uid="{00000000-0005-0000-0000-00003F000000}"/>
    <cellStyle name="Normal 191" xfId="22" xr:uid="{00000000-0005-0000-0000-000040000000}"/>
    <cellStyle name="Normal 192" xfId="11" xr:uid="{00000000-0005-0000-0000-000041000000}"/>
    <cellStyle name="Normal 195" xfId="20" xr:uid="{00000000-0005-0000-0000-000042000000}"/>
    <cellStyle name="Normal 196" xfId="15" xr:uid="{00000000-0005-0000-0000-000043000000}"/>
    <cellStyle name="Normal 197" xfId="59" xr:uid="{00000000-0005-0000-0000-000044000000}"/>
    <cellStyle name="Normal 2" xfId="60" xr:uid="{00000000-0005-0000-0000-000045000000}"/>
    <cellStyle name="Normal 2 10" xfId="142" xr:uid="{00000000-0005-0000-0000-000046000000}"/>
    <cellStyle name="Normal 2 10 2 5 2" xfId="6" xr:uid="{00000000-0005-0000-0000-000047000000}"/>
    <cellStyle name="Normal 2 10 2 6" xfId="3" xr:uid="{00000000-0005-0000-0000-000048000000}"/>
    <cellStyle name="Normal 2 2" xfId="9" xr:uid="{00000000-0005-0000-0000-000049000000}"/>
    <cellStyle name="Normal 2 2 2" xfId="62" xr:uid="{00000000-0005-0000-0000-00004A000000}"/>
    <cellStyle name="Normal 2 2 2 2" xfId="131" xr:uid="{00000000-0005-0000-0000-00004B000000}"/>
    <cellStyle name="Normal 2 2 3" xfId="63" xr:uid="{00000000-0005-0000-0000-00004C000000}"/>
    <cellStyle name="Normal 2 2 4" xfId="64" xr:uid="{00000000-0005-0000-0000-00004D000000}"/>
    <cellStyle name="Normal 2 2 4 2" xfId="132" xr:uid="{00000000-0005-0000-0000-00004E000000}"/>
    <cellStyle name="Normal 2 2 5" xfId="61" xr:uid="{00000000-0005-0000-0000-00004F000000}"/>
    <cellStyle name="Normal 2 3" xfId="65" xr:uid="{00000000-0005-0000-0000-000050000000}"/>
    <cellStyle name="Normal 2 3 2" xfId="66" xr:uid="{00000000-0005-0000-0000-000051000000}"/>
    <cellStyle name="Normal 2 3 3" xfId="67" xr:uid="{00000000-0005-0000-0000-000052000000}"/>
    <cellStyle name="Normal 2 3 3 2" xfId="133" xr:uid="{00000000-0005-0000-0000-000053000000}"/>
    <cellStyle name="Normal 2 3 5" xfId="155" xr:uid="{00000000-0005-0000-0000-000054000000}"/>
    <cellStyle name="Normal 2 3 9" xfId="157" xr:uid="{00000000-0005-0000-0000-000055000000}"/>
    <cellStyle name="Normal 2 4" xfId="68" xr:uid="{00000000-0005-0000-0000-000056000000}"/>
    <cellStyle name="Normal 2 5" xfId="69" xr:uid="{00000000-0005-0000-0000-000057000000}"/>
    <cellStyle name="Normal 2 5 2" xfId="70" xr:uid="{00000000-0005-0000-0000-000058000000}"/>
    <cellStyle name="Normal 2 5 2 2" xfId="71" xr:uid="{00000000-0005-0000-0000-000059000000}"/>
    <cellStyle name="Normal 2 5 3" xfId="72" xr:uid="{00000000-0005-0000-0000-00005A000000}"/>
    <cellStyle name="Normal 2 6" xfId="73" xr:uid="{00000000-0005-0000-0000-00005B000000}"/>
    <cellStyle name="Normal 2 6 2" xfId="134" xr:uid="{00000000-0005-0000-0000-00005C000000}"/>
    <cellStyle name="Normal 201 2" xfId="19" xr:uid="{00000000-0005-0000-0000-00005D000000}"/>
    <cellStyle name="Normal 207" xfId="14" xr:uid="{00000000-0005-0000-0000-00005E000000}"/>
    <cellStyle name="Normal 211" xfId="13" xr:uid="{00000000-0005-0000-0000-00005F000000}"/>
    <cellStyle name="Normal 218" xfId="17" xr:uid="{00000000-0005-0000-0000-000060000000}"/>
    <cellStyle name="Normal 219" xfId="18" xr:uid="{00000000-0005-0000-0000-000061000000}"/>
    <cellStyle name="Normal 222" xfId="16" xr:uid="{00000000-0005-0000-0000-000062000000}"/>
    <cellStyle name="Normal 23 3" xfId="74" xr:uid="{00000000-0005-0000-0000-000063000000}"/>
    <cellStyle name="Normal 23 3 2" xfId="75" xr:uid="{00000000-0005-0000-0000-000064000000}"/>
    <cellStyle name="Normal 23 3 3" xfId="76" xr:uid="{00000000-0005-0000-0000-000065000000}"/>
    <cellStyle name="Normal 3" xfId="25" xr:uid="{00000000-0005-0000-0000-000066000000}"/>
    <cellStyle name="Normal 3 10" xfId="78" xr:uid="{00000000-0005-0000-0000-000067000000}"/>
    <cellStyle name="Normal 3 2" xfId="79" xr:uid="{00000000-0005-0000-0000-000068000000}"/>
    <cellStyle name="Normal 3 2 2" xfId="80" xr:uid="{00000000-0005-0000-0000-000069000000}"/>
    <cellStyle name="Normal 3 2 3" xfId="81" xr:uid="{00000000-0005-0000-0000-00006A000000}"/>
    <cellStyle name="Normal 3 2 4" xfId="82" xr:uid="{00000000-0005-0000-0000-00006B000000}"/>
    <cellStyle name="Normal 3 2 5" xfId="152" xr:uid="{00000000-0005-0000-0000-00006C000000}"/>
    <cellStyle name="Normal 3 3" xfId="83" xr:uid="{00000000-0005-0000-0000-00006D000000}"/>
    <cellStyle name="Normal 3 4" xfId="84" xr:uid="{00000000-0005-0000-0000-00006E000000}"/>
    <cellStyle name="Normal 3 4 2" xfId="136" xr:uid="{00000000-0005-0000-0000-00006F000000}"/>
    <cellStyle name="Normal 3 5" xfId="135" xr:uid="{00000000-0005-0000-0000-000070000000}"/>
    <cellStyle name="Normal 3 6" xfId="144" xr:uid="{00000000-0005-0000-0000-000071000000}"/>
    <cellStyle name="Normal 3 7" xfId="77" xr:uid="{00000000-0005-0000-0000-000072000000}"/>
    <cellStyle name="Normal 31 2" xfId="85" xr:uid="{00000000-0005-0000-0000-000073000000}"/>
    <cellStyle name="Normal 4" xfId="86" xr:uid="{00000000-0005-0000-0000-000074000000}"/>
    <cellStyle name="Normal 4 2" xfId="87" xr:uid="{00000000-0005-0000-0000-000075000000}"/>
    <cellStyle name="Normal 4 2 2" xfId="88" xr:uid="{00000000-0005-0000-0000-000076000000}"/>
    <cellStyle name="Normal 4 2 2 2" xfId="125" xr:uid="{00000000-0005-0000-0000-000077000000}"/>
    <cellStyle name="Normal 4 2 3" xfId="89" xr:uid="{00000000-0005-0000-0000-000078000000}"/>
    <cellStyle name="Normal 4 2 4" xfId="90" xr:uid="{00000000-0005-0000-0000-000079000000}"/>
    <cellStyle name="Normal 4 2 5 2" xfId="126" xr:uid="{00000000-0005-0000-0000-00007A000000}"/>
    <cellStyle name="Normal 4 2 6" xfId="122" xr:uid="{00000000-0005-0000-0000-00007B000000}"/>
    <cellStyle name="Normal 4 2 7" xfId="141" xr:uid="{00000000-0005-0000-0000-00007C000000}"/>
    <cellStyle name="Normal 4 3" xfId="91" xr:uid="{00000000-0005-0000-0000-00007D000000}"/>
    <cellStyle name="Normal 4 4" xfId="129" xr:uid="{00000000-0005-0000-0000-00007E000000}"/>
    <cellStyle name="Normal 4 5" xfId="150" xr:uid="{00000000-0005-0000-0000-00007F000000}"/>
    <cellStyle name="Normal 40" xfId="120" xr:uid="{00000000-0005-0000-0000-000080000000}"/>
    <cellStyle name="Normal 42" xfId="147" xr:uid="{00000000-0005-0000-0000-000081000000}"/>
    <cellStyle name="Normal 48" xfId="148" xr:uid="{00000000-0005-0000-0000-000082000000}"/>
    <cellStyle name="Normal 5" xfId="23" xr:uid="{00000000-0005-0000-0000-000083000000}"/>
    <cellStyle name="Normal 5 2" xfId="93" xr:uid="{00000000-0005-0000-0000-000084000000}"/>
    <cellStyle name="Normal 5 2 2" xfId="94" xr:uid="{00000000-0005-0000-0000-000085000000}"/>
    <cellStyle name="Normal 5 3" xfId="95" xr:uid="{00000000-0005-0000-0000-000086000000}"/>
    <cellStyle name="Normal 5 4" xfId="96" xr:uid="{00000000-0005-0000-0000-000087000000}"/>
    <cellStyle name="Normal 5 5" xfId="97" xr:uid="{00000000-0005-0000-0000-000088000000}"/>
    <cellStyle name="Normal 5 6" xfId="156" xr:uid="{00000000-0005-0000-0000-000089000000}"/>
    <cellStyle name="Normal 5 7" xfId="92" xr:uid="{00000000-0005-0000-0000-00008A000000}"/>
    <cellStyle name="Normal 6" xfId="98" xr:uid="{00000000-0005-0000-0000-00008B000000}"/>
    <cellStyle name="Normal 6 2" xfId="143" xr:uid="{00000000-0005-0000-0000-00008C000000}"/>
    <cellStyle name="Normal 7" xfId="99" xr:uid="{00000000-0005-0000-0000-00008D000000}"/>
    <cellStyle name="Normal 7 2" xfId="100" xr:uid="{00000000-0005-0000-0000-00008E000000}"/>
    <cellStyle name="Normal 7 3" xfId="101" xr:uid="{00000000-0005-0000-0000-00008F000000}"/>
    <cellStyle name="Normal 7 4" xfId="102" xr:uid="{00000000-0005-0000-0000-000090000000}"/>
    <cellStyle name="Normal 7 4 2" xfId="137" xr:uid="{00000000-0005-0000-0000-000091000000}"/>
    <cellStyle name="Normal 8" xfId="103" xr:uid="{00000000-0005-0000-0000-000092000000}"/>
    <cellStyle name="Normal 8 2" xfId="104" xr:uid="{00000000-0005-0000-0000-000093000000}"/>
    <cellStyle name="Normal 8 2 2" xfId="105" xr:uid="{00000000-0005-0000-0000-000094000000}"/>
    <cellStyle name="Normal 8 3" xfId="106" xr:uid="{00000000-0005-0000-0000-000095000000}"/>
    <cellStyle name="Normal 8 4" xfId="107" xr:uid="{00000000-0005-0000-0000-000096000000}"/>
    <cellStyle name="Normal 8 5" xfId="108" xr:uid="{00000000-0005-0000-0000-000097000000}"/>
    <cellStyle name="Normal 9" xfId="109" xr:uid="{00000000-0005-0000-0000-000098000000}"/>
    <cellStyle name="Normal 9 2" xfId="138" xr:uid="{00000000-0005-0000-0000-000099000000}"/>
    <cellStyle name="Normal_Rev_IPP_ BUB_ 10.04.09 2" xfId="4" xr:uid="{00000000-0005-0000-0000-00009A000000}"/>
    <cellStyle name="Note 4" xfId="121" xr:uid="{00000000-0005-0000-0000-00009B000000}"/>
    <cellStyle name="Percent" xfId="2" builtinId="5"/>
    <cellStyle name="Percent 2" xfId="7" xr:uid="{00000000-0005-0000-0000-00009D000000}"/>
    <cellStyle name="Percent 2 2" xfId="111" xr:uid="{00000000-0005-0000-0000-00009E000000}"/>
    <cellStyle name="Percent 2 2 2" xfId="112" xr:uid="{00000000-0005-0000-0000-00009F000000}"/>
    <cellStyle name="Percent 2 2 2 2" xfId="113" xr:uid="{00000000-0005-0000-0000-0000A0000000}"/>
    <cellStyle name="Percent 2 2 3" xfId="114" xr:uid="{00000000-0005-0000-0000-0000A1000000}"/>
    <cellStyle name="Percent 2 3" xfId="115" xr:uid="{00000000-0005-0000-0000-0000A2000000}"/>
    <cellStyle name="Percent 2 3 2" xfId="116" xr:uid="{00000000-0005-0000-0000-0000A3000000}"/>
    <cellStyle name="Percent 2 4" xfId="117" xr:uid="{00000000-0005-0000-0000-0000A4000000}"/>
    <cellStyle name="Percent 2 5" xfId="130" xr:uid="{00000000-0005-0000-0000-0000A5000000}"/>
    <cellStyle name="Percent 2 6" xfId="153" xr:uid="{00000000-0005-0000-0000-0000A6000000}"/>
    <cellStyle name="Percent 2 7" xfId="110" xr:uid="{00000000-0005-0000-0000-0000A7000000}"/>
    <cellStyle name="Percent 3" xfId="118" xr:uid="{00000000-0005-0000-0000-0000A8000000}"/>
    <cellStyle name="Percent 3 2" xfId="139" xr:uid="{00000000-0005-0000-0000-0000A9000000}"/>
    <cellStyle name="Percent 4" xfId="124" xr:uid="{00000000-0005-0000-0000-0000AA000000}"/>
    <cellStyle name="TableStyleLight1" xfId="119" xr:uid="{00000000-0005-0000-0000-0000AB000000}"/>
  </cellStyles>
  <dxfs count="85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08984375" defaultRowHeight="14.5" x14ac:dyDescent="0.35"/>
  <cols>
    <col min="1" max="1" width="4.08984375" style="4" customWidth="1"/>
    <col min="2" max="3" width="10" style="1" customWidth="1"/>
    <col min="4" max="4" width="12.54296875" style="4" customWidth="1"/>
    <col min="5" max="6" width="8.6328125" style="4" customWidth="1"/>
    <col min="7" max="7" width="22.36328125" style="4" customWidth="1"/>
    <col min="8" max="8" width="14.36328125" style="1" customWidth="1"/>
    <col min="9" max="9" width="11.54296875" style="1" customWidth="1"/>
    <col min="10" max="10" width="12.54296875" style="1" customWidth="1"/>
    <col min="11" max="11" width="16.08984375" style="1" customWidth="1"/>
    <col min="12" max="12" width="12.08984375" style="1" customWidth="1"/>
    <col min="13" max="13" width="14.90625" style="1" customWidth="1"/>
    <col min="14" max="14" width="11.36328125" style="1" customWidth="1"/>
    <col min="15" max="15" width="12.08984375" style="1" customWidth="1"/>
    <col min="16" max="16" width="17.6328125" style="1" customWidth="1"/>
    <col min="17" max="17" width="3.08984375" style="1" customWidth="1"/>
    <col min="18" max="18" width="14.54296875" style="1" customWidth="1"/>
    <col min="19" max="19" width="3.08984375" style="1" customWidth="1"/>
    <col min="20" max="25" width="8.6328125" style="1" customWidth="1"/>
    <col min="26" max="26" width="3.08984375" style="1" customWidth="1"/>
    <col min="27" max="27" width="15" style="1" customWidth="1"/>
    <col min="28" max="28" width="15.54296875" style="1" customWidth="1"/>
    <col min="29" max="29" width="17.08984375" style="1" customWidth="1"/>
    <col min="30" max="30" width="13.90625" style="1" customWidth="1"/>
    <col min="31" max="31" width="10.6328125" style="1" customWidth="1"/>
    <col min="32" max="32" width="15.54296875" style="1" customWidth="1"/>
    <col min="33" max="33" width="17.08984375" style="1" customWidth="1"/>
    <col min="34" max="16384" width="9.089843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4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85</v>
      </c>
      <c r="E6" s="54">
        <v>301</v>
      </c>
      <c r="K6" s="3"/>
      <c r="M6" s="97"/>
    </row>
    <row r="7" spans="1:13" x14ac:dyDescent="0.35">
      <c r="A7" s="6"/>
      <c r="D7" s="2" t="s">
        <v>2</v>
      </c>
      <c r="E7" s="30">
        <f>E5-E6</f>
        <v>1</v>
      </c>
      <c r="K7" s="3"/>
      <c r="M7" s="97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51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77" t="s">
        <v>4</v>
      </c>
      <c r="B18" s="177" t="s">
        <v>5</v>
      </c>
      <c r="C18" s="174" t="s">
        <v>6</v>
      </c>
      <c r="D18" s="177" t="s">
        <v>7</v>
      </c>
      <c r="E18" s="174" t="s">
        <v>16</v>
      </c>
      <c r="F18" s="174" t="s">
        <v>17</v>
      </c>
      <c r="G18" s="177" t="s">
        <v>8</v>
      </c>
      <c r="H18" s="189" t="s">
        <v>18</v>
      </c>
      <c r="I18" s="189"/>
      <c r="J18" s="189"/>
      <c r="K18" s="189"/>
      <c r="L18" s="189"/>
      <c r="M18" s="189"/>
      <c r="N18" s="189"/>
      <c r="O18" s="189"/>
      <c r="P18" s="182" t="s">
        <v>19</v>
      </c>
      <c r="R18" s="174" t="s">
        <v>36</v>
      </c>
      <c r="T18" s="183" t="s">
        <v>31</v>
      </c>
      <c r="U18" s="184"/>
      <c r="V18" s="184"/>
      <c r="W18" s="184"/>
      <c r="X18" s="184"/>
      <c r="Y18" s="185"/>
      <c r="AA18" s="183" t="s">
        <v>30</v>
      </c>
      <c r="AB18" s="184"/>
      <c r="AC18" s="184"/>
      <c r="AD18" s="184"/>
      <c r="AE18" s="184"/>
      <c r="AF18" s="185"/>
      <c r="AG18" s="186" t="s">
        <v>34</v>
      </c>
    </row>
    <row r="19" spans="1:33" ht="21" customHeight="1" x14ac:dyDescent="0.35">
      <c r="A19" s="178"/>
      <c r="B19" s="178"/>
      <c r="C19" s="175"/>
      <c r="D19" s="178"/>
      <c r="E19" s="175"/>
      <c r="F19" s="175"/>
      <c r="G19" s="178"/>
      <c r="H19" s="194" t="s">
        <v>9</v>
      </c>
      <c r="I19" s="194"/>
      <c r="J19" s="194" t="s">
        <v>12</v>
      </c>
      <c r="K19" s="194"/>
      <c r="L19" s="194" t="s">
        <v>13</v>
      </c>
      <c r="M19" s="194"/>
      <c r="N19" s="190" t="s">
        <v>15</v>
      </c>
      <c r="O19" s="190" t="s">
        <v>14</v>
      </c>
      <c r="P19" s="182"/>
      <c r="R19" s="188"/>
      <c r="T19" s="180" t="s">
        <v>24</v>
      </c>
      <c r="U19" s="180" t="s">
        <v>25</v>
      </c>
      <c r="V19" s="180" t="s">
        <v>26</v>
      </c>
      <c r="W19" s="180" t="s">
        <v>27</v>
      </c>
      <c r="X19" s="180" t="s">
        <v>28</v>
      </c>
      <c r="Y19" s="43" t="s">
        <v>29</v>
      </c>
      <c r="AA19" s="180" t="s">
        <v>24</v>
      </c>
      <c r="AB19" s="180" t="s">
        <v>25</v>
      </c>
      <c r="AC19" s="180" t="s">
        <v>26</v>
      </c>
      <c r="AD19" s="180" t="s">
        <v>27</v>
      </c>
      <c r="AE19" s="180" t="s">
        <v>28</v>
      </c>
      <c r="AF19" s="43" t="s">
        <v>29</v>
      </c>
      <c r="AG19" s="187"/>
    </row>
    <row r="20" spans="1:33" ht="15" thickBot="1" x14ac:dyDescent="0.4">
      <c r="A20" s="179"/>
      <c r="B20" s="178"/>
      <c r="C20" s="175"/>
      <c r="D20" s="178"/>
      <c r="E20" s="176"/>
      <c r="F20" s="176"/>
      <c r="G20" s="178"/>
      <c r="H20" s="93" t="s">
        <v>10</v>
      </c>
      <c r="I20" s="93" t="s">
        <v>11</v>
      </c>
      <c r="J20" s="93" t="s">
        <v>10</v>
      </c>
      <c r="K20" s="93" t="s">
        <v>11</v>
      </c>
      <c r="L20" s="93" t="s">
        <v>10</v>
      </c>
      <c r="M20" s="93" t="s">
        <v>11</v>
      </c>
      <c r="N20" s="191"/>
      <c r="O20" s="191"/>
      <c r="P20" s="44" t="s">
        <v>50</v>
      </c>
      <c r="R20" s="18" t="s">
        <v>37</v>
      </c>
      <c r="T20" s="181"/>
      <c r="U20" s="181"/>
      <c r="V20" s="181"/>
      <c r="W20" s="181"/>
      <c r="X20" s="181"/>
      <c r="Y20" s="19"/>
      <c r="AA20" s="181"/>
      <c r="AB20" s="181"/>
      <c r="AC20" s="181"/>
      <c r="AD20" s="181"/>
      <c r="AE20" s="181"/>
      <c r="AF20" s="19" t="s">
        <v>50</v>
      </c>
      <c r="AG20" s="44" t="s">
        <v>50</v>
      </c>
    </row>
    <row r="21" spans="1:33" ht="15" customHeight="1" x14ac:dyDescent="0.35">
      <c r="A21" s="96">
        <v>1</v>
      </c>
      <c r="B21" s="107" t="s">
        <v>81</v>
      </c>
      <c r="C21" s="102" t="s">
        <v>80</v>
      </c>
      <c r="D21" s="8" t="s">
        <v>77</v>
      </c>
      <c r="E21" s="101">
        <v>261.19600000000003</v>
      </c>
      <c r="F21" s="96">
        <v>15.029</v>
      </c>
      <c r="G21" s="106" t="s">
        <v>78</v>
      </c>
      <c r="H21" s="98">
        <v>45798</v>
      </c>
      <c r="I21" s="98">
        <v>45801</v>
      </c>
      <c r="J21" s="98">
        <v>45802</v>
      </c>
      <c r="K21" s="98">
        <v>45803</v>
      </c>
      <c r="L21" s="98">
        <v>45804</v>
      </c>
      <c r="M21" s="98">
        <v>45809</v>
      </c>
      <c r="N21" s="98">
        <v>45810</v>
      </c>
      <c r="O21" s="98">
        <v>45811</v>
      </c>
      <c r="P21" s="99">
        <v>4925228.8899999997</v>
      </c>
      <c r="R21" s="98">
        <v>45811</v>
      </c>
      <c r="T21" s="90">
        <v>1</v>
      </c>
      <c r="U21" s="90"/>
      <c r="V21" s="95"/>
      <c r="W21" s="95"/>
      <c r="X21" s="95"/>
      <c r="Y21" s="95">
        <f>SUM(T21:X21)</f>
        <v>1</v>
      </c>
      <c r="AA21" s="87">
        <f>$P$21*T21</f>
        <v>4925228.8899999997</v>
      </c>
      <c r="AB21" s="87">
        <f>$P$21*U21</f>
        <v>0</v>
      </c>
      <c r="AC21" s="87">
        <f t="shared" ref="AC21:AE21" si="2">$P$21*V21</f>
        <v>0</v>
      </c>
      <c r="AD21" s="87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6">
        <v>2</v>
      </c>
      <c r="B22" s="109"/>
      <c r="C22" s="111"/>
      <c r="D22" s="112"/>
      <c r="E22" s="100"/>
      <c r="F22" s="8"/>
      <c r="G22" s="106"/>
      <c r="H22" s="98"/>
      <c r="I22" s="98"/>
      <c r="J22" s="98"/>
      <c r="K22" s="98"/>
      <c r="L22" s="98"/>
      <c r="M22" s="98"/>
      <c r="N22" s="98"/>
      <c r="O22" s="98"/>
      <c r="P22" s="99"/>
      <c r="R22" s="89"/>
      <c r="T22" s="90"/>
      <c r="U22" s="90"/>
      <c r="V22" s="95"/>
      <c r="W22" s="95"/>
      <c r="X22" s="95"/>
      <c r="Y22" s="95">
        <f t="shared" ref="Y22:Y23" si="3">SUM(T22:X22)</f>
        <v>0</v>
      </c>
      <c r="AA22" s="87"/>
      <c r="AB22" s="87"/>
      <c r="AC22" s="87"/>
      <c r="AD22" s="87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6">
        <v>3</v>
      </c>
      <c r="B23" s="107"/>
      <c r="C23" s="102"/>
      <c r="D23" s="85"/>
      <c r="E23" s="101"/>
      <c r="F23" s="96"/>
      <c r="G23" s="110"/>
      <c r="H23" s="98"/>
      <c r="I23" s="98"/>
      <c r="J23" s="98"/>
      <c r="K23" s="98"/>
      <c r="L23" s="98"/>
      <c r="M23" s="98"/>
      <c r="N23" s="98"/>
      <c r="O23" s="98"/>
      <c r="P23" s="99"/>
      <c r="R23" s="89"/>
      <c r="T23" s="90"/>
      <c r="U23" s="90"/>
      <c r="V23" s="95"/>
      <c r="W23" s="95"/>
      <c r="X23" s="95"/>
      <c r="Y23" s="95">
        <f t="shared" si="3"/>
        <v>0</v>
      </c>
      <c r="AA23" s="87">
        <f t="shared" ref="AA23:AA25" si="4">$P$21*T23</f>
        <v>0</v>
      </c>
      <c r="AB23" s="87">
        <f t="shared" ref="AB23:AB26" si="5">$P$21*U23</f>
        <v>0</v>
      </c>
      <c r="AC23" s="87">
        <f t="shared" ref="AC23:AC26" si="6">$P$21*V23</f>
        <v>0</v>
      </c>
      <c r="AD23" s="87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6">
        <v>4</v>
      </c>
      <c r="B24" s="115"/>
      <c r="C24" s="105"/>
      <c r="D24" s="85"/>
      <c r="E24" s="100"/>
      <c r="F24" s="8"/>
      <c r="G24" s="106"/>
      <c r="H24" s="98"/>
      <c r="I24" s="98"/>
      <c r="J24" s="98"/>
      <c r="K24" s="98"/>
      <c r="L24" s="98"/>
      <c r="M24" s="98"/>
      <c r="N24" s="98"/>
      <c r="O24" s="98"/>
      <c r="P24" s="99"/>
      <c r="R24" s="86"/>
      <c r="T24" s="88"/>
      <c r="U24" s="88"/>
      <c r="V24" s="88"/>
      <c r="W24" s="88"/>
      <c r="X24" s="88"/>
      <c r="Y24" s="88">
        <f t="shared" ref="Y24:Y29" si="9">SUM(T24:X24)</f>
        <v>0</v>
      </c>
      <c r="AA24" s="87">
        <f t="shared" si="4"/>
        <v>0</v>
      </c>
      <c r="AB24" s="87">
        <f t="shared" si="5"/>
        <v>0</v>
      </c>
      <c r="AC24" s="87">
        <f>$P$24*V24</f>
        <v>0</v>
      </c>
      <c r="AD24" s="87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6">
        <v>5</v>
      </c>
      <c r="B25" s="107"/>
      <c r="C25" s="102"/>
      <c r="D25" s="85"/>
      <c r="E25" s="100"/>
      <c r="F25" s="8"/>
      <c r="G25" s="192"/>
      <c r="H25" s="98"/>
      <c r="I25" s="98"/>
      <c r="J25" s="98"/>
      <c r="K25" s="98"/>
      <c r="L25" s="98"/>
      <c r="M25" s="98"/>
      <c r="N25" s="98"/>
      <c r="O25" s="98"/>
      <c r="P25" s="99"/>
      <c r="R25" s="86"/>
      <c r="T25" s="88"/>
      <c r="U25" s="88"/>
      <c r="V25" s="88"/>
      <c r="W25" s="88"/>
      <c r="X25" s="88"/>
      <c r="Y25" s="88">
        <f t="shared" si="9"/>
        <v>0</v>
      </c>
      <c r="AA25" s="87">
        <f t="shared" si="4"/>
        <v>0</v>
      </c>
      <c r="AB25" s="87">
        <f>$P$25*U25</f>
        <v>0</v>
      </c>
      <c r="AC25" s="87">
        <f>$P$25*V25</f>
        <v>0</v>
      </c>
      <c r="AD25" s="87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6">
        <v>6</v>
      </c>
      <c r="B26" s="107"/>
      <c r="C26" s="102"/>
      <c r="D26" s="8"/>
      <c r="E26" s="101"/>
      <c r="F26" s="96"/>
      <c r="G26" s="193"/>
      <c r="H26" s="98"/>
      <c r="I26" s="98"/>
      <c r="J26" s="98"/>
      <c r="K26" s="98"/>
      <c r="L26" s="98"/>
      <c r="M26" s="98"/>
      <c r="N26" s="98"/>
      <c r="O26" s="98"/>
      <c r="P26" s="99"/>
      <c r="R26" s="86"/>
      <c r="T26" s="88"/>
      <c r="U26" s="88"/>
      <c r="V26" s="88"/>
      <c r="W26" s="88"/>
      <c r="X26" s="88"/>
      <c r="Y26" s="88">
        <f t="shared" si="9"/>
        <v>0</v>
      </c>
      <c r="AA26" s="87">
        <f>$P$26*T26</f>
        <v>0</v>
      </c>
      <c r="AB26" s="87">
        <f t="shared" si="5"/>
        <v>0</v>
      </c>
      <c r="AC26" s="87">
        <f t="shared" si="6"/>
        <v>0</v>
      </c>
      <c r="AD26" s="87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6">
        <v>7</v>
      </c>
      <c r="B27" s="108"/>
      <c r="C27" s="102"/>
      <c r="D27" s="8"/>
      <c r="E27" s="101"/>
      <c r="F27" s="96"/>
      <c r="G27" s="106"/>
      <c r="H27" s="98"/>
      <c r="I27" s="98"/>
      <c r="J27" s="98"/>
      <c r="K27" s="98"/>
      <c r="L27" s="98"/>
      <c r="M27" s="98"/>
      <c r="N27" s="98"/>
      <c r="O27" s="98"/>
      <c r="P27" s="99"/>
      <c r="R27" s="86"/>
      <c r="T27" s="88"/>
      <c r="U27" s="88"/>
      <c r="V27" s="88"/>
      <c r="W27" s="88"/>
      <c r="X27" s="88"/>
      <c r="Y27" s="88">
        <f t="shared" si="9"/>
        <v>0</v>
      </c>
      <c r="AA27" s="87">
        <f>$P$21*T27</f>
        <v>0</v>
      </c>
      <c r="AB27" s="87">
        <f>$P$27*U27</f>
        <v>0</v>
      </c>
      <c r="AC27" s="87">
        <f t="shared" ref="AC27:AE28" si="12">$P$21*V27</f>
        <v>0</v>
      </c>
      <c r="AD27" s="87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6"/>
      <c r="B28" s="102"/>
      <c r="C28" s="102"/>
      <c r="D28" s="85"/>
      <c r="E28" s="100"/>
      <c r="F28" s="8"/>
      <c r="G28" s="103"/>
      <c r="H28" s="104"/>
      <c r="I28" s="98"/>
      <c r="J28" s="98"/>
      <c r="K28" s="98"/>
      <c r="L28" s="98"/>
      <c r="M28" s="104"/>
      <c r="N28" s="98"/>
      <c r="O28" s="98"/>
      <c r="P28" s="99"/>
      <c r="R28" s="89"/>
      <c r="T28" s="90"/>
      <c r="U28" s="90"/>
      <c r="V28" s="90"/>
      <c r="W28" s="90"/>
      <c r="X28" s="90"/>
      <c r="Y28" s="88">
        <f t="shared" si="9"/>
        <v>0</v>
      </c>
      <c r="AA28" s="87">
        <f>$P$21*T28</f>
        <v>0</v>
      </c>
      <c r="AB28" s="87">
        <f>$P$21*U28</f>
        <v>0</v>
      </c>
      <c r="AC28" s="87">
        <f t="shared" si="12"/>
        <v>0</v>
      </c>
      <c r="AD28" s="87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1"/>
      <c r="C29" s="92"/>
      <c r="D29" s="92"/>
      <c r="E29" s="92"/>
      <c r="F29" s="92"/>
      <c r="G29" s="92"/>
      <c r="H29" s="84"/>
      <c r="I29" s="84"/>
      <c r="J29" s="84"/>
      <c r="K29" s="84"/>
      <c r="L29" s="84"/>
      <c r="M29" s="84"/>
      <c r="N29" s="84"/>
      <c r="O29" s="84"/>
      <c r="P29" s="114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83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84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76</v>
      </c>
      <c r="P34" s="79">
        <f>SUM(P30:P33)</f>
        <v>4940235.79</v>
      </c>
    </row>
  </sheetData>
  <autoFilter ref="A18:P28" xr:uid="{00000000-0009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G25:G26"/>
    <mergeCell ref="O19:O20"/>
    <mergeCell ref="H19:I19"/>
    <mergeCell ref="J19:K19"/>
    <mergeCell ref="L19:M19"/>
    <mergeCell ref="H18:O18"/>
    <mergeCell ref="N19:N20"/>
    <mergeCell ref="U19:U20"/>
    <mergeCell ref="V19:V20"/>
    <mergeCell ref="W19:W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F18:F20"/>
    <mergeCell ref="G18:G20"/>
    <mergeCell ref="A18:A20"/>
    <mergeCell ref="B18:B20"/>
    <mergeCell ref="C18:C20"/>
    <mergeCell ref="D18:D20"/>
    <mergeCell ref="E18:E20"/>
  </mergeCells>
  <phoneticPr fontId="8" type="noConversion"/>
  <conditionalFormatting sqref="B21">
    <cfRule type="duplicateValues" dxfId="84" priority="1"/>
    <cfRule type="duplicateValues" dxfId="83" priority="2"/>
    <cfRule type="duplicateValues" dxfId="82" priority="3"/>
    <cfRule type="duplicateValues" dxfId="81" priority="4"/>
    <cfRule type="expression" dxfId="80" priority="5" stopIfTrue="1">
      <formula>AND(COUNTIF($D$28:$D$37, B21)+COUNTIF($D$16:$D$16, B21)&gt;1,NOT(ISBLANK(B21)))</formula>
    </cfRule>
    <cfRule type="expression" dxfId="79" priority="6" stopIfTrue="1">
      <formula>AND(COUNTIF($D$28:$D$65380, B21)+COUNTIF($D$1:$D$16, B21)&gt;1,NOT(ISBLANK(B21)))</formula>
    </cfRule>
    <cfRule type="expression" dxfId="78" priority="7" stopIfTrue="1">
      <formula>AND(COUNTIF($D$17:$D$65380, B21)+COUNTIF($D$1:$D$16, B21)&gt;1,NOT(ISBLANK(B21)))</formula>
    </cfRule>
    <cfRule type="expression" dxfId="77" priority="8" stopIfTrue="1">
      <formula>AND(COUNTIF($D$1:$D$123, B21)+COUNTIF($D$142:$D$65380, B21)&gt;1,NOT(ISBLANK(B21)))</formula>
    </cfRule>
    <cfRule type="expression" dxfId="76" priority="9" stopIfTrue="1">
      <formula>AND(COUNTIF($D$1:$D$191, B21)+COUNTIF($D$214:$D$65380, B21)&gt;1,NOT(ISBLANK(B21)))</formula>
    </cfRule>
    <cfRule type="expression" dxfId="75" priority="10" stopIfTrue="1">
      <formula>AND(COUNTIF($D$1:$D$191, B21)+COUNTIF($D$214:$D$65380, B21)&gt;1,NOT(ISBLANK(B21)))</formula>
    </cfRule>
    <cfRule type="expression" dxfId="74" priority="11" stopIfTrue="1">
      <formula>AND(COUNTIF($D$1:$D$191, B21)+COUNTIF($D$214:$D$65380, B21)&gt;1,NOT(ISBLANK(B21)))</formula>
    </cfRule>
    <cfRule type="expression" dxfId="73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72" priority="18"/>
  </conditionalFormatting>
  <conditionalFormatting sqref="B22">
    <cfRule type="duplicateValues" dxfId="71" priority="14"/>
    <cfRule type="duplicateValues" dxfId="70" priority="15"/>
    <cfRule type="duplicateValues" dxfId="69" priority="16"/>
  </conditionalFormatting>
  <conditionalFormatting sqref="B23">
    <cfRule type="duplicateValues" dxfId="68" priority="19"/>
    <cfRule type="duplicateValues" dxfId="67" priority="20"/>
    <cfRule type="expression" dxfId="66" priority="1251" stopIfTrue="1">
      <formula>AND(COUNTIF($C$2:$C$65291, B23)+COUNTIF(#REF!, B23)&gt;1,NOT(ISBLANK(B23)))</formula>
    </cfRule>
    <cfRule type="expression" dxfId="65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64" priority="1248" stopIfTrue="1">
      <formula>AND(COUNTIF($C$1:$C$65282, B21)+COUNTIF(#REF!, B21)&gt;1,NOT(ISBLANK(B21)))</formula>
    </cfRule>
  </conditionalFormatting>
  <conditionalFormatting sqref="B26:B27 B23 B21">
    <cfRule type="expression" dxfId="63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62" priority="1239"/>
    <cfRule type="expression" dxfId="61" priority="1240" stopIfTrue="1">
      <formula>AND(COUNTIF($D$28:$D$37, B26)+COUNTIF($D$16:$D$16, B26)&gt;1,NOT(ISBLANK(B26)))</formula>
    </cfRule>
    <cfRule type="expression" dxfId="60" priority="1241" stopIfTrue="1">
      <formula>AND(COUNTIF($D$28:$D$65380, B26)+COUNTIF($D$1:$D$16, B26)&gt;1,NOT(ISBLANK(B26)))</formula>
    </cfRule>
    <cfRule type="expression" dxfId="59" priority="1242" stopIfTrue="1">
      <formula>AND(COUNTIF($D$17:$D$65380, B26)+COUNTIF($D$1:$D$16, B26)&gt;1,NOT(ISBLANK(B26)))</formula>
    </cfRule>
    <cfRule type="expression" dxfId="58" priority="1243" stopIfTrue="1">
      <formula>AND(COUNTIF($D$1:$D$123, B26)+COUNTIF($D$142:$D$65380, B26)&gt;1,NOT(ISBLANK(B26)))</formula>
    </cfRule>
    <cfRule type="expression" dxfId="57" priority="1244" stopIfTrue="1">
      <formula>AND(COUNTIF($D$1:$D$191, B26)+COUNTIF($D$214:$D$65380, B26)&gt;1,NOT(ISBLANK(B26)))</formula>
    </cfRule>
    <cfRule type="expression" dxfId="56" priority="1245" stopIfTrue="1">
      <formula>AND(COUNTIF($D$1:$D$191, B26)+COUNTIF($D$214:$D$65380, B26)&gt;1,NOT(ISBLANK(B26)))</formula>
    </cfRule>
    <cfRule type="expression" dxfId="55" priority="1246" stopIfTrue="1">
      <formula>AND(COUNTIF($D$1:$D$191, B26)+COUNTIF($D$214:$D$65380, B26)&gt;1,NOT(ISBLANK(B26)))</formula>
    </cfRule>
    <cfRule type="expression" dxfId="54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</conditionalFormatting>
  <conditionalFormatting sqref="B27">
    <cfRule type="duplicateValues" dxfId="53" priority="22"/>
    <cfRule type="duplicateValues" dxfId="52" priority="23"/>
    <cfRule type="duplicateValues" dxfId="51" priority="24"/>
  </conditionalFormatting>
  <conditionalFormatting sqref="B28">
    <cfRule type="duplicateValues" dxfId="50" priority="1190"/>
    <cfRule type="duplicateValues" dxfId="49" priority="1191"/>
    <cfRule type="duplicateValues" dxfId="48" priority="1192"/>
  </conditionalFormatting>
  <conditionalFormatting sqref="B29:B1048576 B1:B20">
    <cfRule type="duplicateValues" dxfId="47" priority="347"/>
  </conditionalFormatting>
  <conditionalFormatting sqref="L4">
    <cfRule type="expression" dxfId="46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  <cfRule type="expression" dxfId="45" priority="1221" stopIfTrue="1">
      <formula>AND(COUNTIF($C$1:$C$65460, L4)+COUNTIF(#REF!, L4)&gt;1,NOT(ISBLANK(L4)))</formula>
    </cfRule>
  </conditionalFormatting>
  <conditionalFormatting sqref="M4">
    <cfRule type="expression" dxfId="44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3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2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1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0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39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38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37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6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5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4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3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2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31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6"/>
  <sheetViews>
    <sheetView workbookViewId="0">
      <selection activeCell="U5" sqref="U5"/>
    </sheetView>
  </sheetViews>
  <sheetFormatPr defaultRowHeight="14.5" x14ac:dyDescent="0.35"/>
  <cols>
    <col min="2" max="2" width="12.6328125" customWidth="1"/>
    <col min="5" max="5" width="13.36328125" customWidth="1"/>
    <col min="6" max="6" width="14.6328125" customWidth="1"/>
    <col min="7" max="7" width="13.54296875" customWidth="1"/>
    <col min="8" max="15" width="0" hidden="1" customWidth="1"/>
    <col min="16" max="16" width="16.089843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52</v>
      </c>
      <c r="C3" s="56" t="s">
        <v>53</v>
      </c>
      <c r="D3" s="56" t="s">
        <v>6</v>
      </c>
      <c r="E3" s="56" t="s">
        <v>54</v>
      </c>
      <c r="F3" s="56" t="s">
        <v>55</v>
      </c>
      <c r="G3" s="57" t="s">
        <v>56</v>
      </c>
      <c r="H3" s="58" t="s">
        <v>57</v>
      </c>
      <c r="I3" s="58" t="s">
        <v>58</v>
      </c>
      <c r="J3" s="59" t="s">
        <v>59</v>
      </c>
      <c r="K3" s="58" t="s">
        <v>60</v>
      </c>
      <c r="L3" s="58" t="s">
        <v>61</v>
      </c>
      <c r="M3" s="58" t="s">
        <v>62</v>
      </c>
      <c r="N3" s="58" t="s">
        <v>63</v>
      </c>
      <c r="O3" s="58" t="s">
        <v>64</v>
      </c>
      <c r="P3" s="58" t="s">
        <v>74</v>
      </c>
      <c r="Q3" s="58" t="s">
        <v>65</v>
      </c>
      <c r="R3" s="58" t="s">
        <v>73</v>
      </c>
    </row>
    <row r="4" spans="2:18" ht="60" customHeight="1" x14ac:dyDescent="0.35">
      <c r="B4" s="60" t="s">
        <v>68</v>
      </c>
      <c r="C4" s="61" t="s">
        <v>66</v>
      </c>
      <c r="D4" s="62" t="s">
        <v>67</v>
      </c>
      <c r="E4" s="63" t="s">
        <v>69</v>
      </c>
      <c r="F4" s="64" t="s">
        <v>70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195" t="s">
        <v>75</v>
      </c>
    </row>
    <row r="5" spans="2:18" ht="15.5" x14ac:dyDescent="0.35">
      <c r="B5" s="60" t="s">
        <v>68</v>
      </c>
      <c r="C5" s="61" t="s">
        <v>66</v>
      </c>
      <c r="D5" s="62" t="s">
        <v>67</v>
      </c>
      <c r="E5" s="63" t="s">
        <v>71</v>
      </c>
      <c r="F5" s="64" t="s">
        <v>72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196"/>
    </row>
    <row r="6" spans="2:18" s="75" customFormat="1" x14ac:dyDescent="0.35">
      <c r="B6" s="197" t="s">
        <v>29</v>
      </c>
      <c r="C6" s="198"/>
      <c r="D6" s="199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30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21"/>
  <sheetViews>
    <sheetView zoomScale="88" zoomScaleNormal="80" workbookViewId="0">
      <selection activeCell="P2" sqref="P2"/>
    </sheetView>
  </sheetViews>
  <sheetFormatPr defaultColWidth="9.08984375" defaultRowHeight="14.5" x14ac:dyDescent="0.35"/>
  <cols>
    <col min="1" max="1" width="4.54296875" style="4" customWidth="1"/>
    <col min="2" max="2" width="11.90625" style="1" customWidth="1"/>
    <col min="3" max="3" width="11.36328125" style="1" customWidth="1"/>
    <col min="4" max="4" width="12.54296875" style="4" customWidth="1"/>
    <col min="5" max="5" width="20.6328125" style="4" customWidth="1"/>
    <col min="6" max="6" width="12.6328125" style="4" customWidth="1"/>
    <col min="7" max="7" width="18.453125" style="4" customWidth="1"/>
    <col min="8" max="8" width="19.453125" style="4" customWidth="1"/>
    <col min="9" max="9" width="12.6328125" style="4" customWidth="1"/>
    <col min="10" max="10" width="11.90625" style="4" customWidth="1"/>
    <col min="11" max="11" width="14.6328125" style="4" customWidth="1"/>
    <col min="12" max="12" width="16.08984375" style="1" bestFit="1" customWidth="1"/>
    <col min="13" max="13" width="10.6328125" style="1" customWidth="1"/>
    <col min="14" max="14" width="13.08984375" style="1" customWidth="1"/>
    <col min="15" max="15" width="16.6328125" style="1" bestFit="1" customWidth="1"/>
    <col min="16" max="16" width="18.453125" style="1" bestFit="1" customWidth="1"/>
    <col min="17" max="18" width="15.54296875" style="1" customWidth="1"/>
    <col min="19" max="19" width="3.08984375" style="1" customWidth="1"/>
    <col min="20" max="20" width="28.08984375" style="1" customWidth="1"/>
    <col min="21" max="21" width="3.08984375" style="1" customWidth="1"/>
    <col min="22" max="27" width="8.6328125" style="1" customWidth="1"/>
    <col min="28" max="28" width="3.08984375" style="1" customWidth="1"/>
    <col min="29" max="29" width="14.36328125" style="1" customWidth="1"/>
    <col min="30" max="30" width="13.36328125" style="1" customWidth="1"/>
    <col min="31" max="32" width="10.6328125" style="1" customWidth="1"/>
    <col min="33" max="33" width="11.36328125" style="1" customWidth="1"/>
    <col min="34" max="34" width="8.08984375" style="1" customWidth="1"/>
    <col min="35" max="35" width="38.08984375" style="1" customWidth="1"/>
    <col min="36" max="16384" width="9.08984375" style="1"/>
  </cols>
  <sheetData>
    <row r="1" spans="1:37" ht="43.5" x14ac:dyDescent="0.35">
      <c r="A1" s="160" t="s">
        <v>4</v>
      </c>
      <c r="B1" s="160" t="s">
        <v>111</v>
      </c>
      <c r="C1" s="159" t="s">
        <v>6</v>
      </c>
      <c r="D1" s="159" t="s">
        <v>107</v>
      </c>
      <c r="E1" s="160" t="s">
        <v>108</v>
      </c>
      <c r="F1" s="160" t="s">
        <v>103</v>
      </c>
      <c r="G1" s="159" t="s">
        <v>104</v>
      </c>
      <c r="H1" s="160" t="s">
        <v>105</v>
      </c>
      <c r="I1" s="159" t="s">
        <v>106</v>
      </c>
      <c r="J1" s="161" t="s">
        <v>112</v>
      </c>
      <c r="K1" s="168" t="s">
        <v>109</v>
      </c>
      <c r="L1" s="168" t="s">
        <v>110</v>
      </c>
      <c r="M1" s="161" t="s">
        <v>38</v>
      </c>
      <c r="N1" s="161" t="s">
        <v>39</v>
      </c>
      <c r="O1" s="167" t="s">
        <v>161</v>
      </c>
      <c r="P1" s="126" t="s">
        <v>113</v>
      </c>
    </row>
    <row r="2" spans="1:37" s="133" customFormat="1" ht="15.5" x14ac:dyDescent="0.35">
      <c r="A2" s="128">
        <v>1</v>
      </c>
      <c r="B2" s="162" t="s">
        <v>120</v>
      </c>
      <c r="C2" s="8" t="s">
        <v>121</v>
      </c>
      <c r="D2" s="8">
        <v>89.028999999999996</v>
      </c>
      <c r="E2" s="169" t="s">
        <v>150</v>
      </c>
      <c r="F2" s="129">
        <v>28</v>
      </c>
      <c r="G2" s="130" t="s">
        <v>153</v>
      </c>
      <c r="H2" s="144" t="s">
        <v>155</v>
      </c>
      <c r="I2" s="130"/>
      <c r="J2" s="164">
        <v>45946</v>
      </c>
      <c r="K2" s="165">
        <f>J2+3</f>
        <v>45949</v>
      </c>
      <c r="L2" s="165">
        <v>45967</v>
      </c>
      <c r="M2" s="131">
        <f>L2+1</f>
        <v>45968</v>
      </c>
      <c r="N2" s="131">
        <f>M2+1</f>
        <v>45969</v>
      </c>
      <c r="O2" s="166">
        <v>1150500</v>
      </c>
    </row>
    <row r="3" spans="1:37" s="133" customFormat="1" ht="15.5" x14ac:dyDescent="0.35">
      <c r="A3" s="128">
        <v>2</v>
      </c>
      <c r="B3" s="163" t="s">
        <v>122</v>
      </c>
      <c r="C3" s="8" t="s">
        <v>123</v>
      </c>
      <c r="D3" s="8">
        <v>29.122</v>
      </c>
      <c r="E3" s="169" t="s">
        <v>150</v>
      </c>
      <c r="F3" s="129">
        <v>28</v>
      </c>
      <c r="G3" s="130" t="s">
        <v>153</v>
      </c>
      <c r="H3" s="144" t="s">
        <v>155</v>
      </c>
      <c r="I3" s="130"/>
      <c r="J3" s="164">
        <v>45966</v>
      </c>
      <c r="K3" s="165">
        <f>J3+1</f>
        <v>45967</v>
      </c>
      <c r="L3" s="165">
        <v>45971</v>
      </c>
      <c r="M3" s="131">
        <f t="shared" ref="M3:N21" si="0">L3+1</f>
        <v>45972</v>
      </c>
      <c r="N3" s="131">
        <f t="shared" si="0"/>
        <v>45973</v>
      </c>
      <c r="O3" s="166">
        <v>360000</v>
      </c>
      <c r="Q3" s="134"/>
      <c r="R3" s="134"/>
      <c r="T3" s="135"/>
      <c r="V3" s="134"/>
      <c r="W3" s="134"/>
      <c r="X3" s="134"/>
      <c r="Y3" s="134"/>
      <c r="Z3" s="134"/>
      <c r="AA3" s="134"/>
      <c r="AC3" s="134"/>
      <c r="AD3" s="134"/>
      <c r="AE3" s="134"/>
      <c r="AF3" s="134"/>
      <c r="AG3" s="134"/>
      <c r="AH3" s="134"/>
      <c r="AI3" s="136"/>
    </row>
    <row r="4" spans="1:37" s="133" customFormat="1" ht="15.5" x14ac:dyDescent="0.35">
      <c r="A4" s="128">
        <v>3</v>
      </c>
      <c r="B4" s="163" t="s">
        <v>124</v>
      </c>
      <c r="C4" s="8" t="s">
        <v>125</v>
      </c>
      <c r="D4" s="8">
        <v>27.963000000000001</v>
      </c>
      <c r="E4" s="169" t="s">
        <v>150</v>
      </c>
      <c r="F4" s="129">
        <v>28</v>
      </c>
      <c r="G4" s="130" t="s">
        <v>153</v>
      </c>
      <c r="H4" s="144" t="s">
        <v>155</v>
      </c>
      <c r="I4" s="130"/>
      <c r="J4" s="164">
        <v>45971</v>
      </c>
      <c r="K4" s="165">
        <f t="shared" ref="K4:K21" si="1">J4+1</f>
        <v>45972</v>
      </c>
      <c r="L4" s="165">
        <v>45975</v>
      </c>
      <c r="M4" s="131">
        <f t="shared" si="0"/>
        <v>45976</v>
      </c>
      <c r="N4" s="131">
        <f t="shared" si="0"/>
        <v>45977</v>
      </c>
      <c r="O4" s="166">
        <v>308000</v>
      </c>
      <c r="Q4" s="137"/>
      <c r="R4" s="136"/>
      <c r="T4" s="135"/>
      <c r="V4" s="134"/>
      <c r="W4" s="134"/>
      <c r="X4" s="134"/>
      <c r="Y4" s="134"/>
      <c r="Z4" s="134"/>
      <c r="AA4" s="136"/>
      <c r="AC4" s="134"/>
      <c r="AD4" s="134"/>
      <c r="AE4" s="134"/>
      <c r="AF4" s="134"/>
      <c r="AG4" s="134"/>
      <c r="AH4" s="136"/>
      <c r="AI4" s="136"/>
    </row>
    <row r="5" spans="1:37" s="133" customFormat="1" ht="15.5" x14ac:dyDescent="0.35">
      <c r="A5" s="128">
        <v>4</v>
      </c>
      <c r="B5" s="163" t="s">
        <v>126</v>
      </c>
      <c r="C5" s="8" t="s">
        <v>127</v>
      </c>
      <c r="D5" s="8">
        <v>26.846</v>
      </c>
      <c r="E5" s="169" t="s">
        <v>150</v>
      </c>
      <c r="F5" s="129">
        <v>28</v>
      </c>
      <c r="G5" s="130" t="s">
        <v>153</v>
      </c>
      <c r="H5" s="144" t="s">
        <v>155</v>
      </c>
      <c r="I5" s="130"/>
      <c r="J5" s="164">
        <v>45975</v>
      </c>
      <c r="K5" s="165">
        <f t="shared" si="1"/>
        <v>45976</v>
      </c>
      <c r="L5" s="165">
        <v>45979</v>
      </c>
      <c r="M5" s="131">
        <f t="shared" si="0"/>
        <v>45980</v>
      </c>
      <c r="N5" s="131">
        <f t="shared" si="0"/>
        <v>45981</v>
      </c>
      <c r="O5" s="166">
        <v>295000</v>
      </c>
      <c r="Q5" s="138"/>
      <c r="R5" s="138"/>
      <c r="T5" s="139"/>
      <c r="V5" s="140"/>
      <c r="W5" s="140"/>
      <c r="X5" s="140"/>
      <c r="Y5" s="140"/>
      <c r="Z5" s="140"/>
      <c r="AA5" s="140"/>
      <c r="AC5" s="141"/>
      <c r="AD5" s="141"/>
      <c r="AE5" s="141"/>
      <c r="AF5" s="141"/>
      <c r="AG5" s="141"/>
      <c r="AH5" s="142"/>
      <c r="AI5" s="143"/>
    </row>
    <row r="6" spans="1:37" s="133" customFormat="1" ht="15.5" x14ac:dyDescent="0.35">
      <c r="A6" s="128">
        <v>5</v>
      </c>
      <c r="B6" s="163" t="s">
        <v>128</v>
      </c>
      <c r="C6" s="8" t="s">
        <v>125</v>
      </c>
      <c r="D6" s="8">
        <v>27.963000000000001</v>
      </c>
      <c r="E6" s="169" t="s">
        <v>150</v>
      </c>
      <c r="F6" s="129">
        <v>28</v>
      </c>
      <c r="G6" s="130" t="s">
        <v>153</v>
      </c>
      <c r="H6" s="144" t="s">
        <v>155</v>
      </c>
      <c r="I6" s="130"/>
      <c r="J6" s="164">
        <v>45979</v>
      </c>
      <c r="K6" s="165">
        <f t="shared" si="1"/>
        <v>45980</v>
      </c>
      <c r="L6" s="165">
        <v>45984</v>
      </c>
      <c r="M6" s="131">
        <f t="shared" si="0"/>
        <v>45985</v>
      </c>
      <c r="N6" s="131">
        <f t="shared" si="0"/>
        <v>45986</v>
      </c>
      <c r="O6" s="166">
        <v>308000</v>
      </c>
      <c r="Q6" s="138"/>
      <c r="R6" s="138"/>
      <c r="T6" s="139"/>
      <c r="V6" s="140"/>
      <c r="W6" s="140"/>
      <c r="X6" s="140"/>
      <c r="Y6" s="140"/>
      <c r="Z6" s="140"/>
      <c r="AA6" s="140"/>
      <c r="AC6" s="141"/>
      <c r="AD6" s="141"/>
      <c r="AE6" s="141"/>
      <c r="AF6" s="141"/>
      <c r="AG6" s="141"/>
      <c r="AH6" s="142"/>
      <c r="AI6" s="143"/>
    </row>
    <row r="7" spans="1:37" s="133" customFormat="1" ht="15.5" x14ac:dyDescent="0.35">
      <c r="A7" s="128">
        <v>6</v>
      </c>
      <c r="B7" s="163" t="s">
        <v>81</v>
      </c>
      <c r="C7" s="8" t="s">
        <v>129</v>
      </c>
      <c r="D7" s="8">
        <v>73.176000000000002</v>
      </c>
      <c r="E7" s="169" t="s">
        <v>150</v>
      </c>
      <c r="F7" s="129">
        <v>28</v>
      </c>
      <c r="G7" s="130" t="s">
        <v>153</v>
      </c>
      <c r="H7" s="144" t="s">
        <v>155</v>
      </c>
      <c r="I7" s="130"/>
      <c r="J7" s="164">
        <v>45984</v>
      </c>
      <c r="K7" s="165">
        <f t="shared" si="1"/>
        <v>45985</v>
      </c>
      <c r="L7" s="165">
        <v>45991</v>
      </c>
      <c r="M7" s="131">
        <f t="shared" si="0"/>
        <v>45992</v>
      </c>
      <c r="N7" s="131">
        <f t="shared" si="0"/>
        <v>45993</v>
      </c>
      <c r="O7" s="166">
        <v>809000</v>
      </c>
      <c r="Q7" s="138"/>
      <c r="R7" s="138"/>
      <c r="T7" s="139"/>
      <c r="V7" s="140"/>
      <c r="W7" s="140"/>
      <c r="X7" s="140"/>
      <c r="Y7" s="140"/>
      <c r="Z7" s="140"/>
      <c r="AA7" s="140"/>
      <c r="AC7" s="141"/>
      <c r="AD7" s="141"/>
      <c r="AE7" s="141"/>
      <c r="AF7" s="141"/>
      <c r="AG7" s="141"/>
      <c r="AH7" s="142"/>
      <c r="AI7" s="143"/>
    </row>
    <row r="8" spans="1:37" s="133" customFormat="1" ht="15.5" x14ac:dyDescent="0.35">
      <c r="A8" s="128">
        <v>7</v>
      </c>
      <c r="B8" s="163" t="s">
        <v>130</v>
      </c>
      <c r="C8" s="8" t="s">
        <v>127</v>
      </c>
      <c r="D8" s="8">
        <v>26.846</v>
      </c>
      <c r="E8" s="169" t="s">
        <v>151</v>
      </c>
      <c r="F8" s="129">
        <v>25</v>
      </c>
      <c r="G8" s="130" t="s">
        <v>153</v>
      </c>
      <c r="H8" s="129" t="s">
        <v>154</v>
      </c>
      <c r="I8" s="130"/>
      <c r="J8" s="164">
        <v>45959</v>
      </c>
      <c r="K8" s="165">
        <f t="shared" si="1"/>
        <v>45960</v>
      </c>
      <c r="L8" s="165">
        <v>45966</v>
      </c>
      <c r="M8" s="131">
        <f t="shared" si="0"/>
        <v>45967</v>
      </c>
      <c r="N8" s="131">
        <f t="shared" si="0"/>
        <v>45968</v>
      </c>
      <c r="O8" s="166">
        <v>295000</v>
      </c>
      <c r="Q8" s="138"/>
      <c r="R8" s="138"/>
      <c r="T8" s="139"/>
      <c r="V8" s="140"/>
      <c r="W8" s="140"/>
      <c r="X8" s="140"/>
      <c r="Y8" s="140"/>
      <c r="Z8" s="140"/>
      <c r="AA8" s="140"/>
      <c r="AC8" s="141"/>
      <c r="AD8" s="141"/>
      <c r="AE8" s="141"/>
      <c r="AF8" s="141"/>
      <c r="AG8" s="141"/>
      <c r="AH8" s="142"/>
      <c r="AI8" s="143"/>
    </row>
    <row r="9" spans="1:37" s="133" customFormat="1" ht="15.5" x14ac:dyDescent="0.35">
      <c r="A9" s="128">
        <v>8</v>
      </c>
      <c r="B9" s="163" t="s">
        <v>131</v>
      </c>
      <c r="C9" s="8" t="s">
        <v>125</v>
      </c>
      <c r="D9" s="8">
        <v>27.963000000000001</v>
      </c>
      <c r="E9" s="169" t="s">
        <v>151</v>
      </c>
      <c r="F9" s="129">
        <v>25</v>
      </c>
      <c r="G9" s="130" t="s">
        <v>153</v>
      </c>
      <c r="H9" s="129" t="s">
        <v>154</v>
      </c>
      <c r="I9" s="130"/>
      <c r="J9" s="164">
        <v>45966</v>
      </c>
      <c r="K9" s="165">
        <f t="shared" si="1"/>
        <v>45967</v>
      </c>
      <c r="L9" s="165">
        <v>45971</v>
      </c>
      <c r="M9" s="131">
        <f t="shared" si="0"/>
        <v>45972</v>
      </c>
      <c r="N9" s="131">
        <f t="shared" si="0"/>
        <v>45973</v>
      </c>
      <c r="O9" s="166">
        <v>308000</v>
      </c>
      <c r="Q9" s="138"/>
      <c r="R9" s="138"/>
      <c r="T9" s="139"/>
      <c r="V9" s="140"/>
      <c r="W9" s="140"/>
      <c r="X9" s="140"/>
      <c r="Y9" s="140"/>
      <c r="Z9" s="140"/>
      <c r="AA9" s="140"/>
      <c r="AC9" s="141"/>
      <c r="AD9" s="141"/>
      <c r="AE9" s="141"/>
      <c r="AF9" s="141"/>
      <c r="AG9" s="141"/>
      <c r="AH9" s="142"/>
      <c r="AI9" s="143"/>
    </row>
    <row r="10" spans="1:37" s="133" customFormat="1" ht="15.5" x14ac:dyDescent="0.35">
      <c r="A10" s="128">
        <v>9</v>
      </c>
      <c r="B10" s="163" t="s">
        <v>132</v>
      </c>
      <c r="C10" s="8" t="s">
        <v>133</v>
      </c>
      <c r="D10" s="8">
        <v>27.600999999999999</v>
      </c>
      <c r="E10" s="169" t="s">
        <v>151</v>
      </c>
      <c r="F10" s="129">
        <v>25</v>
      </c>
      <c r="G10" s="130" t="s">
        <v>153</v>
      </c>
      <c r="H10" s="129" t="s">
        <v>154</v>
      </c>
      <c r="I10" s="130"/>
      <c r="J10" s="164">
        <v>45972</v>
      </c>
      <c r="K10" s="165">
        <f t="shared" si="1"/>
        <v>45973</v>
      </c>
      <c r="L10" s="165">
        <v>45977</v>
      </c>
      <c r="M10" s="131">
        <f t="shared" si="0"/>
        <v>45978</v>
      </c>
      <c r="N10" s="131">
        <f t="shared" si="0"/>
        <v>45979</v>
      </c>
      <c r="O10" s="166">
        <v>304000</v>
      </c>
      <c r="Q10" s="138"/>
      <c r="R10" s="138"/>
      <c r="T10" s="139"/>
      <c r="V10" s="140"/>
      <c r="W10" s="140"/>
      <c r="X10" s="140"/>
      <c r="Y10" s="140"/>
      <c r="Z10" s="140"/>
      <c r="AA10" s="140"/>
      <c r="AC10" s="141"/>
      <c r="AD10" s="141"/>
      <c r="AE10" s="141"/>
      <c r="AF10" s="141"/>
      <c r="AG10" s="141"/>
      <c r="AH10" s="142"/>
      <c r="AI10" s="143"/>
      <c r="AK10" s="132"/>
    </row>
    <row r="11" spans="1:37" s="133" customFormat="1" ht="15.5" x14ac:dyDescent="0.35">
      <c r="A11" s="128">
        <v>10</v>
      </c>
      <c r="B11" s="163" t="s">
        <v>134</v>
      </c>
      <c r="C11" s="8" t="s">
        <v>127</v>
      </c>
      <c r="D11" s="8">
        <v>26.846</v>
      </c>
      <c r="E11" s="169" t="s">
        <v>151</v>
      </c>
      <c r="F11" s="129">
        <v>25</v>
      </c>
      <c r="G11" s="130" t="s">
        <v>153</v>
      </c>
      <c r="H11" s="129" t="s">
        <v>154</v>
      </c>
      <c r="I11" s="130"/>
      <c r="J11" s="164">
        <v>45977</v>
      </c>
      <c r="K11" s="165">
        <f t="shared" si="1"/>
        <v>45978</v>
      </c>
      <c r="L11" s="165">
        <v>45982</v>
      </c>
      <c r="M11" s="131">
        <f t="shared" si="0"/>
        <v>45983</v>
      </c>
      <c r="N11" s="131">
        <f t="shared" si="0"/>
        <v>45984</v>
      </c>
      <c r="O11" s="166">
        <v>295000</v>
      </c>
      <c r="Q11" s="138"/>
      <c r="R11" s="138"/>
      <c r="T11" s="139"/>
      <c r="V11" s="140"/>
      <c r="W11" s="140"/>
      <c r="X11" s="140"/>
      <c r="Y11" s="140"/>
      <c r="Z11" s="140"/>
      <c r="AA11" s="140"/>
      <c r="AC11" s="141"/>
      <c r="AD11" s="141"/>
      <c r="AE11" s="141"/>
      <c r="AF11" s="141"/>
      <c r="AG11" s="141"/>
      <c r="AH11" s="142"/>
      <c r="AI11" s="143"/>
    </row>
    <row r="12" spans="1:37" s="133" customFormat="1" ht="15.5" x14ac:dyDescent="0.35">
      <c r="A12" s="128">
        <v>11</v>
      </c>
      <c r="B12" s="163" t="s">
        <v>135</v>
      </c>
      <c r="C12" s="8" t="s">
        <v>136</v>
      </c>
      <c r="D12" s="8">
        <v>45.136000000000003</v>
      </c>
      <c r="E12" s="169" t="s">
        <v>151</v>
      </c>
      <c r="F12" s="129">
        <v>25</v>
      </c>
      <c r="G12" s="130" t="s">
        <v>153</v>
      </c>
      <c r="H12" s="129" t="s">
        <v>154</v>
      </c>
      <c r="I12" s="130"/>
      <c r="J12" s="164">
        <v>45983</v>
      </c>
      <c r="K12" s="165">
        <f t="shared" si="1"/>
        <v>45984</v>
      </c>
      <c r="L12" s="165">
        <v>45990</v>
      </c>
      <c r="M12" s="131">
        <f t="shared" si="0"/>
        <v>45991</v>
      </c>
      <c r="N12" s="131">
        <f t="shared" si="0"/>
        <v>45992</v>
      </c>
      <c r="O12" s="166">
        <v>488000</v>
      </c>
      <c r="Q12" s="138"/>
      <c r="R12" s="138"/>
      <c r="T12" s="139"/>
      <c r="V12" s="140"/>
      <c r="W12" s="140"/>
      <c r="X12" s="140"/>
      <c r="Y12" s="140"/>
      <c r="Z12" s="140"/>
      <c r="AA12" s="140"/>
      <c r="AC12" s="141"/>
      <c r="AD12" s="141"/>
      <c r="AE12" s="141"/>
      <c r="AF12" s="141"/>
      <c r="AG12" s="141"/>
      <c r="AH12" s="142"/>
      <c r="AI12" s="143"/>
    </row>
    <row r="13" spans="1:37" s="133" customFormat="1" ht="15.5" x14ac:dyDescent="0.35">
      <c r="A13" s="128">
        <v>12</v>
      </c>
      <c r="B13" s="163" t="s">
        <v>137</v>
      </c>
      <c r="C13" s="8" t="s">
        <v>121</v>
      </c>
      <c r="D13" s="8">
        <v>89.028999999999996</v>
      </c>
      <c r="E13" s="169" t="s">
        <v>152</v>
      </c>
      <c r="F13" s="129">
        <v>24</v>
      </c>
      <c r="G13" s="130" t="s">
        <v>153</v>
      </c>
      <c r="H13" s="129" t="s">
        <v>156</v>
      </c>
      <c r="I13" s="130"/>
      <c r="J13" s="164">
        <v>45946</v>
      </c>
      <c r="K13" s="165">
        <f>J13+3</f>
        <v>45949</v>
      </c>
      <c r="L13" s="165">
        <v>45968</v>
      </c>
      <c r="M13" s="131">
        <f t="shared" si="0"/>
        <v>45969</v>
      </c>
      <c r="N13" s="131">
        <f t="shared" si="0"/>
        <v>45970</v>
      </c>
      <c r="O13" s="166">
        <v>1151000</v>
      </c>
      <c r="Q13" s="138"/>
      <c r="R13" s="138"/>
      <c r="T13" s="139"/>
      <c r="V13" s="140"/>
      <c r="W13" s="140"/>
      <c r="X13" s="140"/>
      <c r="Y13" s="140"/>
      <c r="Z13" s="140"/>
      <c r="AA13" s="140"/>
      <c r="AC13" s="141"/>
      <c r="AD13" s="141"/>
      <c r="AE13" s="141"/>
      <c r="AF13" s="141"/>
      <c r="AG13" s="141"/>
      <c r="AH13" s="142"/>
      <c r="AI13" s="143"/>
    </row>
    <row r="14" spans="1:37" s="133" customFormat="1" ht="15.5" x14ac:dyDescent="0.35">
      <c r="A14" s="128">
        <v>13</v>
      </c>
      <c r="B14" s="163" t="s">
        <v>138</v>
      </c>
      <c r="C14" s="8" t="s">
        <v>139</v>
      </c>
      <c r="D14" s="8">
        <v>51.673000000000002</v>
      </c>
      <c r="E14" s="169" t="s">
        <v>152</v>
      </c>
      <c r="F14" s="129">
        <v>24</v>
      </c>
      <c r="G14" s="130" t="s">
        <v>153</v>
      </c>
      <c r="H14" s="129" t="s">
        <v>156</v>
      </c>
      <c r="I14" s="130"/>
      <c r="J14" s="164">
        <v>45968</v>
      </c>
      <c r="K14" s="165">
        <f t="shared" si="1"/>
        <v>45969</v>
      </c>
      <c r="L14" s="165">
        <v>45975</v>
      </c>
      <c r="M14" s="131">
        <f t="shared" si="0"/>
        <v>45976</v>
      </c>
      <c r="N14" s="131">
        <f t="shared" si="0"/>
        <v>45977</v>
      </c>
      <c r="O14" s="166">
        <v>562000</v>
      </c>
      <c r="Q14" s="138"/>
      <c r="R14" s="138"/>
      <c r="T14" s="139"/>
      <c r="V14" s="140"/>
      <c r="W14" s="140"/>
      <c r="X14" s="140"/>
      <c r="Y14" s="140"/>
      <c r="Z14" s="140"/>
      <c r="AA14" s="140"/>
      <c r="AC14" s="141"/>
      <c r="AD14" s="141"/>
      <c r="AE14" s="141"/>
      <c r="AF14" s="141"/>
      <c r="AG14" s="141"/>
      <c r="AH14" s="142"/>
      <c r="AI14" s="143"/>
    </row>
    <row r="15" spans="1:37" s="133" customFormat="1" ht="15.5" x14ac:dyDescent="0.35">
      <c r="A15" s="128">
        <v>14</v>
      </c>
      <c r="B15" s="163" t="s">
        <v>140</v>
      </c>
      <c r="C15" s="8" t="s">
        <v>123</v>
      </c>
      <c r="D15" s="8">
        <v>29.122</v>
      </c>
      <c r="E15" s="169" t="s">
        <v>152</v>
      </c>
      <c r="F15" s="129">
        <v>24</v>
      </c>
      <c r="G15" s="130" t="s">
        <v>153</v>
      </c>
      <c r="H15" s="129" t="s">
        <v>156</v>
      </c>
      <c r="I15" s="130"/>
      <c r="J15" s="164">
        <v>45975</v>
      </c>
      <c r="K15" s="165">
        <f t="shared" si="1"/>
        <v>45976</v>
      </c>
      <c r="L15" s="165">
        <v>45980</v>
      </c>
      <c r="M15" s="131">
        <f t="shared" si="0"/>
        <v>45981</v>
      </c>
      <c r="N15" s="131">
        <f t="shared" si="0"/>
        <v>45982</v>
      </c>
      <c r="O15" s="166">
        <v>360000</v>
      </c>
      <c r="Q15" s="138"/>
      <c r="R15" s="138"/>
      <c r="T15" s="139"/>
      <c r="V15" s="140"/>
      <c r="W15" s="140"/>
      <c r="X15" s="140"/>
      <c r="Y15" s="140"/>
      <c r="Z15" s="140"/>
      <c r="AA15" s="140"/>
      <c r="AC15" s="141"/>
      <c r="AD15" s="141"/>
      <c r="AE15" s="141"/>
      <c r="AF15" s="141"/>
      <c r="AG15" s="141"/>
      <c r="AH15" s="142"/>
      <c r="AI15" s="143"/>
    </row>
    <row r="16" spans="1:37" s="133" customFormat="1" ht="15.5" x14ac:dyDescent="0.35">
      <c r="A16" s="128">
        <v>15</v>
      </c>
      <c r="B16" s="163" t="s">
        <v>141</v>
      </c>
      <c r="C16" s="8" t="s">
        <v>127</v>
      </c>
      <c r="D16" s="8">
        <v>26.846</v>
      </c>
      <c r="E16" s="169" t="s">
        <v>152</v>
      </c>
      <c r="F16" s="129">
        <v>24</v>
      </c>
      <c r="G16" s="130" t="s">
        <v>153</v>
      </c>
      <c r="H16" s="129" t="s">
        <v>156</v>
      </c>
      <c r="I16" s="130"/>
      <c r="J16" s="164">
        <v>45980</v>
      </c>
      <c r="K16" s="165">
        <f t="shared" si="1"/>
        <v>45981</v>
      </c>
      <c r="L16" s="165">
        <v>45985</v>
      </c>
      <c r="M16" s="131">
        <f t="shared" si="0"/>
        <v>45986</v>
      </c>
      <c r="N16" s="131">
        <f t="shared" si="0"/>
        <v>45987</v>
      </c>
      <c r="O16" s="166">
        <v>295000</v>
      </c>
      <c r="Q16" s="138"/>
      <c r="R16" s="138"/>
      <c r="T16" s="139"/>
      <c r="V16" s="140"/>
      <c r="W16" s="140"/>
      <c r="X16" s="140"/>
      <c r="Y16" s="140"/>
      <c r="Z16" s="140"/>
      <c r="AA16" s="140"/>
      <c r="AC16" s="141"/>
      <c r="AD16" s="141"/>
      <c r="AE16" s="141"/>
      <c r="AF16" s="141"/>
      <c r="AG16" s="141"/>
      <c r="AH16" s="142"/>
      <c r="AI16" s="143"/>
    </row>
    <row r="17" spans="1:35" s="133" customFormat="1" ht="15.5" x14ac:dyDescent="0.35">
      <c r="A17" s="128">
        <v>16</v>
      </c>
      <c r="B17" s="162" t="s">
        <v>142</v>
      </c>
      <c r="C17" s="8" t="s">
        <v>127</v>
      </c>
      <c r="D17" s="8">
        <v>26.846</v>
      </c>
      <c r="E17" s="169" t="s">
        <v>152</v>
      </c>
      <c r="F17" s="129">
        <v>24</v>
      </c>
      <c r="G17" s="130" t="s">
        <v>153</v>
      </c>
      <c r="H17" s="129" t="s">
        <v>156</v>
      </c>
      <c r="I17" s="130"/>
      <c r="J17" s="164">
        <v>45985</v>
      </c>
      <c r="K17" s="165">
        <f t="shared" si="1"/>
        <v>45986</v>
      </c>
      <c r="L17" s="165">
        <v>45990</v>
      </c>
      <c r="M17" s="131">
        <f t="shared" si="0"/>
        <v>45991</v>
      </c>
      <c r="N17" s="131">
        <f t="shared" si="0"/>
        <v>45992</v>
      </c>
      <c r="O17" s="166">
        <v>295000</v>
      </c>
      <c r="Q17" s="138"/>
      <c r="R17" s="138"/>
      <c r="T17" s="139"/>
      <c r="V17" s="140"/>
      <c r="W17" s="140"/>
      <c r="X17" s="140"/>
      <c r="Y17" s="140"/>
      <c r="Z17" s="140"/>
      <c r="AA17" s="140"/>
      <c r="AC17" s="141"/>
      <c r="AD17" s="141"/>
      <c r="AE17" s="141"/>
      <c r="AF17" s="141"/>
      <c r="AG17" s="141"/>
      <c r="AH17" s="142"/>
      <c r="AI17" s="143"/>
    </row>
    <row r="18" spans="1:35" s="133" customFormat="1" ht="15.5" x14ac:dyDescent="0.35">
      <c r="A18" s="128">
        <v>17</v>
      </c>
      <c r="B18" s="162" t="s">
        <v>143</v>
      </c>
      <c r="C18" s="8" t="s">
        <v>127</v>
      </c>
      <c r="D18" s="8">
        <v>26.846</v>
      </c>
      <c r="E18" s="169" t="s">
        <v>144</v>
      </c>
      <c r="F18" s="129">
        <v>25</v>
      </c>
      <c r="G18" s="130" t="s">
        <v>153</v>
      </c>
      <c r="H18" s="129" t="s">
        <v>157</v>
      </c>
      <c r="I18" s="130"/>
      <c r="J18" s="164">
        <v>45969</v>
      </c>
      <c r="K18" s="165">
        <f t="shared" si="1"/>
        <v>45970</v>
      </c>
      <c r="L18" s="165">
        <v>45974</v>
      </c>
      <c r="M18" s="131">
        <f t="shared" si="0"/>
        <v>45975</v>
      </c>
      <c r="N18" s="131">
        <f t="shared" si="0"/>
        <v>45976</v>
      </c>
      <c r="O18" s="166">
        <v>295000</v>
      </c>
      <c r="Q18" s="138"/>
      <c r="R18" s="138"/>
      <c r="T18" s="139"/>
      <c r="V18" s="140"/>
      <c r="W18" s="140"/>
      <c r="X18" s="140"/>
      <c r="Y18" s="140"/>
      <c r="Z18" s="140"/>
      <c r="AA18" s="140"/>
      <c r="AC18" s="141"/>
      <c r="AD18" s="141"/>
      <c r="AE18" s="141"/>
      <c r="AF18" s="141"/>
      <c r="AG18" s="141"/>
      <c r="AH18" s="142"/>
      <c r="AI18" s="143"/>
    </row>
    <row r="19" spans="1:35" s="133" customFormat="1" ht="15.5" x14ac:dyDescent="0.35">
      <c r="A19" s="128">
        <v>18</v>
      </c>
      <c r="B19" s="162" t="s">
        <v>145</v>
      </c>
      <c r="C19" s="8" t="s">
        <v>146</v>
      </c>
      <c r="D19" s="8">
        <v>33.304000000000002</v>
      </c>
      <c r="E19" s="169" t="s">
        <v>144</v>
      </c>
      <c r="F19" s="129">
        <v>25</v>
      </c>
      <c r="G19" s="130" t="s">
        <v>153</v>
      </c>
      <c r="H19" s="129" t="s">
        <v>157</v>
      </c>
      <c r="I19" s="130"/>
      <c r="J19" s="113">
        <v>45974</v>
      </c>
      <c r="K19" s="165">
        <f t="shared" si="1"/>
        <v>45975</v>
      </c>
      <c r="L19" s="165">
        <v>45979</v>
      </c>
      <c r="M19" s="131">
        <f t="shared" si="0"/>
        <v>45980</v>
      </c>
      <c r="N19" s="131">
        <f t="shared" si="0"/>
        <v>45981</v>
      </c>
      <c r="O19" s="166">
        <v>374000</v>
      </c>
      <c r="Q19" s="138"/>
      <c r="R19" s="138"/>
      <c r="T19" s="139"/>
      <c r="V19" s="140"/>
      <c r="W19" s="140"/>
      <c r="X19" s="140"/>
      <c r="Y19" s="140"/>
      <c r="Z19" s="140"/>
      <c r="AA19" s="140"/>
      <c r="AC19" s="141"/>
      <c r="AD19" s="141"/>
      <c r="AE19" s="141"/>
      <c r="AF19" s="141"/>
      <c r="AG19" s="141"/>
      <c r="AH19" s="142"/>
      <c r="AI19" s="143"/>
    </row>
    <row r="20" spans="1:35" s="133" customFormat="1" ht="15.5" x14ac:dyDescent="0.35">
      <c r="A20" s="128">
        <v>19</v>
      </c>
      <c r="B20" s="162" t="s">
        <v>147</v>
      </c>
      <c r="C20" s="8" t="s">
        <v>127</v>
      </c>
      <c r="D20" s="8">
        <v>26.846</v>
      </c>
      <c r="E20" s="169" t="s">
        <v>144</v>
      </c>
      <c r="F20" s="129">
        <v>25</v>
      </c>
      <c r="G20" s="130" t="s">
        <v>153</v>
      </c>
      <c r="H20" s="129" t="s">
        <v>157</v>
      </c>
      <c r="I20" s="130"/>
      <c r="J20" s="113">
        <v>45979</v>
      </c>
      <c r="K20" s="165">
        <f t="shared" si="1"/>
        <v>45980</v>
      </c>
      <c r="L20" s="165">
        <v>45984</v>
      </c>
      <c r="M20" s="131">
        <f t="shared" si="0"/>
        <v>45985</v>
      </c>
      <c r="N20" s="131">
        <f t="shared" si="0"/>
        <v>45986</v>
      </c>
      <c r="O20" s="166">
        <v>295000</v>
      </c>
      <c r="Q20" s="138"/>
      <c r="R20" s="138"/>
      <c r="V20" s="140"/>
      <c r="W20" s="140"/>
      <c r="X20" s="140"/>
      <c r="Y20" s="140"/>
      <c r="Z20" s="140"/>
      <c r="AA20" s="140"/>
      <c r="AC20" s="141"/>
      <c r="AD20" s="141"/>
      <c r="AE20" s="141"/>
      <c r="AF20" s="141"/>
      <c r="AG20" s="141"/>
      <c r="AH20" s="142"/>
      <c r="AI20" s="143"/>
    </row>
    <row r="21" spans="1:35" s="133" customFormat="1" ht="15.5" x14ac:dyDescent="0.35">
      <c r="A21" s="128">
        <v>20</v>
      </c>
      <c r="B21" s="162" t="s">
        <v>148</v>
      </c>
      <c r="C21" s="8" t="s">
        <v>149</v>
      </c>
      <c r="D21" s="8">
        <v>52.140999999999998</v>
      </c>
      <c r="E21" s="169" t="s">
        <v>144</v>
      </c>
      <c r="F21" s="129">
        <v>25</v>
      </c>
      <c r="G21" s="130" t="s">
        <v>153</v>
      </c>
      <c r="H21" s="129" t="s">
        <v>157</v>
      </c>
      <c r="I21" s="130"/>
      <c r="J21" s="113">
        <v>45984</v>
      </c>
      <c r="K21" s="165">
        <f t="shared" si="1"/>
        <v>45985</v>
      </c>
      <c r="L21" s="165">
        <v>45991</v>
      </c>
      <c r="M21" s="131">
        <f t="shared" si="0"/>
        <v>45992</v>
      </c>
      <c r="N21" s="131">
        <f t="shared" si="0"/>
        <v>45993</v>
      </c>
      <c r="O21" s="166">
        <v>594000</v>
      </c>
      <c r="Q21" s="138"/>
      <c r="R21" s="138"/>
      <c r="T21" s="139"/>
      <c r="V21" s="140"/>
      <c r="W21" s="140"/>
      <c r="X21" s="140"/>
      <c r="Y21" s="140"/>
      <c r="Z21" s="140"/>
      <c r="AA21" s="140"/>
      <c r="AC21" s="141"/>
      <c r="AD21" s="141"/>
      <c r="AE21" s="141"/>
      <c r="AF21" s="141"/>
      <c r="AG21" s="141"/>
      <c r="AH21" s="142"/>
      <c r="AI21" s="143"/>
    </row>
  </sheetData>
  <phoneticPr fontId="8" type="noConversion"/>
  <conditionalFormatting sqref="B2:B6">
    <cfRule type="duplicateValues" dxfId="29" priority="20"/>
  </conditionalFormatting>
  <conditionalFormatting sqref="B2:B11">
    <cfRule type="duplicateValues" dxfId="28" priority="21"/>
  </conditionalFormatting>
  <conditionalFormatting sqref="B2:B21">
    <cfRule type="duplicateValues" dxfId="27" priority="23"/>
  </conditionalFormatting>
  <conditionalFormatting sqref="B3:B11">
    <cfRule type="duplicateValues" dxfId="26" priority="22"/>
  </conditionalFormatting>
  <conditionalFormatting sqref="B15">
    <cfRule type="duplicateValues" dxfId="25" priority="16"/>
    <cfRule type="duplicateValues" dxfId="24" priority="17"/>
  </conditionalFormatting>
  <conditionalFormatting sqref="B16">
    <cfRule type="duplicateValues" dxfId="23" priority="18"/>
    <cfRule type="duplicateValues" dxfId="22" priority="19"/>
  </conditionalFormatting>
  <conditionalFormatting sqref="K2:K21">
    <cfRule type="containsText" dxfId="21" priority="14" operator="containsText" text="Complete">
      <formula>NOT(ISERROR(SEARCH("Complete",K2)))</formula>
    </cfRule>
    <cfRule type="containsText" dxfId="20" priority="15" operator="containsText" text="ROW">
      <formula>NOT(ISERROR(SEARCH("ROW",K2)))</formula>
    </cfRule>
  </conditionalFormatting>
  <conditionalFormatting sqref="K2:L21">
    <cfRule type="containsText" dxfId="19" priority="9" operator="containsText" text="WIP">
      <formula>NOT(ISERROR(SEARCH("WIP",K2)))</formula>
    </cfRule>
  </conditionalFormatting>
  <conditionalFormatting sqref="K4:L5">
    <cfRule type="containsText" dxfId="18" priority="7" operator="containsText" text="Complete">
      <formula>NOT(ISERROR(SEARCH("Complete",K4)))</formula>
    </cfRule>
    <cfRule type="containsText" dxfId="17" priority="8" operator="containsText" text="ROW">
      <formula>NOT(ISERROR(SEARCH("ROW",K4)))</formula>
    </cfRule>
  </conditionalFormatting>
  <conditionalFormatting sqref="K9:L10">
    <cfRule type="containsText" dxfId="16" priority="5" operator="containsText" text="Complete">
      <formula>NOT(ISERROR(SEARCH("Complete",K9)))</formula>
    </cfRule>
    <cfRule type="containsText" dxfId="15" priority="6" operator="containsText" text="ROW">
      <formula>NOT(ISERROR(SEARCH("ROW",K9)))</formula>
    </cfRule>
  </conditionalFormatting>
  <conditionalFormatting sqref="K14:L15">
    <cfRule type="containsText" dxfId="14" priority="1" operator="containsText" text="Complete">
      <formula>NOT(ISERROR(SEARCH("Complete",K14)))</formula>
    </cfRule>
    <cfRule type="containsText" dxfId="13" priority="2" operator="containsText" text="ROW">
      <formula>NOT(ISERROR(SEARCH("ROW",K14)))</formula>
    </cfRule>
  </conditionalFormatting>
  <conditionalFormatting sqref="K19:L20">
    <cfRule type="containsText" dxfId="12" priority="3" operator="containsText" text="Complete">
      <formula>NOT(ISERROR(SEARCH("Complete",K19)))</formula>
    </cfRule>
    <cfRule type="containsText" dxfId="11" priority="4" operator="containsText" text="ROW">
      <formula>NOT(ISERROR(SEARCH("ROW",K19)))</formula>
    </cfRule>
  </conditionalFormatting>
  <conditionalFormatting sqref="K2:N21">
    <cfRule type="containsText" dxfId="10" priority="10" operator="containsText" text="Complete">
      <formula>NOT(ISERROR(SEARCH("Complete",K2)))</formula>
    </cfRule>
    <cfRule type="containsText" dxfId="9" priority="11" operator="containsText" text="ROW">
      <formula>NOT(ISERROR(SEARCH("ROW",K2)))</formula>
    </cfRule>
  </conditionalFormatting>
  <conditionalFormatting sqref="M2:N21">
    <cfRule type="containsText" dxfId="8" priority="99" operator="containsText" text="Complete">
      <formula>NOT(ISERROR(SEARCH("Complete",M2)))</formula>
    </cfRule>
    <cfRule type="containsText" dxfId="7" priority="100" operator="containsText" text="ROW">
      <formula>NOT(ISERROR(SEARCH("ROW",M2)))</formula>
    </cfRule>
    <cfRule type="containsText" dxfId="6" priority="189" operator="containsText" text="WIP">
      <formula>NOT(ISERROR(SEARCH("WIP",M2)))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13"/>
  <sheetViews>
    <sheetView tabSelected="1" topLeftCell="A5" workbookViewId="0">
      <selection activeCell="A9" sqref="A9"/>
    </sheetView>
  </sheetViews>
  <sheetFormatPr defaultRowHeight="14.5" x14ac:dyDescent="0.35"/>
  <cols>
    <col min="1" max="1" width="1.36328125" customWidth="1"/>
    <col min="3" max="3" width="20.90625" customWidth="1"/>
    <col min="4" max="4" width="13.453125" customWidth="1"/>
    <col min="5" max="5" width="14.54296875" customWidth="1"/>
    <col min="6" max="6" width="11.08984375" customWidth="1"/>
    <col min="7" max="7" width="13.453125" customWidth="1"/>
    <col min="8" max="8" width="12.54296875" customWidth="1"/>
    <col min="9" max="9" width="15.08984375" customWidth="1"/>
    <col min="10" max="10" width="11.08984375" customWidth="1"/>
    <col min="11" max="11" width="16" customWidth="1"/>
  </cols>
  <sheetData>
    <row r="1" spans="2:16" x14ac:dyDescent="0.35">
      <c r="B1" s="200" t="s">
        <v>158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</row>
    <row r="2" spans="2:16" x14ac:dyDescent="0.35">
      <c r="B2" s="201" t="s">
        <v>159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2:16" x14ac:dyDescent="0.35">
      <c r="B3" s="202" t="s">
        <v>114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</row>
    <row r="4" spans="2:16" ht="15" thickBot="1" x14ac:dyDescent="0.4">
      <c r="B4" s="203" t="s">
        <v>115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</row>
    <row r="5" spans="2:16" ht="16" thickBot="1" x14ac:dyDescent="0.4">
      <c r="B5" s="156" t="s">
        <v>119</v>
      </c>
      <c r="C5" s="157"/>
      <c r="D5" s="157"/>
      <c r="E5" s="157"/>
      <c r="F5" s="157"/>
      <c r="G5" s="157"/>
      <c r="H5" s="157"/>
      <c r="I5" s="157"/>
      <c r="J5" s="157"/>
      <c r="K5" s="158"/>
    </row>
    <row r="6" spans="2:16" ht="43.5" x14ac:dyDescent="0.35">
      <c r="B6" s="208" t="s">
        <v>162</v>
      </c>
      <c r="C6" s="208" t="s">
        <v>163</v>
      </c>
      <c r="D6" s="208" t="s">
        <v>164</v>
      </c>
      <c r="E6" s="208" t="s">
        <v>165</v>
      </c>
      <c r="F6" s="208" t="s">
        <v>166</v>
      </c>
      <c r="G6" s="208" t="s">
        <v>167</v>
      </c>
      <c r="H6" s="208" t="s">
        <v>116</v>
      </c>
      <c r="I6" s="208" t="s">
        <v>117</v>
      </c>
      <c r="J6" s="208" t="s">
        <v>118</v>
      </c>
      <c r="K6" s="208" t="s">
        <v>168</v>
      </c>
      <c r="L6" s="208" t="s">
        <v>169</v>
      </c>
      <c r="M6" s="208" t="s">
        <v>108</v>
      </c>
      <c r="N6" s="208" t="s">
        <v>170</v>
      </c>
      <c r="O6" s="208" t="s">
        <v>105</v>
      </c>
      <c r="P6" s="208" t="s">
        <v>104</v>
      </c>
    </row>
    <row r="7" spans="2:16" ht="29" x14ac:dyDescent="0.35">
      <c r="B7" s="209">
        <v>1</v>
      </c>
      <c r="C7" s="209" t="s">
        <v>171</v>
      </c>
      <c r="D7" s="209" t="s">
        <v>172</v>
      </c>
      <c r="E7" s="209">
        <v>0.48</v>
      </c>
      <c r="F7" s="209" t="s">
        <v>173</v>
      </c>
      <c r="G7" s="209">
        <v>0</v>
      </c>
      <c r="H7" s="210">
        <v>45960</v>
      </c>
      <c r="I7" s="210">
        <v>45962</v>
      </c>
      <c r="J7" s="210">
        <v>45964</v>
      </c>
      <c r="K7" s="210">
        <v>45966</v>
      </c>
      <c r="L7" s="209" t="s">
        <v>178</v>
      </c>
      <c r="M7" s="209" t="s">
        <v>160</v>
      </c>
      <c r="N7" s="209"/>
      <c r="O7" s="209" t="s">
        <v>180</v>
      </c>
      <c r="P7" s="209" t="s">
        <v>181</v>
      </c>
    </row>
    <row r="8" spans="2:16" ht="29" x14ac:dyDescent="0.35">
      <c r="B8" s="209">
        <v>2</v>
      </c>
      <c r="C8" s="209" t="s">
        <v>174</v>
      </c>
      <c r="D8" s="209" t="s">
        <v>171</v>
      </c>
      <c r="E8" s="209">
        <v>4.4800000000000004</v>
      </c>
      <c r="F8" s="209" t="s">
        <v>173</v>
      </c>
      <c r="G8" s="209">
        <v>11</v>
      </c>
      <c r="H8" s="210">
        <v>45977</v>
      </c>
      <c r="I8" s="210">
        <v>45966</v>
      </c>
      <c r="J8" s="210">
        <v>45974</v>
      </c>
      <c r="K8" s="210">
        <v>45976</v>
      </c>
      <c r="L8" s="209" t="s">
        <v>178</v>
      </c>
      <c r="M8" s="209" t="s">
        <v>160</v>
      </c>
      <c r="N8" s="209"/>
      <c r="O8" s="209" t="s">
        <v>180</v>
      </c>
      <c r="P8" s="209" t="s">
        <v>181</v>
      </c>
    </row>
    <row r="9" spans="2:16" ht="29" x14ac:dyDescent="0.35">
      <c r="B9" s="209">
        <v>3</v>
      </c>
      <c r="C9" s="209" t="s">
        <v>175</v>
      </c>
      <c r="D9" s="209" t="s">
        <v>174</v>
      </c>
      <c r="E9" s="209">
        <v>1.98</v>
      </c>
      <c r="F9" s="209" t="s">
        <v>173</v>
      </c>
      <c r="G9" s="209">
        <v>4</v>
      </c>
      <c r="H9" s="210">
        <v>45984</v>
      </c>
      <c r="I9" s="210">
        <v>45976</v>
      </c>
      <c r="J9" s="210">
        <v>45982</v>
      </c>
      <c r="K9" s="210">
        <v>45984</v>
      </c>
      <c r="L9" s="209" t="s">
        <v>178</v>
      </c>
      <c r="M9" s="209" t="s">
        <v>160</v>
      </c>
      <c r="N9" s="209"/>
      <c r="O9" s="209" t="s">
        <v>182</v>
      </c>
      <c r="P9" s="209" t="s">
        <v>181</v>
      </c>
    </row>
    <row r="10" spans="2:16" ht="29" x14ac:dyDescent="0.35">
      <c r="B10" s="209">
        <v>4</v>
      </c>
      <c r="C10" s="209" t="s">
        <v>176</v>
      </c>
      <c r="D10" s="209" t="s">
        <v>177</v>
      </c>
      <c r="E10" s="209">
        <v>2.46</v>
      </c>
      <c r="F10" s="209" t="s">
        <v>173</v>
      </c>
      <c r="G10" s="209">
        <v>5</v>
      </c>
      <c r="H10" s="210">
        <v>45971</v>
      </c>
      <c r="I10" s="210">
        <v>45984</v>
      </c>
      <c r="J10" s="210">
        <v>45991</v>
      </c>
      <c r="K10" s="210">
        <v>45993</v>
      </c>
      <c r="L10" s="209" t="s">
        <v>179</v>
      </c>
      <c r="M10" s="209" t="s">
        <v>160</v>
      </c>
      <c r="N10" s="209"/>
      <c r="O10" s="209" t="s">
        <v>182</v>
      </c>
      <c r="P10" s="209" t="s">
        <v>181</v>
      </c>
    </row>
    <row r="11" spans="2:16" x14ac:dyDescent="0.35">
      <c r="B11" s="150"/>
      <c r="C11" s="8"/>
      <c r="D11" s="170"/>
      <c r="E11" s="151"/>
      <c r="F11" s="8"/>
      <c r="G11" s="127"/>
      <c r="H11" s="165"/>
      <c r="I11" s="127"/>
      <c r="J11" s="127"/>
      <c r="K11" s="173"/>
      <c r="L11" s="209"/>
      <c r="N11" s="209"/>
      <c r="O11" s="209"/>
      <c r="P11" s="209"/>
    </row>
    <row r="12" spans="2:16" ht="15" thickBot="1" x14ac:dyDescent="0.4">
      <c r="B12" s="152"/>
      <c r="C12" s="153"/>
      <c r="D12" s="171"/>
      <c r="E12" s="154"/>
      <c r="F12" s="92"/>
      <c r="G12" s="92"/>
      <c r="H12" s="92"/>
      <c r="I12" s="92"/>
      <c r="J12" s="92"/>
      <c r="K12" s="155"/>
      <c r="L12" s="209"/>
      <c r="N12" s="209"/>
      <c r="O12" s="209"/>
      <c r="P12" s="209"/>
    </row>
    <row r="13" spans="2:16" ht="15" thickBot="1" x14ac:dyDescent="0.4">
      <c r="B13" s="146"/>
      <c r="C13" s="147"/>
      <c r="D13" s="172"/>
      <c r="E13" s="148"/>
      <c r="F13" s="149"/>
      <c r="G13" s="149"/>
      <c r="H13" s="149"/>
      <c r="I13" s="149"/>
      <c r="J13" s="149"/>
      <c r="K13" s="145"/>
    </row>
  </sheetData>
  <mergeCells count="4">
    <mergeCell ref="B1:L1"/>
    <mergeCell ref="B2:L2"/>
    <mergeCell ref="B3:L3"/>
    <mergeCell ref="B4:L4"/>
  </mergeCells>
  <conditionalFormatting sqref="H11">
    <cfRule type="containsText" dxfId="5" priority="1" operator="containsText" text="WIP">
      <formula>NOT(ISERROR(SEARCH("WIP",H11)))</formula>
    </cfRule>
    <cfRule type="containsText" dxfId="4" priority="2" operator="containsText" text="Complete">
      <formula>NOT(ISERROR(SEARCH("Complete",H11)))</formula>
    </cfRule>
    <cfRule type="containsText" dxfId="3" priority="3" operator="containsText" text="ROW">
      <formula>NOT(ISERROR(SEARCH("ROW",H11)))</formula>
    </cfRule>
    <cfRule type="containsText" dxfId="2" priority="4" operator="containsText" text="Complete">
      <formula>NOT(ISERROR(SEARCH("Complete",H11)))</formula>
    </cfRule>
    <cfRule type="containsText" dxfId="1" priority="5" operator="containsText" text="ROW">
      <formula>NOT(ISERROR(SEARCH("ROW",H11)))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08984375" defaultRowHeight="14.5" x14ac:dyDescent="0.35"/>
  <cols>
    <col min="1" max="1" width="3.453125" style="4" customWidth="1"/>
    <col min="2" max="2" width="15.36328125" style="1" customWidth="1"/>
    <col min="3" max="3" width="11.36328125" style="1" customWidth="1"/>
    <col min="4" max="4" width="12.54296875" style="4" customWidth="1"/>
    <col min="5" max="5" width="12.6328125" style="4" customWidth="1"/>
    <col min="6" max="6" width="10.08984375" style="4" customWidth="1"/>
    <col min="7" max="7" width="12.54296875" style="4" customWidth="1"/>
    <col min="8" max="8" width="11.54296875" style="1" customWidth="1"/>
    <col min="9" max="10" width="10.6328125" style="1" customWidth="1"/>
    <col min="11" max="11" width="14.90625" style="1" customWidth="1"/>
    <col min="12" max="12" width="3.08984375" style="1" customWidth="1"/>
    <col min="13" max="13" width="14.54296875" style="1" customWidth="1"/>
    <col min="14" max="14" width="3.08984375" style="1" customWidth="1"/>
    <col min="15" max="15" width="10.54296875" style="1" customWidth="1"/>
    <col min="16" max="20" width="8.6328125" style="1" customWidth="1"/>
    <col min="21" max="21" width="3.08984375" style="1" customWidth="1"/>
    <col min="22" max="22" width="10.6328125" style="1" customWidth="1"/>
    <col min="23" max="23" width="12.54296875" style="1" customWidth="1"/>
    <col min="24" max="24" width="12.453125" style="1" customWidth="1"/>
    <col min="25" max="26" width="10.6328125" style="1" customWidth="1"/>
    <col min="27" max="27" width="14.453125" style="1" customWidth="1"/>
    <col min="28" max="28" width="17.36328125" style="1" customWidth="1"/>
    <col min="29" max="16384" width="9.089843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82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18"/>
    </row>
    <row r="6" spans="1:15" ht="16" x14ac:dyDescent="0.35">
      <c r="A6" s="6"/>
      <c r="D6" s="2" t="s">
        <v>88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6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6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6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6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7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77" t="s">
        <v>4</v>
      </c>
      <c r="B18" s="177" t="s">
        <v>42</v>
      </c>
      <c r="C18" s="174" t="s">
        <v>47</v>
      </c>
      <c r="D18" s="174" t="s">
        <v>43</v>
      </c>
      <c r="E18" s="177" t="s">
        <v>8</v>
      </c>
      <c r="F18" s="189" t="s">
        <v>18</v>
      </c>
      <c r="G18" s="189"/>
      <c r="H18" s="189"/>
      <c r="I18" s="189"/>
      <c r="J18" s="189"/>
      <c r="K18" s="182" t="s">
        <v>19</v>
      </c>
      <c r="M18" s="174" t="s">
        <v>36</v>
      </c>
      <c r="O18" s="183" t="s">
        <v>31</v>
      </c>
      <c r="P18" s="184"/>
      <c r="Q18" s="184"/>
      <c r="R18" s="184"/>
      <c r="S18" s="184"/>
      <c r="T18" s="185"/>
      <c r="V18" s="183" t="s">
        <v>30</v>
      </c>
      <c r="W18" s="184"/>
      <c r="X18" s="184"/>
      <c r="Y18" s="184"/>
      <c r="Z18" s="184"/>
      <c r="AA18" s="185"/>
      <c r="AB18" s="186" t="s">
        <v>34</v>
      </c>
    </row>
    <row r="19" spans="1:28" ht="21" customHeight="1" x14ac:dyDescent="0.35">
      <c r="A19" s="178"/>
      <c r="B19" s="178"/>
      <c r="C19" s="175"/>
      <c r="D19" s="178"/>
      <c r="E19" s="178"/>
      <c r="F19" s="205" t="s">
        <v>40</v>
      </c>
      <c r="G19" s="206" t="s">
        <v>44</v>
      </c>
      <c r="H19" s="207"/>
      <c r="I19" s="206" t="s">
        <v>45</v>
      </c>
      <c r="J19" s="207"/>
      <c r="K19" s="182"/>
      <c r="M19" s="188"/>
      <c r="O19" s="180" t="s">
        <v>24</v>
      </c>
      <c r="P19" s="180" t="s">
        <v>25</v>
      </c>
      <c r="Q19" s="180" t="s">
        <v>26</v>
      </c>
      <c r="R19" s="180" t="s">
        <v>27</v>
      </c>
      <c r="S19" s="180" t="s">
        <v>28</v>
      </c>
      <c r="T19" s="43" t="s">
        <v>29</v>
      </c>
      <c r="V19" s="180" t="s">
        <v>24</v>
      </c>
      <c r="W19" s="180" t="s">
        <v>25</v>
      </c>
      <c r="X19" s="180" t="s">
        <v>26</v>
      </c>
      <c r="Y19" s="180" t="s">
        <v>27</v>
      </c>
      <c r="Z19" s="180" t="s">
        <v>28</v>
      </c>
      <c r="AA19" s="43" t="s">
        <v>29</v>
      </c>
      <c r="AB19" s="187"/>
    </row>
    <row r="20" spans="1:28" ht="36.75" customHeight="1" thickBot="1" x14ac:dyDescent="0.4">
      <c r="A20" s="178"/>
      <c r="B20" s="178"/>
      <c r="C20" s="175"/>
      <c r="D20" s="178"/>
      <c r="E20" s="178"/>
      <c r="F20" s="205"/>
      <c r="G20" s="93" t="s">
        <v>10</v>
      </c>
      <c r="H20" s="93" t="s">
        <v>11</v>
      </c>
      <c r="I20" s="93" t="s">
        <v>10</v>
      </c>
      <c r="J20" s="93" t="s">
        <v>11</v>
      </c>
      <c r="K20" s="44" t="s">
        <v>20</v>
      </c>
      <c r="M20" s="18" t="s">
        <v>37</v>
      </c>
      <c r="O20" s="181"/>
      <c r="P20" s="181"/>
      <c r="Q20" s="181"/>
      <c r="R20" s="181"/>
      <c r="S20" s="181"/>
      <c r="T20" s="19"/>
      <c r="V20" s="181"/>
      <c r="W20" s="181"/>
      <c r="X20" s="181"/>
      <c r="Y20" s="181"/>
      <c r="Z20" s="181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2" t="s">
        <v>89</v>
      </c>
      <c r="C21" s="121">
        <v>3.6110000000000002</v>
      </c>
      <c r="D21" s="8" t="s">
        <v>79</v>
      </c>
      <c r="E21" s="204" t="s">
        <v>98</v>
      </c>
      <c r="F21" s="113">
        <v>45899</v>
      </c>
      <c r="G21" s="113">
        <v>45901</v>
      </c>
      <c r="H21" s="113">
        <v>45908</v>
      </c>
      <c r="I21" s="113">
        <v>45909</v>
      </c>
      <c r="J21" s="113">
        <v>45912</v>
      </c>
      <c r="K21" s="23">
        <f>K4*C21</f>
        <v>3270887.1320000002</v>
      </c>
      <c r="M21" s="86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19" t="s">
        <v>90</v>
      </c>
      <c r="C22" s="121">
        <v>3.92</v>
      </c>
      <c r="D22" s="8" t="s">
        <v>79</v>
      </c>
      <c r="E22" s="204"/>
      <c r="F22" s="113">
        <v>45913</v>
      </c>
      <c r="G22" s="113">
        <v>45914</v>
      </c>
      <c r="H22" s="113">
        <v>45919</v>
      </c>
      <c r="I22" s="113">
        <v>45920</v>
      </c>
      <c r="J22" s="113">
        <v>45922</v>
      </c>
      <c r="K22" s="23">
        <f>K4*C22</f>
        <v>3550783.04</v>
      </c>
      <c r="M22" s="86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19" t="s">
        <v>91</v>
      </c>
      <c r="C23" s="121">
        <v>0.28000000000000003</v>
      </c>
      <c r="D23" s="8" t="s">
        <v>86</v>
      </c>
      <c r="E23" s="204"/>
      <c r="F23" s="113">
        <v>45910</v>
      </c>
      <c r="G23" s="113">
        <v>45911</v>
      </c>
      <c r="H23" s="113">
        <v>45912</v>
      </c>
      <c r="I23" s="113">
        <v>45912</v>
      </c>
      <c r="J23" s="113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19" t="s">
        <v>92</v>
      </c>
      <c r="C24" s="121">
        <v>0.313</v>
      </c>
      <c r="D24" s="8" t="s">
        <v>86</v>
      </c>
      <c r="E24" s="204"/>
      <c r="F24" s="113">
        <v>45927</v>
      </c>
      <c r="G24" s="113">
        <v>45928</v>
      </c>
      <c r="H24" s="113">
        <v>45928</v>
      </c>
      <c r="I24" s="113">
        <v>45928</v>
      </c>
      <c r="J24" s="113">
        <v>45928</v>
      </c>
      <c r="K24" s="23">
        <f>C24*K4</f>
        <v>283519.15600000002</v>
      </c>
      <c r="M24" s="86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19" t="s">
        <v>93</v>
      </c>
      <c r="C25" s="121">
        <v>0.31900000000000001</v>
      </c>
      <c r="D25" s="8" t="s">
        <v>86</v>
      </c>
      <c r="E25" s="204"/>
      <c r="F25" s="113">
        <v>45915</v>
      </c>
      <c r="G25" s="113">
        <v>45916</v>
      </c>
      <c r="H25" s="113">
        <v>45916</v>
      </c>
      <c r="I25" s="113">
        <v>45916</v>
      </c>
      <c r="J25" s="113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2" t="s">
        <v>94</v>
      </c>
      <c r="C26" s="121">
        <v>4.9580000000000002</v>
      </c>
      <c r="D26" s="8" t="s">
        <v>79</v>
      </c>
      <c r="E26" s="7" t="s">
        <v>99</v>
      </c>
      <c r="F26" s="113">
        <v>45903</v>
      </c>
      <c r="G26" s="113">
        <v>45904</v>
      </c>
      <c r="H26" s="113">
        <v>45909</v>
      </c>
      <c r="I26" s="113">
        <v>45910</v>
      </c>
      <c r="J26" s="113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19" t="s">
        <v>95</v>
      </c>
      <c r="C27" s="121">
        <v>1.6060000000000001</v>
      </c>
      <c r="D27" s="8" t="s">
        <v>79</v>
      </c>
      <c r="E27" s="7"/>
      <c r="F27" s="113">
        <v>45914</v>
      </c>
      <c r="G27" s="113">
        <v>45915</v>
      </c>
      <c r="H27" s="113">
        <v>45917</v>
      </c>
      <c r="I27" s="113">
        <v>45918</v>
      </c>
      <c r="J27" s="113">
        <v>45919</v>
      </c>
      <c r="K27" s="23">
        <f>C27*K4</f>
        <v>1454734.0720000002</v>
      </c>
      <c r="M27" s="86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19" t="s">
        <v>96</v>
      </c>
      <c r="C28" s="121">
        <v>0.32300000000000001</v>
      </c>
      <c r="D28" s="8" t="s">
        <v>86</v>
      </c>
      <c r="E28" s="7"/>
      <c r="F28" s="113">
        <v>45920</v>
      </c>
      <c r="G28" s="113">
        <v>45921</v>
      </c>
      <c r="H28" s="113">
        <v>45926</v>
      </c>
      <c r="I28" s="113">
        <v>45927</v>
      </c>
      <c r="J28" s="113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2" t="s">
        <v>97</v>
      </c>
      <c r="C29" s="120">
        <v>4.9470000000000001</v>
      </c>
      <c r="D29" s="8" t="s">
        <v>79</v>
      </c>
      <c r="E29" s="125"/>
      <c r="F29" s="113">
        <v>45899</v>
      </c>
      <c r="G29" s="113">
        <v>45900</v>
      </c>
      <c r="H29" s="113">
        <v>45906</v>
      </c>
      <c r="I29" s="113">
        <v>45907</v>
      </c>
      <c r="J29" s="113">
        <v>45910</v>
      </c>
      <c r="K29" s="23">
        <f>C29*K4</f>
        <v>4481051.9639999997</v>
      </c>
      <c r="M29" s="86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19" t="s">
        <v>100</v>
      </c>
      <c r="C30" s="120">
        <v>2.75</v>
      </c>
      <c r="D30" s="8" t="s">
        <v>79</v>
      </c>
      <c r="E30" s="125"/>
      <c r="F30" s="113">
        <v>45911</v>
      </c>
      <c r="G30" s="113">
        <v>45912</v>
      </c>
      <c r="H30" s="113">
        <v>45917</v>
      </c>
      <c r="I30" s="113">
        <v>45918</v>
      </c>
      <c r="J30" s="113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19" t="s">
        <v>101</v>
      </c>
      <c r="C31" s="123">
        <v>0.27</v>
      </c>
      <c r="D31" s="8" t="s">
        <v>79</v>
      </c>
      <c r="E31" s="125"/>
      <c r="F31" s="113">
        <v>45920</v>
      </c>
      <c r="G31" s="113">
        <v>45920</v>
      </c>
      <c r="H31" s="113">
        <v>45920</v>
      </c>
      <c r="I31" s="113">
        <v>45922</v>
      </c>
      <c r="J31" s="113">
        <v>45922</v>
      </c>
      <c r="K31" s="23">
        <f>C31*K4</f>
        <v>244569.24000000002</v>
      </c>
      <c r="M31" s="86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19" t="s">
        <v>102</v>
      </c>
      <c r="C32" s="120">
        <v>0.68799999999999994</v>
      </c>
      <c r="D32" s="8" t="s">
        <v>87</v>
      </c>
      <c r="E32" s="10"/>
      <c r="F32" s="113">
        <v>45927</v>
      </c>
      <c r="G32" s="113">
        <v>45928</v>
      </c>
      <c r="H32" s="113">
        <v>45928</v>
      </c>
      <c r="I32" s="113">
        <v>45928</v>
      </c>
      <c r="J32" s="113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19"/>
      <c r="C33" s="120"/>
      <c r="D33" s="8"/>
      <c r="E33" s="10"/>
      <c r="F33" s="113"/>
      <c r="G33" s="113"/>
      <c r="H33" s="113"/>
      <c r="I33" s="113"/>
      <c r="J33" s="113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4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  <mergeCell ref="A18:A20"/>
    <mergeCell ref="B18:B20"/>
    <mergeCell ref="C18:C20"/>
    <mergeCell ref="D18:D20"/>
    <mergeCell ref="E18:E20"/>
    <mergeCell ref="E21:E25"/>
    <mergeCell ref="W19:W20"/>
    <mergeCell ref="K18:K19"/>
    <mergeCell ref="M18:M19"/>
    <mergeCell ref="O18:T18"/>
    <mergeCell ref="V18:AA18"/>
    <mergeCell ref="V19:V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FDN-June25</vt:lpstr>
      <vt:lpstr>Stub dispatch</vt:lpstr>
      <vt:lpstr>Erection-Nov25</vt:lpstr>
      <vt:lpstr>Stringing- Nov25 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2024-05-23T07:04:00Z</cp:lastPrinted>
  <dcterms:created xsi:type="dcterms:W3CDTF">2015-06-05T18:17:20Z</dcterms:created>
  <dcterms:modified xsi:type="dcterms:W3CDTF">2025-11-18T06:24:18Z</dcterms:modified>
</cp:coreProperties>
</file>