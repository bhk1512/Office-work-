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Micro Plans\"/>
    </mc:Choice>
  </mc:AlternateContent>
  <xr:revisionPtr revIDLastSave="0" documentId="13_ncr:1_{5ED14A62-69C0-44F7-B3AD-023B10E8D0E4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tub dispatch" sheetId="4" state="hidden" r:id="rId1"/>
    <sheet name="Erection - Nov'25 " sheetId="2" r:id="rId2"/>
  </sheets>
  <definedNames>
    <definedName name="_xlnm._FilterDatabase" localSheetId="1" hidden="1">'Erection - Nov''25 '!$A$1:$P$51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2" l="1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3" i="2"/>
  <c r="O4" i="2"/>
  <c r="O5" i="2"/>
  <c r="O6" i="2"/>
  <c r="O7" i="2"/>
  <c r="O8" i="2"/>
  <c r="O2" i="2"/>
  <c r="N18" i="2" l="1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  <c r="E47" i="2"/>
  <c r="E44" i="2"/>
  <c r="E42" i="2"/>
  <c r="E40" i="2"/>
  <c r="E38" i="2"/>
  <c r="E36" i="2"/>
  <c r="E33" i="2"/>
  <c r="E34" i="2" s="1"/>
  <c r="E30" i="2"/>
  <c r="E31" i="2" s="1"/>
  <c r="E27" i="2"/>
  <c r="E28" i="2" s="1"/>
  <c r="E26" i="2"/>
  <c r="E24" i="2"/>
  <c r="E20" i="2"/>
  <c r="E21" i="2" s="1"/>
  <c r="E22" i="2" s="1"/>
  <c r="E16" i="2"/>
  <c r="E17" i="2" s="1"/>
  <c r="E18" i="2" s="1"/>
  <c r="E13" i="2"/>
  <c r="E14" i="2" s="1"/>
  <c r="E9" i="2"/>
  <c r="E10" i="2" s="1"/>
  <c r="E11" i="2" s="1"/>
  <c r="E5" i="2"/>
  <c r="E6" i="2" s="1"/>
  <c r="E7" i="2" s="1"/>
  <c r="E3" i="2"/>
  <c r="M2" i="2" l="1"/>
  <c r="N2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P6" i="4" l="1"/>
</calcChain>
</file>

<file path=xl/sharedStrings.xml><?xml version="1.0" encoding="utf-8"?>
<sst xmlns="http://schemas.openxmlformats.org/spreadsheetml/2006/main" count="234" uniqueCount="145">
  <si>
    <t>Sl</t>
  </si>
  <si>
    <t>Tower type</t>
  </si>
  <si>
    <t>Total</t>
  </si>
  <si>
    <t>Tack-welding</t>
  </si>
  <si>
    <t>Final checking</t>
  </si>
  <si>
    <t>Location</t>
  </si>
  <si>
    <t>Project</t>
  </si>
  <si>
    <t>Structure</t>
  </si>
  <si>
    <t>B LOT</t>
  </si>
  <si>
    <t>Actual PRS Date</t>
  </si>
  <si>
    <t>STEEL Wt (MT)</t>
  </si>
  <si>
    <t xml:space="preserve">BNA Wt </t>
  </si>
  <si>
    <t>Disp Bal</t>
  </si>
  <si>
    <t>May'24 Disp Plan</t>
  </si>
  <si>
    <t>Wk01</t>
  </si>
  <si>
    <t>WK02</t>
  </si>
  <si>
    <t>WK03</t>
  </si>
  <si>
    <t>WK04</t>
  </si>
  <si>
    <t>July'24 Disp Plan</t>
  </si>
  <si>
    <t>TA416</t>
  </si>
  <si>
    <t>DA</t>
  </si>
  <si>
    <t>JPR</t>
  </si>
  <si>
    <t>Stub - 28 Nos</t>
  </si>
  <si>
    <t>TA416-00018</t>
  </si>
  <si>
    <t>Stub - 132 Nos</t>
  </si>
  <si>
    <t>TA416-00026</t>
  </si>
  <si>
    <t>Remark</t>
  </si>
  <si>
    <t>Jun'24 Disp Plan MT</t>
  </si>
  <si>
    <t>As on date 160 stub reieved.</t>
  </si>
  <si>
    <t>36/8</t>
  </si>
  <si>
    <t>41/1</t>
  </si>
  <si>
    <t>Manpower</t>
  </si>
  <si>
    <t>Section Incharge</t>
  </si>
  <si>
    <t>Supervisor</t>
  </si>
  <si>
    <t>Power Tools Issued (YES/NO)</t>
  </si>
  <si>
    <t>Location No.</t>
  </si>
  <si>
    <t>Tower Weight</t>
  </si>
  <si>
    <t>Gang Name</t>
  </si>
  <si>
    <t>Material Feeding</t>
  </si>
  <si>
    <t>Starting Date</t>
  </si>
  <si>
    <t>Completion Date</t>
  </si>
  <si>
    <t>Revenue Planned</t>
  </si>
  <si>
    <t>Revenue Realised</t>
  </si>
  <si>
    <t>2/0</t>
  </si>
  <si>
    <t>DB2+18</t>
  </si>
  <si>
    <t>3/0</t>
  </si>
  <si>
    <t>DD45+18</t>
  </si>
  <si>
    <t>38/8</t>
  </si>
  <si>
    <t>DA+3</t>
  </si>
  <si>
    <t>38/9</t>
  </si>
  <si>
    <t>DA-1.5</t>
  </si>
  <si>
    <t>38/10</t>
  </si>
  <si>
    <t>DA+0</t>
  </si>
  <si>
    <t>38/11</t>
  </si>
  <si>
    <t>35/0</t>
  </si>
  <si>
    <t>DD45+3</t>
  </si>
  <si>
    <t>36/0</t>
  </si>
  <si>
    <t>DC1+9</t>
  </si>
  <si>
    <t>DA-3</t>
  </si>
  <si>
    <t>41/3</t>
  </si>
  <si>
    <t>30/0</t>
  </si>
  <si>
    <t>DD45+0</t>
  </si>
  <si>
    <t>38/0</t>
  </si>
  <si>
    <t>DD60+25</t>
  </si>
  <si>
    <t>43/1</t>
  </si>
  <si>
    <t>DA+9</t>
  </si>
  <si>
    <t>5DA+6</t>
  </si>
  <si>
    <t>38/5</t>
  </si>
  <si>
    <t>DA+6</t>
  </si>
  <si>
    <t>38/6</t>
  </si>
  <si>
    <t>DA+1.5</t>
  </si>
  <si>
    <t>38/7</t>
  </si>
  <si>
    <t>40/2</t>
  </si>
  <si>
    <t>40/3</t>
  </si>
  <si>
    <t>40/4</t>
  </si>
  <si>
    <t>40/5</t>
  </si>
  <si>
    <t>9/0</t>
  </si>
  <si>
    <t>DC2+9</t>
  </si>
  <si>
    <t>11/0</t>
  </si>
  <si>
    <t>DD60+30</t>
  </si>
  <si>
    <t>62/1</t>
  </si>
  <si>
    <t>62/2</t>
  </si>
  <si>
    <t>62/3</t>
  </si>
  <si>
    <t>5DB1+6</t>
  </si>
  <si>
    <t>62/4</t>
  </si>
  <si>
    <t>5DA-3</t>
  </si>
  <si>
    <t>46/1</t>
  </si>
  <si>
    <t>5DA+0</t>
  </si>
  <si>
    <t>46/2</t>
  </si>
  <si>
    <t>5DA+3</t>
  </si>
  <si>
    <t>46/3</t>
  </si>
  <si>
    <t>78/1</t>
  </si>
  <si>
    <t>78/3</t>
  </si>
  <si>
    <t>76/3</t>
  </si>
  <si>
    <t>83/5</t>
  </si>
  <si>
    <t>83/6</t>
  </si>
  <si>
    <t>84/1</t>
  </si>
  <si>
    <t>84/4</t>
  </si>
  <si>
    <t>41/4</t>
  </si>
  <si>
    <t>41/5</t>
  </si>
  <si>
    <t>40/6</t>
  </si>
  <si>
    <t>40/7</t>
  </si>
  <si>
    <t>41/6</t>
  </si>
  <si>
    <t>41/7</t>
  </si>
  <si>
    <t>45/0</t>
  </si>
  <si>
    <t>5DD60+9</t>
  </si>
  <si>
    <t>83/7</t>
  </si>
  <si>
    <t>83/1</t>
  </si>
  <si>
    <t>5DA+9</t>
  </si>
  <si>
    <t>40/0</t>
  </si>
  <si>
    <t>DD60+18</t>
  </si>
  <si>
    <t>41/0</t>
  </si>
  <si>
    <t>DD60+0</t>
  </si>
  <si>
    <t>43/0</t>
  </si>
  <si>
    <t>46/0</t>
  </si>
  <si>
    <t>5DD60+18</t>
  </si>
  <si>
    <t>Infineda 1</t>
  </si>
  <si>
    <t>Radha Enterpises 1</t>
  </si>
  <si>
    <t>Poonam Kumari 1</t>
  </si>
  <si>
    <t>Poonam kumari 2</t>
  </si>
  <si>
    <t>Jwala Singh</t>
  </si>
  <si>
    <t>Madhu Sah</t>
  </si>
  <si>
    <t>Dasrath Mahato</t>
  </si>
  <si>
    <t>Infineda 2</t>
  </si>
  <si>
    <t>GRD 1</t>
  </si>
  <si>
    <t>Sanjeev</t>
  </si>
  <si>
    <t>Samuel</t>
  </si>
  <si>
    <t>Mukhilal 1</t>
  </si>
  <si>
    <t>Nandlal</t>
  </si>
  <si>
    <t>Jagdish</t>
  </si>
  <si>
    <t>GRD 2</t>
  </si>
  <si>
    <t>Radha Enterpises 2</t>
  </si>
  <si>
    <t>Mukhilal 2</t>
  </si>
  <si>
    <t>Sanjeet</t>
  </si>
  <si>
    <t>Lillo Mahato</t>
  </si>
  <si>
    <t>Jwala Singh 2</t>
  </si>
  <si>
    <t>Punam Kumari 3</t>
  </si>
  <si>
    <t>Mr. Tanay Kumar</t>
  </si>
  <si>
    <t>Mr. R.N Tyagi</t>
  </si>
  <si>
    <t>30-11-225</t>
  </si>
  <si>
    <t>Mr. P.D Sharma</t>
  </si>
  <si>
    <t>Mr. Prince</t>
  </si>
  <si>
    <t>Mr. Shivbrat</t>
  </si>
  <si>
    <t>Mr. Suresh Ram</t>
  </si>
  <si>
    <t>Mr. Satyaprakash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</si>
</sst>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_ * #,##0_ ;_ * \-#,##0_ ;_ * &quot;-&quot;??_ ;_ @_ "/>
    <numFmt numFmtId="166" formatCode="[$-409]d\-mmm\-yy;@"/>
    <numFmt numFmtId="167" formatCode="[$-F400]h:mm:ss\ AM/PM"/>
    <numFmt numFmtId="168" formatCode="[$-409]d/mmm/yy;@"/>
    <numFmt numFmtId="169" formatCode="0.0"/>
    <numFmt numFmtId="170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6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168" fontId="1" fillId="0" borderId="0"/>
    <xf numFmtId="168" fontId="10" fillId="0" borderId="0"/>
    <xf numFmtId="9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</cellStyleXfs>
  <cellXfs count="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7" fontId="12" fillId="4" borderId="8" xfId="2" applyNumberFormat="1" applyFont="1" applyFill="1" applyBorder="1" applyAlignment="1">
      <alignment horizontal="center" vertical="center" wrapText="1"/>
    </xf>
    <xf numFmtId="166" fontId="12" fillId="4" borderId="8" xfId="2" applyNumberFormat="1" applyFont="1" applyFill="1" applyBorder="1" applyAlignment="1" applyProtection="1">
      <alignment horizontal="center" vertical="center" wrapText="1"/>
      <protection locked="0"/>
    </xf>
    <xf numFmtId="1" fontId="12" fillId="4" borderId="8" xfId="2" applyNumberFormat="1" applyFont="1" applyFill="1" applyBorder="1" applyAlignment="1">
      <alignment horizontal="center" vertical="center" wrapText="1"/>
    </xf>
    <xf numFmtId="167" fontId="12" fillId="4" borderId="8" xfId="3" applyNumberFormat="1" applyFont="1" applyFill="1" applyBorder="1" applyAlignment="1">
      <alignment horizontal="center" vertical="center" wrapText="1"/>
    </xf>
    <xf numFmtId="168" fontId="13" fillId="0" borderId="1" xfId="4" applyFont="1" applyBorder="1" applyAlignment="1">
      <alignment horizontal="center" vertical="center" wrapText="1"/>
    </xf>
    <xf numFmtId="166" fontId="14" fillId="0" borderId="1" xfId="5" applyNumberFormat="1" applyFont="1" applyBorder="1" applyAlignment="1">
      <alignment horizontal="center" vertical="center" wrapText="1"/>
    </xf>
    <xf numFmtId="166" fontId="13" fillId="0" borderId="1" xfId="5" applyNumberFormat="1" applyFont="1" applyBorder="1" applyAlignment="1">
      <alignment horizontal="center" vertical="center" wrapText="1"/>
    </xf>
    <xf numFmtId="166" fontId="13" fillId="0" borderId="1" xfId="5" quotePrefix="1" applyNumberFormat="1" applyFont="1" applyBorder="1" applyAlignment="1">
      <alignment vertical="center" wrapText="1"/>
    </xf>
    <xf numFmtId="0" fontId="13" fillId="0" borderId="1" xfId="5" applyNumberFormat="1" applyFont="1" applyBorder="1" applyAlignment="1">
      <alignment horizontal="center" vertical="center" wrapText="1"/>
    </xf>
    <xf numFmtId="1" fontId="15" fillId="0" borderId="3" xfId="6" applyNumberFormat="1" applyFont="1" applyBorder="1" applyAlignment="1">
      <alignment horizontal="center" vertical="center" wrapText="1"/>
    </xf>
    <xf numFmtId="1" fontId="15" fillId="0" borderId="2" xfId="6" applyNumberFormat="1" applyFont="1" applyBorder="1" applyAlignment="1">
      <alignment horizontal="center" vertical="center" wrapText="1"/>
    </xf>
    <xf numFmtId="1" fontId="13" fillId="5" borderId="2" xfId="6" applyNumberFormat="1" applyFont="1" applyFill="1" applyBorder="1" applyAlignment="1">
      <alignment horizontal="center" vertical="center" wrapText="1"/>
    </xf>
    <xf numFmtId="1" fontId="13" fillId="2" borderId="2" xfId="6" applyNumberFormat="1" applyFont="1" applyFill="1" applyBorder="1" applyAlignment="1">
      <alignment horizontal="center" vertical="center" wrapText="1"/>
    </xf>
    <xf numFmtId="1" fontId="13" fillId="0" borderId="1" xfId="6" applyNumberFormat="1" applyFont="1" applyBorder="1" applyAlignment="1">
      <alignment horizontal="center" vertical="center" wrapText="1"/>
    </xf>
    <xf numFmtId="1" fontId="11" fillId="2" borderId="2" xfId="5" applyNumberFormat="1" applyFont="1" applyFill="1" applyBorder="1" applyAlignment="1" applyProtection="1">
      <alignment horizontal="center" vertical="center"/>
      <protection locked="0"/>
    </xf>
    <xf numFmtId="1" fontId="15" fillId="0" borderId="1" xfId="6" applyNumberFormat="1" applyFont="1" applyBorder="1" applyAlignment="1">
      <alignment horizontal="center" vertical="center" wrapText="1"/>
    </xf>
    <xf numFmtId="169" fontId="13" fillId="6" borderId="2" xfId="6" applyNumberFormat="1" applyFont="1" applyFill="1" applyBorder="1" applyAlignment="1">
      <alignment horizontal="center" vertical="center" wrapText="1"/>
    </xf>
    <xf numFmtId="0" fontId="3" fillId="0" borderId="1" xfId="0" applyFont="1" applyBorder="1"/>
    <xf numFmtId="1" fontId="3" fillId="0" borderId="1" xfId="0" applyNumberFormat="1" applyFont="1" applyBorder="1"/>
    <xf numFmtId="0" fontId="3" fillId="0" borderId="0" xfId="0" applyFont="1"/>
    <xf numFmtId="165" fontId="8" fillId="7" borderId="1" xfId="1" applyNumberFormat="1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2" fontId="16" fillId="7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6">
    <cellStyle name="Comma" xfId="1" builtinId="3"/>
    <cellStyle name="Comma 2" xfId="7" xr:uid="{2E20F6CD-B1A5-4CBE-90C6-C0D98A914F04}"/>
    <cellStyle name="Excel Built-in Normal" xfId="25" xr:uid="{4B0B78A8-24BE-4DE7-B5BF-D3DFA24ECD02}"/>
    <cellStyle name="Normal" xfId="0" builtinId="0"/>
    <cellStyle name="Normal 103" xfId="23" xr:uid="{91A4F84A-61E0-4BF9-80BE-E89A220C73D0}"/>
    <cellStyle name="Normal 11" xfId="4" xr:uid="{8A939B8D-25B5-4FC2-BE9D-DDCA7038C58F}"/>
    <cellStyle name="Normal 120" xfId="20" xr:uid="{51933D66-E223-4713-A2CA-4B3163621514}"/>
    <cellStyle name="Normal 17" xfId="9" xr:uid="{FB728059-7B66-4FB9-A5E0-ADE18B5FFE38}"/>
    <cellStyle name="Normal 188" xfId="11" xr:uid="{3CFBDC6D-5D6B-482D-AA21-814FB75E0B2F}"/>
    <cellStyle name="Normal 191" xfId="21" xr:uid="{D3C5529B-92F0-42E8-A10F-B7F5CCCD876D}"/>
    <cellStyle name="Normal 192" xfId="10" xr:uid="{D8393BB2-6890-4D3C-9BE2-095148EFAA3D}"/>
    <cellStyle name="Normal 195" xfId="19" xr:uid="{29503BE6-7324-48E9-9756-7D243BA75515}"/>
    <cellStyle name="Normal 196" xfId="14" xr:uid="{90DC8C3C-61E2-4A76-8A25-09F0D5F88207}"/>
    <cellStyle name="Normal 2 10 2 5 2" xfId="5" xr:uid="{0EA982F3-DC21-4E99-AAAB-6AD064B0EC05}"/>
    <cellStyle name="Normal 2 10 2 6" xfId="2" xr:uid="{BB34A5C0-63BA-480D-920F-445FEC5EA3E3}"/>
    <cellStyle name="Normal 2 2" xfId="8" xr:uid="{EB1085D2-CAC1-49AF-881E-5E46E6B9465A}"/>
    <cellStyle name="Normal 201 2" xfId="18" xr:uid="{7A9F1CE6-A645-432E-B2C2-9793B018DF90}"/>
    <cellStyle name="Normal 207" xfId="13" xr:uid="{BA8AB5B8-961E-4DFA-94B4-5E9EEE3A490F}"/>
    <cellStyle name="Normal 211" xfId="12" xr:uid="{58520A77-1171-433D-8FAE-25797FF0B801}"/>
    <cellStyle name="Normal 218" xfId="16" xr:uid="{E55ABECC-E800-4903-9A1C-14BDD498D09D}"/>
    <cellStyle name="Normal 219" xfId="17" xr:uid="{DFC60562-02A4-4EA4-8096-F18F39B0DE19}"/>
    <cellStyle name="Normal 222" xfId="15" xr:uid="{83AE90D7-9474-4B42-9990-710167A5A419}"/>
    <cellStyle name="Normal 3" xfId="24" xr:uid="{2DA1E557-7CA6-467D-8A70-659D8412FB6A}"/>
    <cellStyle name="Normal 5" xfId="22" xr:uid="{3FC12385-9363-45A8-94D8-55F9303BEA9B}"/>
    <cellStyle name="Normal_Rev_IPP_ BUB_ 10.04.09 2" xfId="3" xr:uid="{526D1CE4-A6A3-4EA2-BCF4-E0959F12CAFC}"/>
    <cellStyle name="Percent 2" xfId="6" xr:uid="{36A5E538-A591-4B85-8561-9BC706E69FE8}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D7AA-E2CC-4325-BB1A-65DAE33EC798}">
  <sheetPr codeName="Sheet1"/>
  <dimension ref="B2:R6"/>
  <sheetViews>
    <sheetView workbookViewId="0">
      <selection activeCell="U5" sqref="U5"/>
    </sheetView>
  </sheetViews>
  <sheetFormatPr defaultRowHeight="14.5" x14ac:dyDescent="0.35"/>
  <cols>
    <col min="2" max="2" width="12.81640625" customWidth="1"/>
    <col min="5" max="5" width="13.1796875" customWidth="1"/>
    <col min="6" max="6" width="14.81640625" customWidth="1"/>
    <col min="7" max="7" width="13.54296875" customWidth="1"/>
    <col min="8" max="15" width="0" hidden="1" customWidth="1"/>
    <col min="16" max="16" width="16.1796875" customWidth="1"/>
    <col min="17" max="17" width="0" hidden="1" customWidth="1"/>
    <col min="18" max="18" width="27" customWidth="1"/>
  </cols>
  <sheetData>
    <row r="2" spans="2:18" ht="15" thickBot="1" x14ac:dyDescent="0.4"/>
    <row r="3" spans="2:18" ht="56" thickBot="1" x14ac:dyDescent="0.4">
      <c r="B3" s="3" t="s">
        <v>5</v>
      </c>
      <c r="C3" s="3" t="s">
        <v>6</v>
      </c>
      <c r="D3" s="3" t="s">
        <v>1</v>
      </c>
      <c r="E3" s="3" t="s">
        <v>7</v>
      </c>
      <c r="F3" s="3" t="s">
        <v>8</v>
      </c>
      <c r="G3" s="4" t="s">
        <v>9</v>
      </c>
      <c r="H3" s="5" t="s">
        <v>10</v>
      </c>
      <c r="I3" s="5" t="s">
        <v>11</v>
      </c>
      <c r="J3" s="6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27</v>
      </c>
      <c r="Q3" s="5" t="s">
        <v>18</v>
      </c>
      <c r="R3" s="5" t="s">
        <v>26</v>
      </c>
    </row>
    <row r="4" spans="2:18" ht="60" customHeight="1" x14ac:dyDescent="0.35">
      <c r="B4" s="7" t="s">
        <v>21</v>
      </c>
      <c r="C4" s="8" t="s">
        <v>19</v>
      </c>
      <c r="D4" s="9" t="s">
        <v>20</v>
      </c>
      <c r="E4" s="10" t="s">
        <v>22</v>
      </c>
      <c r="F4" s="11" t="s">
        <v>23</v>
      </c>
      <c r="G4" s="9">
        <v>45393</v>
      </c>
      <c r="H4" s="12">
        <v>26.861743999999998</v>
      </c>
      <c r="I4" s="13">
        <v>0.46323200000000003</v>
      </c>
      <c r="J4" s="14">
        <v>26.861743999999998</v>
      </c>
      <c r="K4" s="15">
        <v>0</v>
      </c>
      <c r="L4" s="16"/>
      <c r="M4" s="16"/>
      <c r="N4" s="16"/>
      <c r="O4" s="16">
        <v>0</v>
      </c>
      <c r="P4" s="19">
        <v>26.861743999999998</v>
      </c>
      <c r="Q4" s="17">
        <v>0</v>
      </c>
      <c r="R4" s="46" t="s">
        <v>28</v>
      </c>
    </row>
    <row r="5" spans="2:18" ht="15.5" x14ac:dyDescent="0.35">
      <c r="B5" s="7" t="s">
        <v>21</v>
      </c>
      <c r="C5" s="8" t="s">
        <v>19</v>
      </c>
      <c r="D5" s="9" t="s">
        <v>20</v>
      </c>
      <c r="E5" s="10" t="s">
        <v>24</v>
      </c>
      <c r="F5" s="11" t="s">
        <v>25</v>
      </c>
      <c r="G5" s="9">
        <v>45397</v>
      </c>
      <c r="H5" s="18">
        <v>126.634</v>
      </c>
      <c r="I5" s="13">
        <v>2.1840000000000002</v>
      </c>
      <c r="J5" s="14">
        <v>126.634</v>
      </c>
      <c r="K5" s="15"/>
      <c r="L5" s="16"/>
      <c r="M5" s="16"/>
      <c r="N5" s="16"/>
      <c r="O5" s="16"/>
      <c r="P5" s="19">
        <v>126.634</v>
      </c>
      <c r="Q5" s="17">
        <v>0</v>
      </c>
      <c r="R5" s="47"/>
    </row>
    <row r="6" spans="2:18" s="22" customFormat="1" x14ac:dyDescent="0.35">
      <c r="B6" s="48" t="s">
        <v>2</v>
      </c>
      <c r="C6" s="49"/>
      <c r="D6" s="50"/>
      <c r="E6" s="20">
        <v>160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1">
        <f>SUM(P4:P5)</f>
        <v>153.495744</v>
      </c>
      <c r="Q6" s="20"/>
      <c r="R6" s="20"/>
    </row>
  </sheetData>
  <mergeCells count="2">
    <mergeCell ref="R4:R5"/>
    <mergeCell ref="B6:D6"/>
  </mergeCells>
  <conditionalFormatting sqref="E4:E5">
    <cfRule type="containsText" dxfId="13" priority="1" operator="containsText" text="proto">
      <formula>NOT(ISERROR(SEARCH("proto",E4)))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47A7-D1B5-4A88-918A-3701F4B0E907}">
  <sheetPr codeName="Sheet2">
    <pageSetUpPr fitToPage="1"/>
  </sheetPr>
  <dimension ref="A1:P65"/>
  <sheetViews>
    <sheetView tabSelected="1" topLeftCell="F31" zoomScale="90" zoomScaleNormal="90" workbookViewId="0">
      <selection activeCell="K44" sqref="K44"/>
    </sheetView>
  </sheetViews>
  <sheetFormatPr defaultColWidth="9.1796875" defaultRowHeight="14.5" x14ac:dyDescent="0.35"/>
  <cols>
    <col min="1" max="1" width="5.54296875" style="2" customWidth="1"/>
    <col min="2" max="2" width="12" style="1" bestFit="1" customWidth="1"/>
    <col min="3" max="3" width="11.08984375" style="1" bestFit="1" customWidth="1"/>
    <col min="4" max="4" width="13.453125" style="2" bestFit="1" customWidth="1"/>
    <col min="5" max="9" width="32.1796875" style="2" customWidth="1"/>
    <col min="10" max="10" width="14.453125" style="2" customWidth="1"/>
    <col min="11" max="11" width="14.81640625" style="2" customWidth="1"/>
    <col min="12" max="12" width="12.81640625" style="1" customWidth="1"/>
    <col min="13" max="13" width="12.453125" style="1" customWidth="1"/>
    <col min="14" max="14" width="10.81640625" style="1" customWidth="1"/>
    <col min="15" max="15" width="20" style="1" customWidth="1"/>
    <col min="16" max="16" width="14.54296875" style="1" customWidth="1"/>
    <col min="17" max="20" width="9.1796875" style="1"/>
    <col min="21" max="21" width="12.1796875" style="1" bestFit="1" customWidth="1"/>
    <col min="22" max="16384" width="9.1796875" style="1"/>
  </cols>
  <sheetData>
    <row r="1" spans="1:16" ht="22.5" customHeight="1" x14ac:dyDescent="0.35">
      <c r="A1" s="30" t="s">
        <v>0</v>
      </c>
      <c r="B1" s="30" t="s">
        <v>35</v>
      </c>
      <c r="C1" s="31" t="s">
        <v>1</v>
      </c>
      <c r="D1" s="31" t="s">
        <v>36</v>
      </c>
      <c r="E1" s="30" t="s">
        <v>37</v>
      </c>
      <c r="F1" s="30" t="s">
        <v>31</v>
      </c>
      <c r="G1" s="31" t="s">
        <v>32</v>
      </c>
      <c r="H1" s="30" t="s">
        <v>33</v>
      </c>
      <c r="I1" s="31" t="s">
        <v>34</v>
      </c>
      <c r="J1" s="36" t="s">
        <v>38</v>
      </c>
      <c r="K1" s="37" t="s">
        <v>39</v>
      </c>
      <c r="L1" s="37" t="s">
        <v>40</v>
      </c>
      <c r="M1" s="36" t="s">
        <v>3</v>
      </c>
      <c r="N1" s="36" t="s">
        <v>4</v>
      </c>
      <c r="O1" s="38" t="s">
        <v>41</v>
      </c>
      <c r="P1" s="39" t="s">
        <v>42</v>
      </c>
    </row>
    <row r="2" spans="1:16" ht="21" customHeight="1" x14ac:dyDescent="0.35">
      <c r="A2" s="25">
        <v>1</v>
      </c>
      <c r="B2" s="32" t="s">
        <v>43</v>
      </c>
      <c r="C2" s="33" t="s">
        <v>44</v>
      </c>
      <c r="D2" s="29">
        <v>85</v>
      </c>
      <c r="E2" s="43" t="s">
        <v>116</v>
      </c>
      <c r="F2" s="28">
        <v>20</v>
      </c>
      <c r="G2" s="27" t="s">
        <v>137</v>
      </c>
      <c r="H2" s="27" t="s">
        <v>140</v>
      </c>
      <c r="I2" s="27"/>
      <c r="J2" s="26">
        <f>K2-1</f>
        <v>45963</v>
      </c>
      <c r="K2" s="45">
        <v>45964</v>
      </c>
      <c r="L2" s="45">
        <v>45973</v>
      </c>
      <c r="M2" s="24">
        <f>L2+10</f>
        <v>45983</v>
      </c>
      <c r="N2" s="24">
        <f>L2+5</f>
        <v>45978</v>
      </c>
      <c r="O2" s="23">
        <f>D2*7659</f>
        <v>651015</v>
      </c>
      <c r="P2" s="26"/>
    </row>
    <row r="3" spans="1:16" x14ac:dyDescent="0.35">
      <c r="A3" s="25">
        <v>2</v>
      </c>
      <c r="B3" s="32" t="s">
        <v>45</v>
      </c>
      <c r="C3" s="33" t="s">
        <v>46</v>
      </c>
      <c r="D3" s="29">
        <v>105</v>
      </c>
      <c r="E3" s="43" t="str">
        <f>E2</f>
        <v>Infineda 1</v>
      </c>
      <c r="F3" s="28">
        <v>20</v>
      </c>
      <c r="G3" s="27" t="s">
        <v>137</v>
      </c>
      <c r="H3" s="27" t="s">
        <v>140</v>
      </c>
      <c r="I3" s="27"/>
      <c r="J3" s="26">
        <f t="shared" ref="J3:J51" si="0">K3-1</f>
        <v>45974</v>
      </c>
      <c r="K3" s="45">
        <v>45975</v>
      </c>
      <c r="L3" s="45">
        <v>45991</v>
      </c>
      <c r="M3" s="24">
        <f t="shared" ref="M3:M8" si="1">L3+10</f>
        <v>46001</v>
      </c>
      <c r="N3" s="24">
        <f t="shared" ref="N3:N7" si="2">L3+5</f>
        <v>45996</v>
      </c>
      <c r="O3" s="23">
        <f t="shared" ref="O3:O51" si="3">D3*7659</f>
        <v>804195</v>
      </c>
      <c r="P3" s="26"/>
    </row>
    <row r="4" spans="1:16" ht="20.149999999999999" customHeight="1" x14ac:dyDescent="0.35">
      <c r="A4" s="25">
        <v>3</v>
      </c>
      <c r="B4" s="32" t="s">
        <v>47</v>
      </c>
      <c r="C4" s="33" t="s">
        <v>48</v>
      </c>
      <c r="D4" s="29">
        <v>37.931087999999995</v>
      </c>
      <c r="E4" s="43" t="s">
        <v>117</v>
      </c>
      <c r="F4" s="28">
        <v>25</v>
      </c>
      <c r="G4" s="27" t="s">
        <v>137</v>
      </c>
      <c r="H4" s="27" t="s">
        <v>141</v>
      </c>
      <c r="I4" s="27"/>
      <c r="J4" s="26">
        <f t="shared" si="0"/>
        <v>45961</v>
      </c>
      <c r="K4" s="45">
        <v>45962</v>
      </c>
      <c r="L4" s="45">
        <v>45968</v>
      </c>
      <c r="M4" s="24">
        <f t="shared" si="1"/>
        <v>45978</v>
      </c>
      <c r="N4" s="24">
        <f t="shared" si="2"/>
        <v>45973</v>
      </c>
      <c r="O4" s="23">
        <f t="shared" si="3"/>
        <v>290514.20299199998</v>
      </c>
      <c r="P4" s="26"/>
    </row>
    <row r="5" spans="1:16" ht="20.149999999999999" customHeight="1" x14ac:dyDescent="0.35">
      <c r="A5" s="25">
        <v>4</v>
      </c>
      <c r="B5" s="32" t="s">
        <v>49</v>
      </c>
      <c r="C5" s="33" t="s">
        <v>50</v>
      </c>
      <c r="D5" s="29">
        <v>35.601761999999994</v>
      </c>
      <c r="E5" s="43" t="str">
        <f t="shared" ref="E5:E7" si="4">E4</f>
        <v>Radha Enterpises 1</v>
      </c>
      <c r="F5" s="28">
        <v>25</v>
      </c>
      <c r="G5" s="27" t="s">
        <v>137</v>
      </c>
      <c r="H5" s="27" t="s">
        <v>141</v>
      </c>
      <c r="I5" s="27"/>
      <c r="J5" s="26">
        <f t="shared" si="0"/>
        <v>45968</v>
      </c>
      <c r="K5" s="45">
        <v>45969</v>
      </c>
      <c r="L5" s="45">
        <v>45975</v>
      </c>
      <c r="M5" s="24">
        <f t="shared" si="1"/>
        <v>45985</v>
      </c>
      <c r="N5" s="24">
        <f t="shared" si="2"/>
        <v>45980</v>
      </c>
      <c r="O5" s="23">
        <f t="shared" si="3"/>
        <v>272673.89515799994</v>
      </c>
      <c r="P5" s="25"/>
    </row>
    <row r="6" spans="1:16" ht="20.149999999999999" customHeight="1" x14ac:dyDescent="0.35">
      <c r="A6" s="25">
        <v>5</v>
      </c>
      <c r="B6" s="32" t="s">
        <v>51</v>
      </c>
      <c r="C6" s="33" t="s">
        <v>52</v>
      </c>
      <c r="D6" s="29">
        <v>36.159755999999994</v>
      </c>
      <c r="E6" s="43" t="str">
        <f t="shared" si="4"/>
        <v>Radha Enterpises 1</v>
      </c>
      <c r="F6" s="28">
        <v>25</v>
      </c>
      <c r="G6" s="27" t="s">
        <v>137</v>
      </c>
      <c r="H6" s="27" t="s">
        <v>141</v>
      </c>
      <c r="I6" s="27"/>
      <c r="J6" s="26">
        <f t="shared" si="0"/>
        <v>45975</v>
      </c>
      <c r="K6" s="45">
        <v>45976</v>
      </c>
      <c r="L6" s="45">
        <v>45982</v>
      </c>
      <c r="M6" s="24">
        <f t="shared" si="1"/>
        <v>45992</v>
      </c>
      <c r="N6" s="24">
        <f t="shared" si="2"/>
        <v>45987</v>
      </c>
      <c r="O6" s="23">
        <f t="shared" si="3"/>
        <v>276947.57120399998</v>
      </c>
      <c r="P6" s="26"/>
    </row>
    <row r="7" spans="1:16" ht="20.149999999999999" customHeight="1" x14ac:dyDescent="0.35">
      <c r="A7" s="25">
        <v>6</v>
      </c>
      <c r="B7" s="32" t="s">
        <v>53</v>
      </c>
      <c r="C7" s="33" t="s">
        <v>52</v>
      </c>
      <c r="D7" s="29">
        <v>36.159755999999994</v>
      </c>
      <c r="E7" s="43" t="str">
        <f t="shared" si="4"/>
        <v>Radha Enterpises 1</v>
      </c>
      <c r="F7" s="28">
        <v>25</v>
      </c>
      <c r="G7" s="27" t="s">
        <v>137</v>
      </c>
      <c r="H7" s="27" t="s">
        <v>141</v>
      </c>
      <c r="I7" s="27"/>
      <c r="J7" s="26">
        <f t="shared" si="0"/>
        <v>45982</v>
      </c>
      <c r="K7" s="45">
        <v>45983</v>
      </c>
      <c r="L7" s="45" t="s">
        <v>139</v>
      </c>
      <c r="M7" s="24" t="e">
        <f t="shared" si="1"/>
        <v>#VALUE!</v>
      </c>
      <c r="N7" s="24" t="e">
        <f t="shared" si="2"/>
        <v>#VALUE!</v>
      </c>
      <c r="O7" s="23">
        <f t="shared" si="3"/>
        <v>276947.57120399998</v>
      </c>
      <c r="P7" s="26"/>
    </row>
    <row r="8" spans="1:16" ht="20.149999999999999" customHeight="1" x14ac:dyDescent="0.35">
      <c r="A8" s="25">
        <v>7</v>
      </c>
      <c r="B8" s="32" t="s">
        <v>54</v>
      </c>
      <c r="C8" s="33" t="s">
        <v>55</v>
      </c>
      <c r="D8" s="29">
        <v>77.076931999999999</v>
      </c>
      <c r="E8" s="43" t="s">
        <v>118</v>
      </c>
      <c r="F8" s="28">
        <v>27</v>
      </c>
      <c r="G8" s="27" t="s">
        <v>137</v>
      </c>
      <c r="H8" s="27" t="s">
        <v>142</v>
      </c>
      <c r="I8" s="27"/>
      <c r="J8" s="26">
        <f t="shared" si="0"/>
        <v>45956</v>
      </c>
      <c r="K8" s="45">
        <v>45957</v>
      </c>
      <c r="L8" s="45">
        <v>45967</v>
      </c>
      <c r="M8" s="24">
        <f t="shared" si="1"/>
        <v>45977</v>
      </c>
      <c r="N8" s="24">
        <f>L8+5</f>
        <v>45972</v>
      </c>
      <c r="O8" s="23">
        <f t="shared" si="3"/>
        <v>590332.22218799999</v>
      </c>
      <c r="P8" s="26"/>
    </row>
    <row r="9" spans="1:16" ht="20.149999999999999" customHeight="1" x14ac:dyDescent="0.35">
      <c r="A9" s="25">
        <v>8</v>
      </c>
      <c r="B9" s="32" t="s">
        <v>56</v>
      </c>
      <c r="C9" s="33" t="s">
        <v>57</v>
      </c>
      <c r="D9" s="29">
        <v>75.27</v>
      </c>
      <c r="E9" s="43" t="str">
        <f t="shared" ref="E9:E11" si="5">E8</f>
        <v>Poonam Kumari 1</v>
      </c>
      <c r="F9" s="28">
        <v>27</v>
      </c>
      <c r="G9" s="27" t="s">
        <v>137</v>
      </c>
      <c r="H9" s="27" t="s">
        <v>142</v>
      </c>
      <c r="I9" s="27"/>
      <c r="J9" s="26">
        <f t="shared" si="0"/>
        <v>45967</v>
      </c>
      <c r="K9" s="45">
        <v>45968</v>
      </c>
      <c r="L9" s="45">
        <v>45977</v>
      </c>
      <c r="M9" s="24">
        <f>L9+10</f>
        <v>45987</v>
      </c>
      <c r="N9" s="24">
        <f t="shared" ref="N9:N51" si="6">L9+5</f>
        <v>45982</v>
      </c>
      <c r="O9" s="23">
        <f t="shared" si="3"/>
        <v>576492.92999999993</v>
      </c>
      <c r="P9" s="26"/>
    </row>
    <row r="10" spans="1:16" ht="20.149999999999999" customHeight="1" x14ac:dyDescent="0.35">
      <c r="A10" s="25">
        <v>9</v>
      </c>
      <c r="B10" s="32" t="s">
        <v>30</v>
      </c>
      <c r="C10" s="33" t="s">
        <v>58</v>
      </c>
      <c r="D10" s="29">
        <v>34.789810000000003</v>
      </c>
      <c r="E10" s="43" t="str">
        <f t="shared" si="5"/>
        <v>Poonam Kumari 1</v>
      </c>
      <c r="F10" s="28">
        <v>27</v>
      </c>
      <c r="G10" s="27" t="s">
        <v>137</v>
      </c>
      <c r="H10" s="27" t="s">
        <v>142</v>
      </c>
      <c r="I10" s="27"/>
      <c r="J10" s="26">
        <f t="shared" si="0"/>
        <v>45977</v>
      </c>
      <c r="K10" s="45">
        <v>45978</v>
      </c>
      <c r="L10" s="45">
        <v>45983</v>
      </c>
      <c r="M10" s="24">
        <f t="shared" ref="M10:M51" si="7">L10+10</f>
        <v>45993</v>
      </c>
      <c r="N10" s="24">
        <f t="shared" si="6"/>
        <v>45988</v>
      </c>
      <c r="O10" s="23">
        <f t="shared" si="3"/>
        <v>266455.15479</v>
      </c>
      <c r="P10" s="26"/>
    </row>
    <row r="11" spans="1:16" ht="20.149999999999999" customHeight="1" x14ac:dyDescent="0.35">
      <c r="A11" s="25">
        <v>10</v>
      </c>
      <c r="B11" s="32" t="s">
        <v>59</v>
      </c>
      <c r="C11" s="33" t="s">
        <v>52</v>
      </c>
      <c r="D11" s="29">
        <v>36.159755999999994</v>
      </c>
      <c r="E11" s="43" t="str">
        <f t="shared" si="5"/>
        <v>Poonam Kumari 1</v>
      </c>
      <c r="F11" s="28">
        <v>27</v>
      </c>
      <c r="G11" s="27" t="s">
        <v>137</v>
      </c>
      <c r="H11" s="27" t="s">
        <v>142</v>
      </c>
      <c r="I11" s="27"/>
      <c r="J11" s="26">
        <f t="shared" si="0"/>
        <v>45983</v>
      </c>
      <c r="K11" s="45">
        <v>45984</v>
      </c>
      <c r="L11" s="45">
        <v>45991</v>
      </c>
      <c r="M11" s="24">
        <f t="shared" si="7"/>
        <v>46001</v>
      </c>
      <c r="N11" s="24">
        <f t="shared" si="6"/>
        <v>45996</v>
      </c>
      <c r="O11" s="23">
        <f t="shared" si="3"/>
        <v>276947.57120399998</v>
      </c>
      <c r="P11" s="26"/>
    </row>
    <row r="12" spans="1:16" ht="20.149999999999999" customHeight="1" x14ac:dyDescent="0.35">
      <c r="A12" s="25">
        <v>11</v>
      </c>
      <c r="B12" s="32" t="s">
        <v>60</v>
      </c>
      <c r="C12" s="33" t="s">
        <v>61</v>
      </c>
      <c r="D12" s="29">
        <v>73.244547999999995</v>
      </c>
      <c r="E12" s="43" t="s">
        <v>119</v>
      </c>
      <c r="F12" s="28">
        <v>26</v>
      </c>
      <c r="G12" s="27" t="s">
        <v>137</v>
      </c>
      <c r="H12" s="25" t="s">
        <v>143</v>
      </c>
      <c r="I12" s="27"/>
      <c r="J12" s="26">
        <f t="shared" si="0"/>
        <v>45955</v>
      </c>
      <c r="K12" s="45">
        <v>45956</v>
      </c>
      <c r="L12" s="45">
        <v>45969</v>
      </c>
      <c r="M12" s="24">
        <f t="shared" si="7"/>
        <v>45979</v>
      </c>
      <c r="N12" s="24">
        <f t="shared" si="6"/>
        <v>45974</v>
      </c>
      <c r="O12" s="23">
        <f t="shared" si="3"/>
        <v>560979.99313199997</v>
      </c>
      <c r="P12" s="26"/>
    </row>
    <row r="13" spans="1:16" ht="20.149999999999999" customHeight="1" x14ac:dyDescent="0.35">
      <c r="A13" s="25">
        <v>12</v>
      </c>
      <c r="B13" s="32" t="s">
        <v>62</v>
      </c>
      <c r="C13" s="33" t="s">
        <v>63</v>
      </c>
      <c r="D13" s="29">
        <v>137.04611199999999</v>
      </c>
      <c r="E13" s="43" t="str">
        <f t="shared" ref="E13:E14" si="8">E12</f>
        <v>Poonam kumari 2</v>
      </c>
      <c r="F13" s="28">
        <v>26</v>
      </c>
      <c r="G13" s="27" t="s">
        <v>137</v>
      </c>
      <c r="H13" s="25" t="s">
        <v>143</v>
      </c>
      <c r="I13" s="27"/>
      <c r="J13" s="26">
        <f t="shared" si="0"/>
        <v>45970</v>
      </c>
      <c r="K13" s="45">
        <v>45971</v>
      </c>
      <c r="L13" s="45">
        <v>45984</v>
      </c>
      <c r="M13" s="24">
        <f t="shared" si="7"/>
        <v>45994</v>
      </c>
      <c r="N13" s="24">
        <f t="shared" si="6"/>
        <v>45989</v>
      </c>
      <c r="O13" s="23">
        <f t="shared" si="3"/>
        <v>1049636.171808</v>
      </c>
      <c r="P13" s="26"/>
    </row>
    <row r="14" spans="1:16" ht="20.149999999999999" customHeight="1" x14ac:dyDescent="0.35">
      <c r="A14" s="25">
        <v>13</v>
      </c>
      <c r="B14" s="32" t="s">
        <v>64</v>
      </c>
      <c r="C14" s="33" t="s">
        <v>65</v>
      </c>
      <c r="D14" s="29">
        <v>45.697022000000004</v>
      </c>
      <c r="E14" s="43" t="str">
        <f t="shared" si="8"/>
        <v>Poonam kumari 2</v>
      </c>
      <c r="F14" s="28">
        <v>26</v>
      </c>
      <c r="G14" s="27" t="s">
        <v>137</v>
      </c>
      <c r="H14" s="25" t="s">
        <v>143</v>
      </c>
      <c r="I14" s="27"/>
      <c r="J14" s="26">
        <f t="shared" si="0"/>
        <v>45984</v>
      </c>
      <c r="K14" s="45">
        <v>45985</v>
      </c>
      <c r="L14" s="45">
        <v>45991</v>
      </c>
      <c r="M14" s="24">
        <f t="shared" si="7"/>
        <v>46001</v>
      </c>
      <c r="N14" s="24">
        <f t="shared" si="6"/>
        <v>45996</v>
      </c>
      <c r="O14" s="23">
        <f t="shared" si="3"/>
        <v>349993.49149800005</v>
      </c>
      <c r="P14" s="26"/>
    </row>
    <row r="15" spans="1:16" ht="20.149999999999999" customHeight="1" x14ac:dyDescent="0.35">
      <c r="A15" s="25">
        <v>14</v>
      </c>
      <c r="B15" s="32" t="s">
        <v>29</v>
      </c>
      <c r="C15" s="33" t="s">
        <v>52</v>
      </c>
      <c r="D15" s="29">
        <v>36.159755999999994</v>
      </c>
      <c r="E15" s="43" t="s">
        <v>120</v>
      </c>
      <c r="F15" s="28">
        <v>22</v>
      </c>
      <c r="G15" s="27" t="s">
        <v>137</v>
      </c>
      <c r="H15" s="27" t="s">
        <v>144</v>
      </c>
      <c r="I15" s="27"/>
      <c r="J15" s="26">
        <f t="shared" si="0"/>
        <v>45962</v>
      </c>
      <c r="K15" s="45">
        <v>45963</v>
      </c>
      <c r="L15" s="45">
        <v>45969</v>
      </c>
      <c r="M15" s="24">
        <f t="shared" si="7"/>
        <v>45979</v>
      </c>
      <c r="N15" s="24">
        <f t="shared" si="6"/>
        <v>45974</v>
      </c>
      <c r="O15" s="23">
        <f t="shared" si="3"/>
        <v>276947.57120399998</v>
      </c>
      <c r="P15" s="26"/>
    </row>
    <row r="16" spans="1:16" ht="20.149999999999999" customHeight="1" x14ac:dyDescent="0.35">
      <c r="A16" s="25">
        <v>15</v>
      </c>
      <c r="B16" s="34" t="s">
        <v>67</v>
      </c>
      <c r="C16" s="33" t="s">
        <v>68</v>
      </c>
      <c r="D16" s="29">
        <v>43.804423999999997</v>
      </c>
      <c r="E16" s="43" t="str">
        <f t="shared" ref="E16:E18" si="9">E15</f>
        <v>Jwala Singh</v>
      </c>
      <c r="F16" s="28">
        <v>22</v>
      </c>
      <c r="G16" s="27" t="s">
        <v>137</v>
      </c>
      <c r="H16" s="27" t="s">
        <v>144</v>
      </c>
      <c r="I16" s="27"/>
      <c r="J16" s="26">
        <f t="shared" si="0"/>
        <v>45969</v>
      </c>
      <c r="K16" s="45">
        <v>45970</v>
      </c>
      <c r="L16" s="45">
        <v>45975</v>
      </c>
      <c r="M16" s="24">
        <f t="shared" si="7"/>
        <v>45985</v>
      </c>
      <c r="N16" s="24">
        <f t="shared" si="6"/>
        <v>45980</v>
      </c>
      <c r="O16" s="23">
        <f t="shared" si="3"/>
        <v>335498.08341600001</v>
      </c>
      <c r="P16" s="26"/>
    </row>
    <row r="17" spans="1:16" ht="20.149999999999999" customHeight="1" x14ac:dyDescent="0.35">
      <c r="A17" s="25">
        <v>16</v>
      </c>
      <c r="B17" s="34" t="s">
        <v>69</v>
      </c>
      <c r="C17" s="33" t="s">
        <v>70</v>
      </c>
      <c r="D17" s="29">
        <v>37.138323999999997</v>
      </c>
      <c r="E17" s="43" t="str">
        <f t="shared" si="9"/>
        <v>Jwala Singh</v>
      </c>
      <c r="F17" s="28">
        <v>22</v>
      </c>
      <c r="G17" s="27" t="s">
        <v>137</v>
      </c>
      <c r="H17" s="27" t="s">
        <v>144</v>
      </c>
      <c r="I17" s="27"/>
      <c r="J17" s="26">
        <f t="shared" si="0"/>
        <v>45975</v>
      </c>
      <c r="K17" s="45">
        <v>45976</v>
      </c>
      <c r="L17" s="45">
        <v>45982</v>
      </c>
      <c r="M17" s="24">
        <f t="shared" si="7"/>
        <v>45992</v>
      </c>
      <c r="N17" s="24">
        <f t="shared" si="6"/>
        <v>45987</v>
      </c>
      <c r="O17" s="23">
        <f t="shared" si="3"/>
        <v>284442.42351599998</v>
      </c>
      <c r="P17" s="25"/>
    </row>
    <row r="18" spans="1:16" ht="20.149999999999999" customHeight="1" x14ac:dyDescent="0.35">
      <c r="A18" s="25">
        <v>17</v>
      </c>
      <c r="B18" s="34" t="s">
        <v>71</v>
      </c>
      <c r="C18" s="33" t="s">
        <v>48</v>
      </c>
      <c r="D18" s="29">
        <v>37.931087999999995</v>
      </c>
      <c r="E18" s="43" t="str">
        <f t="shared" si="9"/>
        <v>Jwala Singh</v>
      </c>
      <c r="F18" s="28">
        <v>22</v>
      </c>
      <c r="G18" s="27" t="s">
        <v>137</v>
      </c>
      <c r="H18" s="27" t="s">
        <v>144</v>
      </c>
      <c r="I18" s="40"/>
      <c r="J18" s="26">
        <f t="shared" si="0"/>
        <v>45982</v>
      </c>
      <c r="K18" s="45">
        <v>45983</v>
      </c>
      <c r="L18" s="45">
        <v>45990</v>
      </c>
      <c r="M18" s="24">
        <f t="shared" si="7"/>
        <v>46000</v>
      </c>
      <c r="N18" s="24">
        <f t="shared" si="6"/>
        <v>45995</v>
      </c>
      <c r="O18" s="23">
        <f t="shared" si="3"/>
        <v>290514.20299199998</v>
      </c>
      <c r="P18" s="41"/>
    </row>
    <row r="19" spans="1:16" ht="20.149999999999999" customHeight="1" x14ac:dyDescent="0.35">
      <c r="A19" s="25">
        <v>18</v>
      </c>
      <c r="B19" s="32" t="s">
        <v>72</v>
      </c>
      <c r="C19" s="33" t="s">
        <v>48</v>
      </c>
      <c r="D19" s="29">
        <v>37.931087999999995</v>
      </c>
      <c r="E19" s="43" t="s">
        <v>121</v>
      </c>
      <c r="F19" s="40">
        <v>24</v>
      </c>
      <c r="G19" s="27" t="s">
        <v>137</v>
      </c>
      <c r="H19" s="40"/>
      <c r="I19" s="40"/>
      <c r="J19" s="26">
        <f t="shared" si="0"/>
        <v>45961</v>
      </c>
      <c r="K19" s="45">
        <v>45962</v>
      </c>
      <c r="L19" s="45">
        <v>45968</v>
      </c>
      <c r="M19" s="24">
        <f t="shared" si="7"/>
        <v>45978</v>
      </c>
      <c r="N19" s="24">
        <f t="shared" si="6"/>
        <v>45973</v>
      </c>
      <c r="O19" s="23">
        <f t="shared" si="3"/>
        <v>290514.20299199998</v>
      </c>
      <c r="P19" s="41"/>
    </row>
    <row r="20" spans="1:16" ht="20.149999999999999" customHeight="1" x14ac:dyDescent="0.35">
      <c r="A20" s="25">
        <v>19</v>
      </c>
      <c r="B20" s="32" t="s">
        <v>73</v>
      </c>
      <c r="C20" s="33" t="s">
        <v>48</v>
      </c>
      <c r="D20" s="29">
        <v>37.931087999999995</v>
      </c>
      <c r="E20" s="43" t="str">
        <f t="shared" ref="E20:E22" si="10">E19</f>
        <v>Madhu Sah</v>
      </c>
      <c r="F20" s="40">
        <v>24</v>
      </c>
      <c r="G20" s="27" t="s">
        <v>137</v>
      </c>
      <c r="H20" s="42"/>
      <c r="I20" s="42"/>
      <c r="J20" s="26">
        <f t="shared" si="0"/>
        <v>45968</v>
      </c>
      <c r="K20" s="45">
        <v>45969</v>
      </c>
      <c r="L20" s="45">
        <v>45975</v>
      </c>
      <c r="M20" s="24">
        <f t="shared" si="7"/>
        <v>45985</v>
      </c>
      <c r="N20" s="24">
        <f t="shared" si="6"/>
        <v>45980</v>
      </c>
      <c r="O20" s="23">
        <f t="shared" si="3"/>
        <v>290514.20299199998</v>
      </c>
      <c r="P20" s="25"/>
    </row>
    <row r="21" spans="1:16" x14ac:dyDescent="0.35">
      <c r="A21" s="25">
        <v>20</v>
      </c>
      <c r="B21" s="32" t="s">
        <v>74</v>
      </c>
      <c r="C21" s="33" t="s">
        <v>70</v>
      </c>
      <c r="D21" s="29">
        <v>37.138323999999997</v>
      </c>
      <c r="E21" s="43" t="str">
        <f t="shared" si="10"/>
        <v>Madhu Sah</v>
      </c>
      <c r="F21" s="40">
        <v>24</v>
      </c>
      <c r="G21" s="27" t="s">
        <v>137</v>
      </c>
      <c r="H21" s="40"/>
      <c r="I21" s="40"/>
      <c r="J21" s="26">
        <f t="shared" si="0"/>
        <v>45975</v>
      </c>
      <c r="K21" s="45">
        <v>45976</v>
      </c>
      <c r="L21" s="45">
        <v>45982</v>
      </c>
      <c r="M21" s="24">
        <f t="shared" si="7"/>
        <v>45992</v>
      </c>
      <c r="N21" s="24">
        <f t="shared" si="6"/>
        <v>45987</v>
      </c>
      <c r="O21" s="23">
        <f t="shared" si="3"/>
        <v>284442.42351599998</v>
      </c>
      <c r="P21" s="41"/>
    </row>
    <row r="22" spans="1:16" x14ac:dyDescent="0.35">
      <c r="A22" s="25">
        <v>21</v>
      </c>
      <c r="B22" s="32" t="s">
        <v>75</v>
      </c>
      <c r="C22" s="33" t="s">
        <v>70</v>
      </c>
      <c r="D22" s="29">
        <v>37.138323999999997</v>
      </c>
      <c r="E22" s="43" t="str">
        <f t="shared" si="10"/>
        <v>Madhu Sah</v>
      </c>
      <c r="F22" s="40">
        <v>24</v>
      </c>
      <c r="G22" s="27" t="s">
        <v>137</v>
      </c>
      <c r="H22" s="40"/>
      <c r="I22" s="40"/>
      <c r="J22" s="26">
        <f t="shared" si="0"/>
        <v>45982</v>
      </c>
      <c r="K22" s="45">
        <v>45983</v>
      </c>
      <c r="L22" s="45">
        <v>45991</v>
      </c>
      <c r="M22" s="24">
        <f t="shared" si="7"/>
        <v>46001</v>
      </c>
      <c r="N22" s="24">
        <f t="shared" si="6"/>
        <v>45996</v>
      </c>
      <c r="O22" s="23">
        <f t="shared" si="3"/>
        <v>284442.42351599998</v>
      </c>
      <c r="P22" s="41"/>
    </row>
    <row r="23" spans="1:16" x14ac:dyDescent="0.35">
      <c r="A23" s="25">
        <v>22</v>
      </c>
      <c r="B23" s="32" t="s">
        <v>76</v>
      </c>
      <c r="C23" s="33" t="s">
        <v>77</v>
      </c>
      <c r="D23" s="29">
        <v>81.828000000000003</v>
      </c>
      <c r="E23" s="43" t="s">
        <v>122</v>
      </c>
      <c r="F23" s="40">
        <v>33</v>
      </c>
      <c r="G23" s="27" t="s">
        <v>137</v>
      </c>
      <c r="H23" s="40"/>
      <c r="I23" s="40"/>
      <c r="J23" s="26">
        <f t="shared" si="0"/>
        <v>45961</v>
      </c>
      <c r="K23" s="45">
        <v>45962</v>
      </c>
      <c r="L23" s="45">
        <v>45973</v>
      </c>
      <c r="M23" s="24">
        <f t="shared" si="7"/>
        <v>45983</v>
      </c>
      <c r="N23" s="24">
        <f t="shared" si="6"/>
        <v>45978</v>
      </c>
      <c r="O23" s="23">
        <f t="shared" si="3"/>
        <v>626720.652</v>
      </c>
      <c r="P23" s="41"/>
    </row>
    <row r="24" spans="1:16" x14ac:dyDescent="0.35">
      <c r="A24" s="25">
        <v>23</v>
      </c>
      <c r="B24" s="32" t="s">
        <v>78</v>
      </c>
      <c r="C24" s="33" t="s">
        <v>79</v>
      </c>
      <c r="D24" s="29">
        <v>160.94399999999999</v>
      </c>
      <c r="E24" s="43" t="str">
        <f>E23</f>
        <v>Dasrath Mahato</v>
      </c>
      <c r="F24" s="40">
        <v>33</v>
      </c>
      <c r="G24" s="27" t="s">
        <v>137</v>
      </c>
      <c r="H24" s="40"/>
      <c r="I24" s="40"/>
      <c r="J24" s="26">
        <f t="shared" si="0"/>
        <v>45973</v>
      </c>
      <c r="K24" s="45">
        <v>45974</v>
      </c>
      <c r="L24" s="45">
        <v>45991</v>
      </c>
      <c r="M24" s="24">
        <f t="shared" si="7"/>
        <v>46001</v>
      </c>
      <c r="N24" s="24">
        <f t="shared" si="6"/>
        <v>45996</v>
      </c>
      <c r="O24" s="23">
        <f t="shared" si="3"/>
        <v>1232670.0959999999</v>
      </c>
      <c r="P24" s="41"/>
    </row>
    <row r="25" spans="1:16" x14ac:dyDescent="0.35">
      <c r="A25" s="25">
        <v>24</v>
      </c>
      <c r="B25" s="32" t="s">
        <v>80</v>
      </c>
      <c r="C25" s="33" t="s">
        <v>66</v>
      </c>
      <c r="D25" s="29">
        <v>53.323999999999998</v>
      </c>
      <c r="E25" s="43" t="s">
        <v>123</v>
      </c>
      <c r="F25" s="40">
        <v>27</v>
      </c>
      <c r="G25" s="27" t="s">
        <v>138</v>
      </c>
      <c r="H25" s="40"/>
      <c r="I25" s="40"/>
      <c r="J25" s="26">
        <f t="shared" si="0"/>
        <v>45961</v>
      </c>
      <c r="K25" s="45">
        <v>45962</v>
      </c>
      <c r="L25" s="45">
        <v>45968</v>
      </c>
      <c r="M25" s="24">
        <f t="shared" si="7"/>
        <v>45978</v>
      </c>
      <c r="N25" s="24">
        <f t="shared" si="6"/>
        <v>45973</v>
      </c>
      <c r="O25" s="23">
        <f t="shared" si="3"/>
        <v>408408.516</v>
      </c>
      <c r="P25" s="41"/>
    </row>
    <row r="26" spans="1:16" x14ac:dyDescent="0.35">
      <c r="A26" s="25">
        <v>25</v>
      </c>
      <c r="B26" s="32" t="s">
        <v>81</v>
      </c>
      <c r="C26" s="33" t="s">
        <v>66</v>
      </c>
      <c r="D26" s="29">
        <v>53.323999999999998</v>
      </c>
      <c r="E26" s="43" t="str">
        <f t="shared" ref="E26:E28" si="11">E25</f>
        <v>Infineda 2</v>
      </c>
      <c r="F26" s="40">
        <v>27</v>
      </c>
      <c r="G26" s="27" t="s">
        <v>138</v>
      </c>
      <c r="H26" s="40"/>
      <c r="I26" s="40"/>
      <c r="J26" s="26">
        <f t="shared" si="0"/>
        <v>45968</v>
      </c>
      <c r="K26" s="45">
        <v>45969</v>
      </c>
      <c r="L26" s="45">
        <v>45975</v>
      </c>
      <c r="M26" s="24">
        <f t="shared" si="7"/>
        <v>45985</v>
      </c>
      <c r="N26" s="24">
        <f t="shared" si="6"/>
        <v>45980</v>
      </c>
      <c r="O26" s="23">
        <f t="shared" si="3"/>
        <v>408408.516</v>
      </c>
      <c r="P26" s="41"/>
    </row>
    <row r="27" spans="1:16" x14ac:dyDescent="0.35">
      <c r="A27" s="25">
        <v>26</v>
      </c>
      <c r="B27" s="32" t="s">
        <v>82</v>
      </c>
      <c r="C27" s="33" t="s">
        <v>83</v>
      </c>
      <c r="D27" s="29">
        <v>75.866</v>
      </c>
      <c r="E27" s="43" t="str">
        <f t="shared" si="11"/>
        <v>Infineda 2</v>
      </c>
      <c r="F27" s="40">
        <v>27</v>
      </c>
      <c r="G27" s="27" t="s">
        <v>138</v>
      </c>
      <c r="H27" s="40"/>
      <c r="I27" s="40"/>
      <c r="J27" s="26">
        <f t="shared" si="0"/>
        <v>45975</v>
      </c>
      <c r="K27" s="45">
        <v>45976</v>
      </c>
      <c r="L27" s="45">
        <v>23</v>
      </c>
      <c r="M27" s="24">
        <f t="shared" si="7"/>
        <v>33</v>
      </c>
      <c r="N27" s="24">
        <f t="shared" si="6"/>
        <v>28</v>
      </c>
      <c r="O27" s="23">
        <f t="shared" si="3"/>
        <v>581057.69400000002</v>
      </c>
      <c r="P27" s="41"/>
    </row>
    <row r="28" spans="1:16" x14ac:dyDescent="0.35">
      <c r="A28" s="25">
        <v>27</v>
      </c>
      <c r="B28" s="32" t="s">
        <v>84</v>
      </c>
      <c r="C28" s="33" t="s">
        <v>85</v>
      </c>
      <c r="D28" s="29">
        <v>42.374000000000002</v>
      </c>
      <c r="E28" s="43" t="str">
        <f t="shared" si="11"/>
        <v>Infineda 2</v>
      </c>
      <c r="F28" s="40">
        <v>27</v>
      </c>
      <c r="G28" s="27" t="s">
        <v>138</v>
      </c>
      <c r="H28" s="40"/>
      <c r="I28" s="40"/>
      <c r="J28" s="26">
        <f t="shared" si="0"/>
        <v>45984</v>
      </c>
      <c r="K28" s="45">
        <v>45985</v>
      </c>
      <c r="L28" s="45">
        <v>45991</v>
      </c>
      <c r="M28" s="24">
        <f t="shared" si="7"/>
        <v>46001</v>
      </c>
      <c r="N28" s="24">
        <f t="shared" si="6"/>
        <v>45996</v>
      </c>
      <c r="O28" s="23">
        <f t="shared" si="3"/>
        <v>324542.46600000001</v>
      </c>
      <c r="P28" s="41"/>
    </row>
    <row r="29" spans="1:16" x14ac:dyDescent="0.35">
      <c r="A29" s="25">
        <v>28</v>
      </c>
      <c r="B29" s="32" t="s">
        <v>86</v>
      </c>
      <c r="C29" s="33" t="s">
        <v>87</v>
      </c>
      <c r="D29" s="29">
        <v>43.776000000000003</v>
      </c>
      <c r="E29" s="43" t="s">
        <v>124</v>
      </c>
      <c r="F29" s="40">
        <v>23</v>
      </c>
      <c r="G29" s="27" t="s">
        <v>138</v>
      </c>
      <c r="H29" s="40"/>
      <c r="I29" s="40"/>
      <c r="J29" s="26">
        <f t="shared" si="0"/>
        <v>45966</v>
      </c>
      <c r="K29" s="45">
        <v>45967</v>
      </c>
      <c r="L29" s="45">
        <v>45974</v>
      </c>
      <c r="M29" s="24">
        <f t="shared" si="7"/>
        <v>45984</v>
      </c>
      <c r="N29" s="24">
        <f t="shared" si="6"/>
        <v>45979</v>
      </c>
      <c r="O29" s="23">
        <f t="shared" si="3"/>
        <v>335280.38400000002</v>
      </c>
      <c r="P29" s="41"/>
    </row>
    <row r="30" spans="1:16" x14ac:dyDescent="0.35">
      <c r="A30" s="25">
        <v>29</v>
      </c>
      <c r="B30" s="32" t="s">
        <v>88</v>
      </c>
      <c r="C30" s="33" t="s">
        <v>89</v>
      </c>
      <c r="D30" s="29">
        <v>46.048999999999999</v>
      </c>
      <c r="E30" s="43" t="str">
        <f t="shared" ref="E30:E31" si="12">E29</f>
        <v>GRD 1</v>
      </c>
      <c r="F30" s="40">
        <v>23</v>
      </c>
      <c r="G30" s="27" t="s">
        <v>138</v>
      </c>
      <c r="H30" s="40"/>
      <c r="I30" s="40"/>
      <c r="J30" s="26">
        <f t="shared" si="0"/>
        <v>45974</v>
      </c>
      <c r="K30" s="45">
        <v>45975</v>
      </c>
      <c r="L30" s="45">
        <v>45983</v>
      </c>
      <c r="M30" s="24">
        <f t="shared" si="7"/>
        <v>45993</v>
      </c>
      <c r="N30" s="24">
        <f t="shared" si="6"/>
        <v>45988</v>
      </c>
      <c r="O30" s="23">
        <f t="shared" si="3"/>
        <v>352689.29099999997</v>
      </c>
      <c r="P30" s="41"/>
    </row>
    <row r="31" spans="1:16" x14ac:dyDescent="0.35">
      <c r="A31" s="25">
        <v>30</v>
      </c>
      <c r="B31" s="32" t="s">
        <v>90</v>
      </c>
      <c r="C31" s="33" t="s">
        <v>87</v>
      </c>
      <c r="D31" s="29">
        <v>43.776000000000003</v>
      </c>
      <c r="E31" s="43" t="str">
        <f t="shared" si="12"/>
        <v>GRD 1</v>
      </c>
      <c r="F31" s="40">
        <v>23</v>
      </c>
      <c r="G31" s="27" t="s">
        <v>138</v>
      </c>
      <c r="H31" s="40"/>
      <c r="I31" s="40"/>
      <c r="J31" s="26">
        <f t="shared" si="0"/>
        <v>45983</v>
      </c>
      <c r="K31" s="45">
        <v>45984</v>
      </c>
      <c r="L31" s="45">
        <v>45991</v>
      </c>
      <c r="M31" s="24">
        <f t="shared" si="7"/>
        <v>46001</v>
      </c>
      <c r="N31" s="24">
        <f t="shared" si="6"/>
        <v>45996</v>
      </c>
      <c r="O31" s="23">
        <f t="shared" si="3"/>
        <v>335280.38400000002</v>
      </c>
      <c r="P31" s="41"/>
    </row>
    <row r="32" spans="1:16" x14ac:dyDescent="0.35">
      <c r="A32" s="25">
        <v>31</v>
      </c>
      <c r="B32" s="32" t="s">
        <v>91</v>
      </c>
      <c r="C32" s="33" t="s">
        <v>87</v>
      </c>
      <c r="D32" s="29">
        <v>43.776000000000003</v>
      </c>
      <c r="E32" s="43" t="s">
        <v>125</v>
      </c>
      <c r="F32" s="40">
        <v>28</v>
      </c>
      <c r="G32" s="27" t="s">
        <v>138</v>
      </c>
      <c r="H32" s="40"/>
      <c r="I32" s="40"/>
      <c r="J32" s="26">
        <f t="shared" si="0"/>
        <v>45966</v>
      </c>
      <c r="K32" s="45">
        <v>45967</v>
      </c>
      <c r="L32" s="45">
        <v>45974</v>
      </c>
      <c r="M32" s="24">
        <f t="shared" si="7"/>
        <v>45984</v>
      </c>
      <c r="N32" s="24">
        <f t="shared" si="6"/>
        <v>45979</v>
      </c>
      <c r="O32" s="23">
        <f t="shared" si="3"/>
        <v>335280.38400000002</v>
      </c>
      <c r="P32" s="41"/>
    </row>
    <row r="33" spans="1:16" ht="13.25" customHeight="1" x14ac:dyDescent="0.35">
      <c r="A33" s="25">
        <v>32</v>
      </c>
      <c r="B33" s="32" t="s">
        <v>92</v>
      </c>
      <c r="C33" s="33" t="s">
        <v>87</v>
      </c>
      <c r="D33" s="29">
        <v>43.776000000000003</v>
      </c>
      <c r="E33" s="43" t="str">
        <f t="shared" ref="E33:E34" si="13">E32</f>
        <v>Sanjeev</v>
      </c>
      <c r="F33" s="40">
        <v>28</v>
      </c>
      <c r="G33" s="27" t="s">
        <v>138</v>
      </c>
      <c r="H33" s="40"/>
      <c r="I33" s="40"/>
      <c r="J33" s="26">
        <f t="shared" si="0"/>
        <v>45974</v>
      </c>
      <c r="K33" s="45">
        <v>45975</v>
      </c>
      <c r="L33" s="45">
        <v>45983</v>
      </c>
      <c r="M33" s="24">
        <f t="shared" si="7"/>
        <v>45993</v>
      </c>
      <c r="N33" s="24">
        <f t="shared" si="6"/>
        <v>45988</v>
      </c>
      <c r="O33" s="23">
        <f t="shared" si="3"/>
        <v>335280.38400000002</v>
      </c>
      <c r="P33" s="41"/>
    </row>
    <row r="34" spans="1:16" x14ac:dyDescent="0.35">
      <c r="A34" s="25">
        <v>33</v>
      </c>
      <c r="B34" s="32" t="s">
        <v>93</v>
      </c>
      <c r="C34" s="33" t="s">
        <v>89</v>
      </c>
      <c r="D34" s="29">
        <v>46.048999999999999</v>
      </c>
      <c r="E34" s="43" t="str">
        <f t="shared" si="13"/>
        <v>Sanjeev</v>
      </c>
      <c r="F34" s="40">
        <v>28</v>
      </c>
      <c r="G34" s="27" t="s">
        <v>138</v>
      </c>
      <c r="H34" s="40"/>
      <c r="I34" s="40"/>
      <c r="J34" s="26">
        <f t="shared" si="0"/>
        <v>45983</v>
      </c>
      <c r="K34" s="45">
        <v>45984</v>
      </c>
      <c r="L34" s="45">
        <v>45991</v>
      </c>
      <c r="M34" s="24">
        <f t="shared" si="7"/>
        <v>46001</v>
      </c>
      <c r="N34" s="24">
        <f t="shared" si="6"/>
        <v>45996</v>
      </c>
      <c r="O34" s="23">
        <f t="shared" si="3"/>
        <v>352689.29099999997</v>
      </c>
      <c r="P34" s="41"/>
    </row>
    <row r="35" spans="1:16" x14ac:dyDescent="0.35">
      <c r="A35" s="25">
        <v>34</v>
      </c>
      <c r="B35" s="32" t="s">
        <v>94</v>
      </c>
      <c r="C35" s="33" t="s">
        <v>85</v>
      </c>
      <c r="D35" s="29">
        <v>42.374000000000002</v>
      </c>
      <c r="E35" s="43" t="s">
        <v>126</v>
      </c>
      <c r="F35" s="40">
        <v>30</v>
      </c>
      <c r="G35" s="27" t="s">
        <v>138</v>
      </c>
      <c r="H35" s="40"/>
      <c r="I35" s="40"/>
      <c r="J35" s="26">
        <f t="shared" si="0"/>
        <v>45970</v>
      </c>
      <c r="K35" s="45">
        <v>45971</v>
      </c>
      <c r="L35" s="45">
        <v>45980</v>
      </c>
      <c r="M35" s="24">
        <f t="shared" si="7"/>
        <v>45990</v>
      </c>
      <c r="N35" s="24">
        <f t="shared" si="6"/>
        <v>45985</v>
      </c>
      <c r="O35" s="23">
        <f t="shared" si="3"/>
        <v>324542.46600000001</v>
      </c>
      <c r="P35" s="41"/>
    </row>
    <row r="36" spans="1:16" x14ac:dyDescent="0.35">
      <c r="A36" s="25">
        <v>35</v>
      </c>
      <c r="B36" s="32" t="s">
        <v>95</v>
      </c>
      <c r="C36" s="33" t="s">
        <v>85</v>
      </c>
      <c r="D36" s="29">
        <v>42.374000000000002</v>
      </c>
      <c r="E36" s="43" t="str">
        <f>E35</f>
        <v>Samuel</v>
      </c>
      <c r="F36" s="40">
        <v>30</v>
      </c>
      <c r="G36" s="27" t="s">
        <v>138</v>
      </c>
      <c r="H36" s="40"/>
      <c r="I36" s="40"/>
      <c r="J36" s="26">
        <f t="shared" si="0"/>
        <v>45980</v>
      </c>
      <c r="K36" s="45">
        <v>45981</v>
      </c>
      <c r="L36" s="45">
        <v>45991</v>
      </c>
      <c r="M36" s="24">
        <f t="shared" si="7"/>
        <v>46001</v>
      </c>
      <c r="N36" s="24">
        <f t="shared" si="6"/>
        <v>45996</v>
      </c>
      <c r="O36" s="23">
        <f t="shared" si="3"/>
        <v>324542.46600000001</v>
      </c>
      <c r="P36" s="41"/>
    </row>
    <row r="37" spans="1:16" x14ac:dyDescent="0.35">
      <c r="A37" s="25">
        <v>36</v>
      </c>
      <c r="B37" s="35" t="s">
        <v>96</v>
      </c>
      <c r="C37" s="33" t="s">
        <v>87</v>
      </c>
      <c r="D37" s="29">
        <v>43.776000000000003</v>
      </c>
      <c r="E37" s="43" t="s">
        <v>127</v>
      </c>
      <c r="F37" s="40">
        <v>26</v>
      </c>
      <c r="G37" s="27" t="s">
        <v>138</v>
      </c>
      <c r="H37" s="40"/>
      <c r="I37" s="40"/>
      <c r="J37" s="26">
        <f t="shared" si="0"/>
        <v>45970</v>
      </c>
      <c r="K37" s="45">
        <v>45971</v>
      </c>
      <c r="L37" s="45">
        <v>45980</v>
      </c>
      <c r="M37" s="24">
        <f t="shared" si="7"/>
        <v>45990</v>
      </c>
      <c r="N37" s="24">
        <f t="shared" si="6"/>
        <v>45985</v>
      </c>
      <c r="O37" s="23">
        <f t="shared" si="3"/>
        <v>335280.38400000002</v>
      </c>
      <c r="P37" s="41"/>
    </row>
    <row r="38" spans="1:16" x14ac:dyDescent="0.35">
      <c r="A38" s="25">
        <v>37</v>
      </c>
      <c r="B38" s="35" t="s">
        <v>97</v>
      </c>
      <c r="C38" s="33" t="s">
        <v>85</v>
      </c>
      <c r="D38" s="29">
        <v>42.374000000000002</v>
      </c>
      <c r="E38" s="43" t="str">
        <f>E37</f>
        <v>Mukhilal 1</v>
      </c>
      <c r="F38" s="40">
        <v>26</v>
      </c>
      <c r="G38" s="27" t="s">
        <v>138</v>
      </c>
      <c r="H38" s="40"/>
      <c r="I38" s="40"/>
      <c r="J38" s="26">
        <f t="shared" si="0"/>
        <v>45980</v>
      </c>
      <c r="K38" s="45">
        <v>45981</v>
      </c>
      <c r="L38" s="45">
        <v>45991</v>
      </c>
      <c r="M38" s="24">
        <f t="shared" si="7"/>
        <v>46001</v>
      </c>
      <c r="N38" s="24">
        <f t="shared" si="6"/>
        <v>45996</v>
      </c>
      <c r="O38" s="23">
        <f t="shared" si="3"/>
        <v>324542.46600000001</v>
      </c>
      <c r="P38" s="41"/>
    </row>
    <row r="39" spans="1:16" x14ac:dyDescent="0.35">
      <c r="A39" s="25">
        <v>38</v>
      </c>
      <c r="B39" s="32" t="s">
        <v>98</v>
      </c>
      <c r="C39" s="33" t="s">
        <v>68</v>
      </c>
      <c r="D39" s="29">
        <v>43.804423999999997</v>
      </c>
      <c r="E39" s="43" t="s">
        <v>128</v>
      </c>
      <c r="F39" s="40">
        <v>29</v>
      </c>
      <c r="G39" s="27" t="s">
        <v>137</v>
      </c>
      <c r="H39" s="40"/>
      <c r="I39" s="40"/>
      <c r="J39" s="26">
        <f t="shared" si="0"/>
        <v>45970</v>
      </c>
      <c r="K39" s="45">
        <v>45971</v>
      </c>
      <c r="L39" s="45">
        <v>45980</v>
      </c>
      <c r="M39" s="24">
        <f t="shared" si="7"/>
        <v>45990</v>
      </c>
      <c r="N39" s="24">
        <f t="shared" si="6"/>
        <v>45985</v>
      </c>
      <c r="O39" s="23">
        <f t="shared" si="3"/>
        <v>335498.08341600001</v>
      </c>
      <c r="P39" s="41"/>
    </row>
    <row r="40" spans="1:16" x14ac:dyDescent="0.35">
      <c r="A40" s="25">
        <v>39</v>
      </c>
      <c r="B40" s="32" t="s">
        <v>99</v>
      </c>
      <c r="C40" s="33" t="s">
        <v>70</v>
      </c>
      <c r="D40" s="29">
        <v>37.138323999999997</v>
      </c>
      <c r="E40" s="43" t="str">
        <f>E39</f>
        <v>Nandlal</v>
      </c>
      <c r="F40" s="40">
        <v>29</v>
      </c>
      <c r="G40" s="27" t="s">
        <v>137</v>
      </c>
      <c r="H40" s="40"/>
      <c r="I40" s="40"/>
      <c r="J40" s="26">
        <f t="shared" si="0"/>
        <v>45980</v>
      </c>
      <c r="K40" s="45">
        <v>45981</v>
      </c>
      <c r="L40" s="45">
        <v>45991</v>
      </c>
      <c r="M40" s="24">
        <f t="shared" si="7"/>
        <v>46001</v>
      </c>
      <c r="N40" s="24">
        <f t="shared" si="6"/>
        <v>45996</v>
      </c>
      <c r="O40" s="23">
        <f t="shared" si="3"/>
        <v>284442.42351599998</v>
      </c>
      <c r="P40" s="41"/>
    </row>
    <row r="41" spans="1:16" x14ac:dyDescent="0.35">
      <c r="A41" s="25">
        <v>40</v>
      </c>
      <c r="B41" s="32" t="s">
        <v>100</v>
      </c>
      <c r="C41" s="33" t="s">
        <v>70</v>
      </c>
      <c r="D41" s="29">
        <v>37.138323999999997</v>
      </c>
      <c r="E41" s="43" t="s">
        <v>129</v>
      </c>
      <c r="F41" s="40">
        <v>24</v>
      </c>
      <c r="G41" s="27" t="s">
        <v>137</v>
      </c>
      <c r="H41" s="40"/>
      <c r="I41" s="40"/>
      <c r="J41" s="26">
        <f t="shared" si="0"/>
        <v>45970</v>
      </c>
      <c r="K41" s="45">
        <v>45971</v>
      </c>
      <c r="L41" s="45">
        <v>45981</v>
      </c>
      <c r="M41" s="24">
        <f t="shared" si="7"/>
        <v>45991</v>
      </c>
      <c r="N41" s="24">
        <f t="shared" si="6"/>
        <v>45986</v>
      </c>
      <c r="O41" s="23">
        <f t="shared" si="3"/>
        <v>284442.42351599998</v>
      </c>
      <c r="P41" s="41"/>
    </row>
    <row r="42" spans="1:16" x14ac:dyDescent="0.35">
      <c r="A42" s="25">
        <v>41</v>
      </c>
      <c r="B42" s="32" t="s">
        <v>101</v>
      </c>
      <c r="C42" s="33" t="s">
        <v>50</v>
      </c>
      <c r="D42" s="29">
        <v>35.601761999999994</v>
      </c>
      <c r="E42" s="43" t="str">
        <f>E41</f>
        <v>Jagdish</v>
      </c>
      <c r="F42" s="40">
        <v>24</v>
      </c>
      <c r="G42" s="27" t="s">
        <v>137</v>
      </c>
      <c r="H42" s="40"/>
      <c r="I42" s="40"/>
      <c r="J42" s="26">
        <f t="shared" si="0"/>
        <v>45981</v>
      </c>
      <c r="K42" s="45">
        <v>45982</v>
      </c>
      <c r="L42" s="45">
        <v>45991</v>
      </c>
      <c r="M42" s="24">
        <f t="shared" si="7"/>
        <v>46001</v>
      </c>
      <c r="N42" s="24">
        <f t="shared" si="6"/>
        <v>45996</v>
      </c>
      <c r="O42" s="23">
        <f t="shared" si="3"/>
        <v>272673.89515799994</v>
      </c>
      <c r="P42" s="41"/>
    </row>
    <row r="43" spans="1:16" x14ac:dyDescent="0.35">
      <c r="A43" s="25">
        <v>42</v>
      </c>
      <c r="B43" s="32" t="s">
        <v>102</v>
      </c>
      <c r="C43" s="33" t="s">
        <v>48</v>
      </c>
      <c r="D43" s="29">
        <v>37.931087999999995</v>
      </c>
      <c r="E43" s="43" t="s">
        <v>130</v>
      </c>
      <c r="F43" s="40">
        <v>27</v>
      </c>
      <c r="G43" s="27" t="s">
        <v>137</v>
      </c>
      <c r="H43" s="40"/>
      <c r="I43" s="40"/>
      <c r="J43" s="26">
        <f t="shared" si="0"/>
        <v>45668</v>
      </c>
      <c r="K43" s="45">
        <v>45669</v>
      </c>
      <c r="L43" s="45">
        <v>45982</v>
      </c>
      <c r="M43" s="24">
        <f t="shared" si="7"/>
        <v>45992</v>
      </c>
      <c r="N43" s="24">
        <f t="shared" si="6"/>
        <v>45987</v>
      </c>
      <c r="O43" s="23">
        <f t="shared" si="3"/>
        <v>290514.20299199998</v>
      </c>
      <c r="P43" s="41"/>
    </row>
    <row r="44" spans="1:16" x14ac:dyDescent="0.35">
      <c r="A44" s="25">
        <v>43</v>
      </c>
      <c r="B44" s="32" t="s">
        <v>103</v>
      </c>
      <c r="C44" s="33" t="s">
        <v>52</v>
      </c>
      <c r="D44" s="29">
        <v>36.159755999999994</v>
      </c>
      <c r="E44" s="43" t="str">
        <f>E43</f>
        <v>GRD 2</v>
      </c>
      <c r="F44" s="40">
        <v>27</v>
      </c>
      <c r="G44" s="27" t="s">
        <v>137</v>
      </c>
      <c r="H44" s="40"/>
      <c r="I44" s="40"/>
      <c r="J44" s="26">
        <f t="shared" si="0"/>
        <v>45982</v>
      </c>
      <c r="K44" s="45">
        <v>45983</v>
      </c>
      <c r="L44" s="45">
        <v>45991</v>
      </c>
      <c r="M44" s="24">
        <f t="shared" si="7"/>
        <v>46001</v>
      </c>
      <c r="N44" s="24">
        <f t="shared" si="6"/>
        <v>45996</v>
      </c>
      <c r="O44" s="23">
        <f t="shared" si="3"/>
        <v>276947.57120399998</v>
      </c>
      <c r="P44" s="41"/>
    </row>
    <row r="45" spans="1:16" x14ac:dyDescent="0.35">
      <c r="A45" s="25">
        <v>44</v>
      </c>
      <c r="B45" s="32" t="s">
        <v>104</v>
      </c>
      <c r="C45" s="33" t="s">
        <v>105</v>
      </c>
      <c r="D45" s="29">
        <v>118.43</v>
      </c>
      <c r="E45" s="44" t="s">
        <v>131</v>
      </c>
      <c r="F45" s="40">
        <v>28</v>
      </c>
      <c r="G45" s="40" t="s">
        <v>138</v>
      </c>
      <c r="H45" s="40"/>
      <c r="I45" s="40"/>
      <c r="J45" s="26">
        <f t="shared" si="0"/>
        <v>45972</v>
      </c>
      <c r="K45" s="45">
        <v>45973</v>
      </c>
      <c r="L45" s="45">
        <v>45991</v>
      </c>
      <c r="M45" s="24">
        <f t="shared" si="7"/>
        <v>46001</v>
      </c>
      <c r="N45" s="24">
        <f t="shared" si="6"/>
        <v>45996</v>
      </c>
      <c r="O45" s="23">
        <f t="shared" si="3"/>
        <v>907055.37</v>
      </c>
      <c r="P45" s="41"/>
    </row>
    <row r="46" spans="1:16" x14ac:dyDescent="0.35">
      <c r="A46" s="25">
        <v>45</v>
      </c>
      <c r="B46" s="32" t="s">
        <v>106</v>
      </c>
      <c r="C46" s="33" t="s">
        <v>87</v>
      </c>
      <c r="D46" s="29">
        <v>43.776000000000003</v>
      </c>
      <c r="E46" s="43" t="s">
        <v>132</v>
      </c>
      <c r="F46" s="40">
        <v>25</v>
      </c>
      <c r="G46" s="40" t="s">
        <v>138</v>
      </c>
      <c r="H46" s="40"/>
      <c r="I46" s="40"/>
      <c r="J46" s="26">
        <f t="shared" si="0"/>
        <v>45972</v>
      </c>
      <c r="K46" s="45">
        <v>45973</v>
      </c>
      <c r="L46" s="45">
        <v>45981</v>
      </c>
      <c r="M46" s="24">
        <f t="shared" si="7"/>
        <v>45991</v>
      </c>
      <c r="N46" s="24">
        <f t="shared" si="6"/>
        <v>45986</v>
      </c>
      <c r="O46" s="23">
        <f t="shared" si="3"/>
        <v>335280.38400000002</v>
      </c>
      <c r="P46" s="41"/>
    </row>
    <row r="47" spans="1:16" x14ac:dyDescent="0.35">
      <c r="A47" s="25">
        <v>46</v>
      </c>
      <c r="B47" s="32" t="s">
        <v>107</v>
      </c>
      <c r="C47" s="33" t="s">
        <v>108</v>
      </c>
      <c r="D47" s="29">
        <v>55.338999999999999</v>
      </c>
      <c r="E47" s="43" t="str">
        <f>E46</f>
        <v>Mukhilal 2</v>
      </c>
      <c r="F47" s="40">
        <v>25</v>
      </c>
      <c r="G47" s="40" t="s">
        <v>138</v>
      </c>
      <c r="H47" s="40"/>
      <c r="I47" s="40"/>
      <c r="J47" s="26">
        <f t="shared" si="0"/>
        <v>45981</v>
      </c>
      <c r="K47" s="45">
        <v>45982</v>
      </c>
      <c r="L47" s="45">
        <v>45991</v>
      </c>
      <c r="M47" s="24">
        <f t="shared" si="7"/>
        <v>46001</v>
      </c>
      <c r="N47" s="24">
        <f t="shared" si="6"/>
        <v>45996</v>
      </c>
      <c r="O47" s="23">
        <f t="shared" si="3"/>
        <v>423841.40100000001</v>
      </c>
      <c r="P47" s="41"/>
    </row>
    <row r="48" spans="1:16" x14ac:dyDescent="0.35">
      <c r="A48" s="25">
        <v>47</v>
      </c>
      <c r="B48" s="32" t="s">
        <v>109</v>
      </c>
      <c r="C48" s="33" t="s">
        <v>110</v>
      </c>
      <c r="D48" s="29">
        <v>124.94995199999998</v>
      </c>
      <c r="E48" s="44" t="s">
        <v>133</v>
      </c>
      <c r="F48" s="40">
        <v>29</v>
      </c>
      <c r="G48" s="40" t="s">
        <v>137</v>
      </c>
      <c r="H48" s="40"/>
      <c r="I48" s="40"/>
      <c r="J48" s="26">
        <f t="shared" si="0"/>
        <v>45973</v>
      </c>
      <c r="K48" s="45">
        <v>45974</v>
      </c>
      <c r="L48" s="45">
        <v>45991</v>
      </c>
      <c r="M48" s="24">
        <f t="shared" si="7"/>
        <v>46001</v>
      </c>
      <c r="N48" s="24">
        <f t="shared" si="6"/>
        <v>45996</v>
      </c>
      <c r="O48" s="23">
        <f t="shared" si="3"/>
        <v>956991.68236799981</v>
      </c>
      <c r="P48" s="41"/>
    </row>
    <row r="49" spans="1:16" x14ac:dyDescent="0.35">
      <c r="A49" s="25">
        <v>48</v>
      </c>
      <c r="B49" s="32" t="s">
        <v>111</v>
      </c>
      <c r="C49" s="33" t="s">
        <v>112</v>
      </c>
      <c r="D49" s="29">
        <v>83.133526000000003</v>
      </c>
      <c r="E49" s="44" t="s">
        <v>134</v>
      </c>
      <c r="F49" s="40">
        <v>29</v>
      </c>
      <c r="G49" s="40" t="s">
        <v>137</v>
      </c>
      <c r="H49" s="40"/>
      <c r="I49" s="40"/>
      <c r="J49" s="26">
        <f t="shared" si="0"/>
        <v>45973</v>
      </c>
      <c r="K49" s="45">
        <v>45974</v>
      </c>
      <c r="L49" s="45">
        <v>45991</v>
      </c>
      <c r="M49" s="24">
        <f t="shared" si="7"/>
        <v>46001</v>
      </c>
      <c r="N49" s="24">
        <f t="shared" si="6"/>
        <v>45996</v>
      </c>
      <c r="O49" s="23">
        <f t="shared" si="3"/>
        <v>636719.67563399998</v>
      </c>
      <c r="P49" s="41"/>
    </row>
    <row r="50" spans="1:16" x14ac:dyDescent="0.35">
      <c r="A50" s="25">
        <v>49</v>
      </c>
      <c r="B50" s="32" t="s">
        <v>113</v>
      </c>
      <c r="C50" s="33" t="s">
        <v>110</v>
      </c>
      <c r="D50" s="29">
        <v>124.94995199999998</v>
      </c>
      <c r="E50" s="44" t="s">
        <v>135</v>
      </c>
      <c r="F50" s="40">
        <v>30</v>
      </c>
      <c r="G50" s="40" t="s">
        <v>137</v>
      </c>
      <c r="H50" s="40"/>
      <c r="I50" s="40"/>
      <c r="J50" s="26">
        <f t="shared" si="0"/>
        <v>45975</v>
      </c>
      <c r="K50" s="45">
        <v>45976</v>
      </c>
      <c r="L50" s="45">
        <v>45991</v>
      </c>
      <c r="M50" s="24">
        <f t="shared" si="7"/>
        <v>46001</v>
      </c>
      <c r="N50" s="24">
        <f t="shared" si="6"/>
        <v>45996</v>
      </c>
      <c r="O50" s="23">
        <f t="shared" si="3"/>
        <v>956991.68236799981</v>
      </c>
      <c r="P50" s="41"/>
    </row>
    <row r="51" spans="1:16" x14ac:dyDescent="0.35">
      <c r="A51" s="25">
        <v>50</v>
      </c>
      <c r="B51" s="32" t="s">
        <v>114</v>
      </c>
      <c r="C51" s="33" t="s">
        <v>115</v>
      </c>
      <c r="D51" s="29">
        <v>143.46199999999999</v>
      </c>
      <c r="E51" s="44" t="s">
        <v>136</v>
      </c>
      <c r="F51" s="40">
        <v>29</v>
      </c>
      <c r="G51" s="40" t="s">
        <v>138</v>
      </c>
      <c r="H51" s="40"/>
      <c r="I51" s="40"/>
      <c r="J51" s="26">
        <f t="shared" si="0"/>
        <v>45975</v>
      </c>
      <c r="K51" s="45">
        <v>45976</v>
      </c>
      <c r="L51" s="45">
        <v>45991</v>
      </c>
      <c r="M51" s="24">
        <f t="shared" si="7"/>
        <v>46001</v>
      </c>
      <c r="N51" s="24">
        <f t="shared" si="6"/>
        <v>45996</v>
      </c>
      <c r="O51" s="23">
        <f t="shared" si="3"/>
        <v>1098775.4579999999</v>
      </c>
      <c r="P51" s="41"/>
    </row>
    <row r="52" spans="1:16" x14ac:dyDescent="0.35">
      <c r="K52"/>
      <c r="L52"/>
    </row>
    <row r="53" spans="1:16" x14ac:dyDescent="0.35">
      <c r="K53"/>
      <c r="L53"/>
    </row>
    <row r="54" spans="1:16" x14ac:dyDescent="0.35">
      <c r="K54"/>
      <c r="L54"/>
    </row>
    <row r="55" spans="1:16" x14ac:dyDescent="0.35">
      <c r="J55"/>
      <c r="K55"/>
      <c r="L55"/>
      <c r="M55"/>
    </row>
    <row r="56" spans="1:16" x14ac:dyDescent="0.35">
      <c r="J56"/>
      <c r="K56"/>
      <c r="L56"/>
      <c r="M56"/>
    </row>
    <row r="57" spans="1:16" x14ac:dyDescent="0.35">
      <c r="J57"/>
      <c r="K57"/>
      <c r="L57"/>
      <c r="M57"/>
    </row>
    <row r="58" spans="1:16" x14ac:dyDescent="0.35">
      <c r="J58"/>
      <c r="K58"/>
      <c r="L58"/>
      <c r="M58"/>
    </row>
    <row r="59" spans="1:16" x14ac:dyDescent="0.35">
      <c r="J59"/>
      <c r="K59"/>
      <c r="L59"/>
      <c r="M59"/>
    </row>
    <row r="60" spans="1:16" x14ac:dyDescent="0.35">
      <c r="J60"/>
      <c r="K60"/>
      <c r="L60"/>
      <c r="M60"/>
    </row>
    <row r="61" spans="1:16" x14ac:dyDescent="0.35">
      <c r="J61"/>
      <c r="K61"/>
      <c r="L61"/>
      <c r="M61"/>
    </row>
    <row r="62" spans="1:16" x14ac:dyDescent="0.35">
      <c r="J62"/>
      <c r="K62"/>
      <c r="L62"/>
      <c r="M62"/>
    </row>
    <row r="63" spans="1:16" x14ac:dyDescent="0.35">
      <c r="J63"/>
      <c r="K63"/>
      <c r="L63"/>
      <c r="M63"/>
    </row>
    <row r="64" spans="1:16" x14ac:dyDescent="0.35">
      <c r="J64"/>
      <c r="K64"/>
      <c r="L64"/>
      <c r="M64"/>
    </row>
    <row r="65" spans="10:13" x14ac:dyDescent="0.35">
      <c r="J65"/>
      <c r="K65"/>
      <c r="L65"/>
      <c r="M65"/>
    </row>
  </sheetData>
  <autoFilter ref="A1:P51" xr:uid="{035547A7-D1B5-4A88-918A-3701F4B0E907}"/>
  <phoneticPr fontId="7" type="noConversion"/>
  <conditionalFormatting sqref="B2:B15">
    <cfRule type="duplicateValues" dxfId="12" priority="205"/>
    <cfRule type="duplicateValues" dxfId="11" priority="206"/>
  </conditionalFormatting>
  <conditionalFormatting sqref="B16:B18">
    <cfRule type="duplicateValues" dxfId="10" priority="207"/>
    <cfRule type="duplicateValues" dxfId="9" priority="208"/>
  </conditionalFormatting>
  <conditionalFormatting sqref="B19:B51">
    <cfRule type="duplicateValues" dxfId="8" priority="5"/>
    <cfRule type="duplicateValues" dxfId="7" priority="6"/>
  </conditionalFormatting>
  <conditionalFormatting sqref="M2:N15">
    <cfRule type="containsText" dxfId="6" priority="183" operator="containsText" text="Complete">
      <formula>NOT(ISERROR(SEARCH("Complete",M2)))</formula>
    </cfRule>
    <cfRule type="containsText" dxfId="5" priority="184" operator="containsText" text="ROW">
      <formula>NOT(ISERROR(SEARCH("ROW",M2)))</formula>
    </cfRule>
  </conditionalFormatting>
  <conditionalFormatting sqref="M16:N51">
    <cfRule type="containsText" dxfId="4" priority="27" operator="containsText" text="Complete">
      <formula>NOT(ISERROR(SEARCH("Complete",M16)))</formula>
    </cfRule>
    <cfRule type="containsText" dxfId="3" priority="28" operator="containsText" text="ROW">
      <formula>NOT(ISERROR(SEARCH("ROW",M16)))</formula>
    </cfRule>
  </conditionalFormatting>
  <conditionalFormatting sqref="M2:O51">
    <cfRule type="containsText" dxfId="2" priority="109" operator="containsText" text="WIP">
      <formula>NOT(ISERROR(SEARCH("WIP",M2)))</formula>
    </cfRule>
  </conditionalFormatting>
  <conditionalFormatting sqref="O2:O51">
    <cfRule type="containsText" dxfId="1" priority="110" operator="containsText" text="Complete">
      <formula>NOT(ISERROR(SEARCH("Complete",O2)))</formula>
    </cfRule>
    <cfRule type="containsText" dxfId="0" priority="111" operator="containsText" text="ROW">
      <formula>NOT(ISERROR(SEARCH("ROW",O2)))</formula>
    </cfRule>
  </conditionalFormatting>
  <printOptions horizontalCentered="1"/>
  <pageMargins left="0.25" right="0.25" top="0.75" bottom="0.75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Stub dispatch</vt:lpstr>
      <vt:lpstr>Erection - Nov'25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Tarafdar</dc:creator>
  <cp:lastModifiedBy>Bharat Kaushik</cp:lastModifiedBy>
  <cp:lastPrinted>2024-05-23T07:04:00Z</cp:lastPrinted>
  <dcterms:created xsi:type="dcterms:W3CDTF">2015-06-05T18:17:20Z</dcterms:created>
  <dcterms:modified xsi:type="dcterms:W3CDTF">2025-11-04T10:00:10Z</dcterms:modified>
</cp:coreProperties>
</file>