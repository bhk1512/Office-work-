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janvendrak_kecrpg_com/Documents/TA 325/Bardoli/Bharat kaushik/"/>
    </mc:Choice>
  </mc:AlternateContent>
  <xr:revisionPtr revIDLastSave="33" documentId="13_ncr:1_{A32D710A-A1C3-4DD9-85AB-20E53640C8B8}" xr6:coauthVersionLast="47" xr6:coauthVersionMax="47" xr10:uidLastSave="{B705C823-A28C-46F8-AAFE-1C374125C88E}"/>
  <bookViews>
    <workbookView xWindow="-110" yWindow="-110" windowWidth="19420" windowHeight="103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Oct25" sheetId="2" r:id="rId3"/>
    <sheet name="STG-Sep25" sheetId="3" state="hidden" r:id="rId4"/>
  </sheets>
  <definedNames>
    <definedName name="_xlnm._FilterDatabase" localSheetId="2" hidden="1">'Erection-Oct25'!$A$1:$P$62</definedName>
    <definedName name="_xlnm._FilterDatabase" localSheetId="0" hidden="1">'FDN-June25'!$A$18:$P$28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M3" i="2" s="1"/>
  <c r="N4" i="2"/>
  <c r="M4" i="2" s="1"/>
  <c r="N5" i="2"/>
  <c r="M5" i="2" s="1"/>
  <c r="N16" i="2"/>
  <c r="M16" i="2" s="1"/>
  <c r="N17" i="2"/>
  <c r="M17" i="2" s="1"/>
  <c r="N18" i="2"/>
  <c r="M18" i="2" s="1"/>
  <c r="N19" i="2"/>
  <c r="M19" i="2" s="1"/>
  <c r="N24" i="2"/>
  <c r="M24" i="2" s="1"/>
  <c r="N25" i="2"/>
  <c r="M25" i="2" s="1"/>
  <c r="N26" i="2"/>
  <c r="M26" i="2" s="1"/>
  <c r="N28" i="2"/>
  <c r="M28" i="2" s="1"/>
  <c r="N29" i="2"/>
  <c r="M29" i="2" s="1"/>
  <c r="N33" i="2"/>
  <c r="M33" i="2" s="1"/>
  <c r="N37" i="2"/>
  <c r="M37" i="2" s="1"/>
  <c r="N43" i="2"/>
  <c r="M43" i="2" s="1"/>
  <c r="N44" i="2"/>
  <c r="M44" i="2" s="1"/>
  <c r="N45" i="2"/>
  <c r="M45" i="2" s="1"/>
  <c r="N46" i="2"/>
  <c r="M46" i="2" s="1"/>
  <c r="N47" i="2"/>
  <c r="M47" i="2" s="1"/>
  <c r="N50" i="2"/>
  <c r="M50" i="2" s="1"/>
  <c r="N52" i="2"/>
  <c r="M52" i="2" s="1"/>
  <c r="N53" i="2"/>
  <c r="M53" i="2" s="1"/>
  <c r="N54" i="2"/>
  <c r="M54" i="2" s="1"/>
  <c r="N13" i="2"/>
  <c r="M13" i="2" s="1"/>
  <c r="N56" i="2"/>
  <c r="M56" i="2" s="1"/>
  <c r="N57" i="2"/>
  <c r="M57" i="2" s="1"/>
  <c r="N58" i="2"/>
  <c r="M58" i="2" s="1"/>
  <c r="N59" i="2"/>
  <c r="M59" i="2" s="1"/>
  <c r="N21" i="2"/>
  <c r="M21" i="2" s="1"/>
  <c r="N61" i="2"/>
  <c r="M61" i="2" s="1"/>
  <c r="N62" i="2"/>
  <c r="M62" i="2" s="1"/>
  <c r="N8" i="2"/>
  <c r="M8" i="2" s="1"/>
  <c r="N49" i="2"/>
  <c r="M49" i="2" s="1"/>
  <c r="N22" i="2"/>
  <c r="M22" i="2" s="1"/>
  <c r="N20" i="2"/>
  <c r="M20" i="2" s="1"/>
  <c r="N6" i="2"/>
  <c r="M6" i="2" s="1"/>
  <c r="N7" i="2"/>
  <c r="M7" i="2" s="1"/>
  <c r="N30" i="2"/>
  <c r="M30" i="2" s="1"/>
  <c r="N34" i="2"/>
  <c r="M34" i="2" s="1"/>
  <c r="N23" i="2"/>
  <c r="M23" i="2" s="1"/>
  <c r="N36" i="2"/>
  <c r="M36" i="2" s="1"/>
  <c r="N9" i="2"/>
  <c r="M9" i="2" s="1"/>
  <c r="N40" i="2"/>
  <c r="M40" i="2" s="1"/>
  <c r="N31" i="2"/>
  <c r="M31" i="2" s="1"/>
  <c r="N39" i="2"/>
  <c r="M39" i="2" s="1"/>
  <c r="N41" i="2"/>
  <c r="M41" i="2" s="1"/>
  <c r="N14" i="2"/>
  <c r="M14" i="2" s="1"/>
  <c r="N51" i="2"/>
  <c r="M51" i="2" s="1"/>
  <c r="N11" i="2"/>
  <c r="M11" i="2" s="1"/>
  <c r="N35" i="2"/>
  <c r="M35" i="2" s="1"/>
  <c r="N15" i="2"/>
  <c r="M15" i="2" s="1"/>
  <c r="N60" i="2"/>
  <c r="M60" i="2" s="1"/>
  <c r="N12" i="2"/>
  <c r="M12" i="2" s="1"/>
  <c r="N48" i="2"/>
  <c r="M48" i="2" s="1"/>
  <c r="N32" i="2"/>
  <c r="M32" i="2" s="1"/>
  <c r="N38" i="2"/>
  <c r="M38" i="2" s="1"/>
  <c r="N27" i="2"/>
  <c r="M27" i="2" s="1"/>
  <c r="N42" i="2"/>
  <c r="M42" i="2" s="1"/>
  <c r="N10" i="2"/>
  <c r="M10" i="2" s="1"/>
  <c r="N55" i="2"/>
  <c r="M55" i="2" s="1"/>
  <c r="N2" i="2"/>
  <c r="J21" i="2"/>
  <c r="J61" i="2"/>
  <c r="J62" i="2"/>
  <c r="J8" i="2"/>
  <c r="J49" i="2"/>
  <c r="J22" i="2"/>
  <c r="J20" i="2"/>
  <c r="J6" i="2"/>
  <c r="J7" i="2"/>
  <c r="J30" i="2"/>
  <c r="J34" i="2"/>
  <c r="J23" i="2"/>
  <c r="J36" i="2"/>
  <c r="J9" i="2"/>
  <c r="J40" i="2"/>
  <c r="J31" i="2"/>
  <c r="J39" i="2"/>
  <c r="J41" i="2"/>
  <c r="J14" i="2"/>
  <c r="J51" i="2"/>
  <c r="J11" i="2"/>
  <c r="J35" i="2"/>
  <c r="J15" i="2"/>
  <c r="J60" i="2"/>
  <c r="J12" i="2"/>
  <c r="J48" i="2"/>
  <c r="J32" i="2"/>
  <c r="J38" i="2"/>
  <c r="J27" i="2"/>
  <c r="J42" i="2"/>
  <c r="J10" i="2"/>
  <c r="J55" i="2"/>
  <c r="J3" i="2" l="1"/>
  <c r="J4" i="2"/>
  <c r="J5" i="2"/>
  <c r="J16" i="2"/>
  <c r="J17" i="2"/>
  <c r="J18" i="2"/>
  <c r="J19" i="2"/>
  <c r="J24" i="2"/>
  <c r="J25" i="2"/>
  <c r="J26" i="2"/>
  <c r="J28" i="2"/>
  <c r="J29" i="2"/>
  <c r="J33" i="2"/>
  <c r="J37" i="2"/>
  <c r="J43" i="2"/>
  <c r="J44" i="2"/>
  <c r="J45" i="2"/>
  <c r="J46" i="2"/>
  <c r="J47" i="2"/>
  <c r="J50" i="2"/>
  <c r="J52" i="2"/>
  <c r="J53" i="2"/>
  <c r="J54" i="2"/>
  <c r="J13" i="2"/>
  <c r="J56" i="2"/>
  <c r="J57" i="2"/>
  <c r="J58" i="2"/>
  <c r="J59" i="2"/>
  <c r="J2" i="2"/>
  <c r="M2" i="2"/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</calcChain>
</file>

<file path=xl/sharedStrings.xml><?xml version="1.0" encoding="utf-8"?>
<sst xmlns="http://schemas.openxmlformats.org/spreadsheetml/2006/main" count="556" uniqueCount="273">
  <si>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</si>
  <si>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</si>
  <si>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</si>
  <si>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</si>
  <si>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</si>
  <si>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</si>
  <si>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</si>
  <si>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</si>
  <si>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</si>
  <si>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</si>
  <si>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</si>
  <si>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</si>
  <si>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</si>
  <si>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</si>
  <si>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</si>
  <si>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</si>
  <si>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</si>
  <si>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</si>
  <si>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</si>
  <si>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</si>
  <si>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</si>
  <si>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</si>
  <si>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</si>
  <si>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</si>
  <si>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</si>
  <si>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</si>
  <si>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</si>
  <si>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</si>
  <si>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</si>
  <si>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</si>
  <si>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</si>
  <si>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</si>
  <si>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</si>
  <si>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</si>
  <si>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</si>
  <si>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</si>
  <si>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</si>
  <si>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</si>
  <si>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</si>
  <si>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</si>
  <si>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</si>
  <si>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</si>
  <si>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</si>
  <si>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</si>
  <si>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</si>
  <si>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</si>
  <si>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</si>
  <si>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</si>
  <si>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</si>
  <si>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</si>
  <si>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DA+0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</si>
  <si>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</si>
  <si>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</si>
  <si>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</si>
  <si>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</si>
  <si>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</si>
  <si>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</si>
  <si>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</si>
  <si>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</si>
  <si>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</si>
  <si>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</si>
  <si>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</si>
  <si>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</si>
  <si>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</si>
  <si>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</si>
  <si>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</si>
  <si>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</si>
  <si>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</si>
  <si>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</si>
  <si>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</si>
  <si>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</si>
  <si>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</si>
  <si>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</si>
  <si>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</si>
  <si>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</si>
  <si>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</si>
  <si>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</si>
  <si>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</si>
  <si>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</si>
  <si>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</si>
  <si>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DA+6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</si>
  <si>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</si>
  <si>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</si>
  <si>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</si>
  <si>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</si>
  <si>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</si>
  <si>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</si>
  <si>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</si>
  <si>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DA+9</t>
  </si>
  <si>
    <t>DD60+25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</si>
  <si>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</si>
  <si>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</si>
  <si>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</si>
  <si>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</si>
  <si>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</si>
  <si>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</si>
  <si>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</si>
  <si>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</si>
  <si>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</si>
  <si>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</si>
  <si>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</si>
  <si>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</si>
  <si>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</si>
  <si>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</si>
  <si>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</si>
  <si>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</si>
  <si>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</si>
  <si>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</si>
  <si>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</si>
  <si>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</si>
  <si>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</si>
  <si>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</si>
  <si>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</si>
  <si>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</si>
  <si>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</si>
  <si>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</si>
  <si>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</si>
  <si>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</si>
  <si>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</si>
  <si>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DA+3</t>
  </si>
  <si>
    <t>DB1+6</t>
  </si>
  <si>
    <t>DC2+0</t>
  </si>
  <si>
    <t>DC1+0</t>
  </si>
  <si>
    <t>DCT+0</t>
  </si>
  <si>
    <t>Yes</t>
  </si>
  <si>
    <t>102/0</t>
  </si>
  <si>
    <t>DD45+35</t>
  </si>
  <si>
    <t>Dhaneshwar Mahto</t>
  </si>
  <si>
    <t>154/1</t>
  </si>
  <si>
    <t>DD45+25</t>
  </si>
  <si>
    <t>Prayag Mahto</t>
  </si>
  <si>
    <t>159/2</t>
  </si>
  <si>
    <t>Modina India-1&amp;4 (PGCIL)</t>
  </si>
  <si>
    <t>160/0</t>
  </si>
  <si>
    <t>DD60+18</t>
  </si>
  <si>
    <t>Dildar Electrical-2 &amp; 3 PGCIL</t>
  </si>
  <si>
    <t>183/0</t>
  </si>
  <si>
    <t>Anita Devi</t>
  </si>
  <si>
    <t>184/0</t>
  </si>
  <si>
    <t>Jaman Mahto-1 (Ratna Devi)</t>
  </si>
  <si>
    <t>184/1</t>
  </si>
  <si>
    <t>Satish Kumar</t>
  </si>
  <si>
    <t>185/0</t>
  </si>
  <si>
    <t>Mithun Kumar</t>
  </si>
  <si>
    <t>201/1</t>
  </si>
  <si>
    <t>DD60+9</t>
  </si>
  <si>
    <t>SK Samiul</t>
  </si>
  <si>
    <t>202/0</t>
  </si>
  <si>
    <t>DD60+55</t>
  </si>
  <si>
    <t>Nasirudin</t>
  </si>
  <si>
    <t>203/1</t>
  </si>
  <si>
    <t>DD60+6</t>
  </si>
  <si>
    <t>Anjum</t>
  </si>
  <si>
    <t>209/1</t>
  </si>
  <si>
    <t>Rahul Kumar</t>
  </si>
  <si>
    <t>211/0</t>
  </si>
  <si>
    <t>DB1+9</t>
  </si>
  <si>
    <t>Jwala Singh</t>
  </si>
  <si>
    <t>211A/2</t>
  </si>
  <si>
    <t>Chitra Construction</t>
  </si>
  <si>
    <t>214/0</t>
  </si>
  <si>
    <t>DD45+0</t>
  </si>
  <si>
    <t>Enjamul Haque</t>
  </si>
  <si>
    <t>218/0</t>
  </si>
  <si>
    <t>DD60+0</t>
  </si>
  <si>
    <t>Imadul Haque</t>
  </si>
  <si>
    <t>218/1</t>
  </si>
  <si>
    <t>Modina India-2 (PGCIL)</t>
  </si>
  <si>
    <t>219/0</t>
  </si>
  <si>
    <t>Raj Labour</t>
  </si>
  <si>
    <t>220/0</t>
  </si>
  <si>
    <t>DD45+9</t>
  </si>
  <si>
    <t>Gokul Sarkar-2</t>
  </si>
  <si>
    <t>220/1</t>
  </si>
  <si>
    <t>Gokul Sarkar-1</t>
  </si>
  <si>
    <t>223/0</t>
  </si>
  <si>
    <t>Teklal Mahto</t>
  </si>
  <si>
    <t>223/3</t>
  </si>
  <si>
    <t>Dildar Electricals-1 (PGCIL)</t>
  </si>
  <si>
    <t>226/0</t>
  </si>
  <si>
    <t>Subhash</t>
  </si>
  <si>
    <t>227/0</t>
  </si>
  <si>
    <t>Muni Bibi- 1 &amp; 2</t>
  </si>
  <si>
    <t>174/0</t>
  </si>
  <si>
    <t>Muni Bibi 1</t>
  </si>
  <si>
    <t>229/0</t>
  </si>
  <si>
    <t>MD Akhtar</t>
  </si>
  <si>
    <t>229/1</t>
  </si>
  <si>
    <t>Nasirudin 2</t>
  </si>
  <si>
    <t>229/2</t>
  </si>
  <si>
    <t>Modina India-3 (PGCIL)</t>
  </si>
  <si>
    <t>230/0</t>
  </si>
  <si>
    <t>Javir Hossen</t>
  </si>
  <si>
    <t>187/0</t>
  </si>
  <si>
    <t>Rupesh</t>
  </si>
  <si>
    <t>240/0</t>
  </si>
  <si>
    <t>Sakila Khatun</t>
  </si>
  <si>
    <t>245/0</t>
  </si>
  <si>
    <t>Sukruddin</t>
  </si>
  <si>
    <t>166/0</t>
  </si>
  <si>
    <t>Aamir Khan</t>
  </si>
  <si>
    <t>222/0</t>
  </si>
  <si>
    <t>New Gang 1</t>
  </si>
  <si>
    <t>200/0</t>
  </si>
  <si>
    <t>DB2+18</t>
  </si>
  <si>
    <t>New Gang 2</t>
  </si>
  <si>
    <t>186/0</t>
  </si>
  <si>
    <t>DD60+35</t>
  </si>
  <si>
    <t>New Gang 3</t>
  </si>
  <si>
    <t>165/4</t>
  </si>
  <si>
    <t>New Gang 4</t>
  </si>
  <si>
    <t>165/5</t>
  </si>
  <si>
    <t>New Gang 5</t>
  </si>
  <si>
    <t>211/2</t>
  </si>
  <si>
    <t>212/0</t>
  </si>
  <si>
    <t>DD45+3</t>
  </si>
  <si>
    <t>201/0</t>
  </si>
  <si>
    <t>213/1</t>
  </si>
  <si>
    <t>167/0</t>
  </si>
  <si>
    <t>216/0</t>
  </si>
  <si>
    <t>DB2+25</t>
  </si>
  <si>
    <t>211A/0</t>
  </si>
  <si>
    <t>DB2+0</t>
  </si>
  <si>
    <t>215/1</t>
  </si>
  <si>
    <t>217/0</t>
  </si>
  <si>
    <t>175/1</t>
  </si>
  <si>
    <t>223/2</t>
  </si>
  <si>
    <t>172/1</t>
  </si>
  <si>
    <t>213/0</t>
  </si>
  <si>
    <t>DD60+3</t>
  </si>
  <si>
    <t>182A/0</t>
  </si>
  <si>
    <t>DD45+6</t>
  </si>
  <si>
    <t>239/0</t>
  </si>
  <si>
    <t>173/0</t>
  </si>
  <si>
    <t>221/0</t>
  </si>
  <si>
    <t>211A/1</t>
  </si>
  <si>
    <t>DA-3</t>
  </si>
  <si>
    <t>214/1</t>
  </si>
  <si>
    <t>208/0</t>
  </si>
  <si>
    <t>217A/0</t>
  </si>
  <si>
    <t>DB1+3</t>
  </si>
  <si>
    <t>167/1</t>
  </si>
  <si>
    <t>228/0</t>
  </si>
  <si>
    <t>Milan Mal</t>
  </si>
  <si>
    <t>Bibhu Kalyan Das</t>
  </si>
  <si>
    <t>Gurveet Singh</t>
  </si>
  <si>
    <t>Mohit</t>
  </si>
  <si>
    <t>Khemlal Mahto</t>
  </si>
  <si>
    <t>Abu Alam</t>
  </si>
  <si>
    <t>Jaylal Mahto</t>
  </si>
  <si>
    <t>Janki Mahto</t>
  </si>
  <si>
    <t>Mukesh Kumar</t>
  </si>
  <si>
    <t>Aman Yadav</t>
  </si>
  <si>
    <t>Nunuchand</t>
  </si>
  <si>
    <t>Ruplal Mahto</t>
  </si>
  <si>
    <t>Gaurishankar</t>
  </si>
  <si>
    <t>Ravi Kumar</t>
  </si>
  <si>
    <t>Abshik</t>
  </si>
  <si>
    <t>Amit Shrivastav</t>
  </si>
  <si>
    <t>Vikash Sharma</t>
  </si>
  <si>
    <t>Vikash Bishnoi</t>
  </si>
  <si>
    <t>Pankaj Kumar Mahto</t>
  </si>
  <si>
    <t>Birkha Subba</t>
  </si>
  <si>
    <t>Kalicharan</t>
  </si>
  <si>
    <t>Yugal Kishor</t>
  </si>
  <si>
    <t>Abbu alam</t>
  </si>
  <si>
    <t>Rewatlal Mahto</t>
  </si>
  <si>
    <t>Govind Mahto</t>
  </si>
  <si>
    <t>Dhiraj Mahto</t>
  </si>
  <si>
    <t>Dularchand Mahto</t>
  </si>
  <si>
    <t>Baleshwar</t>
  </si>
  <si>
    <t>Lal Mohan</t>
  </si>
  <si>
    <t>Jaggarnath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</si>
</sst>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#,##0.000"/>
    <numFmt numFmtId="170" formatCode="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6" fontId="17" fillId="6" borderId="14" xfId="3" applyNumberFormat="1" applyFont="1" applyFill="1" applyBorder="1" applyAlignment="1">
      <alignment horizontal="center" vertical="center" wrapText="1"/>
    </xf>
    <xf numFmtId="165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4" applyNumberFormat="1" applyFont="1" applyFill="1" applyBorder="1" applyAlignment="1">
      <alignment horizontal="center" vertical="center" wrapText="1"/>
    </xf>
    <xf numFmtId="167" fontId="18" fillId="0" borderId="1" xfId="5" applyFont="1" applyBorder="1" applyAlignment="1">
      <alignment horizontal="center" vertical="center" wrapText="1"/>
    </xf>
    <xf numFmtId="165" fontId="19" fillId="0" borderId="1" xfId="6" applyNumberFormat="1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8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43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5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14" fillId="0" borderId="1" xfId="3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70" fontId="23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0" fontId="26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23" fillId="0" borderId="1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43" fontId="12" fillId="0" borderId="0" xfId="1" applyFont="1" applyFill="1" applyBorder="1" applyAlignment="1">
      <alignment vertical="center"/>
    </xf>
    <xf numFmtId="43" fontId="11" fillId="0" borderId="0" xfId="0" applyNumberFormat="1" applyFont="1" applyAlignment="1">
      <alignment vertical="center"/>
    </xf>
    <xf numFmtId="0" fontId="28" fillId="0" borderId="1" xfId="0" quotePrefix="1" applyFont="1" applyBorder="1" applyAlignment="1">
      <alignment horizontal="center" vertical="center" wrapText="1"/>
    </xf>
    <xf numFmtId="16" fontId="28" fillId="0" borderId="1" xfId="0" quotePrefix="1" applyNumberFormat="1" applyFont="1" applyBorder="1" applyAlignment="1">
      <alignment horizontal="center" vertical="center"/>
    </xf>
    <xf numFmtId="0" fontId="28" fillId="0" borderId="1" xfId="0" quotePrefix="1" applyFont="1" applyBorder="1" applyAlignment="1">
      <alignment horizontal="center" vertical="center"/>
    </xf>
    <xf numFmtId="16" fontId="28" fillId="0" borderId="1" xfId="0" quotePrefix="1" applyNumberFormat="1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 wrapText="1"/>
    </xf>
    <xf numFmtId="170" fontId="23" fillId="0" borderId="1" xfId="0" applyNumberFormat="1" applyFont="1" applyBorder="1" applyAlignment="1">
      <alignment horizontal="left" vertical="center" wrapText="1"/>
    </xf>
    <xf numFmtId="170" fontId="23" fillId="0" borderId="4" xfId="0" applyNumberFormat="1" applyFont="1" applyBorder="1" applyAlignment="1">
      <alignment horizontal="left" vertical="center" wrapText="1"/>
    </xf>
    <xf numFmtId="1" fontId="23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</cellXfs>
  <cellStyles count="27">
    <cellStyle name="Comma" xfId="1" builtinId="3"/>
    <cellStyle name="Comma 2" xfId="8" xr:uid="{2E20F6CD-B1A5-4CBE-90C6-C0D98A914F04}"/>
    <cellStyle name="Excel Built-in Normal" xfId="26" xr:uid="{4B0B78A8-24BE-4DE7-B5BF-D3DFA24ECD02}"/>
    <cellStyle name="Normal" xfId="0" builtinId="0"/>
    <cellStyle name="Normal 103" xfId="24" xr:uid="{91A4F84A-61E0-4BF9-80BE-E89A220C73D0}"/>
    <cellStyle name="Normal 11" xfId="5" xr:uid="{8A939B8D-25B5-4FC2-BE9D-DDCA7038C58F}"/>
    <cellStyle name="Normal 120" xfId="21" xr:uid="{51933D66-E223-4713-A2CA-4B3163621514}"/>
    <cellStyle name="Normal 17" xfId="10" xr:uid="{FB728059-7B66-4FB9-A5E0-ADE18B5FFE38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3" xfId="25" xr:uid="{2DA1E557-7CA6-467D-8A70-659D8412FB6A}"/>
    <cellStyle name="Normal 5" xfId="23" xr:uid="{3FC12385-9363-45A8-94D8-55F9303BEA9B}"/>
    <cellStyle name="Normal_Rev_IPP_ BUB_ 10.04.09 2" xfId="4" xr:uid="{526D1CE4-A6A3-4EA2-BCF4-E0959F12CAFC}"/>
    <cellStyle name="Percent" xfId="2" builtinId="5"/>
    <cellStyle name="Percent 2" xfId="7" xr:uid="{36A5E538-A591-4B85-8561-9BC706E69FE8}"/>
  </cellStyles>
  <dxfs count="237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5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87</v>
      </c>
      <c r="E6" s="54">
        <v>301</v>
      </c>
      <c r="K6" s="3"/>
      <c r="M6" s="98"/>
    </row>
    <row r="7" spans="1:13" x14ac:dyDescent="0.35">
      <c r="A7" s="6"/>
      <c r="D7" s="2" t="s">
        <v>2</v>
      </c>
      <c r="E7" s="30">
        <f>E5-E6</f>
        <v>1</v>
      </c>
      <c r="K7" s="3"/>
      <c r="M7" s="98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52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57" t="s">
        <v>4</v>
      </c>
      <c r="B18" s="157" t="s">
        <v>5</v>
      </c>
      <c r="C18" s="154" t="s">
        <v>6</v>
      </c>
      <c r="D18" s="157" t="s">
        <v>7</v>
      </c>
      <c r="E18" s="154" t="s">
        <v>16</v>
      </c>
      <c r="F18" s="154" t="s">
        <v>17</v>
      </c>
      <c r="G18" s="157" t="s">
        <v>8</v>
      </c>
      <c r="H18" s="169" t="s">
        <v>18</v>
      </c>
      <c r="I18" s="169"/>
      <c r="J18" s="169"/>
      <c r="K18" s="169"/>
      <c r="L18" s="169"/>
      <c r="M18" s="169"/>
      <c r="N18" s="169"/>
      <c r="O18" s="169"/>
      <c r="P18" s="162" t="s">
        <v>19</v>
      </c>
      <c r="R18" s="154" t="s">
        <v>36</v>
      </c>
      <c r="T18" s="163" t="s">
        <v>31</v>
      </c>
      <c r="U18" s="164"/>
      <c r="V18" s="164"/>
      <c r="W18" s="164"/>
      <c r="X18" s="164"/>
      <c r="Y18" s="165"/>
      <c r="AA18" s="163" t="s">
        <v>30</v>
      </c>
      <c r="AB18" s="164"/>
      <c r="AC18" s="164"/>
      <c r="AD18" s="164"/>
      <c r="AE18" s="164"/>
      <c r="AF18" s="165"/>
      <c r="AG18" s="166" t="s">
        <v>34</v>
      </c>
    </row>
    <row r="19" spans="1:33" ht="21" customHeight="1" x14ac:dyDescent="0.35">
      <c r="A19" s="158"/>
      <c r="B19" s="158"/>
      <c r="C19" s="155"/>
      <c r="D19" s="158"/>
      <c r="E19" s="155"/>
      <c r="F19" s="155"/>
      <c r="G19" s="158"/>
      <c r="H19" s="174" t="s">
        <v>9</v>
      </c>
      <c r="I19" s="174"/>
      <c r="J19" s="174" t="s">
        <v>12</v>
      </c>
      <c r="K19" s="174"/>
      <c r="L19" s="174" t="s">
        <v>13</v>
      </c>
      <c r="M19" s="174"/>
      <c r="N19" s="170" t="s">
        <v>15</v>
      </c>
      <c r="O19" s="170" t="s">
        <v>14</v>
      </c>
      <c r="P19" s="162"/>
      <c r="R19" s="168"/>
      <c r="T19" s="160" t="s">
        <v>24</v>
      </c>
      <c r="U19" s="160" t="s">
        <v>25</v>
      </c>
      <c r="V19" s="160" t="s">
        <v>26</v>
      </c>
      <c r="W19" s="160" t="s">
        <v>27</v>
      </c>
      <c r="X19" s="160" t="s">
        <v>28</v>
      </c>
      <c r="Y19" s="43" t="s">
        <v>29</v>
      </c>
      <c r="AA19" s="160" t="s">
        <v>24</v>
      </c>
      <c r="AB19" s="160" t="s">
        <v>25</v>
      </c>
      <c r="AC19" s="160" t="s">
        <v>26</v>
      </c>
      <c r="AD19" s="160" t="s">
        <v>27</v>
      </c>
      <c r="AE19" s="160" t="s">
        <v>28</v>
      </c>
      <c r="AF19" s="43" t="s">
        <v>29</v>
      </c>
      <c r="AG19" s="167"/>
    </row>
    <row r="20" spans="1:33" ht="15" thickBot="1" x14ac:dyDescent="0.4">
      <c r="A20" s="159"/>
      <c r="B20" s="158"/>
      <c r="C20" s="155"/>
      <c r="D20" s="158"/>
      <c r="E20" s="156"/>
      <c r="F20" s="156"/>
      <c r="G20" s="158"/>
      <c r="H20" s="94" t="s">
        <v>10</v>
      </c>
      <c r="I20" s="94" t="s">
        <v>11</v>
      </c>
      <c r="J20" s="94" t="s">
        <v>10</v>
      </c>
      <c r="K20" s="94" t="s">
        <v>11</v>
      </c>
      <c r="L20" s="94" t="s">
        <v>10</v>
      </c>
      <c r="M20" s="94" t="s">
        <v>11</v>
      </c>
      <c r="N20" s="171"/>
      <c r="O20" s="171"/>
      <c r="P20" s="44" t="s">
        <v>51</v>
      </c>
      <c r="R20" s="18" t="s">
        <v>37</v>
      </c>
      <c r="T20" s="161"/>
      <c r="U20" s="161"/>
      <c r="V20" s="161"/>
      <c r="W20" s="161"/>
      <c r="X20" s="161"/>
      <c r="Y20" s="19"/>
      <c r="AA20" s="161"/>
      <c r="AB20" s="161"/>
      <c r="AC20" s="161"/>
      <c r="AD20" s="161"/>
      <c r="AE20" s="161"/>
      <c r="AF20" s="19" t="s">
        <v>51</v>
      </c>
      <c r="AG20" s="44" t="s">
        <v>51</v>
      </c>
    </row>
    <row r="21" spans="1:33" ht="15" customHeight="1" x14ac:dyDescent="0.35">
      <c r="A21" s="97">
        <v>1</v>
      </c>
      <c r="B21" s="109" t="s">
        <v>83</v>
      </c>
      <c r="C21" s="104" t="s">
        <v>82</v>
      </c>
      <c r="D21" s="8" t="s">
        <v>78</v>
      </c>
      <c r="E21" s="103">
        <v>261.19600000000003</v>
      </c>
      <c r="F21" s="97">
        <v>15.029</v>
      </c>
      <c r="G21" s="108" t="s">
        <v>79</v>
      </c>
      <c r="H21" s="100">
        <v>45798</v>
      </c>
      <c r="I21" s="100">
        <v>45801</v>
      </c>
      <c r="J21" s="100">
        <v>45802</v>
      </c>
      <c r="K21" s="100">
        <v>45803</v>
      </c>
      <c r="L21" s="100">
        <v>45804</v>
      </c>
      <c r="M21" s="100">
        <v>45809</v>
      </c>
      <c r="N21" s="100">
        <v>45810</v>
      </c>
      <c r="O21" s="100">
        <v>45811</v>
      </c>
      <c r="P21" s="101">
        <v>4925228.8899999997</v>
      </c>
      <c r="R21" s="100">
        <v>45811</v>
      </c>
      <c r="T21" s="91">
        <v>1</v>
      </c>
      <c r="U21" s="91"/>
      <c r="V21" s="96"/>
      <c r="W21" s="96"/>
      <c r="X21" s="96"/>
      <c r="Y21" s="96">
        <f>SUM(T21:X21)</f>
        <v>1</v>
      </c>
      <c r="AA21" s="88">
        <f>$P$21*T21</f>
        <v>4925228.8899999997</v>
      </c>
      <c r="AB21" s="88">
        <f>$P$21*U21</f>
        <v>0</v>
      </c>
      <c r="AC21" s="88">
        <f t="shared" ref="AC21:AE21" si="2">$P$21*V21</f>
        <v>0</v>
      </c>
      <c r="AD21" s="88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7">
        <v>2</v>
      </c>
      <c r="B22" s="111"/>
      <c r="C22" s="113"/>
      <c r="D22" s="114"/>
      <c r="E22" s="102"/>
      <c r="F22" s="8"/>
      <c r="G22" s="108"/>
      <c r="H22" s="100"/>
      <c r="I22" s="100"/>
      <c r="J22" s="100"/>
      <c r="K22" s="100"/>
      <c r="L22" s="100"/>
      <c r="M22" s="100"/>
      <c r="N22" s="100"/>
      <c r="O22" s="100"/>
      <c r="P22" s="101"/>
      <c r="R22" s="90"/>
      <c r="T22" s="91"/>
      <c r="U22" s="91"/>
      <c r="V22" s="96"/>
      <c r="W22" s="96"/>
      <c r="X22" s="96"/>
      <c r="Y22" s="96">
        <f t="shared" ref="Y22:Y23" si="3">SUM(T22:X22)</f>
        <v>0</v>
      </c>
      <c r="AA22" s="88"/>
      <c r="AB22" s="88"/>
      <c r="AC22" s="88"/>
      <c r="AD22" s="88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7">
        <v>3</v>
      </c>
      <c r="B23" s="109"/>
      <c r="C23" s="104"/>
      <c r="D23" s="86"/>
      <c r="E23" s="103"/>
      <c r="F23" s="97"/>
      <c r="G23" s="112"/>
      <c r="H23" s="100"/>
      <c r="I23" s="100"/>
      <c r="J23" s="100"/>
      <c r="K23" s="100"/>
      <c r="L23" s="100"/>
      <c r="M23" s="100"/>
      <c r="N23" s="100"/>
      <c r="O23" s="100"/>
      <c r="P23" s="101"/>
      <c r="R23" s="90"/>
      <c r="T23" s="91"/>
      <c r="U23" s="91"/>
      <c r="V23" s="96"/>
      <c r="W23" s="96"/>
      <c r="X23" s="96"/>
      <c r="Y23" s="96">
        <f t="shared" si="3"/>
        <v>0</v>
      </c>
      <c r="AA23" s="88">
        <f t="shared" ref="AA23:AA25" si="4">$P$21*T23</f>
        <v>0</v>
      </c>
      <c r="AB23" s="88">
        <f t="shared" ref="AB23:AB26" si="5">$P$21*U23</f>
        <v>0</v>
      </c>
      <c r="AC23" s="88">
        <f t="shared" ref="AC23:AC26" si="6">$P$21*V23</f>
        <v>0</v>
      </c>
      <c r="AD23" s="88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7">
        <v>4</v>
      </c>
      <c r="B24" s="117"/>
      <c r="C24" s="107"/>
      <c r="D24" s="86"/>
      <c r="E24" s="102"/>
      <c r="F24" s="8"/>
      <c r="G24" s="108"/>
      <c r="H24" s="100"/>
      <c r="I24" s="100"/>
      <c r="J24" s="100"/>
      <c r="K24" s="100"/>
      <c r="L24" s="100"/>
      <c r="M24" s="100"/>
      <c r="N24" s="100"/>
      <c r="O24" s="100"/>
      <c r="P24" s="101"/>
      <c r="R24" s="87"/>
      <c r="T24" s="89"/>
      <c r="U24" s="89"/>
      <c r="V24" s="89"/>
      <c r="W24" s="89"/>
      <c r="X24" s="89"/>
      <c r="Y24" s="89">
        <f t="shared" ref="Y24:Y29" si="9">SUM(T24:X24)</f>
        <v>0</v>
      </c>
      <c r="AA24" s="88">
        <f t="shared" si="4"/>
        <v>0</v>
      </c>
      <c r="AB24" s="88">
        <f t="shared" si="5"/>
        <v>0</v>
      </c>
      <c r="AC24" s="88">
        <f>$P$24*V24</f>
        <v>0</v>
      </c>
      <c r="AD24" s="88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7">
        <v>5</v>
      </c>
      <c r="B25" s="109"/>
      <c r="C25" s="104"/>
      <c r="D25" s="86"/>
      <c r="E25" s="102"/>
      <c r="F25" s="8"/>
      <c r="G25" s="172"/>
      <c r="H25" s="100"/>
      <c r="I25" s="100"/>
      <c r="J25" s="100"/>
      <c r="K25" s="100"/>
      <c r="L25" s="100"/>
      <c r="M25" s="100"/>
      <c r="N25" s="100"/>
      <c r="O25" s="100"/>
      <c r="P25" s="101"/>
      <c r="R25" s="87"/>
      <c r="T25" s="89"/>
      <c r="U25" s="89"/>
      <c r="V25" s="89"/>
      <c r="W25" s="89"/>
      <c r="X25" s="89"/>
      <c r="Y25" s="89">
        <f t="shared" si="9"/>
        <v>0</v>
      </c>
      <c r="AA25" s="88">
        <f t="shared" si="4"/>
        <v>0</v>
      </c>
      <c r="AB25" s="88">
        <f>$P$25*U25</f>
        <v>0</v>
      </c>
      <c r="AC25" s="88">
        <f>$P$25*V25</f>
        <v>0</v>
      </c>
      <c r="AD25" s="88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7">
        <v>6</v>
      </c>
      <c r="B26" s="109"/>
      <c r="C26" s="104"/>
      <c r="D26" s="8"/>
      <c r="E26" s="103"/>
      <c r="F26" s="97"/>
      <c r="G26" s="173"/>
      <c r="H26" s="100"/>
      <c r="I26" s="100"/>
      <c r="J26" s="100"/>
      <c r="K26" s="100"/>
      <c r="L26" s="100"/>
      <c r="M26" s="100"/>
      <c r="N26" s="100"/>
      <c r="O26" s="100"/>
      <c r="P26" s="101"/>
      <c r="R26" s="87"/>
      <c r="T26" s="89"/>
      <c r="U26" s="89"/>
      <c r="V26" s="89"/>
      <c r="W26" s="89"/>
      <c r="X26" s="89"/>
      <c r="Y26" s="89">
        <f t="shared" si="9"/>
        <v>0</v>
      </c>
      <c r="AA26" s="88">
        <f>$P$26*T26</f>
        <v>0</v>
      </c>
      <c r="AB26" s="88">
        <f t="shared" si="5"/>
        <v>0</v>
      </c>
      <c r="AC26" s="88">
        <f t="shared" si="6"/>
        <v>0</v>
      </c>
      <c r="AD26" s="88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7">
        <v>7</v>
      </c>
      <c r="B27" s="110"/>
      <c r="C27" s="104"/>
      <c r="D27" s="8"/>
      <c r="E27" s="103"/>
      <c r="F27" s="97"/>
      <c r="G27" s="108"/>
      <c r="H27" s="100"/>
      <c r="I27" s="100"/>
      <c r="J27" s="100"/>
      <c r="K27" s="100"/>
      <c r="L27" s="100"/>
      <c r="M27" s="100"/>
      <c r="N27" s="100"/>
      <c r="O27" s="100"/>
      <c r="P27" s="101"/>
      <c r="R27" s="87"/>
      <c r="T27" s="89"/>
      <c r="U27" s="89"/>
      <c r="V27" s="89"/>
      <c r="W27" s="89"/>
      <c r="X27" s="89"/>
      <c r="Y27" s="89">
        <f t="shared" si="9"/>
        <v>0</v>
      </c>
      <c r="AA27" s="88">
        <f>$P$21*T27</f>
        <v>0</v>
      </c>
      <c r="AB27" s="88">
        <f>$P$27*U27</f>
        <v>0</v>
      </c>
      <c r="AC27" s="88">
        <f t="shared" ref="AC27:AE28" si="12">$P$21*V27</f>
        <v>0</v>
      </c>
      <c r="AD27" s="88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7"/>
      <c r="B28" s="104"/>
      <c r="C28" s="104"/>
      <c r="D28" s="86"/>
      <c r="E28" s="102"/>
      <c r="F28" s="8"/>
      <c r="G28" s="105"/>
      <c r="H28" s="106"/>
      <c r="I28" s="100"/>
      <c r="J28" s="100"/>
      <c r="K28" s="100"/>
      <c r="L28" s="100"/>
      <c r="M28" s="106"/>
      <c r="N28" s="100"/>
      <c r="O28" s="100"/>
      <c r="P28" s="101"/>
      <c r="R28" s="90"/>
      <c r="T28" s="91"/>
      <c r="U28" s="91"/>
      <c r="V28" s="91"/>
      <c r="W28" s="91"/>
      <c r="X28" s="91"/>
      <c r="Y28" s="89">
        <f t="shared" si="9"/>
        <v>0</v>
      </c>
      <c r="AA28" s="88">
        <f>$P$21*T28</f>
        <v>0</v>
      </c>
      <c r="AB28" s="88">
        <f>$P$21*U28</f>
        <v>0</v>
      </c>
      <c r="AC28" s="88">
        <f t="shared" si="12"/>
        <v>0</v>
      </c>
      <c r="AD28" s="88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2"/>
      <c r="C29" s="93"/>
      <c r="D29" s="93"/>
      <c r="E29" s="93"/>
      <c r="F29" s="93"/>
      <c r="G29" s="93"/>
      <c r="H29" s="84"/>
      <c r="I29" s="84"/>
      <c r="J29" s="84"/>
      <c r="K29" s="84"/>
      <c r="L29" s="84"/>
      <c r="M29" s="84"/>
      <c r="N29" s="84"/>
      <c r="O29" s="84"/>
      <c r="P29" s="116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85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86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77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G25:G26"/>
    <mergeCell ref="O19:O20"/>
    <mergeCell ref="H19:I19"/>
    <mergeCell ref="J19:K19"/>
    <mergeCell ref="L19:M19"/>
    <mergeCell ref="H18:O18"/>
    <mergeCell ref="N19:N20"/>
    <mergeCell ref="U19:U20"/>
    <mergeCell ref="V19:V20"/>
    <mergeCell ref="W19:W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F18:F20"/>
    <mergeCell ref="G18:G20"/>
    <mergeCell ref="A18:A20"/>
    <mergeCell ref="B18:B20"/>
    <mergeCell ref="C18:C20"/>
    <mergeCell ref="D18:D20"/>
    <mergeCell ref="E18:E20"/>
  </mergeCells>
  <phoneticPr fontId="8" type="noConversion"/>
  <conditionalFormatting sqref="B21">
    <cfRule type="duplicateValues" dxfId="236" priority="1"/>
    <cfRule type="duplicateValues" dxfId="235" priority="2"/>
    <cfRule type="duplicateValues" dxfId="234" priority="3"/>
    <cfRule type="duplicateValues" dxfId="233" priority="4"/>
    <cfRule type="expression" dxfId="232" priority="5" stopIfTrue="1">
      <formula>AND(COUNTIF($D$28:$D$37, B21)+COUNTIF($D$16:$D$16, B21)&gt;1,NOT(ISBLANK(B21)))</formula>
    </cfRule>
    <cfRule type="expression" dxfId="231" priority="6" stopIfTrue="1">
      <formula>AND(COUNTIF($D$28:$D$65380, B21)+COUNTIF($D$1:$D$16, B21)&gt;1,NOT(ISBLANK(B21)))</formula>
    </cfRule>
    <cfRule type="expression" dxfId="230" priority="7" stopIfTrue="1">
      <formula>AND(COUNTIF($D$17:$D$65380, B21)+COUNTIF($D$1:$D$16, B21)&gt;1,NOT(ISBLANK(B21)))</formula>
    </cfRule>
    <cfRule type="expression" dxfId="229" priority="8" stopIfTrue="1">
      <formula>AND(COUNTIF($D$1:$D$123, B21)+COUNTIF($D$142:$D$65380, B21)&gt;1,NOT(ISBLANK(B21)))</formula>
    </cfRule>
    <cfRule type="expression" dxfId="228" priority="9" stopIfTrue="1">
      <formula>AND(COUNTIF($D$1:$D$191, B21)+COUNTIF($D$214:$D$65380, B21)&gt;1,NOT(ISBLANK(B21)))</formula>
    </cfRule>
    <cfRule type="expression" dxfId="227" priority="10" stopIfTrue="1">
      <formula>AND(COUNTIF($D$1:$D$191, B21)+COUNTIF($D$214:$D$65380, B21)&gt;1,NOT(ISBLANK(B21)))</formula>
    </cfRule>
    <cfRule type="expression" dxfId="226" priority="11" stopIfTrue="1">
      <formula>AND(COUNTIF($D$1:$D$191, B21)+COUNTIF($D$214:$D$65380, B21)&gt;1,NOT(ISBLANK(B21)))</formula>
    </cfRule>
    <cfRule type="expression" dxfId="225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224" priority="18"/>
  </conditionalFormatting>
  <conditionalFormatting sqref="B22">
    <cfRule type="duplicateValues" dxfId="223" priority="14"/>
    <cfRule type="duplicateValues" dxfId="222" priority="15"/>
    <cfRule type="duplicateValues" dxfId="221" priority="16"/>
  </conditionalFormatting>
  <conditionalFormatting sqref="B23">
    <cfRule type="duplicateValues" dxfId="220" priority="19"/>
    <cfRule type="duplicateValues" dxfId="219" priority="20"/>
    <cfRule type="expression" dxfId="218" priority="1251" stopIfTrue="1">
      <formula>AND(COUNTIF($C$2:$C$65291, B23)+COUNTIF(#REF!, B23)&gt;1,NOT(ISBLANK(B23)))</formula>
    </cfRule>
    <cfRule type="expression" dxfId="217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216" priority="1248" stopIfTrue="1">
      <formula>AND(COUNTIF($C$1:$C$65282, B21)+COUNTIF(#REF!, B21)&gt;1,NOT(ISBLANK(B21)))</formula>
    </cfRule>
  </conditionalFormatting>
  <conditionalFormatting sqref="B26:B27 B23 B21">
    <cfRule type="expression" dxfId="215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214" priority="1239"/>
    <cfRule type="expression" dxfId="213" priority="1240" stopIfTrue="1">
      <formula>AND(COUNTIF($D$28:$D$37, B26)+COUNTIF($D$16:$D$16, B26)&gt;1,NOT(ISBLANK(B26)))</formula>
    </cfRule>
    <cfRule type="expression" dxfId="212" priority="1241" stopIfTrue="1">
      <formula>AND(COUNTIF($D$28:$D$65380, B26)+COUNTIF($D$1:$D$16, B26)&gt;1,NOT(ISBLANK(B26)))</formula>
    </cfRule>
    <cfRule type="expression" dxfId="211" priority="1242" stopIfTrue="1">
      <formula>AND(COUNTIF($D$17:$D$65380, B26)+COUNTIF($D$1:$D$16, B26)&gt;1,NOT(ISBLANK(B26)))</formula>
    </cfRule>
    <cfRule type="expression" dxfId="210" priority="1243" stopIfTrue="1">
      <formula>AND(COUNTIF($D$1:$D$123, B26)+COUNTIF($D$142:$D$65380, B26)&gt;1,NOT(ISBLANK(B26)))</formula>
    </cfRule>
    <cfRule type="expression" dxfId="209" priority="1245" stopIfTrue="1">
      <formula>AND(COUNTIF($D$1:$D$191, B26)+COUNTIF($D$214:$D$65380, B26)&gt;1,NOT(ISBLANK(B26)))</formula>
    </cfRule>
    <cfRule type="expression" dxfId="208" priority="1246" stopIfTrue="1">
      <formula>AND(COUNTIF($D$1:$D$191, B26)+COUNTIF($D$214:$D$65380, B26)&gt;1,NOT(ISBLANK(B26)))</formula>
    </cfRule>
    <cfRule type="expression" dxfId="207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206" priority="1244" stopIfTrue="1">
      <formula>AND(COUNTIF($D$1:$D$191, B26)+COUNTIF($D$214:$D$65380, B26)&gt;1,NOT(ISBLANK(B26)))</formula>
    </cfRule>
  </conditionalFormatting>
  <conditionalFormatting sqref="B27">
    <cfRule type="duplicateValues" dxfId="205" priority="22"/>
    <cfRule type="duplicateValues" dxfId="204" priority="23"/>
    <cfRule type="duplicateValues" dxfId="203" priority="24"/>
  </conditionalFormatting>
  <conditionalFormatting sqref="B28">
    <cfRule type="duplicateValues" dxfId="202" priority="1190"/>
    <cfRule type="duplicateValues" dxfId="201" priority="1191"/>
    <cfRule type="duplicateValues" dxfId="200" priority="1192"/>
  </conditionalFormatting>
  <conditionalFormatting sqref="B29:B1048576 B1:B20">
    <cfRule type="duplicateValues" dxfId="199" priority="347"/>
  </conditionalFormatting>
  <conditionalFormatting sqref="L4">
    <cfRule type="expression" dxfId="198" priority="1221" stopIfTrue="1">
      <formula>AND(COUNTIF($C$1:$C$65460, L4)+COUNTIF(#REF!, L4)&gt;1,NOT(ISBLANK(L4)))</formula>
    </cfRule>
    <cfRule type="expression" dxfId="197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196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5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4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3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2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91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90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9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8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7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6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5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84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83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53</v>
      </c>
      <c r="C3" s="56" t="s">
        <v>54</v>
      </c>
      <c r="D3" s="56" t="s">
        <v>6</v>
      </c>
      <c r="E3" s="56" t="s">
        <v>55</v>
      </c>
      <c r="F3" s="56" t="s">
        <v>56</v>
      </c>
      <c r="G3" s="57" t="s">
        <v>57</v>
      </c>
      <c r="H3" s="58" t="s">
        <v>58</v>
      </c>
      <c r="I3" s="58" t="s">
        <v>59</v>
      </c>
      <c r="J3" s="59" t="s">
        <v>60</v>
      </c>
      <c r="K3" s="58" t="s">
        <v>61</v>
      </c>
      <c r="L3" s="58" t="s">
        <v>62</v>
      </c>
      <c r="M3" s="58" t="s">
        <v>63</v>
      </c>
      <c r="N3" s="58" t="s">
        <v>64</v>
      </c>
      <c r="O3" s="58" t="s">
        <v>65</v>
      </c>
      <c r="P3" s="58" t="s">
        <v>75</v>
      </c>
      <c r="Q3" s="58" t="s">
        <v>66</v>
      </c>
      <c r="R3" s="58" t="s">
        <v>74</v>
      </c>
    </row>
    <row r="4" spans="2:18" ht="60" customHeight="1" x14ac:dyDescent="0.35">
      <c r="B4" s="60" t="s">
        <v>69</v>
      </c>
      <c r="C4" s="61" t="s">
        <v>67</v>
      </c>
      <c r="D4" s="62" t="s">
        <v>68</v>
      </c>
      <c r="E4" s="63" t="s">
        <v>70</v>
      </c>
      <c r="F4" s="64" t="s">
        <v>71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75" t="s">
        <v>76</v>
      </c>
    </row>
    <row r="5" spans="2:18" ht="15.5" x14ac:dyDescent="0.35">
      <c r="B5" s="60" t="s">
        <v>69</v>
      </c>
      <c r="C5" s="61" t="s">
        <v>67</v>
      </c>
      <c r="D5" s="62" t="s">
        <v>68</v>
      </c>
      <c r="E5" s="63" t="s">
        <v>72</v>
      </c>
      <c r="F5" s="64" t="s">
        <v>73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76"/>
    </row>
    <row r="6" spans="2:18" s="75" customFormat="1" x14ac:dyDescent="0.35">
      <c r="B6" s="177" t="s">
        <v>29</v>
      </c>
      <c r="C6" s="178"/>
      <c r="D6" s="179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182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62"/>
  <sheetViews>
    <sheetView tabSelected="1" zoomScale="88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6" sqref="F6"/>
    </sheetView>
  </sheetViews>
  <sheetFormatPr defaultColWidth="9.1796875" defaultRowHeight="14.5" x14ac:dyDescent="0.35"/>
  <cols>
    <col min="1" max="1" width="3.453125" style="4" customWidth="1"/>
    <col min="2" max="2" width="10" style="1" customWidth="1"/>
    <col min="3" max="3" width="10.54296875" style="1" customWidth="1"/>
    <col min="4" max="4" width="10.54296875" style="4" customWidth="1"/>
    <col min="5" max="5" width="21.7265625" style="4" bestFit="1" customWidth="1"/>
    <col min="6" max="6" width="15.08984375" style="4" bestFit="1" customWidth="1"/>
    <col min="7" max="7" width="19.7265625" style="4" bestFit="1" customWidth="1"/>
    <col min="8" max="8" width="19.81640625" style="4" bestFit="1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6.7265625" style="4" bestFit="1" customWidth="1"/>
    <col min="16" max="16" width="18.453125" style="1" bestFit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32" t="s">
        <v>4</v>
      </c>
      <c r="B1" s="132" t="s">
        <v>116</v>
      </c>
      <c r="C1" s="132" t="s">
        <v>6</v>
      </c>
      <c r="D1" s="132" t="s">
        <v>111</v>
      </c>
      <c r="E1" s="132" t="s">
        <v>112</v>
      </c>
      <c r="F1" s="132" t="s">
        <v>107</v>
      </c>
      <c r="G1" s="132" t="s">
        <v>108</v>
      </c>
      <c r="H1" s="132" t="s">
        <v>109</v>
      </c>
      <c r="I1" s="132" t="s">
        <v>110</v>
      </c>
      <c r="J1" s="151" t="s">
        <v>117</v>
      </c>
      <c r="K1" s="151" t="s">
        <v>114</v>
      </c>
      <c r="L1" s="151" t="s">
        <v>115</v>
      </c>
      <c r="M1" s="151" t="s">
        <v>38</v>
      </c>
      <c r="N1" s="151" t="s">
        <v>39</v>
      </c>
      <c r="O1" s="153" t="s">
        <v>113</v>
      </c>
      <c r="P1" s="152" t="s">
        <v>118</v>
      </c>
    </row>
    <row r="2" spans="1:37" ht="15.5" x14ac:dyDescent="0.35">
      <c r="A2" s="8">
        <v>1</v>
      </c>
      <c r="B2" s="144" t="s">
        <v>125</v>
      </c>
      <c r="C2" s="99" t="s">
        <v>126</v>
      </c>
      <c r="D2" s="149">
        <v>156.826065</v>
      </c>
      <c r="E2" s="185" t="s">
        <v>127</v>
      </c>
      <c r="F2" s="130">
        <v>45</v>
      </c>
      <c r="G2" s="120"/>
      <c r="H2" s="188" t="s">
        <v>246</v>
      </c>
      <c r="I2" s="120" t="s">
        <v>124</v>
      </c>
      <c r="J2" s="184" t="str">
        <f>I2</f>
        <v>Yes</v>
      </c>
      <c r="K2" s="85">
        <v>45949</v>
      </c>
      <c r="L2" s="85">
        <v>45979</v>
      </c>
      <c r="M2" s="85">
        <f>+N2+1</f>
        <v>45982</v>
      </c>
      <c r="N2" s="85">
        <f>+L2+2</f>
        <v>45981</v>
      </c>
      <c r="O2" s="150">
        <v>1182783</v>
      </c>
      <c r="P2" s="101"/>
    </row>
    <row r="3" spans="1:37" ht="15.5" x14ac:dyDescent="0.35">
      <c r="A3" s="8">
        <f>A2+1</f>
        <v>2</v>
      </c>
      <c r="B3" s="144" t="s">
        <v>128</v>
      </c>
      <c r="C3" s="99" t="s">
        <v>129</v>
      </c>
      <c r="D3" s="149">
        <v>122.80482100000003</v>
      </c>
      <c r="E3" s="185" t="s">
        <v>130</v>
      </c>
      <c r="F3" s="130">
        <v>53</v>
      </c>
      <c r="G3" s="120" t="s">
        <v>243</v>
      </c>
      <c r="H3" s="185" t="s">
        <v>247</v>
      </c>
      <c r="I3" s="120" t="s">
        <v>124</v>
      </c>
      <c r="J3" s="184" t="str">
        <f>I3</f>
        <v>Yes</v>
      </c>
      <c r="K3" s="85">
        <v>45959</v>
      </c>
      <c r="L3" s="85">
        <v>45976</v>
      </c>
      <c r="M3" s="85">
        <f>+N3+1</f>
        <v>45979</v>
      </c>
      <c r="N3" s="85">
        <f>+L3+2</f>
        <v>45978</v>
      </c>
      <c r="O3" s="150">
        <v>934927.00000000012</v>
      </c>
      <c r="P3" s="101"/>
      <c r="Q3" s="133"/>
      <c r="R3" s="133"/>
      <c r="T3" s="134"/>
      <c r="V3" s="133"/>
      <c r="W3" s="133"/>
      <c r="X3" s="133"/>
      <c r="Y3" s="133"/>
      <c r="Z3" s="133"/>
      <c r="AA3" s="133"/>
      <c r="AC3" s="133"/>
      <c r="AD3" s="133"/>
      <c r="AE3" s="133"/>
      <c r="AF3" s="133"/>
      <c r="AG3" s="133"/>
      <c r="AH3" s="133"/>
      <c r="AI3" s="135"/>
    </row>
    <row r="4" spans="1:37" ht="31" x14ac:dyDescent="0.35">
      <c r="A4" s="8">
        <f>A3+1</f>
        <v>3</v>
      </c>
      <c r="B4" s="144" t="s">
        <v>131</v>
      </c>
      <c r="C4" s="99" t="s">
        <v>123</v>
      </c>
      <c r="D4" s="149">
        <v>101.852</v>
      </c>
      <c r="E4" s="185" t="s">
        <v>132</v>
      </c>
      <c r="F4" s="130">
        <v>55</v>
      </c>
      <c r="G4" s="120" t="s">
        <v>243</v>
      </c>
      <c r="H4" s="185" t="s">
        <v>248</v>
      </c>
      <c r="I4" s="120" t="s">
        <v>124</v>
      </c>
      <c r="J4" s="184" t="str">
        <f>I4</f>
        <v>Yes</v>
      </c>
      <c r="K4" s="85">
        <v>45965</v>
      </c>
      <c r="L4" s="85">
        <v>45980</v>
      </c>
      <c r="M4" s="85">
        <f>+N4+1</f>
        <v>45983</v>
      </c>
      <c r="N4" s="85">
        <f>+L4+2</f>
        <v>45982</v>
      </c>
      <c r="O4" s="150">
        <v>470077.00000000006</v>
      </c>
      <c r="P4" s="101"/>
      <c r="Q4" s="136"/>
      <c r="R4" s="135"/>
      <c r="T4" s="134"/>
      <c r="V4" s="133"/>
      <c r="W4" s="133"/>
      <c r="X4" s="133"/>
      <c r="Y4" s="133"/>
      <c r="Z4" s="133"/>
      <c r="AA4" s="135"/>
      <c r="AC4" s="133"/>
      <c r="AD4" s="133"/>
      <c r="AE4" s="133"/>
      <c r="AF4" s="133"/>
      <c r="AG4" s="133"/>
      <c r="AH4" s="135"/>
      <c r="AI4" s="135"/>
    </row>
    <row r="5" spans="1:37" ht="31" x14ac:dyDescent="0.35">
      <c r="A5" s="8">
        <f>A4+1</f>
        <v>4</v>
      </c>
      <c r="B5" s="144" t="s">
        <v>133</v>
      </c>
      <c r="C5" s="99" t="s">
        <v>134</v>
      </c>
      <c r="D5" s="149">
        <v>129.34103899999999</v>
      </c>
      <c r="E5" s="185" t="s">
        <v>135</v>
      </c>
      <c r="F5" s="130">
        <v>58</v>
      </c>
      <c r="G5" s="120" t="s">
        <v>243</v>
      </c>
      <c r="H5" s="185" t="s">
        <v>249</v>
      </c>
      <c r="I5" s="120" t="s">
        <v>124</v>
      </c>
      <c r="J5" s="184" t="str">
        <f>I5</f>
        <v>Yes</v>
      </c>
      <c r="K5" s="85">
        <v>45959</v>
      </c>
      <c r="L5" s="85">
        <v>45976</v>
      </c>
      <c r="M5" s="85">
        <f>+N5+1</f>
        <v>45979</v>
      </c>
      <c r="N5" s="85">
        <f>+L5+2</f>
        <v>45978</v>
      </c>
      <c r="O5" s="150">
        <v>1003256</v>
      </c>
      <c r="P5" s="101"/>
      <c r="Q5" s="137"/>
      <c r="R5" s="137"/>
      <c r="T5" s="138"/>
      <c r="V5" s="133"/>
      <c r="W5" s="133"/>
      <c r="X5" s="133"/>
      <c r="Y5" s="133"/>
      <c r="Z5" s="133"/>
      <c r="AA5" s="137"/>
      <c r="AC5" s="133"/>
      <c r="AD5" s="133"/>
      <c r="AE5" s="133"/>
      <c r="AF5" s="133"/>
      <c r="AG5" s="133"/>
      <c r="AH5" s="137"/>
      <c r="AI5" s="137"/>
    </row>
    <row r="6" spans="1:37" ht="15.5" x14ac:dyDescent="0.35">
      <c r="A6" s="8">
        <f>A5+1</f>
        <v>5</v>
      </c>
      <c r="B6" s="144" t="s">
        <v>209</v>
      </c>
      <c r="C6" s="99" t="s">
        <v>171</v>
      </c>
      <c r="D6" s="149">
        <v>89.142759000000012</v>
      </c>
      <c r="E6" s="185" t="s">
        <v>210</v>
      </c>
      <c r="F6" s="130"/>
      <c r="G6" s="120" t="s">
        <v>243</v>
      </c>
      <c r="H6" s="185" t="s">
        <v>272</v>
      </c>
      <c r="I6" s="120" t="s">
        <v>124</v>
      </c>
      <c r="J6" s="184" t="str">
        <f>I6</f>
        <v>Yes</v>
      </c>
      <c r="K6" s="85">
        <v>45969</v>
      </c>
      <c r="L6" s="85">
        <v>45983</v>
      </c>
      <c r="M6" s="85">
        <f>+N6+1</f>
        <v>45986</v>
      </c>
      <c r="N6" s="85">
        <f>+L6+2</f>
        <v>45985</v>
      </c>
      <c r="O6" s="150">
        <v>680590</v>
      </c>
      <c r="P6" s="101"/>
      <c r="Q6" s="131"/>
      <c r="R6" s="131"/>
      <c r="T6" s="139"/>
      <c r="V6" s="140"/>
      <c r="W6" s="140"/>
      <c r="X6" s="140"/>
      <c r="Y6" s="140"/>
      <c r="Z6" s="140"/>
      <c r="AA6" s="140"/>
      <c r="AC6" s="141"/>
      <c r="AD6" s="141"/>
      <c r="AE6" s="141"/>
      <c r="AF6" s="141"/>
      <c r="AG6" s="141"/>
      <c r="AH6" s="142"/>
      <c r="AI6" s="143"/>
    </row>
    <row r="7" spans="1:37" ht="15.5" x14ac:dyDescent="0.35">
      <c r="A7" s="8">
        <f>A6+1</f>
        <v>6</v>
      </c>
      <c r="B7" s="144" t="s">
        <v>211</v>
      </c>
      <c r="C7" s="99" t="s">
        <v>171</v>
      </c>
      <c r="D7" s="149">
        <v>89.142759000000012</v>
      </c>
      <c r="E7" s="186" t="s">
        <v>212</v>
      </c>
      <c r="F7" s="130"/>
      <c r="G7" s="120" t="s">
        <v>243</v>
      </c>
      <c r="H7" s="185" t="s">
        <v>272</v>
      </c>
      <c r="I7" s="120" t="s">
        <v>124</v>
      </c>
      <c r="J7" s="184" t="str">
        <f>I7</f>
        <v>Yes</v>
      </c>
      <c r="K7" s="85">
        <v>45969</v>
      </c>
      <c r="L7" s="85">
        <v>45983</v>
      </c>
      <c r="M7" s="85">
        <f>+N7+1</f>
        <v>45986</v>
      </c>
      <c r="N7" s="85">
        <f>+L7+2</f>
        <v>45985</v>
      </c>
      <c r="O7" s="150">
        <v>680590</v>
      </c>
      <c r="P7" s="101"/>
      <c r="Q7" s="131"/>
      <c r="R7" s="131"/>
      <c r="T7" s="139"/>
      <c r="V7" s="140"/>
      <c r="W7" s="140"/>
      <c r="X7" s="140"/>
      <c r="Y7" s="140"/>
      <c r="Z7" s="140"/>
      <c r="AA7" s="140"/>
      <c r="AC7" s="141"/>
      <c r="AD7" s="141"/>
      <c r="AE7" s="141"/>
      <c r="AF7" s="141"/>
      <c r="AG7" s="141"/>
      <c r="AH7" s="142"/>
      <c r="AI7" s="143"/>
    </row>
    <row r="8" spans="1:37" ht="15.5" x14ac:dyDescent="0.35">
      <c r="A8" s="8">
        <f>A7+1</f>
        <v>7</v>
      </c>
      <c r="B8" s="144" t="s">
        <v>199</v>
      </c>
      <c r="C8" s="99" t="s">
        <v>151</v>
      </c>
      <c r="D8" s="149">
        <v>94.407668999999999</v>
      </c>
      <c r="E8" s="186" t="s">
        <v>200</v>
      </c>
      <c r="F8" s="130">
        <v>19</v>
      </c>
      <c r="G8" s="120" t="s">
        <v>243</v>
      </c>
      <c r="H8" s="185" t="s">
        <v>272</v>
      </c>
      <c r="I8" s="120" t="s">
        <v>124</v>
      </c>
      <c r="J8" s="184" t="str">
        <f>I8</f>
        <v>Yes</v>
      </c>
      <c r="K8" s="85">
        <v>45966</v>
      </c>
      <c r="L8" s="85">
        <v>45984</v>
      </c>
      <c r="M8" s="85">
        <f>+N8+1</f>
        <v>45987</v>
      </c>
      <c r="N8" s="85">
        <f>+L8+2</f>
        <v>45986</v>
      </c>
      <c r="O8" s="150">
        <v>719574</v>
      </c>
      <c r="P8" s="101"/>
      <c r="Q8" s="131"/>
      <c r="R8" s="131"/>
      <c r="T8" s="139"/>
      <c r="V8" s="140"/>
      <c r="W8" s="140"/>
      <c r="X8" s="140"/>
      <c r="Y8" s="140"/>
      <c r="Z8" s="140"/>
      <c r="AA8" s="140"/>
      <c r="AC8" s="141"/>
      <c r="AD8" s="141"/>
      <c r="AE8" s="141"/>
      <c r="AF8" s="141"/>
      <c r="AG8" s="141"/>
      <c r="AH8" s="142"/>
      <c r="AI8" s="143"/>
    </row>
    <row r="9" spans="1:37" ht="15.5" x14ac:dyDescent="0.35">
      <c r="A9" s="8">
        <f>A8+1</f>
        <v>8</v>
      </c>
      <c r="B9" s="144" t="s">
        <v>218</v>
      </c>
      <c r="C9" s="99" t="s">
        <v>151</v>
      </c>
      <c r="D9" s="149">
        <v>94.407668999999999</v>
      </c>
      <c r="E9" s="186" t="s">
        <v>152</v>
      </c>
      <c r="F9" s="130"/>
      <c r="G9" s="120" t="s">
        <v>243</v>
      </c>
      <c r="H9" s="185" t="s">
        <v>255</v>
      </c>
      <c r="I9" s="120" t="s">
        <v>124</v>
      </c>
      <c r="J9" s="184" t="str">
        <f>I9</f>
        <v>Yes</v>
      </c>
      <c r="K9" s="85">
        <v>45969</v>
      </c>
      <c r="L9" s="85">
        <v>45984</v>
      </c>
      <c r="M9" s="85">
        <f>+N9+1</f>
        <v>45987</v>
      </c>
      <c r="N9" s="85">
        <f>+L9+2</f>
        <v>45986</v>
      </c>
      <c r="O9" s="150">
        <v>719574</v>
      </c>
      <c r="P9" s="101"/>
      <c r="Q9" s="131"/>
      <c r="R9" s="131"/>
      <c r="T9" s="139"/>
      <c r="V9" s="140"/>
      <c r="W9" s="140"/>
      <c r="X9" s="140"/>
      <c r="Y9" s="140"/>
      <c r="Z9" s="140"/>
      <c r="AA9" s="140"/>
      <c r="AC9" s="141"/>
      <c r="AD9" s="141"/>
      <c r="AE9" s="141"/>
      <c r="AF9" s="141"/>
      <c r="AG9" s="141"/>
      <c r="AH9" s="142"/>
      <c r="AI9" s="143"/>
    </row>
    <row r="10" spans="1:37" ht="15.5" x14ac:dyDescent="0.35">
      <c r="A10" s="8">
        <f>A9+1</f>
        <v>9</v>
      </c>
      <c r="B10" s="144" t="s">
        <v>241</v>
      </c>
      <c r="C10" s="99" t="s">
        <v>164</v>
      </c>
      <c r="D10" s="149">
        <v>80.408016999999987</v>
      </c>
      <c r="E10" s="185" t="s">
        <v>196</v>
      </c>
      <c r="F10" s="130"/>
      <c r="G10" s="120" t="s">
        <v>243</v>
      </c>
      <c r="H10" s="185" t="s">
        <v>270</v>
      </c>
      <c r="I10" s="120" t="s">
        <v>124</v>
      </c>
      <c r="J10" s="184" t="str">
        <f>I10</f>
        <v>Yes</v>
      </c>
      <c r="K10" s="85">
        <v>45973</v>
      </c>
      <c r="L10" s="85">
        <v>45988</v>
      </c>
      <c r="M10" s="85">
        <f>+N10+1</f>
        <v>45991</v>
      </c>
      <c r="N10" s="85">
        <f>+L10+2</f>
        <v>45990</v>
      </c>
      <c r="O10" s="150">
        <v>604881</v>
      </c>
      <c r="P10" s="101"/>
      <c r="Q10" s="131"/>
      <c r="R10" s="131"/>
      <c r="T10" s="139"/>
      <c r="V10" s="140"/>
      <c r="W10" s="140"/>
      <c r="X10" s="140"/>
      <c r="Y10" s="140"/>
      <c r="Z10" s="140"/>
      <c r="AA10" s="140"/>
      <c r="AC10" s="141"/>
      <c r="AD10" s="141"/>
      <c r="AE10" s="141"/>
      <c r="AF10" s="141"/>
      <c r="AG10" s="141"/>
      <c r="AH10" s="142"/>
      <c r="AI10" s="143"/>
    </row>
    <row r="11" spans="1:37" ht="15.5" x14ac:dyDescent="0.35">
      <c r="A11" s="8">
        <f>A10+1</f>
        <v>10</v>
      </c>
      <c r="B11" s="144" t="s">
        <v>227</v>
      </c>
      <c r="C11" s="99" t="s">
        <v>119</v>
      </c>
      <c r="D11" s="149">
        <v>39.458914000000007</v>
      </c>
      <c r="E11" s="185" t="s">
        <v>174</v>
      </c>
      <c r="F11" s="130"/>
      <c r="G11" s="120" t="s">
        <v>243</v>
      </c>
      <c r="H11" s="185" t="s">
        <v>262</v>
      </c>
      <c r="I11" s="120" t="s">
        <v>124</v>
      </c>
      <c r="J11" s="184" t="str">
        <f>I11</f>
        <v>Yes</v>
      </c>
      <c r="K11" s="85">
        <v>45973</v>
      </c>
      <c r="L11" s="85">
        <v>45980</v>
      </c>
      <c r="M11" s="85">
        <f>+N11+1</f>
        <v>45983</v>
      </c>
      <c r="N11" s="85">
        <f>+L11+2</f>
        <v>45982</v>
      </c>
      <c r="O11" s="150">
        <v>297143</v>
      </c>
      <c r="P11" s="101"/>
      <c r="Q11" s="131"/>
      <c r="R11" s="131"/>
      <c r="T11" s="139"/>
      <c r="V11" s="140"/>
      <c r="W11" s="140"/>
      <c r="X11" s="140"/>
      <c r="Y11" s="140"/>
      <c r="Z11" s="140"/>
      <c r="AA11" s="140"/>
      <c r="AC11" s="141"/>
      <c r="AD11" s="141"/>
      <c r="AE11" s="141"/>
      <c r="AF11" s="141"/>
      <c r="AG11" s="141"/>
      <c r="AH11" s="142"/>
      <c r="AI11" s="143"/>
    </row>
    <row r="12" spans="1:37" ht="15.5" x14ac:dyDescent="0.35">
      <c r="A12" s="8">
        <f>A11+1</f>
        <v>11</v>
      </c>
      <c r="B12" s="144" t="s">
        <v>233</v>
      </c>
      <c r="C12" s="99" t="s">
        <v>89</v>
      </c>
      <c r="D12" s="149">
        <v>142.10141100000001</v>
      </c>
      <c r="E12" s="185" t="s">
        <v>182</v>
      </c>
      <c r="F12" s="130"/>
      <c r="G12" s="120" t="s">
        <v>243</v>
      </c>
      <c r="H12" s="185" t="s">
        <v>265</v>
      </c>
      <c r="I12" s="120" t="s">
        <v>124</v>
      </c>
      <c r="J12" s="184" t="str">
        <f>I12</f>
        <v>Yes</v>
      </c>
      <c r="K12" s="85">
        <v>45967</v>
      </c>
      <c r="L12" s="85">
        <v>45989</v>
      </c>
      <c r="M12" s="85">
        <f>+N12+1</f>
        <v>45992</v>
      </c>
      <c r="N12" s="85">
        <f>+L12+2</f>
        <v>45991</v>
      </c>
      <c r="O12" s="150">
        <v>1099828</v>
      </c>
      <c r="P12" s="101"/>
      <c r="Q12" s="131"/>
      <c r="R12" s="131"/>
      <c r="T12" s="139"/>
      <c r="V12" s="140"/>
      <c r="W12" s="140"/>
      <c r="X12" s="140"/>
      <c r="Y12" s="140"/>
      <c r="Z12" s="140"/>
      <c r="AA12" s="140"/>
      <c r="AC12" s="141"/>
      <c r="AD12" s="141"/>
      <c r="AE12" s="141"/>
      <c r="AF12" s="141"/>
      <c r="AG12" s="141"/>
      <c r="AH12" s="142"/>
      <c r="AI12" s="143"/>
    </row>
    <row r="13" spans="1:37" ht="15.5" x14ac:dyDescent="0.35">
      <c r="A13" s="8">
        <f>A12+1</f>
        <v>12</v>
      </c>
      <c r="B13" s="144" t="s">
        <v>183</v>
      </c>
      <c r="C13" s="99" t="s">
        <v>134</v>
      </c>
      <c r="D13" s="149">
        <v>129.34103899999999</v>
      </c>
      <c r="E13" s="185" t="s">
        <v>184</v>
      </c>
      <c r="F13" s="130"/>
      <c r="G13" s="120" t="s">
        <v>243</v>
      </c>
      <c r="H13" s="185" t="s">
        <v>265</v>
      </c>
      <c r="I13" s="120" t="s">
        <v>124</v>
      </c>
      <c r="J13" s="184" t="str">
        <f>I13</f>
        <v>Yes</v>
      </c>
      <c r="K13" s="85">
        <v>45968</v>
      </c>
      <c r="L13" s="85">
        <v>45988</v>
      </c>
      <c r="M13" s="85">
        <f>+N13+1</f>
        <v>45991</v>
      </c>
      <c r="N13" s="85">
        <f>+L13+2</f>
        <v>45990</v>
      </c>
      <c r="O13" s="150">
        <v>1003256</v>
      </c>
      <c r="P13" s="101"/>
      <c r="Q13" s="131"/>
      <c r="R13" s="131"/>
      <c r="T13" s="139"/>
      <c r="V13" s="140"/>
      <c r="W13" s="140"/>
      <c r="X13" s="140"/>
      <c r="Y13" s="140"/>
      <c r="Z13" s="140"/>
      <c r="AA13" s="140"/>
      <c r="AC13" s="141"/>
      <c r="AD13" s="141"/>
      <c r="AE13" s="141"/>
      <c r="AF13" s="141"/>
      <c r="AG13" s="141"/>
      <c r="AH13" s="142"/>
      <c r="AI13" s="143"/>
    </row>
    <row r="14" spans="1:37" ht="15.5" x14ac:dyDescent="0.35">
      <c r="A14" s="8">
        <f>A13+1</f>
        <v>13</v>
      </c>
      <c r="B14" s="144" t="s">
        <v>225</v>
      </c>
      <c r="C14" s="99" t="s">
        <v>50</v>
      </c>
      <c r="D14" s="149">
        <v>37.730482000000002</v>
      </c>
      <c r="E14" s="185" t="s">
        <v>165</v>
      </c>
      <c r="F14" s="130"/>
      <c r="G14" s="120" t="s">
        <v>243</v>
      </c>
      <c r="H14" s="185" t="s">
        <v>259</v>
      </c>
      <c r="I14" s="120" t="s">
        <v>124</v>
      </c>
      <c r="J14" s="184" t="str">
        <f>I14</f>
        <v>Yes</v>
      </c>
      <c r="K14" s="85">
        <v>45967</v>
      </c>
      <c r="L14" s="85">
        <v>45974</v>
      </c>
      <c r="M14" s="85">
        <f>+N14+1</f>
        <v>45977</v>
      </c>
      <c r="N14" s="85">
        <f>+L14+2</f>
        <v>45976</v>
      </c>
      <c r="O14" s="150">
        <v>286911</v>
      </c>
      <c r="P14" s="101"/>
      <c r="Q14" s="131"/>
      <c r="R14" s="131"/>
      <c r="T14" s="139"/>
      <c r="V14" s="140"/>
      <c r="W14" s="140"/>
      <c r="X14" s="140"/>
      <c r="Y14" s="140"/>
      <c r="Z14" s="140"/>
      <c r="AA14" s="140"/>
      <c r="AC14" s="141"/>
      <c r="AD14" s="141"/>
      <c r="AE14" s="141"/>
      <c r="AF14" s="141"/>
      <c r="AG14" s="141"/>
      <c r="AH14" s="142"/>
      <c r="AI14" s="143"/>
      <c r="AK14" s="101"/>
    </row>
    <row r="15" spans="1:37" ht="31" x14ac:dyDescent="0.35">
      <c r="A15" s="8">
        <f>A14+1</f>
        <v>14</v>
      </c>
      <c r="B15" s="144" t="s">
        <v>230</v>
      </c>
      <c r="C15" s="99" t="s">
        <v>231</v>
      </c>
      <c r="D15" s="149">
        <v>85.230485000000016</v>
      </c>
      <c r="E15" s="185" t="s">
        <v>178</v>
      </c>
      <c r="F15" s="130"/>
      <c r="G15" s="120" t="s">
        <v>243</v>
      </c>
      <c r="H15" s="185" t="s">
        <v>250</v>
      </c>
      <c r="I15" s="120" t="s">
        <v>124</v>
      </c>
      <c r="J15" s="184" t="str">
        <f>I15</f>
        <v>Yes</v>
      </c>
      <c r="K15" s="85">
        <v>45969</v>
      </c>
      <c r="L15" s="85">
        <v>45983</v>
      </c>
      <c r="M15" s="85">
        <f>+N15+1</f>
        <v>45986</v>
      </c>
      <c r="N15" s="85">
        <f>+L15+2</f>
        <v>45985</v>
      </c>
      <c r="O15" s="150">
        <v>650023</v>
      </c>
      <c r="P15" s="101"/>
      <c r="Q15" s="131"/>
      <c r="R15" s="131"/>
      <c r="T15" s="139"/>
      <c r="V15" s="140"/>
      <c r="W15" s="140"/>
      <c r="X15" s="140"/>
      <c r="Y15" s="140"/>
      <c r="Z15" s="140"/>
      <c r="AA15" s="140"/>
      <c r="AC15" s="141"/>
      <c r="AD15" s="141"/>
      <c r="AE15" s="141"/>
      <c r="AF15" s="141"/>
      <c r="AG15" s="141"/>
      <c r="AH15" s="142"/>
      <c r="AI15" s="143"/>
    </row>
    <row r="16" spans="1:37" ht="15.5" x14ac:dyDescent="0.35">
      <c r="A16" s="8">
        <f>A15+1</f>
        <v>15</v>
      </c>
      <c r="B16" s="144" t="s">
        <v>136</v>
      </c>
      <c r="C16" s="99" t="s">
        <v>89</v>
      </c>
      <c r="D16" s="149">
        <v>142.10141100000001</v>
      </c>
      <c r="E16" s="185" t="s">
        <v>137</v>
      </c>
      <c r="F16" s="187">
        <v>47</v>
      </c>
      <c r="G16" s="120" t="s">
        <v>243</v>
      </c>
      <c r="H16" s="185" t="s">
        <v>250</v>
      </c>
      <c r="I16" s="120" t="s">
        <v>124</v>
      </c>
      <c r="J16" s="184" t="str">
        <f>I16</f>
        <v>Yes</v>
      </c>
      <c r="K16" s="85">
        <v>45965</v>
      </c>
      <c r="L16" s="85">
        <v>45985</v>
      </c>
      <c r="M16" s="85">
        <f>+N16+1</f>
        <v>45988</v>
      </c>
      <c r="N16" s="85">
        <f>+L16+2</f>
        <v>45987</v>
      </c>
      <c r="O16" s="150">
        <v>1099828</v>
      </c>
      <c r="P16" s="101"/>
      <c r="Q16" s="131"/>
      <c r="R16" s="131"/>
      <c r="T16" s="139"/>
      <c r="V16" s="140"/>
      <c r="W16" s="140"/>
      <c r="X16" s="140"/>
      <c r="Y16" s="140"/>
      <c r="Z16" s="140"/>
      <c r="AA16" s="140"/>
      <c r="AC16" s="141"/>
      <c r="AD16" s="141"/>
      <c r="AE16" s="141"/>
      <c r="AF16" s="141"/>
      <c r="AG16" s="141"/>
      <c r="AH16" s="142"/>
      <c r="AI16" s="143"/>
    </row>
    <row r="17" spans="1:35" ht="31" x14ac:dyDescent="0.35">
      <c r="A17" s="8">
        <f>A16+1</f>
        <v>16</v>
      </c>
      <c r="B17" s="144" t="s">
        <v>138</v>
      </c>
      <c r="C17" s="99" t="s">
        <v>89</v>
      </c>
      <c r="D17" s="149">
        <v>142.10141100000001</v>
      </c>
      <c r="E17" s="185" t="s">
        <v>139</v>
      </c>
      <c r="F17" s="130">
        <v>37</v>
      </c>
      <c r="G17" s="120" t="s">
        <v>243</v>
      </c>
      <c r="H17" s="185" t="s">
        <v>251</v>
      </c>
      <c r="I17" s="120" t="s">
        <v>124</v>
      </c>
      <c r="J17" s="184" t="str">
        <f>I17</f>
        <v>Yes</v>
      </c>
      <c r="K17" s="85">
        <v>45949</v>
      </c>
      <c r="L17" s="85">
        <v>45975</v>
      </c>
      <c r="M17" s="85">
        <f>+N17+1</f>
        <v>45978</v>
      </c>
      <c r="N17" s="85">
        <f>+L17+2</f>
        <v>45977</v>
      </c>
      <c r="O17" s="150">
        <v>1099828</v>
      </c>
      <c r="P17" s="101"/>
      <c r="Q17" s="131"/>
      <c r="R17" s="131"/>
      <c r="T17" s="139"/>
      <c r="V17" s="140"/>
      <c r="W17" s="140"/>
      <c r="X17" s="140"/>
      <c r="Y17" s="140"/>
      <c r="Z17" s="140"/>
      <c r="AA17" s="140"/>
      <c r="AC17" s="141"/>
      <c r="AD17" s="141"/>
      <c r="AE17" s="141"/>
      <c r="AF17" s="141"/>
      <c r="AG17" s="141"/>
      <c r="AH17" s="142"/>
      <c r="AI17" s="143"/>
    </row>
    <row r="18" spans="1:35" ht="15.5" x14ac:dyDescent="0.35">
      <c r="A18" s="8">
        <f>A17+1</f>
        <v>17</v>
      </c>
      <c r="B18" s="145" t="s">
        <v>140</v>
      </c>
      <c r="C18" s="99" t="s">
        <v>120</v>
      </c>
      <c r="D18" s="149">
        <v>63.508955999999998</v>
      </c>
      <c r="E18" s="185" t="s">
        <v>141</v>
      </c>
      <c r="F18" s="187">
        <v>17</v>
      </c>
      <c r="G18" s="120" t="s">
        <v>243</v>
      </c>
      <c r="H18" s="185" t="s">
        <v>252</v>
      </c>
      <c r="I18" s="120" t="s">
        <v>124</v>
      </c>
      <c r="J18" s="184" t="str">
        <f>I18</f>
        <v>Yes</v>
      </c>
      <c r="K18" s="85">
        <v>45959</v>
      </c>
      <c r="L18" s="85">
        <v>45969</v>
      </c>
      <c r="M18" s="85">
        <f>+N18+1</f>
        <v>45972</v>
      </c>
      <c r="N18" s="85">
        <f>+L18+2</f>
        <v>45971</v>
      </c>
      <c r="O18" s="150">
        <v>480757</v>
      </c>
      <c r="P18" s="101"/>
      <c r="Q18" s="131"/>
      <c r="R18" s="131"/>
      <c r="T18" s="139"/>
      <c r="V18" s="140"/>
      <c r="W18" s="140"/>
      <c r="X18" s="140"/>
      <c r="Y18" s="140"/>
      <c r="Z18" s="140"/>
      <c r="AA18" s="140"/>
      <c r="AC18" s="141"/>
      <c r="AD18" s="141"/>
      <c r="AE18" s="141"/>
      <c r="AF18" s="141"/>
      <c r="AG18" s="141"/>
      <c r="AH18" s="142"/>
      <c r="AI18" s="143"/>
    </row>
    <row r="19" spans="1:35" ht="15.5" x14ac:dyDescent="0.35">
      <c r="A19" s="8">
        <f>A18+1</f>
        <v>18</v>
      </c>
      <c r="B19" s="145" t="s">
        <v>142</v>
      </c>
      <c r="C19" s="99" t="s">
        <v>121</v>
      </c>
      <c r="D19" s="149">
        <v>64.253625</v>
      </c>
      <c r="E19" s="186" t="s">
        <v>143</v>
      </c>
      <c r="F19" s="130">
        <v>45</v>
      </c>
      <c r="G19" s="120" t="s">
        <v>243</v>
      </c>
      <c r="H19" s="185" t="s">
        <v>253</v>
      </c>
      <c r="I19" s="120" t="s">
        <v>124</v>
      </c>
      <c r="J19" s="184" t="str">
        <f>I19</f>
        <v>Yes</v>
      </c>
      <c r="K19" s="85">
        <v>45964</v>
      </c>
      <c r="L19" s="85">
        <v>45972</v>
      </c>
      <c r="M19" s="85">
        <f>+N19+1</f>
        <v>45975</v>
      </c>
      <c r="N19" s="85">
        <f>+L19+2</f>
        <v>45974</v>
      </c>
      <c r="O19" s="150">
        <v>470077.00000000006</v>
      </c>
      <c r="P19" s="101"/>
      <c r="Q19" s="131"/>
      <c r="R19" s="131"/>
      <c r="T19" s="139"/>
      <c r="V19" s="140"/>
      <c r="W19" s="140"/>
      <c r="X19" s="140"/>
      <c r="Y19" s="140"/>
      <c r="Z19" s="140"/>
      <c r="AA19" s="140"/>
      <c r="AC19" s="141"/>
      <c r="AD19" s="141"/>
      <c r="AE19" s="141"/>
      <c r="AF19" s="141"/>
      <c r="AG19" s="141"/>
      <c r="AH19" s="142"/>
      <c r="AI19" s="143"/>
    </row>
    <row r="20" spans="1:35" ht="15.5" x14ac:dyDescent="0.35">
      <c r="A20" s="8">
        <f>A19+1</f>
        <v>19</v>
      </c>
      <c r="B20" s="144" t="s">
        <v>206</v>
      </c>
      <c r="C20" s="99" t="s">
        <v>207</v>
      </c>
      <c r="D20" s="149">
        <v>173.126633</v>
      </c>
      <c r="E20" s="186" t="s">
        <v>208</v>
      </c>
      <c r="F20" s="130"/>
      <c r="G20" s="120" t="s">
        <v>243</v>
      </c>
      <c r="H20" s="185" t="s">
        <v>253</v>
      </c>
      <c r="I20" s="120" t="s">
        <v>124</v>
      </c>
      <c r="J20" s="184" t="str">
        <f>I20</f>
        <v>Yes</v>
      </c>
      <c r="K20" s="85">
        <v>45970</v>
      </c>
      <c r="L20" s="85">
        <v>45996</v>
      </c>
      <c r="M20" s="85">
        <f>+N20+1</f>
        <v>45999</v>
      </c>
      <c r="N20" s="85">
        <f>+L20+2</f>
        <v>45998</v>
      </c>
      <c r="O20" s="150">
        <v>1294023</v>
      </c>
      <c r="P20" s="101"/>
      <c r="Q20" s="131"/>
      <c r="R20" s="131"/>
      <c r="T20" s="139"/>
      <c r="V20" s="140"/>
      <c r="W20" s="140"/>
      <c r="X20" s="140"/>
      <c r="Y20" s="140"/>
      <c r="Z20" s="140"/>
      <c r="AA20" s="140"/>
      <c r="AC20" s="141"/>
      <c r="AD20" s="141"/>
      <c r="AE20" s="141"/>
      <c r="AF20" s="141"/>
      <c r="AG20" s="141"/>
      <c r="AH20" s="142"/>
      <c r="AI20" s="143"/>
    </row>
    <row r="21" spans="1:35" ht="31" x14ac:dyDescent="0.35">
      <c r="A21" s="8">
        <f>A20+1</f>
        <v>20</v>
      </c>
      <c r="B21" s="144" t="s">
        <v>193</v>
      </c>
      <c r="C21" s="99" t="s">
        <v>89</v>
      </c>
      <c r="D21" s="149">
        <v>142.10141100000001</v>
      </c>
      <c r="E21" s="186" t="s">
        <v>194</v>
      </c>
      <c r="F21" s="130">
        <v>28</v>
      </c>
      <c r="G21" s="120" t="s">
        <v>243</v>
      </c>
      <c r="H21" s="185" t="s">
        <v>261</v>
      </c>
      <c r="I21" s="120" t="s">
        <v>124</v>
      </c>
      <c r="J21" s="184" t="str">
        <f>I21</f>
        <v>Yes</v>
      </c>
      <c r="K21" s="85">
        <v>45965</v>
      </c>
      <c r="L21" s="85">
        <v>45975</v>
      </c>
      <c r="M21" s="85">
        <f>+N21+1</f>
        <v>45978</v>
      </c>
      <c r="N21" s="85">
        <f>+L21+2</f>
        <v>45977</v>
      </c>
      <c r="O21" s="150">
        <v>1099828</v>
      </c>
      <c r="P21" s="101"/>
      <c r="Q21" s="131"/>
      <c r="R21" s="131"/>
      <c r="T21" s="139"/>
      <c r="V21" s="140"/>
      <c r="W21" s="140"/>
      <c r="X21" s="140"/>
      <c r="Y21" s="140"/>
      <c r="Z21" s="140"/>
      <c r="AA21" s="140"/>
      <c r="AC21" s="141"/>
      <c r="AD21" s="141"/>
      <c r="AE21" s="141"/>
      <c r="AF21" s="141"/>
      <c r="AG21" s="141"/>
      <c r="AH21" s="142"/>
      <c r="AI21" s="143"/>
    </row>
    <row r="22" spans="1:35" ht="15.5" x14ac:dyDescent="0.35">
      <c r="A22" s="8">
        <f>A21+1</f>
        <v>21</v>
      </c>
      <c r="B22" s="144" t="s">
        <v>203</v>
      </c>
      <c r="C22" s="99" t="s">
        <v>204</v>
      </c>
      <c r="D22" s="149">
        <v>82.238801999999993</v>
      </c>
      <c r="E22" s="186" t="s">
        <v>205</v>
      </c>
      <c r="F22" s="130"/>
      <c r="G22" s="120" t="s">
        <v>243</v>
      </c>
      <c r="H22" s="185" t="s">
        <v>252</v>
      </c>
      <c r="I22" s="120" t="s">
        <v>124</v>
      </c>
      <c r="J22" s="184" t="str">
        <f>I22</f>
        <v>Yes</v>
      </c>
      <c r="K22" s="85">
        <v>45970</v>
      </c>
      <c r="L22" s="85">
        <v>45983</v>
      </c>
      <c r="M22" s="85">
        <f>+N22+1</f>
        <v>45986</v>
      </c>
      <c r="N22" s="85">
        <f>+L22+2</f>
        <v>45985</v>
      </c>
      <c r="O22" s="150">
        <v>670636</v>
      </c>
      <c r="P22" s="101"/>
      <c r="Q22" s="131"/>
      <c r="R22" s="131"/>
      <c r="T22" s="139"/>
      <c r="V22" s="140"/>
      <c r="W22" s="140"/>
      <c r="X22" s="140"/>
      <c r="Y22" s="140"/>
      <c r="Z22" s="140"/>
      <c r="AA22" s="140"/>
      <c r="AC22" s="141"/>
      <c r="AD22" s="141"/>
      <c r="AE22" s="141"/>
      <c r="AF22" s="141"/>
      <c r="AG22" s="141"/>
      <c r="AH22" s="142"/>
      <c r="AI22" s="143"/>
    </row>
    <row r="23" spans="1:35" ht="15.5" x14ac:dyDescent="0.35">
      <c r="A23" s="8">
        <f>A22+1</f>
        <v>22</v>
      </c>
      <c r="B23" s="144" t="s">
        <v>216</v>
      </c>
      <c r="C23" s="99" t="s">
        <v>82</v>
      </c>
      <c r="D23" s="149">
        <v>97.933402999999998</v>
      </c>
      <c r="E23" s="186" t="s">
        <v>141</v>
      </c>
      <c r="F23" s="130"/>
      <c r="G23" s="120" t="s">
        <v>243</v>
      </c>
      <c r="H23" s="185" t="s">
        <v>252</v>
      </c>
      <c r="I23" s="120" t="s">
        <v>124</v>
      </c>
      <c r="J23" s="184" t="str">
        <f>I23</f>
        <v>Yes</v>
      </c>
      <c r="K23" s="85">
        <v>45970</v>
      </c>
      <c r="L23" s="85">
        <v>45985</v>
      </c>
      <c r="M23" s="85">
        <f>+N23+1</f>
        <v>45988</v>
      </c>
      <c r="N23" s="85">
        <f>+L23+2</f>
        <v>45987</v>
      </c>
      <c r="O23" s="150">
        <v>780122</v>
      </c>
      <c r="P23" s="101"/>
      <c r="Q23" s="131"/>
      <c r="R23" s="131"/>
      <c r="T23" s="139"/>
      <c r="V23" s="140"/>
      <c r="W23" s="140"/>
      <c r="X23" s="140"/>
      <c r="Y23" s="140"/>
      <c r="Z23" s="140"/>
      <c r="AA23" s="140"/>
      <c r="AC23" s="141"/>
      <c r="AD23" s="141"/>
      <c r="AE23" s="141"/>
      <c r="AF23" s="141"/>
      <c r="AG23" s="141"/>
      <c r="AH23" s="142"/>
      <c r="AI23" s="143"/>
    </row>
    <row r="24" spans="1:35" ht="15.5" x14ac:dyDescent="0.35">
      <c r="A24" s="8">
        <f>A23+1</f>
        <v>23</v>
      </c>
      <c r="B24" s="145" t="s">
        <v>144</v>
      </c>
      <c r="C24" s="99" t="s">
        <v>145</v>
      </c>
      <c r="D24" s="149">
        <v>98.835632999999987</v>
      </c>
      <c r="E24" s="186" t="s">
        <v>146</v>
      </c>
      <c r="F24" s="130">
        <v>20</v>
      </c>
      <c r="G24" s="120" t="s">
        <v>243</v>
      </c>
      <c r="H24" s="185" t="s">
        <v>252</v>
      </c>
      <c r="I24" s="120" t="s">
        <v>124</v>
      </c>
      <c r="J24" s="184" t="str">
        <f>I24</f>
        <v>Yes</v>
      </c>
      <c r="K24" s="85">
        <v>45965</v>
      </c>
      <c r="L24" s="85">
        <v>45983</v>
      </c>
      <c r="M24" s="85">
        <f>+N24+1</f>
        <v>45986</v>
      </c>
      <c r="N24" s="85">
        <f>+L24+2</f>
        <v>45985</v>
      </c>
      <c r="O24" s="150">
        <v>753337</v>
      </c>
      <c r="P24" s="101"/>
      <c r="Q24" s="131"/>
      <c r="R24" s="131"/>
      <c r="V24" s="140"/>
      <c r="W24" s="140"/>
      <c r="X24" s="140"/>
      <c r="Y24" s="140"/>
      <c r="Z24" s="140"/>
      <c r="AA24" s="140"/>
      <c r="AC24" s="141"/>
      <c r="AD24" s="141"/>
      <c r="AE24" s="141"/>
      <c r="AF24" s="141"/>
      <c r="AG24" s="141"/>
      <c r="AH24" s="142"/>
      <c r="AI24" s="143"/>
    </row>
    <row r="25" spans="1:35" ht="15.5" x14ac:dyDescent="0.35">
      <c r="A25" s="8">
        <f>A24+1</f>
        <v>24</v>
      </c>
      <c r="B25" s="145" t="s">
        <v>147</v>
      </c>
      <c r="C25" s="99" t="s">
        <v>148</v>
      </c>
      <c r="D25" s="149">
        <v>226.73699999999999</v>
      </c>
      <c r="E25" s="186" t="s">
        <v>149</v>
      </c>
      <c r="F25" s="130">
        <v>32</v>
      </c>
      <c r="G25" s="120" t="s">
        <v>243</v>
      </c>
      <c r="H25" s="185" t="s">
        <v>254</v>
      </c>
      <c r="I25" s="120" t="s">
        <v>124</v>
      </c>
      <c r="J25" s="184" t="str">
        <f>I25</f>
        <v>Yes</v>
      </c>
      <c r="K25" s="85">
        <v>45948</v>
      </c>
      <c r="L25" s="85">
        <v>45981</v>
      </c>
      <c r="M25" s="85">
        <f>+N25+1</f>
        <v>45984</v>
      </c>
      <c r="N25" s="85">
        <f>+L25+2</f>
        <v>45983</v>
      </c>
      <c r="O25" s="150">
        <v>1878263</v>
      </c>
      <c r="P25" s="101"/>
      <c r="Q25" s="131"/>
      <c r="R25" s="131"/>
      <c r="T25" s="139"/>
      <c r="V25" s="140"/>
      <c r="W25" s="140"/>
      <c r="X25" s="140"/>
      <c r="Y25" s="140"/>
      <c r="Z25" s="140"/>
      <c r="AA25" s="140"/>
      <c r="AC25" s="141"/>
      <c r="AD25" s="141"/>
      <c r="AE25" s="141"/>
      <c r="AF25" s="141"/>
      <c r="AG25" s="141"/>
      <c r="AH25" s="142"/>
      <c r="AI25" s="143"/>
    </row>
    <row r="26" spans="1:35" ht="15.5" x14ac:dyDescent="0.35">
      <c r="A26" s="8">
        <f>A25+1</f>
        <v>25</v>
      </c>
      <c r="B26" s="146" t="s">
        <v>150</v>
      </c>
      <c r="C26" s="99" t="s">
        <v>151</v>
      </c>
      <c r="D26" s="149">
        <v>94.407668999999999</v>
      </c>
      <c r="E26" s="186" t="s">
        <v>152</v>
      </c>
      <c r="F26" s="130">
        <v>28</v>
      </c>
      <c r="G26" s="120" t="s">
        <v>244</v>
      </c>
      <c r="H26" s="185" t="s">
        <v>255</v>
      </c>
      <c r="I26" s="120" t="s">
        <v>124</v>
      </c>
      <c r="J26" s="184" t="str">
        <f>I26</f>
        <v>Yes</v>
      </c>
      <c r="K26" s="85">
        <v>45956</v>
      </c>
      <c r="L26" s="85">
        <v>45968</v>
      </c>
      <c r="M26" s="85">
        <f>+N26+1</f>
        <v>45971</v>
      </c>
      <c r="N26" s="85">
        <f>+L26+2</f>
        <v>45970</v>
      </c>
      <c r="O26" s="150">
        <v>719574</v>
      </c>
      <c r="P26" s="101"/>
      <c r="Q26" s="131"/>
      <c r="R26" s="131"/>
      <c r="T26" s="139"/>
      <c r="V26" s="140"/>
      <c r="W26" s="140"/>
      <c r="X26" s="140"/>
      <c r="Y26" s="140"/>
      <c r="Z26" s="140"/>
      <c r="AA26" s="140"/>
      <c r="AC26" s="141"/>
      <c r="AD26" s="141"/>
      <c r="AE26" s="141"/>
      <c r="AF26" s="141"/>
      <c r="AG26" s="141"/>
      <c r="AH26" s="142"/>
      <c r="AI26" s="143"/>
    </row>
    <row r="27" spans="1:35" ht="15.5" x14ac:dyDescent="0.35">
      <c r="A27" s="8">
        <f>A26+1</f>
        <v>26</v>
      </c>
      <c r="B27" s="144" t="s">
        <v>238</v>
      </c>
      <c r="C27" s="99" t="s">
        <v>89</v>
      </c>
      <c r="D27" s="149">
        <v>142.10141100000001</v>
      </c>
      <c r="E27" s="186" t="s">
        <v>192</v>
      </c>
      <c r="F27" s="130"/>
      <c r="G27" s="120" t="s">
        <v>244</v>
      </c>
      <c r="H27" s="185" t="s">
        <v>269</v>
      </c>
      <c r="I27" s="120" t="s">
        <v>124</v>
      </c>
      <c r="J27" s="184" t="str">
        <f>I27</f>
        <v>Yes</v>
      </c>
      <c r="K27" s="85">
        <v>45967</v>
      </c>
      <c r="L27" s="85">
        <v>45987</v>
      </c>
      <c r="M27" s="85">
        <f>+N27+1</f>
        <v>45990</v>
      </c>
      <c r="N27" s="85">
        <f>+L27+2</f>
        <v>45989</v>
      </c>
      <c r="O27" s="150">
        <v>1099828</v>
      </c>
      <c r="P27" s="101"/>
      <c r="Q27" s="131"/>
      <c r="R27" s="131"/>
      <c r="T27" s="139"/>
      <c r="V27" s="140"/>
      <c r="W27" s="140"/>
      <c r="X27" s="140"/>
      <c r="Y27" s="140"/>
      <c r="Z27" s="140"/>
      <c r="AA27" s="140"/>
      <c r="AC27" s="141"/>
      <c r="AD27" s="141"/>
      <c r="AE27" s="141"/>
      <c r="AF27" s="141"/>
      <c r="AG27" s="141"/>
      <c r="AH27" s="142"/>
      <c r="AI27" s="143"/>
    </row>
    <row r="28" spans="1:35" ht="15.5" x14ac:dyDescent="0.35">
      <c r="A28" s="8">
        <f>A27+1</f>
        <v>27</v>
      </c>
      <c r="B28" s="144" t="s">
        <v>153</v>
      </c>
      <c r="C28" s="99" t="s">
        <v>119</v>
      </c>
      <c r="D28" s="149">
        <v>39.458914000000007</v>
      </c>
      <c r="E28" s="186" t="s">
        <v>154</v>
      </c>
      <c r="F28" s="130">
        <v>18</v>
      </c>
      <c r="G28" s="120" t="s">
        <v>244</v>
      </c>
      <c r="H28" s="185" t="s">
        <v>256</v>
      </c>
      <c r="I28" s="120" t="s">
        <v>124</v>
      </c>
      <c r="J28" s="184" t="str">
        <f>I28</f>
        <v>Yes</v>
      </c>
      <c r="K28" s="85">
        <v>45959</v>
      </c>
      <c r="L28" s="85">
        <v>45967</v>
      </c>
      <c r="M28" s="85">
        <f>+N28+1</f>
        <v>45970</v>
      </c>
      <c r="N28" s="85">
        <f>+L28+2</f>
        <v>45969</v>
      </c>
      <c r="O28" s="150">
        <v>297143</v>
      </c>
      <c r="P28" s="101"/>
      <c r="Q28" s="131"/>
      <c r="R28" s="131"/>
      <c r="T28" s="139"/>
      <c r="V28" s="140"/>
      <c r="W28" s="140"/>
      <c r="X28" s="140"/>
      <c r="Y28" s="140"/>
      <c r="Z28" s="140"/>
      <c r="AA28" s="140"/>
      <c r="AC28" s="141"/>
      <c r="AD28" s="141"/>
      <c r="AE28" s="141"/>
      <c r="AF28" s="141"/>
      <c r="AG28" s="141"/>
      <c r="AH28" s="142"/>
      <c r="AI28" s="143"/>
    </row>
    <row r="29" spans="1:35" ht="15.5" x14ac:dyDescent="0.35">
      <c r="A29" s="8">
        <f>A28+1</f>
        <v>28</v>
      </c>
      <c r="B29" s="144" t="s">
        <v>155</v>
      </c>
      <c r="C29" s="99" t="s">
        <v>156</v>
      </c>
      <c r="D29" s="149">
        <v>65.756547999999995</v>
      </c>
      <c r="E29" s="186" t="s">
        <v>157</v>
      </c>
      <c r="F29" s="130">
        <v>25</v>
      </c>
      <c r="G29" s="120" t="s">
        <v>244</v>
      </c>
      <c r="H29" s="185" t="s">
        <v>257</v>
      </c>
      <c r="I29" s="120" t="s">
        <v>124</v>
      </c>
      <c r="J29" s="184" t="str">
        <f>I29</f>
        <v>Yes</v>
      </c>
      <c r="K29" s="85">
        <v>45953</v>
      </c>
      <c r="L29" s="85">
        <v>45966</v>
      </c>
      <c r="M29" s="85">
        <f>+N29+1</f>
        <v>45969</v>
      </c>
      <c r="N29" s="85">
        <f>+L29+2</f>
        <v>45968</v>
      </c>
      <c r="O29" s="150">
        <v>503365</v>
      </c>
      <c r="P29" s="101"/>
      <c r="Q29" s="131"/>
      <c r="R29" s="131"/>
      <c r="T29" s="139"/>
      <c r="V29" s="140"/>
      <c r="W29" s="140"/>
      <c r="X29" s="140"/>
      <c r="Y29" s="140"/>
      <c r="Z29" s="140"/>
      <c r="AA29" s="140"/>
      <c r="AC29" s="141"/>
      <c r="AD29" s="141"/>
      <c r="AE29" s="141"/>
      <c r="AF29" s="141"/>
      <c r="AG29" s="141"/>
      <c r="AH29" s="142"/>
      <c r="AI29" s="143"/>
    </row>
    <row r="30" spans="1:35" ht="31" x14ac:dyDescent="0.35">
      <c r="A30" s="8">
        <f>A29+1</f>
        <v>29</v>
      </c>
      <c r="B30" s="144" t="s">
        <v>213</v>
      </c>
      <c r="C30" s="99" t="s">
        <v>50</v>
      </c>
      <c r="D30" s="149">
        <v>37.730482000000002</v>
      </c>
      <c r="E30" s="185" t="s">
        <v>135</v>
      </c>
      <c r="F30" s="130"/>
      <c r="G30" s="120" t="s">
        <v>244</v>
      </c>
      <c r="H30" s="185" t="s">
        <v>249</v>
      </c>
      <c r="I30" s="120" t="s">
        <v>124</v>
      </c>
      <c r="J30" s="184" t="str">
        <f>I30</f>
        <v>Yes</v>
      </c>
      <c r="K30" s="85">
        <v>45977</v>
      </c>
      <c r="L30" s="85">
        <v>45984</v>
      </c>
      <c r="M30" s="85">
        <f>+N30+1</f>
        <v>45987</v>
      </c>
      <c r="N30" s="85">
        <f>+L30+2</f>
        <v>45986</v>
      </c>
      <c r="O30" s="150">
        <v>286911</v>
      </c>
      <c r="P30" s="101"/>
      <c r="Q30" s="131"/>
      <c r="R30" s="131"/>
      <c r="T30" s="139"/>
      <c r="V30" s="140"/>
      <c r="W30" s="140"/>
      <c r="X30" s="140"/>
      <c r="Y30" s="140"/>
      <c r="Z30" s="140"/>
      <c r="AA30" s="140"/>
      <c r="AC30" s="141"/>
      <c r="AD30" s="141"/>
      <c r="AE30" s="141"/>
      <c r="AF30" s="141"/>
      <c r="AG30" s="141"/>
      <c r="AH30" s="142"/>
      <c r="AI30" s="143"/>
    </row>
    <row r="31" spans="1:35" ht="15.5" x14ac:dyDescent="0.35">
      <c r="A31" s="8">
        <f>A30+1</f>
        <v>30</v>
      </c>
      <c r="B31" s="144" t="s">
        <v>221</v>
      </c>
      <c r="C31" s="99" t="s">
        <v>222</v>
      </c>
      <c r="D31" s="149">
        <v>54.417843999999995</v>
      </c>
      <c r="E31" s="185" t="s">
        <v>157</v>
      </c>
      <c r="F31" s="130"/>
      <c r="G31" s="120" t="s">
        <v>244</v>
      </c>
      <c r="H31" s="185" t="s">
        <v>257</v>
      </c>
      <c r="I31" s="120" t="s">
        <v>124</v>
      </c>
      <c r="J31" s="184" t="str">
        <f>I31</f>
        <v>Yes</v>
      </c>
      <c r="K31" s="85">
        <v>45967</v>
      </c>
      <c r="L31" s="85">
        <v>45975</v>
      </c>
      <c r="M31" s="85">
        <f>+N31+1</f>
        <v>45978</v>
      </c>
      <c r="N31" s="85">
        <f>+L31+2</f>
        <v>45977</v>
      </c>
      <c r="O31" s="150">
        <v>403998</v>
      </c>
      <c r="P31" s="101"/>
      <c r="Q31" s="131"/>
      <c r="R31" s="131"/>
      <c r="T31" s="139"/>
      <c r="V31" s="140"/>
      <c r="W31" s="140"/>
      <c r="X31" s="140"/>
      <c r="Y31" s="140"/>
      <c r="Z31" s="140"/>
      <c r="AA31" s="140"/>
      <c r="AC31" s="141"/>
      <c r="AD31" s="141"/>
      <c r="AE31" s="141"/>
      <c r="AF31" s="141"/>
      <c r="AG31" s="141"/>
      <c r="AH31" s="142"/>
      <c r="AI31" s="143"/>
    </row>
    <row r="32" spans="1:35" ht="15.5" x14ac:dyDescent="0.35">
      <c r="A32" s="8">
        <f>A31+1</f>
        <v>31</v>
      </c>
      <c r="B32" s="144" t="s">
        <v>235</v>
      </c>
      <c r="C32" s="99" t="s">
        <v>236</v>
      </c>
      <c r="D32" s="149">
        <v>36.044834000000002</v>
      </c>
      <c r="E32" s="185" t="s">
        <v>188</v>
      </c>
      <c r="F32" s="130"/>
      <c r="G32" s="120" t="s">
        <v>244</v>
      </c>
      <c r="H32" s="185" t="s">
        <v>267</v>
      </c>
      <c r="I32" s="120" t="s">
        <v>124</v>
      </c>
      <c r="J32" s="184" t="str">
        <f>I32</f>
        <v>Yes</v>
      </c>
      <c r="K32" s="85">
        <v>45969</v>
      </c>
      <c r="L32" s="85">
        <v>45976</v>
      </c>
      <c r="M32" s="85">
        <f>+N32+1</f>
        <v>45979</v>
      </c>
      <c r="N32" s="85">
        <f>+L32+2</f>
        <v>45978</v>
      </c>
      <c r="O32" s="150">
        <v>273608.92830000003</v>
      </c>
      <c r="P32" s="101"/>
      <c r="Q32" s="131"/>
      <c r="R32" s="131"/>
      <c r="T32" s="139"/>
      <c r="V32" s="140"/>
      <c r="W32" s="140"/>
      <c r="X32" s="140"/>
      <c r="Y32" s="140"/>
      <c r="Z32" s="140"/>
      <c r="AA32" s="140"/>
      <c r="AC32" s="141"/>
      <c r="AD32" s="141"/>
      <c r="AE32" s="141"/>
      <c r="AF32" s="141"/>
      <c r="AG32" s="141"/>
      <c r="AH32" s="142"/>
      <c r="AI32" s="143"/>
    </row>
    <row r="33" spans="1:35" ht="15.5" x14ac:dyDescent="0.35">
      <c r="A33" s="8">
        <f>A32+1</f>
        <v>32</v>
      </c>
      <c r="B33" s="144" t="s">
        <v>158</v>
      </c>
      <c r="C33" s="99" t="s">
        <v>50</v>
      </c>
      <c r="D33" s="149">
        <v>37.730482000000002</v>
      </c>
      <c r="E33" s="185" t="s">
        <v>159</v>
      </c>
      <c r="F33" s="130">
        <v>20</v>
      </c>
      <c r="G33" s="120" t="s">
        <v>244</v>
      </c>
      <c r="H33" s="185" t="s">
        <v>267</v>
      </c>
      <c r="I33" s="120" t="s">
        <v>124</v>
      </c>
      <c r="J33" s="184" t="str">
        <f>I33</f>
        <v>Yes</v>
      </c>
      <c r="K33" s="85">
        <v>45965</v>
      </c>
      <c r="L33" s="85">
        <v>45973</v>
      </c>
      <c r="M33" s="85">
        <f>+N33+1</f>
        <v>45976</v>
      </c>
      <c r="N33" s="85">
        <f>+L33+2</f>
        <v>45975</v>
      </c>
      <c r="O33" s="150">
        <v>286911</v>
      </c>
      <c r="P33" s="101"/>
      <c r="Q33" s="131"/>
      <c r="R33" s="131"/>
      <c r="T33" s="139"/>
      <c r="V33" s="140"/>
      <c r="W33" s="140"/>
      <c r="X33" s="140"/>
      <c r="Y33" s="140"/>
      <c r="Z33" s="140"/>
      <c r="AA33" s="140"/>
      <c r="AC33" s="141"/>
      <c r="AD33" s="141"/>
      <c r="AE33" s="141"/>
      <c r="AF33" s="141"/>
      <c r="AG33" s="141"/>
      <c r="AH33" s="142"/>
      <c r="AI33" s="143"/>
    </row>
    <row r="34" spans="1:35" ht="31" x14ac:dyDescent="0.35">
      <c r="A34" s="8">
        <f>A33+1</f>
        <v>33</v>
      </c>
      <c r="B34" s="144" t="s">
        <v>214</v>
      </c>
      <c r="C34" s="99" t="s">
        <v>215</v>
      </c>
      <c r="D34" s="149">
        <v>75.452399</v>
      </c>
      <c r="E34" s="185" t="s">
        <v>139</v>
      </c>
      <c r="F34" s="130"/>
      <c r="G34" s="120" t="s">
        <v>244</v>
      </c>
      <c r="H34" s="185" t="s">
        <v>251</v>
      </c>
      <c r="I34" s="120" t="s">
        <v>124</v>
      </c>
      <c r="J34" s="184" t="str">
        <f>I34</f>
        <v>Yes</v>
      </c>
      <c r="K34" s="85">
        <v>45976</v>
      </c>
      <c r="L34" s="85">
        <v>45988</v>
      </c>
      <c r="M34" s="85">
        <f>+N34+1</f>
        <v>45991</v>
      </c>
      <c r="N34" s="85">
        <f>+L34+2</f>
        <v>45990</v>
      </c>
      <c r="O34" s="150">
        <v>573550</v>
      </c>
      <c r="P34" s="101"/>
      <c r="Q34" s="131"/>
      <c r="R34" s="131"/>
      <c r="T34" s="139"/>
      <c r="V34" s="140"/>
      <c r="W34" s="140"/>
      <c r="X34" s="140"/>
      <c r="Y34" s="140"/>
      <c r="Z34" s="140"/>
      <c r="AA34" s="140"/>
      <c r="AC34" s="141"/>
      <c r="AD34" s="141"/>
      <c r="AE34" s="141"/>
      <c r="AF34" s="141"/>
      <c r="AG34" s="141"/>
      <c r="AH34" s="142"/>
      <c r="AI34" s="143"/>
    </row>
    <row r="35" spans="1:35" ht="15.5" x14ac:dyDescent="0.35">
      <c r="A35" s="8">
        <f>A34+1</f>
        <v>34</v>
      </c>
      <c r="B35" s="144" t="s">
        <v>228</v>
      </c>
      <c r="C35" s="99" t="s">
        <v>229</v>
      </c>
      <c r="D35" s="149">
        <v>84.299298999999991</v>
      </c>
      <c r="E35" s="185" t="s">
        <v>176</v>
      </c>
      <c r="F35" s="130"/>
      <c r="G35" s="120" t="s">
        <v>244</v>
      </c>
      <c r="H35" s="185" t="s">
        <v>263</v>
      </c>
      <c r="I35" s="120" t="s">
        <v>124</v>
      </c>
      <c r="J35" s="184" t="str">
        <f>I35</f>
        <v>Yes</v>
      </c>
      <c r="K35" s="85">
        <v>45969</v>
      </c>
      <c r="L35" s="85">
        <v>45983</v>
      </c>
      <c r="M35" s="85">
        <f>+N35+1</f>
        <v>45986</v>
      </c>
      <c r="N35" s="85">
        <f>+L35+2</f>
        <v>45985</v>
      </c>
      <c r="O35" s="150">
        <v>635073</v>
      </c>
      <c r="P35" s="101"/>
      <c r="Q35" s="131"/>
      <c r="R35" s="131"/>
      <c r="T35" s="139"/>
      <c r="V35" s="140"/>
      <c r="W35" s="140"/>
      <c r="X35" s="140"/>
      <c r="Y35" s="140"/>
      <c r="Z35" s="140"/>
      <c r="AA35" s="140"/>
      <c r="AC35" s="141"/>
      <c r="AD35" s="141"/>
      <c r="AE35" s="141"/>
      <c r="AF35" s="141"/>
      <c r="AG35" s="141"/>
      <c r="AH35" s="142"/>
      <c r="AI35" s="143"/>
    </row>
    <row r="36" spans="1:35" ht="15.5" x14ac:dyDescent="0.35">
      <c r="A36" s="8">
        <f>A35+1</f>
        <v>35</v>
      </c>
      <c r="B36" s="144" t="s">
        <v>217</v>
      </c>
      <c r="C36" s="99" t="s">
        <v>50</v>
      </c>
      <c r="D36" s="149">
        <v>37.730482000000002</v>
      </c>
      <c r="E36" s="185" t="s">
        <v>143</v>
      </c>
      <c r="F36" s="130"/>
      <c r="G36" s="120" t="s">
        <v>244</v>
      </c>
      <c r="H36" s="185" t="s">
        <v>253</v>
      </c>
      <c r="I36" s="120" t="s">
        <v>124</v>
      </c>
      <c r="J36" s="184" t="str">
        <f>I36</f>
        <v>Yes</v>
      </c>
      <c r="K36" s="85">
        <v>45973</v>
      </c>
      <c r="L36" s="85">
        <v>45980</v>
      </c>
      <c r="M36" s="85">
        <f>+N36+1</f>
        <v>45983</v>
      </c>
      <c r="N36" s="85">
        <f>+L36+2</f>
        <v>45982</v>
      </c>
      <c r="O36" s="150">
        <v>286911</v>
      </c>
      <c r="P36" s="101"/>
      <c r="Q36" s="131"/>
      <c r="R36" s="131"/>
      <c r="T36" s="139"/>
      <c r="V36" s="140"/>
      <c r="W36" s="140"/>
      <c r="X36" s="140"/>
      <c r="Y36" s="140"/>
      <c r="Z36" s="140"/>
      <c r="AA36" s="140"/>
      <c r="AC36" s="141"/>
      <c r="AD36" s="141"/>
      <c r="AE36" s="141"/>
      <c r="AF36" s="141"/>
      <c r="AG36" s="141"/>
      <c r="AH36" s="142"/>
      <c r="AI36" s="143"/>
    </row>
    <row r="37" spans="1:35" ht="15.5" x14ac:dyDescent="0.35">
      <c r="A37" s="8">
        <f>A36+1</f>
        <v>36</v>
      </c>
      <c r="B37" s="144" t="s">
        <v>160</v>
      </c>
      <c r="C37" s="125" t="s">
        <v>161</v>
      </c>
      <c r="D37" s="148">
        <v>72.234245000000016</v>
      </c>
      <c r="E37" s="185" t="s">
        <v>162</v>
      </c>
      <c r="F37" s="149">
        <v>18</v>
      </c>
      <c r="G37" s="120" t="s">
        <v>244</v>
      </c>
      <c r="H37" s="185" t="s">
        <v>258</v>
      </c>
      <c r="I37" s="120" t="s">
        <v>124</v>
      </c>
      <c r="J37" s="184" t="str">
        <f>I37</f>
        <v>Yes</v>
      </c>
      <c r="K37" s="85">
        <v>45949</v>
      </c>
      <c r="L37" s="85">
        <v>45968</v>
      </c>
      <c r="M37" s="85">
        <f>+N37+1</f>
        <v>45971</v>
      </c>
      <c r="N37" s="85">
        <f>+L37+2</f>
        <v>45970</v>
      </c>
      <c r="O37" s="150">
        <v>546238</v>
      </c>
      <c r="P37" s="101"/>
      <c r="Q37" s="131"/>
      <c r="R37" s="131"/>
      <c r="T37" s="139"/>
      <c r="V37" s="140"/>
      <c r="W37" s="140"/>
      <c r="X37" s="140"/>
      <c r="Y37" s="140"/>
      <c r="Z37" s="140"/>
      <c r="AA37" s="140"/>
      <c r="AC37" s="141"/>
      <c r="AD37" s="141"/>
      <c r="AE37" s="141"/>
      <c r="AF37" s="141"/>
      <c r="AG37" s="141"/>
      <c r="AH37" s="142"/>
      <c r="AI37" s="143"/>
    </row>
    <row r="38" spans="1:35" ht="15.5" x14ac:dyDescent="0.35">
      <c r="A38" s="8">
        <f>A37+1</f>
        <v>37</v>
      </c>
      <c r="B38" s="144" t="s">
        <v>237</v>
      </c>
      <c r="C38" s="99" t="s">
        <v>80</v>
      </c>
      <c r="D38" s="149">
        <v>44.728234</v>
      </c>
      <c r="E38" s="185" t="s">
        <v>190</v>
      </c>
      <c r="F38" s="130"/>
      <c r="G38" s="120" t="s">
        <v>244</v>
      </c>
      <c r="H38" s="185" t="s">
        <v>268</v>
      </c>
      <c r="I38" s="120" t="s">
        <v>124</v>
      </c>
      <c r="J38" s="184" t="str">
        <f>I38</f>
        <v>Yes</v>
      </c>
      <c r="K38" s="85">
        <v>45971</v>
      </c>
      <c r="L38" s="85">
        <v>45978</v>
      </c>
      <c r="M38" s="85">
        <f>+N38+1</f>
        <v>45981</v>
      </c>
      <c r="N38" s="85">
        <f>+L38+2</f>
        <v>45980</v>
      </c>
      <c r="O38" s="150">
        <v>342192</v>
      </c>
      <c r="P38" s="101"/>
      <c r="Q38" s="131"/>
      <c r="R38" s="131"/>
      <c r="T38" s="139"/>
      <c r="V38" s="140"/>
      <c r="W38" s="140"/>
      <c r="X38" s="140"/>
      <c r="Y38" s="140"/>
      <c r="Z38" s="140"/>
      <c r="AA38" s="140"/>
      <c r="AC38" s="141"/>
      <c r="AD38" s="141"/>
      <c r="AE38" s="141"/>
      <c r="AF38" s="141"/>
      <c r="AG38" s="141"/>
      <c r="AH38" s="142"/>
      <c r="AI38" s="143"/>
    </row>
    <row r="39" spans="1:35" ht="15.5" x14ac:dyDescent="0.35">
      <c r="A39" s="8">
        <f>A38+1</f>
        <v>38</v>
      </c>
      <c r="B39" s="144" t="s">
        <v>223</v>
      </c>
      <c r="C39" s="99" t="s">
        <v>88</v>
      </c>
      <c r="D39" s="149">
        <v>46.623494000000008</v>
      </c>
      <c r="E39" s="185" t="s">
        <v>159</v>
      </c>
      <c r="F39" s="130"/>
      <c r="G39" s="120" t="s">
        <v>244</v>
      </c>
      <c r="H39" s="185"/>
      <c r="I39" s="120" t="s">
        <v>124</v>
      </c>
      <c r="J39" s="184" t="str">
        <f>I39</f>
        <v>Yes</v>
      </c>
      <c r="K39" s="85">
        <v>45974</v>
      </c>
      <c r="L39" s="85">
        <v>45981</v>
      </c>
      <c r="M39" s="85">
        <f>+N39+1</f>
        <v>45984</v>
      </c>
      <c r="N39" s="85">
        <f>+L39+2</f>
        <v>45983</v>
      </c>
      <c r="O39" s="150">
        <v>357181</v>
      </c>
      <c r="P39" s="101"/>
      <c r="Q39" s="131"/>
      <c r="R39" s="131"/>
      <c r="T39" s="139"/>
      <c r="V39" s="140"/>
      <c r="W39" s="140"/>
      <c r="X39" s="140"/>
      <c r="Y39" s="140"/>
      <c r="Z39" s="140"/>
      <c r="AA39" s="140"/>
      <c r="AC39" s="141"/>
      <c r="AD39" s="141"/>
      <c r="AE39" s="141"/>
      <c r="AF39" s="141"/>
      <c r="AG39" s="141"/>
      <c r="AH39" s="142"/>
      <c r="AI39" s="143"/>
    </row>
    <row r="40" spans="1:35" ht="15.5" x14ac:dyDescent="0.35">
      <c r="A40" s="8">
        <f>A39+1</f>
        <v>39</v>
      </c>
      <c r="B40" s="144" t="s">
        <v>219</v>
      </c>
      <c r="C40" s="99" t="s">
        <v>220</v>
      </c>
      <c r="D40" s="149">
        <v>91.082948000000002</v>
      </c>
      <c r="E40" s="185" t="s">
        <v>154</v>
      </c>
      <c r="F40" s="130"/>
      <c r="G40" s="120" t="s">
        <v>244</v>
      </c>
      <c r="H40" s="185" t="s">
        <v>256</v>
      </c>
      <c r="I40" s="120" t="s">
        <v>124</v>
      </c>
      <c r="J40" s="184" t="str">
        <f>I40</f>
        <v>Yes</v>
      </c>
      <c r="K40" s="85">
        <v>45968</v>
      </c>
      <c r="L40" s="85">
        <v>45983</v>
      </c>
      <c r="M40" s="85">
        <f>+N40+1</f>
        <v>45986</v>
      </c>
      <c r="N40" s="85">
        <f>+L40+2</f>
        <v>45985</v>
      </c>
      <c r="O40" s="150">
        <v>676263.87398345326</v>
      </c>
      <c r="P40" s="101"/>
      <c r="Q40" s="131"/>
      <c r="R40" s="131"/>
      <c r="T40" s="139"/>
      <c r="V40" s="140"/>
      <c r="W40" s="140"/>
      <c r="X40" s="140"/>
      <c r="Y40" s="140"/>
      <c r="Z40" s="140"/>
      <c r="AA40" s="140"/>
      <c r="AC40" s="141"/>
      <c r="AD40" s="141"/>
      <c r="AE40" s="141"/>
      <c r="AF40" s="141"/>
      <c r="AG40" s="141"/>
      <c r="AH40" s="142"/>
      <c r="AI40" s="143"/>
    </row>
    <row r="41" spans="1:35" ht="15.5" x14ac:dyDescent="0.35">
      <c r="A41" s="8">
        <f>A40+1</f>
        <v>40</v>
      </c>
      <c r="B41" s="144" t="s">
        <v>224</v>
      </c>
      <c r="C41" s="99" t="s">
        <v>129</v>
      </c>
      <c r="D41" s="149">
        <v>122.80482100000003</v>
      </c>
      <c r="E41" s="185" t="s">
        <v>162</v>
      </c>
      <c r="F41" s="130"/>
      <c r="G41" s="120" t="s">
        <v>244</v>
      </c>
      <c r="H41" s="185" t="s">
        <v>258</v>
      </c>
      <c r="I41" s="120" t="s">
        <v>124</v>
      </c>
      <c r="J41" s="184" t="str">
        <f>I41</f>
        <v>Yes</v>
      </c>
      <c r="K41" s="85">
        <v>45969</v>
      </c>
      <c r="L41" s="85">
        <v>45989</v>
      </c>
      <c r="M41" s="85">
        <f>+N41+1</f>
        <v>45992</v>
      </c>
      <c r="N41" s="85">
        <f>+L41+2</f>
        <v>45991</v>
      </c>
      <c r="O41" s="150">
        <v>994153</v>
      </c>
      <c r="P41" s="101"/>
      <c r="Q41" s="131"/>
      <c r="R41" s="131"/>
      <c r="T41" s="139"/>
      <c r="V41" s="140"/>
      <c r="W41" s="140"/>
      <c r="X41" s="140"/>
      <c r="Y41" s="140"/>
      <c r="Z41" s="140"/>
      <c r="AA41" s="140"/>
      <c r="AC41" s="141"/>
      <c r="AD41" s="141"/>
      <c r="AE41" s="141"/>
      <c r="AF41" s="141"/>
      <c r="AG41" s="141"/>
      <c r="AH41" s="142"/>
      <c r="AI41" s="143"/>
    </row>
    <row r="42" spans="1:35" ht="31" x14ac:dyDescent="0.35">
      <c r="A42" s="8">
        <f>A41+1</f>
        <v>41</v>
      </c>
      <c r="B42" s="144" t="s">
        <v>239</v>
      </c>
      <c r="C42" s="99" t="s">
        <v>240</v>
      </c>
      <c r="D42" s="149">
        <v>56.863203999999996</v>
      </c>
      <c r="E42" s="185" t="s">
        <v>194</v>
      </c>
      <c r="F42" s="130"/>
      <c r="G42" s="120" t="s">
        <v>244</v>
      </c>
      <c r="H42" s="185" t="s">
        <v>261</v>
      </c>
      <c r="I42" s="120" t="s">
        <v>124</v>
      </c>
      <c r="J42" s="184" t="str">
        <f>I42</f>
        <v>Yes</v>
      </c>
      <c r="K42" s="85">
        <v>45976</v>
      </c>
      <c r="L42" s="85">
        <v>45985</v>
      </c>
      <c r="M42" s="85">
        <f>+N42+1</f>
        <v>45988</v>
      </c>
      <c r="N42" s="85">
        <f>+L42+2</f>
        <v>45987</v>
      </c>
      <c r="O42" s="150">
        <v>424198</v>
      </c>
      <c r="P42" s="101"/>
      <c r="Q42" s="131"/>
      <c r="R42" s="131"/>
      <c r="T42" s="139"/>
      <c r="V42" s="140"/>
      <c r="W42" s="140"/>
      <c r="X42" s="140"/>
      <c r="Y42" s="140"/>
      <c r="Z42" s="140"/>
      <c r="AA42" s="140"/>
      <c r="AC42" s="141"/>
      <c r="AD42" s="141"/>
      <c r="AE42" s="141"/>
      <c r="AF42" s="141"/>
      <c r="AG42" s="141"/>
      <c r="AH42" s="142"/>
      <c r="AI42" s="143"/>
    </row>
    <row r="43" spans="1:35" ht="15.5" x14ac:dyDescent="0.35">
      <c r="A43" s="8">
        <f>A42+1</f>
        <v>42</v>
      </c>
      <c r="B43" s="147" t="s">
        <v>163</v>
      </c>
      <c r="C43" s="99" t="s">
        <v>164</v>
      </c>
      <c r="D43" s="149">
        <v>80.408016999999987</v>
      </c>
      <c r="E43" s="185" t="s">
        <v>165</v>
      </c>
      <c r="F43" s="130">
        <v>24</v>
      </c>
      <c r="G43" s="120" t="s">
        <v>245</v>
      </c>
      <c r="H43" s="185" t="s">
        <v>259</v>
      </c>
      <c r="I43" s="120" t="s">
        <v>124</v>
      </c>
      <c r="J43" s="184" t="str">
        <f>I43</f>
        <v>Yes</v>
      </c>
      <c r="K43" s="85">
        <v>45944</v>
      </c>
      <c r="L43" s="85">
        <v>45966</v>
      </c>
      <c r="M43" s="85">
        <f>+N43+1</f>
        <v>45969</v>
      </c>
      <c r="N43" s="85">
        <f>+L43+2</f>
        <v>45968</v>
      </c>
      <c r="O43" s="150">
        <v>604881</v>
      </c>
      <c r="P43" s="101"/>
      <c r="Q43" s="131"/>
      <c r="R43" s="131"/>
      <c r="T43" s="139"/>
      <c r="V43" s="140"/>
      <c r="W43" s="140"/>
      <c r="X43" s="140"/>
      <c r="Y43" s="140"/>
      <c r="Z43" s="140"/>
      <c r="AA43" s="140"/>
      <c r="AC43" s="141"/>
      <c r="AD43" s="141"/>
      <c r="AE43" s="141"/>
      <c r="AF43" s="141"/>
      <c r="AG43" s="141"/>
      <c r="AH43" s="142"/>
      <c r="AI43" s="143"/>
    </row>
    <row r="44" spans="1:35" ht="15.5" x14ac:dyDescent="0.35">
      <c r="A44" s="8">
        <f>A43+1</f>
        <v>43</v>
      </c>
      <c r="B44" s="144" t="s">
        <v>166</v>
      </c>
      <c r="C44" s="99" t="s">
        <v>119</v>
      </c>
      <c r="D44" s="148">
        <v>39.458914000000007</v>
      </c>
      <c r="E44" s="185" t="s">
        <v>167</v>
      </c>
      <c r="F44" s="149">
        <v>30</v>
      </c>
      <c r="G44" s="120" t="s">
        <v>245</v>
      </c>
      <c r="H44" s="185" t="s">
        <v>260</v>
      </c>
      <c r="I44" s="120" t="s">
        <v>124</v>
      </c>
      <c r="J44" s="184" t="str">
        <f>I44</f>
        <v>Yes</v>
      </c>
      <c r="K44" s="85">
        <v>45965</v>
      </c>
      <c r="L44" s="85">
        <v>45972</v>
      </c>
      <c r="M44" s="85">
        <f>+N44+1</f>
        <v>45975</v>
      </c>
      <c r="N44" s="85">
        <f>+L44+2</f>
        <v>45974</v>
      </c>
      <c r="O44" s="150">
        <v>297143</v>
      </c>
      <c r="P44" s="101"/>
      <c r="Q44" s="131"/>
      <c r="R44" s="131"/>
      <c r="T44" s="139"/>
      <c r="V44" s="140"/>
      <c r="W44" s="140"/>
      <c r="X44" s="140"/>
      <c r="Y44" s="140"/>
      <c r="Z44" s="140"/>
      <c r="AA44" s="140"/>
      <c r="AC44" s="141"/>
      <c r="AD44" s="141"/>
      <c r="AE44" s="141"/>
      <c r="AF44" s="141"/>
      <c r="AG44" s="141"/>
      <c r="AH44" s="142"/>
      <c r="AI44" s="143"/>
    </row>
    <row r="45" spans="1:35" ht="31" x14ac:dyDescent="0.35">
      <c r="A45" s="8">
        <f>A44+1</f>
        <v>44</v>
      </c>
      <c r="B45" s="144" t="s">
        <v>168</v>
      </c>
      <c r="C45" s="99" t="s">
        <v>82</v>
      </c>
      <c r="D45" s="149">
        <v>97.933402999999998</v>
      </c>
      <c r="E45" s="185" t="s">
        <v>169</v>
      </c>
      <c r="F45" s="130">
        <v>27</v>
      </c>
      <c r="G45" s="120" t="s">
        <v>245</v>
      </c>
      <c r="H45" s="185" t="s">
        <v>261</v>
      </c>
      <c r="I45" s="120" t="s">
        <v>124</v>
      </c>
      <c r="J45" s="184" t="str">
        <f>I45</f>
        <v>Yes</v>
      </c>
      <c r="K45" s="85">
        <v>45965</v>
      </c>
      <c r="L45" s="85">
        <v>45983</v>
      </c>
      <c r="M45" s="85">
        <f>+N45+1</f>
        <v>45986</v>
      </c>
      <c r="N45" s="85">
        <f>+L45+2</f>
        <v>45985</v>
      </c>
      <c r="O45" s="150">
        <v>780122</v>
      </c>
      <c r="P45" s="101"/>
      <c r="Q45" s="131"/>
      <c r="R45" s="131"/>
      <c r="T45" s="139"/>
      <c r="V45" s="140"/>
      <c r="W45" s="140"/>
      <c r="X45" s="140"/>
      <c r="Y45" s="140"/>
      <c r="Z45" s="140"/>
      <c r="AA45" s="140"/>
      <c r="AC45" s="141"/>
      <c r="AD45" s="141"/>
      <c r="AE45" s="141"/>
      <c r="AF45" s="141"/>
      <c r="AG45" s="141"/>
      <c r="AH45" s="142"/>
      <c r="AI45" s="143"/>
    </row>
    <row r="46" spans="1:35" ht="15.5" x14ac:dyDescent="0.35">
      <c r="A46" s="8">
        <f>A45+1</f>
        <v>45</v>
      </c>
      <c r="B46" s="144" t="s">
        <v>170</v>
      </c>
      <c r="C46" s="99" t="s">
        <v>171</v>
      </c>
      <c r="D46" s="149">
        <v>89.142759000000012</v>
      </c>
      <c r="E46" s="185" t="s">
        <v>172</v>
      </c>
      <c r="F46" s="130">
        <v>29</v>
      </c>
      <c r="G46" s="120" t="s">
        <v>245</v>
      </c>
      <c r="H46" s="185" t="s">
        <v>262</v>
      </c>
      <c r="I46" s="120" t="s">
        <v>124</v>
      </c>
      <c r="J46" s="184" t="str">
        <f>I46</f>
        <v>Yes</v>
      </c>
      <c r="K46" s="85">
        <v>45964</v>
      </c>
      <c r="L46" s="85">
        <v>45979</v>
      </c>
      <c r="M46" s="85">
        <f>+N46+1</f>
        <v>45982</v>
      </c>
      <c r="N46" s="85">
        <f>+L46+2</f>
        <v>45981</v>
      </c>
      <c r="O46" s="150">
        <v>680590</v>
      </c>
      <c r="P46" s="101"/>
      <c r="Q46" s="131"/>
      <c r="R46" s="131"/>
      <c r="T46" s="139"/>
      <c r="V46" s="140"/>
      <c r="W46" s="140"/>
      <c r="X46" s="140"/>
      <c r="Y46" s="140"/>
      <c r="Z46" s="140"/>
      <c r="AA46" s="140"/>
      <c r="AC46" s="141"/>
      <c r="AD46" s="141"/>
      <c r="AE46" s="141"/>
      <c r="AF46" s="141"/>
      <c r="AG46" s="141"/>
      <c r="AH46" s="142"/>
      <c r="AI46" s="143"/>
    </row>
    <row r="47" spans="1:35" ht="15.5" x14ac:dyDescent="0.35">
      <c r="A47" s="8">
        <f>A46+1</f>
        <v>46</v>
      </c>
      <c r="B47" s="147" t="s">
        <v>173</v>
      </c>
      <c r="C47" s="99" t="s">
        <v>119</v>
      </c>
      <c r="D47" s="149">
        <v>39.458914000000007</v>
      </c>
      <c r="E47" s="185" t="s">
        <v>174</v>
      </c>
      <c r="F47" s="130">
        <v>27</v>
      </c>
      <c r="G47" s="120" t="s">
        <v>245</v>
      </c>
      <c r="H47" s="185" t="s">
        <v>262</v>
      </c>
      <c r="I47" s="120" t="s">
        <v>124</v>
      </c>
      <c r="J47" s="184" t="str">
        <f>I47</f>
        <v>Yes</v>
      </c>
      <c r="K47" s="85">
        <v>45965</v>
      </c>
      <c r="L47" s="85">
        <v>45972</v>
      </c>
      <c r="M47" s="85">
        <f>+N47+1</f>
        <v>45975</v>
      </c>
      <c r="N47" s="85">
        <f>+L47+2</f>
        <v>45974</v>
      </c>
      <c r="O47" s="150">
        <v>297143</v>
      </c>
      <c r="P47" s="101"/>
      <c r="Q47" s="131"/>
      <c r="R47" s="131"/>
      <c r="T47" s="139"/>
      <c r="V47" s="140"/>
      <c r="W47" s="140"/>
      <c r="X47" s="140"/>
      <c r="Y47" s="140"/>
      <c r="Z47" s="140"/>
      <c r="AA47" s="140"/>
      <c r="AC47" s="141"/>
      <c r="AD47" s="141"/>
      <c r="AE47" s="141"/>
      <c r="AF47" s="141"/>
      <c r="AG47" s="141"/>
      <c r="AH47" s="142"/>
      <c r="AI47" s="143"/>
    </row>
    <row r="48" spans="1:35" ht="15.5" x14ac:dyDescent="0.35">
      <c r="A48" s="8">
        <f>A47+1</f>
        <v>47</v>
      </c>
      <c r="B48" s="144" t="s">
        <v>234</v>
      </c>
      <c r="C48" s="99" t="s">
        <v>134</v>
      </c>
      <c r="D48" s="149">
        <v>129.34103899999999</v>
      </c>
      <c r="E48" s="185" t="s">
        <v>186</v>
      </c>
      <c r="F48" s="130"/>
      <c r="G48" s="120" t="s">
        <v>245</v>
      </c>
      <c r="H48" s="185" t="s">
        <v>266</v>
      </c>
      <c r="I48" s="120" t="s">
        <v>124</v>
      </c>
      <c r="J48" s="184" t="str">
        <f>I48</f>
        <v>Yes</v>
      </c>
      <c r="K48" s="85">
        <v>45969</v>
      </c>
      <c r="L48" s="85">
        <v>45988</v>
      </c>
      <c r="M48" s="85">
        <f>+N48+1</f>
        <v>45991</v>
      </c>
      <c r="N48" s="85">
        <f>+L48+2</f>
        <v>45990</v>
      </c>
      <c r="O48" s="150">
        <v>1003256</v>
      </c>
      <c r="P48" s="101"/>
      <c r="Q48" s="131"/>
      <c r="R48" s="131"/>
      <c r="T48" s="139"/>
      <c r="V48" s="140"/>
      <c r="W48" s="140"/>
      <c r="X48" s="140"/>
      <c r="Y48" s="140"/>
      <c r="Z48" s="140"/>
      <c r="AA48" s="140"/>
      <c r="AC48" s="141"/>
      <c r="AD48" s="141"/>
      <c r="AE48" s="141"/>
      <c r="AF48" s="141"/>
      <c r="AG48" s="141"/>
      <c r="AH48" s="142"/>
      <c r="AI48" s="143"/>
    </row>
    <row r="49" spans="1:35" ht="15.5" x14ac:dyDescent="0.35">
      <c r="A49" s="8">
        <f>A48+1</f>
        <v>48</v>
      </c>
      <c r="B49" s="144" t="s">
        <v>201</v>
      </c>
      <c r="C49" s="99" t="s">
        <v>89</v>
      </c>
      <c r="D49" s="149">
        <v>142.10141100000001</v>
      </c>
      <c r="E49" s="185" t="s">
        <v>202</v>
      </c>
      <c r="F49" s="130"/>
      <c r="G49" s="120" t="s">
        <v>245</v>
      </c>
      <c r="H49" s="185" t="s">
        <v>266</v>
      </c>
      <c r="I49" s="120" t="s">
        <v>124</v>
      </c>
      <c r="J49" s="184" t="str">
        <f>I49</f>
        <v>Yes</v>
      </c>
      <c r="K49" s="85">
        <v>45970</v>
      </c>
      <c r="L49" s="85">
        <v>45991</v>
      </c>
      <c r="M49" s="85">
        <f>+N49+1</f>
        <v>45994</v>
      </c>
      <c r="N49" s="85">
        <f>+L49+2</f>
        <v>45993</v>
      </c>
      <c r="O49" s="150">
        <v>1099828</v>
      </c>
      <c r="P49" s="101"/>
      <c r="Q49" s="131"/>
      <c r="R49" s="131"/>
      <c r="T49" s="139"/>
      <c r="V49" s="140"/>
      <c r="W49" s="140"/>
      <c r="X49" s="140"/>
      <c r="Y49" s="140"/>
      <c r="Z49" s="140"/>
      <c r="AA49" s="140"/>
      <c r="AC49" s="141"/>
      <c r="AD49" s="141"/>
      <c r="AE49" s="141"/>
      <c r="AF49" s="141"/>
      <c r="AG49" s="141"/>
      <c r="AH49" s="142"/>
      <c r="AI49" s="143"/>
    </row>
    <row r="50" spans="1:35" ht="15.5" x14ac:dyDescent="0.35">
      <c r="A50" s="8">
        <f>A49+1</f>
        <v>49</v>
      </c>
      <c r="B50" s="144" t="s">
        <v>175</v>
      </c>
      <c r="C50" s="99" t="s">
        <v>122</v>
      </c>
      <c r="D50" s="149">
        <v>64.253625</v>
      </c>
      <c r="E50" s="185" t="s">
        <v>176</v>
      </c>
      <c r="F50" s="130">
        <v>24</v>
      </c>
      <c r="G50" s="120" t="s">
        <v>245</v>
      </c>
      <c r="H50" s="185" t="s">
        <v>263</v>
      </c>
      <c r="I50" s="120" t="s">
        <v>124</v>
      </c>
      <c r="J50" s="184" t="str">
        <f>I50</f>
        <v>Yes</v>
      </c>
      <c r="K50" s="85">
        <v>45953</v>
      </c>
      <c r="L50" s="85">
        <v>45968</v>
      </c>
      <c r="M50" s="85">
        <f>+N50+1</f>
        <v>45971</v>
      </c>
      <c r="N50" s="85">
        <f>+L50+2</f>
        <v>45970</v>
      </c>
      <c r="O50" s="150">
        <v>470077.00000000006</v>
      </c>
      <c r="P50" s="101"/>
      <c r="Q50" s="131"/>
      <c r="R50" s="131"/>
      <c r="T50" s="139"/>
      <c r="V50" s="140"/>
      <c r="W50" s="140"/>
      <c r="X50" s="140"/>
      <c r="Y50" s="140"/>
      <c r="Z50" s="140"/>
      <c r="AA50" s="140"/>
      <c r="AC50" s="141"/>
      <c r="AD50" s="141"/>
      <c r="AE50" s="141"/>
      <c r="AF50" s="141"/>
      <c r="AG50" s="141"/>
      <c r="AH50" s="142"/>
      <c r="AI50" s="143"/>
    </row>
    <row r="51" spans="1:35" ht="15.5" x14ac:dyDescent="0.35">
      <c r="A51" s="8">
        <f>A50+1</f>
        <v>50</v>
      </c>
      <c r="B51" s="144" t="s">
        <v>226</v>
      </c>
      <c r="C51" s="99" t="s">
        <v>50</v>
      </c>
      <c r="D51" s="149">
        <v>37.730482000000002</v>
      </c>
      <c r="E51" s="185" t="s">
        <v>167</v>
      </c>
      <c r="F51" s="130"/>
      <c r="G51" s="120" t="s">
        <v>245</v>
      </c>
      <c r="H51" s="185" t="s">
        <v>260</v>
      </c>
      <c r="I51" s="120" t="s">
        <v>124</v>
      </c>
      <c r="J51" s="184" t="str">
        <f>I51</f>
        <v>Yes</v>
      </c>
      <c r="K51" s="85">
        <v>45973</v>
      </c>
      <c r="L51" s="85">
        <v>45980</v>
      </c>
      <c r="M51" s="85">
        <f>+N51+1</f>
        <v>45983</v>
      </c>
      <c r="N51" s="85">
        <f>+L51+2</f>
        <v>45982</v>
      </c>
      <c r="O51" s="150">
        <v>286911</v>
      </c>
      <c r="P51" s="101"/>
      <c r="Q51" s="131"/>
      <c r="R51" s="131"/>
      <c r="T51" s="139"/>
      <c r="V51" s="140"/>
      <c r="W51" s="140"/>
      <c r="X51" s="140"/>
      <c r="Y51" s="140"/>
      <c r="Z51" s="140"/>
      <c r="AA51" s="140"/>
      <c r="AC51" s="141"/>
      <c r="AD51" s="141"/>
      <c r="AE51" s="141"/>
      <c r="AF51" s="141"/>
      <c r="AG51" s="141"/>
      <c r="AH51" s="142"/>
      <c r="AI51" s="143"/>
    </row>
    <row r="52" spans="1:35" ht="31" x14ac:dyDescent="0.35">
      <c r="A52" s="8">
        <f>A51+1</f>
        <v>51</v>
      </c>
      <c r="B52" s="144" t="s">
        <v>177</v>
      </c>
      <c r="C52" s="99" t="s">
        <v>50</v>
      </c>
      <c r="D52" s="149">
        <v>37.730482000000002</v>
      </c>
      <c r="E52" s="185" t="s">
        <v>178</v>
      </c>
      <c r="F52" s="130">
        <v>30</v>
      </c>
      <c r="G52" s="120" t="s">
        <v>245</v>
      </c>
      <c r="H52" s="185" t="s">
        <v>260</v>
      </c>
      <c r="I52" s="120" t="s">
        <v>124</v>
      </c>
      <c r="J52" s="184" t="str">
        <f>I52</f>
        <v>Yes</v>
      </c>
      <c r="K52" s="85">
        <v>45965</v>
      </c>
      <c r="L52" s="85">
        <v>45972</v>
      </c>
      <c r="M52" s="85">
        <f>+N52+1</f>
        <v>45975</v>
      </c>
      <c r="N52" s="85">
        <f>+L52+2</f>
        <v>45974</v>
      </c>
      <c r="O52" s="150">
        <v>286911</v>
      </c>
      <c r="P52" s="101"/>
      <c r="Q52" s="131"/>
      <c r="R52" s="131"/>
      <c r="T52" s="139"/>
      <c r="V52" s="140"/>
      <c r="W52" s="140"/>
      <c r="X52" s="140"/>
      <c r="Y52" s="140"/>
      <c r="Z52" s="140"/>
      <c r="AA52" s="140"/>
      <c r="AC52" s="141"/>
      <c r="AD52" s="141"/>
      <c r="AE52" s="141"/>
      <c r="AF52" s="141"/>
      <c r="AG52" s="141"/>
      <c r="AH52" s="142"/>
      <c r="AI52" s="143"/>
    </row>
    <row r="53" spans="1:35" ht="15.5" x14ac:dyDescent="0.35">
      <c r="A53" s="8">
        <f>A52+1</f>
        <v>52</v>
      </c>
      <c r="B53" s="144" t="s">
        <v>179</v>
      </c>
      <c r="C53" s="99" t="s">
        <v>121</v>
      </c>
      <c r="D53" s="149">
        <v>64.253625</v>
      </c>
      <c r="E53" s="185" t="s">
        <v>180</v>
      </c>
      <c r="F53" s="130">
        <v>26</v>
      </c>
      <c r="G53" s="120" t="s">
        <v>245</v>
      </c>
      <c r="H53" s="185" t="s">
        <v>264</v>
      </c>
      <c r="I53" s="120" t="s">
        <v>124</v>
      </c>
      <c r="J53" s="184" t="str">
        <f>I53</f>
        <v>Yes</v>
      </c>
      <c r="K53" s="85">
        <v>45959</v>
      </c>
      <c r="L53" s="85">
        <v>45969</v>
      </c>
      <c r="M53" s="85">
        <f>+N53+1</f>
        <v>45972</v>
      </c>
      <c r="N53" s="85">
        <f>+L53+2</f>
        <v>45971</v>
      </c>
      <c r="O53" s="150">
        <v>470077.00000000006</v>
      </c>
      <c r="P53" s="101"/>
      <c r="Q53" s="131"/>
      <c r="R53" s="131"/>
      <c r="T53" s="139"/>
      <c r="V53" s="140"/>
      <c r="W53" s="140"/>
      <c r="X53" s="140"/>
      <c r="Y53" s="140"/>
      <c r="Z53" s="140"/>
      <c r="AA53" s="140"/>
      <c r="AC53" s="141"/>
      <c r="AD53" s="141"/>
      <c r="AE53" s="141"/>
      <c r="AF53" s="141"/>
      <c r="AG53" s="141"/>
      <c r="AH53" s="142"/>
      <c r="AI53" s="143"/>
    </row>
    <row r="54" spans="1:35" ht="15.5" x14ac:dyDescent="0.35">
      <c r="A54" s="8">
        <f>A53+1</f>
        <v>53</v>
      </c>
      <c r="B54" s="144" t="s">
        <v>181</v>
      </c>
      <c r="C54" s="99" t="s">
        <v>120</v>
      </c>
      <c r="D54" s="148">
        <v>63.508955999999998</v>
      </c>
      <c r="E54" s="185" t="s">
        <v>182</v>
      </c>
      <c r="F54" s="130">
        <v>56</v>
      </c>
      <c r="G54" s="120" t="s">
        <v>245</v>
      </c>
      <c r="H54" s="185" t="s">
        <v>265</v>
      </c>
      <c r="I54" s="120" t="s">
        <v>124</v>
      </c>
      <c r="J54" s="184" t="str">
        <f>I54</f>
        <v>Yes</v>
      </c>
      <c r="K54" s="85">
        <v>45952</v>
      </c>
      <c r="L54" s="85">
        <v>45966</v>
      </c>
      <c r="M54" s="85">
        <f>+N54+1</f>
        <v>45969</v>
      </c>
      <c r="N54" s="85">
        <f>+L54+2</f>
        <v>45968</v>
      </c>
      <c r="O54" s="150">
        <v>480757</v>
      </c>
      <c r="P54" s="101"/>
      <c r="Q54" s="131"/>
      <c r="R54" s="131"/>
      <c r="T54" s="139"/>
      <c r="V54" s="140"/>
      <c r="W54" s="140"/>
      <c r="X54" s="140"/>
      <c r="Y54" s="140"/>
      <c r="Z54" s="140"/>
      <c r="AA54" s="140"/>
      <c r="AC54" s="141"/>
      <c r="AD54" s="141"/>
      <c r="AE54" s="141"/>
      <c r="AF54" s="141"/>
      <c r="AG54" s="141"/>
      <c r="AH54" s="142"/>
      <c r="AI54" s="143"/>
    </row>
    <row r="55" spans="1:35" ht="15.5" x14ac:dyDescent="0.35">
      <c r="A55" s="8">
        <f>A54+1</f>
        <v>54</v>
      </c>
      <c r="B55" s="144" t="s">
        <v>242</v>
      </c>
      <c r="C55" s="99" t="s">
        <v>89</v>
      </c>
      <c r="D55" s="149">
        <v>142.10141100000001</v>
      </c>
      <c r="E55" s="185" t="s">
        <v>198</v>
      </c>
      <c r="F55" s="130"/>
      <c r="G55" s="120" t="s">
        <v>245</v>
      </c>
      <c r="H55" s="185" t="s">
        <v>271</v>
      </c>
      <c r="I55" s="120" t="s">
        <v>124</v>
      </c>
      <c r="J55" s="184" t="str">
        <f>I55</f>
        <v>Yes</v>
      </c>
      <c r="K55" s="85">
        <v>45968</v>
      </c>
      <c r="L55" s="85">
        <v>45990</v>
      </c>
      <c r="M55" s="85">
        <f>+N55+1</f>
        <v>45993</v>
      </c>
      <c r="N55" s="85">
        <f>+L55+2</f>
        <v>45992</v>
      </c>
      <c r="O55" s="150">
        <v>1099828</v>
      </c>
      <c r="P55" s="101"/>
      <c r="Q55" s="131"/>
      <c r="R55" s="131"/>
      <c r="T55" s="139"/>
      <c r="V55" s="140"/>
      <c r="W55" s="140"/>
      <c r="X55" s="140"/>
      <c r="Y55" s="140"/>
      <c r="Z55" s="140"/>
      <c r="AA55" s="140"/>
      <c r="AC55" s="141"/>
      <c r="AD55" s="141"/>
      <c r="AE55" s="141"/>
      <c r="AF55" s="141"/>
      <c r="AG55" s="141"/>
      <c r="AH55" s="142"/>
      <c r="AI55" s="143"/>
    </row>
    <row r="56" spans="1:35" ht="15.5" x14ac:dyDescent="0.35">
      <c r="A56" s="8">
        <f>A55+1</f>
        <v>55</v>
      </c>
      <c r="B56" s="144" t="s">
        <v>185</v>
      </c>
      <c r="C56" s="99" t="s">
        <v>134</v>
      </c>
      <c r="D56" s="149">
        <v>129.34103899999999</v>
      </c>
      <c r="E56" s="185" t="s">
        <v>186</v>
      </c>
      <c r="F56" s="130">
        <v>36</v>
      </c>
      <c r="G56" s="120" t="s">
        <v>245</v>
      </c>
      <c r="H56" s="185" t="s">
        <v>266</v>
      </c>
      <c r="I56" s="120" t="s">
        <v>124</v>
      </c>
      <c r="J56" s="184" t="str">
        <f>I56</f>
        <v>Yes</v>
      </c>
      <c r="K56" s="85">
        <v>45942</v>
      </c>
      <c r="L56" s="85">
        <v>45968</v>
      </c>
      <c r="M56" s="85">
        <f>+N56+1</f>
        <v>45971</v>
      </c>
      <c r="N56" s="85">
        <f>+L56+2</f>
        <v>45970</v>
      </c>
      <c r="O56" s="150">
        <v>1003256</v>
      </c>
      <c r="P56" s="101"/>
      <c r="Q56" s="131"/>
      <c r="R56" s="131"/>
      <c r="T56" s="139"/>
      <c r="V56" s="140"/>
      <c r="W56" s="140"/>
      <c r="X56" s="140"/>
      <c r="Y56" s="140"/>
      <c r="Z56" s="140"/>
      <c r="AA56" s="140"/>
      <c r="AC56" s="141"/>
      <c r="AD56" s="141"/>
      <c r="AE56" s="141"/>
      <c r="AF56" s="141"/>
      <c r="AG56" s="141"/>
      <c r="AH56" s="142"/>
      <c r="AI56" s="143"/>
    </row>
    <row r="57" spans="1:35" ht="15.5" x14ac:dyDescent="0.35">
      <c r="A57" s="8">
        <f>A56+1</f>
        <v>56</v>
      </c>
      <c r="B57" s="144" t="s">
        <v>187</v>
      </c>
      <c r="C57" s="99" t="s">
        <v>120</v>
      </c>
      <c r="D57" s="149">
        <v>63.508955999999998</v>
      </c>
      <c r="E57" s="185" t="s">
        <v>188</v>
      </c>
      <c r="F57" s="130">
        <v>28</v>
      </c>
      <c r="G57" s="120" t="s">
        <v>245</v>
      </c>
      <c r="H57" s="185" t="s">
        <v>267</v>
      </c>
      <c r="I57" s="120" t="s">
        <v>124</v>
      </c>
      <c r="J57" s="184" t="str">
        <f>I57</f>
        <v>Yes</v>
      </c>
      <c r="K57" s="85">
        <v>45955</v>
      </c>
      <c r="L57" s="85">
        <v>45968</v>
      </c>
      <c r="M57" s="85">
        <f>+N57+1</f>
        <v>45971</v>
      </c>
      <c r="N57" s="85">
        <f>+L57+2</f>
        <v>45970</v>
      </c>
      <c r="O57" s="150">
        <v>480757</v>
      </c>
      <c r="P57" s="101"/>
      <c r="Q57" s="131"/>
      <c r="R57" s="131"/>
      <c r="T57" s="139"/>
      <c r="V57" s="140"/>
      <c r="W57" s="140"/>
      <c r="X57" s="140"/>
      <c r="Y57" s="140"/>
      <c r="Z57" s="140"/>
      <c r="AA57" s="140"/>
      <c r="AC57" s="141"/>
      <c r="AD57" s="141"/>
      <c r="AE57" s="141"/>
      <c r="AF57" s="141"/>
      <c r="AG57" s="141"/>
      <c r="AH57" s="142"/>
      <c r="AI57" s="143"/>
    </row>
    <row r="58" spans="1:35" ht="15.5" x14ac:dyDescent="0.35">
      <c r="A58" s="8">
        <f>A57+1</f>
        <v>57</v>
      </c>
      <c r="B58" s="144" t="s">
        <v>189</v>
      </c>
      <c r="C58" s="99" t="s">
        <v>80</v>
      </c>
      <c r="D58" s="149">
        <v>44.728234</v>
      </c>
      <c r="E58" s="185" t="s">
        <v>190</v>
      </c>
      <c r="F58" s="130">
        <v>30</v>
      </c>
      <c r="G58" s="120" t="s">
        <v>245</v>
      </c>
      <c r="H58" s="185" t="s">
        <v>268</v>
      </c>
      <c r="I58" s="120" t="s">
        <v>124</v>
      </c>
      <c r="J58" s="184" t="str">
        <f>I58</f>
        <v>Yes</v>
      </c>
      <c r="K58" s="85">
        <v>45963</v>
      </c>
      <c r="L58" s="85">
        <v>45970</v>
      </c>
      <c r="M58" s="85">
        <f>+N58+1</f>
        <v>45973</v>
      </c>
      <c r="N58" s="85">
        <f>+L58+2</f>
        <v>45972</v>
      </c>
      <c r="O58" s="150">
        <v>342192</v>
      </c>
      <c r="P58" s="101"/>
      <c r="Q58" s="131"/>
      <c r="R58" s="131"/>
      <c r="T58" s="139"/>
      <c r="V58" s="140"/>
      <c r="W58" s="140"/>
      <c r="X58" s="140"/>
      <c r="Y58" s="140"/>
      <c r="Z58" s="140"/>
      <c r="AA58" s="140"/>
      <c r="AC58" s="141"/>
      <c r="AD58" s="141"/>
      <c r="AE58" s="141"/>
      <c r="AF58" s="141"/>
      <c r="AG58" s="141"/>
      <c r="AH58" s="142"/>
      <c r="AI58" s="143"/>
    </row>
    <row r="59" spans="1:35" ht="15.5" x14ac:dyDescent="0.35">
      <c r="A59" s="8">
        <f>A58+1</f>
        <v>58</v>
      </c>
      <c r="B59" s="144" t="s">
        <v>191</v>
      </c>
      <c r="C59" s="99" t="s">
        <v>164</v>
      </c>
      <c r="D59" s="149">
        <v>80.408016999999987</v>
      </c>
      <c r="E59" s="185" t="s">
        <v>192</v>
      </c>
      <c r="F59" s="130">
        <v>24</v>
      </c>
      <c r="G59" s="120" t="s">
        <v>245</v>
      </c>
      <c r="H59" s="185" t="s">
        <v>269</v>
      </c>
      <c r="I59" s="120" t="s">
        <v>124</v>
      </c>
      <c r="J59" s="184" t="str">
        <f>I59</f>
        <v>Yes</v>
      </c>
      <c r="K59" s="85">
        <v>45939</v>
      </c>
      <c r="L59" s="85">
        <v>45966</v>
      </c>
      <c r="M59" s="85">
        <f>+N59+1</f>
        <v>45969</v>
      </c>
      <c r="N59" s="85">
        <f>+L59+2</f>
        <v>45968</v>
      </c>
      <c r="O59" s="150">
        <v>604881</v>
      </c>
      <c r="P59" s="101"/>
      <c r="Q59" s="131"/>
      <c r="R59" s="131"/>
      <c r="T59" s="139"/>
      <c r="V59" s="140"/>
      <c r="W59" s="140"/>
      <c r="X59" s="140"/>
      <c r="Y59" s="140"/>
      <c r="Z59" s="140"/>
      <c r="AA59" s="140"/>
      <c r="AC59" s="141"/>
      <c r="AD59" s="141"/>
      <c r="AE59" s="141"/>
      <c r="AF59" s="141"/>
      <c r="AG59" s="141"/>
      <c r="AH59" s="142"/>
      <c r="AI59" s="143"/>
    </row>
    <row r="60" spans="1:35" ht="15.5" x14ac:dyDescent="0.35">
      <c r="A60" s="8">
        <f>A59+1</f>
        <v>59</v>
      </c>
      <c r="B60" s="144" t="s">
        <v>232</v>
      </c>
      <c r="C60" s="99" t="s">
        <v>89</v>
      </c>
      <c r="D60" s="149">
        <v>142.10141100000001</v>
      </c>
      <c r="E60" s="185" t="s">
        <v>180</v>
      </c>
      <c r="F60" s="130"/>
      <c r="G60" s="120" t="s">
        <v>245</v>
      </c>
      <c r="H60" s="185" t="s">
        <v>264</v>
      </c>
      <c r="I60" s="120" t="s">
        <v>124</v>
      </c>
      <c r="J60" s="184" t="str">
        <f>I60</f>
        <v>Yes</v>
      </c>
      <c r="K60" s="85">
        <v>45970</v>
      </c>
      <c r="L60" s="85">
        <v>45990</v>
      </c>
      <c r="M60" s="85">
        <f>+N60+1</f>
        <v>45993</v>
      </c>
      <c r="N60" s="85">
        <f>+L60+2</f>
        <v>45992</v>
      </c>
      <c r="O60" s="150">
        <v>1099828</v>
      </c>
      <c r="P60" s="101"/>
      <c r="Q60" s="131"/>
      <c r="R60" s="131"/>
      <c r="T60" s="139"/>
      <c r="V60" s="140"/>
      <c r="W60" s="140"/>
      <c r="X60" s="140"/>
      <c r="Y60" s="140"/>
      <c r="Z60" s="140"/>
      <c r="AA60" s="140"/>
      <c r="AC60" s="141"/>
      <c r="AD60" s="141"/>
      <c r="AE60" s="141"/>
      <c r="AF60" s="141"/>
      <c r="AG60" s="141"/>
      <c r="AH60" s="142"/>
      <c r="AI60" s="143"/>
    </row>
    <row r="61" spans="1:35" ht="15.5" x14ac:dyDescent="0.35">
      <c r="A61" s="8">
        <f>A60+1</f>
        <v>60</v>
      </c>
      <c r="B61" s="144" t="s">
        <v>195</v>
      </c>
      <c r="C61" s="99" t="s">
        <v>89</v>
      </c>
      <c r="D61" s="149">
        <v>142.10141100000001</v>
      </c>
      <c r="E61" s="185" t="s">
        <v>196</v>
      </c>
      <c r="F61" s="130">
        <v>37</v>
      </c>
      <c r="G61" s="120" t="s">
        <v>245</v>
      </c>
      <c r="H61" s="185" t="s">
        <v>270</v>
      </c>
      <c r="I61" s="120" t="s">
        <v>124</v>
      </c>
      <c r="J61" s="184" t="str">
        <f>I61</f>
        <v>Yes</v>
      </c>
      <c r="K61" s="85">
        <v>45952</v>
      </c>
      <c r="L61" s="85">
        <v>45972</v>
      </c>
      <c r="M61" s="85">
        <f>+N61+1</f>
        <v>45975</v>
      </c>
      <c r="N61" s="85">
        <f>+L61+2</f>
        <v>45974</v>
      </c>
      <c r="O61" s="150">
        <v>1099828</v>
      </c>
      <c r="P61" s="101"/>
      <c r="Q61" s="131"/>
      <c r="R61" s="131"/>
      <c r="T61" s="139"/>
      <c r="V61" s="140"/>
      <c r="W61" s="140"/>
      <c r="X61" s="140"/>
      <c r="Y61" s="140"/>
      <c r="Z61" s="140"/>
      <c r="AA61" s="140"/>
      <c r="AC61" s="141"/>
      <c r="AD61" s="141"/>
      <c r="AE61" s="141"/>
      <c r="AF61" s="141"/>
      <c r="AG61" s="141"/>
      <c r="AH61" s="142"/>
      <c r="AI61" s="143"/>
    </row>
    <row r="62" spans="1:35" ht="15.5" x14ac:dyDescent="0.35">
      <c r="A62" s="8">
        <f>A61+1</f>
        <v>61</v>
      </c>
      <c r="B62" s="144" t="s">
        <v>197</v>
      </c>
      <c r="C62" s="99" t="s">
        <v>161</v>
      </c>
      <c r="D62" s="149">
        <v>72.234245000000016</v>
      </c>
      <c r="E62" s="185" t="s">
        <v>198</v>
      </c>
      <c r="F62" s="130">
        <v>32</v>
      </c>
      <c r="G62" s="120" t="s">
        <v>245</v>
      </c>
      <c r="H62" s="185" t="s">
        <v>271</v>
      </c>
      <c r="I62" s="120" t="s">
        <v>124</v>
      </c>
      <c r="J62" s="184" t="str">
        <f>I62</f>
        <v>Yes</v>
      </c>
      <c r="K62" s="85">
        <v>45954</v>
      </c>
      <c r="L62" s="85">
        <v>45967</v>
      </c>
      <c r="M62" s="85">
        <f>+N62+1</f>
        <v>45970</v>
      </c>
      <c r="N62" s="85">
        <f>+L62+2</f>
        <v>45969</v>
      </c>
      <c r="O62" s="150">
        <v>546238</v>
      </c>
      <c r="P62" s="101"/>
      <c r="Q62" s="131"/>
      <c r="R62" s="131"/>
      <c r="T62" s="139"/>
      <c r="V62" s="140"/>
      <c r="W62" s="140"/>
      <c r="X62" s="140"/>
      <c r="Y62" s="140"/>
      <c r="Z62" s="140"/>
      <c r="AA62" s="140"/>
      <c r="AC62" s="141"/>
      <c r="AD62" s="141"/>
      <c r="AE62" s="141"/>
      <c r="AF62" s="141"/>
      <c r="AG62" s="141"/>
      <c r="AH62" s="142"/>
      <c r="AI62" s="143"/>
    </row>
  </sheetData>
  <autoFilter ref="A1:P62" xr:uid="{035547A7-D1B5-4A88-918A-3701F4B0E907}">
    <sortState xmlns:xlrd2="http://schemas.microsoft.com/office/spreadsheetml/2017/richdata2" ref="A2:P62">
      <sortCondition ref="B1:B62"/>
    </sortState>
  </autoFilter>
  <phoneticPr fontId="8" type="noConversion"/>
  <conditionalFormatting sqref="B1:B1048576">
    <cfRule type="duplicateValues" dxfId="181" priority="33"/>
  </conditionalFormatting>
  <conditionalFormatting sqref="B13:B15">
    <cfRule type="duplicateValues" dxfId="180" priority="35"/>
    <cfRule type="duplicateValues" dxfId="179" priority="34"/>
  </conditionalFormatting>
  <conditionalFormatting sqref="B2:B11 B16:B62">
    <cfRule type="duplicateValues" dxfId="178" priority="36"/>
  </conditionalFormatting>
  <conditionalFormatting sqref="C19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{99FFE16C-ABF1-415F-B420-44157A953524}</x14:id>
        </ext>
      </extLst>
    </cfRule>
  </conditionalFormatting>
  <conditionalFormatting sqref="J2:J62">
    <cfRule type="containsText" dxfId="177" priority="70" operator="containsText" text="ROW">
      <formula>NOT(ISERROR(SEARCH("ROW",J2)))</formula>
    </cfRule>
    <cfRule type="containsText" dxfId="176" priority="69" operator="containsText" text="Complete">
      <formula>NOT(ISERROR(SEARCH("Complete",J2)))</formula>
    </cfRule>
    <cfRule type="containsText" dxfId="175" priority="63" operator="containsText" text="WIP">
      <formula>NOT(ISERROR(SEARCH("WIP",J2)))</formula>
    </cfRule>
  </conditionalFormatting>
  <conditionalFormatting sqref="J3:J15">
    <cfRule type="containsText" dxfId="174" priority="73" operator="containsText" text="ROW">
      <formula>NOT(ISERROR(SEARCH("ROW",J3)))</formula>
    </cfRule>
    <cfRule type="containsText" dxfId="173" priority="72" operator="containsText" text="Complete">
      <formula>NOT(ISERROR(SEARCH("Complete",J3)))</formula>
    </cfRule>
  </conditionalFormatting>
  <conditionalFormatting sqref="J5:J14">
    <cfRule type="containsText" dxfId="172" priority="71" operator="containsText" text="WIP">
      <formula>NOT(ISERROR(SEARCH("WIP",J5)))</formula>
    </cfRule>
  </conditionalFormatting>
  <conditionalFormatting sqref="J10">
    <cfRule type="containsText" dxfId="171" priority="205" operator="containsText" text="ROW">
      <formula>NOT(ISERROR(SEARCH("ROW",J10)))</formula>
    </cfRule>
    <cfRule type="containsText" dxfId="170" priority="204" operator="containsText" text="Complete">
      <formula>NOT(ISERROR(SEARCH("Complete",J10)))</formula>
    </cfRule>
    <cfRule type="containsText" dxfId="169" priority="203" operator="containsText" text="ROW">
      <formula>NOT(ISERROR(SEARCH("ROW",J10)))</formula>
    </cfRule>
    <cfRule type="containsText" dxfId="168" priority="202" operator="containsText" text="Complete">
      <formula>NOT(ISERROR(SEARCH("Complete",J10)))</formula>
    </cfRule>
    <cfRule type="containsText" dxfId="167" priority="201" operator="containsText" text="WIP">
      <formula>NOT(ISERROR(SEARCH("WIP",J10)))</formula>
    </cfRule>
    <cfRule type="containsText" dxfId="166" priority="200" operator="containsText" text="ROW">
      <formula>NOT(ISERROR(SEARCH("ROW",J10)))</formula>
    </cfRule>
    <cfRule type="containsText" dxfId="165" priority="199" operator="containsText" text="Complete">
      <formula>NOT(ISERROR(SEARCH("Complete",J10)))</formula>
    </cfRule>
    <cfRule type="containsText" dxfId="164" priority="198" operator="containsText" text="WIP">
      <formula>NOT(ISERROR(SEARCH("WIP",J10)))</formula>
    </cfRule>
  </conditionalFormatting>
  <conditionalFormatting sqref="J11:J12">
    <cfRule type="containsText" dxfId="163" priority="37" operator="containsText" text="Complete">
      <formula>NOT(ISERROR(SEARCH("Complete",J11)))</formula>
    </cfRule>
    <cfRule type="containsText" dxfId="162" priority="38" operator="containsText" text="ROW">
      <formula>NOT(ISERROR(SEARCH("ROW",J11)))</formula>
    </cfRule>
  </conditionalFormatting>
  <conditionalFormatting sqref="J13:J14">
    <cfRule type="containsText" dxfId="161" priority="68" operator="containsText" text="ROW">
      <formula>NOT(ISERROR(SEARCH("ROW",J13)))</formula>
    </cfRule>
    <cfRule type="containsText" dxfId="160" priority="67" operator="containsText" text="Complete">
      <formula>NOT(ISERROR(SEARCH("Complete",J13)))</formula>
    </cfRule>
  </conditionalFormatting>
  <conditionalFormatting sqref="J15:J16 K15:L18 L14:N14 K15:N15">
    <cfRule type="containsText" dxfId="159" priority="250" operator="containsText" text="WIP">
      <formula>NOT(ISERROR(SEARCH("WIP",J14)))</formula>
    </cfRule>
  </conditionalFormatting>
  <conditionalFormatting sqref="J17:J20">
    <cfRule type="containsText" dxfId="158" priority="62" operator="containsText" text="ROW">
      <formula>NOT(ISERROR(SEARCH("ROW",J17)))</formula>
    </cfRule>
    <cfRule type="containsText" dxfId="157" priority="61" operator="containsText" text="Complete">
      <formula>NOT(ISERROR(SEARCH("Complete",J17)))</formula>
    </cfRule>
  </conditionalFormatting>
  <conditionalFormatting sqref="J20:J23">
    <cfRule type="containsText" dxfId="156" priority="58" operator="containsText" text="ROW">
      <formula>NOT(ISERROR(SEARCH("ROW",J20)))</formula>
    </cfRule>
    <cfRule type="containsText" dxfId="155" priority="57" operator="containsText" text="Complete">
      <formula>NOT(ISERROR(SEARCH("Complete",J20)))</formula>
    </cfRule>
  </conditionalFormatting>
  <conditionalFormatting sqref="J21 M21:N21">
    <cfRule type="containsText" dxfId="154" priority="165" operator="containsText" text="ROW">
      <formula>NOT(ISERROR(SEARCH("ROW",J21)))</formula>
    </cfRule>
  </conditionalFormatting>
  <conditionalFormatting sqref="J21">
    <cfRule type="containsText" dxfId="153" priority="171" operator="containsText" text="WIP">
      <formula>NOT(ISERROR(SEARCH("WIP",J21)))</formula>
    </cfRule>
  </conditionalFormatting>
  <conditionalFormatting sqref="J22:J23">
    <cfRule type="containsText" dxfId="152" priority="55" operator="containsText" text="ROW">
      <formula>NOT(ISERROR(SEARCH("ROW",J22)))</formula>
    </cfRule>
    <cfRule type="containsText" dxfId="151" priority="56" operator="containsText" text="WIP">
      <formula>NOT(ISERROR(SEARCH("WIP",J22)))</formula>
    </cfRule>
    <cfRule type="containsText" dxfId="150" priority="54" operator="containsText" text="Complete">
      <formula>NOT(ISERROR(SEARCH("Complete",J22)))</formula>
    </cfRule>
    <cfRule type="containsText" dxfId="149" priority="53" operator="containsText" text="WIP">
      <formula>NOT(ISERROR(SEARCH("WIP",J22)))</formula>
    </cfRule>
  </conditionalFormatting>
  <conditionalFormatting sqref="J23:J62">
    <cfRule type="containsText" dxfId="148" priority="41" operator="containsText" text="WIP">
      <formula>NOT(ISERROR(SEARCH("WIP",J23)))</formula>
    </cfRule>
    <cfRule type="containsText" dxfId="147" priority="42" operator="containsText" text="Complete">
      <formula>NOT(ISERROR(SEARCH("Complete",J23)))</formula>
    </cfRule>
    <cfRule type="containsText" dxfId="146" priority="43" operator="containsText" text="ROW">
      <formula>NOT(ISERROR(SEARCH("ROW",J23)))</formula>
    </cfRule>
  </conditionalFormatting>
  <conditionalFormatting sqref="J16:K16">
    <cfRule type="containsText" dxfId="145" priority="246" operator="containsText" text="Complete">
      <formula>NOT(ISERROR(SEARCH("Complete",J16)))</formula>
    </cfRule>
    <cfRule type="containsText" dxfId="144" priority="247" operator="containsText" text="ROW">
      <formula>NOT(ISERROR(SEARCH("ROW",J16)))</formula>
    </cfRule>
  </conditionalFormatting>
  <conditionalFormatting sqref="J18:K18">
    <cfRule type="containsText" dxfId="143" priority="181" operator="containsText" text="Complete">
      <formula>NOT(ISERROR(SEARCH("Complete",J18)))</formula>
    </cfRule>
    <cfRule type="containsText" dxfId="142" priority="182" operator="containsText" text="ROW">
      <formula>NOT(ISERROR(SEARCH("ROW",J18)))</formula>
    </cfRule>
  </conditionalFormatting>
  <conditionalFormatting sqref="J24:K62">
    <cfRule type="containsText" dxfId="141" priority="39" operator="containsText" text="Complete">
      <formula>NOT(ISERROR(SEARCH("Complete",J24)))</formula>
    </cfRule>
    <cfRule type="containsText" dxfId="140" priority="40" operator="containsText" text="ROW">
      <formula>NOT(ISERROR(SEARCH("ROW",J24)))</formula>
    </cfRule>
  </conditionalFormatting>
  <conditionalFormatting sqref="J2:N2 J2:J62 M2:N62">
    <cfRule type="containsText" dxfId="139" priority="91" operator="containsText" text="ROW">
      <formula>NOT(ISERROR(SEARCH("ROW",J2)))</formula>
    </cfRule>
  </conditionalFormatting>
  <conditionalFormatting sqref="J2:N2 J2:J62 M2:N62">
    <cfRule type="containsText" dxfId="138" priority="90" operator="containsText" text="Complete">
      <formula>NOT(ISERROR(SEARCH("Complete",J2)))</formula>
    </cfRule>
  </conditionalFormatting>
  <conditionalFormatting sqref="J4:N4 K4:K6 L6:N6">
    <cfRule type="containsText" dxfId="137" priority="262" operator="containsText" text="ROW">
      <formula>NOT(ISERROR(SEARCH("ROW",J4)))</formula>
    </cfRule>
    <cfRule type="containsText" dxfId="136" priority="261" operator="containsText" text="Complete">
      <formula>NOT(ISERROR(SEARCH("Complete",J4)))</formula>
    </cfRule>
    <cfRule type="containsText" dxfId="135" priority="260" operator="containsText" text="WIP">
      <formula>NOT(ISERROR(SEARCH("WIP",J4)))</formula>
    </cfRule>
  </conditionalFormatting>
  <conditionalFormatting sqref="J16:N16">
    <cfRule type="containsText" dxfId="134" priority="197" operator="containsText" text="ROW">
      <formula>NOT(ISERROR(SEARCH("ROW",J16)))</formula>
    </cfRule>
    <cfRule type="containsText" dxfId="133" priority="196" operator="containsText" text="Complete">
      <formula>NOT(ISERROR(SEARCH("Complete",J16)))</formula>
    </cfRule>
  </conditionalFormatting>
  <conditionalFormatting sqref="J23:N23">
    <cfRule type="containsText" dxfId="132" priority="157" operator="containsText" text="WIP">
      <formula>NOT(ISERROR(SEARCH("WIP",J23)))</formula>
    </cfRule>
    <cfRule type="containsText" dxfId="131" priority="150" operator="containsText" text="ROW">
      <formula>NOT(ISERROR(SEARCH("ROW",J23)))</formula>
    </cfRule>
    <cfRule type="containsText" dxfId="130" priority="149" operator="containsText" text="Complete">
      <formula>NOT(ISERROR(SEARCH("Complete",J23)))</formula>
    </cfRule>
    <cfRule type="containsText" dxfId="129" priority="147" operator="containsText" text="Complete">
      <formula>NOT(ISERROR(SEARCH("Complete",J23)))</formula>
    </cfRule>
    <cfRule type="containsText" dxfId="128" priority="146" operator="containsText" text="WIP">
      <formula>NOT(ISERROR(SEARCH("WIP",J23)))</formula>
    </cfRule>
    <cfRule type="containsText" dxfId="127" priority="148" operator="containsText" text="ROW">
      <formula>NOT(ISERROR(SEARCH("ROW",J23)))</formula>
    </cfRule>
  </conditionalFormatting>
  <conditionalFormatting sqref="K2:K6">
    <cfRule type="containsText" dxfId="126" priority="233" operator="containsText" text="Complete">
      <formula>NOT(ISERROR(SEARCH("Complete",K2)))</formula>
    </cfRule>
    <cfRule type="containsText" dxfId="125" priority="234" operator="containsText" text="ROW">
      <formula>NOT(ISERROR(SEARCH("ROW",K2)))</formula>
    </cfRule>
  </conditionalFormatting>
  <conditionalFormatting sqref="K28:K29 M28:N29">
    <cfRule type="containsText" dxfId="124" priority="119" operator="containsText" text="ROW">
      <formula>NOT(ISERROR(SEARCH("ROW",K28)))</formula>
    </cfRule>
    <cfRule type="containsText" dxfId="123" priority="118" operator="containsText" text="Complete">
      <formula>NOT(ISERROR(SEARCH("Complete",K28)))</formula>
    </cfRule>
  </conditionalFormatting>
  <conditionalFormatting sqref="K8:L11">
    <cfRule type="containsText" dxfId="122" priority="26" operator="containsText" text="ROW">
      <formula>NOT(ISERROR(SEARCH("ROW",K8)))</formula>
    </cfRule>
    <cfRule type="containsText" dxfId="121" priority="25" operator="containsText" text="Complete">
      <formula>NOT(ISERROR(SEARCH("Complete",K8)))</formula>
    </cfRule>
    <cfRule type="containsText" dxfId="120" priority="22" operator="containsText" text="ROW">
      <formula>NOT(ISERROR(SEARCH("ROW",K8)))</formula>
    </cfRule>
    <cfRule type="containsText" dxfId="119" priority="21" operator="containsText" text="Complete">
      <formula>NOT(ISERROR(SEARCH("Complete",K8)))</formula>
    </cfRule>
    <cfRule type="containsText" dxfId="118" priority="17" operator="containsText" text="WIP">
      <formula>NOT(ISERROR(SEARCH("WIP",K8)))</formula>
    </cfRule>
  </conditionalFormatting>
  <conditionalFormatting sqref="K9:L9 K10:K11 L11">
    <cfRule type="containsText" dxfId="117" priority="27" operator="containsText" text="WIP">
      <formula>NOT(ISERROR(SEARCH("WIP",K9)))</formula>
    </cfRule>
  </conditionalFormatting>
  <conditionalFormatting sqref="K9:L9 K10:K11 L11:N11">
    <cfRule type="containsText" dxfId="116" priority="28" operator="containsText" text="Complete">
      <formula>NOT(ISERROR(SEARCH("Complete",K9)))</formula>
    </cfRule>
    <cfRule type="containsText" dxfId="115" priority="29" operator="containsText" text="ROW">
      <formula>NOT(ISERROR(SEARCH("ROW",K9)))</formula>
    </cfRule>
  </conditionalFormatting>
  <conditionalFormatting sqref="K19:L23">
    <cfRule type="containsText" dxfId="114" priority="5" operator="containsText" text="Complete">
      <formula>NOT(ISERROR(SEARCH("Complete",K19)))</formula>
    </cfRule>
    <cfRule type="containsText" dxfId="113" priority="6" operator="containsText" text="ROW">
      <formula>NOT(ISERROR(SEARCH("ROW",K19)))</formula>
    </cfRule>
    <cfRule type="containsText" dxfId="112" priority="9" operator="containsText" text="Complete">
      <formula>NOT(ISERROR(SEARCH("Complete",K19)))</formula>
    </cfRule>
    <cfRule type="containsText" dxfId="111" priority="10" operator="containsText" text="ROW">
      <formula>NOT(ISERROR(SEARCH("ROW",K19)))</formula>
    </cfRule>
    <cfRule type="containsText" dxfId="110" priority="1" operator="containsText" text="WIP">
      <formula>NOT(ISERROR(SEARCH("WIP",K19)))</formula>
    </cfRule>
  </conditionalFormatting>
  <conditionalFormatting sqref="K20:L23">
    <cfRule type="containsText" dxfId="109" priority="11" operator="containsText" text="WIP">
      <formula>NOT(ISERROR(SEARCH("WIP",K20)))</formula>
    </cfRule>
    <cfRule type="containsText" dxfId="108" priority="12" operator="containsText" text="Complete">
      <formula>NOT(ISERROR(SEARCH("Complete",K20)))</formula>
    </cfRule>
    <cfRule type="containsText" dxfId="107" priority="13" operator="containsText" text="ROW">
      <formula>NOT(ISERROR(SEARCH("ROW",K20)))</formula>
    </cfRule>
  </conditionalFormatting>
  <conditionalFormatting sqref="K21:L22">
    <cfRule type="containsText" dxfId="106" priority="14" operator="containsText" text="WIP">
      <formula>NOT(ISERROR(SEARCH("WIP",K21)))</formula>
    </cfRule>
    <cfRule type="containsText" dxfId="105" priority="15" operator="containsText" text="Complete">
      <formula>NOT(ISERROR(SEARCH("Complete",K21)))</formula>
    </cfRule>
    <cfRule type="containsText" dxfId="104" priority="16" operator="containsText" text="ROW">
      <formula>NOT(ISERROR(SEARCH("ROW",K21)))</formula>
    </cfRule>
  </conditionalFormatting>
  <conditionalFormatting sqref="K2:N4 L3:L6 K4:K6 M3:N62">
    <cfRule type="containsText" dxfId="103" priority="180" operator="containsText" text="WIP">
      <formula>NOT(ISERROR(SEARCH("WIP",K2)))</formula>
    </cfRule>
  </conditionalFormatting>
  <conditionalFormatting sqref="K3:N4 L3:L6 K4:K6">
    <cfRule type="containsText" dxfId="102" priority="251" operator="containsText" text="Complete">
      <formula>NOT(ISERROR(SEARCH("Complete",K3)))</formula>
    </cfRule>
    <cfRule type="containsText" dxfId="101" priority="252" operator="containsText" text="ROW">
      <formula>NOT(ISERROR(SEARCH("ROW",K3)))</formula>
    </cfRule>
  </conditionalFormatting>
  <conditionalFormatting sqref="K5:N7 K12:N14 M8:N11 K10:L11">
    <cfRule type="containsText" dxfId="100" priority="235" operator="containsText" text="WIP">
      <formula>NOT(ISERROR(SEARCH("WIP",K5)))</formula>
    </cfRule>
  </conditionalFormatting>
  <conditionalFormatting sqref="K5:N7 M8:N11 K10:L11 K12:N15 K15:L18">
    <cfRule type="containsText" dxfId="99" priority="236" operator="containsText" text="Complete">
      <formula>NOT(ISERROR(SEARCH("Complete",K5)))</formula>
    </cfRule>
    <cfRule type="containsText" dxfId="98" priority="237" operator="containsText" text="ROW">
      <formula>NOT(ISERROR(SEARCH("ROW",K5)))</formula>
    </cfRule>
  </conditionalFormatting>
  <conditionalFormatting sqref="K12:N12">
    <cfRule type="containsText" dxfId="97" priority="80" operator="containsText" text="ROW">
      <formula>NOT(ISERROR(SEARCH("ROW",K12)))</formula>
    </cfRule>
    <cfRule type="containsText" dxfId="96" priority="79" operator="containsText" text="Complete">
      <formula>NOT(ISERROR(SEARCH("Complete",K12)))</formula>
    </cfRule>
  </conditionalFormatting>
  <conditionalFormatting sqref="K13:N14">
    <cfRule type="containsText" dxfId="95" priority="219" operator="containsText" text="ROW">
      <formula>NOT(ISERROR(SEARCH("ROW",K13)))</formula>
    </cfRule>
    <cfRule type="containsText" dxfId="94" priority="218" operator="containsText" text="Complete">
      <formula>NOT(ISERROR(SEARCH("Complete",K13)))</formula>
    </cfRule>
    <cfRule type="containsText" dxfId="93" priority="217" operator="containsText" text="WIP">
      <formula>NOT(ISERROR(SEARCH("WIP",K13)))</formula>
    </cfRule>
  </conditionalFormatting>
  <conditionalFormatting sqref="K17:N18 M19:N20">
    <cfRule type="containsText" dxfId="92" priority="173" operator="containsText" text="ROW">
      <formula>NOT(ISERROR(SEARCH("ROW",K17)))</formula>
    </cfRule>
  </conditionalFormatting>
  <conditionalFormatting sqref="K17:N18">
    <cfRule type="containsText" dxfId="91" priority="183" operator="containsText" text="WIP">
      <formula>NOT(ISERROR(SEARCH("WIP",K17)))</formula>
    </cfRule>
  </conditionalFormatting>
  <conditionalFormatting sqref="K23:N23 M22:N22">
    <cfRule type="containsText" dxfId="90" priority="151" operator="containsText" text="WIP">
      <formula>NOT(ISERROR(SEARCH("WIP",K22)))</formula>
    </cfRule>
  </conditionalFormatting>
  <conditionalFormatting sqref="K23:N25 K25:L27">
    <cfRule type="containsText" dxfId="89" priority="136" operator="containsText" text="Complete">
      <formula>NOT(ISERROR(SEARCH("Complete",K23)))</formula>
    </cfRule>
    <cfRule type="containsText" dxfId="88" priority="137" operator="containsText" text="ROW">
      <formula>NOT(ISERROR(SEARCH("ROW",K23)))</formula>
    </cfRule>
    <cfRule type="containsText" dxfId="87" priority="135" operator="containsText" text="WIP">
      <formula>NOT(ISERROR(SEARCH("WIP",K23)))</formula>
    </cfRule>
  </conditionalFormatting>
  <conditionalFormatting sqref="K26:N27">
    <cfRule type="containsText" dxfId="86" priority="128" operator="containsText" text="ROW">
      <formula>NOT(ISERROR(SEARCH("ROW",K26)))</formula>
    </cfRule>
    <cfRule type="containsText" dxfId="85" priority="127" operator="containsText" text="Complete">
      <formula>NOT(ISERROR(SEARCH("Complete",K26)))</formula>
    </cfRule>
    <cfRule type="containsText" dxfId="84" priority="126" operator="containsText" text="WIP">
      <formula>NOT(ISERROR(SEARCH("WIP",K26)))</formula>
    </cfRule>
  </conditionalFormatting>
  <conditionalFormatting sqref="K30:N62">
    <cfRule type="containsText" dxfId="83" priority="110" operator="containsText" text="ROW">
      <formula>NOT(ISERROR(SEARCH("ROW",K30)))</formula>
    </cfRule>
    <cfRule type="containsText" dxfId="82" priority="109" operator="containsText" text="Complete">
      <formula>NOT(ISERROR(SEARCH("Complete",K30)))</formula>
    </cfRule>
    <cfRule type="containsText" dxfId="81" priority="108" operator="containsText" text="WIP">
      <formula>NOT(ISERROR(SEARCH("WIP",K30)))</formula>
    </cfRule>
  </conditionalFormatting>
  <conditionalFormatting sqref="L11">
    <cfRule type="containsText" dxfId="80" priority="19" operator="containsText" text="Complete">
      <formula>NOT(ISERROR(SEARCH("Complete",L11)))</formula>
    </cfRule>
    <cfRule type="containsText" dxfId="79" priority="18" operator="containsText" text="WIP">
      <formula>NOT(ISERROR(SEARCH("WIP",L11)))</formula>
    </cfRule>
    <cfRule type="containsText" dxfId="78" priority="20" operator="containsText" text="ROW">
      <formula>NOT(ISERROR(SEARCH("ROW",L11)))</formula>
    </cfRule>
  </conditionalFormatting>
  <conditionalFormatting sqref="L22">
    <cfRule type="containsText" dxfId="77" priority="2" operator="containsText" text="WIP">
      <formula>NOT(ISERROR(SEARCH("WIP",L22)))</formula>
    </cfRule>
    <cfRule type="containsText" dxfId="76" priority="4" operator="containsText" text="ROW">
      <formula>NOT(ISERROR(SEARCH("ROW",L22)))</formula>
    </cfRule>
    <cfRule type="containsText" dxfId="75" priority="3" operator="containsText" text="Complete">
      <formula>NOT(ISERROR(SEARCH("Complete",L22)))</formula>
    </cfRule>
  </conditionalFormatting>
  <conditionalFormatting sqref="L25:L27 L25:N25">
    <cfRule type="containsText" dxfId="74" priority="132" operator="containsText" text="WIP">
      <formula>NOT(ISERROR(SEARCH("WIP",L25)))</formula>
    </cfRule>
  </conditionalFormatting>
  <conditionalFormatting sqref="L28:L29">
    <cfRule type="containsText" dxfId="73" priority="32" operator="containsText" text="ROW">
      <formula>NOT(ISERROR(SEARCH("ROW",L28)))</formula>
    </cfRule>
    <cfRule type="containsText" dxfId="72" priority="31" operator="containsText" text="Complete">
      <formula>NOT(ISERROR(SEARCH("Complete",L28)))</formula>
    </cfRule>
    <cfRule type="containsText" dxfId="71" priority="30" operator="containsText" text="WIP">
      <formula>NOT(ISERROR(SEARCH("WIP",L28)))</formula>
    </cfRule>
  </conditionalFormatting>
  <conditionalFormatting sqref="L2:N2 M2:N62">
    <cfRule type="containsText" dxfId="70" priority="89" operator="containsText" text="ROW">
      <formula>NOT(ISERROR(SEARCH("ROW",L2)))</formula>
    </cfRule>
  </conditionalFormatting>
  <conditionalFormatting sqref="L3:N6">
    <cfRule type="containsText" dxfId="69" priority="249" operator="containsText" text="ROW">
      <formula>NOT(ISERROR(SEARCH("ROW",L3)))</formula>
    </cfRule>
    <cfRule type="containsText" dxfId="68" priority="248" operator="containsText" text="Complete">
      <formula>NOT(ISERROR(SEARCH("Complete",L3)))</formula>
    </cfRule>
  </conditionalFormatting>
  <conditionalFormatting sqref="L6:N6">
    <cfRule type="containsText" dxfId="67" priority="232" operator="containsText" text="ROW">
      <formula>NOT(ISERROR(SEARCH("ROW",L6)))</formula>
    </cfRule>
    <cfRule type="containsText" dxfId="66" priority="230" operator="containsText" text="WIP">
      <formula>NOT(ISERROR(SEARCH("WIP",L6)))</formula>
    </cfRule>
    <cfRule type="containsText" dxfId="65" priority="231" operator="containsText" text="Complete">
      <formula>NOT(ISERROR(SEARCH("Complete",L6)))</formula>
    </cfRule>
  </conditionalFormatting>
  <conditionalFormatting sqref="L12:N12">
    <cfRule type="containsText" dxfId="64" priority="76" operator="containsText" text="WIP">
      <formula>NOT(ISERROR(SEARCH("WIP",L12)))</formula>
    </cfRule>
    <cfRule type="containsText" dxfId="63" priority="84" operator="containsText" text="Complete">
      <formula>NOT(ISERROR(SEARCH("Complete",L12)))</formula>
    </cfRule>
    <cfRule type="containsText" dxfId="62" priority="85" operator="containsText" text="ROW">
      <formula>NOT(ISERROR(SEARCH("ROW",L12)))</formula>
    </cfRule>
    <cfRule type="containsText" dxfId="61" priority="77" operator="containsText" text="Complete">
      <formula>NOT(ISERROR(SEARCH("Complete",L12)))</formula>
    </cfRule>
    <cfRule type="containsText" dxfId="60" priority="78" operator="containsText" text="ROW">
      <formula>NOT(ISERROR(SEARCH("ROW",L12)))</formula>
    </cfRule>
    <cfRule type="containsText" dxfId="59" priority="83" operator="containsText" text="WIP">
      <formula>NOT(ISERROR(SEARCH("WIP",L12)))</formula>
    </cfRule>
  </conditionalFormatting>
  <conditionalFormatting sqref="L14:N14 J23:N23">
    <cfRule type="containsText" dxfId="58" priority="257" operator="containsText" text="ROW">
      <formula>NOT(ISERROR(SEARCH("ROW",J14)))</formula>
    </cfRule>
    <cfRule type="containsText" dxfId="57" priority="255" operator="containsText" text="Complete">
      <formula>NOT(ISERROR(SEARCH("Complete",J14)))</formula>
    </cfRule>
  </conditionalFormatting>
  <conditionalFormatting sqref="L14:N14">
    <cfRule type="containsText" dxfId="56" priority="216" operator="containsText" text="ROW">
      <formula>NOT(ISERROR(SEARCH("ROW",L14)))</formula>
    </cfRule>
    <cfRule type="containsText" dxfId="55" priority="214" operator="containsText" text="WIP">
      <formula>NOT(ISERROR(SEARCH("WIP",L14)))</formula>
    </cfRule>
    <cfRule type="containsText" dxfId="54" priority="215" operator="containsText" text="Complete">
      <formula>NOT(ISERROR(SEARCH("Complete",L14)))</formula>
    </cfRule>
  </conditionalFormatting>
  <conditionalFormatting sqref="L14:N15 L15:L18">
    <cfRule type="containsText" dxfId="53" priority="221" operator="containsText" text="ROW">
      <formula>NOT(ISERROR(SEARCH("ROW",L14)))</formula>
    </cfRule>
    <cfRule type="containsText" dxfId="52" priority="220" operator="containsText" text="Complete">
      <formula>NOT(ISERROR(SEARCH("Complete",L14)))</formula>
    </cfRule>
  </conditionalFormatting>
  <conditionalFormatting sqref="L16:N16">
    <cfRule type="containsText" dxfId="51" priority="189" operator="containsText" text="ROW">
      <formula>NOT(ISERROR(SEARCH("ROW",L16)))</formula>
    </cfRule>
    <cfRule type="containsText" dxfId="50" priority="190" operator="containsText" text="WIP">
      <formula>NOT(ISERROR(SEARCH("WIP",L16)))</formula>
    </cfRule>
    <cfRule type="containsText" dxfId="49" priority="191" operator="containsText" text="Complete">
      <formula>NOT(ISERROR(SEARCH("Complete",L16)))</formula>
    </cfRule>
    <cfRule type="containsText" dxfId="48" priority="192" operator="containsText" text="ROW">
      <formula>NOT(ISERROR(SEARCH("ROW",L16)))</formula>
    </cfRule>
    <cfRule type="containsText" dxfId="47" priority="195" operator="containsText" text="WIP">
      <formula>NOT(ISERROR(SEARCH("WIP",L16)))</formula>
    </cfRule>
    <cfRule type="containsText" dxfId="46" priority="188" operator="containsText" text="Complete">
      <formula>NOT(ISERROR(SEARCH("Complete",L16)))</formula>
    </cfRule>
    <cfRule type="containsText" dxfId="45" priority="187" operator="containsText" text="WIP">
      <formula>NOT(ISERROR(SEARCH("WIP",L16)))</formula>
    </cfRule>
  </conditionalFormatting>
  <conditionalFormatting sqref="L16:N18">
    <cfRule type="containsText" dxfId="44" priority="193" operator="containsText" text="Complete">
      <formula>NOT(ISERROR(SEARCH("Complete",L16)))</formula>
    </cfRule>
    <cfRule type="containsText" dxfId="43" priority="194" operator="containsText" text="ROW">
      <formula>NOT(ISERROR(SEARCH("ROW",L16)))</formula>
    </cfRule>
  </conditionalFormatting>
  <conditionalFormatting sqref="L24:N27 M28:N29 L30:N62">
    <cfRule type="containsText" dxfId="42" priority="138" operator="containsText" text="Complete">
      <formula>NOT(ISERROR(SEARCH("Complete",L24)))</formula>
    </cfRule>
    <cfRule type="containsText" dxfId="41" priority="139" operator="containsText" text="ROW">
      <formula>NOT(ISERROR(SEARCH("ROW",L24)))</formula>
    </cfRule>
  </conditionalFormatting>
  <conditionalFormatting sqref="L25:N25 L25:L27">
    <cfRule type="containsText" dxfId="40" priority="134" operator="containsText" text="ROW">
      <formula>NOT(ISERROR(SEARCH("ROW",L25)))</formula>
    </cfRule>
    <cfRule type="containsText" dxfId="39" priority="142" operator="containsText" text="ROW">
      <formula>NOT(ISERROR(SEARCH("ROW",L25)))</formula>
    </cfRule>
    <cfRule type="containsText" dxfId="38" priority="140" operator="containsText" text="WIP">
      <formula>NOT(ISERROR(SEARCH("WIP",L25)))</formula>
    </cfRule>
    <cfRule type="containsText" dxfId="37" priority="141" operator="containsText" text="Complete">
      <formula>NOT(ISERROR(SEARCH("Complete",L25)))</formula>
    </cfRule>
    <cfRule type="containsText" dxfId="36" priority="133" operator="containsText" text="Complete">
      <formula>NOT(ISERROR(SEARCH("Complete",L25)))</formula>
    </cfRule>
  </conditionalFormatting>
  <conditionalFormatting sqref="L27:N27">
    <cfRule type="containsText" dxfId="35" priority="124" operator="containsText" text="Complete">
      <formula>NOT(ISERROR(SEARCH("Complete",L27)))</formula>
    </cfRule>
    <cfRule type="containsText" dxfId="34" priority="123" operator="containsText" text="WIP">
      <formula>NOT(ISERROR(SEARCH("WIP",L27)))</formula>
    </cfRule>
    <cfRule type="containsText" dxfId="33" priority="130" operator="containsText" text="Complete">
      <formula>NOT(ISERROR(SEARCH("Complete",L27)))</formula>
    </cfRule>
    <cfRule type="containsText" dxfId="32" priority="129" operator="containsText" text="WIP">
      <formula>NOT(ISERROR(SEARCH("WIP",L27)))</formula>
    </cfRule>
    <cfRule type="containsText" dxfId="31" priority="131" operator="containsText" text="ROW">
      <formula>NOT(ISERROR(SEARCH("ROW",L27)))</formula>
    </cfRule>
    <cfRule type="containsText" dxfId="30" priority="125" operator="containsText" text="ROW">
      <formula>NOT(ISERROR(SEARCH("ROW",L27)))</formula>
    </cfRule>
  </conditionalFormatting>
  <conditionalFormatting sqref="L2:N2 M2:N62">
    <cfRule type="containsText" dxfId="29" priority="88" operator="containsText" text="Complete">
      <formula>NOT(ISERROR(SEARCH("Complete",L2)))</formula>
    </cfRule>
  </conditionalFormatting>
  <conditionalFormatting sqref="M2:N62">
    <cfRule type="containsText" dxfId="28" priority="174" operator="containsText" text="WIP">
      <formula>NOT(ISERROR(SEARCH("WIP",M2)))</formula>
    </cfRule>
  </conditionalFormatting>
  <conditionalFormatting sqref="M9:N10">
    <cfRule type="containsText" dxfId="27" priority="207" operator="containsText" text="Complete">
      <formula>NOT(ISERROR(SEARCH("Complete",M9)))</formula>
    </cfRule>
    <cfRule type="containsText" dxfId="26" priority="208" operator="containsText" text="ROW">
      <formula>NOT(ISERROR(SEARCH("ROW",M9)))</formula>
    </cfRule>
    <cfRule type="containsText" dxfId="25" priority="209" operator="containsText" text="Complete">
      <formula>NOT(ISERROR(SEARCH("Complete",M9)))</formula>
    </cfRule>
    <cfRule type="containsText" dxfId="24" priority="210" operator="containsText" text="ROW">
      <formula>NOT(ISERROR(SEARCH("ROW",M9)))</formula>
    </cfRule>
    <cfRule type="containsText" dxfId="23" priority="213" operator="containsText" text="ROW">
      <formula>NOT(ISERROR(SEARCH("ROW",M9)))</formula>
    </cfRule>
    <cfRule type="containsText" dxfId="22" priority="212" operator="containsText" text="Complete">
      <formula>NOT(ISERROR(SEARCH("Complete",M9)))</formula>
    </cfRule>
    <cfRule type="containsText" dxfId="21" priority="211" operator="containsText" text="WIP">
      <formula>NOT(ISERROR(SEARCH("WIP",M9)))</formula>
    </cfRule>
  </conditionalFormatting>
  <conditionalFormatting sqref="M19:N20 K17:N18">
    <cfRule type="containsText" dxfId="20" priority="172" operator="containsText" text="Complete">
      <formula>NOT(ISERROR(SEARCH("Complete",K17)))</formula>
    </cfRule>
  </conditionalFormatting>
  <conditionalFormatting sqref="M19:N21">
    <cfRule type="containsText" dxfId="19" priority="168" operator="containsText" text="ROW">
      <formula>NOT(ISERROR(SEARCH("ROW",M19)))</formula>
    </cfRule>
    <cfRule type="containsText" dxfId="18" priority="167" operator="containsText" text="Complete">
      <formula>NOT(ISERROR(SEARCH("Complete",M19)))</formula>
    </cfRule>
  </conditionalFormatting>
  <conditionalFormatting sqref="M21:N21 J21">
    <cfRule type="containsText" dxfId="17" priority="164" operator="containsText" text="Complete">
      <formula>NOT(ISERROR(SEARCH("Complete",J21)))</formula>
    </cfRule>
  </conditionalFormatting>
  <conditionalFormatting sqref="M21:N21">
    <cfRule type="containsText" dxfId="16" priority="162" operator="containsText" text="Complete">
      <formula>NOT(ISERROR(SEARCH("Complete",M21)))</formula>
    </cfRule>
    <cfRule type="containsText" dxfId="15" priority="161" operator="containsText" text="WIP">
      <formula>NOT(ISERROR(SEARCH("WIP",M21)))</formula>
    </cfRule>
    <cfRule type="containsText" dxfId="14" priority="166" operator="containsText" text="WIP">
      <formula>NOT(ISERROR(SEARCH("WIP",M21)))</formula>
    </cfRule>
    <cfRule type="containsText" dxfId="13" priority="163" operator="containsText" text="ROW">
      <formula>NOT(ISERROR(SEARCH("ROW",M21)))</formula>
    </cfRule>
  </conditionalFormatting>
  <conditionalFormatting sqref="M21:N22 K23:N23">
    <cfRule type="containsText" dxfId="12" priority="156" operator="containsText" text="ROW">
      <formula>NOT(ISERROR(SEARCH("ROW",K21)))</formula>
    </cfRule>
    <cfRule type="containsText" dxfId="11" priority="154" operator="containsText" text="WIP">
      <formula>NOT(ISERROR(SEARCH("WIP",K21)))</formula>
    </cfRule>
    <cfRule type="containsText" dxfId="10" priority="155" operator="containsText" text="Complete">
      <formula>NOT(ISERROR(SEARCH("Complete",K21)))</formula>
    </cfRule>
  </conditionalFormatting>
  <conditionalFormatting sqref="M22:N22 K23:N23">
    <cfRule type="containsText" dxfId="9" priority="152" operator="containsText" text="Complete">
      <formula>NOT(ISERROR(SEARCH("Complete",K22)))</formula>
    </cfRule>
    <cfRule type="containsText" dxfId="8" priority="153" operator="containsText" text="ROW">
      <formula>NOT(ISERROR(SEARCH("ROW",K22)))</formula>
    </cfRule>
  </conditionalFormatting>
  <conditionalFormatting sqref="M28:N29 K28:K29">
    <cfRule type="containsText" dxfId="7" priority="117" operator="containsText" text="WIP">
      <formula>NOT(ISERROR(SEARCH("WIP",K28)))</formula>
    </cfRule>
  </conditionalFormatting>
  <conditionalFormatting sqref="M29:N29">
    <cfRule type="containsText" dxfId="6" priority="122" operator="containsText" text="ROW">
      <formula>NOT(ISERROR(SEARCH("ROW",M29)))</formula>
    </cfRule>
    <cfRule type="containsText" dxfId="5" priority="121" operator="containsText" text="Complete">
      <formula>NOT(ISERROR(SEARCH("Complete",M29)))</formula>
    </cfRule>
    <cfRule type="containsText" dxfId="4" priority="120" operator="containsText" text="WIP">
      <formula>NOT(ISERROR(SEARCH("WIP",M29)))</formula>
    </cfRule>
    <cfRule type="containsText" dxfId="3" priority="116" operator="containsText" text="ROW">
      <formula>NOT(ISERROR(SEARCH("ROW",M29)))</formula>
    </cfRule>
    <cfRule type="containsText" dxfId="2" priority="115" operator="containsText" text="Complete">
      <formula>NOT(ISERROR(SEARCH("Complete",M29)))</formula>
    </cfRule>
    <cfRule type="containsText" dxfId="1" priority="114" operator="containsText" text="WIP">
      <formula>NOT(ISERROR(SEARCH("WIP",M29)))</formula>
    </cfRule>
  </conditionalFormatting>
  <printOptions horizontalCentered="1"/>
  <pageMargins left="0.25" right="0.25" top="0.75" bottom="0.75" header="0.3" footer="0.3"/>
  <pageSetup paperSize="9" scale="4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FFE16C-ABF1-415F-B420-44157A9535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84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21"/>
    </row>
    <row r="6" spans="1:15" ht="16" x14ac:dyDescent="0.35">
      <c r="A6" s="6"/>
      <c r="D6" s="2" t="s">
        <v>92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8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8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8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8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9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57" t="s">
        <v>4</v>
      </c>
      <c r="B18" s="157" t="s">
        <v>42</v>
      </c>
      <c r="C18" s="154" t="s">
        <v>47</v>
      </c>
      <c r="D18" s="154" t="s">
        <v>43</v>
      </c>
      <c r="E18" s="157" t="s">
        <v>8</v>
      </c>
      <c r="F18" s="169" t="s">
        <v>18</v>
      </c>
      <c r="G18" s="169"/>
      <c r="H18" s="169"/>
      <c r="I18" s="169"/>
      <c r="J18" s="169"/>
      <c r="K18" s="162" t="s">
        <v>19</v>
      </c>
      <c r="M18" s="154" t="s">
        <v>36</v>
      </c>
      <c r="O18" s="163" t="s">
        <v>31</v>
      </c>
      <c r="P18" s="164"/>
      <c r="Q18" s="164"/>
      <c r="R18" s="164"/>
      <c r="S18" s="164"/>
      <c r="T18" s="165"/>
      <c r="V18" s="163" t="s">
        <v>30</v>
      </c>
      <c r="W18" s="164"/>
      <c r="X18" s="164"/>
      <c r="Y18" s="164"/>
      <c r="Z18" s="164"/>
      <c r="AA18" s="165"/>
      <c r="AB18" s="166" t="s">
        <v>34</v>
      </c>
    </row>
    <row r="19" spans="1:28" ht="21" customHeight="1" x14ac:dyDescent="0.35">
      <c r="A19" s="158"/>
      <c r="B19" s="158"/>
      <c r="C19" s="155"/>
      <c r="D19" s="158"/>
      <c r="E19" s="158"/>
      <c r="F19" s="181" t="s">
        <v>40</v>
      </c>
      <c r="G19" s="182" t="s">
        <v>44</v>
      </c>
      <c r="H19" s="183"/>
      <c r="I19" s="182" t="s">
        <v>45</v>
      </c>
      <c r="J19" s="183"/>
      <c r="K19" s="162"/>
      <c r="M19" s="168"/>
      <c r="O19" s="160" t="s">
        <v>24</v>
      </c>
      <c r="P19" s="160" t="s">
        <v>25</v>
      </c>
      <c r="Q19" s="160" t="s">
        <v>26</v>
      </c>
      <c r="R19" s="160" t="s">
        <v>27</v>
      </c>
      <c r="S19" s="160" t="s">
        <v>28</v>
      </c>
      <c r="T19" s="43" t="s">
        <v>29</v>
      </c>
      <c r="V19" s="160" t="s">
        <v>24</v>
      </c>
      <c r="W19" s="160" t="s">
        <v>25</v>
      </c>
      <c r="X19" s="160" t="s">
        <v>26</v>
      </c>
      <c r="Y19" s="160" t="s">
        <v>27</v>
      </c>
      <c r="Z19" s="160" t="s">
        <v>28</v>
      </c>
      <c r="AA19" s="43" t="s">
        <v>29</v>
      </c>
      <c r="AB19" s="167"/>
    </row>
    <row r="20" spans="1:28" ht="36.75" customHeight="1" thickBot="1" x14ac:dyDescent="0.4">
      <c r="A20" s="158"/>
      <c r="B20" s="158"/>
      <c r="C20" s="155"/>
      <c r="D20" s="158"/>
      <c r="E20" s="158"/>
      <c r="F20" s="181"/>
      <c r="G20" s="94" t="s">
        <v>10</v>
      </c>
      <c r="H20" s="94" t="s">
        <v>11</v>
      </c>
      <c r="I20" s="94" t="s">
        <v>10</v>
      </c>
      <c r="J20" s="94" t="s">
        <v>11</v>
      </c>
      <c r="K20" s="44" t="s">
        <v>20</v>
      </c>
      <c r="M20" s="18" t="s">
        <v>37</v>
      </c>
      <c r="O20" s="161"/>
      <c r="P20" s="161"/>
      <c r="Q20" s="161"/>
      <c r="R20" s="161"/>
      <c r="S20" s="161"/>
      <c r="T20" s="19"/>
      <c r="V20" s="161"/>
      <c r="W20" s="161"/>
      <c r="X20" s="161"/>
      <c r="Y20" s="161"/>
      <c r="Z20" s="161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6" t="s">
        <v>93</v>
      </c>
      <c r="C21" s="124">
        <v>3.6110000000000002</v>
      </c>
      <c r="D21" s="8" t="s">
        <v>81</v>
      </c>
      <c r="E21" s="180" t="s">
        <v>102</v>
      </c>
      <c r="F21" s="115">
        <v>45899</v>
      </c>
      <c r="G21" s="115">
        <v>45901</v>
      </c>
      <c r="H21" s="115">
        <v>45908</v>
      </c>
      <c r="I21" s="115">
        <v>45909</v>
      </c>
      <c r="J21" s="115">
        <v>45912</v>
      </c>
      <c r="K21" s="23">
        <f>K4*C21</f>
        <v>3270887.1320000002</v>
      </c>
      <c r="M21" s="87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22" t="s">
        <v>94</v>
      </c>
      <c r="C22" s="124">
        <v>3.92</v>
      </c>
      <c r="D22" s="8" t="s">
        <v>81</v>
      </c>
      <c r="E22" s="180"/>
      <c r="F22" s="115">
        <v>45913</v>
      </c>
      <c r="G22" s="115">
        <v>45914</v>
      </c>
      <c r="H22" s="115">
        <v>45919</v>
      </c>
      <c r="I22" s="115">
        <v>45920</v>
      </c>
      <c r="J22" s="115">
        <v>45922</v>
      </c>
      <c r="K22" s="23">
        <f>K4*C22</f>
        <v>3550783.04</v>
      </c>
      <c r="M22" s="87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22" t="s">
        <v>95</v>
      </c>
      <c r="C23" s="124">
        <v>0.28000000000000003</v>
      </c>
      <c r="D23" s="8" t="s">
        <v>90</v>
      </c>
      <c r="E23" s="180"/>
      <c r="F23" s="115">
        <v>45910</v>
      </c>
      <c r="G23" s="115">
        <v>45911</v>
      </c>
      <c r="H23" s="115">
        <v>45912</v>
      </c>
      <c r="I23" s="115">
        <v>45912</v>
      </c>
      <c r="J23" s="115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22" t="s">
        <v>96</v>
      </c>
      <c r="C24" s="124">
        <v>0.313</v>
      </c>
      <c r="D24" s="8" t="s">
        <v>90</v>
      </c>
      <c r="E24" s="180"/>
      <c r="F24" s="115">
        <v>45927</v>
      </c>
      <c r="G24" s="115">
        <v>45928</v>
      </c>
      <c r="H24" s="115">
        <v>45928</v>
      </c>
      <c r="I24" s="115">
        <v>45928</v>
      </c>
      <c r="J24" s="115">
        <v>45928</v>
      </c>
      <c r="K24" s="23">
        <f>C24*K4</f>
        <v>283519.15600000002</v>
      </c>
      <c r="M24" s="87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22" t="s">
        <v>97</v>
      </c>
      <c r="C25" s="124">
        <v>0.31900000000000001</v>
      </c>
      <c r="D25" s="8" t="s">
        <v>90</v>
      </c>
      <c r="E25" s="180"/>
      <c r="F25" s="115">
        <v>45915</v>
      </c>
      <c r="G25" s="115">
        <v>45916</v>
      </c>
      <c r="H25" s="115">
        <v>45916</v>
      </c>
      <c r="I25" s="115">
        <v>45916</v>
      </c>
      <c r="J25" s="115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6" t="s">
        <v>98</v>
      </c>
      <c r="C26" s="124">
        <v>4.9580000000000002</v>
      </c>
      <c r="D26" s="8" t="s">
        <v>81</v>
      </c>
      <c r="E26" s="7" t="s">
        <v>103</v>
      </c>
      <c r="F26" s="115">
        <v>45903</v>
      </c>
      <c r="G26" s="115">
        <v>45904</v>
      </c>
      <c r="H26" s="115">
        <v>45909</v>
      </c>
      <c r="I26" s="115">
        <v>45910</v>
      </c>
      <c r="J26" s="115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22" t="s">
        <v>99</v>
      </c>
      <c r="C27" s="124">
        <v>1.6060000000000001</v>
      </c>
      <c r="D27" s="8" t="s">
        <v>81</v>
      </c>
      <c r="E27" s="7"/>
      <c r="F27" s="115">
        <v>45914</v>
      </c>
      <c r="G27" s="115">
        <v>45915</v>
      </c>
      <c r="H27" s="115">
        <v>45917</v>
      </c>
      <c r="I27" s="115">
        <v>45918</v>
      </c>
      <c r="J27" s="115">
        <v>45919</v>
      </c>
      <c r="K27" s="23">
        <f>C27*K4</f>
        <v>1454734.0720000002</v>
      </c>
      <c r="M27" s="87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22" t="s">
        <v>100</v>
      </c>
      <c r="C28" s="124">
        <v>0.32300000000000001</v>
      </c>
      <c r="D28" s="8" t="s">
        <v>90</v>
      </c>
      <c r="E28" s="7"/>
      <c r="F28" s="115">
        <v>45920</v>
      </c>
      <c r="G28" s="115">
        <v>45921</v>
      </c>
      <c r="H28" s="115">
        <v>45926</v>
      </c>
      <c r="I28" s="115">
        <v>45927</v>
      </c>
      <c r="J28" s="115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6" t="s">
        <v>101</v>
      </c>
      <c r="C29" s="123">
        <v>4.9470000000000001</v>
      </c>
      <c r="D29" s="8" t="s">
        <v>81</v>
      </c>
      <c r="E29" s="129"/>
      <c r="F29" s="115">
        <v>45899</v>
      </c>
      <c r="G29" s="115">
        <v>45900</v>
      </c>
      <c r="H29" s="115">
        <v>45906</v>
      </c>
      <c r="I29" s="115">
        <v>45907</v>
      </c>
      <c r="J29" s="115">
        <v>45910</v>
      </c>
      <c r="K29" s="23">
        <f>C29*K4</f>
        <v>4481051.9639999997</v>
      </c>
      <c r="M29" s="87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22" t="s">
        <v>104</v>
      </c>
      <c r="C30" s="123">
        <v>2.75</v>
      </c>
      <c r="D30" s="8" t="s">
        <v>81</v>
      </c>
      <c r="E30" s="129"/>
      <c r="F30" s="115">
        <v>45911</v>
      </c>
      <c r="G30" s="115">
        <v>45912</v>
      </c>
      <c r="H30" s="115">
        <v>45917</v>
      </c>
      <c r="I30" s="115">
        <v>45918</v>
      </c>
      <c r="J30" s="115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22" t="s">
        <v>105</v>
      </c>
      <c r="C31" s="127">
        <v>0.27</v>
      </c>
      <c r="D31" s="8" t="s">
        <v>81</v>
      </c>
      <c r="E31" s="129"/>
      <c r="F31" s="115">
        <v>45920</v>
      </c>
      <c r="G31" s="115">
        <v>45920</v>
      </c>
      <c r="H31" s="115">
        <v>45920</v>
      </c>
      <c r="I31" s="115">
        <v>45922</v>
      </c>
      <c r="J31" s="115">
        <v>45922</v>
      </c>
      <c r="K31" s="23">
        <f>C31*K4</f>
        <v>244569.24000000002</v>
      </c>
      <c r="M31" s="87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22" t="s">
        <v>106</v>
      </c>
      <c r="C32" s="123">
        <v>0.68799999999999994</v>
      </c>
      <c r="D32" s="8" t="s">
        <v>91</v>
      </c>
      <c r="E32" s="10"/>
      <c r="F32" s="115">
        <v>45927</v>
      </c>
      <c r="G32" s="115">
        <v>45928</v>
      </c>
      <c r="H32" s="115">
        <v>45928</v>
      </c>
      <c r="I32" s="115">
        <v>45928</v>
      </c>
      <c r="J32" s="115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22"/>
      <c r="C33" s="123"/>
      <c r="D33" s="8"/>
      <c r="E33" s="10"/>
      <c r="F33" s="115"/>
      <c r="G33" s="115"/>
      <c r="H33" s="115"/>
      <c r="I33" s="115"/>
      <c r="J33" s="115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8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  <mergeCell ref="A18:A20"/>
    <mergeCell ref="B18:B20"/>
    <mergeCell ref="C18:C20"/>
    <mergeCell ref="D18:D20"/>
    <mergeCell ref="E18:E20"/>
    <mergeCell ref="E21:E25"/>
    <mergeCell ref="W19:W20"/>
    <mergeCell ref="K18:K19"/>
    <mergeCell ref="M18:M19"/>
    <mergeCell ref="O18:T18"/>
    <mergeCell ref="V18:AA18"/>
    <mergeCell ref="V19:V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FDN-June25</vt:lpstr>
      <vt:lpstr>Stub dispatch</vt:lpstr>
      <vt:lpstr>Erection-Oct25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Janvendra Kumar</cp:lastModifiedBy>
  <cp:lastPrinted>2024-05-23T07:04:00Z</cp:lastPrinted>
  <dcterms:created xsi:type="dcterms:W3CDTF">2015-06-05T18:17:20Z</dcterms:created>
  <dcterms:modified xsi:type="dcterms:W3CDTF">2025-11-04T07:58:03Z</dcterms:modified>
</cp:coreProperties>
</file>