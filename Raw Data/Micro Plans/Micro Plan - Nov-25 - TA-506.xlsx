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Projects\DPR\TA-506\"/>
    </mc:Choice>
  </mc:AlternateContent>
  <xr:revisionPtr revIDLastSave="0" documentId="13_ncr:1_{1D7AF209-B168-46E7-8996-D9B3D4396D8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FDN" sheetId="1" r:id="rId1"/>
    <sheet name="Stub dispatch" sheetId="4" state="hidden" r:id="rId2"/>
    <sheet name="ERN" sheetId="2" r:id="rId3"/>
    <sheet name="STG" sheetId="3" r:id="rId4"/>
  </sheets>
  <definedNames>
    <definedName name="_xlnm._FilterDatabase" localSheetId="2" hidden="1">ERN!$A$3:$D$75</definedName>
    <definedName name="_xlnm._FilterDatabase" localSheetId="0" hidden="1">FDN!$A$3:$D$56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75" i="2" l="1"/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l="1"/>
  <c r="A39" i="1" s="1"/>
  <c r="A40" i="1" s="1"/>
  <c r="A41" i="1" s="1"/>
  <c r="A42" i="1" l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P6" i="4" l="1"/>
  <c r="C11" i="3" l="1"/>
</calcChain>
</file>

<file path=xl/sharedStrings.xml><?xml version="1.0" encoding="utf-8"?>
<sst xmlns="http://schemas.openxmlformats.org/spreadsheetml/2006/main" count="342" uniqueCount="196">
  <si>
    <t>Project Code</t>
  </si>
  <si>
    <t>Sl</t>
  </si>
  <si>
    <t>Tower type</t>
  </si>
  <si>
    <t>Classification</t>
  </si>
  <si>
    <t>Total</t>
  </si>
  <si>
    <t>Tonnage
(MT)</t>
  </si>
  <si>
    <t>Section</t>
  </si>
  <si>
    <t>Manual/TSE</t>
  </si>
  <si>
    <t>Section Length 
(km)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</si>
  <si>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</si>
  <si>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</si>
  <si>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</si>
  <si>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</si>
  <si>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</si>
  <si>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</si>
  <si>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</si>
  <si>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</si>
  <si>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</si>
  <si>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</si>
  <si>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</si>
  <si>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</si>
  <si>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</si>
  <si>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</si>
  <si>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</si>
  <si>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</si>
  <si>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</si>
  <si>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</si>
  <si>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</si>
  <si>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</si>
  <si>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</si>
  <si>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</si>
  <si>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</si>
  <si>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</si>
  <si>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TA-506</t>
  </si>
  <si>
    <t>DA+0</t>
  </si>
  <si>
    <t>DFR</t>
  </si>
  <si>
    <t>DA+6</t>
  </si>
  <si>
    <t>DA+3</t>
  </si>
  <si>
    <t>DA+9</t>
  </si>
  <si>
    <t>DB1+0</t>
  </si>
  <si>
    <t>DB1+9</t>
  </si>
  <si>
    <t>DB2+0</t>
  </si>
  <si>
    <t>13/4</t>
  </si>
  <si>
    <t>13/5</t>
  </si>
  <si>
    <t>17/1</t>
  </si>
  <si>
    <t>DA-3</t>
  </si>
  <si>
    <t>DB2+6</t>
  </si>
  <si>
    <t>DC1+0</t>
  </si>
  <si>
    <t>DC2+6</t>
  </si>
  <si>
    <t>DB1+6</t>
  </si>
  <si>
    <t>DD45+0</t>
  </si>
  <si>
    <t>94/1</t>
  </si>
  <si>
    <t>94/2</t>
  </si>
  <si>
    <t>167A/0</t>
  </si>
  <si>
    <t>DD45+3</t>
  </si>
  <si>
    <t>DD60+0</t>
  </si>
  <si>
    <t>220/8</t>
  </si>
  <si>
    <t>221/0</t>
  </si>
  <si>
    <t>DB2+9</t>
  </si>
  <si>
    <t>2A/1</t>
  </si>
  <si>
    <t>12/8</t>
  </si>
  <si>
    <t>15/0</t>
  </si>
  <si>
    <t>16/0</t>
  </si>
  <si>
    <t>44A/1</t>
  </si>
  <si>
    <t>DA-1.5</t>
  </si>
  <si>
    <t>44A/2</t>
  </si>
  <si>
    <t>52/1</t>
  </si>
  <si>
    <t>94/0</t>
  </si>
  <si>
    <t>DD45+6</t>
  </si>
  <si>
    <t>94/3</t>
  </si>
  <si>
    <t>95/0</t>
  </si>
  <si>
    <t>DC2+9</t>
  </si>
  <si>
    <t>95/1</t>
  </si>
  <si>
    <t>95A/0</t>
  </si>
  <si>
    <t>DD45+9</t>
  </si>
  <si>
    <t>107/1</t>
  </si>
  <si>
    <t>111/0</t>
  </si>
  <si>
    <t>193/0</t>
  </si>
  <si>
    <t>195/0</t>
  </si>
  <si>
    <t>197/2</t>
  </si>
  <si>
    <t>199/1</t>
  </si>
  <si>
    <t>199/3</t>
  </si>
  <si>
    <t>211/1</t>
  </si>
  <si>
    <t>211/4</t>
  </si>
  <si>
    <t>211/5</t>
  </si>
  <si>
    <t>211/6</t>
  </si>
  <si>
    <t>212/0</t>
  </si>
  <si>
    <t>DB2+3</t>
  </si>
  <si>
    <t>212/1</t>
  </si>
  <si>
    <t>215/0</t>
  </si>
  <si>
    <t>TOTAL</t>
  </si>
  <si>
    <t>1/0</t>
  </si>
  <si>
    <t>1/4</t>
  </si>
  <si>
    <t>1/5</t>
  </si>
  <si>
    <t>1/9</t>
  </si>
  <si>
    <t>DA+1.5</t>
  </si>
  <si>
    <t>1/10</t>
  </si>
  <si>
    <t>2/0</t>
  </si>
  <si>
    <t>17/0</t>
  </si>
  <si>
    <t>DC1+18</t>
  </si>
  <si>
    <t>65A/1</t>
  </si>
  <si>
    <t>65A/2</t>
  </si>
  <si>
    <t>72/1</t>
  </si>
  <si>
    <t>74/0</t>
  </si>
  <si>
    <t>DD60+18</t>
  </si>
  <si>
    <t>148/0</t>
  </si>
  <si>
    <t>156/1</t>
  </si>
  <si>
    <t>DB1-3</t>
  </si>
  <si>
    <t>166/2</t>
  </si>
  <si>
    <t>167/2</t>
  </si>
  <si>
    <t>168/0</t>
  </si>
  <si>
    <t>227/2</t>
  </si>
  <si>
    <t>11/0</t>
  </si>
  <si>
    <t>17/4</t>
  </si>
  <si>
    <t>95A/1</t>
  </si>
  <si>
    <t>102/0</t>
  </si>
  <si>
    <t>DC1-1.5</t>
  </si>
  <si>
    <t>103/0</t>
  </si>
  <si>
    <t>113A/0</t>
  </si>
  <si>
    <t>DB1+3</t>
  </si>
  <si>
    <t>120/0</t>
  </si>
  <si>
    <t>125Q/0</t>
  </si>
  <si>
    <t>DC1-3</t>
  </si>
  <si>
    <t>192/0</t>
  </si>
  <si>
    <t>DB2+18</t>
  </si>
  <si>
    <t>216/0</t>
  </si>
  <si>
    <t>DB1+18</t>
  </si>
  <si>
    <t>217/0</t>
  </si>
  <si>
    <t>218/1</t>
  </si>
  <si>
    <t>23/0</t>
  </si>
  <si>
    <t>24/0</t>
  </si>
  <si>
    <t>47/0</t>
  </si>
  <si>
    <t>115A/0</t>
  </si>
  <si>
    <t>DB2-3</t>
  </si>
  <si>
    <t>116/0</t>
  </si>
  <si>
    <t>117/1</t>
  </si>
  <si>
    <t>2A/2</t>
  </si>
  <si>
    <t>3/0</t>
  </si>
  <si>
    <t>4/0</t>
  </si>
  <si>
    <t>DD60+6</t>
  </si>
  <si>
    <t>4/1</t>
  </si>
  <si>
    <t>4/3</t>
  </si>
  <si>
    <t>43/0</t>
  </si>
  <si>
    <t>54/1</t>
  </si>
  <si>
    <t>75/0</t>
  </si>
  <si>
    <t>DC2+3</t>
  </si>
  <si>
    <t>227/0</t>
  </si>
  <si>
    <t>227/1</t>
  </si>
  <si>
    <t>171/0</t>
  </si>
  <si>
    <t>171/1</t>
  </si>
  <si>
    <t>172/0</t>
  </si>
  <si>
    <t>DC2-1.5</t>
  </si>
  <si>
    <t>172/1</t>
  </si>
  <si>
    <t>172/2</t>
  </si>
  <si>
    <t>79/1</t>
  </si>
  <si>
    <t>81/0</t>
  </si>
  <si>
    <t>1/8</t>
  </si>
  <si>
    <t>12/2</t>
  </si>
  <si>
    <t>28/0</t>
  </si>
  <si>
    <t>37/0</t>
  </si>
  <si>
    <t>42/2</t>
  </si>
  <si>
    <t>62/0</t>
  </si>
  <si>
    <t>DD60+9</t>
  </si>
  <si>
    <t>65A/3</t>
  </si>
  <si>
    <t>110/0</t>
  </si>
  <si>
    <t>220/5</t>
  </si>
  <si>
    <t>34/2</t>
  </si>
  <si>
    <t>35A/0</t>
  </si>
  <si>
    <t>36/0</t>
  </si>
  <si>
    <t>36/1</t>
  </si>
  <si>
    <t>36/2</t>
  </si>
  <si>
    <t>40/0</t>
  </si>
  <si>
    <t>42/1</t>
  </si>
  <si>
    <t>44/0</t>
  </si>
  <si>
    <t>44/1</t>
  </si>
  <si>
    <t>44A/0</t>
  </si>
  <si>
    <t>45/0</t>
  </si>
  <si>
    <t>46/0</t>
  </si>
  <si>
    <t>97/0</t>
  </si>
  <si>
    <t>DB2+1.5</t>
  </si>
  <si>
    <t>114/1</t>
  </si>
  <si>
    <t>166/1</t>
  </si>
  <si>
    <t>167A/1</t>
  </si>
  <si>
    <t>181/3</t>
  </si>
  <si>
    <t>182/0</t>
  </si>
  <si>
    <t>182/6</t>
  </si>
  <si>
    <t>184/1</t>
  </si>
  <si>
    <t>18/0</t>
  </si>
  <si>
    <t>25/2</t>
  </si>
  <si>
    <t>26/0</t>
  </si>
  <si>
    <t>30/0</t>
  </si>
  <si>
    <t>DD60+3</t>
  </si>
  <si>
    <t>31/0</t>
  </si>
  <si>
    <t>AP5-AP6</t>
  </si>
  <si>
    <t>TSE</t>
  </si>
  <si>
    <t>Location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</si>
</sst>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* #,##0_ ;_ * \-#,##0_ ;_ * &quot;-&quot;??_ ;_ @_ "/>
    <numFmt numFmtId="165" formatCode="[$-409]d\-mmm\-yy;@"/>
    <numFmt numFmtId="166" formatCode="[$-F400]h:mm:ss\ AM/PM"/>
    <numFmt numFmtId="167" formatCode="[$-409]d/mmm/yy;@"/>
    <numFmt numFmtId="168" formatCode="0.0"/>
    <numFmt numFmtId="169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2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167" fontId="1" fillId="0" borderId="0"/>
    <xf numFmtId="167" fontId="5" fillId="0" borderId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166" fontId="8" fillId="5" borderId="11" xfId="2" applyNumberFormat="1" applyFont="1" applyFill="1" applyBorder="1" applyAlignment="1">
      <alignment horizontal="center" vertical="center" wrapText="1"/>
    </xf>
    <xf numFmtId="165" fontId="8" fillId="5" borderId="11" xfId="2" applyNumberFormat="1" applyFont="1" applyFill="1" applyBorder="1" applyAlignment="1" applyProtection="1">
      <alignment horizontal="center" vertical="center" wrapText="1"/>
      <protection locked="0"/>
    </xf>
    <xf numFmtId="1" fontId="8" fillId="5" borderId="11" xfId="2" applyNumberFormat="1" applyFont="1" applyFill="1" applyBorder="1" applyAlignment="1">
      <alignment horizontal="center" vertical="center" wrapText="1"/>
    </xf>
    <xf numFmtId="166" fontId="8" fillId="5" borderId="11" xfId="3" applyNumberFormat="1" applyFont="1" applyFill="1" applyBorder="1" applyAlignment="1">
      <alignment horizontal="center" vertical="center" wrapText="1"/>
    </xf>
    <xf numFmtId="167" fontId="9" fillId="0" borderId="1" xfId="4" applyFont="1" applyBorder="1" applyAlignment="1">
      <alignment horizontal="center" vertical="center" wrapText="1"/>
    </xf>
    <xf numFmtId="165" fontId="10" fillId="0" borderId="1" xfId="5" applyNumberFormat="1" applyFont="1" applyBorder="1" applyAlignment="1">
      <alignment horizontal="center" vertical="center" wrapText="1"/>
    </xf>
    <xf numFmtId="165" fontId="9" fillId="0" borderId="1" xfId="5" applyNumberFormat="1" applyFont="1" applyBorder="1" applyAlignment="1">
      <alignment horizontal="center" vertical="center" wrapText="1"/>
    </xf>
    <xf numFmtId="165" fontId="9" fillId="0" borderId="1" xfId="5" quotePrefix="1" applyNumberFormat="1" applyFont="1" applyBorder="1" applyAlignment="1">
      <alignment vertical="center" wrapText="1"/>
    </xf>
    <xf numFmtId="0" fontId="9" fillId="0" borderId="1" xfId="5" applyNumberFormat="1" applyFont="1" applyBorder="1" applyAlignment="1">
      <alignment horizontal="center" vertical="center" wrapText="1"/>
    </xf>
    <xf numFmtId="1" fontId="11" fillId="0" borderId="4" xfId="6" applyNumberFormat="1" applyFont="1" applyBorder="1" applyAlignment="1">
      <alignment horizontal="center" vertical="center" wrapText="1"/>
    </xf>
    <xf numFmtId="1" fontId="11" fillId="0" borderId="3" xfId="6" applyNumberFormat="1" applyFont="1" applyBorder="1" applyAlignment="1">
      <alignment horizontal="center" vertical="center" wrapText="1"/>
    </xf>
    <xf numFmtId="1" fontId="9" fillId="6" borderId="3" xfId="6" applyNumberFormat="1" applyFont="1" applyFill="1" applyBorder="1" applyAlignment="1">
      <alignment horizontal="center" vertical="center" wrapText="1"/>
    </xf>
    <xf numFmtId="1" fontId="9" fillId="2" borderId="3" xfId="6" applyNumberFormat="1" applyFont="1" applyFill="1" applyBorder="1" applyAlignment="1">
      <alignment horizontal="center" vertical="center" wrapText="1"/>
    </xf>
    <xf numFmtId="1" fontId="9" fillId="0" borderId="1" xfId="6" applyNumberFormat="1" applyFont="1" applyBorder="1" applyAlignment="1">
      <alignment horizontal="center" vertical="center" wrapText="1"/>
    </xf>
    <xf numFmtId="1" fontId="6" fillId="2" borderId="3" xfId="5" applyNumberFormat="1" applyFont="1" applyFill="1" applyBorder="1" applyAlignment="1" applyProtection="1">
      <alignment horizontal="center" vertical="center"/>
      <protection locked="0"/>
    </xf>
    <xf numFmtId="1" fontId="11" fillId="0" borderId="1" xfId="6" applyNumberFormat="1" applyFont="1" applyBorder="1" applyAlignment="1">
      <alignment horizontal="center" vertical="center" wrapText="1"/>
    </xf>
    <xf numFmtId="168" fontId="9" fillId="7" borderId="3" xfId="6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0" applyFont="1"/>
    <xf numFmtId="169" fontId="0" fillId="0" borderId="1" xfId="0" applyNumberForma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9" fillId="0" borderId="1" xfId="27" applyNumberFormat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3" fillId="8" borderId="1" xfId="27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164" fontId="3" fillId="9" borderId="1" xfId="1" applyNumberFormat="1" applyFont="1" applyFill="1" applyBorder="1" applyAlignment="1">
      <alignment horizontal="center" vertical="center"/>
    </xf>
    <xf numFmtId="0" fontId="1" fillId="0" borderId="1" xfId="28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</cellXfs>
  <cellStyles count="32">
    <cellStyle name="Comma" xfId="1" builtinId="3"/>
    <cellStyle name="Comma 2" xfId="7" xr:uid="{00000000-0005-0000-0000-000001000000}"/>
    <cellStyle name="Excel Built-in Normal" xfId="25" xr:uid="{00000000-0005-0000-0000-000002000000}"/>
    <cellStyle name="Normal" xfId="0" builtinId="0"/>
    <cellStyle name="Normal 103" xfId="23" xr:uid="{00000000-0005-0000-0000-000004000000}"/>
    <cellStyle name="Normal 11" xfId="4" xr:uid="{00000000-0005-0000-0000-000005000000}"/>
    <cellStyle name="Normal 120" xfId="20" xr:uid="{00000000-0005-0000-0000-000006000000}"/>
    <cellStyle name="Normal 17" xfId="9" xr:uid="{00000000-0005-0000-0000-000007000000}"/>
    <cellStyle name="Normal 188" xfId="11" xr:uid="{00000000-0005-0000-0000-000008000000}"/>
    <cellStyle name="Normal 191" xfId="21" xr:uid="{00000000-0005-0000-0000-000009000000}"/>
    <cellStyle name="Normal 192" xfId="10" xr:uid="{00000000-0005-0000-0000-00000A000000}"/>
    <cellStyle name="Normal 195" xfId="19" xr:uid="{00000000-0005-0000-0000-00000B000000}"/>
    <cellStyle name="Normal 196" xfId="14" xr:uid="{00000000-0005-0000-0000-00000C000000}"/>
    <cellStyle name="Normal 2" xfId="27" xr:uid="{00000000-0005-0000-0000-00000D000000}"/>
    <cellStyle name="Normal 2 10 2 5 2" xfId="5" xr:uid="{00000000-0005-0000-0000-00000E000000}"/>
    <cellStyle name="Normal 2 10 2 6" xfId="2" xr:uid="{00000000-0005-0000-0000-00000F000000}"/>
    <cellStyle name="Normal 2 2" xfId="8" xr:uid="{00000000-0005-0000-0000-000010000000}"/>
    <cellStyle name="Normal 2 3" xfId="31" xr:uid="{00000000-0005-0000-0000-000011000000}"/>
    <cellStyle name="Normal 201 2" xfId="18" xr:uid="{00000000-0005-0000-0000-000012000000}"/>
    <cellStyle name="Normal 207" xfId="13" xr:uid="{00000000-0005-0000-0000-000013000000}"/>
    <cellStyle name="Normal 211" xfId="12" xr:uid="{00000000-0005-0000-0000-000014000000}"/>
    <cellStyle name="Normal 218" xfId="16" xr:uid="{00000000-0005-0000-0000-000015000000}"/>
    <cellStyle name="Normal 219" xfId="17" xr:uid="{00000000-0005-0000-0000-000016000000}"/>
    <cellStyle name="Normal 222" xfId="15" xr:uid="{00000000-0005-0000-0000-000017000000}"/>
    <cellStyle name="Normal 3" xfId="24" xr:uid="{00000000-0005-0000-0000-000018000000}"/>
    <cellStyle name="Normal 3 2" xfId="28" xr:uid="{00000000-0005-0000-0000-000019000000}"/>
    <cellStyle name="Normal 3 3" xfId="26" xr:uid="{00000000-0005-0000-0000-00001A000000}"/>
    <cellStyle name="Normal 4" xfId="29" xr:uid="{00000000-0005-0000-0000-00001B000000}"/>
    <cellStyle name="Normal 5" xfId="22" xr:uid="{00000000-0005-0000-0000-00001C000000}"/>
    <cellStyle name="Normal 5 2" xfId="30" xr:uid="{00000000-0005-0000-0000-00001D000000}"/>
    <cellStyle name="Normal_Rev_IPP_ BUB_ 10.04.09 2" xfId="3" xr:uid="{00000000-0005-0000-0000-00001E000000}"/>
    <cellStyle name="Percent 2" xfId="6" xr:uid="{00000000-0005-0000-0000-000020000000}"/>
  </cellStyles>
  <dxfs count="6"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0"/>
  <sheetViews>
    <sheetView zoomScale="80" zoomScaleNormal="80" workbookViewId="0">
      <pane xSplit="4" ySplit="1" topLeftCell="E2" activePane="bottomRight" state="frozen"/>
      <selection activeCell="G16" sqref="G16"/>
      <selection pane="topRight" activeCell="G16" sqref="G16"/>
      <selection pane="bottomLeft" activeCell="G16" sqref="G16"/>
      <selection pane="bottomRight" activeCell="B6" sqref="B6"/>
    </sheetView>
  </sheetViews>
  <sheetFormatPr defaultColWidth="8.90625" defaultRowHeight="14.5" x14ac:dyDescent="0.35"/>
  <cols>
    <col min="1" max="1" width="6.453125" style="3" customWidth="1"/>
    <col min="2" max="3" width="10" style="1" customWidth="1"/>
    <col min="4" max="4" width="12.54296875" style="3" customWidth="1"/>
    <col min="5" max="16384" width="8.90625" style="1"/>
  </cols>
  <sheetData>
    <row r="1" spans="1:4" ht="15" thickBot="1" x14ac:dyDescent="0.4">
      <c r="A1" s="12" t="s">
        <v>0</v>
      </c>
      <c r="D1" s="14" t="s">
        <v>33</v>
      </c>
    </row>
    <row r="2" spans="1:4" x14ac:dyDescent="0.35">
      <c r="A2" s="4"/>
      <c r="D2" s="5"/>
    </row>
    <row r="3" spans="1:4" ht="22.5" customHeight="1" x14ac:dyDescent="0.35">
      <c r="A3" s="55" t="s">
        <v>1</v>
      </c>
      <c r="B3" s="55" t="s">
        <v>195</v>
      </c>
      <c r="C3" s="53" t="s">
        <v>2</v>
      </c>
      <c r="D3" s="55" t="s">
        <v>3</v>
      </c>
    </row>
    <row r="4" spans="1:4" ht="21" customHeight="1" x14ac:dyDescent="0.35">
      <c r="A4" s="56"/>
      <c r="B4" s="56"/>
      <c r="C4" s="54"/>
      <c r="D4" s="56"/>
    </row>
    <row r="5" spans="1:4" x14ac:dyDescent="0.35">
      <c r="A5" s="56"/>
      <c r="B5" s="56"/>
      <c r="C5" s="54"/>
      <c r="D5" s="56"/>
    </row>
    <row r="6" spans="1:4" x14ac:dyDescent="0.35">
      <c r="A6" s="40">
        <v>1</v>
      </c>
      <c r="B6" s="44" t="s">
        <v>91</v>
      </c>
      <c r="C6" s="44" t="s">
        <v>55</v>
      </c>
      <c r="D6" s="41" t="s">
        <v>35</v>
      </c>
    </row>
    <row r="7" spans="1:4" x14ac:dyDescent="0.35">
      <c r="A7" s="40">
        <f>1+A6</f>
        <v>2</v>
      </c>
      <c r="B7" s="42" t="s">
        <v>94</v>
      </c>
      <c r="C7" s="42" t="s">
        <v>95</v>
      </c>
      <c r="D7" s="41" t="s">
        <v>35</v>
      </c>
    </row>
    <row r="8" spans="1:4" x14ac:dyDescent="0.35">
      <c r="A8" s="40">
        <f t="shared" ref="A8:A55" si="0">1+A7</f>
        <v>3</v>
      </c>
      <c r="B8" s="42" t="s">
        <v>96</v>
      </c>
      <c r="C8" s="42" t="s">
        <v>34</v>
      </c>
      <c r="D8" s="41" t="s">
        <v>35</v>
      </c>
    </row>
    <row r="9" spans="1:4" x14ac:dyDescent="0.35">
      <c r="A9" s="40">
        <f t="shared" si="0"/>
        <v>4</v>
      </c>
      <c r="B9" s="42" t="s">
        <v>112</v>
      </c>
      <c r="C9" s="42" t="s">
        <v>50</v>
      </c>
      <c r="D9" s="41" t="s">
        <v>35</v>
      </c>
    </row>
    <row r="10" spans="1:4" x14ac:dyDescent="0.35">
      <c r="A10" s="40">
        <f t="shared" si="0"/>
        <v>5</v>
      </c>
      <c r="B10" s="42" t="s">
        <v>113</v>
      </c>
      <c r="C10" s="42" t="s">
        <v>36</v>
      </c>
      <c r="D10" s="41" t="s">
        <v>35</v>
      </c>
    </row>
    <row r="11" spans="1:4" x14ac:dyDescent="0.35">
      <c r="A11" s="40">
        <f t="shared" si="0"/>
        <v>6</v>
      </c>
      <c r="B11" s="42" t="s">
        <v>100</v>
      </c>
      <c r="C11" s="42" t="s">
        <v>64</v>
      </c>
      <c r="D11" s="41" t="s">
        <v>35</v>
      </c>
    </row>
    <row r="12" spans="1:4" x14ac:dyDescent="0.35">
      <c r="A12" s="40">
        <f t="shared" si="0"/>
        <v>7</v>
      </c>
      <c r="B12" s="42" t="s">
        <v>101</v>
      </c>
      <c r="C12" s="42" t="s">
        <v>34</v>
      </c>
      <c r="D12" s="41" t="s">
        <v>35</v>
      </c>
    </row>
    <row r="13" spans="1:4" x14ac:dyDescent="0.35">
      <c r="A13" s="40">
        <f t="shared" si="0"/>
        <v>8</v>
      </c>
      <c r="B13" s="42" t="s">
        <v>103</v>
      </c>
      <c r="C13" s="42" t="s">
        <v>87</v>
      </c>
      <c r="D13" s="41" t="s">
        <v>35</v>
      </c>
    </row>
    <row r="14" spans="1:4" x14ac:dyDescent="0.35">
      <c r="A14" s="40">
        <f t="shared" si="0"/>
        <v>9</v>
      </c>
      <c r="B14" s="42" t="s">
        <v>114</v>
      </c>
      <c r="C14" s="42" t="s">
        <v>40</v>
      </c>
      <c r="D14" s="41" t="s">
        <v>35</v>
      </c>
    </row>
    <row r="15" spans="1:4" x14ac:dyDescent="0.35">
      <c r="A15" s="40">
        <f t="shared" si="0"/>
        <v>10</v>
      </c>
      <c r="B15" s="42" t="s">
        <v>115</v>
      </c>
      <c r="C15" s="42" t="s">
        <v>116</v>
      </c>
      <c r="D15" s="41" t="s">
        <v>35</v>
      </c>
    </row>
    <row r="16" spans="1:4" x14ac:dyDescent="0.35">
      <c r="A16" s="40">
        <f t="shared" si="0"/>
        <v>11</v>
      </c>
      <c r="B16" s="42" t="s">
        <v>117</v>
      </c>
      <c r="C16" s="42" t="s">
        <v>99</v>
      </c>
      <c r="D16" s="41" t="s">
        <v>35</v>
      </c>
    </row>
    <row r="17" spans="1:4" x14ac:dyDescent="0.35">
      <c r="A17" s="40">
        <f t="shared" si="0"/>
        <v>12</v>
      </c>
      <c r="B17" s="42" t="s">
        <v>118</v>
      </c>
      <c r="C17" s="42" t="s">
        <v>119</v>
      </c>
      <c r="D17" s="41" t="s">
        <v>35</v>
      </c>
    </row>
    <row r="18" spans="1:4" x14ac:dyDescent="0.35">
      <c r="A18" s="40">
        <f t="shared" si="0"/>
        <v>13</v>
      </c>
      <c r="B18" s="42" t="s">
        <v>120</v>
      </c>
      <c r="C18" s="42" t="s">
        <v>107</v>
      </c>
      <c r="D18" s="41" t="s">
        <v>35</v>
      </c>
    </row>
    <row r="19" spans="1:4" x14ac:dyDescent="0.35">
      <c r="A19" s="40">
        <f t="shared" si="0"/>
        <v>14</v>
      </c>
      <c r="B19" s="42" t="s">
        <v>121</v>
      </c>
      <c r="C19" s="42" t="s">
        <v>122</v>
      </c>
      <c r="D19" s="41" t="s">
        <v>35</v>
      </c>
    </row>
    <row r="20" spans="1:4" x14ac:dyDescent="0.35">
      <c r="A20" s="40">
        <f t="shared" si="0"/>
        <v>15</v>
      </c>
      <c r="B20" s="42" t="s">
        <v>105</v>
      </c>
      <c r="C20" s="42" t="s">
        <v>48</v>
      </c>
      <c r="D20" s="41" t="s">
        <v>35</v>
      </c>
    </row>
    <row r="21" spans="1:4" x14ac:dyDescent="0.35">
      <c r="A21" s="40">
        <f t="shared" si="0"/>
        <v>16</v>
      </c>
      <c r="B21" s="42" t="s">
        <v>106</v>
      </c>
      <c r="C21" s="42" t="s">
        <v>49</v>
      </c>
      <c r="D21" s="41" t="s">
        <v>35</v>
      </c>
    </row>
    <row r="22" spans="1:4" x14ac:dyDescent="0.35">
      <c r="A22" s="40">
        <f t="shared" si="0"/>
        <v>17</v>
      </c>
      <c r="B22" s="42" t="s">
        <v>108</v>
      </c>
      <c r="C22" s="42" t="s">
        <v>36</v>
      </c>
      <c r="D22" s="41" t="s">
        <v>35</v>
      </c>
    </row>
    <row r="23" spans="1:4" x14ac:dyDescent="0.35">
      <c r="A23" s="40">
        <f t="shared" si="0"/>
        <v>18</v>
      </c>
      <c r="B23" s="42" t="s">
        <v>109</v>
      </c>
      <c r="C23" s="42" t="s">
        <v>38</v>
      </c>
      <c r="D23" s="41" t="s">
        <v>35</v>
      </c>
    </row>
    <row r="24" spans="1:4" x14ac:dyDescent="0.35">
      <c r="A24" s="40">
        <f t="shared" si="0"/>
        <v>19</v>
      </c>
      <c r="B24" s="42" t="s">
        <v>110</v>
      </c>
      <c r="C24" s="42" t="s">
        <v>58</v>
      </c>
      <c r="D24" s="41" t="s">
        <v>35</v>
      </c>
    </row>
    <row r="25" spans="1:4" x14ac:dyDescent="0.35">
      <c r="A25" s="40">
        <f t="shared" si="0"/>
        <v>20</v>
      </c>
      <c r="B25" s="42" t="s">
        <v>123</v>
      </c>
      <c r="C25" s="42" t="s">
        <v>124</v>
      </c>
      <c r="D25" s="41" t="s">
        <v>35</v>
      </c>
    </row>
    <row r="26" spans="1:4" x14ac:dyDescent="0.35">
      <c r="A26" s="40">
        <f t="shared" si="0"/>
        <v>21</v>
      </c>
      <c r="B26" s="43" t="s">
        <v>125</v>
      </c>
      <c r="C26" s="43" t="s">
        <v>126</v>
      </c>
      <c r="D26" s="41" t="s">
        <v>35</v>
      </c>
    </row>
    <row r="27" spans="1:4" x14ac:dyDescent="0.35">
      <c r="A27" s="40">
        <f t="shared" si="0"/>
        <v>22</v>
      </c>
      <c r="B27" s="42" t="s">
        <v>127</v>
      </c>
      <c r="C27" s="42" t="s">
        <v>40</v>
      </c>
      <c r="D27" s="41" t="s">
        <v>35</v>
      </c>
    </row>
    <row r="28" spans="1:4" x14ac:dyDescent="0.35">
      <c r="A28" s="40">
        <f t="shared" si="0"/>
        <v>23</v>
      </c>
      <c r="B28" s="42" t="s">
        <v>128</v>
      </c>
      <c r="C28" s="42" t="s">
        <v>37</v>
      </c>
      <c r="D28" s="41" t="s">
        <v>35</v>
      </c>
    </row>
    <row r="29" spans="1:4" x14ac:dyDescent="0.35">
      <c r="A29" s="40">
        <f t="shared" si="0"/>
        <v>24</v>
      </c>
      <c r="B29" s="42" t="s">
        <v>111</v>
      </c>
      <c r="C29" s="42" t="s">
        <v>55</v>
      </c>
      <c r="D29" s="41" t="s">
        <v>35</v>
      </c>
    </row>
    <row r="30" spans="1:4" x14ac:dyDescent="0.35">
      <c r="A30" s="40">
        <f t="shared" si="0"/>
        <v>25</v>
      </c>
      <c r="B30" s="42" t="s">
        <v>129</v>
      </c>
      <c r="C30" s="42" t="s">
        <v>104</v>
      </c>
      <c r="D30" s="41" t="s">
        <v>35</v>
      </c>
    </row>
    <row r="31" spans="1:4" x14ac:dyDescent="0.35">
      <c r="A31" s="40">
        <f t="shared" si="0"/>
        <v>26</v>
      </c>
      <c r="B31" s="42" t="s">
        <v>130</v>
      </c>
      <c r="C31" s="42" t="s">
        <v>104</v>
      </c>
      <c r="D31" s="41" t="s">
        <v>35</v>
      </c>
    </row>
    <row r="32" spans="1:4" x14ac:dyDescent="0.35">
      <c r="A32" s="40">
        <f t="shared" si="0"/>
        <v>27</v>
      </c>
      <c r="B32" s="42" t="s">
        <v>131</v>
      </c>
      <c r="C32" s="42" t="s">
        <v>107</v>
      </c>
      <c r="D32" s="41" t="s">
        <v>35</v>
      </c>
    </row>
    <row r="33" spans="1:4" x14ac:dyDescent="0.35">
      <c r="A33" s="40">
        <f t="shared" si="0"/>
        <v>28</v>
      </c>
      <c r="B33" s="42" t="s">
        <v>132</v>
      </c>
      <c r="C33" s="42" t="s">
        <v>133</v>
      </c>
      <c r="D33" s="41" t="s">
        <v>35</v>
      </c>
    </row>
    <row r="34" spans="1:4" x14ac:dyDescent="0.35">
      <c r="A34" s="40">
        <f t="shared" si="0"/>
        <v>29</v>
      </c>
      <c r="B34" s="42" t="s">
        <v>134</v>
      </c>
      <c r="C34" s="42" t="s">
        <v>74</v>
      </c>
      <c r="D34" s="41" t="s">
        <v>35</v>
      </c>
    </row>
    <row r="35" spans="1:4" x14ac:dyDescent="0.35">
      <c r="A35" s="40">
        <f t="shared" si="0"/>
        <v>30</v>
      </c>
      <c r="B35" s="42" t="s">
        <v>135</v>
      </c>
      <c r="C35" s="42" t="s">
        <v>40</v>
      </c>
      <c r="D35" s="41" t="s">
        <v>35</v>
      </c>
    </row>
    <row r="36" spans="1:4" x14ac:dyDescent="0.35">
      <c r="A36" s="40">
        <f t="shared" si="0"/>
        <v>31</v>
      </c>
      <c r="B36" s="42" t="s">
        <v>92</v>
      </c>
      <c r="C36" s="42" t="s">
        <v>45</v>
      </c>
      <c r="D36" s="41" t="s">
        <v>35</v>
      </c>
    </row>
    <row r="37" spans="1:4" x14ac:dyDescent="0.35">
      <c r="A37" s="40">
        <f t="shared" si="0"/>
        <v>32</v>
      </c>
      <c r="B37" s="42" t="s">
        <v>93</v>
      </c>
      <c r="C37" s="42" t="s">
        <v>37</v>
      </c>
      <c r="D37" s="41" t="s">
        <v>35</v>
      </c>
    </row>
    <row r="38" spans="1:4" x14ac:dyDescent="0.35">
      <c r="A38" s="40">
        <f t="shared" si="0"/>
        <v>33</v>
      </c>
      <c r="B38" s="42" t="s">
        <v>136</v>
      </c>
      <c r="C38" s="42" t="s">
        <v>36</v>
      </c>
      <c r="D38" s="41" t="s">
        <v>35</v>
      </c>
    </row>
    <row r="39" spans="1:4" x14ac:dyDescent="0.35">
      <c r="A39" s="40">
        <f t="shared" si="0"/>
        <v>34</v>
      </c>
      <c r="B39" s="42" t="s">
        <v>137</v>
      </c>
      <c r="C39" s="42" t="s">
        <v>104</v>
      </c>
      <c r="D39" s="41" t="s">
        <v>35</v>
      </c>
    </row>
    <row r="40" spans="1:4" x14ac:dyDescent="0.35">
      <c r="A40" s="40">
        <f t="shared" si="0"/>
        <v>35</v>
      </c>
      <c r="B40" s="42" t="s">
        <v>138</v>
      </c>
      <c r="C40" s="42" t="s">
        <v>139</v>
      </c>
      <c r="D40" s="41" t="s">
        <v>35</v>
      </c>
    </row>
    <row r="41" spans="1:4" x14ac:dyDescent="0.35">
      <c r="A41" s="40">
        <f t="shared" si="0"/>
        <v>36</v>
      </c>
      <c r="B41" s="42" t="s">
        <v>140</v>
      </c>
      <c r="C41" s="42" t="s">
        <v>37</v>
      </c>
      <c r="D41" s="41" t="s">
        <v>35</v>
      </c>
    </row>
    <row r="42" spans="1:4" x14ac:dyDescent="0.35">
      <c r="A42" s="40">
        <f t="shared" si="0"/>
        <v>37</v>
      </c>
      <c r="B42" s="42" t="s">
        <v>141</v>
      </c>
      <c r="C42" s="42" t="s">
        <v>34</v>
      </c>
      <c r="D42" s="41" t="s">
        <v>35</v>
      </c>
    </row>
    <row r="43" spans="1:4" x14ac:dyDescent="0.35">
      <c r="A43" s="40">
        <f t="shared" si="0"/>
        <v>38</v>
      </c>
      <c r="B43" s="42" t="s">
        <v>142</v>
      </c>
      <c r="C43" s="42" t="s">
        <v>46</v>
      </c>
      <c r="D43" s="41" t="s">
        <v>35</v>
      </c>
    </row>
    <row r="44" spans="1:4" x14ac:dyDescent="0.35">
      <c r="A44" s="40">
        <f t="shared" si="0"/>
        <v>39</v>
      </c>
      <c r="B44" s="42" t="s">
        <v>143</v>
      </c>
      <c r="C44" s="42" t="s">
        <v>34</v>
      </c>
      <c r="D44" s="41" t="s">
        <v>35</v>
      </c>
    </row>
    <row r="45" spans="1:4" x14ac:dyDescent="0.35">
      <c r="A45" s="40">
        <f t="shared" si="0"/>
        <v>40</v>
      </c>
      <c r="B45" s="42" t="s">
        <v>102</v>
      </c>
      <c r="C45" s="42" t="s">
        <v>38</v>
      </c>
      <c r="D45" s="41" t="s">
        <v>35</v>
      </c>
    </row>
    <row r="46" spans="1:4" x14ac:dyDescent="0.35">
      <c r="A46" s="40">
        <f t="shared" si="0"/>
        <v>41</v>
      </c>
      <c r="B46" s="44" t="s">
        <v>144</v>
      </c>
      <c r="C46" s="44" t="s">
        <v>145</v>
      </c>
      <c r="D46" s="41" t="s">
        <v>35</v>
      </c>
    </row>
    <row r="47" spans="1:4" x14ac:dyDescent="0.35">
      <c r="A47" s="40">
        <f t="shared" si="0"/>
        <v>42</v>
      </c>
      <c r="B47" s="44" t="s">
        <v>146</v>
      </c>
      <c r="C47" s="44" t="s">
        <v>50</v>
      </c>
      <c r="D47" s="41" t="s">
        <v>35</v>
      </c>
    </row>
    <row r="48" spans="1:4" x14ac:dyDescent="0.35">
      <c r="A48" s="40">
        <f t="shared" si="0"/>
        <v>43</v>
      </c>
      <c r="B48" s="44" t="s">
        <v>147</v>
      </c>
      <c r="C48" s="44" t="s">
        <v>37</v>
      </c>
      <c r="D48" s="41" t="s">
        <v>35</v>
      </c>
    </row>
    <row r="49" spans="1:4" x14ac:dyDescent="0.35">
      <c r="A49" s="40">
        <f t="shared" si="0"/>
        <v>44</v>
      </c>
      <c r="B49" s="44" t="s">
        <v>148</v>
      </c>
      <c r="C49" s="44" t="s">
        <v>58</v>
      </c>
      <c r="D49" s="41" t="s">
        <v>35</v>
      </c>
    </row>
    <row r="50" spans="1:4" x14ac:dyDescent="0.35">
      <c r="A50" s="40">
        <f t="shared" si="0"/>
        <v>45</v>
      </c>
      <c r="B50" s="44" t="s">
        <v>149</v>
      </c>
      <c r="C50" s="44" t="s">
        <v>38</v>
      </c>
      <c r="D50" s="41" t="s">
        <v>35</v>
      </c>
    </row>
    <row r="51" spans="1:4" x14ac:dyDescent="0.35">
      <c r="A51" s="40">
        <f t="shared" si="0"/>
        <v>46</v>
      </c>
      <c r="B51" s="44" t="s">
        <v>150</v>
      </c>
      <c r="C51" s="44" t="s">
        <v>151</v>
      </c>
      <c r="D51" s="41" t="s">
        <v>35</v>
      </c>
    </row>
    <row r="52" spans="1:4" x14ac:dyDescent="0.35">
      <c r="A52" s="40">
        <f t="shared" si="0"/>
        <v>47</v>
      </c>
      <c r="B52" s="44" t="s">
        <v>152</v>
      </c>
      <c r="C52" s="44" t="s">
        <v>64</v>
      </c>
      <c r="D52" s="41" t="s">
        <v>35</v>
      </c>
    </row>
    <row r="53" spans="1:4" x14ac:dyDescent="0.35">
      <c r="A53" s="40">
        <f t="shared" si="0"/>
        <v>48</v>
      </c>
      <c r="B53" s="44" t="s">
        <v>153</v>
      </c>
      <c r="C53" s="44" t="s">
        <v>34</v>
      </c>
      <c r="D53" s="41" t="s">
        <v>35</v>
      </c>
    </row>
    <row r="54" spans="1:4" x14ac:dyDescent="0.35">
      <c r="A54" s="40">
        <f t="shared" si="0"/>
        <v>49</v>
      </c>
      <c r="B54" s="48" t="s">
        <v>154</v>
      </c>
      <c r="C54" s="48" t="s">
        <v>34</v>
      </c>
      <c r="D54" s="41" t="s">
        <v>35</v>
      </c>
    </row>
    <row r="55" spans="1:4" x14ac:dyDescent="0.35">
      <c r="A55" s="40">
        <f t="shared" si="0"/>
        <v>50</v>
      </c>
      <c r="B55" s="48" t="s">
        <v>155</v>
      </c>
      <c r="C55" s="48" t="s">
        <v>104</v>
      </c>
      <c r="D55" s="41" t="s">
        <v>35</v>
      </c>
    </row>
    <row r="56" spans="1:4" ht="20.149999999999999" customHeight="1" x14ac:dyDescent="0.35">
      <c r="A56" s="40"/>
      <c r="B56" s="9"/>
      <c r="C56" s="9"/>
      <c r="D56" s="8"/>
    </row>
    <row r="59" spans="1:4" x14ac:dyDescent="0.35">
      <c r="B59" s="35"/>
      <c r="C59" s="35"/>
      <c r="D59" s="36"/>
    </row>
    <row r="60" spans="1:4" x14ac:dyDescent="0.3">
      <c r="B60" s="37"/>
      <c r="C60" s="35"/>
      <c r="D60" s="36"/>
    </row>
  </sheetData>
  <autoFilter ref="A3:D56" xr:uid="{00000000-0009-0000-0000-000000000000}"/>
  <mergeCells count="4">
    <mergeCell ref="A3:A5"/>
    <mergeCell ref="B3:B5"/>
    <mergeCell ref="C3:C5"/>
    <mergeCell ref="D3:D5"/>
  </mergeCells>
  <phoneticPr fontId="4" type="noConversion"/>
  <conditionalFormatting sqref="B56:B1048576 B1:B53">
    <cfRule type="duplicateValues" dxfId="5" priority="1305"/>
  </conditionalFormatting>
  <conditionalFormatting sqref="B6:B24">
    <cfRule type="duplicateValues" dxfId="4" priority="1364"/>
  </conditionalFormatting>
  <conditionalFormatting sqref="B6:B41">
    <cfRule type="duplicateValues" dxfId="3" priority="1448"/>
  </conditionalFormatting>
  <conditionalFormatting sqref="B42:B53">
    <cfRule type="duplicateValues" dxfId="2" priority="1449"/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6"/>
  <sheetViews>
    <sheetView workbookViewId="0">
      <selection activeCell="U5" sqref="U5"/>
    </sheetView>
  </sheetViews>
  <sheetFormatPr defaultRowHeight="14.5" x14ac:dyDescent="0.35"/>
  <cols>
    <col min="2" max="2" width="12.81640625" customWidth="1"/>
    <col min="5" max="5" width="13.1796875" customWidth="1"/>
    <col min="6" max="6" width="14.81640625" customWidth="1"/>
    <col min="7" max="7" width="13.54296875" customWidth="1"/>
    <col min="8" max="15" width="0" hidden="1" customWidth="1"/>
    <col min="16" max="16" width="16.17968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15" t="s">
        <v>9</v>
      </c>
      <c r="C3" s="15" t="s">
        <v>10</v>
      </c>
      <c r="D3" s="15" t="s">
        <v>2</v>
      </c>
      <c r="E3" s="15" t="s">
        <v>11</v>
      </c>
      <c r="F3" s="15" t="s">
        <v>12</v>
      </c>
      <c r="G3" s="16" t="s">
        <v>13</v>
      </c>
      <c r="H3" s="17" t="s">
        <v>14</v>
      </c>
      <c r="I3" s="17" t="s">
        <v>15</v>
      </c>
      <c r="J3" s="18" t="s">
        <v>16</v>
      </c>
      <c r="K3" s="17" t="s">
        <v>17</v>
      </c>
      <c r="L3" s="17" t="s">
        <v>18</v>
      </c>
      <c r="M3" s="17" t="s">
        <v>19</v>
      </c>
      <c r="N3" s="17" t="s">
        <v>20</v>
      </c>
      <c r="O3" s="17" t="s">
        <v>21</v>
      </c>
      <c r="P3" s="17" t="s">
        <v>31</v>
      </c>
      <c r="Q3" s="17" t="s">
        <v>22</v>
      </c>
      <c r="R3" s="17" t="s">
        <v>30</v>
      </c>
    </row>
    <row r="4" spans="2:18" ht="60" customHeight="1" x14ac:dyDescent="0.35">
      <c r="B4" s="19" t="s">
        <v>25</v>
      </c>
      <c r="C4" s="20" t="s">
        <v>23</v>
      </c>
      <c r="D4" s="21" t="s">
        <v>24</v>
      </c>
      <c r="E4" s="22" t="s">
        <v>26</v>
      </c>
      <c r="F4" s="23" t="s">
        <v>27</v>
      </c>
      <c r="G4" s="21">
        <v>45393</v>
      </c>
      <c r="H4" s="24">
        <v>26.861743999999998</v>
      </c>
      <c r="I4" s="25">
        <v>0.46323200000000003</v>
      </c>
      <c r="J4" s="26">
        <v>26.861743999999998</v>
      </c>
      <c r="K4" s="27">
        <v>0</v>
      </c>
      <c r="L4" s="28"/>
      <c r="M4" s="28"/>
      <c r="N4" s="28"/>
      <c r="O4" s="28">
        <v>0</v>
      </c>
      <c r="P4" s="31">
        <v>26.861743999999998</v>
      </c>
      <c r="Q4" s="29">
        <v>0</v>
      </c>
      <c r="R4" s="57" t="s">
        <v>32</v>
      </c>
    </row>
    <row r="5" spans="2:18" ht="15.5" x14ac:dyDescent="0.35">
      <c r="B5" s="19" t="s">
        <v>25</v>
      </c>
      <c r="C5" s="20" t="s">
        <v>23</v>
      </c>
      <c r="D5" s="21" t="s">
        <v>24</v>
      </c>
      <c r="E5" s="22" t="s">
        <v>28</v>
      </c>
      <c r="F5" s="23" t="s">
        <v>29</v>
      </c>
      <c r="G5" s="21">
        <v>45397</v>
      </c>
      <c r="H5" s="30">
        <v>126.634</v>
      </c>
      <c r="I5" s="25">
        <v>2.1840000000000002</v>
      </c>
      <c r="J5" s="26">
        <v>126.634</v>
      </c>
      <c r="K5" s="27"/>
      <c r="L5" s="28"/>
      <c r="M5" s="28"/>
      <c r="N5" s="28"/>
      <c r="O5" s="28"/>
      <c r="P5" s="31">
        <v>126.634</v>
      </c>
      <c r="Q5" s="29">
        <v>0</v>
      </c>
      <c r="R5" s="58"/>
    </row>
    <row r="6" spans="2:18" s="34" customFormat="1" x14ac:dyDescent="0.35">
      <c r="B6" s="59" t="s">
        <v>4</v>
      </c>
      <c r="C6" s="60"/>
      <c r="D6" s="61"/>
      <c r="E6" s="32">
        <v>160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3">
        <f>SUM(P4:P5)</f>
        <v>153.495744</v>
      </c>
      <c r="Q6" s="32"/>
      <c r="R6" s="32"/>
    </row>
  </sheetData>
  <mergeCells count="2">
    <mergeCell ref="R4:R5"/>
    <mergeCell ref="B6:D6"/>
  </mergeCells>
  <conditionalFormatting sqref="E4:E5">
    <cfRule type="containsText" dxfId="1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75"/>
  <sheetViews>
    <sheetView tabSelected="1" zoomScale="90" zoomScaleNormal="90" workbookViewId="0">
      <pane xSplit="4" ySplit="1" topLeftCell="E2" activePane="bottomRight" state="frozen"/>
      <selection pane="topRight" activeCell="E1" sqref="E1"/>
      <selection pane="bottomLeft" activeCell="A11" sqref="A11"/>
      <selection pane="bottomRight" activeCell="G16" sqref="G16"/>
    </sheetView>
  </sheetViews>
  <sheetFormatPr defaultColWidth="8.90625" defaultRowHeight="14.5" x14ac:dyDescent="0.35"/>
  <cols>
    <col min="1" max="1" width="3.453125" style="3" customWidth="1"/>
    <col min="2" max="2" width="10" style="1" customWidth="1"/>
    <col min="3" max="3" width="11.1796875" style="1" customWidth="1"/>
    <col min="4" max="4" width="12.54296875" style="3" customWidth="1"/>
    <col min="5" max="16384" width="8.90625" style="1"/>
  </cols>
  <sheetData>
    <row r="1" spans="1:4" ht="15" thickBot="1" x14ac:dyDescent="0.4">
      <c r="A1" s="12" t="s">
        <v>0</v>
      </c>
      <c r="D1" s="14" t="s">
        <v>33</v>
      </c>
    </row>
    <row r="2" spans="1:4" x14ac:dyDescent="0.35">
      <c r="A2" s="4"/>
      <c r="D2" s="5"/>
    </row>
    <row r="3" spans="1:4" ht="22.5" customHeight="1" x14ac:dyDescent="0.35">
      <c r="A3" s="52" t="s">
        <v>1</v>
      </c>
      <c r="B3" s="52" t="s">
        <v>195</v>
      </c>
      <c r="C3" s="51" t="s">
        <v>2</v>
      </c>
      <c r="D3" s="51" t="s">
        <v>5</v>
      </c>
    </row>
    <row r="4" spans="1:4" x14ac:dyDescent="0.35">
      <c r="A4" s="46">
        <v>1</v>
      </c>
      <c r="B4" s="7" t="s">
        <v>156</v>
      </c>
      <c r="C4" s="7" t="s">
        <v>95</v>
      </c>
      <c r="D4" s="45">
        <v>17.633662000000001</v>
      </c>
    </row>
    <row r="5" spans="1:4" x14ac:dyDescent="0.35">
      <c r="A5" s="46">
        <f>1+A4</f>
        <v>2</v>
      </c>
      <c r="B5" s="7" t="s">
        <v>94</v>
      </c>
      <c r="C5" s="7" t="s">
        <v>95</v>
      </c>
      <c r="D5" s="45">
        <v>17.633662000000001</v>
      </c>
    </row>
    <row r="6" spans="1:4" x14ac:dyDescent="0.35">
      <c r="A6" s="46">
        <f t="shared" ref="A6:A69" si="0">1+A5</f>
        <v>3</v>
      </c>
      <c r="B6" s="7" t="s">
        <v>157</v>
      </c>
      <c r="C6" s="7" t="s">
        <v>95</v>
      </c>
      <c r="D6" s="45">
        <v>17.633662000000001</v>
      </c>
    </row>
    <row r="7" spans="1:4" x14ac:dyDescent="0.35">
      <c r="A7" s="46">
        <f t="shared" si="0"/>
        <v>4</v>
      </c>
      <c r="B7" s="7" t="s">
        <v>60</v>
      </c>
      <c r="C7" s="7" t="s">
        <v>45</v>
      </c>
      <c r="D7" s="45">
        <v>15.857766</v>
      </c>
    </row>
    <row r="8" spans="1:4" x14ac:dyDescent="0.35">
      <c r="A8" s="46">
        <f t="shared" si="0"/>
        <v>5</v>
      </c>
      <c r="B8" s="7" t="s">
        <v>61</v>
      </c>
      <c r="C8" s="7" t="s">
        <v>54</v>
      </c>
      <c r="D8" s="45">
        <v>38.137878999999998</v>
      </c>
    </row>
    <row r="9" spans="1:4" x14ac:dyDescent="0.35">
      <c r="A9" s="46">
        <f t="shared" si="0"/>
        <v>6</v>
      </c>
      <c r="B9" s="7" t="s">
        <v>62</v>
      </c>
      <c r="C9" s="7" t="s">
        <v>46</v>
      </c>
      <c r="D9" s="45">
        <v>34.166430999999996</v>
      </c>
    </row>
    <row r="10" spans="1:4" x14ac:dyDescent="0.35">
      <c r="A10" s="46">
        <f t="shared" si="0"/>
        <v>7</v>
      </c>
      <c r="B10" s="7" t="s">
        <v>158</v>
      </c>
      <c r="C10" s="7" t="s">
        <v>74</v>
      </c>
      <c r="D10" s="45">
        <v>48.341991</v>
      </c>
    </row>
    <row r="11" spans="1:4" x14ac:dyDescent="0.35">
      <c r="A11" s="46">
        <f t="shared" si="0"/>
        <v>8</v>
      </c>
      <c r="B11" s="7" t="s">
        <v>159</v>
      </c>
      <c r="C11" s="7" t="s">
        <v>74</v>
      </c>
      <c r="D11" s="45">
        <v>48.341991</v>
      </c>
    </row>
    <row r="12" spans="1:4" x14ac:dyDescent="0.35">
      <c r="A12" s="46">
        <f t="shared" si="0"/>
        <v>9</v>
      </c>
      <c r="B12" s="7" t="s">
        <v>160</v>
      </c>
      <c r="C12" s="7" t="s">
        <v>45</v>
      </c>
      <c r="D12" s="45">
        <v>15.857766</v>
      </c>
    </row>
    <row r="13" spans="1:4" x14ac:dyDescent="0.35">
      <c r="A13" s="46">
        <f t="shared" si="0"/>
        <v>10</v>
      </c>
      <c r="B13" s="7" t="s">
        <v>66</v>
      </c>
      <c r="C13" s="7" t="s">
        <v>64</v>
      </c>
      <c r="D13" s="45">
        <v>16.452445999999998</v>
      </c>
    </row>
    <row r="14" spans="1:4" x14ac:dyDescent="0.35">
      <c r="A14" s="46">
        <f t="shared" si="0"/>
        <v>11</v>
      </c>
      <c r="B14" s="7" t="s">
        <v>161</v>
      </c>
      <c r="C14" s="7" t="s">
        <v>162</v>
      </c>
      <c r="D14" s="45">
        <v>53.122635000000002</v>
      </c>
    </row>
    <row r="15" spans="1:4" x14ac:dyDescent="0.35">
      <c r="A15" s="46">
        <f t="shared" si="0"/>
        <v>12</v>
      </c>
      <c r="B15" s="7" t="s">
        <v>163</v>
      </c>
      <c r="C15" s="7" t="s">
        <v>47</v>
      </c>
      <c r="D15" s="45">
        <v>29.777915000000004</v>
      </c>
    </row>
    <row r="16" spans="1:4" x14ac:dyDescent="0.35">
      <c r="A16" s="46">
        <f t="shared" si="0"/>
        <v>13</v>
      </c>
      <c r="B16" s="7" t="s">
        <v>164</v>
      </c>
      <c r="C16" s="7" t="s">
        <v>145</v>
      </c>
      <c r="D16" s="45">
        <v>31.864677</v>
      </c>
    </row>
    <row r="17" spans="1:4" x14ac:dyDescent="0.35">
      <c r="A17" s="46">
        <f t="shared" si="0"/>
        <v>14</v>
      </c>
      <c r="B17" s="7" t="s">
        <v>53</v>
      </c>
      <c r="C17" s="7" t="s">
        <v>54</v>
      </c>
      <c r="D17" s="45">
        <v>38.137878999999998</v>
      </c>
    </row>
    <row r="18" spans="1:4" x14ac:dyDescent="0.35">
      <c r="A18" s="46">
        <f t="shared" si="0"/>
        <v>15</v>
      </c>
      <c r="B18" s="7" t="s">
        <v>79</v>
      </c>
      <c r="C18" s="7" t="s">
        <v>37</v>
      </c>
      <c r="D18" s="45">
        <v>18.118815999999999</v>
      </c>
    </row>
    <row r="19" spans="1:4" x14ac:dyDescent="0.35">
      <c r="A19" s="46">
        <f t="shared" si="0"/>
        <v>16</v>
      </c>
      <c r="B19" s="7" t="s">
        <v>82</v>
      </c>
      <c r="C19" s="7" t="s">
        <v>34</v>
      </c>
      <c r="D19" s="45">
        <v>16.966723999999999</v>
      </c>
    </row>
    <row r="20" spans="1:4" x14ac:dyDescent="0.35">
      <c r="A20" s="46">
        <f t="shared" si="0"/>
        <v>17</v>
      </c>
      <c r="B20" s="7" t="s">
        <v>165</v>
      </c>
      <c r="C20" s="7" t="s">
        <v>64</v>
      </c>
      <c r="D20" s="45">
        <v>16.452445999999998</v>
      </c>
    </row>
    <row r="21" spans="1:4" x14ac:dyDescent="0.35">
      <c r="A21" s="46">
        <f t="shared" si="0"/>
        <v>18</v>
      </c>
      <c r="B21" s="7" t="s">
        <v>97</v>
      </c>
      <c r="C21" s="7" t="s">
        <v>41</v>
      </c>
      <c r="D21" s="45">
        <v>27.092148999999996</v>
      </c>
    </row>
    <row r="22" spans="1:4" x14ac:dyDescent="0.35">
      <c r="A22" s="46">
        <f t="shared" si="0"/>
        <v>19</v>
      </c>
      <c r="B22" s="7" t="s">
        <v>59</v>
      </c>
      <c r="C22" s="7" t="s">
        <v>45</v>
      </c>
      <c r="D22" s="45">
        <v>15.857766</v>
      </c>
    </row>
    <row r="23" spans="1:4" x14ac:dyDescent="0.35">
      <c r="A23" s="46">
        <f t="shared" si="0"/>
        <v>20</v>
      </c>
      <c r="B23" s="7" t="s">
        <v>42</v>
      </c>
      <c r="C23" s="7" t="s">
        <v>38</v>
      </c>
      <c r="D23" s="45">
        <v>22.488373999999997</v>
      </c>
    </row>
    <row r="24" spans="1:4" x14ac:dyDescent="0.35">
      <c r="A24" s="46">
        <f t="shared" si="0"/>
        <v>21</v>
      </c>
      <c r="B24" s="7" t="s">
        <v>43</v>
      </c>
      <c r="C24" s="7" t="s">
        <v>37</v>
      </c>
      <c r="D24" s="45">
        <v>18.118815999999999</v>
      </c>
    </row>
    <row r="25" spans="1:4" x14ac:dyDescent="0.35">
      <c r="A25" s="46">
        <f t="shared" si="0"/>
        <v>22</v>
      </c>
      <c r="B25" s="7" t="s">
        <v>166</v>
      </c>
      <c r="C25" s="7" t="s">
        <v>95</v>
      </c>
      <c r="D25" s="45">
        <v>17.633662000000001</v>
      </c>
    </row>
    <row r="26" spans="1:4" x14ac:dyDescent="0.35">
      <c r="A26" s="46">
        <f t="shared" si="0"/>
        <v>23</v>
      </c>
      <c r="B26" s="7" t="s">
        <v>167</v>
      </c>
      <c r="C26" s="7" t="s">
        <v>133</v>
      </c>
      <c r="D26" s="45">
        <v>24.700088999999998</v>
      </c>
    </row>
    <row r="27" spans="1:4" x14ac:dyDescent="0.35">
      <c r="A27" s="46">
        <f t="shared" si="0"/>
        <v>24</v>
      </c>
      <c r="B27" s="7" t="s">
        <v>168</v>
      </c>
      <c r="C27" s="7" t="s">
        <v>122</v>
      </c>
      <c r="D27" s="45">
        <v>27.249818999999999</v>
      </c>
    </row>
    <row r="28" spans="1:4" x14ac:dyDescent="0.35">
      <c r="A28" s="46">
        <f t="shared" si="0"/>
        <v>25</v>
      </c>
      <c r="B28" s="7" t="s">
        <v>169</v>
      </c>
      <c r="C28" s="7" t="s">
        <v>38</v>
      </c>
      <c r="D28" s="45">
        <v>22.488373999999997</v>
      </c>
    </row>
    <row r="29" spans="1:4" x14ac:dyDescent="0.35">
      <c r="A29" s="46">
        <f t="shared" si="0"/>
        <v>26</v>
      </c>
      <c r="B29" s="7" t="s">
        <v>170</v>
      </c>
      <c r="C29" s="7" t="s">
        <v>36</v>
      </c>
      <c r="D29" s="45">
        <v>21.096916</v>
      </c>
    </row>
    <row r="30" spans="1:4" x14ac:dyDescent="0.35">
      <c r="A30" s="46">
        <f t="shared" si="0"/>
        <v>27</v>
      </c>
      <c r="B30" s="7" t="s">
        <v>171</v>
      </c>
      <c r="C30" s="7" t="s">
        <v>50</v>
      </c>
      <c r="D30" s="45">
        <v>35.845216999999991</v>
      </c>
    </row>
    <row r="31" spans="1:4" x14ac:dyDescent="0.35">
      <c r="A31" s="46">
        <f t="shared" si="0"/>
        <v>28</v>
      </c>
      <c r="B31" s="7" t="s">
        <v>172</v>
      </c>
      <c r="C31" s="7" t="s">
        <v>34</v>
      </c>
      <c r="D31" s="45">
        <v>16.966723999999999</v>
      </c>
    </row>
    <row r="32" spans="1:4" x14ac:dyDescent="0.35">
      <c r="A32" s="46">
        <f t="shared" si="0"/>
        <v>29</v>
      </c>
      <c r="B32" s="7" t="s">
        <v>173</v>
      </c>
      <c r="C32" s="7" t="s">
        <v>145</v>
      </c>
      <c r="D32" s="45">
        <v>31.864677</v>
      </c>
    </row>
    <row r="33" spans="1:4" x14ac:dyDescent="0.35">
      <c r="A33" s="46">
        <f t="shared" si="0"/>
        <v>30</v>
      </c>
      <c r="B33" s="7" t="s">
        <v>174</v>
      </c>
      <c r="C33" s="7" t="s">
        <v>34</v>
      </c>
      <c r="D33" s="45">
        <v>16.966723999999999</v>
      </c>
    </row>
    <row r="34" spans="1:4" x14ac:dyDescent="0.35">
      <c r="A34" s="46">
        <f t="shared" si="0"/>
        <v>31</v>
      </c>
      <c r="B34" s="7" t="s">
        <v>175</v>
      </c>
      <c r="C34" s="7" t="s">
        <v>145</v>
      </c>
      <c r="D34" s="45">
        <v>31.864677</v>
      </c>
    </row>
    <row r="35" spans="1:4" x14ac:dyDescent="0.35">
      <c r="A35" s="46">
        <f t="shared" si="0"/>
        <v>32</v>
      </c>
      <c r="B35" s="7" t="s">
        <v>63</v>
      </c>
      <c r="C35" s="7" t="s">
        <v>64</v>
      </c>
      <c r="D35" s="45">
        <v>16.452445999999998</v>
      </c>
    </row>
    <row r="36" spans="1:4" x14ac:dyDescent="0.35">
      <c r="A36" s="46">
        <f t="shared" si="0"/>
        <v>33</v>
      </c>
      <c r="B36" s="7" t="s">
        <v>65</v>
      </c>
      <c r="C36" s="7" t="s">
        <v>34</v>
      </c>
      <c r="D36" s="45">
        <v>16.966723999999999</v>
      </c>
    </row>
    <row r="37" spans="1:4" x14ac:dyDescent="0.35">
      <c r="A37" s="46">
        <f t="shared" si="0"/>
        <v>34</v>
      </c>
      <c r="B37" s="7" t="s">
        <v>176</v>
      </c>
      <c r="C37" s="7" t="s">
        <v>50</v>
      </c>
      <c r="D37" s="45">
        <v>35.845216999999991</v>
      </c>
    </row>
    <row r="38" spans="1:4" x14ac:dyDescent="0.35">
      <c r="A38" s="46">
        <f t="shared" si="0"/>
        <v>35</v>
      </c>
      <c r="B38" s="7" t="s">
        <v>177</v>
      </c>
      <c r="C38" s="7" t="s">
        <v>162</v>
      </c>
      <c r="D38" s="45">
        <v>53.122635000000002</v>
      </c>
    </row>
    <row r="39" spans="1:4" x14ac:dyDescent="0.35">
      <c r="A39" s="46">
        <f t="shared" si="0"/>
        <v>36</v>
      </c>
      <c r="B39" s="7" t="s">
        <v>67</v>
      </c>
      <c r="C39" s="7" t="s">
        <v>68</v>
      </c>
      <c r="D39" s="45">
        <v>46.468620999999999</v>
      </c>
    </row>
    <row r="40" spans="1:4" x14ac:dyDescent="0.35">
      <c r="A40" s="46">
        <f t="shared" si="0"/>
        <v>37</v>
      </c>
      <c r="B40" s="7" t="s">
        <v>51</v>
      </c>
      <c r="C40" s="7" t="s">
        <v>38</v>
      </c>
      <c r="D40" s="45">
        <v>22.488373999999997</v>
      </c>
    </row>
    <row r="41" spans="1:4" x14ac:dyDescent="0.35">
      <c r="A41" s="46">
        <f t="shared" si="0"/>
        <v>38</v>
      </c>
      <c r="B41" s="7" t="s">
        <v>52</v>
      </c>
      <c r="C41" s="7" t="s">
        <v>38</v>
      </c>
      <c r="D41" s="45">
        <v>22.488373999999997</v>
      </c>
    </row>
    <row r="42" spans="1:4" x14ac:dyDescent="0.35">
      <c r="A42" s="46">
        <f t="shared" si="0"/>
        <v>39</v>
      </c>
      <c r="B42" s="7" t="s">
        <v>69</v>
      </c>
      <c r="C42" s="7" t="s">
        <v>38</v>
      </c>
      <c r="D42" s="45">
        <v>22.488373999999997</v>
      </c>
    </row>
    <row r="43" spans="1:4" x14ac:dyDescent="0.35">
      <c r="A43" s="46">
        <f t="shared" si="0"/>
        <v>40</v>
      </c>
      <c r="B43" s="7" t="s">
        <v>70</v>
      </c>
      <c r="C43" s="7" t="s">
        <v>71</v>
      </c>
      <c r="D43" s="45">
        <v>39.622447000000008</v>
      </c>
    </row>
    <row r="44" spans="1:4" x14ac:dyDescent="0.35">
      <c r="A44" s="46">
        <f t="shared" si="0"/>
        <v>41</v>
      </c>
      <c r="B44" s="7" t="s">
        <v>72</v>
      </c>
      <c r="C44" s="7" t="s">
        <v>37</v>
      </c>
      <c r="D44" s="45">
        <v>18.118815999999999</v>
      </c>
    </row>
    <row r="45" spans="1:4" x14ac:dyDescent="0.35">
      <c r="A45" s="46">
        <f t="shared" si="0"/>
        <v>42</v>
      </c>
      <c r="B45" s="7" t="s">
        <v>73</v>
      </c>
      <c r="C45" s="7" t="s">
        <v>40</v>
      </c>
      <c r="D45" s="45">
        <v>36.585352999999998</v>
      </c>
    </row>
    <row r="46" spans="1:4" x14ac:dyDescent="0.35">
      <c r="A46" s="46">
        <f t="shared" si="0"/>
        <v>43</v>
      </c>
      <c r="B46" s="7" t="s">
        <v>178</v>
      </c>
      <c r="C46" s="7" t="s">
        <v>179</v>
      </c>
      <c r="D46" s="45">
        <v>27.860022999999998</v>
      </c>
    </row>
    <row r="47" spans="1:4" x14ac:dyDescent="0.35">
      <c r="A47" s="46">
        <f t="shared" si="0"/>
        <v>44</v>
      </c>
      <c r="B47" s="7" t="s">
        <v>75</v>
      </c>
      <c r="C47" s="7" t="s">
        <v>37</v>
      </c>
      <c r="D47" s="45">
        <v>18.118815999999999</v>
      </c>
    </row>
    <row r="48" spans="1:4" x14ac:dyDescent="0.35">
      <c r="A48" s="46">
        <f t="shared" si="0"/>
        <v>45</v>
      </c>
      <c r="B48" s="7" t="s">
        <v>76</v>
      </c>
      <c r="C48" s="7" t="s">
        <v>47</v>
      </c>
      <c r="D48" s="45">
        <v>29.777915000000004</v>
      </c>
    </row>
    <row r="49" spans="1:4" x14ac:dyDescent="0.35">
      <c r="A49" s="46">
        <f t="shared" si="0"/>
        <v>46</v>
      </c>
      <c r="B49" s="7" t="s">
        <v>180</v>
      </c>
      <c r="C49" s="7" t="s">
        <v>49</v>
      </c>
      <c r="D49" s="45">
        <v>34.166430999999996</v>
      </c>
    </row>
    <row r="50" spans="1:4" x14ac:dyDescent="0.35">
      <c r="A50" s="46">
        <f t="shared" si="0"/>
        <v>47</v>
      </c>
      <c r="B50" s="7" t="s">
        <v>181</v>
      </c>
      <c r="C50" s="7" t="s">
        <v>49</v>
      </c>
      <c r="D50" s="45">
        <v>34.166430999999996</v>
      </c>
    </row>
    <row r="51" spans="1:4" x14ac:dyDescent="0.35">
      <c r="A51" s="46">
        <f t="shared" si="0"/>
        <v>48</v>
      </c>
      <c r="B51" s="7" t="s">
        <v>182</v>
      </c>
      <c r="C51" s="7" t="s">
        <v>47</v>
      </c>
      <c r="D51" s="45">
        <v>29.777915000000004</v>
      </c>
    </row>
    <row r="52" spans="1:4" x14ac:dyDescent="0.35">
      <c r="A52" s="46">
        <f t="shared" si="0"/>
        <v>49</v>
      </c>
      <c r="B52" s="7" t="s">
        <v>183</v>
      </c>
      <c r="C52" s="7" t="s">
        <v>36</v>
      </c>
      <c r="D52" s="45">
        <v>21.096916</v>
      </c>
    </row>
    <row r="53" spans="1:4" x14ac:dyDescent="0.35">
      <c r="A53" s="46">
        <f t="shared" si="0"/>
        <v>50</v>
      </c>
      <c r="B53" s="7" t="s">
        <v>184</v>
      </c>
      <c r="C53" s="7" t="s">
        <v>55</v>
      </c>
      <c r="D53" s="45">
        <v>39.59669499999999</v>
      </c>
    </row>
    <row r="54" spans="1:4" x14ac:dyDescent="0.35">
      <c r="A54" s="46">
        <f t="shared" si="0"/>
        <v>51</v>
      </c>
      <c r="B54" s="7" t="s">
        <v>185</v>
      </c>
      <c r="C54" s="7" t="s">
        <v>37</v>
      </c>
      <c r="D54" s="45">
        <v>18.118815999999999</v>
      </c>
    </row>
    <row r="55" spans="1:4" x14ac:dyDescent="0.35">
      <c r="A55" s="46">
        <f t="shared" si="0"/>
        <v>52</v>
      </c>
      <c r="B55" s="7" t="s">
        <v>186</v>
      </c>
      <c r="C55" s="7" t="s">
        <v>37</v>
      </c>
      <c r="D55" s="45">
        <v>18.118815999999999</v>
      </c>
    </row>
    <row r="56" spans="1:4" x14ac:dyDescent="0.35">
      <c r="A56" s="46">
        <f t="shared" si="0"/>
        <v>53</v>
      </c>
      <c r="B56" s="7" t="s">
        <v>77</v>
      </c>
      <c r="C56" s="7" t="s">
        <v>46</v>
      </c>
      <c r="D56" s="45">
        <v>34.166430999999996</v>
      </c>
    </row>
    <row r="57" spans="1:4" x14ac:dyDescent="0.35">
      <c r="A57" s="46">
        <f t="shared" si="0"/>
        <v>54</v>
      </c>
      <c r="B57" s="7" t="s">
        <v>78</v>
      </c>
      <c r="C57" s="7" t="s">
        <v>39</v>
      </c>
      <c r="D57" s="45">
        <v>27.092148999999996</v>
      </c>
    </row>
    <row r="58" spans="1:4" x14ac:dyDescent="0.35">
      <c r="A58" s="46">
        <f t="shared" si="0"/>
        <v>55</v>
      </c>
      <c r="B58" s="7" t="s">
        <v>80</v>
      </c>
      <c r="C58" s="7" t="s">
        <v>36</v>
      </c>
      <c r="D58" s="45">
        <v>21.096916</v>
      </c>
    </row>
    <row r="59" spans="1:4" x14ac:dyDescent="0.35">
      <c r="A59" s="46">
        <f t="shared" si="0"/>
        <v>56</v>
      </c>
      <c r="B59" s="7" t="s">
        <v>81</v>
      </c>
      <c r="C59" s="7" t="s">
        <v>37</v>
      </c>
      <c r="D59" s="45">
        <v>18.118815999999999</v>
      </c>
    </row>
    <row r="60" spans="1:4" x14ac:dyDescent="0.35">
      <c r="A60" s="46">
        <f t="shared" si="0"/>
        <v>57</v>
      </c>
      <c r="B60" s="7" t="s">
        <v>83</v>
      </c>
      <c r="C60" s="7" t="s">
        <v>36</v>
      </c>
      <c r="D60" s="45">
        <v>21.096916</v>
      </c>
    </row>
    <row r="61" spans="1:4" x14ac:dyDescent="0.35">
      <c r="A61" s="46">
        <f t="shared" si="0"/>
        <v>58</v>
      </c>
      <c r="B61" s="7" t="s">
        <v>84</v>
      </c>
      <c r="C61" s="7" t="s">
        <v>36</v>
      </c>
      <c r="D61" s="45">
        <v>21.096916</v>
      </c>
    </row>
    <row r="62" spans="1:4" x14ac:dyDescent="0.35">
      <c r="A62" s="46">
        <f t="shared" si="0"/>
        <v>59</v>
      </c>
      <c r="B62" s="7" t="s">
        <v>85</v>
      </c>
      <c r="C62" s="7" t="s">
        <v>36</v>
      </c>
      <c r="D62" s="45">
        <v>21.096916</v>
      </c>
    </row>
    <row r="63" spans="1:4" x14ac:dyDescent="0.35">
      <c r="A63" s="46">
        <f t="shared" si="0"/>
        <v>60</v>
      </c>
      <c r="B63" s="7" t="s">
        <v>86</v>
      </c>
      <c r="C63" s="7" t="s">
        <v>87</v>
      </c>
      <c r="D63" s="45">
        <v>28.368053</v>
      </c>
    </row>
    <row r="64" spans="1:4" x14ac:dyDescent="0.35">
      <c r="A64" s="46">
        <f t="shared" si="0"/>
        <v>61</v>
      </c>
      <c r="B64" s="7" t="s">
        <v>88</v>
      </c>
      <c r="C64" s="7" t="s">
        <v>36</v>
      </c>
      <c r="D64" s="45">
        <v>21.096916</v>
      </c>
    </row>
    <row r="65" spans="1:4" x14ac:dyDescent="0.35">
      <c r="A65" s="46">
        <f t="shared" si="0"/>
        <v>62</v>
      </c>
      <c r="B65" s="7" t="s">
        <v>89</v>
      </c>
      <c r="C65" s="7" t="s">
        <v>49</v>
      </c>
      <c r="D65" s="45">
        <v>34.166430999999996</v>
      </c>
    </row>
    <row r="66" spans="1:4" x14ac:dyDescent="0.35">
      <c r="A66" s="46">
        <f t="shared" si="0"/>
        <v>63</v>
      </c>
      <c r="B66" s="7" t="s">
        <v>56</v>
      </c>
      <c r="C66" s="7" t="s">
        <v>37</v>
      </c>
      <c r="D66" s="45">
        <v>18.118815999999999</v>
      </c>
    </row>
    <row r="67" spans="1:4" x14ac:dyDescent="0.35">
      <c r="A67" s="46">
        <f t="shared" si="0"/>
        <v>64</v>
      </c>
      <c r="B67" s="7" t="s">
        <v>57</v>
      </c>
      <c r="C67" s="7" t="s">
        <v>58</v>
      </c>
      <c r="D67" s="45">
        <v>36.585352999999998</v>
      </c>
    </row>
    <row r="68" spans="1:4" x14ac:dyDescent="0.35">
      <c r="A68" s="46">
        <f t="shared" si="0"/>
        <v>65</v>
      </c>
      <c r="B68" s="7" t="s">
        <v>98</v>
      </c>
      <c r="C68" s="7" t="s">
        <v>99</v>
      </c>
      <c r="D68" s="45">
        <v>53.238641000000001</v>
      </c>
    </row>
    <row r="69" spans="1:4" x14ac:dyDescent="0.35">
      <c r="A69" s="46">
        <f t="shared" si="0"/>
        <v>66</v>
      </c>
      <c r="B69" s="7" t="s">
        <v>44</v>
      </c>
      <c r="C69" s="7" t="s">
        <v>34</v>
      </c>
      <c r="D69" s="45">
        <v>16.966723999999999</v>
      </c>
    </row>
    <row r="70" spans="1:4" x14ac:dyDescent="0.35">
      <c r="A70" s="46">
        <f t="shared" ref="A70:A74" si="1">1+A69</f>
        <v>67</v>
      </c>
      <c r="B70" s="7" t="s">
        <v>187</v>
      </c>
      <c r="C70" s="7" t="s">
        <v>50</v>
      </c>
      <c r="D70" s="45">
        <v>35.845216999999991</v>
      </c>
    </row>
    <row r="71" spans="1:4" x14ac:dyDescent="0.35">
      <c r="A71" s="46">
        <f t="shared" si="1"/>
        <v>68</v>
      </c>
      <c r="B71" s="7" t="s">
        <v>188</v>
      </c>
      <c r="C71" s="7" t="s">
        <v>95</v>
      </c>
      <c r="D71" s="45">
        <v>17.633662000000001</v>
      </c>
    </row>
    <row r="72" spans="1:4" x14ac:dyDescent="0.35">
      <c r="A72" s="46">
        <f t="shared" si="1"/>
        <v>69</v>
      </c>
      <c r="B72" s="7" t="s">
        <v>189</v>
      </c>
      <c r="C72" s="7" t="s">
        <v>50</v>
      </c>
      <c r="D72" s="45">
        <v>35.845216999999991</v>
      </c>
    </row>
    <row r="73" spans="1:4" x14ac:dyDescent="0.35">
      <c r="A73" s="46">
        <f t="shared" si="1"/>
        <v>70</v>
      </c>
      <c r="B73" s="7" t="s">
        <v>190</v>
      </c>
      <c r="C73" s="7" t="s">
        <v>191</v>
      </c>
      <c r="D73" s="45">
        <v>41.832876999999996</v>
      </c>
    </row>
    <row r="74" spans="1:4" x14ac:dyDescent="0.35">
      <c r="A74" s="46">
        <f t="shared" si="1"/>
        <v>71</v>
      </c>
      <c r="B74" s="7" t="s">
        <v>192</v>
      </c>
      <c r="C74" s="7" t="s">
        <v>68</v>
      </c>
      <c r="D74" s="45">
        <v>46.468620999999999</v>
      </c>
    </row>
    <row r="75" spans="1:4" s="2" customFormat="1" ht="20.149999999999999" customHeight="1" x14ac:dyDescent="0.35">
      <c r="A75" s="62" t="s">
        <v>90</v>
      </c>
      <c r="B75" s="62"/>
      <c r="C75" s="62"/>
      <c r="D75" s="47">
        <f>SUM(D4:D74)</f>
        <v>1956.1100749999991</v>
      </c>
    </row>
  </sheetData>
  <autoFilter ref="A3:D75" xr:uid="{00000000-0009-0000-0000-000002000000}"/>
  <mergeCells count="1">
    <mergeCell ref="A75:C75"/>
  </mergeCells>
  <phoneticPr fontId="4" type="noConversion"/>
  <conditionalFormatting sqref="B4:B34">
    <cfRule type="duplicateValues" dxfId="0" priority="1"/>
  </conditionalFormatting>
  <printOptions horizontalCentered="1"/>
  <pageMargins left="0.25" right="0.25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1"/>
  <sheetViews>
    <sheetView workbookViewId="0">
      <pane xSplit="4" ySplit="1" topLeftCell="E2" activePane="bottomRight" state="frozen"/>
      <selection pane="topRight" activeCell="E1" sqref="E1"/>
      <selection pane="bottomLeft" activeCell="A11" sqref="A11"/>
      <selection pane="bottomRight" activeCell="D3" sqref="D3"/>
    </sheetView>
  </sheetViews>
  <sheetFormatPr defaultColWidth="9.1796875" defaultRowHeight="14.5" x14ac:dyDescent="0.35"/>
  <cols>
    <col min="1" max="1" width="3.453125" style="3" customWidth="1"/>
    <col min="2" max="2" width="12.81640625" style="1" customWidth="1"/>
    <col min="3" max="3" width="11.1796875" style="1" customWidth="1"/>
    <col min="4" max="4" width="12.54296875" style="3" customWidth="1"/>
    <col min="5" max="16384" width="9.1796875" style="1"/>
  </cols>
  <sheetData>
    <row r="1" spans="1:4" ht="15" thickBot="1" x14ac:dyDescent="0.4">
      <c r="A1" s="12" t="s">
        <v>0</v>
      </c>
      <c r="D1" s="14" t="s">
        <v>33</v>
      </c>
    </row>
    <row r="2" spans="1:4" x14ac:dyDescent="0.35">
      <c r="A2" s="4"/>
      <c r="D2" s="5"/>
    </row>
    <row r="3" spans="1:4" ht="22.5" customHeight="1" x14ac:dyDescent="0.35">
      <c r="A3" s="52" t="s">
        <v>1</v>
      </c>
      <c r="B3" s="52" t="s">
        <v>6</v>
      </c>
      <c r="C3" s="51" t="s">
        <v>8</v>
      </c>
      <c r="D3" s="51" t="s">
        <v>7</v>
      </c>
    </row>
    <row r="4" spans="1:4" ht="20.149999999999999" customHeight="1" x14ac:dyDescent="0.35">
      <c r="A4" s="8">
        <v>1</v>
      </c>
      <c r="B4" s="49" t="s">
        <v>193</v>
      </c>
      <c r="C4" s="50">
        <f>4949.334/1000</f>
        <v>4.9493339999999995</v>
      </c>
      <c r="D4" s="8" t="s">
        <v>194</v>
      </c>
    </row>
    <row r="5" spans="1:4" ht="20.149999999999999" customHeight="1" x14ac:dyDescent="0.35">
      <c r="A5" s="7">
        <v>2</v>
      </c>
      <c r="B5" s="6"/>
      <c r="C5" s="38"/>
      <c r="D5" s="7"/>
    </row>
    <row r="6" spans="1:4" ht="20.149999999999999" customHeight="1" x14ac:dyDescent="0.35">
      <c r="A6" s="7">
        <v>3</v>
      </c>
      <c r="B6" s="6"/>
      <c r="C6" s="6"/>
      <c r="D6" s="7"/>
    </row>
    <row r="7" spans="1:4" ht="20.149999999999999" customHeight="1" x14ac:dyDescent="0.35">
      <c r="A7" s="7">
        <v>4</v>
      </c>
      <c r="B7" s="6"/>
      <c r="C7" s="6"/>
      <c r="D7" s="7"/>
    </row>
    <row r="8" spans="1:4" ht="20.149999999999999" customHeight="1" x14ac:dyDescent="0.35">
      <c r="A8" s="7">
        <v>5</v>
      </c>
      <c r="B8" s="6"/>
      <c r="C8" s="6"/>
      <c r="D8" s="7"/>
    </row>
    <row r="9" spans="1:4" ht="20.149999999999999" hidden="1" customHeight="1" x14ac:dyDescent="0.35">
      <c r="A9" s="7">
        <v>6</v>
      </c>
      <c r="B9" s="6"/>
      <c r="C9" s="6"/>
      <c r="D9" s="7"/>
    </row>
    <row r="10" spans="1:4" ht="20.149999999999999" hidden="1" customHeight="1" x14ac:dyDescent="0.35">
      <c r="A10" s="10">
        <v>7</v>
      </c>
      <c r="B10" s="11"/>
      <c r="C10" s="11"/>
      <c r="D10" s="10"/>
    </row>
    <row r="11" spans="1:4" ht="20.149999999999999" customHeight="1" x14ac:dyDescent="0.35">
      <c r="A11" s="8"/>
      <c r="B11" s="9"/>
      <c r="C11" s="39">
        <f>SUM(C4:C10)</f>
        <v>4.9493339999999995</v>
      </c>
      <c r="D11" s="13"/>
    </row>
  </sheetData>
  <printOptions horizontalCentered="1"/>
  <pageMargins left="0.25" right="0.25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FDN</vt:lpstr>
      <vt:lpstr>Stub dispatch</vt:lpstr>
      <vt:lpstr>ERN</vt:lpstr>
      <vt:lpstr>STG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Abir Kumar Das</cp:lastModifiedBy>
  <cp:lastPrinted>2024-05-23T07:04:00Z</cp:lastPrinted>
  <dcterms:created xsi:type="dcterms:W3CDTF">2015-06-05T18:17:20Z</dcterms:created>
  <dcterms:modified xsi:type="dcterms:W3CDTF">2025-11-01T07:28:33Z</dcterms:modified>
</cp:coreProperties>
</file>