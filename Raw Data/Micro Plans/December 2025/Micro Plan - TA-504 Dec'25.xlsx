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DPR\TA-504\December 2025\"/>
    </mc:Choice>
  </mc:AlternateContent>
  <xr:revisionPtr revIDLastSave="0" documentId="13_ncr:1_{3764FDBC-4ADA-47FB-9BB9-0AD93B81B239}" xr6:coauthVersionLast="47" xr6:coauthVersionMax="47" xr10:uidLastSave="{00000000-0000-0000-0000-000000000000}"/>
  <bookViews>
    <workbookView xWindow="-110" yWindow="-110" windowWidth="19420" windowHeight="115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Dec25" sheetId="2" r:id="rId3"/>
    <sheet name="Stringing- DEC25 " sheetId="6" r:id="rId4"/>
    <sheet name="STG-Sep25" sheetId="3" state="hidden" r:id="rId5"/>
  </sheets>
  <definedNames>
    <definedName name="_xlnm._FilterDatabase" localSheetId="2" hidden="1">'Erection-Dec25'!$A$1:$O$22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" i="2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<sst xmlns="http://schemas.openxmlformats.org/spreadsheetml/2006/main" count="298" uniqueCount="170">
  <si>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</si>
  <si>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</si>
  <si>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</si>
  <si>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</si>
  <si>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</si>
  <si>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</si>
  <si>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</si>
  <si>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</si>
  <si>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</si>
  <si>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</si>
  <si>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</si>
  <si>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</si>
  <si>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</si>
  <si>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</si>
  <si>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</si>
  <si>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</si>
  <si>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</si>
  <si>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</si>
  <si>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</si>
  <si>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</si>
  <si>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</si>
  <si>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</si>
  <si>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</si>
  <si>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</si>
  <si>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</si>
  <si>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</si>
  <si>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</si>
  <si>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</si>
  <si>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</si>
  <si>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</si>
  <si>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</si>
  <si>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</si>
  <si>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</si>
  <si>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</si>
  <si>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</si>
  <si>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</si>
  <si>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</si>
  <si>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</si>
  <si>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</si>
  <si>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</si>
  <si>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</si>
  <si>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</si>
  <si>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</si>
  <si>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</si>
  <si>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</si>
  <si>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</si>
  <si>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</si>
  <si>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</si>
  <si>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</si>
  <si>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</si>
  <si>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</si>
  <si>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</si>
  <si>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</si>
  <si>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</si>
  <si>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</si>
  <si>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</si>
  <si>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</si>
  <si>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</si>
  <si>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</si>
  <si>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</si>
  <si>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</si>
  <si>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</si>
  <si>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</si>
  <si>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</si>
  <si>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</si>
  <si>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</si>
  <si>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</si>
  <si>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</si>
  <si>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</si>
  <si>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</si>
  <si>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</si>
  <si>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</si>
  <si>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</si>
  <si>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</si>
  <si>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</si>
  <si>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</si>
  <si>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</si>
  <si>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</si>
  <si>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</si>
  <si>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</si>
  <si>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</si>
  <si>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</si>
  <si>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</si>
  <si>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</si>
  <si>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</si>
  <si>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</si>
  <si>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</si>
  <si>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</si>
  <si>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</si>
  <si>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</si>
  <si>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</si>
  <si>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</si>
  <si>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</si>
  <si>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</si>
  <si>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</si>
  <si>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</si>
  <si>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</si>
  <si>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</si>
  <si>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</si>
  <si>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</si>
  <si>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</si>
  <si>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</si>
  <si>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</si>
  <si>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</si>
  <si>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</si>
  <si>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</si>
  <si>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</si>
  <si>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</si>
  <si>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</si>
  <si>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</si>
  <si>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</si>
  <si>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</si>
  <si>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</si>
  <si>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</si>
  <si>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</si>
  <si>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14/0</t>
  </si>
  <si>
    <t>Executing Agency:- KEC International Limited</t>
  </si>
  <si>
    <t>Sr no</t>
  </si>
  <si>
    <t>Section Name</t>
  </si>
  <si>
    <t>Tower Erection  Status</t>
  </si>
  <si>
    <t>Tower in section</t>
  </si>
  <si>
    <t>Insulator Hoisting</t>
  </si>
  <si>
    <t>Paying Out Start</t>
  </si>
  <si>
    <t>Paying Out Completed</t>
  </si>
  <si>
    <t>Final sag complete</t>
  </si>
  <si>
    <t>Total length (KM)</t>
  </si>
  <si>
    <t xml:space="preserve">Micro Plan - Stringing </t>
  </si>
  <si>
    <t>Section Length Miter</t>
  </si>
  <si>
    <t>11/5</t>
  </si>
  <si>
    <t>DA+3</t>
  </si>
  <si>
    <t>DD45+0</t>
  </si>
  <si>
    <t>DA+0</t>
  </si>
  <si>
    <t>DA+9</t>
  </si>
  <si>
    <t>16/4</t>
  </si>
  <si>
    <t>19/2</t>
  </si>
  <si>
    <t>DC2+0</t>
  </si>
  <si>
    <t>30/0</t>
  </si>
  <si>
    <t>30/3</t>
  </si>
  <si>
    <t>31/0</t>
  </si>
  <si>
    <t>31/2</t>
  </si>
  <si>
    <t>DB1+6</t>
  </si>
  <si>
    <t xml:space="preserve">32/0 </t>
  </si>
  <si>
    <t>DB1+0</t>
  </si>
  <si>
    <t>32/2</t>
  </si>
  <si>
    <t>DB1+9</t>
  </si>
  <si>
    <t>33/0</t>
  </si>
  <si>
    <t>Prasant Kumar</t>
  </si>
  <si>
    <t>Rajesh Singh</t>
  </si>
  <si>
    <t>Teklal Mahto</t>
  </si>
  <si>
    <t>Rameswar Mahto</t>
  </si>
  <si>
    <t>15/0</t>
  </si>
  <si>
    <t>15/1</t>
  </si>
  <si>
    <t>16/0</t>
  </si>
  <si>
    <t>DB2+3</t>
  </si>
  <si>
    <t>17/4</t>
  </si>
  <si>
    <t>18/1</t>
  </si>
  <si>
    <t>20/0</t>
  </si>
  <si>
    <t>DD45+6</t>
  </si>
  <si>
    <t>10/1</t>
  </si>
  <si>
    <t>10/3</t>
  </si>
  <si>
    <t>11/6</t>
  </si>
  <si>
    <t>13/4</t>
  </si>
  <si>
    <t>Name of the line : 765 KV D/C Rishabdeo - Mandsaur</t>
  </si>
  <si>
    <t>Powergrid Mewar Transmission Limited (Power Grid Corporation of India)</t>
  </si>
  <si>
    <t>Datewise Stringing planning for the month of December 2025</t>
  </si>
  <si>
    <t>AP11 - AP12</t>
  </si>
  <si>
    <t>1 BALANCE</t>
  </si>
  <si>
    <t>AP12 - AP13</t>
  </si>
  <si>
    <t>COMPLETED</t>
  </si>
  <si>
    <t>AP17 - AP18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</si>
</sst>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  <numFmt numFmtId="171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3" fillId="0" borderId="0"/>
    <xf numFmtId="43" fontId="3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" fillId="0" borderId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0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0" fontId="23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4" fontId="0" fillId="10" borderId="0" xfId="1" applyNumberFormat="1" applyFont="1" applyFill="1" applyBorder="1" applyAlignment="1">
      <alignment vertical="center"/>
    </xf>
    <xf numFmtId="43" fontId="11" fillId="10" borderId="0" xfId="1" applyFont="1" applyFill="1" applyBorder="1" applyAlignment="1">
      <alignment vertical="center"/>
    </xf>
    <xf numFmtId="43" fontId="12" fillId="10" borderId="0" xfId="1" applyFont="1" applyFill="1" applyBorder="1" applyAlignment="1">
      <alignment vertical="center"/>
    </xf>
    <xf numFmtId="43" fontId="11" fillId="10" borderId="0" xfId="0" applyNumberFormat="1" applyFont="1" applyFill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170" fontId="28" fillId="10" borderId="1" xfId="0" applyNumberFormat="1" applyFont="1" applyFill="1" applyBorder="1" applyAlignment="1">
      <alignment vertical="center" wrapText="1"/>
    </xf>
    <xf numFmtId="15" fontId="14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0" fillId="0" borderId="1" xfId="0" applyBorder="1" applyAlignment="1">
      <alignment horizontal="left" vertical="center"/>
    </xf>
    <xf numFmtId="0" fontId="0" fillId="0" borderId="23" xfId="0" applyBorder="1"/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34" fillId="0" borderId="1" xfId="9" applyFont="1" applyBorder="1" applyAlignment="1">
      <alignment horizontal="center" vertical="center" wrapText="1"/>
    </xf>
    <xf numFmtId="2" fontId="34" fillId="0" borderId="7" xfId="9" applyNumberFormat="1" applyFont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0" fillId="10" borderId="28" xfId="0" applyFill="1" applyBorder="1" applyAlignment="1">
      <alignment vertical="center"/>
    </xf>
    <xf numFmtId="0" fontId="0" fillId="0" borderId="28" xfId="0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9" fillId="12" borderId="20" xfId="78" applyFont="1" applyFill="1" applyBorder="1" applyAlignment="1">
      <alignment horizontal="center" vertical="center" wrapText="1"/>
    </xf>
    <xf numFmtId="0" fontId="29" fillId="12" borderId="1" xfId="78" applyFont="1" applyFill="1" applyBorder="1" applyAlignment="1">
      <alignment horizontal="center" vertical="center" wrapText="1"/>
    </xf>
    <xf numFmtId="0" fontId="29" fillId="12" borderId="19" xfId="78" applyFont="1" applyFill="1" applyBorder="1" applyAlignment="1">
      <alignment horizontal="center" vertical="center" wrapText="1"/>
    </xf>
    <xf numFmtId="0" fontId="29" fillId="12" borderId="16" xfId="78" applyFont="1" applyFill="1" applyBorder="1" applyAlignment="1">
      <alignment horizontal="center" vertical="center" wrapText="1"/>
    </xf>
    <xf numFmtId="0" fontId="29" fillId="12" borderId="26" xfId="78" applyFont="1" applyFill="1" applyBorder="1" applyAlignment="1">
      <alignment horizontal="center" vertical="center" wrapText="1"/>
    </xf>
    <xf numFmtId="0" fontId="29" fillId="12" borderId="18" xfId="78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70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82" t="s">
        <v>4</v>
      </c>
      <c r="B18" s="182" t="s">
        <v>5</v>
      </c>
      <c r="C18" s="179" t="s">
        <v>6</v>
      </c>
      <c r="D18" s="182" t="s">
        <v>7</v>
      </c>
      <c r="E18" s="179" t="s">
        <v>16</v>
      </c>
      <c r="F18" s="179" t="s">
        <v>17</v>
      </c>
      <c r="G18" s="182" t="s">
        <v>8</v>
      </c>
      <c r="H18" s="194" t="s">
        <v>18</v>
      </c>
      <c r="I18" s="194"/>
      <c r="J18" s="194"/>
      <c r="K18" s="194"/>
      <c r="L18" s="194"/>
      <c r="M18" s="194"/>
      <c r="N18" s="194"/>
      <c r="O18" s="194"/>
      <c r="P18" s="187" t="s">
        <v>19</v>
      </c>
      <c r="R18" s="179" t="s">
        <v>36</v>
      </c>
      <c r="T18" s="188" t="s">
        <v>31</v>
      </c>
      <c r="U18" s="189"/>
      <c r="V18" s="189"/>
      <c r="W18" s="189"/>
      <c r="X18" s="189"/>
      <c r="Y18" s="190"/>
      <c r="AA18" s="188" t="s">
        <v>30</v>
      </c>
      <c r="AB18" s="189"/>
      <c r="AC18" s="189"/>
      <c r="AD18" s="189"/>
      <c r="AE18" s="189"/>
      <c r="AF18" s="190"/>
      <c r="AG18" s="191" t="s">
        <v>34</v>
      </c>
    </row>
    <row r="19" spans="1:33" ht="21" customHeight="1" x14ac:dyDescent="0.35">
      <c r="A19" s="183"/>
      <c r="B19" s="183"/>
      <c r="C19" s="180"/>
      <c r="D19" s="183"/>
      <c r="E19" s="180"/>
      <c r="F19" s="180"/>
      <c r="G19" s="183"/>
      <c r="H19" s="199" t="s">
        <v>9</v>
      </c>
      <c r="I19" s="199"/>
      <c r="J19" s="199" t="s">
        <v>12</v>
      </c>
      <c r="K19" s="199"/>
      <c r="L19" s="199" t="s">
        <v>13</v>
      </c>
      <c r="M19" s="199"/>
      <c r="N19" s="195" t="s">
        <v>15</v>
      </c>
      <c r="O19" s="195" t="s">
        <v>14</v>
      </c>
      <c r="P19" s="187"/>
      <c r="R19" s="193"/>
      <c r="T19" s="185" t="s">
        <v>24</v>
      </c>
      <c r="U19" s="185" t="s">
        <v>25</v>
      </c>
      <c r="V19" s="185" t="s">
        <v>26</v>
      </c>
      <c r="W19" s="185" t="s">
        <v>27</v>
      </c>
      <c r="X19" s="185" t="s">
        <v>28</v>
      </c>
      <c r="Y19" s="43" t="s">
        <v>29</v>
      </c>
      <c r="AA19" s="185" t="s">
        <v>24</v>
      </c>
      <c r="AB19" s="185" t="s">
        <v>25</v>
      </c>
      <c r="AC19" s="185" t="s">
        <v>26</v>
      </c>
      <c r="AD19" s="185" t="s">
        <v>27</v>
      </c>
      <c r="AE19" s="185" t="s">
        <v>28</v>
      </c>
      <c r="AF19" s="43" t="s">
        <v>29</v>
      </c>
      <c r="AG19" s="192"/>
    </row>
    <row r="20" spans="1:33" ht="15" thickBot="1" x14ac:dyDescent="0.4">
      <c r="A20" s="184"/>
      <c r="B20" s="183"/>
      <c r="C20" s="180"/>
      <c r="D20" s="183"/>
      <c r="E20" s="181"/>
      <c r="F20" s="181"/>
      <c r="G20" s="183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96"/>
      <c r="O20" s="196"/>
      <c r="P20" s="44" t="s">
        <v>50</v>
      </c>
      <c r="R20" s="18" t="s">
        <v>37</v>
      </c>
      <c r="T20" s="186"/>
      <c r="U20" s="186"/>
      <c r="V20" s="186"/>
      <c r="W20" s="186"/>
      <c r="X20" s="186"/>
      <c r="Y20" s="19"/>
      <c r="AA20" s="186"/>
      <c r="AB20" s="186"/>
      <c r="AC20" s="186"/>
      <c r="AD20" s="186"/>
      <c r="AE20" s="186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197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198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G25:G26"/>
    <mergeCell ref="O19:O20"/>
    <mergeCell ref="H19:I19"/>
    <mergeCell ref="J19:K19"/>
    <mergeCell ref="L19:M19"/>
    <mergeCell ref="H18:O18"/>
    <mergeCell ref="N19:N20"/>
    <mergeCell ref="U19:U20"/>
    <mergeCell ref="V19:V20"/>
    <mergeCell ref="W19:W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F18:F20"/>
    <mergeCell ref="G18:G20"/>
    <mergeCell ref="A18:A20"/>
    <mergeCell ref="B18:B20"/>
    <mergeCell ref="C18:C20"/>
    <mergeCell ref="D18:D20"/>
    <mergeCell ref="E18:E20"/>
  </mergeCells>
  <phoneticPr fontId="8" type="noConversion"/>
  <conditionalFormatting sqref="B21">
    <cfRule type="duplicateValues" dxfId="69" priority="1"/>
    <cfRule type="duplicateValues" dxfId="68" priority="2"/>
    <cfRule type="duplicateValues" dxfId="67" priority="3"/>
    <cfRule type="duplicateValues" dxfId="66" priority="4"/>
    <cfRule type="expression" dxfId="65" priority="5" stopIfTrue="1">
      <formula>AND(COUNTIF($D$28:$D$37, B21)+COUNTIF($D$16:$D$16, B21)&gt;1,NOT(ISBLANK(B21)))</formula>
    </cfRule>
    <cfRule type="expression" dxfId="64" priority="6" stopIfTrue="1">
      <formula>AND(COUNTIF($D$28:$D$65380, B21)+COUNTIF($D$1:$D$16, B21)&gt;1,NOT(ISBLANK(B21)))</formula>
    </cfRule>
    <cfRule type="expression" dxfId="63" priority="7" stopIfTrue="1">
      <formula>AND(COUNTIF($D$17:$D$65380, B21)+COUNTIF($D$1:$D$16, B21)&gt;1,NOT(ISBLANK(B21)))</formula>
    </cfRule>
    <cfRule type="expression" dxfId="62" priority="8" stopIfTrue="1">
      <formula>AND(COUNTIF($D$1:$D$123, B21)+COUNTIF($D$142:$D$65380, B21)&gt;1,NOT(ISBLANK(B21)))</formula>
    </cfRule>
    <cfRule type="expression" dxfId="61" priority="9" stopIfTrue="1">
      <formula>AND(COUNTIF($D$1:$D$191, B21)+COUNTIF($D$214:$D$65380, B21)&gt;1,NOT(ISBLANK(B21)))</formula>
    </cfRule>
    <cfRule type="expression" dxfId="60" priority="10" stopIfTrue="1">
      <formula>AND(COUNTIF($D$1:$D$191, B21)+COUNTIF($D$214:$D$65380, B21)&gt;1,NOT(ISBLANK(B21)))</formula>
    </cfRule>
    <cfRule type="expression" dxfId="59" priority="11" stopIfTrue="1">
      <formula>AND(COUNTIF($D$1:$D$191, B21)+COUNTIF($D$214:$D$65380, B21)&gt;1,NOT(ISBLANK(B21)))</formula>
    </cfRule>
    <cfRule type="expression" dxfId="58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57" priority="18"/>
  </conditionalFormatting>
  <conditionalFormatting sqref="B22">
    <cfRule type="duplicateValues" dxfId="56" priority="14"/>
    <cfRule type="duplicateValues" dxfId="55" priority="15"/>
    <cfRule type="duplicateValues" dxfId="54" priority="16"/>
  </conditionalFormatting>
  <conditionalFormatting sqref="B23">
    <cfRule type="duplicateValues" dxfId="53" priority="19"/>
    <cfRule type="duplicateValues" dxfId="52" priority="20"/>
    <cfRule type="expression" dxfId="51" priority="1251" stopIfTrue="1">
      <formula>AND(COUNTIF($C$2:$C$65291, B23)+COUNTIF(#REF!, B23)&gt;1,NOT(ISBLANK(B23)))</formula>
    </cfRule>
    <cfRule type="expression" dxfId="50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49" priority="1248" stopIfTrue="1">
      <formula>AND(COUNTIF($C$1:$C$65282, B21)+COUNTIF(#REF!, B21)&gt;1,NOT(ISBLANK(B21)))</formula>
    </cfRule>
  </conditionalFormatting>
  <conditionalFormatting sqref="B26:B27 B23 B21">
    <cfRule type="expression" dxfId="48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47" priority="1239"/>
    <cfRule type="expression" dxfId="46" priority="1240" stopIfTrue="1">
      <formula>AND(COUNTIF($D$28:$D$37, B26)+COUNTIF($D$16:$D$16, B26)&gt;1,NOT(ISBLANK(B26)))</formula>
    </cfRule>
    <cfRule type="expression" dxfId="45" priority="1241" stopIfTrue="1">
      <formula>AND(COUNTIF($D$28:$D$65380, B26)+COUNTIF($D$1:$D$16, B26)&gt;1,NOT(ISBLANK(B26)))</formula>
    </cfRule>
    <cfRule type="expression" dxfId="44" priority="1242" stopIfTrue="1">
      <formula>AND(COUNTIF($D$17:$D$65380, B26)+COUNTIF($D$1:$D$16, B26)&gt;1,NOT(ISBLANK(B26)))</formula>
    </cfRule>
    <cfRule type="expression" dxfId="43" priority="1243" stopIfTrue="1">
      <formula>AND(COUNTIF($D$1:$D$123, B26)+COUNTIF($D$142:$D$65380, B26)&gt;1,NOT(ISBLANK(B26)))</formula>
    </cfRule>
    <cfRule type="expression" dxfId="42" priority="1245" stopIfTrue="1">
      <formula>AND(COUNTIF($D$1:$D$191, B26)+COUNTIF($D$214:$D$65380, B26)&gt;1,NOT(ISBLANK(B26)))</formula>
    </cfRule>
    <cfRule type="expression" dxfId="41" priority="1246" stopIfTrue="1">
      <formula>AND(COUNTIF($D$1:$D$191, B26)+COUNTIF($D$214:$D$65380, B26)&gt;1,NOT(ISBLANK(B26)))</formula>
    </cfRule>
    <cfRule type="expression" dxfId="40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39" priority="1244" stopIfTrue="1">
      <formula>AND(COUNTIF($D$1:$D$191, B26)+COUNTIF($D$214:$D$65380, B26)&gt;1,NOT(ISBLANK(B26)))</formula>
    </cfRule>
  </conditionalFormatting>
  <conditionalFormatting sqref="B27">
    <cfRule type="duplicateValues" dxfId="38" priority="22"/>
    <cfRule type="duplicateValues" dxfId="37" priority="23"/>
    <cfRule type="duplicateValues" dxfId="36" priority="24"/>
  </conditionalFormatting>
  <conditionalFormatting sqref="B28">
    <cfRule type="duplicateValues" dxfId="35" priority="1190"/>
    <cfRule type="duplicateValues" dxfId="34" priority="1191"/>
    <cfRule type="duplicateValues" dxfId="33" priority="1192"/>
  </conditionalFormatting>
  <conditionalFormatting sqref="B29:B1048576 B1:B20">
    <cfRule type="duplicateValues" dxfId="32" priority="347"/>
  </conditionalFormatting>
  <conditionalFormatting sqref="L4">
    <cfRule type="expression" dxfId="31" priority="1221" stopIfTrue="1">
      <formula>AND(COUNTIF($C$1:$C$65460, L4)+COUNTIF(#REF!, L4)&gt;1,NOT(ISBLANK(L4)))</formula>
    </cfRule>
    <cfRule type="expression" dxfId="30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29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8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7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6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5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24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23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2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1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20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9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8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7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6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200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201"/>
    </row>
    <row r="6" spans="2:18" s="75" customFormat="1" x14ac:dyDescent="0.35">
      <c r="B6" s="202" t="s">
        <v>29</v>
      </c>
      <c r="C6" s="203"/>
      <c r="D6" s="204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5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22"/>
  <sheetViews>
    <sheetView tabSelected="1" zoomScale="88" zoomScaleNormal="80" workbookViewId="0">
      <selection activeCell="E10" sqref="E10"/>
    </sheetView>
  </sheetViews>
  <sheetFormatPr defaultColWidth="9.1796875" defaultRowHeight="14.5" x14ac:dyDescent="0.35"/>
  <cols>
    <col min="1" max="1" width="4.54296875" style="4" customWidth="1"/>
    <col min="2" max="2" width="11.81640625" style="1" customWidth="1"/>
    <col min="3" max="3" width="11.26953125" style="1" customWidth="1"/>
    <col min="4" max="4" width="12.54296875" style="4" customWidth="1"/>
    <col min="5" max="5" width="20.7265625" style="4" customWidth="1"/>
    <col min="6" max="6" width="12.7265625" style="4" customWidth="1"/>
    <col min="7" max="7" width="18.453125" style="4" customWidth="1"/>
    <col min="8" max="8" width="19.4531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1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26" t="s">
        <v>4</v>
      </c>
      <c r="B1" s="126" t="s">
        <v>112</v>
      </c>
      <c r="C1" s="127" t="s">
        <v>6</v>
      </c>
      <c r="D1" s="127" t="s">
        <v>107</v>
      </c>
      <c r="E1" s="126" t="s">
        <v>108</v>
      </c>
      <c r="F1" s="126" t="s">
        <v>103</v>
      </c>
      <c r="G1" s="127" t="s">
        <v>104</v>
      </c>
      <c r="H1" s="126" t="s">
        <v>105</v>
      </c>
      <c r="I1" s="127" t="s">
        <v>106</v>
      </c>
      <c r="J1" s="130" t="s">
        <v>113</v>
      </c>
      <c r="K1" s="131" t="s">
        <v>110</v>
      </c>
      <c r="L1" s="131" t="s">
        <v>111</v>
      </c>
      <c r="M1" s="130" t="s">
        <v>38</v>
      </c>
      <c r="N1" s="130" t="s">
        <v>39</v>
      </c>
      <c r="O1" s="128" t="s">
        <v>109</v>
      </c>
      <c r="P1" s="129" t="s">
        <v>114</v>
      </c>
    </row>
    <row r="2" spans="1:37" s="141" customFormat="1" ht="18.5" x14ac:dyDescent="0.35">
      <c r="A2" s="135">
        <v>1</v>
      </c>
      <c r="B2" s="174" t="s">
        <v>128</v>
      </c>
      <c r="C2" s="174" t="s">
        <v>129</v>
      </c>
      <c r="D2" s="175">
        <v>37.931087999999995</v>
      </c>
      <c r="E2" s="153"/>
      <c r="F2" s="136"/>
      <c r="G2" s="137" t="s">
        <v>146</v>
      </c>
      <c r="H2" s="152" t="s">
        <v>147</v>
      </c>
      <c r="I2" s="137"/>
      <c r="J2" s="138"/>
      <c r="K2" s="132"/>
      <c r="L2" s="132"/>
      <c r="M2" s="138"/>
      <c r="N2" s="138"/>
      <c r="O2" s="139">
        <f>D2*10540</f>
        <v>399793.66751999996</v>
      </c>
      <c r="P2" s="140"/>
    </row>
    <row r="3" spans="1:37" s="141" customFormat="1" ht="18.5" x14ac:dyDescent="0.35">
      <c r="A3" s="135">
        <v>2</v>
      </c>
      <c r="B3" s="174" t="s">
        <v>115</v>
      </c>
      <c r="C3" s="174" t="s">
        <v>130</v>
      </c>
      <c r="D3" s="175">
        <v>73.244547999999995</v>
      </c>
      <c r="E3" s="153"/>
      <c r="F3" s="136"/>
      <c r="G3" s="137" t="s">
        <v>146</v>
      </c>
      <c r="H3" s="152" t="s">
        <v>147</v>
      </c>
      <c r="I3" s="137"/>
      <c r="J3" s="138"/>
      <c r="K3" s="132"/>
      <c r="L3" s="132"/>
      <c r="M3" s="138"/>
      <c r="N3" s="138"/>
      <c r="O3" s="139">
        <f t="shared" ref="O3:O22" si="0">D3*10540</f>
        <v>771997.53591999994</v>
      </c>
      <c r="P3" s="140"/>
      <c r="Q3" s="142"/>
      <c r="R3" s="142"/>
      <c r="T3" s="143"/>
      <c r="V3" s="142"/>
      <c r="W3" s="142"/>
      <c r="X3" s="142"/>
      <c r="Y3" s="142"/>
      <c r="Z3" s="142"/>
      <c r="AA3" s="142"/>
      <c r="AC3" s="142"/>
      <c r="AD3" s="142"/>
      <c r="AE3" s="142"/>
      <c r="AF3" s="142"/>
      <c r="AG3" s="142"/>
      <c r="AH3" s="142"/>
      <c r="AI3" s="144"/>
    </row>
    <row r="4" spans="1:37" s="141" customFormat="1" ht="18.5" x14ac:dyDescent="0.35">
      <c r="A4" s="135">
        <v>3</v>
      </c>
      <c r="B4" s="174" t="s">
        <v>133</v>
      </c>
      <c r="C4" s="174" t="s">
        <v>132</v>
      </c>
      <c r="D4" s="175">
        <v>45.697021999999997</v>
      </c>
      <c r="E4" s="153"/>
      <c r="F4" s="136"/>
      <c r="G4" s="137" t="s">
        <v>146</v>
      </c>
      <c r="H4" s="152" t="s">
        <v>148</v>
      </c>
      <c r="I4" s="137"/>
      <c r="J4" s="138"/>
      <c r="K4" s="132"/>
      <c r="L4" s="132"/>
      <c r="M4" s="138"/>
      <c r="N4" s="138"/>
      <c r="O4" s="139">
        <f t="shared" si="0"/>
        <v>481646.61187999998</v>
      </c>
      <c r="P4" s="140"/>
      <c r="Q4" s="145"/>
      <c r="R4" s="144"/>
      <c r="T4" s="143"/>
      <c r="V4" s="142"/>
      <c r="W4" s="142"/>
      <c r="X4" s="142"/>
      <c r="Y4" s="142"/>
      <c r="Z4" s="142"/>
      <c r="AA4" s="144"/>
      <c r="AC4" s="142"/>
      <c r="AD4" s="142"/>
      <c r="AE4" s="142"/>
      <c r="AF4" s="142"/>
      <c r="AG4" s="142"/>
      <c r="AH4" s="144"/>
      <c r="AI4" s="144"/>
    </row>
    <row r="5" spans="1:37" s="141" customFormat="1" ht="18.5" x14ac:dyDescent="0.35">
      <c r="A5" s="135">
        <v>4</v>
      </c>
      <c r="B5" s="174" t="s">
        <v>134</v>
      </c>
      <c r="C5" s="174" t="s">
        <v>129</v>
      </c>
      <c r="D5" s="175">
        <v>37.931087999999995</v>
      </c>
      <c r="E5" s="153"/>
      <c r="F5" s="136"/>
      <c r="G5" s="137" t="s">
        <v>146</v>
      </c>
      <c r="H5" s="152" t="s">
        <v>148</v>
      </c>
      <c r="I5" s="137"/>
      <c r="J5" s="138"/>
      <c r="K5" s="133"/>
      <c r="L5" s="133"/>
      <c r="M5" s="138"/>
      <c r="N5" s="138"/>
      <c r="O5" s="139">
        <f t="shared" si="0"/>
        <v>399793.66751999996</v>
      </c>
      <c r="P5" s="140"/>
      <c r="Q5" s="146"/>
      <c r="R5" s="146"/>
      <c r="T5" s="147"/>
      <c r="V5" s="148"/>
      <c r="W5" s="148"/>
      <c r="X5" s="148"/>
      <c r="Y5" s="148"/>
      <c r="Z5" s="148"/>
      <c r="AA5" s="148"/>
      <c r="AC5" s="149"/>
      <c r="AD5" s="149"/>
      <c r="AE5" s="149"/>
      <c r="AF5" s="149"/>
      <c r="AG5" s="149"/>
      <c r="AH5" s="150"/>
      <c r="AI5" s="151"/>
    </row>
    <row r="6" spans="1:37" s="141" customFormat="1" ht="18.5" x14ac:dyDescent="0.35">
      <c r="A6" s="135">
        <v>5</v>
      </c>
      <c r="B6" s="174" t="s">
        <v>136</v>
      </c>
      <c r="C6" s="174" t="s">
        <v>135</v>
      </c>
      <c r="D6" s="175">
        <v>67.261728000000005</v>
      </c>
      <c r="E6" s="153"/>
      <c r="F6" s="136"/>
      <c r="G6" s="137" t="s">
        <v>146</v>
      </c>
      <c r="H6" s="152" t="s">
        <v>148</v>
      </c>
      <c r="I6" s="137"/>
      <c r="J6" s="138"/>
      <c r="K6" s="133"/>
      <c r="L6" s="133"/>
      <c r="M6" s="138"/>
      <c r="N6" s="138"/>
      <c r="O6" s="139">
        <f t="shared" si="0"/>
        <v>708938.61312000011</v>
      </c>
      <c r="P6" s="140"/>
      <c r="Q6" s="146"/>
      <c r="R6" s="146"/>
      <c r="T6" s="147"/>
      <c r="V6" s="148"/>
      <c r="W6" s="148"/>
      <c r="X6" s="148"/>
      <c r="Y6" s="148"/>
      <c r="Z6" s="148"/>
      <c r="AA6" s="148"/>
      <c r="AC6" s="149"/>
      <c r="AD6" s="149"/>
      <c r="AE6" s="149"/>
      <c r="AF6" s="149"/>
      <c r="AG6" s="149"/>
      <c r="AH6" s="150"/>
      <c r="AI6" s="151"/>
    </row>
    <row r="7" spans="1:37" s="141" customFormat="1" ht="18.5" x14ac:dyDescent="0.35">
      <c r="A7" s="135">
        <v>6</v>
      </c>
      <c r="B7" s="174" t="s">
        <v>150</v>
      </c>
      <c r="C7" s="174" t="s">
        <v>144</v>
      </c>
      <c r="D7" s="175">
        <v>66.775700999999998</v>
      </c>
      <c r="E7" s="153"/>
      <c r="F7" s="136"/>
      <c r="G7" s="137" t="s">
        <v>146</v>
      </c>
      <c r="H7" s="152" t="s">
        <v>147</v>
      </c>
      <c r="I7" s="137"/>
      <c r="J7" s="138"/>
      <c r="K7" s="133"/>
      <c r="L7" s="133"/>
      <c r="M7" s="138"/>
      <c r="N7" s="138"/>
      <c r="O7" s="139">
        <f t="shared" si="0"/>
        <v>703815.88853999996</v>
      </c>
      <c r="P7" s="140"/>
      <c r="Q7" s="146"/>
      <c r="R7" s="146"/>
      <c r="T7" s="147"/>
      <c r="V7" s="148"/>
      <c r="W7" s="148"/>
      <c r="X7" s="148"/>
      <c r="Y7" s="148"/>
      <c r="Z7" s="148"/>
      <c r="AA7" s="148"/>
      <c r="AC7" s="149"/>
      <c r="AD7" s="149"/>
      <c r="AE7" s="149"/>
      <c r="AF7" s="149"/>
      <c r="AG7" s="149"/>
      <c r="AH7" s="150"/>
      <c r="AI7" s="151"/>
    </row>
    <row r="8" spans="1:37" s="141" customFormat="1" ht="18.5" x14ac:dyDescent="0.35">
      <c r="A8" s="135">
        <v>7</v>
      </c>
      <c r="B8" s="174" t="s">
        <v>151</v>
      </c>
      <c r="C8" s="174" t="s">
        <v>132</v>
      </c>
      <c r="D8" s="175">
        <v>45.697021999999997</v>
      </c>
      <c r="E8" s="153"/>
      <c r="F8" s="136"/>
      <c r="G8" s="137" t="s">
        <v>146</v>
      </c>
      <c r="H8" s="152" t="s">
        <v>147</v>
      </c>
      <c r="I8" s="137"/>
      <c r="J8" s="138"/>
      <c r="K8" s="134"/>
      <c r="L8" s="134"/>
      <c r="M8" s="138"/>
      <c r="N8" s="138"/>
      <c r="O8" s="139">
        <f t="shared" si="0"/>
        <v>481646.61187999998</v>
      </c>
      <c r="P8" s="140"/>
      <c r="Q8" s="146"/>
      <c r="R8" s="146"/>
      <c r="T8" s="147"/>
      <c r="V8" s="148"/>
      <c r="W8" s="148"/>
      <c r="X8" s="148"/>
      <c r="Y8" s="148"/>
      <c r="Z8" s="148"/>
      <c r="AA8" s="148"/>
      <c r="AC8" s="149"/>
      <c r="AD8" s="149"/>
      <c r="AE8" s="149"/>
      <c r="AF8" s="149"/>
      <c r="AG8" s="149"/>
      <c r="AH8" s="150"/>
      <c r="AI8" s="151"/>
    </row>
    <row r="9" spans="1:37" s="141" customFormat="1" ht="18.5" x14ac:dyDescent="0.35">
      <c r="A9" s="135">
        <v>8</v>
      </c>
      <c r="B9" s="174" t="s">
        <v>152</v>
      </c>
      <c r="C9" s="174" t="s">
        <v>153</v>
      </c>
      <c r="D9" s="175">
        <v>62.116156000000004</v>
      </c>
      <c r="E9" s="153"/>
      <c r="F9" s="136"/>
      <c r="G9" s="137" t="s">
        <v>146</v>
      </c>
      <c r="H9" s="152" t="s">
        <v>147</v>
      </c>
      <c r="I9" s="137"/>
      <c r="J9" s="138"/>
      <c r="K9" s="133"/>
      <c r="L9" s="133"/>
      <c r="M9" s="138"/>
      <c r="N9" s="138"/>
      <c r="O9" s="139">
        <f t="shared" si="0"/>
        <v>654704.28424000007</v>
      </c>
      <c r="P9" s="140"/>
      <c r="Q9" s="146"/>
      <c r="R9" s="146"/>
      <c r="T9" s="147"/>
      <c r="V9" s="148"/>
      <c r="W9" s="148"/>
      <c r="X9" s="148"/>
      <c r="Y9" s="148"/>
      <c r="Z9" s="148"/>
      <c r="AA9" s="148"/>
      <c r="AC9" s="149"/>
      <c r="AD9" s="149"/>
      <c r="AE9" s="149"/>
      <c r="AF9" s="149"/>
      <c r="AG9" s="149"/>
      <c r="AH9" s="150"/>
      <c r="AI9" s="151"/>
    </row>
    <row r="10" spans="1:37" s="141" customFormat="1" ht="18.5" x14ac:dyDescent="0.35">
      <c r="A10" s="135">
        <v>9</v>
      </c>
      <c r="B10" s="174" t="s">
        <v>154</v>
      </c>
      <c r="C10" s="174" t="s">
        <v>144</v>
      </c>
      <c r="D10" s="175">
        <v>66.775700999999998</v>
      </c>
      <c r="E10" s="153"/>
      <c r="F10" s="136"/>
      <c r="G10" s="137" t="s">
        <v>146</v>
      </c>
      <c r="H10" s="152" t="s">
        <v>148</v>
      </c>
      <c r="I10" s="137"/>
      <c r="J10" s="138"/>
      <c r="K10" s="132"/>
      <c r="L10" s="132"/>
      <c r="M10" s="138"/>
      <c r="N10" s="138"/>
      <c r="O10" s="139">
        <f t="shared" si="0"/>
        <v>703815.88853999996</v>
      </c>
      <c r="P10" s="140"/>
      <c r="Q10" s="146"/>
      <c r="R10" s="146"/>
      <c r="T10" s="147"/>
      <c r="V10" s="148"/>
      <c r="W10" s="148"/>
      <c r="X10" s="148"/>
      <c r="Y10" s="148"/>
      <c r="Z10" s="148"/>
      <c r="AA10" s="148"/>
      <c r="AC10" s="149"/>
      <c r="AD10" s="149"/>
      <c r="AE10" s="149"/>
      <c r="AF10" s="149"/>
      <c r="AG10" s="149"/>
      <c r="AH10" s="150"/>
      <c r="AI10" s="151"/>
      <c r="AK10" s="140"/>
    </row>
    <row r="11" spans="1:37" s="141" customFormat="1" ht="18.5" x14ac:dyDescent="0.35">
      <c r="A11" s="135">
        <v>10</v>
      </c>
      <c r="B11" s="174" t="s">
        <v>155</v>
      </c>
      <c r="C11" s="174" t="s">
        <v>144</v>
      </c>
      <c r="D11" s="175">
        <v>66.775700999999998</v>
      </c>
      <c r="E11" s="153"/>
      <c r="F11" s="136"/>
      <c r="G11" s="137" t="s">
        <v>146</v>
      </c>
      <c r="H11" s="152" t="s">
        <v>148</v>
      </c>
      <c r="I11" s="137"/>
      <c r="J11" s="138"/>
      <c r="K11" s="132"/>
      <c r="L11" s="132"/>
      <c r="M11" s="138"/>
      <c r="N11" s="138"/>
      <c r="O11" s="139">
        <f t="shared" si="0"/>
        <v>703815.88853999996</v>
      </c>
      <c r="P11" s="140"/>
      <c r="Q11" s="146"/>
      <c r="R11" s="146"/>
      <c r="T11" s="147"/>
      <c r="V11" s="148"/>
      <c r="W11" s="148"/>
      <c r="X11" s="148"/>
      <c r="Y11" s="148"/>
      <c r="Z11" s="148"/>
      <c r="AA11" s="148"/>
      <c r="AC11" s="149"/>
      <c r="AD11" s="149"/>
      <c r="AE11" s="149"/>
      <c r="AF11" s="149"/>
      <c r="AG11" s="149"/>
      <c r="AH11" s="150"/>
      <c r="AI11" s="151"/>
    </row>
    <row r="12" spans="1:37" s="141" customFormat="1" ht="18.5" x14ac:dyDescent="0.35">
      <c r="A12" s="135">
        <v>11</v>
      </c>
      <c r="B12" s="174" t="s">
        <v>156</v>
      </c>
      <c r="C12" s="174" t="s">
        <v>157</v>
      </c>
      <c r="D12" s="175">
        <v>85.263691999999978</v>
      </c>
      <c r="E12" s="153"/>
      <c r="F12" s="136"/>
      <c r="G12" s="137" t="s">
        <v>146</v>
      </c>
      <c r="H12" s="152" t="s">
        <v>148</v>
      </c>
      <c r="I12" s="137"/>
      <c r="J12" s="138"/>
      <c r="K12" s="133"/>
      <c r="L12" s="133"/>
      <c r="M12" s="138"/>
      <c r="N12" s="138"/>
      <c r="O12" s="139">
        <f t="shared" si="0"/>
        <v>898679.31367999979</v>
      </c>
      <c r="P12" s="140"/>
      <c r="Q12" s="146"/>
      <c r="R12" s="146"/>
      <c r="T12" s="147"/>
      <c r="V12" s="148"/>
      <c r="W12" s="148"/>
      <c r="X12" s="148"/>
      <c r="Y12" s="148"/>
      <c r="Z12" s="148"/>
      <c r="AA12" s="148"/>
      <c r="AC12" s="149"/>
      <c r="AD12" s="149"/>
      <c r="AE12" s="149"/>
      <c r="AF12" s="149"/>
      <c r="AG12" s="149"/>
      <c r="AH12" s="150"/>
      <c r="AI12" s="151"/>
    </row>
    <row r="13" spans="1:37" s="141" customFormat="1" ht="18.5" x14ac:dyDescent="0.35">
      <c r="A13" s="135">
        <v>12</v>
      </c>
      <c r="B13" s="174" t="s">
        <v>158</v>
      </c>
      <c r="C13" s="174" t="s">
        <v>140</v>
      </c>
      <c r="D13" s="175">
        <v>65.022578999999993</v>
      </c>
      <c r="E13" s="153"/>
      <c r="F13" s="136"/>
      <c r="G13" s="137" t="s">
        <v>146</v>
      </c>
      <c r="H13" s="152" t="s">
        <v>148</v>
      </c>
      <c r="I13" s="137"/>
      <c r="J13" s="138"/>
      <c r="K13" s="133"/>
      <c r="L13" s="133"/>
      <c r="M13" s="138"/>
      <c r="N13" s="138"/>
      <c r="O13" s="139">
        <f t="shared" si="0"/>
        <v>685337.98265999998</v>
      </c>
      <c r="P13" s="140"/>
      <c r="Q13" s="146"/>
      <c r="R13" s="146"/>
      <c r="T13" s="147"/>
      <c r="V13" s="148"/>
      <c r="W13" s="148"/>
      <c r="X13" s="148"/>
      <c r="Y13" s="148"/>
      <c r="Z13" s="148"/>
      <c r="AA13" s="148"/>
      <c r="AC13" s="149"/>
      <c r="AD13" s="149"/>
      <c r="AE13" s="149"/>
      <c r="AF13" s="149"/>
      <c r="AG13" s="149"/>
      <c r="AH13" s="150"/>
      <c r="AI13" s="151"/>
    </row>
    <row r="14" spans="1:37" s="141" customFormat="1" ht="18.5" x14ac:dyDescent="0.35">
      <c r="A14" s="135">
        <v>13</v>
      </c>
      <c r="B14" s="174" t="s">
        <v>159</v>
      </c>
      <c r="C14" s="174" t="s">
        <v>131</v>
      </c>
      <c r="D14" s="175">
        <v>36.159756000000002</v>
      </c>
      <c r="E14" s="153"/>
      <c r="F14" s="136"/>
      <c r="G14" s="137" t="s">
        <v>146</v>
      </c>
      <c r="H14" s="152" t="s">
        <v>148</v>
      </c>
      <c r="I14" s="137"/>
      <c r="J14" s="138"/>
      <c r="K14" s="133"/>
      <c r="L14" s="133"/>
      <c r="M14" s="138"/>
      <c r="N14" s="138"/>
      <c r="O14" s="139">
        <f t="shared" si="0"/>
        <v>381123.82824</v>
      </c>
      <c r="P14" s="140"/>
      <c r="Q14" s="146"/>
      <c r="R14" s="146"/>
      <c r="T14" s="147"/>
      <c r="V14" s="148"/>
      <c r="W14" s="148"/>
      <c r="X14" s="148"/>
      <c r="Y14" s="148"/>
      <c r="Z14" s="148"/>
      <c r="AA14" s="148"/>
      <c r="AC14" s="149"/>
      <c r="AD14" s="149"/>
      <c r="AE14" s="149"/>
      <c r="AF14" s="149"/>
      <c r="AG14" s="149"/>
      <c r="AH14" s="150"/>
      <c r="AI14" s="151"/>
    </row>
    <row r="15" spans="1:37" s="141" customFormat="1" ht="18.5" x14ac:dyDescent="0.35">
      <c r="A15" s="135">
        <v>14</v>
      </c>
      <c r="B15" s="174" t="s">
        <v>160</v>
      </c>
      <c r="C15" s="174" t="s">
        <v>131</v>
      </c>
      <c r="D15" s="175">
        <v>36.159756000000002</v>
      </c>
      <c r="E15" s="153"/>
      <c r="F15" s="136"/>
      <c r="G15" s="137" t="s">
        <v>146</v>
      </c>
      <c r="H15" s="152" t="s">
        <v>148</v>
      </c>
      <c r="I15" s="137"/>
      <c r="J15" s="138"/>
      <c r="K15" s="154"/>
      <c r="L15" s="154"/>
      <c r="M15" s="138"/>
      <c r="N15" s="138"/>
      <c r="O15" s="139">
        <f t="shared" si="0"/>
        <v>381123.82824</v>
      </c>
      <c r="P15" s="140"/>
      <c r="Q15" s="146"/>
      <c r="R15" s="146"/>
      <c r="T15" s="147"/>
      <c r="V15" s="148"/>
      <c r="W15" s="148"/>
      <c r="X15" s="148"/>
      <c r="Y15" s="148"/>
      <c r="Z15" s="148"/>
      <c r="AA15" s="148"/>
      <c r="AC15" s="149"/>
      <c r="AD15" s="149"/>
      <c r="AE15" s="149"/>
      <c r="AF15" s="149"/>
      <c r="AG15" s="149"/>
      <c r="AH15" s="150"/>
      <c r="AI15" s="151"/>
    </row>
    <row r="16" spans="1:37" s="141" customFormat="1" ht="18.5" x14ac:dyDescent="0.35">
      <c r="A16" s="135">
        <v>15</v>
      </c>
      <c r="B16" s="174" t="s">
        <v>161</v>
      </c>
      <c r="C16" s="174" t="s">
        <v>129</v>
      </c>
      <c r="D16" s="175">
        <v>37.931087999999995</v>
      </c>
      <c r="E16" s="153"/>
      <c r="F16" s="136"/>
      <c r="G16" s="137" t="s">
        <v>146</v>
      </c>
      <c r="H16" s="176" t="s">
        <v>149</v>
      </c>
      <c r="I16" s="137"/>
      <c r="J16" s="138"/>
      <c r="K16" s="133"/>
      <c r="L16" s="133"/>
      <c r="M16" s="138"/>
      <c r="N16" s="138"/>
      <c r="O16" s="139">
        <f t="shared" si="0"/>
        <v>399793.66751999996</v>
      </c>
      <c r="P16" s="140"/>
      <c r="Q16" s="146"/>
      <c r="R16" s="146"/>
      <c r="T16" s="147"/>
      <c r="V16" s="148"/>
      <c r="W16" s="148"/>
      <c r="X16" s="148"/>
      <c r="Y16" s="148"/>
      <c r="Z16" s="148"/>
      <c r="AA16" s="148"/>
      <c r="AC16" s="149"/>
      <c r="AD16" s="149"/>
      <c r="AE16" s="149"/>
      <c r="AF16" s="149"/>
      <c r="AG16" s="149"/>
      <c r="AH16" s="150"/>
      <c r="AI16" s="151"/>
    </row>
    <row r="17" spans="1:35" s="141" customFormat="1" ht="18.5" x14ac:dyDescent="0.35">
      <c r="A17" s="135">
        <v>16</v>
      </c>
      <c r="B17" s="174" t="s">
        <v>137</v>
      </c>
      <c r="C17" s="174" t="s">
        <v>132</v>
      </c>
      <c r="D17" s="175">
        <v>45.697021999999997</v>
      </c>
      <c r="E17" s="153"/>
      <c r="F17" s="136"/>
      <c r="G17" s="137" t="s">
        <v>146</v>
      </c>
      <c r="H17" s="176" t="s">
        <v>149</v>
      </c>
      <c r="I17" s="137"/>
      <c r="J17" s="138"/>
      <c r="K17" s="133"/>
      <c r="L17" s="133"/>
      <c r="M17" s="138"/>
      <c r="N17" s="138"/>
      <c r="O17" s="139">
        <f t="shared" si="0"/>
        <v>481646.61187999998</v>
      </c>
      <c r="P17" s="140"/>
      <c r="Q17" s="146"/>
      <c r="R17" s="146"/>
      <c r="T17" s="147"/>
      <c r="V17" s="148"/>
      <c r="W17" s="148"/>
      <c r="X17" s="148"/>
      <c r="Y17" s="148"/>
      <c r="Z17" s="148"/>
      <c r="AA17" s="148"/>
      <c r="AC17" s="149"/>
      <c r="AD17" s="149"/>
      <c r="AE17" s="149"/>
      <c r="AF17" s="149"/>
      <c r="AG17" s="149"/>
      <c r="AH17" s="150"/>
      <c r="AI17" s="151"/>
    </row>
    <row r="18" spans="1:35" s="141" customFormat="1" ht="18.5" x14ac:dyDescent="0.35">
      <c r="A18" s="135">
        <v>17</v>
      </c>
      <c r="B18" s="174" t="s">
        <v>138</v>
      </c>
      <c r="C18" s="174" t="s">
        <v>130</v>
      </c>
      <c r="D18" s="175">
        <v>73.244547999999995</v>
      </c>
      <c r="E18" s="153"/>
      <c r="F18" s="136"/>
      <c r="G18" s="137" t="s">
        <v>146</v>
      </c>
      <c r="H18" s="176" t="s">
        <v>149</v>
      </c>
      <c r="I18" s="137"/>
      <c r="J18" s="138"/>
      <c r="K18" s="133"/>
      <c r="L18" s="133"/>
      <c r="M18" s="138"/>
      <c r="N18" s="138"/>
      <c r="O18" s="139">
        <f t="shared" si="0"/>
        <v>771997.53591999994</v>
      </c>
      <c r="P18" s="140"/>
      <c r="Q18" s="146"/>
      <c r="R18" s="146"/>
      <c r="T18" s="147"/>
      <c r="V18" s="148"/>
      <c r="W18" s="148"/>
      <c r="X18" s="148"/>
      <c r="Y18" s="148"/>
      <c r="Z18" s="148"/>
      <c r="AA18" s="148"/>
      <c r="AC18" s="149"/>
      <c r="AD18" s="149"/>
      <c r="AE18" s="149"/>
      <c r="AF18" s="149"/>
      <c r="AG18" s="149"/>
      <c r="AH18" s="150"/>
      <c r="AI18" s="151"/>
    </row>
    <row r="19" spans="1:35" s="141" customFormat="1" ht="18.5" x14ac:dyDescent="0.35">
      <c r="A19" s="135">
        <v>18</v>
      </c>
      <c r="B19" s="174" t="s">
        <v>139</v>
      </c>
      <c r="C19" s="174" t="s">
        <v>140</v>
      </c>
      <c r="D19" s="175">
        <v>65.022578999999993</v>
      </c>
      <c r="E19" s="153"/>
      <c r="F19" s="136"/>
      <c r="G19" s="137" t="s">
        <v>146</v>
      </c>
      <c r="H19" s="176" t="s">
        <v>149</v>
      </c>
      <c r="I19" s="137"/>
      <c r="J19" s="138"/>
      <c r="K19" s="133"/>
      <c r="L19" s="133"/>
      <c r="M19" s="138"/>
      <c r="N19" s="138"/>
      <c r="O19" s="139">
        <f t="shared" si="0"/>
        <v>685337.98265999998</v>
      </c>
      <c r="P19" s="140"/>
      <c r="Q19" s="146"/>
      <c r="R19" s="146"/>
      <c r="T19" s="147"/>
      <c r="V19" s="148"/>
      <c r="W19" s="148"/>
      <c r="X19" s="148"/>
      <c r="Y19" s="148"/>
      <c r="Z19" s="148"/>
      <c r="AA19" s="148"/>
      <c r="AC19" s="149"/>
      <c r="AD19" s="149"/>
      <c r="AE19" s="149"/>
      <c r="AF19" s="149"/>
      <c r="AG19" s="149"/>
      <c r="AH19" s="150"/>
      <c r="AI19" s="151"/>
    </row>
    <row r="20" spans="1:35" s="141" customFormat="1" ht="18.5" x14ac:dyDescent="0.35">
      <c r="A20" s="135">
        <v>19</v>
      </c>
      <c r="B20" s="174" t="s">
        <v>141</v>
      </c>
      <c r="C20" s="174" t="s">
        <v>142</v>
      </c>
      <c r="D20" s="175">
        <v>55.450851000000007</v>
      </c>
      <c r="E20" s="153"/>
      <c r="F20" s="136"/>
      <c r="G20" s="137" t="s">
        <v>146</v>
      </c>
      <c r="H20" s="176" t="s">
        <v>149</v>
      </c>
      <c r="I20" s="137"/>
      <c r="J20" s="138"/>
      <c r="K20" s="133"/>
      <c r="L20" s="133"/>
      <c r="M20" s="138"/>
      <c r="N20" s="138"/>
      <c r="O20" s="139">
        <f t="shared" si="0"/>
        <v>584451.96954000008</v>
      </c>
      <c r="P20" s="140"/>
      <c r="Q20" s="146"/>
      <c r="R20" s="146"/>
      <c r="V20" s="148"/>
      <c r="W20" s="148"/>
      <c r="X20" s="148"/>
      <c r="Y20" s="148"/>
      <c r="Z20" s="148"/>
      <c r="AA20" s="148"/>
      <c r="AC20" s="149"/>
      <c r="AD20" s="149"/>
      <c r="AE20" s="149"/>
      <c r="AF20" s="149"/>
      <c r="AG20" s="149"/>
      <c r="AH20" s="150"/>
      <c r="AI20" s="151"/>
    </row>
    <row r="21" spans="1:35" s="141" customFormat="1" ht="18.5" x14ac:dyDescent="0.35">
      <c r="A21" s="135">
        <v>20</v>
      </c>
      <c r="B21" s="174" t="s">
        <v>143</v>
      </c>
      <c r="C21" s="174" t="s">
        <v>144</v>
      </c>
      <c r="D21" s="175">
        <v>66.775700999999998</v>
      </c>
      <c r="E21" s="153"/>
      <c r="F21" s="136"/>
      <c r="G21" s="137" t="s">
        <v>146</v>
      </c>
      <c r="H21" s="176" t="s">
        <v>149</v>
      </c>
      <c r="I21" s="137"/>
      <c r="J21" s="138"/>
      <c r="K21" s="133"/>
      <c r="L21" s="133"/>
      <c r="M21" s="138"/>
      <c r="N21" s="138"/>
      <c r="O21" s="139">
        <f t="shared" si="0"/>
        <v>703815.88853999996</v>
      </c>
      <c r="P21" s="140"/>
      <c r="Q21" s="146"/>
      <c r="R21" s="146"/>
      <c r="T21" s="147"/>
      <c r="V21" s="148"/>
      <c r="W21" s="148"/>
      <c r="X21" s="148"/>
      <c r="Y21" s="148"/>
      <c r="Z21" s="148"/>
      <c r="AA21" s="148"/>
      <c r="AC21" s="149"/>
      <c r="AD21" s="149"/>
      <c r="AE21" s="149"/>
      <c r="AF21" s="149"/>
      <c r="AG21" s="149"/>
      <c r="AH21" s="150"/>
      <c r="AI21" s="151"/>
    </row>
    <row r="22" spans="1:35" s="141" customFormat="1" ht="18.5" x14ac:dyDescent="0.35">
      <c r="A22" s="135">
        <v>21</v>
      </c>
      <c r="B22" s="174" t="s">
        <v>145</v>
      </c>
      <c r="C22" s="174" t="s">
        <v>135</v>
      </c>
      <c r="D22" s="175">
        <v>67.261728000000005</v>
      </c>
      <c r="E22" s="153"/>
      <c r="F22" s="136"/>
      <c r="G22" s="137" t="s">
        <v>146</v>
      </c>
      <c r="H22" s="176" t="s">
        <v>149</v>
      </c>
      <c r="I22" s="137"/>
      <c r="J22" s="138"/>
      <c r="K22" s="133"/>
      <c r="L22" s="133"/>
      <c r="M22" s="138"/>
      <c r="N22" s="138"/>
      <c r="O22" s="139">
        <f t="shared" si="0"/>
        <v>708938.61312000011</v>
      </c>
      <c r="P22" s="140"/>
      <c r="Q22" s="146"/>
      <c r="R22" s="146"/>
      <c r="T22" s="147"/>
      <c r="V22" s="148"/>
      <c r="W22" s="148"/>
      <c r="X22" s="148"/>
      <c r="Y22" s="148"/>
      <c r="Z22" s="148"/>
      <c r="AA22" s="148"/>
      <c r="AC22" s="149"/>
      <c r="AD22" s="149"/>
      <c r="AE22" s="149"/>
      <c r="AF22" s="149"/>
      <c r="AG22" s="149"/>
      <c r="AH22" s="150"/>
      <c r="AI22" s="151"/>
    </row>
  </sheetData>
  <phoneticPr fontId="8" type="noConversion"/>
  <conditionalFormatting sqref="B2:B22">
    <cfRule type="duplicateValues" dxfId="14" priority="5" stopIfTrue="1"/>
    <cfRule type="duplicateValues" dxfId="13" priority="6" stopIfTrue="1"/>
    <cfRule type="expression" dxfId="12" priority="1343" stopIfTrue="1">
      <formula>AND(COUNTIF(#REF!, B2)+COUNTIF($B$1:$B$22, B2)&gt;1,NOT(ISBLANK(B2)))</formula>
    </cfRule>
    <cfRule type="expression" dxfId="11" priority="1344" stopIfTrue="1">
      <formula>AND(COUNTIF($B$1:$B$22, B2)+COUNTIF($B$23:$B$65484, B2)&gt;1,NOT(ISBLANK(B2)))</formula>
    </cfRule>
    <cfRule type="expression" dxfId="10" priority="1345" stopIfTrue="1">
      <formula>AND(COUNTIF(#REF!, B2)+COUNTIF($B$1:$B$20, B2)+COUNTIF(#REF!, B2)&gt;1,NOT(ISBLANK(B2)))</formula>
    </cfRule>
    <cfRule type="expression" dxfId="9" priority="1346" stopIfTrue="1">
      <formula>AND(COUNTIF($B$1:$B$20, B2)+COUNTIF($B$23:$B$65484, B2)+COUNTIF(#REF!, B2)&gt;1,NOT(ISBLANK(B2)))</formula>
    </cfRule>
  </conditionalFormatting>
  <conditionalFormatting sqref="J2:J22 M2:N22">
    <cfRule type="containsText" dxfId="8" priority="83" operator="containsText" text="ROW">
      <formula>NOT(ISERROR(SEARCH("ROW",J2)))</formula>
    </cfRule>
  </conditionalFormatting>
  <conditionalFormatting sqref="J2:J22">
    <cfRule type="containsText" dxfId="7" priority="56" operator="containsText" text="WIP">
      <formula>NOT(ISERROR(SEARCH("WIP",J2)))</formula>
    </cfRule>
    <cfRule type="containsText" dxfId="6" priority="61" operator="containsText" text="Complete">
      <formula>NOT(ISERROR(SEARCH("Complete",J2)))</formula>
    </cfRule>
    <cfRule type="containsText" dxfId="5" priority="62" operator="containsText" text="ROW">
      <formula>NOT(ISERROR(SEARCH("ROW",J2)))</formula>
    </cfRule>
  </conditionalFormatting>
  <conditionalFormatting sqref="M2:N22 J2:J22">
    <cfRule type="containsText" dxfId="4" priority="82" operator="containsText" text="Complete">
      <formula>NOT(ISERROR(SEARCH("Complete",J2)))</formula>
    </cfRule>
  </conditionalFormatting>
  <conditionalFormatting sqref="M2:N22">
    <cfRule type="containsText" dxfId="3" priority="80" operator="containsText" text="Complete">
      <formula>NOT(ISERROR(SEARCH("Complete",M2)))</formula>
    </cfRule>
    <cfRule type="containsText" dxfId="2" priority="81" operator="containsText" text="ROW">
      <formula>NOT(ISERROR(SEARCH("ROW",M2)))</formula>
    </cfRule>
    <cfRule type="containsText" dxfId="1" priority="172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E1F-80A5-4555-9FE1-744B1DEBC4EC}">
  <dimension ref="B1:L15"/>
  <sheetViews>
    <sheetView workbookViewId="0">
      <selection activeCell="C11" sqref="C11"/>
    </sheetView>
  </sheetViews>
  <sheetFormatPr defaultRowHeight="14.5" x14ac:dyDescent="0.35"/>
  <cols>
    <col min="1" max="1" width="1.26953125" customWidth="1"/>
    <col min="3" max="3" width="20.81640625" customWidth="1"/>
    <col min="4" max="4" width="13.453125" customWidth="1"/>
    <col min="5" max="5" width="14.54296875" customWidth="1"/>
    <col min="6" max="6" width="11.1796875" customWidth="1"/>
    <col min="7" max="7" width="13.453125" customWidth="1"/>
    <col min="8" max="8" width="12.54296875" customWidth="1"/>
    <col min="9" max="9" width="15.1796875" customWidth="1"/>
    <col min="10" max="10" width="11.1796875" customWidth="1"/>
    <col min="11" max="11" width="16" customWidth="1"/>
  </cols>
  <sheetData>
    <row r="1" spans="2:12" x14ac:dyDescent="0.35">
      <c r="B1" s="211" t="s">
        <v>162</v>
      </c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2:12" x14ac:dyDescent="0.35">
      <c r="B2" s="212" t="s">
        <v>163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</row>
    <row r="3" spans="2:12" x14ac:dyDescent="0.35">
      <c r="B3" s="213" t="s">
        <v>116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2:12" ht="15" thickBot="1" x14ac:dyDescent="0.4">
      <c r="B4" s="214" t="s">
        <v>164</v>
      </c>
      <c r="C4" s="214"/>
      <c r="D4" s="214"/>
      <c r="E4" s="214"/>
      <c r="F4" s="214"/>
      <c r="G4" s="214"/>
      <c r="H4" s="214"/>
      <c r="I4" s="214"/>
      <c r="J4" s="214"/>
      <c r="K4" s="214"/>
      <c r="L4" s="214"/>
    </row>
    <row r="5" spans="2:12" ht="16" thickBot="1" x14ac:dyDescent="0.4">
      <c r="B5" s="171" t="s">
        <v>126</v>
      </c>
      <c r="C5" s="172"/>
      <c r="D5" s="172"/>
      <c r="E5" s="172"/>
      <c r="F5" s="172"/>
      <c r="G5" s="172"/>
      <c r="H5" s="172"/>
      <c r="I5" s="172"/>
      <c r="J5" s="172"/>
      <c r="K5" s="173"/>
    </row>
    <row r="6" spans="2:12" x14ac:dyDescent="0.35">
      <c r="B6" s="207" t="s">
        <v>117</v>
      </c>
      <c r="C6" s="205" t="s">
        <v>118</v>
      </c>
      <c r="D6" s="205" t="s">
        <v>127</v>
      </c>
      <c r="E6" s="205" t="s">
        <v>119</v>
      </c>
      <c r="F6" s="205" t="s">
        <v>120</v>
      </c>
      <c r="G6" s="205" t="s">
        <v>121</v>
      </c>
      <c r="H6" s="205" t="s">
        <v>122</v>
      </c>
      <c r="I6" s="205" t="s">
        <v>123</v>
      </c>
      <c r="J6" s="205" t="s">
        <v>124</v>
      </c>
      <c r="K6" s="209" t="s">
        <v>108</v>
      </c>
    </row>
    <row r="7" spans="2:12" x14ac:dyDescent="0.35">
      <c r="B7" s="208"/>
      <c r="C7" s="206"/>
      <c r="D7" s="206"/>
      <c r="E7" s="206"/>
      <c r="F7" s="206"/>
      <c r="G7" s="206"/>
      <c r="H7" s="206"/>
      <c r="I7" s="206"/>
      <c r="J7" s="206"/>
      <c r="K7" s="210"/>
    </row>
    <row r="8" spans="2:12" x14ac:dyDescent="0.35">
      <c r="B8" s="162">
        <v>1</v>
      </c>
      <c r="C8" s="156" t="s">
        <v>165</v>
      </c>
      <c r="D8" s="8">
        <v>2745.5</v>
      </c>
      <c r="E8" s="8" t="s">
        <v>166</v>
      </c>
      <c r="F8" s="8">
        <v>8</v>
      </c>
      <c r="G8" s="133"/>
      <c r="H8" s="133"/>
      <c r="I8" s="133"/>
      <c r="J8" s="133"/>
      <c r="K8" s="177"/>
      <c r="L8" s="155"/>
    </row>
    <row r="9" spans="2:12" x14ac:dyDescent="0.35">
      <c r="B9" s="163">
        <v>2</v>
      </c>
      <c r="C9" s="164" t="s">
        <v>167</v>
      </c>
      <c r="D9" s="135">
        <v>2390.4</v>
      </c>
      <c r="E9" s="135" t="s">
        <v>168</v>
      </c>
      <c r="F9" s="135">
        <v>6</v>
      </c>
      <c r="G9" s="133"/>
      <c r="H9" s="133"/>
      <c r="I9" s="133"/>
      <c r="J9" s="133"/>
      <c r="K9" s="177"/>
      <c r="L9" s="155"/>
    </row>
    <row r="10" spans="2:12" x14ac:dyDescent="0.35">
      <c r="B10" s="163">
        <v>3</v>
      </c>
      <c r="C10" s="164" t="s">
        <v>169</v>
      </c>
      <c r="D10" s="135">
        <v>4054.2</v>
      </c>
      <c r="E10" s="8" t="s">
        <v>166</v>
      </c>
      <c r="F10" s="135">
        <v>10</v>
      </c>
      <c r="G10" s="133"/>
      <c r="H10" s="133"/>
      <c r="I10" s="133"/>
      <c r="J10" s="133"/>
      <c r="K10" s="177"/>
      <c r="L10" s="155"/>
    </row>
    <row r="11" spans="2:12" x14ac:dyDescent="0.35">
      <c r="B11" s="162">
        <v>4</v>
      </c>
      <c r="C11" s="156"/>
      <c r="D11" s="8"/>
      <c r="E11" s="165"/>
      <c r="F11" s="8"/>
      <c r="G11" s="133"/>
      <c r="H11" s="133"/>
      <c r="I11" s="133"/>
      <c r="J11" s="133"/>
      <c r="K11" s="178"/>
    </row>
    <row r="12" spans="2:12" x14ac:dyDescent="0.35">
      <c r="B12" s="162">
        <v>5</v>
      </c>
      <c r="C12" s="156"/>
      <c r="D12" s="8"/>
      <c r="E12" s="165"/>
      <c r="F12" s="8"/>
      <c r="G12" s="133"/>
      <c r="H12" s="133"/>
      <c r="I12" s="133"/>
      <c r="J12" s="133"/>
      <c r="K12" s="178"/>
    </row>
    <row r="13" spans="2:12" x14ac:dyDescent="0.35">
      <c r="B13" s="162">
        <v>6</v>
      </c>
      <c r="C13" s="156"/>
      <c r="D13" s="8"/>
      <c r="E13" s="165"/>
      <c r="F13" s="8"/>
      <c r="G13" s="133"/>
      <c r="H13" s="133"/>
      <c r="I13" s="133"/>
      <c r="J13" s="133"/>
      <c r="K13" s="178"/>
    </row>
    <row r="14" spans="2:12" ht="15" thickBot="1" x14ac:dyDescent="0.4">
      <c r="B14" s="167"/>
      <c r="C14" s="168"/>
      <c r="D14" s="168"/>
      <c r="E14" s="169"/>
      <c r="F14" s="92"/>
      <c r="G14" s="92"/>
      <c r="H14" s="92"/>
      <c r="I14" s="92"/>
      <c r="J14" s="92"/>
      <c r="K14" s="170"/>
    </row>
    <row r="15" spans="2:12" ht="15" thickBot="1" x14ac:dyDescent="0.4">
      <c r="B15" s="158" t="s">
        <v>125</v>
      </c>
      <c r="C15" s="159"/>
      <c r="D15" s="166">
        <f>SUM(D8:D14)/1000</f>
        <v>9.1900999999999993</v>
      </c>
      <c r="E15" s="160"/>
      <c r="F15" s="161">
        <v>45</v>
      </c>
      <c r="G15" s="161"/>
      <c r="H15" s="161"/>
      <c r="I15" s="161"/>
      <c r="J15" s="161"/>
      <c r="K15" s="157"/>
    </row>
  </sheetData>
  <mergeCells count="14">
    <mergeCell ref="K6:K7"/>
    <mergeCell ref="B1:L1"/>
    <mergeCell ref="B2:L2"/>
    <mergeCell ref="B3:L3"/>
    <mergeCell ref="B4:L4"/>
    <mergeCell ref="G6:G7"/>
    <mergeCell ref="H6:H7"/>
    <mergeCell ref="I6:I7"/>
    <mergeCell ref="J6:J7"/>
    <mergeCell ref="F6:F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88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82" t="s">
        <v>4</v>
      </c>
      <c r="B18" s="182" t="s">
        <v>42</v>
      </c>
      <c r="C18" s="179" t="s">
        <v>47</v>
      </c>
      <c r="D18" s="179" t="s">
        <v>43</v>
      </c>
      <c r="E18" s="182" t="s">
        <v>8</v>
      </c>
      <c r="F18" s="194" t="s">
        <v>18</v>
      </c>
      <c r="G18" s="194"/>
      <c r="H18" s="194"/>
      <c r="I18" s="194"/>
      <c r="J18" s="194"/>
      <c r="K18" s="187" t="s">
        <v>19</v>
      </c>
      <c r="M18" s="179" t="s">
        <v>36</v>
      </c>
      <c r="O18" s="188" t="s">
        <v>31</v>
      </c>
      <c r="P18" s="189"/>
      <c r="Q18" s="189"/>
      <c r="R18" s="189"/>
      <c r="S18" s="189"/>
      <c r="T18" s="190"/>
      <c r="V18" s="188" t="s">
        <v>30</v>
      </c>
      <c r="W18" s="189"/>
      <c r="X18" s="189"/>
      <c r="Y18" s="189"/>
      <c r="Z18" s="189"/>
      <c r="AA18" s="190"/>
      <c r="AB18" s="191" t="s">
        <v>34</v>
      </c>
    </row>
    <row r="19" spans="1:28" ht="21" customHeight="1" x14ac:dyDescent="0.35">
      <c r="A19" s="183"/>
      <c r="B19" s="183"/>
      <c r="C19" s="180"/>
      <c r="D19" s="183"/>
      <c r="E19" s="183"/>
      <c r="F19" s="216" t="s">
        <v>40</v>
      </c>
      <c r="G19" s="217" t="s">
        <v>44</v>
      </c>
      <c r="H19" s="218"/>
      <c r="I19" s="217" t="s">
        <v>45</v>
      </c>
      <c r="J19" s="218"/>
      <c r="K19" s="187"/>
      <c r="M19" s="193"/>
      <c r="O19" s="185" t="s">
        <v>24</v>
      </c>
      <c r="P19" s="185" t="s">
        <v>25</v>
      </c>
      <c r="Q19" s="185" t="s">
        <v>26</v>
      </c>
      <c r="R19" s="185" t="s">
        <v>27</v>
      </c>
      <c r="S19" s="185" t="s">
        <v>28</v>
      </c>
      <c r="T19" s="43" t="s">
        <v>29</v>
      </c>
      <c r="V19" s="185" t="s">
        <v>24</v>
      </c>
      <c r="W19" s="185" t="s">
        <v>25</v>
      </c>
      <c r="X19" s="185" t="s">
        <v>26</v>
      </c>
      <c r="Y19" s="185" t="s">
        <v>27</v>
      </c>
      <c r="Z19" s="185" t="s">
        <v>28</v>
      </c>
      <c r="AA19" s="43" t="s">
        <v>29</v>
      </c>
      <c r="AB19" s="192"/>
    </row>
    <row r="20" spans="1:28" ht="36.75" customHeight="1" thickBot="1" x14ac:dyDescent="0.4">
      <c r="A20" s="183"/>
      <c r="B20" s="183"/>
      <c r="C20" s="180"/>
      <c r="D20" s="183"/>
      <c r="E20" s="183"/>
      <c r="F20" s="216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186"/>
      <c r="P20" s="186"/>
      <c r="Q20" s="186"/>
      <c r="R20" s="186"/>
      <c r="S20" s="186"/>
      <c r="T20" s="19"/>
      <c r="V20" s="186"/>
      <c r="W20" s="186"/>
      <c r="X20" s="186"/>
      <c r="Y20" s="186"/>
      <c r="Z20" s="186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89</v>
      </c>
      <c r="C21" s="121">
        <v>3.6110000000000002</v>
      </c>
      <c r="D21" s="8" t="s">
        <v>79</v>
      </c>
      <c r="E21" s="215" t="s">
        <v>98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90</v>
      </c>
      <c r="C22" s="121">
        <v>3.92</v>
      </c>
      <c r="D22" s="8" t="s">
        <v>79</v>
      </c>
      <c r="E22" s="215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91</v>
      </c>
      <c r="C23" s="121">
        <v>0.28000000000000003</v>
      </c>
      <c r="D23" s="8" t="s">
        <v>86</v>
      </c>
      <c r="E23" s="215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92</v>
      </c>
      <c r="C24" s="121">
        <v>0.313</v>
      </c>
      <c r="D24" s="8" t="s">
        <v>86</v>
      </c>
      <c r="E24" s="215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93</v>
      </c>
      <c r="C25" s="121">
        <v>0.31900000000000001</v>
      </c>
      <c r="D25" s="8" t="s">
        <v>86</v>
      </c>
      <c r="E25" s="215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94</v>
      </c>
      <c r="C26" s="121">
        <v>4.9580000000000002</v>
      </c>
      <c r="D26" s="8" t="s">
        <v>79</v>
      </c>
      <c r="E26" s="7" t="s">
        <v>99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95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96</v>
      </c>
      <c r="C28" s="121">
        <v>0.32300000000000001</v>
      </c>
      <c r="D28" s="8" t="s">
        <v>86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97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100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101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102</v>
      </c>
      <c r="C32" s="120">
        <v>0.68799999999999994</v>
      </c>
      <c r="D32" s="8" t="s">
        <v>87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  <mergeCell ref="A18:A20"/>
    <mergeCell ref="B18:B20"/>
    <mergeCell ref="C18:C20"/>
    <mergeCell ref="D18:D20"/>
    <mergeCell ref="E18:E20"/>
    <mergeCell ref="E21:E25"/>
    <mergeCell ref="W19:W20"/>
    <mergeCell ref="K18:K19"/>
    <mergeCell ref="M18:M19"/>
    <mergeCell ref="O18:T18"/>
    <mergeCell ref="V18:AA18"/>
    <mergeCell ref="V19:V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Erection-Dec25</vt:lpstr>
      <vt:lpstr>Stringing- DEC25 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Abir Kumar Das</cp:lastModifiedBy>
  <cp:lastPrinted>2024-05-23T07:04:00Z</cp:lastPrinted>
  <dcterms:created xsi:type="dcterms:W3CDTF">2015-06-05T18:17:20Z</dcterms:created>
  <dcterms:modified xsi:type="dcterms:W3CDTF">2025-12-02T06:27:48Z</dcterms:modified>
</cp:coreProperties>
</file>