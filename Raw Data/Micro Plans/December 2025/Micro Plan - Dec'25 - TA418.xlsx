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368" windowHeight="8808" activeTab="3"/>
  </bookViews>
  <sheets>
    <sheet name="Foundation" sheetId="1" r:id="rId1"/>
    <sheet name="Stub dispatch" sheetId="4" state="hidden" r:id="rId2"/>
    <sheet name="Erection" sheetId="2" r:id="rId3"/>
    <sheet name="Stringing" sheetId="3" r:id="rId4"/>
  </sheets>
  <definedNames>
    <definedName name="_xlnm._FilterDatabase" localSheetId="2" hidden="1">Erection!$A$18:$D$38</definedName>
    <definedName name="_xlnm._FilterDatabase" localSheetId="0" hidden="1">Foundation!$A$18:$P$27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2" l="1"/>
  <c r="H33" i="2"/>
  <c r="H32" i="2"/>
  <c r="H36" i="2" l="1"/>
  <c r="H35" i="2"/>
  <c r="A36" i="2"/>
  <c r="T36" i="2"/>
  <c r="V36" i="2"/>
  <c r="W36" i="2"/>
  <c r="X36" i="2"/>
  <c r="AA36" i="2" s="1"/>
  <c r="AB36" i="2" s="1"/>
  <c r="Y36" i="2"/>
  <c r="Z36" i="2"/>
  <c r="A35" i="2"/>
  <c r="G35" i="2"/>
  <c r="F36" i="2" s="1"/>
  <c r="G36" i="2" s="1"/>
  <c r="T35" i="2"/>
  <c r="V35" i="2"/>
  <c r="W35" i="2"/>
  <c r="X35" i="2"/>
  <c r="AA35" i="2" s="1"/>
  <c r="AB35" i="2" s="1"/>
  <c r="Y35" i="2"/>
  <c r="Z35" i="2"/>
  <c r="H21" i="3"/>
  <c r="H27" i="3"/>
  <c r="H26" i="3"/>
  <c r="AB29" i="2"/>
  <c r="AB28" i="2"/>
  <c r="H31" i="2"/>
  <c r="H30" i="2"/>
  <c r="G30" i="2"/>
  <c r="H22" i="2"/>
  <c r="H21" i="2"/>
  <c r="K38" i="2" l="1"/>
  <c r="AB22" i="3"/>
  <c r="AB23" i="3"/>
  <c r="AB24" i="3"/>
  <c r="AB25" i="3"/>
  <c r="AB26" i="3"/>
  <c r="G26" i="3"/>
  <c r="I26" i="3" s="1"/>
  <c r="J26" i="3" s="1"/>
  <c r="F27" i="3" s="1"/>
  <c r="G27" i="3" s="1"/>
  <c r="I27" i="3" s="1"/>
  <c r="J27" i="3" s="1"/>
  <c r="H22" i="3"/>
  <c r="G21" i="3"/>
  <c r="K27" i="3"/>
  <c r="K26" i="3"/>
  <c r="K25" i="3"/>
  <c r="K21" i="3"/>
  <c r="I21" i="3"/>
  <c r="J21" i="3" s="1"/>
  <c r="F22" i="3" s="1"/>
  <c r="G22" i="3" s="1"/>
  <c r="D38" i="2"/>
  <c r="Z22" i="2"/>
  <c r="Z23" i="2"/>
  <c r="Z24" i="2"/>
  <c r="Z25" i="2"/>
  <c r="Z26" i="2"/>
  <c r="Z27" i="2"/>
  <c r="Z30" i="2"/>
  <c r="Z31" i="2"/>
  <c r="Z32" i="2"/>
  <c r="Z33" i="2"/>
  <c r="Z34" i="2"/>
  <c r="Y22" i="2"/>
  <c r="Y23" i="2"/>
  <c r="Y24" i="2"/>
  <c r="Y25" i="2"/>
  <c r="Y26" i="2"/>
  <c r="Y27" i="2"/>
  <c r="Y30" i="2"/>
  <c r="Y31" i="2"/>
  <c r="Y32" i="2"/>
  <c r="Y33" i="2"/>
  <c r="Y34" i="2"/>
  <c r="X22" i="2"/>
  <c r="X23" i="2"/>
  <c r="X24" i="2"/>
  <c r="X25" i="2"/>
  <c r="X26" i="2"/>
  <c r="X27" i="2"/>
  <c r="X30" i="2"/>
  <c r="X31" i="2"/>
  <c r="X32" i="2"/>
  <c r="X33" i="2"/>
  <c r="X34" i="2"/>
  <c r="W22" i="2"/>
  <c r="W23" i="2"/>
  <c r="W24" i="2"/>
  <c r="W25" i="2"/>
  <c r="W26" i="2"/>
  <c r="W27" i="2"/>
  <c r="W30" i="2"/>
  <c r="W31" i="2"/>
  <c r="W32" i="2"/>
  <c r="W33" i="2"/>
  <c r="W34" i="2"/>
  <c r="V22" i="2"/>
  <c r="V23" i="2"/>
  <c r="V24" i="2"/>
  <c r="V25" i="2"/>
  <c r="V26" i="2"/>
  <c r="V27" i="2"/>
  <c r="V30" i="2"/>
  <c r="V31" i="2"/>
  <c r="V32" i="2"/>
  <c r="V33" i="2"/>
  <c r="V34" i="2"/>
  <c r="F31" i="2"/>
  <c r="G31" i="2" s="1"/>
  <c r="F32" i="2" s="1"/>
  <c r="G32" i="2" s="1"/>
  <c r="G21" i="2"/>
  <c r="F22" i="2" s="1"/>
  <c r="G22" i="2" s="1"/>
  <c r="A22" i="2"/>
  <c r="A23" i="2" s="1"/>
  <c r="A24" i="2" s="1"/>
  <c r="A25" i="2" l="1"/>
  <c r="A26" i="2" s="1"/>
  <c r="A27" i="2" s="1"/>
  <c r="A28" i="2" s="1"/>
  <c r="A29" i="2" s="1"/>
  <c r="A30" i="2" s="1"/>
  <c r="A31" i="2" s="1"/>
  <c r="A32" i="2" s="1"/>
  <c r="A33" i="2" s="1"/>
  <c r="A34" i="2" s="1"/>
  <c r="F23" i="2"/>
  <c r="G23" i="2" s="1"/>
  <c r="I22" i="3"/>
  <c r="J22" i="3" s="1"/>
  <c r="F23" i="3" s="1"/>
  <c r="G23" i="3" s="1"/>
  <c r="H23" i="3" s="1"/>
  <c r="H23" i="2" l="1"/>
  <c r="F24" i="2" s="1"/>
  <c r="G24" i="2" s="1"/>
  <c r="H24" i="2" s="1"/>
  <c r="I23" i="3"/>
  <c r="J23" i="3" s="1"/>
  <c r="F24" i="3" s="1"/>
  <c r="G24" i="3" s="1"/>
  <c r="H24" i="3" s="1"/>
  <c r="I24" i="3" l="1"/>
  <c r="J24" i="3" s="1"/>
  <c r="F25" i="3" l="1"/>
  <c r="G25" i="3" s="1"/>
  <c r="H25" i="3" s="1"/>
  <c r="I25" i="3" s="1"/>
  <c r="J25" i="3" s="1"/>
  <c r="AG22" i="1" l="1"/>
  <c r="AG23" i="1"/>
  <c r="AG24" i="1"/>
  <c r="AG25" i="1"/>
  <c r="AG26" i="1"/>
  <c r="AG27" i="1"/>
  <c r="AG21" i="1"/>
  <c r="AE22" i="1"/>
  <c r="AE23" i="1"/>
  <c r="AE24" i="1"/>
  <c r="AE25" i="1"/>
  <c r="AE26" i="1"/>
  <c r="AE27" i="1"/>
  <c r="AD22" i="1"/>
  <c r="AD23" i="1"/>
  <c r="AD24" i="1"/>
  <c r="AD25" i="1"/>
  <c r="AD26" i="1"/>
  <c r="AD27" i="1"/>
  <c r="AC22" i="1"/>
  <c r="AC23" i="1"/>
  <c r="AC24" i="1"/>
  <c r="AC25" i="1"/>
  <c r="AC26" i="1"/>
  <c r="AC27" i="1"/>
  <c r="AB22" i="1"/>
  <c r="AB23" i="1"/>
  <c r="AB24" i="1"/>
  <c r="AB25" i="1"/>
  <c r="AB26" i="1"/>
  <c r="AB27" i="1"/>
  <c r="AE21" i="1"/>
  <c r="AD21" i="1"/>
  <c r="AC21" i="1"/>
  <c r="AB21" i="1"/>
  <c r="AA22" i="1"/>
  <c r="AA23" i="1"/>
  <c r="AA24" i="1"/>
  <c r="AA25" i="1"/>
  <c r="AA26" i="1"/>
  <c r="AA27" i="1"/>
  <c r="AA21" i="1"/>
  <c r="G15" i="1"/>
  <c r="G14" i="1"/>
  <c r="G13" i="1"/>
  <c r="G12" i="1"/>
  <c r="G11" i="1"/>
  <c r="E9" i="1"/>
  <c r="F29" i="1"/>
  <c r="E29" i="1"/>
  <c r="P29" i="1"/>
  <c r="H27" i="1"/>
  <c r="M26" i="1"/>
  <c r="M25" i="1"/>
  <c r="H26" i="1"/>
  <c r="J25" i="1"/>
  <c r="I25" i="1"/>
  <c r="M24" i="1"/>
  <c r="H24" i="1"/>
  <c r="M23" i="1"/>
  <c r="J23" i="1"/>
  <c r="H23" i="1"/>
  <c r="M22" i="1"/>
  <c r="J22" i="1"/>
  <c r="H22" i="1"/>
  <c r="M21" i="1"/>
  <c r="X22" i="3" l="1"/>
  <c r="V21" i="3" l="1"/>
  <c r="K24" i="3"/>
  <c r="K23" i="3"/>
  <c r="G25" i="2" l="1"/>
  <c r="H25" i="2" l="1"/>
  <c r="F26" i="2" s="1"/>
  <c r="F33" i="2"/>
  <c r="O24" i="1"/>
  <c r="O23" i="1"/>
  <c r="O22" i="1"/>
  <c r="N24" i="1"/>
  <c r="N23" i="1"/>
  <c r="N22" i="1"/>
  <c r="I27" i="1"/>
  <c r="J27" i="1" s="1"/>
  <c r="K27" i="1" s="1"/>
  <c r="L27" i="1" s="1"/>
  <c r="M27" i="1" s="1"/>
  <c r="I24" i="1"/>
  <c r="J24" i="1" s="1"/>
  <c r="K24" i="1" s="1"/>
  <c r="L24" i="1" s="1"/>
  <c r="I23" i="1"/>
  <c r="K23" i="1" s="1"/>
  <c r="L23" i="1" s="1"/>
  <c r="I22" i="1"/>
  <c r="K22" i="1" s="1"/>
  <c r="L22" i="1" s="1"/>
  <c r="I26" i="1"/>
  <c r="G26" i="2" l="1"/>
  <c r="O27" i="1"/>
  <c r="N27" i="1"/>
  <c r="J26" i="1"/>
  <c r="K26" i="1" s="1"/>
  <c r="L26" i="1" s="1"/>
  <c r="I21" i="1"/>
  <c r="J21" i="1" s="1"/>
  <c r="K21" i="1" s="1"/>
  <c r="L21" i="1" s="1"/>
  <c r="K22" i="3"/>
  <c r="H26" i="2" l="1"/>
  <c r="F27" i="2" s="1"/>
  <c r="G27" i="2" s="1"/>
  <c r="H27" i="2" s="1"/>
  <c r="F28" i="2" s="1"/>
  <c r="G28" i="2" s="1"/>
  <c r="G33" i="2"/>
  <c r="F34" i="2" s="1"/>
  <c r="G34" i="2" s="1"/>
  <c r="O26" i="1"/>
  <c r="N26" i="1"/>
  <c r="K25" i="1"/>
  <c r="L25" i="1" s="1"/>
  <c r="N21" i="1"/>
  <c r="O21" i="1"/>
  <c r="H28" i="2" l="1"/>
  <c r="F29" i="2" s="1"/>
  <c r="G29" i="2" s="1"/>
  <c r="H29" i="2" s="1"/>
  <c r="O25" i="1"/>
  <c r="N25" i="1"/>
  <c r="AF25" i="1" l="1"/>
  <c r="AF21" i="1"/>
  <c r="AF26" i="1"/>
  <c r="AF22" i="1"/>
  <c r="AF23" i="1"/>
  <c r="AF24" i="1"/>
  <c r="Y27" i="1" l="1"/>
  <c r="AF27" i="1" l="1"/>
  <c r="Y25" i="1" l="1"/>
  <c r="Y26" i="1"/>
  <c r="X29" i="1" l="1"/>
  <c r="E15" i="1" s="1"/>
  <c r="F15" i="1" s="1"/>
  <c r="W29" i="1"/>
  <c r="E14" i="1" s="1"/>
  <c r="F14" i="1" s="1"/>
  <c r="V29" i="1"/>
  <c r="E13" i="1" s="1"/>
  <c r="F13" i="1" s="1"/>
  <c r="U29" i="1"/>
  <c r="E12" i="1" s="1"/>
  <c r="F12" i="1" s="1"/>
  <c r="T29" i="1"/>
  <c r="E11" i="1" s="1"/>
  <c r="Y28" i="1"/>
  <c r="Y24" i="1"/>
  <c r="Y23" i="1"/>
  <c r="Y22" i="1"/>
  <c r="E7" i="1"/>
  <c r="P33" i="1" l="1"/>
  <c r="AE29" i="1"/>
  <c r="AA29" i="1"/>
  <c r="G9" i="1"/>
  <c r="E16" i="1"/>
  <c r="F16" i="1" s="1"/>
  <c r="AC29" i="1"/>
  <c r="AD29" i="1"/>
  <c r="Y29" i="1"/>
  <c r="F11" i="1"/>
  <c r="AB29" i="1"/>
  <c r="T23" i="2"/>
  <c r="T24" i="2"/>
  <c r="T25" i="2"/>
  <c r="T26" i="2"/>
  <c r="T27" i="2"/>
  <c r="T30" i="2"/>
  <c r="T31" i="2"/>
  <c r="T32" i="2"/>
  <c r="T33" i="2"/>
  <c r="T34" i="2"/>
  <c r="H15" i="1" l="1"/>
  <c r="H11" i="1"/>
  <c r="H12" i="1"/>
  <c r="H14" i="1"/>
  <c r="H13" i="1"/>
  <c r="AG29" i="1"/>
  <c r="AF29" i="1"/>
  <c r="G16" i="1"/>
  <c r="H16" i="1" s="1"/>
  <c r="AA33" i="2"/>
  <c r="AB33" i="2" s="1"/>
  <c r="AA31" i="2"/>
  <c r="AB31" i="2" s="1"/>
  <c r="AA34" i="2"/>
  <c r="AB34" i="2" s="1"/>
  <c r="AA32" i="2"/>
  <c r="AB32" i="2" s="1"/>
  <c r="AA27" i="2" l="1"/>
  <c r="AB27" i="2" s="1"/>
  <c r="AA26" i="2" l="1"/>
  <c r="AB26" i="2" s="1"/>
  <c r="AA25" i="2"/>
  <c r="AB25" i="2" s="1"/>
  <c r="AA30" i="2"/>
  <c r="AB30" i="2" s="1"/>
  <c r="P6" i="4" l="1"/>
  <c r="T29" i="3" l="1"/>
  <c r="T28" i="3"/>
  <c r="T27" i="3"/>
  <c r="T24" i="3"/>
  <c r="T23" i="3"/>
  <c r="T22" i="3"/>
  <c r="T21" i="3"/>
  <c r="T22" i="2"/>
  <c r="T21" i="2"/>
  <c r="C30" i="3"/>
  <c r="E9" i="3" s="1"/>
  <c r="T30" i="3" l="1"/>
  <c r="S30" i="3"/>
  <c r="E15" i="3" s="1"/>
  <c r="F15" i="3" s="1"/>
  <c r="R30" i="3"/>
  <c r="Q30" i="3"/>
  <c r="E13" i="3" s="1"/>
  <c r="F13" i="3" s="1"/>
  <c r="P30" i="3"/>
  <c r="O30" i="3"/>
  <c r="E11" i="3" s="1"/>
  <c r="F11" i="3" s="1"/>
  <c r="K30" i="3"/>
  <c r="G9" i="3" s="1"/>
  <c r="Z29" i="3"/>
  <c r="Y29" i="3"/>
  <c r="X29" i="3"/>
  <c r="W29" i="3"/>
  <c r="V29" i="3"/>
  <c r="Z28" i="3"/>
  <c r="Y28" i="3"/>
  <c r="X28" i="3"/>
  <c r="AA28" i="3" s="1"/>
  <c r="AB28" i="3" s="1"/>
  <c r="W28" i="3"/>
  <c r="V28" i="3"/>
  <c r="Z27" i="3"/>
  <c r="Y27" i="3"/>
  <c r="X27" i="3"/>
  <c r="W27" i="3"/>
  <c r="V27" i="3"/>
  <c r="Z24" i="3"/>
  <c r="Y24" i="3"/>
  <c r="X24" i="3"/>
  <c r="W24" i="3"/>
  <c r="V24" i="3"/>
  <c r="Z23" i="3"/>
  <c r="Y23" i="3"/>
  <c r="X23" i="3"/>
  <c r="W23" i="3"/>
  <c r="V23" i="3"/>
  <c r="Z22" i="3"/>
  <c r="Y22" i="3"/>
  <c r="W22" i="3"/>
  <c r="V22" i="3"/>
  <c r="Z21" i="3"/>
  <c r="Y21" i="3"/>
  <c r="X21" i="3"/>
  <c r="W21" i="3"/>
  <c r="E14" i="3"/>
  <c r="F14" i="3" s="1"/>
  <c r="E12" i="3"/>
  <c r="F12" i="3" s="1"/>
  <c r="E7" i="3"/>
  <c r="T38" i="2"/>
  <c r="S38" i="2"/>
  <c r="E15" i="2" s="1"/>
  <c r="F15" i="2" s="1"/>
  <c r="R38" i="2"/>
  <c r="E14" i="2" s="1"/>
  <c r="F14" i="2" s="1"/>
  <c r="Q38" i="2"/>
  <c r="E13" i="2" s="1"/>
  <c r="F13" i="2" s="1"/>
  <c r="P38" i="2"/>
  <c r="E12" i="2" s="1"/>
  <c r="F12" i="2" s="1"/>
  <c r="O38" i="2"/>
  <c r="E11" i="2" s="1"/>
  <c r="G9" i="2"/>
  <c r="Z21" i="2"/>
  <c r="Y21" i="2"/>
  <c r="X21" i="2"/>
  <c r="W21" i="2"/>
  <c r="V21" i="2"/>
  <c r="E7" i="2"/>
  <c r="AA27" i="3" l="1"/>
  <c r="AB27" i="3" s="1"/>
  <c r="AA24" i="3"/>
  <c r="Y30" i="3"/>
  <c r="G14" i="3" s="1"/>
  <c r="H14" i="3" s="1"/>
  <c r="AA22" i="3"/>
  <c r="AA29" i="3"/>
  <c r="AB29" i="3" s="1"/>
  <c r="Z30" i="3"/>
  <c r="G15" i="3" s="1"/>
  <c r="H15" i="3" s="1"/>
  <c r="X30" i="3"/>
  <c r="G13" i="3" s="1"/>
  <c r="H13" i="3" s="1"/>
  <c r="AA21" i="2"/>
  <c r="AB21" i="2" s="1"/>
  <c r="E16" i="2"/>
  <c r="F16" i="2" s="1"/>
  <c r="AA22" i="2"/>
  <c r="AB22" i="2" s="1"/>
  <c r="AA24" i="2"/>
  <c r="AB24" i="2" s="1"/>
  <c r="F11" i="2"/>
  <c r="AA23" i="3"/>
  <c r="W30" i="3"/>
  <c r="G12" i="3" s="1"/>
  <c r="H12" i="3" s="1"/>
  <c r="AA21" i="3"/>
  <c r="AB21" i="3" s="1"/>
  <c r="V30" i="3"/>
  <c r="G11" i="3" s="1"/>
  <c r="E16" i="3"/>
  <c r="F16" i="3" s="1"/>
  <c r="AA23" i="2"/>
  <c r="AB23" i="2" s="1"/>
  <c r="X38" i="2"/>
  <c r="G13" i="2" s="1"/>
  <c r="H13" i="2" s="1"/>
  <c r="Y38" i="2"/>
  <c r="G14" i="2" s="1"/>
  <c r="H14" i="2" s="1"/>
  <c r="Z38" i="2"/>
  <c r="G15" i="2" s="1"/>
  <c r="H15" i="2" s="1"/>
  <c r="W38" i="2"/>
  <c r="G12" i="2" s="1"/>
  <c r="H12" i="2" s="1"/>
  <c r="V38" i="2"/>
  <c r="G11" i="2" s="1"/>
  <c r="AB30" i="3" l="1"/>
  <c r="AA30" i="3"/>
  <c r="H11" i="2"/>
  <c r="G16" i="3"/>
  <c r="H16" i="3" s="1"/>
  <c r="H11" i="3"/>
  <c r="AA38" i="2"/>
  <c r="G16" i="2"/>
  <c r="H16" i="2" s="1"/>
  <c r="AB38" i="2"/>
</calcChain>
</file>

<file path=xl/sharedStrings.xml><?xml version="1.0" encoding="utf-8"?>
<sst xmlns="http://schemas.openxmlformats.org/spreadsheetml/2006/main" count="281" uniqueCount="137">
  <si>
    <t>Project Code</t>
  </si>
  <si>
    <t>Foundation</t>
  </si>
  <si>
    <t>Balance</t>
  </si>
  <si>
    <t>Nos</t>
  </si>
  <si>
    <t>Sl</t>
  </si>
  <si>
    <t>Loc No.</t>
  </si>
  <si>
    <t>Tower type</t>
  </si>
  <si>
    <t>Classification</t>
  </si>
  <si>
    <t>Sub-Cont</t>
  </si>
  <si>
    <t>Excavation</t>
  </si>
  <si>
    <t xml:space="preserve">Start </t>
  </si>
  <si>
    <t>End</t>
  </si>
  <si>
    <t>Stub-setting</t>
  </si>
  <si>
    <t>Concreting</t>
  </si>
  <si>
    <t>Backfilling</t>
  </si>
  <si>
    <t>Earthing</t>
  </si>
  <si>
    <t>Conc. Vol (CuM)</t>
  </si>
  <si>
    <t>Reinf 
(MT)</t>
  </si>
  <si>
    <t>Work Plan</t>
  </si>
  <si>
    <t>Revenue</t>
  </si>
  <si>
    <t>Rs. Cr.</t>
  </si>
  <si>
    <t>Name of Line</t>
  </si>
  <si>
    <t>Activity</t>
  </si>
  <si>
    <t>Micro Plan for month</t>
  </si>
  <si>
    <t>Wk-1</t>
  </si>
  <si>
    <t>Wk-2</t>
  </si>
  <si>
    <t>Wk-3</t>
  </si>
  <si>
    <t>Wk-4</t>
  </si>
  <si>
    <t>Wk-5</t>
  </si>
  <si>
    <t>Total</t>
  </si>
  <si>
    <t>Revenue Achievement</t>
  </si>
  <si>
    <t>Physical Completion</t>
  </si>
  <si>
    <t>Achievement for Month</t>
  </si>
  <si>
    <t>Shortfall</t>
  </si>
  <si>
    <t>Qty</t>
  </si>
  <si>
    <t>Actual Completion</t>
  </si>
  <si>
    <t>Date</t>
  </si>
  <si>
    <t>Erection</t>
  </si>
  <si>
    <t>Tonnage
(MT)</t>
  </si>
  <si>
    <t>Tack-welding</t>
  </si>
  <si>
    <t>Final checking</t>
  </si>
  <si>
    <t>Matl feeding</t>
  </si>
  <si>
    <t>Stringing</t>
  </si>
  <si>
    <t>Section</t>
  </si>
  <si>
    <t>Manual/TSE</t>
  </si>
  <si>
    <t>Pay-Out</t>
  </si>
  <si>
    <t>Final Sag</t>
  </si>
  <si>
    <t>km</t>
  </si>
  <si>
    <t>Section Length 
(km)</t>
  </si>
  <si>
    <t>Rs. Lacs.</t>
  </si>
  <si>
    <t>Actual for the  Month</t>
  </si>
  <si>
    <t>Location</t>
  </si>
  <si>
    <t>Project</t>
  </si>
  <si>
    <t>Structure</t>
  </si>
  <si>
    <t>B LOT</t>
  </si>
  <si>
    <t>Actual PRS Date</t>
  </si>
  <si>
    <t>STEEL Wt (MT)</t>
  </si>
  <si>
    <t xml:space="preserve">BNA Wt </t>
  </si>
  <si>
    <t>Disp Bal</t>
  </si>
  <si>
    <t>May'24 Disp Plan</t>
  </si>
  <si>
    <t>Wk01</t>
  </si>
  <si>
    <t>WK02</t>
  </si>
  <si>
    <t>WK03</t>
  </si>
  <si>
    <t>WK04</t>
  </si>
  <si>
    <t>July'24 Disp Plan</t>
  </si>
  <si>
    <t>TA416</t>
  </si>
  <si>
    <t>DA</t>
  </si>
  <si>
    <t>JPR</t>
  </si>
  <si>
    <t>Stub - 28 Nos</t>
  </si>
  <si>
    <t>TA416-00018</t>
  </si>
  <si>
    <t>Stub - 132 Nos</t>
  </si>
  <si>
    <t>TA416-00026</t>
  </si>
  <si>
    <t>Remark</t>
  </si>
  <si>
    <t>Jun'24 Disp Plan MT</t>
  </si>
  <si>
    <t>As on date 160 stub reieved.</t>
  </si>
  <si>
    <t>Total Reve</t>
  </si>
  <si>
    <t>Rate</t>
  </si>
  <si>
    <t>STUB Setting-</t>
  </si>
  <si>
    <t>Earthing-</t>
  </si>
  <si>
    <t>1DA-3</t>
  </si>
  <si>
    <t>AP57</t>
  </si>
  <si>
    <t>1DC1+6</t>
  </si>
  <si>
    <t>59/1</t>
  </si>
  <si>
    <t>60/3</t>
  </si>
  <si>
    <t>1DA+0</t>
  </si>
  <si>
    <t>63/0</t>
  </si>
  <si>
    <t>1DD60+0</t>
  </si>
  <si>
    <t>AP38</t>
  </si>
  <si>
    <t>1DD60+6</t>
  </si>
  <si>
    <t>48A/1</t>
  </si>
  <si>
    <t>48A/2</t>
  </si>
  <si>
    <t>1DA-1.5</t>
  </si>
  <si>
    <t>AP49</t>
  </si>
  <si>
    <t>1DC1+3</t>
  </si>
  <si>
    <t>DFR</t>
  </si>
  <si>
    <t>Gang- 01</t>
  </si>
  <si>
    <t>Gang-02</t>
  </si>
  <si>
    <t>TA-418</t>
  </si>
  <si>
    <t>765KV D/C  KOPPAL  II(PS) - RAICHUR TL  (Part-1)</t>
  </si>
  <si>
    <t>DA+0</t>
  </si>
  <si>
    <t>43/3</t>
  </si>
  <si>
    <t>DA-3</t>
  </si>
  <si>
    <t>44/1</t>
  </si>
  <si>
    <t>46/11</t>
  </si>
  <si>
    <t>DA-1.5</t>
  </si>
  <si>
    <t>46/1</t>
  </si>
  <si>
    <t>47/0</t>
  </si>
  <si>
    <t>DC1+0</t>
  </si>
  <si>
    <t>54/2</t>
  </si>
  <si>
    <t>52/1</t>
  </si>
  <si>
    <t>52/2</t>
  </si>
  <si>
    <t>40/0 - 41/0</t>
  </si>
  <si>
    <t>MANUAL</t>
  </si>
  <si>
    <t>TSE</t>
  </si>
  <si>
    <t>GANG - 01</t>
  </si>
  <si>
    <t>Rs. Lakhs</t>
  </si>
  <si>
    <t>50/0</t>
  </si>
  <si>
    <t>60/0</t>
  </si>
  <si>
    <t>DC2+0</t>
  </si>
  <si>
    <t>51/0</t>
  </si>
  <si>
    <t>DB1-3</t>
  </si>
  <si>
    <t>DA+9</t>
  </si>
  <si>
    <t>GANG - 02</t>
  </si>
  <si>
    <t>GANG - 03</t>
  </si>
  <si>
    <t>Completed (Nov-25)</t>
  </si>
  <si>
    <t>33/6 - 34/0</t>
  </si>
  <si>
    <t>33/0 - 33/5</t>
  </si>
  <si>
    <t>43/0 - 44/0</t>
  </si>
  <si>
    <t>44/0 - 45/0</t>
  </si>
  <si>
    <t>33/5 - 33/6</t>
  </si>
  <si>
    <t>DA+3</t>
  </si>
  <si>
    <t>49/0</t>
  </si>
  <si>
    <t>DC1+3</t>
  </si>
  <si>
    <t>32/0 - 33/0</t>
  </si>
  <si>
    <t>55/5</t>
  </si>
  <si>
    <t>55/6</t>
  </si>
  <si>
    <t>GANG - 04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</si>
</sst>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 * #,##0.00_ ;_ * \-#,##0.00_ ;_ * &quot;-&quot;??_ ;_ @_ "/>
    <numFmt numFmtId="164" formatCode="_ * #,##0_ ;_ * \-#,##0_ ;_ * &quot;-&quot;??_ ;_ @_ "/>
    <numFmt numFmtId="165" formatCode="[$-409]d\-mmm\-yy;@"/>
    <numFmt numFmtId="166" formatCode="[$-F400]h:mm:ss\ AM/PM"/>
    <numFmt numFmtId="167" formatCode="[$-409]d/mmm/yy;@"/>
    <numFmt numFmtId="168" formatCode="0.0"/>
    <numFmt numFmtId="169" formatCode="#,##0.000"/>
    <numFmt numFmtId="170" formatCode="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4"/>
      <name val="Calibri"/>
      <family val="2"/>
      <scheme val="minor"/>
    </font>
    <font>
      <sz val="11"/>
      <name val="Calibri"/>
      <family val="2"/>
    </font>
    <font>
      <sz val="12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" fillId="0" borderId="0"/>
    <xf numFmtId="0" fontId="13" fillId="0" borderId="0"/>
    <xf numFmtId="167" fontId="1" fillId="0" borderId="0"/>
    <xf numFmtId="167" fontId="13" fillId="0" borderId="0"/>
    <xf numFmtId="9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</cellStyleXfs>
  <cellXfs count="19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 inden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43" fontId="0" fillId="0" borderId="3" xfId="1" applyFont="1" applyBorder="1" applyAlignment="1">
      <alignment vertical="center"/>
    </xf>
    <xf numFmtId="43" fontId="0" fillId="0" borderId="2" xfId="1" applyFont="1" applyBorder="1" applyAlignment="1">
      <alignment vertical="center"/>
    </xf>
    <xf numFmtId="43" fontId="3" fillId="0" borderId="3" xfId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right" vertical="center" indent="1"/>
    </xf>
    <xf numFmtId="43" fontId="0" fillId="0" borderId="1" xfId="0" applyNumberFormat="1" applyBorder="1" applyAlignment="1">
      <alignment vertical="center"/>
    </xf>
    <xf numFmtId="43" fontId="0" fillId="0" borderId="2" xfId="0" applyNumberFormat="1" applyBorder="1" applyAlignment="1">
      <alignment vertical="center"/>
    </xf>
    <xf numFmtId="164" fontId="0" fillId="0" borderId="3" xfId="1" applyNumberFormat="1" applyFont="1" applyBorder="1" applyAlignment="1">
      <alignment vertical="center"/>
    </xf>
    <xf numFmtId="164" fontId="0" fillId="0" borderId="1" xfId="1" applyNumberFormat="1" applyFont="1" applyBorder="1" applyAlignment="1">
      <alignment vertical="center"/>
    </xf>
    <xf numFmtId="164" fontId="0" fillId="0" borderId="2" xfId="1" applyNumberFormat="1" applyFont="1" applyBorder="1" applyAlignment="1">
      <alignment vertical="center"/>
    </xf>
    <xf numFmtId="164" fontId="0" fillId="0" borderId="6" xfId="1" applyNumberFormat="1" applyFont="1" applyBorder="1" applyAlignment="1">
      <alignment vertical="center"/>
    </xf>
    <xf numFmtId="164" fontId="3" fillId="0" borderId="3" xfId="1" applyNumberFormat="1" applyFont="1" applyBorder="1" applyAlignment="1">
      <alignment horizontal="center" vertical="center"/>
    </xf>
    <xf numFmtId="0" fontId="3" fillId="0" borderId="0" xfId="0" applyFont="1" applyAlignment="1">
      <alignment horizontal="right" vertical="center" indent="1"/>
    </xf>
    <xf numFmtId="0" fontId="9" fillId="0" borderId="0" xfId="0" applyFont="1" applyAlignment="1">
      <alignment horizontal="right" vertical="center" indent="1"/>
    </xf>
    <xf numFmtId="43" fontId="0" fillId="0" borderId="0" xfId="0" applyNumberForma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10" fillId="0" borderId="0" xfId="0" applyNumberFormat="1" applyFont="1" applyAlignment="1">
      <alignment horizontal="center" vertical="center"/>
    </xf>
    <xf numFmtId="164" fontId="0" fillId="0" borderId="0" xfId="1" applyNumberFormat="1" applyFont="1" applyAlignment="1">
      <alignment vertical="center"/>
    </xf>
    <xf numFmtId="164" fontId="10" fillId="0" borderId="0" xfId="1" applyNumberFormat="1" applyFont="1" applyAlignment="1">
      <alignment vertical="center"/>
    </xf>
    <xf numFmtId="43" fontId="3" fillId="0" borderId="3" xfId="1" applyFont="1" applyBorder="1" applyAlignment="1">
      <alignment vertical="center"/>
    </xf>
    <xf numFmtId="43" fontId="3" fillId="0" borderId="1" xfId="1" applyFont="1" applyBorder="1" applyAlignment="1">
      <alignment vertical="center"/>
    </xf>
    <xf numFmtId="43" fontId="3" fillId="0" borderId="6" xfId="1" applyFont="1" applyBorder="1" applyAlignment="1">
      <alignment vertical="center"/>
    </xf>
    <xf numFmtId="0" fontId="0" fillId="4" borderId="12" xfId="0" applyFill="1" applyBorder="1" applyAlignment="1">
      <alignment vertical="center"/>
    </xf>
    <xf numFmtId="17" fontId="3" fillId="2" borderId="12" xfId="0" applyNumberFormat="1" applyFont="1" applyFill="1" applyBorder="1" applyAlignment="1">
      <alignment horizontal="right" vertical="center" indent="1"/>
    </xf>
    <xf numFmtId="164" fontId="0" fillId="4" borderId="0" xfId="1" applyNumberFormat="1" applyFont="1" applyFill="1" applyAlignment="1">
      <alignment horizontal="center" vertical="center"/>
    </xf>
    <xf numFmtId="164" fontId="10" fillId="4" borderId="0" xfId="1" applyNumberFormat="1" applyFont="1" applyFill="1" applyAlignment="1">
      <alignment horizontal="center" vertical="center"/>
    </xf>
    <xf numFmtId="164" fontId="3" fillId="4" borderId="0" xfId="1" applyNumberFormat="1" applyFont="1" applyFill="1" applyAlignment="1">
      <alignment vertical="center"/>
    </xf>
    <xf numFmtId="0" fontId="6" fillId="3" borderId="4" xfId="0" applyFont="1" applyFill="1" applyBorder="1" applyAlignment="1">
      <alignment horizontal="right" vertical="center" indent="1"/>
    </xf>
    <xf numFmtId="0" fontId="4" fillId="3" borderId="4" xfId="0" applyFont="1" applyFill="1" applyBorder="1" applyAlignment="1">
      <alignment horizontal="right" vertical="center" indent="1"/>
    </xf>
    <xf numFmtId="0" fontId="5" fillId="2" borderId="0" xfId="0" applyFont="1" applyFill="1" applyAlignment="1">
      <alignment horizontal="right" vertical="center" indent="1"/>
    </xf>
    <xf numFmtId="9" fontId="11" fillId="0" borderId="0" xfId="2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9" fontId="11" fillId="0" borderId="0" xfId="2" applyFont="1" applyAlignment="1">
      <alignment horizontal="left" vertical="center" indent="1"/>
    </xf>
    <xf numFmtId="9" fontId="12" fillId="0" borderId="0" xfId="2" applyFont="1" applyAlignment="1">
      <alignment horizontal="left" vertical="center"/>
    </xf>
    <xf numFmtId="164" fontId="0" fillId="0" borderId="4" xfId="1" applyNumberFormat="1" applyFont="1" applyBorder="1" applyAlignment="1">
      <alignment vertical="center"/>
    </xf>
    <xf numFmtId="2" fontId="12" fillId="0" borderId="0" xfId="0" applyNumberFormat="1" applyFont="1" applyAlignment="1">
      <alignment horizontal="left" vertical="center" indent="1"/>
    </xf>
    <xf numFmtId="2" fontId="12" fillId="0" borderId="0" xfId="0" applyNumberFormat="1" applyFont="1" applyAlignment="1">
      <alignment vertical="center"/>
    </xf>
    <xf numFmtId="164" fontId="3" fillId="5" borderId="0" xfId="1" applyNumberFormat="1" applyFont="1" applyFill="1" applyAlignment="1">
      <alignment vertical="center"/>
    </xf>
    <xf numFmtId="164" fontId="3" fillId="4" borderId="0" xfId="1" applyNumberFormat="1" applyFont="1" applyFill="1" applyAlignment="1">
      <alignment horizontal="center" vertical="center"/>
    </xf>
    <xf numFmtId="164" fontId="15" fillId="4" borderId="0" xfId="1" applyNumberFormat="1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166" fontId="17" fillId="6" borderId="14" xfId="3" applyNumberFormat="1" applyFont="1" applyFill="1" applyBorder="1" applyAlignment="1">
      <alignment horizontal="center" vertical="center" wrapText="1"/>
    </xf>
    <xf numFmtId="165" fontId="17" fillId="6" borderId="14" xfId="3" applyNumberFormat="1" applyFont="1" applyFill="1" applyBorder="1" applyAlignment="1" applyProtection="1">
      <alignment horizontal="center" vertical="center" wrapText="1"/>
      <protection locked="0"/>
    </xf>
    <xf numFmtId="1" fontId="17" fillId="6" borderId="14" xfId="3" applyNumberFormat="1" applyFont="1" applyFill="1" applyBorder="1" applyAlignment="1">
      <alignment horizontal="center" vertical="center" wrapText="1"/>
    </xf>
    <xf numFmtId="166" fontId="17" fillId="6" borderId="14" xfId="4" applyNumberFormat="1" applyFont="1" applyFill="1" applyBorder="1" applyAlignment="1">
      <alignment horizontal="center" vertical="center" wrapText="1"/>
    </xf>
    <xf numFmtId="167" fontId="18" fillId="0" borderId="1" xfId="5" applyFont="1" applyBorder="1" applyAlignment="1">
      <alignment horizontal="center" vertical="center" wrapText="1"/>
    </xf>
    <xf numFmtId="165" fontId="19" fillId="0" borderId="1" xfId="6" applyNumberFormat="1" applyFont="1" applyBorder="1" applyAlignment="1">
      <alignment horizontal="center" vertical="center" wrapText="1"/>
    </xf>
    <xf numFmtId="165" fontId="18" fillId="0" borderId="1" xfId="6" applyNumberFormat="1" applyFont="1" applyBorder="1" applyAlignment="1">
      <alignment horizontal="center" vertical="center" wrapText="1"/>
    </xf>
    <xf numFmtId="165" fontId="18" fillId="0" borderId="1" xfId="6" quotePrefix="1" applyNumberFormat="1" applyFont="1" applyBorder="1" applyAlignment="1">
      <alignment vertical="center" wrapText="1"/>
    </xf>
    <xf numFmtId="0" fontId="18" fillId="0" borderId="1" xfId="6" applyNumberFormat="1" applyFont="1" applyBorder="1" applyAlignment="1">
      <alignment horizontal="center" vertical="center" wrapText="1"/>
    </xf>
    <xf numFmtId="1" fontId="20" fillId="0" borderId="4" xfId="7" applyNumberFormat="1" applyFont="1" applyBorder="1" applyAlignment="1">
      <alignment horizontal="center" vertical="center" wrapText="1"/>
    </xf>
    <xf numFmtId="1" fontId="20" fillId="0" borderId="3" xfId="7" applyNumberFormat="1" applyFont="1" applyBorder="1" applyAlignment="1">
      <alignment horizontal="center" vertical="center" wrapText="1"/>
    </xf>
    <xf numFmtId="1" fontId="18" fillId="7" borderId="3" xfId="7" applyNumberFormat="1" applyFont="1" applyFill="1" applyBorder="1" applyAlignment="1">
      <alignment horizontal="center" vertical="center" wrapText="1"/>
    </xf>
    <xf numFmtId="1" fontId="18" fillId="2" borderId="3" xfId="7" applyNumberFormat="1" applyFont="1" applyFill="1" applyBorder="1" applyAlignment="1">
      <alignment horizontal="center" vertical="center" wrapText="1"/>
    </xf>
    <xf numFmtId="1" fontId="18" fillId="0" borderId="1" xfId="7" applyNumberFormat="1" applyFont="1" applyBorder="1" applyAlignment="1">
      <alignment horizontal="center" vertical="center" wrapText="1"/>
    </xf>
    <xf numFmtId="1" fontId="14" fillId="2" borderId="3" xfId="6" applyNumberFormat="1" applyFont="1" applyFill="1" applyBorder="1" applyAlignment="1" applyProtection="1">
      <alignment horizontal="center" vertical="center"/>
      <protection locked="0"/>
    </xf>
    <xf numFmtId="1" fontId="20" fillId="0" borderId="1" xfId="7" applyNumberFormat="1" applyFont="1" applyBorder="1" applyAlignment="1">
      <alignment horizontal="center" vertical="center" wrapText="1"/>
    </xf>
    <xf numFmtId="168" fontId="18" fillId="8" borderId="3" xfId="7" applyNumberFormat="1" applyFont="1" applyFill="1" applyBorder="1" applyAlignment="1">
      <alignment horizontal="center" vertical="center" wrapText="1"/>
    </xf>
    <xf numFmtId="0" fontId="3" fillId="0" borderId="1" xfId="0" applyFont="1" applyBorder="1"/>
    <xf numFmtId="1" fontId="3" fillId="0" borderId="1" xfId="0" applyNumberFormat="1" applyFont="1" applyBorder="1"/>
    <xf numFmtId="0" fontId="3" fillId="0" borderId="0" xfId="0" applyFont="1"/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16" fillId="0" borderId="0" xfId="0" applyFont="1"/>
    <xf numFmtId="43" fontId="3" fillId="0" borderId="0" xfId="0" applyNumberFormat="1" applyFont="1" applyAlignment="1">
      <alignment vertical="center"/>
    </xf>
    <xf numFmtId="0" fontId="22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14" fillId="0" borderId="0" xfId="0" quotePrefix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4" fontId="0" fillId="0" borderId="2" xfId="0" applyNumberFormat="1" applyBorder="1" applyAlignment="1">
      <alignment vertical="center"/>
    </xf>
    <xf numFmtId="165" fontId="11" fillId="0" borderId="1" xfId="0" applyNumberFormat="1" applyFont="1" applyBorder="1" applyAlignment="1">
      <alignment horizontal="center" vertical="center" wrapText="1"/>
    </xf>
    <xf numFmtId="43" fontId="11" fillId="0" borderId="3" xfId="1" applyFont="1" applyBorder="1" applyAlignment="1">
      <alignment vertical="center"/>
    </xf>
    <xf numFmtId="43" fontId="12" fillId="0" borderId="3" xfId="1" applyFont="1" applyBorder="1" applyAlignment="1">
      <alignment vertical="center"/>
    </xf>
    <xf numFmtId="43" fontId="12" fillId="0" borderId="1" xfId="1" applyFont="1" applyBorder="1" applyAlignment="1">
      <alignment vertical="center"/>
    </xf>
    <xf numFmtId="43" fontId="12" fillId="0" borderId="3" xfId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43" fontId="12" fillId="0" borderId="0" xfId="0" applyNumberFormat="1" applyFont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43" fontId="0" fillId="0" borderId="3" xfId="1" applyFont="1" applyFill="1" applyBorder="1" applyAlignment="1">
      <alignment vertical="center"/>
    </xf>
    <xf numFmtId="164" fontId="0" fillId="0" borderId="1" xfId="1" applyNumberFormat="1" applyFont="1" applyFill="1" applyBorder="1" applyAlignment="1">
      <alignment vertical="center"/>
    </xf>
    <xf numFmtId="14" fontId="0" fillId="0" borderId="4" xfId="0" applyNumberFormat="1" applyBorder="1" applyAlignment="1">
      <alignment vertical="center"/>
    </xf>
    <xf numFmtId="164" fontId="0" fillId="0" borderId="4" xfId="1" applyNumberFormat="1" applyFont="1" applyFill="1" applyBorder="1" applyAlignment="1">
      <alignment vertical="center"/>
    </xf>
    <xf numFmtId="0" fontId="0" fillId="0" borderId="6" xfId="0" quotePrefix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0" fillId="0" borderId="18" xfId="0" applyBorder="1" applyAlignment="1">
      <alignment vertical="center"/>
    </xf>
    <xf numFmtId="164" fontId="0" fillId="0" borderId="15" xfId="1" applyNumberFormat="1" applyFont="1" applyBorder="1" applyAlignment="1">
      <alignment vertical="center"/>
    </xf>
    <xf numFmtId="43" fontId="12" fillId="0" borderId="15" xfId="1" applyFont="1" applyBorder="1" applyAlignment="1">
      <alignment vertical="center"/>
    </xf>
    <xf numFmtId="43" fontId="11" fillId="0" borderId="16" xfId="0" applyNumberFormat="1" applyFont="1" applyBorder="1" applyAlignment="1">
      <alignment vertical="center"/>
    </xf>
    <xf numFmtId="43" fontId="11" fillId="0" borderId="17" xfId="0" applyNumberFormat="1" applyFont="1" applyBorder="1" applyAlignment="1">
      <alignment vertical="center"/>
    </xf>
    <xf numFmtId="43" fontId="0" fillId="0" borderId="0" xfId="0" applyNumberFormat="1" applyAlignment="1">
      <alignment horizontal="center" vertical="center" wrapText="1"/>
    </xf>
    <xf numFmtId="164" fontId="0" fillId="0" borderId="3" xfId="1" applyNumberFormat="1" applyFont="1" applyFill="1" applyBorder="1" applyAlignment="1">
      <alignment vertical="center"/>
    </xf>
    <xf numFmtId="0" fontId="0" fillId="0" borderId="7" xfId="0" applyBorder="1" applyAlignment="1">
      <alignment horizontal="center" vertical="center"/>
    </xf>
    <xf numFmtId="43" fontId="0" fillId="0" borderId="0" xfId="0" applyNumberFormat="1" applyAlignment="1">
      <alignment vertical="center"/>
    </xf>
    <xf numFmtId="0" fontId="14" fillId="0" borderId="1" xfId="3" applyFont="1" applyBorder="1" applyAlignment="1">
      <alignment horizontal="center" vertical="center"/>
    </xf>
    <xf numFmtId="1" fontId="11" fillId="0" borderId="1" xfId="0" applyNumberFormat="1" applyFont="1" applyBorder="1" applyAlignment="1">
      <alignment vertical="center"/>
    </xf>
    <xf numFmtId="0" fontId="0" fillId="0" borderId="9" xfId="0" applyBorder="1" applyAlignment="1">
      <alignment horizontal="center" vertical="center"/>
    </xf>
    <xf numFmtId="169" fontId="0" fillId="0" borderId="9" xfId="0" applyNumberForma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170" fontId="0" fillId="0" borderId="1" xfId="0" applyNumberFormat="1" applyBorder="1" applyAlignment="1">
      <alignment horizontal="center"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170" fontId="0" fillId="0" borderId="3" xfId="0" applyNumberFormat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169" fontId="0" fillId="0" borderId="9" xfId="0" applyNumberFormat="1" applyFill="1" applyBorder="1" applyAlignment="1">
      <alignment horizontal="center" vertical="center"/>
    </xf>
    <xf numFmtId="14" fontId="13" fillId="0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4" fontId="0" fillId="0" borderId="4" xfId="0" applyNumberFormat="1" applyFill="1" applyBorder="1" applyAlignment="1">
      <alignment vertical="center"/>
    </xf>
    <xf numFmtId="43" fontId="3" fillId="0" borderId="3" xfId="1" applyFont="1" applyFill="1" applyBorder="1" applyAlignment="1">
      <alignment vertical="center"/>
    </xf>
    <xf numFmtId="43" fontId="0" fillId="0" borderId="1" xfId="0" applyNumberFormat="1" applyFill="1" applyBorder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4" fontId="0" fillId="0" borderId="1" xfId="0" applyNumberForma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14" fontId="0" fillId="9" borderId="15" xfId="0" applyNumberFormat="1" applyFill="1" applyBorder="1" applyAlignment="1">
      <alignment horizontal="center" vertical="center" wrapText="1"/>
    </xf>
    <xf numFmtId="14" fontId="0" fillId="9" borderId="1" xfId="0" applyNumberFormat="1" applyFill="1" applyBorder="1" applyAlignment="1">
      <alignment horizontal="center" vertical="center" wrapText="1"/>
    </xf>
    <xf numFmtId="0" fontId="3" fillId="0" borderId="0" xfId="0" quotePrefix="1" applyFont="1" applyAlignment="1">
      <alignment vertical="center"/>
    </xf>
    <xf numFmtId="165" fontId="0" fillId="0" borderId="1" xfId="0" applyNumberFormat="1" applyBorder="1" applyAlignment="1">
      <alignment horizontal="center" vertical="center"/>
    </xf>
    <xf numFmtId="43" fontId="0" fillId="0" borderId="3" xfId="1" applyNumberFormat="1" applyFont="1" applyBorder="1" applyAlignment="1">
      <alignment vertical="center"/>
    </xf>
    <xf numFmtId="43" fontId="0" fillId="4" borderId="0" xfId="1" applyNumberFormat="1" applyFont="1" applyFill="1" applyAlignment="1">
      <alignment horizontal="center" vertical="center"/>
    </xf>
    <xf numFmtId="43" fontId="10" fillId="4" borderId="0" xfId="1" applyNumberFormat="1" applyFont="1" applyFill="1" applyAlignment="1">
      <alignment horizontal="center" vertical="center"/>
    </xf>
    <xf numFmtId="43" fontId="3" fillId="0" borderId="0" xfId="1" applyNumberFormat="1" applyFont="1" applyAlignment="1">
      <alignment horizontal="center" vertical="center"/>
    </xf>
    <xf numFmtId="43" fontId="3" fillId="4" borderId="0" xfId="1" applyNumberFormat="1" applyFont="1" applyFill="1" applyAlignment="1">
      <alignment vertical="center"/>
    </xf>
    <xf numFmtId="43" fontId="0" fillId="0" borderId="0" xfId="1" applyNumberFormat="1" applyFont="1" applyAlignment="1">
      <alignment vertical="center"/>
    </xf>
    <xf numFmtId="43" fontId="10" fillId="0" borderId="0" xfId="1" applyNumberFormat="1" applyFont="1" applyAlignment="1">
      <alignment vertical="center"/>
    </xf>
    <xf numFmtId="43" fontId="0" fillId="0" borderId="1" xfId="1" applyNumberFormat="1" applyFont="1" applyBorder="1" applyAlignment="1">
      <alignment vertical="center"/>
    </xf>
    <xf numFmtId="43" fontId="0" fillId="0" borderId="2" xfId="1" applyNumberFormat="1" applyFont="1" applyBorder="1" applyAlignment="1">
      <alignment vertical="center"/>
    </xf>
    <xf numFmtId="43" fontId="3" fillId="0" borderId="3" xfId="1" applyNumberFormat="1" applyFont="1" applyBorder="1" applyAlignment="1">
      <alignment horizontal="center" vertical="center"/>
    </xf>
    <xf numFmtId="43" fontId="11" fillId="0" borderId="1" xfId="1" applyFont="1" applyBorder="1" applyAlignment="1">
      <alignment vertical="center"/>
    </xf>
    <xf numFmtId="2" fontId="0" fillId="0" borderId="19" xfId="0" applyNumberFormat="1" applyFont="1" applyFill="1" applyBorder="1" applyAlignment="1">
      <alignment horizontal="center" vertical="center"/>
    </xf>
    <xf numFmtId="2" fontId="0" fillId="0" borderId="19" xfId="0" applyNumberFormat="1" applyFont="1" applyBorder="1" applyAlignment="1">
      <alignment horizontal="center" vertical="center"/>
    </xf>
    <xf numFmtId="170" fontId="23" fillId="0" borderId="1" xfId="0" applyNumberFormat="1" applyFont="1" applyBorder="1" applyAlignment="1">
      <alignment vertical="center" wrapText="1"/>
    </xf>
    <xf numFmtId="43" fontId="11" fillId="0" borderId="13" xfId="1" applyFont="1" applyBorder="1" applyAlignment="1">
      <alignment vertical="center"/>
    </xf>
    <xf numFmtId="165" fontId="0" fillId="0" borderId="1" xfId="0" applyNumberFormat="1" applyBorder="1" applyAlignment="1">
      <alignment vertical="center"/>
    </xf>
    <xf numFmtId="165" fontId="11" fillId="9" borderId="1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right" vertical="center" indent="1"/>
    </xf>
    <xf numFmtId="0" fontId="6" fillId="3" borderId="11" xfId="0" applyFont="1" applyFill="1" applyBorder="1" applyAlignment="1">
      <alignment horizontal="right" vertical="center" indent="1"/>
    </xf>
    <xf numFmtId="0" fontId="6" fillId="3" borderId="4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right" vertical="center" indent="1"/>
    </xf>
    <xf numFmtId="0" fontId="7" fillId="3" borderId="4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9" borderId="4" xfId="0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/>
    </xf>
    <xf numFmtId="43" fontId="0" fillId="0" borderId="3" xfId="1" applyNumberFormat="1" applyFont="1" applyBorder="1" applyAlignment="1">
      <alignment horizontal="center" vertical="center"/>
    </xf>
    <xf numFmtId="43" fontId="0" fillId="0" borderId="2" xfId="1" applyNumberFormat="1" applyFont="1" applyBorder="1" applyAlignment="1">
      <alignment horizontal="center" vertical="center"/>
    </xf>
  </cellXfs>
  <cellStyles count="27">
    <cellStyle name="Comma" xfId="1" builtinId="3"/>
    <cellStyle name="Comma 2" xfId="8"/>
    <cellStyle name="Excel Built-in Normal" xfId="26"/>
    <cellStyle name="Normal" xfId="0" builtinId="0"/>
    <cellStyle name="Normal 103" xfId="24"/>
    <cellStyle name="Normal 11" xfId="5"/>
    <cellStyle name="Normal 120" xfId="21"/>
    <cellStyle name="Normal 17" xfId="10"/>
    <cellStyle name="Normal 188" xfId="12"/>
    <cellStyle name="Normal 191" xfId="22"/>
    <cellStyle name="Normal 192" xfId="11"/>
    <cellStyle name="Normal 195" xfId="20"/>
    <cellStyle name="Normal 196" xfId="15"/>
    <cellStyle name="Normal 2 10 2 5 2" xfId="6"/>
    <cellStyle name="Normal 2 10 2 6" xfId="3"/>
    <cellStyle name="Normal 2 2" xfId="9"/>
    <cellStyle name="Normal 201 2" xfId="19"/>
    <cellStyle name="Normal 207" xfId="14"/>
    <cellStyle name="Normal 211" xfId="13"/>
    <cellStyle name="Normal 218" xfId="17"/>
    <cellStyle name="Normal 219" xfId="18"/>
    <cellStyle name="Normal 222" xfId="16"/>
    <cellStyle name="Normal 3" xfId="25"/>
    <cellStyle name="Normal 5" xfId="23"/>
    <cellStyle name="Normal_Rev_IPP_ BUB_ 10.04.09 2" xfId="4"/>
    <cellStyle name="Percent" xfId="2" builtinId="5"/>
    <cellStyle name="Percent 2" xfId="7"/>
  </cellStyles>
  <dxfs count="7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bgColor indexed="6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3"/>
  <sheetViews>
    <sheetView zoomScale="80" zoomScaleNormal="80" workbookViewId="0">
      <pane xSplit="4" ySplit="10" topLeftCell="E11" activePane="bottomRight" state="frozen"/>
      <selection activeCell="G16" sqref="G16"/>
      <selection pane="topRight" activeCell="G16" sqref="G16"/>
      <selection pane="bottomLeft" activeCell="G16" sqref="G16"/>
      <selection pane="bottomRight" activeCell="K9" sqref="K9"/>
    </sheetView>
  </sheetViews>
  <sheetFormatPr defaultColWidth="9.109375" defaultRowHeight="14.4" x14ac:dyDescent="0.3"/>
  <cols>
    <col min="1" max="1" width="4.109375" style="4" customWidth="1"/>
    <col min="2" max="2" width="10" style="1" customWidth="1"/>
    <col min="3" max="3" width="12.33203125" style="1" customWidth="1"/>
    <col min="4" max="4" width="12.5546875" style="4" customWidth="1"/>
    <col min="5" max="6" width="8.6640625" style="4" customWidth="1"/>
    <col min="7" max="7" width="18.109375" style="4" customWidth="1"/>
    <col min="8" max="8" width="11" style="1" customWidth="1"/>
    <col min="9" max="9" width="11.5546875" style="1" customWidth="1"/>
    <col min="10" max="10" width="12.5546875" style="1" customWidth="1"/>
    <col min="11" max="11" width="16.109375" style="1" customWidth="1"/>
    <col min="12" max="12" width="12.109375" style="1" customWidth="1"/>
    <col min="13" max="13" width="14.88671875" style="1" customWidth="1"/>
    <col min="14" max="14" width="11.33203125" style="1" customWidth="1"/>
    <col min="15" max="15" width="12.109375" style="1" customWidth="1"/>
    <col min="16" max="16" width="17.6640625" style="1" customWidth="1"/>
    <col min="17" max="17" width="3.109375" style="1" customWidth="1"/>
    <col min="18" max="18" width="14.5546875" style="1" customWidth="1"/>
    <col min="19" max="19" width="3.109375" style="1" customWidth="1"/>
    <col min="20" max="25" width="8.6640625" style="1" customWidth="1"/>
    <col min="26" max="26" width="3.109375" style="1" customWidth="1"/>
    <col min="27" max="27" width="15" style="1" customWidth="1"/>
    <col min="28" max="28" width="15.5546875" style="1" customWidth="1"/>
    <col min="29" max="29" width="17.109375" style="1" customWidth="1"/>
    <col min="30" max="30" width="13.88671875" style="1" customWidth="1"/>
    <col min="31" max="31" width="10.6640625" style="1" customWidth="1"/>
    <col min="32" max="32" width="15.5546875" style="1" customWidth="1"/>
    <col min="33" max="33" width="17.109375" style="1" customWidth="1"/>
    <col min="34" max="16384" width="9.109375" style="1"/>
  </cols>
  <sheetData>
    <row r="1" spans="1:13" ht="15" thickBot="1" x14ac:dyDescent="0.35">
      <c r="A1" s="14" t="s">
        <v>0</v>
      </c>
      <c r="D1" s="39" t="s">
        <v>97</v>
      </c>
    </row>
    <row r="2" spans="1:13" x14ac:dyDescent="0.3">
      <c r="A2" s="14" t="s">
        <v>21</v>
      </c>
      <c r="D2" s="139" t="s">
        <v>98</v>
      </c>
    </row>
    <row r="3" spans="1:13" x14ac:dyDescent="0.3">
      <c r="A3" s="6"/>
      <c r="D3" s="1"/>
    </row>
    <row r="4" spans="1:13" ht="15.6" x14ac:dyDescent="0.3">
      <c r="A4" s="14" t="s">
        <v>22</v>
      </c>
      <c r="D4" s="46" t="s">
        <v>1</v>
      </c>
      <c r="E4" s="29" t="s">
        <v>34</v>
      </c>
      <c r="I4" s="82"/>
      <c r="J4" s="83"/>
      <c r="K4" s="108"/>
      <c r="L4" s="84"/>
      <c r="M4" s="85"/>
    </row>
    <row r="5" spans="1:13" x14ac:dyDescent="0.3">
      <c r="A5" s="6"/>
      <c r="D5" s="2" t="s">
        <v>29</v>
      </c>
      <c r="E5" s="55">
        <v>127</v>
      </c>
      <c r="J5" s="4"/>
      <c r="K5" s="4"/>
    </row>
    <row r="6" spans="1:13" ht="16.2" x14ac:dyDescent="0.3">
      <c r="A6" s="6"/>
      <c r="D6" s="2" t="s">
        <v>124</v>
      </c>
      <c r="E6" s="56">
        <v>120</v>
      </c>
      <c r="K6" s="3"/>
      <c r="M6" s="111"/>
    </row>
    <row r="7" spans="1:13" x14ac:dyDescent="0.3">
      <c r="A7" s="6"/>
      <c r="D7" s="2" t="s">
        <v>2</v>
      </c>
      <c r="E7" s="31">
        <f>E5-E6</f>
        <v>7</v>
      </c>
      <c r="K7" s="3"/>
      <c r="M7" s="111"/>
    </row>
    <row r="8" spans="1:13" ht="5.0999999999999996" customHeight="1" thickBot="1" x14ac:dyDescent="0.35">
      <c r="A8" s="6"/>
      <c r="D8" s="1"/>
    </row>
    <row r="9" spans="1:13" ht="15" thickBot="1" x14ac:dyDescent="0.35">
      <c r="A9" s="14" t="s">
        <v>23</v>
      </c>
      <c r="D9" s="40">
        <v>45992</v>
      </c>
      <c r="E9" s="43">
        <f>A27</f>
        <v>7</v>
      </c>
      <c r="F9" s="3" t="s">
        <v>3</v>
      </c>
      <c r="G9" s="32">
        <f>P29</f>
        <v>53.620000000000005</v>
      </c>
      <c r="H9" s="3" t="s">
        <v>115</v>
      </c>
    </row>
    <row r="10" spans="1:13" ht="5.0999999999999996" customHeight="1" x14ac:dyDescent="0.3">
      <c r="A10" s="14"/>
      <c r="D10" s="1"/>
      <c r="E10" s="1"/>
      <c r="F10" s="14"/>
    </row>
    <row r="11" spans="1:13" x14ac:dyDescent="0.3">
      <c r="A11" s="14" t="s">
        <v>32</v>
      </c>
      <c r="D11" s="2" t="s">
        <v>24</v>
      </c>
      <c r="E11" s="34">
        <f>T29</f>
        <v>0</v>
      </c>
      <c r="F11" s="49">
        <f>E11/$E$9</f>
        <v>0</v>
      </c>
      <c r="G11" s="30">
        <f>T29</f>
        <v>0</v>
      </c>
      <c r="H11" s="49">
        <f>G11/$G$9</f>
        <v>0</v>
      </c>
    </row>
    <row r="12" spans="1:13" x14ac:dyDescent="0.3">
      <c r="A12" s="5"/>
      <c r="D12" s="2" t="s">
        <v>25</v>
      </c>
      <c r="E12" s="34">
        <f>U29</f>
        <v>0</v>
      </c>
      <c r="F12" s="49">
        <f t="shared" ref="F12:F15" si="0">E12/$E$9</f>
        <v>0</v>
      </c>
      <c r="G12" s="30">
        <f>U29</f>
        <v>0</v>
      </c>
      <c r="H12" s="49">
        <f t="shared" ref="H12:H15" si="1">G12/$G$9</f>
        <v>0</v>
      </c>
    </row>
    <row r="13" spans="1:13" x14ac:dyDescent="0.3">
      <c r="A13" s="5"/>
      <c r="D13" s="2" t="s">
        <v>26</v>
      </c>
      <c r="E13" s="34">
        <f>V29</f>
        <v>0</v>
      </c>
      <c r="F13" s="49">
        <f t="shared" si="0"/>
        <v>0</v>
      </c>
      <c r="G13" s="30">
        <f>V29</f>
        <v>0</v>
      </c>
      <c r="H13" s="49">
        <f t="shared" si="1"/>
        <v>0</v>
      </c>
    </row>
    <row r="14" spans="1:13" x14ac:dyDescent="0.3">
      <c r="A14" s="5"/>
      <c r="D14" s="2" t="s">
        <v>27</v>
      </c>
      <c r="E14" s="34">
        <f>W29</f>
        <v>0</v>
      </c>
      <c r="F14" s="49">
        <f t="shared" si="0"/>
        <v>0</v>
      </c>
      <c r="G14" s="30">
        <f>W29</f>
        <v>0</v>
      </c>
      <c r="H14" s="49">
        <f t="shared" si="1"/>
        <v>0</v>
      </c>
    </row>
    <row r="15" spans="1:13" ht="16.2" x14ac:dyDescent="0.3">
      <c r="A15" s="5"/>
      <c r="D15" s="29" t="s">
        <v>28</v>
      </c>
      <c r="E15" s="35">
        <f>X29</f>
        <v>0</v>
      </c>
      <c r="F15" s="49">
        <f t="shared" si="0"/>
        <v>0</v>
      </c>
      <c r="G15" s="33">
        <f>X29</f>
        <v>0</v>
      </c>
      <c r="H15" s="49">
        <f t="shared" si="1"/>
        <v>0</v>
      </c>
    </row>
    <row r="16" spans="1:13" x14ac:dyDescent="0.3">
      <c r="A16" s="5" t="s">
        <v>50</v>
      </c>
      <c r="D16" s="28" t="s">
        <v>29</v>
      </c>
      <c r="E16" s="54">
        <f>SUM(E11:E15)</f>
        <v>0</v>
      </c>
      <c r="F16" s="53">
        <f>E16/E9</f>
        <v>0</v>
      </c>
      <c r="G16" s="32">
        <f>SUM(G11:G15)</f>
        <v>0</v>
      </c>
      <c r="H16" s="52">
        <f>G16/G9</f>
        <v>0</v>
      </c>
    </row>
    <row r="17" spans="1:33" x14ac:dyDescent="0.3">
      <c r="A17" s="5"/>
      <c r="D17" s="6"/>
      <c r="E17" s="6"/>
      <c r="F17" s="6"/>
    </row>
    <row r="18" spans="1:33" ht="22.5" customHeight="1" x14ac:dyDescent="0.3">
      <c r="A18" s="161" t="s">
        <v>4</v>
      </c>
      <c r="B18" s="161" t="s">
        <v>5</v>
      </c>
      <c r="C18" s="158" t="s">
        <v>6</v>
      </c>
      <c r="D18" s="161" t="s">
        <v>7</v>
      </c>
      <c r="E18" s="158" t="s">
        <v>16</v>
      </c>
      <c r="F18" s="158" t="s">
        <v>17</v>
      </c>
      <c r="G18" s="161" t="s">
        <v>8</v>
      </c>
      <c r="H18" s="176" t="s">
        <v>18</v>
      </c>
      <c r="I18" s="176"/>
      <c r="J18" s="176"/>
      <c r="K18" s="176"/>
      <c r="L18" s="176"/>
      <c r="M18" s="176"/>
      <c r="N18" s="176"/>
      <c r="O18" s="176"/>
      <c r="P18" s="172" t="s">
        <v>19</v>
      </c>
      <c r="R18" s="158" t="s">
        <v>35</v>
      </c>
      <c r="T18" s="164" t="s">
        <v>31</v>
      </c>
      <c r="U18" s="165"/>
      <c r="V18" s="165"/>
      <c r="W18" s="165"/>
      <c r="X18" s="165"/>
      <c r="Y18" s="166"/>
      <c r="AA18" s="164" t="s">
        <v>30</v>
      </c>
      <c r="AB18" s="165"/>
      <c r="AC18" s="165"/>
      <c r="AD18" s="165"/>
      <c r="AE18" s="165"/>
      <c r="AF18" s="166"/>
      <c r="AG18" s="167" t="s">
        <v>33</v>
      </c>
    </row>
    <row r="19" spans="1:33" ht="21" customHeight="1" x14ac:dyDescent="0.3">
      <c r="A19" s="162"/>
      <c r="B19" s="162"/>
      <c r="C19" s="159"/>
      <c r="D19" s="162"/>
      <c r="E19" s="159"/>
      <c r="F19" s="159"/>
      <c r="G19" s="162"/>
      <c r="H19" s="175" t="s">
        <v>9</v>
      </c>
      <c r="I19" s="175"/>
      <c r="J19" s="175" t="s">
        <v>12</v>
      </c>
      <c r="K19" s="175"/>
      <c r="L19" s="175" t="s">
        <v>13</v>
      </c>
      <c r="M19" s="175"/>
      <c r="N19" s="173" t="s">
        <v>15</v>
      </c>
      <c r="O19" s="173" t="s">
        <v>14</v>
      </c>
      <c r="P19" s="172"/>
      <c r="R19" s="171"/>
      <c r="T19" s="169" t="s">
        <v>24</v>
      </c>
      <c r="U19" s="169" t="s">
        <v>25</v>
      </c>
      <c r="V19" s="169" t="s">
        <v>26</v>
      </c>
      <c r="W19" s="169" t="s">
        <v>27</v>
      </c>
      <c r="X19" s="169" t="s">
        <v>28</v>
      </c>
      <c r="Y19" s="44" t="s">
        <v>29</v>
      </c>
      <c r="AA19" s="169" t="s">
        <v>24</v>
      </c>
      <c r="AB19" s="169" t="s">
        <v>25</v>
      </c>
      <c r="AC19" s="169" t="s">
        <v>26</v>
      </c>
      <c r="AD19" s="169" t="s">
        <v>27</v>
      </c>
      <c r="AE19" s="169" t="s">
        <v>28</v>
      </c>
      <c r="AF19" s="44" t="s">
        <v>29</v>
      </c>
      <c r="AG19" s="168"/>
    </row>
    <row r="20" spans="1:33" ht="15" thickBot="1" x14ac:dyDescent="0.35">
      <c r="A20" s="163"/>
      <c r="B20" s="162"/>
      <c r="C20" s="159"/>
      <c r="D20" s="162"/>
      <c r="E20" s="160"/>
      <c r="F20" s="160"/>
      <c r="G20" s="162"/>
      <c r="H20" s="102" t="s">
        <v>10</v>
      </c>
      <c r="I20" s="102" t="s">
        <v>11</v>
      </c>
      <c r="J20" s="102" t="s">
        <v>10</v>
      </c>
      <c r="K20" s="102" t="s">
        <v>11</v>
      </c>
      <c r="L20" s="102" t="s">
        <v>10</v>
      </c>
      <c r="M20" s="102" t="s">
        <v>11</v>
      </c>
      <c r="N20" s="174"/>
      <c r="O20" s="174"/>
      <c r="P20" s="45" t="s">
        <v>49</v>
      </c>
      <c r="R20" s="19" t="s">
        <v>36</v>
      </c>
      <c r="T20" s="170"/>
      <c r="U20" s="170"/>
      <c r="V20" s="170"/>
      <c r="W20" s="170"/>
      <c r="X20" s="170"/>
      <c r="Y20" s="20"/>
      <c r="AA20" s="170"/>
      <c r="AB20" s="170"/>
      <c r="AC20" s="170"/>
      <c r="AD20" s="170"/>
      <c r="AE20" s="170"/>
      <c r="AF20" s="20" t="s">
        <v>49</v>
      </c>
      <c r="AG20" s="45" t="s">
        <v>49</v>
      </c>
    </row>
    <row r="21" spans="1:33" s="128" customFormat="1" ht="20.399999999999999" customHeight="1" x14ac:dyDescent="0.3">
      <c r="A21" s="123">
        <v>1</v>
      </c>
      <c r="B21" s="116" t="s">
        <v>90</v>
      </c>
      <c r="C21" s="117" t="s">
        <v>91</v>
      </c>
      <c r="D21" s="125" t="s">
        <v>94</v>
      </c>
      <c r="E21" s="114">
        <v>11.42</v>
      </c>
      <c r="F21" s="8">
        <v>0.62</v>
      </c>
      <c r="G21" s="136" t="s">
        <v>95</v>
      </c>
      <c r="H21" s="138">
        <v>45993</v>
      </c>
      <c r="I21" s="127">
        <f>H21+1</f>
        <v>45994</v>
      </c>
      <c r="J21" s="127">
        <f>I21</f>
        <v>45994</v>
      </c>
      <c r="K21" s="127">
        <f>J21</f>
        <v>45994</v>
      </c>
      <c r="L21" s="127">
        <f>K21+1</f>
        <v>45995</v>
      </c>
      <c r="M21" s="138">
        <f>L21+4</f>
        <v>45999</v>
      </c>
      <c r="N21" s="127">
        <f>M21+2</f>
        <v>46001</v>
      </c>
      <c r="O21" s="127">
        <f>M21+1</f>
        <v>46000</v>
      </c>
      <c r="P21" s="152">
        <v>2.86</v>
      </c>
      <c r="R21" s="129"/>
      <c r="T21" s="99"/>
      <c r="U21" s="99"/>
      <c r="V21" s="109"/>
      <c r="W21" s="109"/>
      <c r="X21" s="109"/>
      <c r="Y21" s="109"/>
      <c r="AA21" s="96">
        <f>P21*T21</f>
        <v>0</v>
      </c>
      <c r="AB21" s="96">
        <f>P21*U21</f>
        <v>0</v>
      </c>
      <c r="AC21" s="96">
        <f>P21*V21</f>
        <v>0</v>
      </c>
      <c r="AD21" s="96">
        <f>P21*W21</f>
        <v>0</v>
      </c>
      <c r="AE21" s="96">
        <f>P21*X21</f>
        <v>0</v>
      </c>
      <c r="AF21" s="130">
        <f t="shared" ref="AF21:AF26" si="2">SUM(AA21:AE21)</f>
        <v>0</v>
      </c>
      <c r="AG21" s="131">
        <f>P21-AF21</f>
        <v>2.86</v>
      </c>
    </row>
    <row r="22" spans="1:33" s="128" customFormat="1" ht="20.399999999999999" customHeight="1" x14ac:dyDescent="0.3">
      <c r="A22" s="123">
        <v>2</v>
      </c>
      <c r="B22" s="124" t="s">
        <v>82</v>
      </c>
      <c r="C22" s="132" t="s">
        <v>79</v>
      </c>
      <c r="D22" s="125" t="s">
        <v>94</v>
      </c>
      <c r="E22" s="133">
        <v>11.42</v>
      </c>
      <c r="F22" s="134">
        <v>0.62</v>
      </c>
      <c r="G22" s="136" t="s">
        <v>95</v>
      </c>
      <c r="H22" s="138">
        <f>M21-1</f>
        <v>45998</v>
      </c>
      <c r="I22" s="127">
        <f t="shared" ref="I22:I24" si="3">H22+2</f>
        <v>46000</v>
      </c>
      <c r="J22" s="127">
        <f>I22+1</f>
        <v>46001</v>
      </c>
      <c r="K22" s="127">
        <f t="shared" ref="J22:K25" si="4">J22</f>
        <v>46001</v>
      </c>
      <c r="L22" s="127">
        <f t="shared" ref="L22:L25" si="5">K22+1</f>
        <v>46002</v>
      </c>
      <c r="M22" s="138">
        <f>L22+4</f>
        <v>46006</v>
      </c>
      <c r="N22" s="127">
        <f t="shared" ref="N22:N25" si="6">M22+2</f>
        <v>46008</v>
      </c>
      <c r="O22" s="127">
        <f t="shared" ref="O22:O25" si="7">M22+1</f>
        <v>46007</v>
      </c>
      <c r="P22" s="152">
        <v>2.86</v>
      </c>
      <c r="R22" s="135"/>
      <c r="T22" s="97"/>
      <c r="U22" s="97"/>
      <c r="V22" s="97"/>
      <c r="W22" s="97"/>
      <c r="X22" s="97"/>
      <c r="Y22" s="97">
        <f t="shared" ref="Y22:Y28" si="8">SUM(T22:X22)</f>
        <v>0</v>
      </c>
      <c r="AA22" s="96">
        <f t="shared" ref="AA22:AA27" si="9">P22*T22</f>
        <v>0</v>
      </c>
      <c r="AB22" s="96">
        <f t="shared" ref="AB22:AB27" si="10">P22*U22</f>
        <v>0</v>
      </c>
      <c r="AC22" s="96">
        <f t="shared" ref="AC22:AC27" si="11">P22*V22</f>
        <v>0</v>
      </c>
      <c r="AD22" s="96">
        <f t="shared" ref="AD22:AD27" si="12">P22*W22</f>
        <v>0</v>
      </c>
      <c r="AE22" s="96">
        <f t="shared" ref="AE22:AE27" si="13">P22*X22</f>
        <v>0</v>
      </c>
      <c r="AF22" s="130">
        <f t="shared" si="2"/>
        <v>0</v>
      </c>
      <c r="AG22" s="131">
        <f t="shared" ref="AG22:AG27" si="14">P22-AF22</f>
        <v>2.86</v>
      </c>
    </row>
    <row r="23" spans="1:33" s="128" customFormat="1" ht="20.399999999999999" customHeight="1" x14ac:dyDescent="0.3">
      <c r="A23" s="123">
        <v>3</v>
      </c>
      <c r="B23" s="124" t="s">
        <v>83</v>
      </c>
      <c r="C23" s="124" t="s">
        <v>84</v>
      </c>
      <c r="D23" s="125" t="s">
        <v>94</v>
      </c>
      <c r="E23" s="133">
        <v>11.42</v>
      </c>
      <c r="F23" s="134">
        <v>0.62</v>
      </c>
      <c r="G23" s="136" t="s">
        <v>95</v>
      </c>
      <c r="H23" s="138">
        <f>M22-1</f>
        <v>46005</v>
      </c>
      <c r="I23" s="127">
        <f t="shared" si="3"/>
        <v>46007</v>
      </c>
      <c r="J23" s="127">
        <f>I23+1</f>
        <v>46008</v>
      </c>
      <c r="K23" s="127">
        <f t="shared" si="4"/>
        <v>46008</v>
      </c>
      <c r="L23" s="127">
        <f t="shared" si="5"/>
        <v>46009</v>
      </c>
      <c r="M23" s="138">
        <f>L23+4</f>
        <v>46013</v>
      </c>
      <c r="N23" s="127">
        <f t="shared" si="6"/>
        <v>46015</v>
      </c>
      <c r="O23" s="127">
        <f t="shared" si="7"/>
        <v>46014</v>
      </c>
      <c r="P23" s="152">
        <v>2.86</v>
      </c>
      <c r="R23" s="135"/>
      <c r="T23" s="97"/>
      <c r="U23" s="97"/>
      <c r="V23" s="97"/>
      <c r="W23" s="97"/>
      <c r="X23" s="97"/>
      <c r="Y23" s="97">
        <f t="shared" si="8"/>
        <v>0</v>
      </c>
      <c r="AA23" s="96">
        <f t="shared" si="9"/>
        <v>0</v>
      </c>
      <c r="AB23" s="96">
        <f t="shared" si="10"/>
        <v>0</v>
      </c>
      <c r="AC23" s="96">
        <f t="shared" si="11"/>
        <v>0</v>
      </c>
      <c r="AD23" s="96">
        <f t="shared" si="12"/>
        <v>0</v>
      </c>
      <c r="AE23" s="96">
        <f t="shared" si="13"/>
        <v>0</v>
      </c>
      <c r="AF23" s="130">
        <f t="shared" si="2"/>
        <v>0</v>
      </c>
      <c r="AG23" s="131">
        <f t="shared" si="14"/>
        <v>2.86</v>
      </c>
    </row>
    <row r="24" spans="1:33" s="128" customFormat="1" ht="20.399999999999999" customHeight="1" x14ac:dyDescent="0.3">
      <c r="A24" s="123">
        <v>4</v>
      </c>
      <c r="B24" s="124" t="s">
        <v>85</v>
      </c>
      <c r="C24" s="124" t="s">
        <v>86</v>
      </c>
      <c r="D24" s="125" t="s">
        <v>94</v>
      </c>
      <c r="E24" s="126">
        <v>72.19</v>
      </c>
      <c r="F24" s="123">
        <v>3.42</v>
      </c>
      <c r="G24" s="136" t="s">
        <v>95</v>
      </c>
      <c r="H24" s="138">
        <f>M23-1</f>
        <v>46012</v>
      </c>
      <c r="I24" s="127">
        <f t="shared" si="3"/>
        <v>46014</v>
      </c>
      <c r="J24" s="127">
        <f t="shared" si="4"/>
        <v>46014</v>
      </c>
      <c r="K24" s="127">
        <f t="shared" si="4"/>
        <v>46014</v>
      </c>
      <c r="L24" s="127">
        <f t="shared" si="5"/>
        <v>46015</v>
      </c>
      <c r="M24" s="138">
        <f>L24+5</f>
        <v>46020</v>
      </c>
      <c r="N24" s="127">
        <f t="shared" si="6"/>
        <v>46022</v>
      </c>
      <c r="O24" s="127">
        <f t="shared" si="7"/>
        <v>46021</v>
      </c>
      <c r="P24" s="152">
        <v>14.15</v>
      </c>
      <c r="R24" s="135"/>
      <c r="T24" s="97"/>
      <c r="U24" s="97"/>
      <c r="V24" s="97"/>
      <c r="W24" s="97"/>
      <c r="X24" s="97"/>
      <c r="Y24" s="97">
        <f t="shared" si="8"/>
        <v>0</v>
      </c>
      <c r="AA24" s="96">
        <f t="shared" si="9"/>
        <v>0</v>
      </c>
      <c r="AB24" s="96">
        <f t="shared" si="10"/>
        <v>0</v>
      </c>
      <c r="AC24" s="96">
        <f t="shared" si="11"/>
        <v>0</v>
      </c>
      <c r="AD24" s="96">
        <f t="shared" si="12"/>
        <v>0</v>
      </c>
      <c r="AE24" s="96">
        <f t="shared" si="13"/>
        <v>0</v>
      </c>
      <c r="AF24" s="130">
        <f t="shared" si="2"/>
        <v>0</v>
      </c>
      <c r="AG24" s="131">
        <f t="shared" si="14"/>
        <v>14.15</v>
      </c>
    </row>
    <row r="25" spans="1:33" ht="20.399999999999999" customHeight="1" x14ac:dyDescent="0.3">
      <c r="A25" s="123">
        <v>5</v>
      </c>
      <c r="B25" s="116" t="s">
        <v>92</v>
      </c>
      <c r="C25" s="116" t="s">
        <v>93</v>
      </c>
      <c r="D25" s="125" t="s">
        <v>94</v>
      </c>
      <c r="E25" s="115">
        <v>28.1</v>
      </c>
      <c r="F25" s="110">
        <v>1.46</v>
      </c>
      <c r="G25" s="136" t="s">
        <v>96</v>
      </c>
      <c r="H25" s="138">
        <v>45993</v>
      </c>
      <c r="I25" s="127">
        <f>H25+1</f>
        <v>45994</v>
      </c>
      <c r="J25" s="127">
        <f>I25+1</f>
        <v>45995</v>
      </c>
      <c r="K25" s="127">
        <f t="shared" si="4"/>
        <v>45995</v>
      </c>
      <c r="L25" s="127">
        <f t="shared" si="5"/>
        <v>45996</v>
      </c>
      <c r="M25" s="138">
        <f>L25+5</f>
        <v>46001</v>
      </c>
      <c r="N25" s="127">
        <f t="shared" si="6"/>
        <v>46003</v>
      </c>
      <c r="O25" s="127">
        <f t="shared" si="7"/>
        <v>46002</v>
      </c>
      <c r="P25" s="153">
        <v>8.33</v>
      </c>
      <c r="R25" s="95"/>
      <c r="T25" s="99"/>
      <c r="U25" s="99"/>
      <c r="V25" s="99"/>
      <c r="W25" s="99"/>
      <c r="X25" s="99"/>
      <c r="Y25" s="97">
        <f t="shared" si="8"/>
        <v>0</v>
      </c>
      <c r="AA25" s="96">
        <f t="shared" si="9"/>
        <v>0</v>
      </c>
      <c r="AB25" s="96">
        <f t="shared" si="10"/>
        <v>0</v>
      </c>
      <c r="AC25" s="96">
        <f t="shared" si="11"/>
        <v>0</v>
      </c>
      <c r="AD25" s="96">
        <f t="shared" si="12"/>
        <v>0</v>
      </c>
      <c r="AE25" s="96">
        <f t="shared" si="13"/>
        <v>0</v>
      </c>
      <c r="AF25" s="36">
        <f t="shared" si="2"/>
        <v>0</v>
      </c>
      <c r="AG25" s="131">
        <f t="shared" si="14"/>
        <v>8.33</v>
      </c>
    </row>
    <row r="26" spans="1:33" ht="20.399999999999999" customHeight="1" x14ac:dyDescent="0.3">
      <c r="A26" s="123">
        <v>6</v>
      </c>
      <c r="B26" s="124" t="s">
        <v>80</v>
      </c>
      <c r="C26" s="124" t="s">
        <v>81</v>
      </c>
      <c r="D26" s="125" t="s">
        <v>94</v>
      </c>
      <c r="E26" s="126">
        <v>28.1</v>
      </c>
      <c r="F26" s="123">
        <v>1.46</v>
      </c>
      <c r="G26" s="136" t="s">
        <v>96</v>
      </c>
      <c r="H26" s="138">
        <f>M25-1</f>
        <v>46000</v>
      </c>
      <c r="I26" s="127">
        <f>H26+2</f>
        <v>46002</v>
      </c>
      <c r="J26" s="127">
        <f>I26+1</f>
        <v>46003</v>
      </c>
      <c r="K26" s="127">
        <f>J26</f>
        <v>46003</v>
      </c>
      <c r="L26" s="127">
        <f>K26+1</f>
        <v>46004</v>
      </c>
      <c r="M26" s="138">
        <f>L26+5</f>
        <v>46009</v>
      </c>
      <c r="N26" s="127">
        <f>M26+2</f>
        <v>46011</v>
      </c>
      <c r="O26" s="127">
        <f>M26+1</f>
        <v>46010</v>
      </c>
      <c r="P26" s="152">
        <v>8.33</v>
      </c>
      <c r="R26" s="98"/>
      <c r="T26" s="99"/>
      <c r="U26" s="99"/>
      <c r="V26" s="99"/>
      <c r="W26" s="99"/>
      <c r="X26" s="99"/>
      <c r="Y26" s="97">
        <f t="shared" si="8"/>
        <v>0</v>
      </c>
      <c r="AA26" s="96">
        <f t="shared" si="9"/>
        <v>0</v>
      </c>
      <c r="AB26" s="96">
        <f t="shared" si="10"/>
        <v>0</v>
      </c>
      <c r="AC26" s="96">
        <f t="shared" si="11"/>
        <v>0</v>
      </c>
      <c r="AD26" s="96">
        <f t="shared" si="12"/>
        <v>0</v>
      </c>
      <c r="AE26" s="96">
        <f t="shared" si="13"/>
        <v>0</v>
      </c>
      <c r="AF26" s="36">
        <f t="shared" si="2"/>
        <v>0</v>
      </c>
      <c r="AG26" s="131">
        <f t="shared" si="14"/>
        <v>8.33</v>
      </c>
    </row>
    <row r="27" spans="1:33" ht="15" customHeight="1" x14ac:dyDescent="0.3">
      <c r="A27" s="123">
        <v>7</v>
      </c>
      <c r="B27" s="124" t="s">
        <v>87</v>
      </c>
      <c r="C27" s="124" t="s">
        <v>88</v>
      </c>
      <c r="D27" s="125" t="s">
        <v>94</v>
      </c>
      <c r="E27" s="126">
        <v>72.19</v>
      </c>
      <c r="F27" s="134">
        <v>3.49</v>
      </c>
      <c r="G27" s="136" t="s">
        <v>96</v>
      </c>
      <c r="H27" s="138">
        <f>M26-1</f>
        <v>46008</v>
      </c>
      <c r="I27" s="127">
        <f>H27+2</f>
        <v>46010</v>
      </c>
      <c r="J27" s="127">
        <f>I27+1</f>
        <v>46011</v>
      </c>
      <c r="K27" s="127">
        <f>J27</f>
        <v>46011</v>
      </c>
      <c r="L27" s="127">
        <f>K27+1</f>
        <v>46012</v>
      </c>
      <c r="M27" s="138">
        <f>L27+6</f>
        <v>46018</v>
      </c>
      <c r="N27" s="127">
        <f>M27+2</f>
        <v>46020</v>
      </c>
      <c r="O27" s="127">
        <f>M27+1</f>
        <v>46019</v>
      </c>
      <c r="P27" s="152">
        <v>14.23</v>
      </c>
      <c r="R27" s="98"/>
      <c r="T27" s="99"/>
      <c r="U27" s="99"/>
      <c r="V27" s="99"/>
      <c r="W27" s="99"/>
      <c r="X27" s="99"/>
      <c r="Y27" s="97">
        <f t="shared" si="8"/>
        <v>0</v>
      </c>
      <c r="AA27" s="96">
        <f t="shared" si="9"/>
        <v>0</v>
      </c>
      <c r="AB27" s="96">
        <f t="shared" si="10"/>
        <v>0</v>
      </c>
      <c r="AC27" s="96">
        <f t="shared" si="11"/>
        <v>0</v>
      </c>
      <c r="AD27" s="96">
        <f t="shared" si="12"/>
        <v>0</v>
      </c>
      <c r="AE27" s="96">
        <f t="shared" si="13"/>
        <v>0</v>
      </c>
      <c r="AF27" s="36">
        <f t="shared" ref="AF27" si="15">SUM(AA27:AE27)</f>
        <v>0</v>
      </c>
      <c r="AG27" s="131">
        <f t="shared" si="14"/>
        <v>14.23</v>
      </c>
    </row>
    <row r="28" spans="1:33" ht="20.100000000000001" customHeight="1" thickBot="1" x14ac:dyDescent="0.35">
      <c r="A28" s="11"/>
      <c r="B28" s="100"/>
      <c r="C28" s="101"/>
      <c r="D28" s="101"/>
      <c r="E28" s="101"/>
      <c r="F28" s="101"/>
      <c r="G28" s="101"/>
      <c r="H28" s="86"/>
      <c r="I28" s="86"/>
      <c r="J28" s="86"/>
      <c r="K28" s="86"/>
      <c r="L28" s="86"/>
      <c r="M28" s="86"/>
      <c r="N28" s="86"/>
      <c r="O28" s="86"/>
      <c r="P28" s="17"/>
      <c r="R28" s="12"/>
      <c r="T28" s="25"/>
      <c r="U28" s="25"/>
      <c r="V28" s="25"/>
      <c r="W28" s="25"/>
      <c r="X28" s="25"/>
      <c r="Y28" s="26">
        <f t="shared" si="8"/>
        <v>0</v>
      </c>
      <c r="AA28" s="17"/>
      <c r="AB28" s="17"/>
      <c r="AC28" s="17"/>
      <c r="AD28" s="17"/>
      <c r="AE28" s="17"/>
      <c r="AF28" s="38"/>
      <c r="AG28" s="22"/>
    </row>
    <row r="29" spans="1:33" ht="20.100000000000001" customHeight="1" x14ac:dyDescent="0.3">
      <c r="A29" s="9"/>
      <c r="B29" s="10"/>
      <c r="C29" s="10"/>
      <c r="D29" s="9"/>
      <c r="E29" s="15">
        <f>SUM(E21:E28)</f>
        <v>234.83999999999997</v>
      </c>
      <c r="F29" s="15">
        <f>SUM(F21:F28)</f>
        <v>11.69</v>
      </c>
      <c r="G29" s="9"/>
      <c r="H29" s="10"/>
      <c r="I29" s="10"/>
      <c r="J29" s="10"/>
      <c r="K29" s="10"/>
      <c r="L29" s="10"/>
      <c r="M29" s="10"/>
      <c r="N29" s="10"/>
      <c r="O29" s="10"/>
      <c r="P29" s="18">
        <f>SUM(P21:P28)</f>
        <v>53.620000000000005</v>
      </c>
      <c r="R29" s="10"/>
      <c r="T29" s="27">
        <f t="shared" ref="T29:Y29" si="16">SUM(T21:T28)</f>
        <v>0</v>
      </c>
      <c r="U29" s="27">
        <f t="shared" si="16"/>
        <v>0</v>
      </c>
      <c r="V29" s="27">
        <f t="shared" si="16"/>
        <v>0</v>
      </c>
      <c r="W29" s="27">
        <f t="shared" si="16"/>
        <v>0</v>
      </c>
      <c r="X29" s="27">
        <f t="shared" si="16"/>
        <v>0</v>
      </c>
      <c r="Y29" s="27">
        <f t="shared" si="16"/>
        <v>0</v>
      </c>
      <c r="AA29" s="18">
        <f t="shared" ref="AA29:AG29" si="17">SUM(AA21:AA28)</f>
        <v>0</v>
      </c>
      <c r="AB29" s="18">
        <f t="shared" si="17"/>
        <v>0</v>
      </c>
      <c r="AC29" s="18">
        <f t="shared" si="17"/>
        <v>0</v>
      </c>
      <c r="AD29" s="18">
        <f t="shared" si="17"/>
        <v>0</v>
      </c>
      <c r="AE29" s="18">
        <f t="shared" si="17"/>
        <v>0</v>
      </c>
      <c r="AF29" s="18">
        <f t="shared" si="17"/>
        <v>0</v>
      </c>
      <c r="AG29" s="18">
        <f t="shared" si="17"/>
        <v>53.620000000000005</v>
      </c>
    </row>
    <row r="31" spans="1:33" x14ac:dyDescent="0.3">
      <c r="N31" s="57" t="s">
        <v>77</v>
      </c>
      <c r="P31" s="3">
        <v>0.4</v>
      </c>
    </row>
    <row r="32" spans="1:33" x14ac:dyDescent="0.3">
      <c r="B32" s="78"/>
      <c r="C32" s="78"/>
      <c r="D32" s="79"/>
      <c r="E32" s="79"/>
      <c r="F32" s="79"/>
      <c r="G32" s="79"/>
      <c r="H32" s="78"/>
      <c r="I32" s="78"/>
      <c r="J32" s="78"/>
      <c r="N32" s="57" t="s">
        <v>78</v>
      </c>
      <c r="P32" s="3">
        <v>1.2</v>
      </c>
    </row>
    <row r="33" spans="2:16" x14ac:dyDescent="0.25">
      <c r="B33" s="80"/>
      <c r="C33" s="78"/>
      <c r="D33" s="79"/>
      <c r="E33" s="79"/>
      <c r="F33" s="79"/>
      <c r="G33" s="79"/>
      <c r="H33" s="78"/>
      <c r="I33" s="78"/>
      <c r="J33" s="78"/>
      <c r="N33" s="57" t="s">
        <v>75</v>
      </c>
      <c r="P33" s="81">
        <f>SUM(P29:P32)</f>
        <v>55.220000000000006</v>
      </c>
    </row>
  </sheetData>
  <autoFilter ref="A18:P27"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</autoFilter>
  <mergeCells count="28">
    <mergeCell ref="P18:P19"/>
    <mergeCell ref="O19:O20"/>
    <mergeCell ref="H19:I19"/>
    <mergeCell ref="J19:K19"/>
    <mergeCell ref="L19:M19"/>
    <mergeCell ref="H18:O18"/>
    <mergeCell ref="N19:N20"/>
    <mergeCell ref="R18:R19"/>
    <mergeCell ref="T18:Y18"/>
    <mergeCell ref="T19:T20"/>
    <mergeCell ref="U19:U20"/>
    <mergeCell ref="V19:V20"/>
    <mergeCell ref="W19:W20"/>
    <mergeCell ref="X19:X20"/>
    <mergeCell ref="AA18:AF18"/>
    <mergeCell ref="AG18:AG19"/>
    <mergeCell ref="AA19:AA20"/>
    <mergeCell ref="AB19:AB20"/>
    <mergeCell ref="AC19:AC20"/>
    <mergeCell ref="AD19:AD20"/>
    <mergeCell ref="AE19:AE20"/>
    <mergeCell ref="F18:F20"/>
    <mergeCell ref="G18:G20"/>
    <mergeCell ref="A18:A20"/>
    <mergeCell ref="B18:B20"/>
    <mergeCell ref="C18:C20"/>
    <mergeCell ref="D18:D20"/>
    <mergeCell ref="E18:E20"/>
  </mergeCells>
  <phoneticPr fontId="8" type="noConversion"/>
  <conditionalFormatting sqref="B23">
    <cfRule type="duplicateValues" dxfId="73" priority="24"/>
    <cfRule type="duplicateValues" dxfId="72" priority="25"/>
    <cfRule type="duplicateValues" dxfId="71" priority="26"/>
    <cfRule type="duplicateValues" dxfId="70" priority="27"/>
    <cfRule type="duplicateValues" dxfId="69" priority="1049"/>
  </conditionalFormatting>
  <conditionalFormatting sqref="B28:B1048576 B1:B20">
    <cfRule type="duplicateValues" dxfId="68" priority="307"/>
  </conditionalFormatting>
  <conditionalFormatting sqref="B26">
    <cfRule type="duplicateValues" dxfId="67" priority="1224"/>
    <cfRule type="duplicateValues" dxfId="66" priority="1225"/>
    <cfRule type="duplicateValues" dxfId="65" priority="1226"/>
    <cfRule type="duplicateValues" dxfId="64" priority="1227"/>
  </conditionalFormatting>
  <conditionalFormatting sqref="B21">
    <cfRule type="duplicateValues" dxfId="63" priority="1257"/>
    <cfRule type="duplicateValues" dxfId="62" priority="1258"/>
  </conditionalFormatting>
  <conditionalFormatting sqref="B25">
    <cfRule type="duplicateValues" dxfId="61" priority="1304"/>
  </conditionalFormatting>
  <conditionalFormatting sqref="B26 B23">
    <cfRule type="expression" dxfId="60" priority="1306" stopIfTrue="1">
      <formula>AND(COUNTIF($E$235:$E$65337, B23)+COUNTIF($E$215:$E$216, B23)+COUNTIF($E$177:$E$178, B23)+COUNTIF($E$135:$E$138, B23)+COUNTIF($E$112:$E$113, B23)+COUNTIF($E$85:$E$86, B23)+COUNTIF($E$64:$E$64, B23)+COUNTIF($E$58:$E$58, B23)+COUNTIF(#REF!, B23)+COUNTIF($E$31:$E$32, B23)+COUNTIF(#REF!, B23)+COUNTIF($E$10:$E$60, B23)+COUNTIF(#REF!, B23)+COUNTIF($E$2:$E$22, B23)&gt;1,NOT(ISBLANK(B23)))</formula>
    </cfRule>
    <cfRule type="expression" dxfId="59" priority="1307" stopIfTrue="1">
      <formula>AND(COUNTIF($E$2:$E$65327, B23)+COUNTIF(#REF!, B23)&gt;1,NOT(ISBLANK(B23)))</formula>
    </cfRule>
    <cfRule type="expression" dxfId="58" priority="1308" stopIfTrue="1">
      <formula>AND(COUNTIF($E$225:$E$65327, B23)+COUNTIF($E$205:$E$206, B23)+COUNTIF($E$167:$E$168, B23)+COUNTIF($E$125:$E$128, B23)+COUNTIF($E$102:$E$103, B23)+COUNTIF($E$75:$E$76, B23)+COUNTIF(#REF!, B23)+COUNTIF($E$51:$E$51, B23)+COUNTIF($E$32:$E$32, B23)+COUNTIF($E$28:$E$28, B23)+COUNTIF(#REF!, B23)+COUNTIF($E$5:$E$22, B23)+COUNTIF(#REF!, B23)+COUNTIF($E$2:$E$4, B23)&gt;1,NOT(ISBLANK(B23)))</formula>
    </cfRule>
    <cfRule type="expression" dxfId="57" priority="1309" stopIfTrue="1">
      <formula>AND(COUNTIF($E$2:$E$65337, B23)+COUNTIF(#REF!, B23)&gt;1,NOT(ISBLANK(B23)))</formula>
    </cfRule>
    <cfRule type="expression" dxfId="56" priority="1310" stopIfTrue="1">
      <formula>AND(COUNTIF($E$2:$E$65325, B23)+COUNTIF(#REF!, B23)&gt;1,NOT(ISBLANK(B23)))</formula>
    </cfRule>
    <cfRule type="expression" dxfId="55" priority="1311" stopIfTrue="1">
      <formula>AND(COUNTIF($E$223:$E$65325, B23)+COUNTIF($E$203:$E$204, B23)+COUNTIF($E$165:$E$166, B23)+COUNTIF($E$123:$E$126, B23)+COUNTIF($E$100:$E$101, B23)+COUNTIF($E$73:$E$74, B23)+COUNTIF(#REF!, B23)+COUNTIF($E$49:$E$50, B23)+COUNTIF($E$30:$E$30, B23)+COUNTIF(#REF!, B23)+COUNTIF(#REF!, B23)+COUNTIF($E$5:$E$22, B23)+COUNTIF(#REF!, B23)+COUNTIF($E$2:$E$4, B23)&gt;1,NOT(ISBLANK(B23)))</formula>
    </cfRule>
    <cfRule type="expression" dxfId="54" priority="1312" stopIfTrue="1">
      <formula>AND(COUNTIF($C$2:$C$65331, B23)+COUNTIF(#REF!, B23)&gt;1,NOT(ISBLANK(B23)))</formula>
    </cfRule>
    <cfRule type="expression" dxfId="53" priority="1313" stopIfTrue="1">
      <formula>AND(COUNTIF($C$185:$C$65331, B23)+COUNTIF($C$165:$C$166, B23)+COUNTIF($C$127:$C$128, B23)+COUNTIF($C$85:$C$88, B23)+COUNTIF($C$62:$C$63, B23)+COUNTIF(#REF!, B23)+COUNTIF($C$32:$C$32, B23)+COUNTIF(#REF!, B23)+COUNTIF(#REF!, B23)+COUNTIF(#REF!, B23)+COUNTIF(#REF!, B23)+COUNTIF($C$5:$C$22, B23)+COUNTIF(#REF!, B23)+COUNTIF($C$2:$C$3, B23)&gt;1,NOT(ISBLANK(B23)))</formula>
    </cfRule>
  </conditionalFormatting>
  <conditionalFormatting sqref="B25 B21">
    <cfRule type="expression" dxfId="52" priority="1322" stopIfTrue="1">
      <formula>AND(COUNTIF($C$1:$C$65281, B21)+COUNTIF(#REF!, B21)&gt;1,NOT(ISBLANK(B21)))</formula>
    </cfRule>
    <cfRule type="expression" dxfId="51" priority="1323" stopIfTrue="1">
      <formula>AND(COUNTIF($C$135:$C$65281, B21)+COUNTIF($C$115:$C$116, B21)+COUNTIF($C$77:$C$78, B21)+COUNTIF($C$35:$C$38, B21)+COUNTIF(#REF!, B21)+COUNTIF(#REF!, B21)+COUNTIF(#REF!, B21)+COUNTIF(#REF!, B21)+COUNTIF(#REF!, B21)+COUNTIF(#REF!, B21)+COUNTIF(#REF!, B21)+COUNTIF($C$14:$C$14, B21)+COUNTIF(#REF!, B21)+COUNTIF($C$1:$C$5, B21)&gt;1,NOT(ISBLANK(B21)))</formula>
    </cfRule>
  </conditionalFormatting>
  <conditionalFormatting sqref="B25 B21">
    <cfRule type="expression" dxfId="50" priority="1324" stopIfTrue="1">
      <formula>AND(COUNTIF($C$2:$C$65290, B21)+COUNTIF(#REF!, B21)&gt;1,NOT(ISBLANK(B21)))</formula>
    </cfRule>
    <cfRule type="expression" dxfId="49" priority="1325" stopIfTrue="1">
      <formula>AND(COUNTIF($C$144:$C$65290, B21)+COUNTIF($C$124:$C$125, B21)+COUNTIF($C$86:$C$87, B21)+COUNTIF($C$44:$C$47, B21)+COUNTIF(#REF!, B21)+COUNTIF(#REF!, B21)+COUNTIF(#REF!, B21)+COUNTIF(#REF!, B21)+COUNTIF(#REF!, B21)+COUNTIF(#REF!, B21)+COUNTIF(#REF!, B21)+COUNTIF(#REF!, B21)+COUNTIF($B$9:$B$14, B21)+COUNTIF($C$2:$C$8, B21)&gt;1,NOT(ISBLANK(B21)))</formula>
    </cfRule>
  </conditionalFormatting>
  <conditionalFormatting sqref="B26:B27 B24 B22">
    <cfRule type="duplicateValues" dxfId="48" priority="1344"/>
  </conditionalFormatting>
  <conditionalFormatting sqref="B26:B27 B22:B24">
    <cfRule type="duplicateValues" dxfId="47" priority="1347"/>
    <cfRule type="duplicateValues" dxfId="46" priority="1348"/>
    <cfRule type="duplicateValues" dxfId="45" priority="1349"/>
  </conditionalFormatting>
  <conditionalFormatting sqref="B25 B21">
    <cfRule type="duplicateValues" dxfId="44" priority="1376"/>
  </conditionalFormatting>
  <conditionalFormatting sqref="L4">
    <cfRule type="expression" dxfId="43" priority="1390" stopIfTrue="1">
      <formula>AND(COUNTIF($C$313:$C$65459, L4)+COUNTIF($C$293:$C$294, L4)+COUNTIF($C$255:$C$256, L4)+COUNTIF($C$213:$C$216, L4)+COUNTIF($C$190:$C$191, L4)+COUNTIF($C$163:$C$164, L4)+COUNTIF($C$142:$C$142, L4)+COUNTIF($C$127:$C$128, L4)+COUNTIF($C$102:$C$102, L4)+COUNTIF($C$91:$C$92, L4)+COUNTIF($C$72:$C$73, L4)+COUNTIF($C$28:$C$55, L4)+COUNTIF($C$57:$C$59, L4)+COUNTIF($C$1:$C$26, L4)&gt;1,NOT(ISBLANK(L4)))</formula>
    </cfRule>
    <cfRule type="expression" dxfId="42" priority="1391" stopIfTrue="1">
      <formula>AND(COUNTIF($C$1:$C$65459, L4)+COUNTIF(#REF!, L4)&gt;1,NOT(ISBLANK(L4)))</formula>
    </cfRule>
  </conditionalFormatting>
  <conditionalFormatting sqref="M4">
    <cfRule type="expression" dxfId="41" priority="1392" stopIfTrue="1">
      <formula>AND(COUNTIF($D$330:$D$65459, M4)+COUNTIF($D$1:$D$26, M4)+COUNTIF(#REF!, M4)+COUNTIF($D$313:$D$314, M4)+COUNTIF($D$293:$D$294, M4)+COUNTIF($D$255:$D$256, M4)+COUNTIF($D$213:$D$216, M4)+COUNTIF($D$190:$D$191, M4)+COUNTIF($D$163:$D$164, M4)+COUNTIF($D$142:$D$142, M4)+COUNTIF($D$127:$D$128, M4)+COUNTIF($D$102:$D$102, M4)+COUNTIF($D$91:$D$92, M4)+COUNTIF($D$72:$D$73, M4)+COUNTIF($D$57:$D$59, M4)&gt;1,NOT(ISBLANK(M4)))</formula>
    </cfRule>
    <cfRule type="expression" dxfId="40" priority="1393" stopIfTrue="1">
      <formula>AND(COUNTIF($D$313:$D$65459, M4)+COUNTIF(#REF!, M4)+COUNTIF($D$1:$D$26, M4)+COUNTIF($D$293:$D$294, M4)+COUNTIF($D$255:$D$256, M4)+COUNTIF($D$213:$D$216, M4)+COUNTIF($D$190:$D$191, M4)+COUNTIF($D$163:$D$164, M4)+COUNTIF($D$142:$D$142, M4)+COUNTIF($D$127:$D$128, M4)+COUNTIF($D$102:$D$102, M4)+COUNTIF($D$91:$D$92, M4)+COUNTIF($D$72:$D$73, M4)+COUNTIF($D$57:$D$59, M4)&gt;1,NOT(ISBLANK(M4)))</formula>
    </cfRule>
    <cfRule type="expression" dxfId="39" priority="1394" stopIfTrue="1">
      <formula>AND(COUNTIF($D$293:$D$65459, M4)+COUNTIF($D$1:$D$26, M4)+COUNTIF($D$255:$D$256, M4)+COUNTIF(#REF!, M4)+COUNTIF($D$213:$D$216, M4)+COUNTIF($D$190:$D$191, M4)+COUNTIF($D$163:$D$164, M4)+COUNTIF($D$142:$D$142, M4)+COUNTIF($D$127:$D$128, M4)+COUNTIF($D$102:$D$102, M4)+COUNTIF($D$91:$D$92, M4)+COUNTIF($D$72:$D$73, M4)+COUNTIF($D$57:$D$59, M4)&gt;1,NOT(ISBLANK(M4)))</formula>
    </cfRule>
    <cfRule type="expression" dxfId="38" priority="1395" stopIfTrue="1">
      <formula>AND(COUNTIF($D$255:$D$65459, M4)+COUNTIF($D$1:$D$26, M4)+COUNTIF(#REF!, M4)+COUNTIF($D$213:$D$216, M4)+COUNTIF($D$190:$D$191, M4)+COUNTIF($D$163:$D$164, M4)+COUNTIF($D$142:$D$142, M4)+COUNTIF($D$127:$D$128, M4)+COUNTIF($D$102:$D$102, M4)+COUNTIF($D$91:$D$92, M4)+COUNTIF($D$72:$D$73, M4)+COUNTIF($D$57:$D$59, M4)&gt;1,NOT(ISBLANK(M4)))</formula>
    </cfRule>
    <cfRule type="expression" dxfId="37" priority="1396" stopIfTrue="1">
      <formula>AND(COUNTIF($D$213:$D$65459, M4)+COUNTIF(#REF!, M4)+COUNTIF($D$1:$D$26, M4)+COUNTIF($D$190:$D$191, M4)+COUNTIF($D$163:$D$164, M4)+COUNTIF($D$142:$D$142, M4)+COUNTIF($D$127:$D$128, M4)+COUNTIF($D$102:$D$102, M4)+COUNTIF($D$91:$D$92, M4)+COUNTIF($D$72:$D$73, M4)+COUNTIF($D$57:$D$59, M4)&gt;1,NOT(ISBLANK(M4)))</formula>
    </cfRule>
    <cfRule type="expression" dxfId="36" priority="1397" stopIfTrue="1">
      <formula>AND(COUNTIF($D$213:$D$65459, M4)+COUNTIF($D$190:$D$191, M4)+COUNTIF($D$163:$D$164, M4)+COUNTIF($D$142:$D$142, M4)+COUNTIF($D$127:$D$128, M4)+COUNTIF($D$1:$D$26, M4)+COUNTIF(#REF!, M4)+COUNTIF($D$102:$D$102, M4)+COUNTIF($D$91:$D$92, M4)+COUNTIF(#REF!, M4)+COUNTIF($D$72:$D$73, M4)+COUNTIF($D$50:$D$50, M4)+COUNTIF($D$52:$D$59, M4)+COUNTIF(#REF!, M4)&gt;1,NOT(ISBLANK(M4)))</formula>
    </cfRule>
    <cfRule type="expression" dxfId="35" priority="1398" stopIfTrue="1">
      <formula>AND(COUNTIF($D$190:$D$65459, M4)+COUNTIF($D$163:$D$164, M4)+COUNTIF($D$142:$D$142, M4)+COUNTIF($D$127:$D$128, M4)+COUNTIF($D$1:$D$26, M4)+COUNTIF(#REF!, M4)+COUNTIF($D$102:$D$102, M4)+COUNTIF($D$91:$D$92, M4)+COUNTIF(#REF!, M4)+COUNTIF($D$72:$D$73, M4)+COUNTIF($D$50:$D$50, M4)+COUNTIF($D$52:$D$59, M4)+COUNTIF(#REF!, M4)&gt;1,NOT(ISBLANK(M4)))</formula>
    </cfRule>
    <cfRule type="expression" dxfId="34" priority="1399" stopIfTrue="1">
      <formula>AND(COUNTIF($F$368:$F$65453, M4)+COUNTIF($F$1:$F$26, M4)+COUNTIF(#REF!, M4)+COUNTIF($F$351:$F$352, M4)+COUNTIF($F$331:$F$332, M4)+COUNTIF($F$293:$F$294, M4)+COUNTIF($F$251:$F$254, M4)+COUNTIF($F$228:$F$229, M4)+COUNTIF($F$201:$F$202, M4)+COUNTIF($F$180:$F$180, M4)+COUNTIF($F$165:$F$166, M4)+COUNTIF($F$140:$F$140, M4)+COUNTIF($F$129:$F$130, M4)+COUNTIF($F$110:$F$111, M4)+COUNTIF($F$95:$F$97, M4)&gt;1,NOT(ISBLANK(M4)))</formula>
    </cfRule>
    <cfRule type="expression" dxfId="33" priority="1400" stopIfTrue="1">
      <formula>AND(COUNTIF($F$351:$F$65453, M4)+COUNTIF(#REF!, M4)+COUNTIF($F$1:$F$26, M4)+COUNTIF($F$331:$F$332, M4)+COUNTIF($F$293:$F$294, M4)+COUNTIF($F$251:$F$254, M4)+COUNTIF($F$228:$F$229, M4)+COUNTIF($F$201:$F$202, M4)+COUNTIF($F$180:$F$180, M4)+COUNTIF($F$165:$F$166, M4)+COUNTIF($F$140:$F$140, M4)+COUNTIF($F$129:$F$130, M4)+COUNTIF($F$110:$F$111, M4)+COUNTIF($F$95:$F$97, M4)&gt;1,NOT(ISBLANK(M4)))</formula>
    </cfRule>
    <cfRule type="expression" dxfId="32" priority="1401" stopIfTrue="1">
      <formula>AND(COUNTIF($F$331:$F$65453, M4)+COUNTIF($F$1:$F$26, M4)+COUNTIF($F$293:$F$294, M4)+COUNTIF(#REF!, M4)+COUNTIF($F$251:$F$254, M4)+COUNTIF($F$228:$F$229, M4)+COUNTIF($F$201:$F$202, M4)+COUNTIF($F$180:$F$180, M4)+COUNTIF($F$165:$F$166, M4)+COUNTIF($F$140:$F$140, M4)+COUNTIF($F$129:$F$130, M4)+COUNTIF($F$110:$F$111, M4)+COUNTIF($F$95:$F$97, M4)&gt;1,NOT(ISBLANK(M4)))</formula>
    </cfRule>
    <cfRule type="expression" dxfId="31" priority="1402" stopIfTrue="1">
      <formula>AND(COUNTIF($F$293:$F$65453, M4)+COUNTIF($F$1:$F$26, M4)+COUNTIF(#REF!, M4)+COUNTIF($F$251:$F$254, M4)+COUNTIF($F$228:$F$229, M4)+COUNTIF($F$201:$F$202, M4)+COUNTIF($F$180:$F$180, M4)+COUNTIF($F$165:$F$166, M4)+COUNTIF($F$140:$F$140, M4)+COUNTIF($F$129:$F$130, M4)+COUNTIF($F$110:$F$111, M4)+COUNTIF($F$95:$F$97, M4)&gt;1,NOT(ISBLANK(M4)))</formula>
    </cfRule>
    <cfRule type="expression" dxfId="30" priority="1403" stopIfTrue="1">
      <formula>AND(COUNTIF($F$251:$F$65453, M4)+COUNTIF(#REF!, M4)+COUNTIF($F$1:$F$26, M4)+COUNTIF($F$228:$F$229, M4)+COUNTIF($F$201:$F$202, M4)+COUNTIF($F$180:$F$180, M4)+COUNTIF($F$165:$F$166, M4)+COUNTIF($F$140:$F$140, M4)+COUNTIF($F$129:$F$130, M4)+COUNTIF($F$110:$F$111, M4)+COUNTIF($F$95:$F$97, M4)&gt;1,NOT(ISBLANK(M4)))</formula>
    </cfRule>
    <cfRule type="expression" dxfId="29" priority="1404" stopIfTrue="1">
      <formula>AND(COUNTIF($F$251:$F$65453, M4)+COUNTIF($F$228:$F$229, M4)+COUNTIF($F$201:$F$202, M4)+COUNTIF($F$180:$F$180, M4)+COUNTIF($F$165:$F$166, M4)+COUNTIF($F$1:$F$26, M4)+COUNTIF(#REF!, M4)+COUNTIF($F$140:$F$140, M4)+COUNTIF($F$129:$F$130, M4)+COUNTIF(#REF!, M4)+COUNTIF($F$110:$F$111, M4)+COUNTIF($F$88:$F$88, M4)+COUNTIF($F$90:$F$97, M4)+COUNTIF(#REF!, M4)&gt;1,NOT(ISBLANK(M4)))</formula>
    </cfRule>
    <cfRule type="expression" dxfId="28" priority="1405" stopIfTrue="1">
      <formula>AND(COUNTIF($F$228:$F$65453, M4)+COUNTIF($F$201:$F$202, M4)+COUNTIF($F$180:$F$180, M4)+COUNTIF($F$165:$F$166, M4)+COUNTIF($F$1:$F$26, M4)+COUNTIF(#REF!, M4)+COUNTIF($F$140:$F$140, M4)+COUNTIF($F$129:$F$130, M4)+COUNTIF(#REF!, M4)+COUNTIF($F$110:$F$111, M4)+COUNTIF($F$88:$F$88, M4)+COUNTIF($F$90:$F$97, M4)+COUNTIF(#REF!, M4)&gt;1,NOT(ISBLANK(M4)))</formula>
    </cfRule>
  </conditionalFormatting>
  <printOptions horizontalCentered="1"/>
  <pageMargins left="0.25" right="0.25" top="0.75" bottom="0.75" header="0.3" footer="0.3"/>
  <pageSetup paperSize="9" scale="37" orientation="landscape" r:id="rId1"/>
  <ignoredErrors>
    <ignoredError sqref="K22:K27 J24 I2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6"/>
  <sheetViews>
    <sheetView workbookViewId="0">
      <selection activeCell="U5" sqref="U5"/>
    </sheetView>
  </sheetViews>
  <sheetFormatPr defaultRowHeight="14.4" x14ac:dyDescent="0.3"/>
  <cols>
    <col min="2" max="2" width="12.6640625" customWidth="1"/>
    <col min="5" max="5" width="13.33203125" customWidth="1"/>
    <col min="6" max="6" width="14.6640625" customWidth="1"/>
    <col min="7" max="7" width="13.5546875" customWidth="1"/>
    <col min="8" max="15" width="0" hidden="1" customWidth="1"/>
    <col min="16" max="16" width="16.109375" customWidth="1"/>
    <col min="17" max="17" width="0" hidden="1" customWidth="1"/>
    <col min="18" max="18" width="27" customWidth="1"/>
  </cols>
  <sheetData>
    <row r="2" spans="2:18" ht="15" thickBot="1" x14ac:dyDescent="0.35"/>
    <row r="3" spans="2:18" ht="54.6" thickBot="1" x14ac:dyDescent="0.35">
      <c r="B3" s="58" t="s">
        <v>51</v>
      </c>
      <c r="C3" s="58" t="s">
        <v>52</v>
      </c>
      <c r="D3" s="58" t="s">
        <v>6</v>
      </c>
      <c r="E3" s="58" t="s">
        <v>53</v>
      </c>
      <c r="F3" s="58" t="s">
        <v>54</v>
      </c>
      <c r="G3" s="59" t="s">
        <v>55</v>
      </c>
      <c r="H3" s="60" t="s">
        <v>56</v>
      </c>
      <c r="I3" s="60" t="s">
        <v>57</v>
      </c>
      <c r="J3" s="61" t="s">
        <v>58</v>
      </c>
      <c r="K3" s="60" t="s">
        <v>59</v>
      </c>
      <c r="L3" s="60" t="s">
        <v>60</v>
      </c>
      <c r="M3" s="60" t="s">
        <v>61</v>
      </c>
      <c r="N3" s="60" t="s">
        <v>62</v>
      </c>
      <c r="O3" s="60" t="s">
        <v>63</v>
      </c>
      <c r="P3" s="60" t="s">
        <v>73</v>
      </c>
      <c r="Q3" s="60" t="s">
        <v>64</v>
      </c>
      <c r="R3" s="60" t="s">
        <v>72</v>
      </c>
    </row>
    <row r="4" spans="2:18" ht="60" customHeight="1" x14ac:dyDescent="0.3">
      <c r="B4" s="62" t="s">
        <v>67</v>
      </c>
      <c r="C4" s="63" t="s">
        <v>65</v>
      </c>
      <c r="D4" s="64" t="s">
        <v>66</v>
      </c>
      <c r="E4" s="65" t="s">
        <v>68</v>
      </c>
      <c r="F4" s="66" t="s">
        <v>69</v>
      </c>
      <c r="G4" s="64">
        <v>45393</v>
      </c>
      <c r="H4" s="67">
        <v>26.861743999999998</v>
      </c>
      <c r="I4" s="68">
        <v>0.46323200000000003</v>
      </c>
      <c r="J4" s="69">
        <v>26.861743999999998</v>
      </c>
      <c r="K4" s="70">
        <v>0</v>
      </c>
      <c r="L4" s="71"/>
      <c r="M4" s="71"/>
      <c r="N4" s="71"/>
      <c r="O4" s="71">
        <v>0</v>
      </c>
      <c r="P4" s="74">
        <v>26.861743999999998</v>
      </c>
      <c r="Q4" s="72">
        <v>0</v>
      </c>
      <c r="R4" s="177" t="s">
        <v>74</v>
      </c>
    </row>
    <row r="5" spans="2:18" ht="15.6" x14ac:dyDescent="0.3">
      <c r="B5" s="62" t="s">
        <v>67</v>
      </c>
      <c r="C5" s="63" t="s">
        <v>65</v>
      </c>
      <c r="D5" s="64" t="s">
        <v>66</v>
      </c>
      <c r="E5" s="65" t="s">
        <v>70</v>
      </c>
      <c r="F5" s="66" t="s">
        <v>71</v>
      </c>
      <c r="G5" s="64">
        <v>45397</v>
      </c>
      <c r="H5" s="73">
        <v>126.634</v>
      </c>
      <c r="I5" s="68">
        <v>2.1840000000000002</v>
      </c>
      <c r="J5" s="69">
        <v>126.634</v>
      </c>
      <c r="K5" s="70"/>
      <c r="L5" s="71"/>
      <c r="M5" s="71"/>
      <c r="N5" s="71"/>
      <c r="O5" s="71"/>
      <c r="P5" s="74">
        <v>126.634</v>
      </c>
      <c r="Q5" s="72">
        <v>0</v>
      </c>
      <c r="R5" s="178"/>
    </row>
    <row r="6" spans="2:18" s="77" customFormat="1" x14ac:dyDescent="0.3">
      <c r="B6" s="179" t="s">
        <v>29</v>
      </c>
      <c r="C6" s="180"/>
      <c r="D6" s="181"/>
      <c r="E6" s="75">
        <v>160</v>
      </c>
      <c r="F6" s="75"/>
      <c r="G6" s="75"/>
      <c r="H6" s="75"/>
      <c r="I6" s="75"/>
      <c r="J6" s="75"/>
      <c r="K6" s="75"/>
      <c r="L6" s="75"/>
      <c r="M6" s="75"/>
      <c r="N6" s="75"/>
      <c r="O6" s="75"/>
      <c r="P6" s="76">
        <f>SUM(P4:P5)</f>
        <v>153.495744</v>
      </c>
      <c r="Q6" s="75"/>
      <c r="R6" s="75"/>
    </row>
  </sheetData>
  <mergeCells count="2">
    <mergeCell ref="R4:R5"/>
    <mergeCell ref="B6:D6"/>
  </mergeCells>
  <conditionalFormatting sqref="E4:E5">
    <cfRule type="containsText" dxfId="27" priority="1" operator="containsText" text="proto">
      <formula>NOT(ISERROR(SEARCH("proto",E4)))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39"/>
  <sheetViews>
    <sheetView zoomScale="80" zoomScaleNormal="80" workbookViewId="0">
      <pane xSplit="4" ySplit="10" topLeftCell="E20" activePane="bottomRight" state="frozen"/>
      <selection pane="topRight" activeCell="E1" sqref="E1"/>
      <selection pane="bottomLeft" activeCell="A11" sqref="A11"/>
      <selection pane="bottomRight" activeCell="H35" sqref="H35"/>
    </sheetView>
  </sheetViews>
  <sheetFormatPr defaultColWidth="9.109375" defaultRowHeight="14.4" x14ac:dyDescent="0.3"/>
  <cols>
    <col min="1" max="1" width="3.44140625" style="4" customWidth="1"/>
    <col min="2" max="2" width="10" style="1" customWidth="1"/>
    <col min="3" max="3" width="11.33203125" style="1" customWidth="1"/>
    <col min="4" max="4" width="12.5546875" style="4" customWidth="1"/>
    <col min="5" max="5" width="12.6640625" style="4" customWidth="1"/>
    <col min="6" max="6" width="11.88671875" style="4" customWidth="1"/>
    <col min="7" max="7" width="14.6640625" style="4" customWidth="1"/>
    <col min="8" max="10" width="10.6640625" style="1" customWidth="1"/>
    <col min="11" max="11" width="15.5546875" style="1" customWidth="1"/>
    <col min="12" max="12" width="3.109375" style="1" customWidth="1"/>
    <col min="13" max="13" width="14.5546875" style="1" customWidth="1"/>
    <col min="14" max="14" width="3.109375" style="1" customWidth="1"/>
    <col min="15" max="20" width="8.6640625" style="1" customWidth="1"/>
    <col min="21" max="21" width="3.109375" style="1" customWidth="1"/>
    <col min="22" max="22" width="14.33203125" style="1" customWidth="1"/>
    <col min="23" max="26" width="10.6640625" style="1" customWidth="1"/>
    <col min="27" max="27" width="11.6640625" style="1" customWidth="1"/>
    <col min="28" max="28" width="14.88671875" style="1" customWidth="1"/>
    <col min="29" max="16384" width="9.109375" style="1"/>
  </cols>
  <sheetData>
    <row r="1" spans="1:11" ht="15" thickBot="1" x14ac:dyDescent="0.35">
      <c r="A1" s="14" t="s">
        <v>0</v>
      </c>
      <c r="D1" s="39" t="s">
        <v>97</v>
      </c>
    </row>
    <row r="2" spans="1:11" x14ac:dyDescent="0.3">
      <c r="A2" s="14" t="s">
        <v>21</v>
      </c>
      <c r="D2" s="139" t="s">
        <v>98</v>
      </c>
    </row>
    <row r="3" spans="1:11" x14ac:dyDescent="0.3">
      <c r="A3" s="6"/>
      <c r="D3" s="1"/>
    </row>
    <row r="4" spans="1:11" x14ac:dyDescent="0.3">
      <c r="A4" s="14" t="s">
        <v>22</v>
      </c>
      <c r="D4" s="46" t="s">
        <v>37</v>
      </c>
      <c r="E4" s="29" t="s">
        <v>34</v>
      </c>
    </row>
    <row r="5" spans="1:11" x14ac:dyDescent="0.3">
      <c r="A5" s="6"/>
      <c r="D5" s="2" t="s">
        <v>29</v>
      </c>
      <c r="E5" s="41">
        <v>127</v>
      </c>
      <c r="F5" s="55"/>
    </row>
    <row r="6" spans="1:11" ht="16.2" x14ac:dyDescent="0.3">
      <c r="A6" s="6"/>
      <c r="D6" s="2" t="s">
        <v>124</v>
      </c>
      <c r="E6" s="42">
        <v>97</v>
      </c>
      <c r="K6" s="111"/>
    </row>
    <row r="7" spans="1:11" x14ac:dyDescent="0.3">
      <c r="A7" s="6"/>
      <c r="D7" s="2" t="s">
        <v>2</v>
      </c>
      <c r="E7" s="31">
        <f>E5-E6</f>
        <v>30</v>
      </c>
    </row>
    <row r="8" spans="1:11" ht="5.0999999999999996" customHeight="1" thickBot="1" x14ac:dyDescent="0.35">
      <c r="A8" s="6"/>
      <c r="D8" s="1"/>
    </row>
    <row r="9" spans="1:11" ht="15" thickBot="1" x14ac:dyDescent="0.35">
      <c r="A9" s="14" t="s">
        <v>23</v>
      </c>
      <c r="D9" s="40">
        <v>45992</v>
      </c>
      <c r="E9" s="43">
        <v>16</v>
      </c>
      <c r="F9" s="3" t="s">
        <v>3</v>
      </c>
      <c r="G9" s="93">
        <f>K38</f>
        <v>62.63</v>
      </c>
      <c r="H9" s="3" t="s">
        <v>115</v>
      </c>
    </row>
    <row r="10" spans="1:11" ht="5.0999999999999996" customHeight="1" x14ac:dyDescent="0.3">
      <c r="A10" s="14"/>
      <c r="D10" s="1"/>
      <c r="E10" s="1"/>
      <c r="F10" s="14"/>
    </row>
    <row r="11" spans="1:11" x14ac:dyDescent="0.3">
      <c r="A11" s="14" t="s">
        <v>32</v>
      </c>
      <c r="D11" s="2" t="s">
        <v>24</v>
      </c>
      <c r="E11" s="34">
        <f>O38</f>
        <v>0</v>
      </c>
      <c r="F11" s="47">
        <f>E11/$E$9</f>
        <v>0</v>
      </c>
      <c r="G11" s="30">
        <f>V38</f>
        <v>0</v>
      </c>
      <c r="H11" s="47">
        <f>G11/$G$9</f>
        <v>0</v>
      </c>
    </row>
    <row r="12" spans="1:11" x14ac:dyDescent="0.3">
      <c r="A12" s="5"/>
      <c r="D12" s="2" t="s">
        <v>25</v>
      </c>
      <c r="E12" s="34">
        <f>P38</f>
        <v>0</v>
      </c>
      <c r="F12" s="47">
        <f t="shared" ref="F12:F16" si="0">E12/$E$9</f>
        <v>0</v>
      </c>
      <c r="G12" s="30">
        <f>W38</f>
        <v>0</v>
      </c>
      <c r="H12" s="47">
        <f t="shared" ref="H12:H16" si="1">G12/$G$9</f>
        <v>0</v>
      </c>
    </row>
    <row r="13" spans="1:11" x14ac:dyDescent="0.3">
      <c r="A13" s="5"/>
      <c r="D13" s="2" t="s">
        <v>26</v>
      </c>
      <c r="E13" s="34">
        <f>Q38</f>
        <v>0</v>
      </c>
      <c r="F13" s="47">
        <f t="shared" si="0"/>
        <v>0</v>
      </c>
      <c r="G13" s="30">
        <f>X38</f>
        <v>0</v>
      </c>
      <c r="H13" s="47">
        <f t="shared" si="1"/>
        <v>0</v>
      </c>
    </row>
    <row r="14" spans="1:11" x14ac:dyDescent="0.3">
      <c r="A14" s="5"/>
      <c r="D14" s="2" t="s">
        <v>27</v>
      </c>
      <c r="E14" s="34">
        <f>R38</f>
        <v>0</v>
      </c>
      <c r="F14" s="47">
        <f t="shared" si="0"/>
        <v>0</v>
      </c>
      <c r="G14" s="30">
        <f>Y38</f>
        <v>0</v>
      </c>
      <c r="H14" s="47">
        <f t="shared" si="1"/>
        <v>0</v>
      </c>
    </row>
    <row r="15" spans="1:11" ht="16.2" x14ac:dyDescent="0.3">
      <c r="A15" s="5"/>
      <c r="D15" s="29" t="s">
        <v>28</v>
      </c>
      <c r="E15" s="35">
        <f>S38</f>
        <v>0</v>
      </c>
      <c r="F15" s="47">
        <f t="shared" si="0"/>
        <v>0</v>
      </c>
      <c r="G15" s="33">
        <f>Z38</f>
        <v>0</v>
      </c>
      <c r="H15" s="47">
        <f t="shared" si="1"/>
        <v>0</v>
      </c>
    </row>
    <row r="16" spans="1:11" x14ac:dyDescent="0.3">
      <c r="A16" s="5"/>
      <c r="D16" s="28" t="s">
        <v>29</v>
      </c>
      <c r="E16" s="48">
        <f>SUM(E11:E15)</f>
        <v>0</v>
      </c>
      <c r="F16" s="50">
        <f t="shared" si="0"/>
        <v>0</v>
      </c>
      <c r="G16" s="32">
        <f>SUM(G11:G15)</f>
        <v>0</v>
      </c>
      <c r="H16" s="50">
        <f t="shared" si="1"/>
        <v>0</v>
      </c>
    </row>
    <row r="17" spans="1:28" x14ac:dyDescent="0.3">
      <c r="A17" s="5"/>
      <c r="D17" s="6"/>
      <c r="E17" s="6"/>
      <c r="F17" s="6"/>
    </row>
    <row r="18" spans="1:28" ht="22.5" customHeight="1" x14ac:dyDescent="0.3">
      <c r="A18" s="161" t="s">
        <v>4</v>
      </c>
      <c r="B18" s="161" t="s">
        <v>5</v>
      </c>
      <c r="C18" s="158" t="s">
        <v>6</v>
      </c>
      <c r="D18" s="158" t="s">
        <v>38</v>
      </c>
      <c r="E18" s="161" t="s">
        <v>8</v>
      </c>
      <c r="F18" s="176" t="s">
        <v>18</v>
      </c>
      <c r="G18" s="176"/>
      <c r="H18" s="176"/>
      <c r="I18" s="176"/>
      <c r="J18" s="176"/>
      <c r="K18" s="172" t="s">
        <v>19</v>
      </c>
      <c r="M18" s="158" t="s">
        <v>35</v>
      </c>
      <c r="O18" s="164" t="s">
        <v>31</v>
      </c>
      <c r="P18" s="165"/>
      <c r="Q18" s="165"/>
      <c r="R18" s="165"/>
      <c r="S18" s="165"/>
      <c r="T18" s="166"/>
      <c r="V18" s="164" t="s">
        <v>30</v>
      </c>
      <c r="W18" s="165"/>
      <c r="X18" s="165"/>
      <c r="Y18" s="165"/>
      <c r="Z18" s="165"/>
      <c r="AA18" s="166"/>
      <c r="AB18" s="167" t="s">
        <v>33</v>
      </c>
    </row>
    <row r="19" spans="1:28" ht="21" customHeight="1" x14ac:dyDescent="0.3">
      <c r="A19" s="162"/>
      <c r="B19" s="162"/>
      <c r="C19" s="159"/>
      <c r="D19" s="162"/>
      <c r="E19" s="162"/>
      <c r="F19" s="188" t="s">
        <v>41</v>
      </c>
      <c r="G19" s="186" t="s">
        <v>37</v>
      </c>
      <c r="H19" s="187"/>
      <c r="I19" s="188" t="s">
        <v>39</v>
      </c>
      <c r="J19" s="188" t="s">
        <v>40</v>
      </c>
      <c r="K19" s="172"/>
      <c r="M19" s="171"/>
      <c r="O19" s="169" t="s">
        <v>24</v>
      </c>
      <c r="P19" s="169" t="s">
        <v>25</v>
      </c>
      <c r="Q19" s="169" t="s">
        <v>26</v>
      </c>
      <c r="R19" s="169" t="s">
        <v>27</v>
      </c>
      <c r="S19" s="169" t="s">
        <v>28</v>
      </c>
      <c r="T19" s="44" t="s">
        <v>29</v>
      </c>
      <c r="V19" s="169" t="s">
        <v>24</v>
      </c>
      <c r="W19" s="169" t="s">
        <v>25</v>
      </c>
      <c r="X19" s="169" t="s">
        <v>26</v>
      </c>
      <c r="Y19" s="169" t="s">
        <v>27</v>
      </c>
      <c r="Z19" s="169" t="s">
        <v>28</v>
      </c>
      <c r="AA19" s="44" t="s">
        <v>29</v>
      </c>
      <c r="AB19" s="168"/>
    </row>
    <row r="20" spans="1:28" ht="15" thickBot="1" x14ac:dyDescent="0.35">
      <c r="A20" s="162"/>
      <c r="B20" s="162"/>
      <c r="C20" s="159"/>
      <c r="D20" s="162"/>
      <c r="E20" s="162"/>
      <c r="F20" s="188"/>
      <c r="G20" s="102" t="s">
        <v>10</v>
      </c>
      <c r="H20" s="102" t="s">
        <v>11</v>
      </c>
      <c r="I20" s="188"/>
      <c r="J20" s="188"/>
      <c r="K20" s="45" t="s">
        <v>49</v>
      </c>
      <c r="M20" s="94" t="s">
        <v>36</v>
      </c>
      <c r="O20" s="189"/>
      <c r="P20" s="189"/>
      <c r="Q20" s="189"/>
      <c r="R20" s="189"/>
      <c r="S20" s="189"/>
      <c r="T20" s="45"/>
      <c r="V20" s="189"/>
      <c r="W20" s="189"/>
      <c r="X20" s="189"/>
      <c r="Y20" s="189"/>
      <c r="Z20" s="189"/>
      <c r="AA20" s="45" t="s">
        <v>20</v>
      </c>
      <c r="AB20" s="45" t="s">
        <v>20</v>
      </c>
    </row>
    <row r="21" spans="1:28" ht="20.100000000000001" customHeight="1" x14ac:dyDescent="0.3">
      <c r="A21" s="110">
        <v>1</v>
      </c>
      <c r="B21" s="120" t="s">
        <v>106</v>
      </c>
      <c r="C21" s="8" t="s">
        <v>107</v>
      </c>
      <c r="D21" s="8">
        <v>51.673000000000002</v>
      </c>
      <c r="E21" s="182" t="s">
        <v>114</v>
      </c>
      <c r="F21" s="137">
        <v>45993</v>
      </c>
      <c r="G21" s="157">
        <f>F21+2</f>
        <v>45995</v>
      </c>
      <c r="H21" s="157">
        <f>G21+7</f>
        <v>46002</v>
      </c>
      <c r="I21" s="157"/>
      <c r="J21" s="87"/>
      <c r="K21" s="195">
        <v>5.62</v>
      </c>
      <c r="L21" s="103"/>
      <c r="M21" s="95"/>
      <c r="N21" s="103"/>
      <c r="O21" s="104"/>
      <c r="P21" s="104"/>
      <c r="Q21" s="104"/>
      <c r="R21" s="104"/>
      <c r="S21" s="104"/>
      <c r="T21" s="104">
        <f>SUM(O21:S21)</f>
        <v>0</v>
      </c>
      <c r="U21" s="103"/>
      <c r="V21" s="155">
        <f>$K$21*O21</f>
        <v>0</v>
      </c>
      <c r="W21" s="155">
        <f>$K$21*P21</f>
        <v>0</v>
      </c>
      <c r="X21" s="155">
        <f t="shared" ref="X21:Z34" si="2">$K$21*Q21</f>
        <v>0</v>
      </c>
      <c r="Y21" s="155">
        <f t="shared" si="2"/>
        <v>0</v>
      </c>
      <c r="Z21" s="155">
        <f t="shared" si="2"/>
        <v>0</v>
      </c>
      <c r="AA21" s="105">
        <f>SUM(V21:Z21)</f>
        <v>0</v>
      </c>
      <c r="AB21" s="106">
        <f>K21-AA21</f>
        <v>5.62</v>
      </c>
    </row>
    <row r="22" spans="1:28" ht="20.100000000000001" customHeight="1" x14ac:dyDescent="0.3">
      <c r="A22" s="110">
        <f>A21+1</f>
        <v>2</v>
      </c>
      <c r="B22" s="120" t="s">
        <v>105</v>
      </c>
      <c r="C22" s="8" t="s">
        <v>101</v>
      </c>
      <c r="D22" s="8">
        <v>26.846</v>
      </c>
      <c r="E22" s="183"/>
      <c r="F22" s="138">
        <f>H21-1</f>
        <v>46001</v>
      </c>
      <c r="G22" s="157">
        <f>F22+2</f>
        <v>46003</v>
      </c>
      <c r="H22" s="157">
        <f>G22+5</f>
        <v>46008</v>
      </c>
      <c r="I22" s="157"/>
      <c r="J22" s="87"/>
      <c r="K22" s="195">
        <v>2.95</v>
      </c>
      <c r="M22" s="95"/>
      <c r="O22" s="24"/>
      <c r="P22" s="24"/>
      <c r="Q22" s="24"/>
      <c r="R22" s="24"/>
      <c r="S22" s="24"/>
      <c r="T22" s="23">
        <f t="shared" ref="T22:T34" si="3">SUM(O22:S22)</f>
        <v>0</v>
      </c>
      <c r="V22" s="151">
        <f t="shared" ref="V22:V34" si="4">$K$21*O22</f>
        <v>0</v>
      </c>
      <c r="W22" s="151">
        <f t="shared" ref="W22:W34" si="5">$K$21*P22</f>
        <v>0</v>
      </c>
      <c r="X22" s="151">
        <f t="shared" si="2"/>
        <v>0</v>
      </c>
      <c r="Y22" s="151">
        <f t="shared" si="2"/>
        <v>0</v>
      </c>
      <c r="Z22" s="151">
        <f t="shared" si="2"/>
        <v>0</v>
      </c>
      <c r="AA22" s="90">
        <f t="shared" ref="AA22:AA24" si="6">SUM(V22:Z22)</f>
        <v>0</v>
      </c>
      <c r="AB22" s="107">
        <f t="shared" ref="AB22:AB34" si="7">K22-AA22</f>
        <v>2.95</v>
      </c>
    </row>
    <row r="23" spans="1:28" ht="20.100000000000001" customHeight="1" x14ac:dyDescent="0.3">
      <c r="A23" s="110">
        <f t="shared" ref="A23:A36" si="8">A22+1</f>
        <v>3</v>
      </c>
      <c r="B23" s="119" t="s">
        <v>119</v>
      </c>
      <c r="C23" s="8" t="s">
        <v>120</v>
      </c>
      <c r="D23" s="8">
        <v>43.621000000000002</v>
      </c>
      <c r="E23" s="183"/>
      <c r="F23" s="138">
        <f>H22-1</f>
        <v>46007</v>
      </c>
      <c r="G23" s="157">
        <f>F23+2</f>
        <v>46009</v>
      </c>
      <c r="H23" s="157">
        <f>G23+6</f>
        <v>46015</v>
      </c>
      <c r="I23" s="157"/>
      <c r="J23" s="87"/>
      <c r="K23" s="195">
        <v>4.72</v>
      </c>
      <c r="M23" s="95"/>
      <c r="O23" s="24"/>
      <c r="P23" s="24"/>
      <c r="Q23" s="24"/>
      <c r="R23" s="24"/>
      <c r="S23" s="24"/>
      <c r="T23" s="23">
        <f t="shared" si="3"/>
        <v>0</v>
      </c>
      <c r="V23" s="151">
        <f t="shared" si="4"/>
        <v>0</v>
      </c>
      <c r="W23" s="151">
        <f t="shared" si="5"/>
        <v>0</v>
      </c>
      <c r="X23" s="151">
        <f t="shared" si="2"/>
        <v>0</v>
      </c>
      <c r="Y23" s="151">
        <f t="shared" si="2"/>
        <v>0</v>
      </c>
      <c r="Z23" s="151">
        <f t="shared" si="2"/>
        <v>0</v>
      </c>
      <c r="AA23" s="89">
        <f t="shared" si="6"/>
        <v>0</v>
      </c>
      <c r="AB23" s="107">
        <f t="shared" si="7"/>
        <v>4.72</v>
      </c>
    </row>
    <row r="24" spans="1:28" ht="20.100000000000001" customHeight="1" x14ac:dyDescent="0.3">
      <c r="A24" s="110">
        <f t="shared" si="8"/>
        <v>4</v>
      </c>
      <c r="B24" s="120" t="s">
        <v>109</v>
      </c>
      <c r="C24" s="8" t="s">
        <v>130</v>
      </c>
      <c r="D24" s="8">
        <v>29.122</v>
      </c>
      <c r="E24" s="183"/>
      <c r="F24" s="138">
        <f>H23-1</f>
        <v>46014</v>
      </c>
      <c r="G24" s="157">
        <f>F24+2</f>
        <v>46016</v>
      </c>
      <c r="H24" s="157">
        <f>G24+5</f>
        <v>46021</v>
      </c>
      <c r="I24" s="157"/>
      <c r="J24" s="87"/>
      <c r="K24" s="195">
        <v>3.6</v>
      </c>
      <c r="M24" s="7"/>
      <c r="O24" s="24"/>
      <c r="P24" s="24"/>
      <c r="Q24" s="24"/>
      <c r="R24" s="24"/>
      <c r="S24" s="24"/>
      <c r="T24" s="23">
        <f t="shared" si="3"/>
        <v>0</v>
      </c>
      <c r="V24" s="151">
        <f t="shared" si="4"/>
        <v>0</v>
      </c>
      <c r="W24" s="151">
        <f t="shared" si="5"/>
        <v>0</v>
      </c>
      <c r="X24" s="151">
        <f t="shared" si="2"/>
        <v>0</v>
      </c>
      <c r="Y24" s="151">
        <f t="shared" si="2"/>
        <v>0</v>
      </c>
      <c r="Z24" s="151">
        <f t="shared" si="2"/>
        <v>0</v>
      </c>
      <c r="AA24" s="89">
        <f t="shared" si="6"/>
        <v>0</v>
      </c>
      <c r="AB24" s="107">
        <f t="shared" si="7"/>
        <v>3.6</v>
      </c>
    </row>
    <row r="25" spans="1:28" ht="20.100000000000001" customHeight="1" x14ac:dyDescent="0.3">
      <c r="A25" s="110">
        <f t="shared" si="8"/>
        <v>5</v>
      </c>
      <c r="B25" s="120" t="s">
        <v>117</v>
      </c>
      <c r="C25" s="8" t="s">
        <v>118</v>
      </c>
      <c r="D25" s="8">
        <v>51.673000000000002</v>
      </c>
      <c r="E25" s="182" t="s">
        <v>122</v>
      </c>
      <c r="F25" s="138">
        <v>45991</v>
      </c>
      <c r="G25" s="157">
        <f t="shared" ref="G25" si="9">F25+1</f>
        <v>45992</v>
      </c>
      <c r="H25" s="157">
        <f>G25+7</f>
        <v>45999</v>
      </c>
      <c r="I25" s="157"/>
      <c r="J25" s="87"/>
      <c r="K25" s="195">
        <v>5.62</v>
      </c>
      <c r="M25" s="95"/>
      <c r="O25" s="24"/>
      <c r="P25" s="51"/>
      <c r="Q25" s="51"/>
      <c r="R25" s="51"/>
      <c r="S25" s="51"/>
      <c r="T25" s="23">
        <f t="shared" si="3"/>
        <v>0</v>
      </c>
      <c r="V25" s="151">
        <f t="shared" si="4"/>
        <v>0</v>
      </c>
      <c r="W25" s="151">
        <f t="shared" si="5"/>
        <v>0</v>
      </c>
      <c r="X25" s="151">
        <f t="shared" si="2"/>
        <v>0</v>
      </c>
      <c r="Y25" s="151">
        <f t="shared" si="2"/>
        <v>0</v>
      </c>
      <c r="Z25" s="151">
        <f t="shared" si="2"/>
        <v>0</v>
      </c>
      <c r="AA25" s="89">
        <f t="shared" ref="AA25:AA30" si="10">SUM(V25:Z25)</f>
        <v>0</v>
      </c>
      <c r="AB25" s="107">
        <f t="shared" si="7"/>
        <v>5.62</v>
      </c>
    </row>
    <row r="26" spans="1:28" ht="20.100000000000001" customHeight="1" x14ac:dyDescent="0.3">
      <c r="A26" s="110">
        <f t="shared" si="8"/>
        <v>6</v>
      </c>
      <c r="B26" s="120" t="s">
        <v>100</v>
      </c>
      <c r="C26" s="8" t="s">
        <v>101</v>
      </c>
      <c r="D26" s="8">
        <v>26.846</v>
      </c>
      <c r="E26" s="183"/>
      <c r="F26" s="138">
        <f>H25-1</f>
        <v>45998</v>
      </c>
      <c r="G26" s="157">
        <f t="shared" ref="G26:G36" si="11">F26+2</f>
        <v>46000</v>
      </c>
      <c r="H26" s="157">
        <f>G26+4</f>
        <v>46004</v>
      </c>
      <c r="I26" s="157"/>
      <c r="J26" s="87"/>
      <c r="K26" s="195">
        <v>2.95</v>
      </c>
      <c r="M26" s="95"/>
      <c r="O26" s="24"/>
      <c r="P26" s="51"/>
      <c r="Q26" s="51"/>
      <c r="R26" s="51"/>
      <c r="S26" s="51"/>
      <c r="T26" s="23">
        <f t="shared" si="3"/>
        <v>0</v>
      </c>
      <c r="V26" s="151">
        <f t="shared" si="4"/>
        <v>0</v>
      </c>
      <c r="W26" s="151">
        <f t="shared" si="5"/>
        <v>0</v>
      </c>
      <c r="X26" s="151">
        <f t="shared" si="2"/>
        <v>0</v>
      </c>
      <c r="Y26" s="151">
        <f t="shared" si="2"/>
        <v>0</v>
      </c>
      <c r="Z26" s="151">
        <f t="shared" si="2"/>
        <v>0</v>
      </c>
      <c r="AA26" s="89">
        <f t="shared" si="10"/>
        <v>0</v>
      </c>
      <c r="AB26" s="107">
        <f t="shared" si="7"/>
        <v>2.95</v>
      </c>
    </row>
    <row r="27" spans="1:28" ht="20.100000000000001" customHeight="1" x14ac:dyDescent="0.3">
      <c r="A27" s="110">
        <f t="shared" si="8"/>
        <v>7</v>
      </c>
      <c r="B27" s="120" t="s">
        <v>89</v>
      </c>
      <c r="C27" s="8" t="s">
        <v>121</v>
      </c>
      <c r="D27" s="8">
        <v>34.630000000000003</v>
      </c>
      <c r="E27" s="183"/>
      <c r="F27" s="138">
        <f>H26-1</f>
        <v>46003</v>
      </c>
      <c r="G27" s="157">
        <f t="shared" si="11"/>
        <v>46005</v>
      </c>
      <c r="H27" s="157">
        <f>G27+5</f>
        <v>46010</v>
      </c>
      <c r="I27" s="157"/>
      <c r="J27" s="87"/>
      <c r="K27" s="195">
        <v>3.89</v>
      </c>
      <c r="M27" s="95"/>
      <c r="O27" s="24"/>
      <c r="P27" s="51"/>
      <c r="Q27" s="51"/>
      <c r="R27" s="51"/>
      <c r="S27" s="51"/>
      <c r="T27" s="23">
        <f t="shared" si="3"/>
        <v>0</v>
      </c>
      <c r="V27" s="151">
        <f t="shared" si="4"/>
        <v>0</v>
      </c>
      <c r="W27" s="151">
        <f t="shared" si="5"/>
        <v>0</v>
      </c>
      <c r="X27" s="151">
        <f t="shared" si="2"/>
        <v>0</v>
      </c>
      <c r="Y27" s="151">
        <f t="shared" si="2"/>
        <v>0</v>
      </c>
      <c r="Z27" s="151">
        <f t="shared" si="2"/>
        <v>0</v>
      </c>
      <c r="AA27" s="89">
        <f t="shared" ref="AA27" si="12">SUM(V27:Z27)</f>
        <v>0</v>
      </c>
      <c r="AB27" s="107">
        <f t="shared" si="7"/>
        <v>3.89</v>
      </c>
    </row>
    <row r="28" spans="1:28" ht="20.100000000000001" customHeight="1" x14ac:dyDescent="0.3">
      <c r="A28" s="110">
        <f t="shared" si="8"/>
        <v>8</v>
      </c>
      <c r="B28" s="120" t="s">
        <v>90</v>
      </c>
      <c r="C28" s="8" t="s">
        <v>104</v>
      </c>
      <c r="D28" s="8">
        <v>27.600999999999999</v>
      </c>
      <c r="E28" s="183"/>
      <c r="F28" s="138">
        <f>H27-1</f>
        <v>46009</v>
      </c>
      <c r="G28" s="157">
        <f t="shared" si="11"/>
        <v>46011</v>
      </c>
      <c r="H28" s="157">
        <f>G28+5</f>
        <v>46016</v>
      </c>
      <c r="I28" s="157"/>
      <c r="J28" s="87"/>
      <c r="K28" s="195">
        <v>3.04</v>
      </c>
      <c r="M28" s="95"/>
      <c r="O28" s="51"/>
      <c r="P28" s="51"/>
      <c r="Q28" s="51"/>
      <c r="R28" s="51"/>
      <c r="S28" s="51"/>
      <c r="T28" s="23"/>
      <c r="V28" s="151"/>
      <c r="W28" s="151"/>
      <c r="X28" s="151"/>
      <c r="Y28" s="151"/>
      <c r="Z28" s="151"/>
      <c r="AA28" s="89"/>
      <c r="AB28" s="107">
        <f t="shared" si="7"/>
        <v>3.04</v>
      </c>
    </row>
    <row r="29" spans="1:28" ht="20.100000000000001" customHeight="1" x14ac:dyDescent="0.3">
      <c r="A29" s="110">
        <f t="shared" si="8"/>
        <v>9</v>
      </c>
      <c r="B29" s="120" t="s">
        <v>110</v>
      </c>
      <c r="C29" s="8" t="s">
        <v>101</v>
      </c>
      <c r="D29" s="8">
        <v>26.846</v>
      </c>
      <c r="E29" s="184"/>
      <c r="F29" s="138">
        <f>H28-1</f>
        <v>46015</v>
      </c>
      <c r="G29" s="157">
        <f t="shared" si="11"/>
        <v>46017</v>
      </c>
      <c r="H29" s="157">
        <f>G29+6</f>
        <v>46023</v>
      </c>
      <c r="I29" s="157"/>
      <c r="J29" s="87"/>
      <c r="K29" s="195">
        <v>2.95</v>
      </c>
      <c r="M29" s="95"/>
      <c r="O29" s="51"/>
      <c r="P29" s="51"/>
      <c r="Q29" s="51"/>
      <c r="R29" s="51"/>
      <c r="S29" s="51"/>
      <c r="T29" s="23"/>
      <c r="V29" s="151"/>
      <c r="W29" s="151"/>
      <c r="X29" s="151"/>
      <c r="Y29" s="151"/>
      <c r="Z29" s="151"/>
      <c r="AA29" s="89"/>
      <c r="AB29" s="107">
        <f t="shared" si="7"/>
        <v>2.95</v>
      </c>
    </row>
    <row r="30" spans="1:28" ht="20.100000000000001" customHeight="1" x14ac:dyDescent="0.3">
      <c r="A30" s="110">
        <f t="shared" si="8"/>
        <v>10</v>
      </c>
      <c r="B30" s="120" t="s">
        <v>102</v>
      </c>
      <c r="C30" s="8" t="s">
        <v>99</v>
      </c>
      <c r="D30" s="8">
        <v>27.963000000000001</v>
      </c>
      <c r="E30" s="182" t="s">
        <v>123</v>
      </c>
      <c r="F30" s="138">
        <v>45987</v>
      </c>
      <c r="G30" s="157">
        <f t="shared" si="11"/>
        <v>45989</v>
      </c>
      <c r="H30" s="157">
        <f>G30+5</f>
        <v>45994</v>
      </c>
      <c r="I30" s="157"/>
      <c r="J30" s="87"/>
      <c r="K30" s="195">
        <v>3.08</v>
      </c>
      <c r="M30" s="95"/>
      <c r="O30" s="51"/>
      <c r="P30" s="51"/>
      <c r="Q30" s="51"/>
      <c r="R30" s="51"/>
      <c r="S30" s="51"/>
      <c r="T30" s="23">
        <f t="shared" si="3"/>
        <v>0</v>
      </c>
      <c r="V30" s="151">
        <f t="shared" si="4"/>
        <v>0</v>
      </c>
      <c r="W30" s="151">
        <f t="shared" si="5"/>
        <v>0</v>
      </c>
      <c r="X30" s="151">
        <f t="shared" si="2"/>
        <v>0</v>
      </c>
      <c r="Y30" s="151">
        <f t="shared" si="2"/>
        <v>0</v>
      </c>
      <c r="Z30" s="151">
        <f t="shared" si="2"/>
        <v>0</v>
      </c>
      <c r="AA30" s="89">
        <f t="shared" si="10"/>
        <v>0</v>
      </c>
      <c r="AB30" s="107">
        <f t="shared" si="7"/>
        <v>3.08</v>
      </c>
    </row>
    <row r="31" spans="1:28" ht="20.100000000000001" customHeight="1" x14ac:dyDescent="0.3">
      <c r="A31" s="110">
        <f t="shared" si="8"/>
        <v>11</v>
      </c>
      <c r="B31" s="8" t="s">
        <v>103</v>
      </c>
      <c r="C31" s="8" t="s">
        <v>104</v>
      </c>
      <c r="D31" s="8">
        <v>27.600999999999999</v>
      </c>
      <c r="E31" s="183"/>
      <c r="F31" s="138">
        <f>H30-1</f>
        <v>45993</v>
      </c>
      <c r="G31" s="157">
        <f t="shared" si="11"/>
        <v>45995</v>
      </c>
      <c r="H31" s="157">
        <f>G31+5</f>
        <v>46000</v>
      </c>
      <c r="I31" s="157"/>
      <c r="J31" s="87"/>
      <c r="K31" s="195">
        <v>3.04</v>
      </c>
      <c r="M31" s="95"/>
      <c r="O31" s="51"/>
      <c r="P31" s="51"/>
      <c r="Q31" s="51"/>
      <c r="R31" s="51"/>
      <c r="S31" s="51"/>
      <c r="T31" s="23">
        <f t="shared" si="3"/>
        <v>0</v>
      </c>
      <c r="V31" s="151">
        <f t="shared" si="4"/>
        <v>0</v>
      </c>
      <c r="W31" s="151">
        <f t="shared" si="5"/>
        <v>0</v>
      </c>
      <c r="X31" s="151">
        <f t="shared" si="2"/>
        <v>0</v>
      </c>
      <c r="Y31" s="151">
        <f t="shared" si="2"/>
        <v>0</v>
      </c>
      <c r="Z31" s="151">
        <f t="shared" si="2"/>
        <v>0</v>
      </c>
      <c r="AA31" s="89">
        <f t="shared" ref="AA31:AA34" si="13">SUM(V31:Z31)</f>
        <v>0</v>
      </c>
      <c r="AB31" s="107">
        <f t="shared" si="7"/>
        <v>3.04</v>
      </c>
    </row>
    <row r="32" spans="1:28" ht="20.100000000000001" customHeight="1" x14ac:dyDescent="0.3">
      <c r="A32" s="110">
        <f t="shared" si="8"/>
        <v>12</v>
      </c>
      <c r="B32" s="120" t="s">
        <v>131</v>
      </c>
      <c r="C32" s="8" t="s">
        <v>132</v>
      </c>
      <c r="D32" s="8">
        <v>53.871000000000002</v>
      </c>
      <c r="E32" s="183"/>
      <c r="F32" s="138">
        <f>H31-1</f>
        <v>45999</v>
      </c>
      <c r="G32" s="157">
        <f t="shared" si="11"/>
        <v>46001</v>
      </c>
      <c r="H32" s="157">
        <f>G32+7</f>
        <v>46008</v>
      </c>
      <c r="I32" s="157"/>
      <c r="J32" s="87"/>
      <c r="K32" s="195">
        <v>6.57</v>
      </c>
      <c r="M32" s="95"/>
      <c r="O32" s="51"/>
      <c r="P32" s="51"/>
      <c r="Q32" s="51"/>
      <c r="R32" s="51"/>
      <c r="S32" s="51"/>
      <c r="T32" s="23">
        <f t="shared" si="3"/>
        <v>0</v>
      </c>
      <c r="V32" s="151">
        <f t="shared" si="4"/>
        <v>0</v>
      </c>
      <c r="W32" s="151">
        <f t="shared" si="5"/>
        <v>0</v>
      </c>
      <c r="X32" s="151">
        <f t="shared" si="2"/>
        <v>0</v>
      </c>
      <c r="Y32" s="151">
        <f t="shared" si="2"/>
        <v>0</v>
      </c>
      <c r="Z32" s="151">
        <f t="shared" si="2"/>
        <v>0</v>
      </c>
      <c r="AA32" s="89">
        <f t="shared" si="13"/>
        <v>0</v>
      </c>
      <c r="AB32" s="107">
        <f t="shared" si="7"/>
        <v>6.57</v>
      </c>
    </row>
    <row r="33" spans="1:28" ht="20.100000000000001" customHeight="1" x14ac:dyDescent="0.3">
      <c r="A33" s="110">
        <f t="shared" si="8"/>
        <v>13</v>
      </c>
      <c r="B33" s="119" t="s">
        <v>116</v>
      </c>
      <c r="C33" s="8" t="s">
        <v>107</v>
      </c>
      <c r="D33" s="8">
        <v>51.673000000000002</v>
      </c>
      <c r="E33" s="183"/>
      <c r="F33" s="138">
        <f>H32-1</f>
        <v>46007</v>
      </c>
      <c r="G33" s="157">
        <f t="shared" si="11"/>
        <v>46009</v>
      </c>
      <c r="H33" s="157">
        <f>G33+7</f>
        <v>46016</v>
      </c>
      <c r="I33" s="157"/>
      <c r="J33" s="87"/>
      <c r="K33" s="195">
        <v>5.62</v>
      </c>
      <c r="M33" s="95"/>
      <c r="O33" s="51"/>
      <c r="P33" s="51"/>
      <c r="Q33" s="51"/>
      <c r="R33" s="51"/>
      <c r="S33" s="51"/>
      <c r="T33" s="23">
        <f t="shared" si="3"/>
        <v>0</v>
      </c>
      <c r="V33" s="151">
        <f t="shared" si="4"/>
        <v>0</v>
      </c>
      <c r="W33" s="151">
        <f t="shared" si="5"/>
        <v>0</v>
      </c>
      <c r="X33" s="151">
        <f t="shared" si="2"/>
        <v>0</v>
      </c>
      <c r="Y33" s="151">
        <f t="shared" si="2"/>
        <v>0</v>
      </c>
      <c r="Z33" s="151">
        <f t="shared" si="2"/>
        <v>0</v>
      </c>
      <c r="AA33" s="89">
        <f t="shared" si="13"/>
        <v>0</v>
      </c>
      <c r="AB33" s="107">
        <f t="shared" si="7"/>
        <v>5.62</v>
      </c>
    </row>
    <row r="34" spans="1:28" ht="20.100000000000001" customHeight="1" x14ac:dyDescent="0.3">
      <c r="A34" s="110">
        <f t="shared" si="8"/>
        <v>14</v>
      </c>
      <c r="B34" s="120" t="s">
        <v>108</v>
      </c>
      <c r="C34" s="8" t="s">
        <v>101</v>
      </c>
      <c r="D34" s="8">
        <v>26.846</v>
      </c>
      <c r="E34" s="184"/>
      <c r="F34" s="138">
        <f>H33-1</f>
        <v>46015</v>
      </c>
      <c r="G34" s="157">
        <f t="shared" si="11"/>
        <v>46017</v>
      </c>
      <c r="H34" s="157">
        <f>G34+6</f>
        <v>46023</v>
      </c>
      <c r="I34" s="157"/>
      <c r="J34" s="87"/>
      <c r="K34" s="195">
        <v>2.95</v>
      </c>
      <c r="M34" s="95"/>
      <c r="O34" s="51"/>
      <c r="P34" s="51"/>
      <c r="Q34" s="51"/>
      <c r="R34" s="51"/>
      <c r="S34" s="51"/>
      <c r="T34" s="23">
        <f t="shared" si="3"/>
        <v>0</v>
      </c>
      <c r="V34" s="151">
        <f t="shared" si="4"/>
        <v>0</v>
      </c>
      <c r="W34" s="151">
        <f t="shared" si="5"/>
        <v>0</v>
      </c>
      <c r="X34" s="151">
        <f t="shared" si="2"/>
        <v>0</v>
      </c>
      <c r="Y34" s="151">
        <f t="shared" si="2"/>
        <v>0</v>
      </c>
      <c r="Z34" s="151">
        <f t="shared" si="2"/>
        <v>0</v>
      </c>
      <c r="AA34" s="89">
        <f t="shared" si="13"/>
        <v>0</v>
      </c>
      <c r="AB34" s="107">
        <f t="shared" si="7"/>
        <v>2.95</v>
      </c>
    </row>
    <row r="35" spans="1:28" ht="20.100000000000001" customHeight="1" x14ac:dyDescent="0.3">
      <c r="A35" s="110">
        <f t="shared" si="8"/>
        <v>15</v>
      </c>
      <c r="B35" s="120" t="s">
        <v>134</v>
      </c>
      <c r="C35" s="8" t="s">
        <v>99</v>
      </c>
      <c r="D35" s="8">
        <v>27.963000000000001</v>
      </c>
      <c r="E35" s="185" t="s">
        <v>136</v>
      </c>
      <c r="F35" s="138">
        <v>46006</v>
      </c>
      <c r="G35" s="157">
        <f t="shared" si="11"/>
        <v>46008</v>
      </c>
      <c r="H35" s="157">
        <f>G35+7</f>
        <v>46015</v>
      </c>
      <c r="I35" s="157"/>
      <c r="J35" s="87"/>
      <c r="K35" s="195">
        <v>3.08</v>
      </c>
      <c r="M35" s="95"/>
      <c r="O35" s="51"/>
      <c r="P35" s="51"/>
      <c r="Q35" s="51"/>
      <c r="R35" s="51"/>
      <c r="S35" s="51"/>
      <c r="T35" s="23">
        <f t="shared" ref="T35" si="14">SUM(O35:S35)</f>
        <v>0</v>
      </c>
      <c r="V35" s="151">
        <f t="shared" ref="V35" si="15">$K$21*O35</f>
        <v>0</v>
      </c>
      <c r="W35" s="151">
        <f t="shared" ref="W35" si="16">$K$21*P35</f>
        <v>0</v>
      </c>
      <c r="X35" s="151">
        <f t="shared" ref="X35" si="17">$K$21*Q35</f>
        <v>0</v>
      </c>
      <c r="Y35" s="151">
        <f t="shared" ref="Y35" si="18">$K$21*R35</f>
        <v>0</v>
      </c>
      <c r="Z35" s="151">
        <f t="shared" ref="Z35" si="19">$K$21*S35</f>
        <v>0</v>
      </c>
      <c r="AA35" s="89">
        <f t="shared" ref="AA35" si="20">SUM(V35:Z35)</f>
        <v>0</v>
      </c>
      <c r="AB35" s="107">
        <f t="shared" ref="AB35" si="21">K35-AA35</f>
        <v>3.08</v>
      </c>
    </row>
    <row r="36" spans="1:28" ht="20.100000000000001" customHeight="1" x14ac:dyDescent="0.3">
      <c r="A36" s="110">
        <f t="shared" si="8"/>
        <v>16</v>
      </c>
      <c r="B36" s="120" t="s">
        <v>135</v>
      </c>
      <c r="C36" s="8" t="s">
        <v>101</v>
      </c>
      <c r="D36" s="8">
        <v>26.846</v>
      </c>
      <c r="E36" s="185"/>
      <c r="F36" s="138">
        <f>H35-1</f>
        <v>46014</v>
      </c>
      <c r="G36" s="157">
        <f t="shared" si="11"/>
        <v>46016</v>
      </c>
      <c r="H36" s="157">
        <f>G36+6</f>
        <v>46022</v>
      </c>
      <c r="I36" s="157"/>
      <c r="J36" s="87"/>
      <c r="K36" s="195">
        <v>2.95</v>
      </c>
      <c r="M36" s="95"/>
      <c r="O36" s="51"/>
      <c r="P36" s="51"/>
      <c r="Q36" s="51"/>
      <c r="R36" s="51"/>
      <c r="S36" s="51"/>
      <c r="T36" s="23">
        <f t="shared" ref="T36" si="22">SUM(O36:S36)</f>
        <v>0</v>
      </c>
      <c r="V36" s="151">
        <f t="shared" ref="V36" si="23">$K$21*O36</f>
        <v>0</v>
      </c>
      <c r="W36" s="151">
        <f t="shared" ref="W36" si="24">$K$21*P36</f>
        <v>0</v>
      </c>
      <c r="X36" s="151">
        <f t="shared" ref="X36" si="25">$K$21*Q36</f>
        <v>0</v>
      </c>
      <c r="Y36" s="151">
        <f t="shared" ref="Y36" si="26">$K$21*R36</f>
        <v>0</v>
      </c>
      <c r="Z36" s="151">
        <f t="shared" ref="Z36" si="27">$K$21*S36</f>
        <v>0</v>
      </c>
      <c r="AA36" s="89">
        <f t="shared" ref="AA36" si="28">SUM(V36:Z36)</f>
        <v>0</v>
      </c>
      <c r="AB36" s="107">
        <f t="shared" ref="AB36" si="29">K36-AA36</f>
        <v>2.95</v>
      </c>
    </row>
    <row r="37" spans="1:28" ht="20.100000000000001" customHeight="1" x14ac:dyDescent="0.3">
      <c r="A37" s="110"/>
      <c r="B37" s="112"/>
      <c r="C37" s="112"/>
      <c r="D37" s="118"/>
      <c r="E37" s="154"/>
      <c r="F37" s="157"/>
      <c r="G37" s="157"/>
      <c r="H37" s="157"/>
      <c r="I37" s="157"/>
      <c r="J37" s="87"/>
      <c r="K37" s="113"/>
      <c r="M37" s="98"/>
      <c r="O37" s="51"/>
      <c r="P37" s="51"/>
      <c r="Q37" s="51"/>
      <c r="R37" s="51"/>
      <c r="S37" s="51"/>
      <c r="T37" s="23"/>
      <c r="V37" s="88"/>
      <c r="W37" s="88"/>
      <c r="X37" s="88"/>
      <c r="Y37" s="88"/>
      <c r="Z37" s="88"/>
      <c r="AA37" s="89"/>
      <c r="AB37" s="107"/>
    </row>
    <row r="38" spans="1:28" ht="20.100000000000001" customHeight="1" x14ac:dyDescent="0.3">
      <c r="A38" s="9"/>
      <c r="B38" s="10"/>
      <c r="C38" s="10"/>
      <c r="D38" s="15">
        <f>SUM(D21:D37)</f>
        <v>561.62099999999998</v>
      </c>
      <c r="E38" s="15"/>
      <c r="F38" s="15"/>
      <c r="G38" s="9"/>
      <c r="H38" s="10"/>
      <c r="I38" s="10"/>
      <c r="J38" s="10"/>
      <c r="K38" s="18">
        <f>SUM(K21:K37)</f>
        <v>62.63</v>
      </c>
      <c r="M38" s="10"/>
      <c r="O38" s="27">
        <f t="shared" ref="O38:T38" si="30">SUM(O21:O37)</f>
        <v>0</v>
      </c>
      <c r="P38" s="27">
        <f t="shared" si="30"/>
        <v>0</v>
      </c>
      <c r="Q38" s="27">
        <f t="shared" si="30"/>
        <v>0</v>
      </c>
      <c r="R38" s="27">
        <f t="shared" si="30"/>
        <v>0</v>
      </c>
      <c r="S38" s="27">
        <f t="shared" si="30"/>
        <v>0</v>
      </c>
      <c r="T38" s="27">
        <f t="shared" si="30"/>
        <v>0</v>
      </c>
      <c r="V38" s="91">
        <f t="shared" ref="V38:AB38" si="31">SUM(V21:V37)</f>
        <v>0</v>
      </c>
      <c r="W38" s="91">
        <f t="shared" si="31"/>
        <v>0</v>
      </c>
      <c r="X38" s="91">
        <f t="shared" si="31"/>
        <v>0</v>
      </c>
      <c r="Y38" s="91">
        <f t="shared" si="31"/>
        <v>0</v>
      </c>
      <c r="Z38" s="91">
        <f t="shared" si="31"/>
        <v>0</v>
      </c>
      <c r="AA38" s="91">
        <f t="shared" si="31"/>
        <v>0</v>
      </c>
      <c r="AB38" s="91">
        <f t="shared" si="31"/>
        <v>62.63</v>
      </c>
    </row>
    <row r="39" spans="1:28" x14ac:dyDescent="0.3">
      <c r="V39" s="92"/>
      <c r="W39" s="92"/>
      <c r="X39" s="92"/>
      <c r="Y39" s="92"/>
      <c r="Z39" s="92"/>
      <c r="AA39" s="92"/>
      <c r="AB39" s="92"/>
    </row>
  </sheetData>
  <autoFilter ref="A18:D38"/>
  <mergeCells count="29">
    <mergeCell ref="A18:A20"/>
    <mergeCell ref="B18:B20"/>
    <mergeCell ref="C18:C20"/>
    <mergeCell ref="D18:D20"/>
    <mergeCell ref="E18:E20"/>
    <mergeCell ref="AB18:AB19"/>
    <mergeCell ref="O19:O20"/>
    <mergeCell ref="P19:P20"/>
    <mergeCell ref="Q19:Q20"/>
    <mergeCell ref="R19:R20"/>
    <mergeCell ref="O18:T18"/>
    <mergeCell ref="V18:AA18"/>
    <mergeCell ref="S19:S20"/>
    <mergeCell ref="V19:V20"/>
    <mergeCell ref="W19:W20"/>
    <mergeCell ref="X19:X20"/>
    <mergeCell ref="Y19:Y20"/>
    <mergeCell ref="Z19:Z20"/>
    <mergeCell ref="E25:E29"/>
    <mergeCell ref="E35:E36"/>
    <mergeCell ref="M18:M19"/>
    <mergeCell ref="G19:H19"/>
    <mergeCell ref="I19:I20"/>
    <mergeCell ref="F18:J18"/>
    <mergeCell ref="J19:J20"/>
    <mergeCell ref="F19:F20"/>
    <mergeCell ref="K18:K19"/>
    <mergeCell ref="E21:E24"/>
    <mergeCell ref="E30:E34"/>
  </mergeCells>
  <phoneticPr fontId="8" type="noConversion"/>
  <conditionalFormatting sqref="B24:B25">
    <cfRule type="duplicateValues" dxfId="26" priority="34"/>
    <cfRule type="duplicateValues" dxfId="25" priority="35"/>
  </conditionalFormatting>
  <conditionalFormatting sqref="F37:J37 G21:J29 H30:J36">
    <cfRule type="containsText" dxfId="24" priority="78" operator="containsText" text="Complete">
      <formula>NOT(ISERROR(SEARCH("Complete",F21)))</formula>
    </cfRule>
    <cfRule type="containsText" dxfId="23" priority="79" operator="containsText" text="ROW">
      <formula>NOT(ISERROR(SEARCH("ROW",F21)))</formula>
    </cfRule>
  </conditionalFormatting>
  <conditionalFormatting sqref="F37:J37 G21:J29 H30:J36">
    <cfRule type="containsText" dxfId="22" priority="28" operator="containsText" text="WIP">
      <formula>NOT(ISERROR(SEARCH("WIP",F21)))</formula>
    </cfRule>
  </conditionalFormatting>
  <conditionalFormatting sqref="J23:J24 G23:H24">
    <cfRule type="containsText" dxfId="21" priority="26" operator="containsText" text="Complete">
      <formula>NOT(ISERROR(SEARCH("Complete",G23)))</formula>
    </cfRule>
    <cfRule type="containsText" dxfId="20" priority="27" operator="containsText" text="ROW">
      <formula>NOT(ISERROR(SEARCH("ROW",G23)))</formula>
    </cfRule>
  </conditionalFormatting>
  <conditionalFormatting sqref="J26:J29">
    <cfRule type="containsText" dxfId="19" priority="24" operator="containsText" text="Complete">
      <formula>NOT(ISERROR(SEARCH("Complete",J26)))</formula>
    </cfRule>
    <cfRule type="containsText" dxfId="18" priority="25" operator="containsText" text="ROW">
      <formula>NOT(ISERROR(SEARCH("ROW",J26)))</formula>
    </cfRule>
  </conditionalFormatting>
  <conditionalFormatting sqref="J30:J31 H30:H36">
    <cfRule type="containsText" dxfId="17" priority="20" operator="containsText" text="Complete">
      <formula>NOT(ISERROR(SEARCH("Complete",H30)))</formula>
    </cfRule>
    <cfRule type="containsText" dxfId="16" priority="21" operator="containsText" text="ROW">
      <formula>NOT(ISERROR(SEARCH("ROW",H30)))</formula>
    </cfRule>
  </conditionalFormatting>
  <conditionalFormatting sqref="B37">
    <cfRule type="duplicateValues" dxfId="15" priority="1474"/>
  </conditionalFormatting>
  <conditionalFormatting sqref="B32 B23 B21 B28:B30">
    <cfRule type="duplicateValues" dxfId="14" priority="1476"/>
  </conditionalFormatting>
  <conditionalFormatting sqref="B32 B21:B22 B26:B30">
    <cfRule type="duplicateValues" dxfId="13" priority="1489"/>
  </conditionalFormatting>
  <conditionalFormatting sqref="B32 B21:B23 B26:B30">
    <cfRule type="duplicateValues" dxfId="12" priority="1498"/>
  </conditionalFormatting>
  <conditionalFormatting sqref="B21:B30 B32:B36">
    <cfRule type="duplicateValues" dxfId="11" priority="1502"/>
  </conditionalFormatting>
  <conditionalFormatting sqref="G30:G36">
    <cfRule type="containsText" dxfId="10" priority="2" operator="containsText" text="Complete">
      <formula>NOT(ISERROR(SEARCH("Complete",G30)))</formula>
    </cfRule>
    <cfRule type="containsText" dxfId="9" priority="3" operator="containsText" text="ROW">
      <formula>NOT(ISERROR(SEARCH("ROW",G30)))</formula>
    </cfRule>
  </conditionalFormatting>
  <conditionalFormatting sqref="G30:G36">
    <cfRule type="containsText" dxfId="8" priority="1" operator="containsText" text="WIP">
      <formula>NOT(ISERROR(SEARCH("WIP",G30)))</formula>
    </cfRule>
  </conditionalFormatting>
  <printOptions horizontalCentered="1"/>
  <pageMargins left="0.25" right="0.25" top="0.75" bottom="0.75" header="0.3" footer="0.3"/>
  <pageSetup paperSize="9" scale="49" orientation="landscape" r:id="rId1"/>
  <ignoredErrors>
    <ignoredError sqref="F16 G25 H23:H25 H29 H34:H35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41"/>
  <sheetViews>
    <sheetView tabSelected="1" workbookViewId="0">
      <pane xSplit="4" ySplit="10" topLeftCell="E17" activePane="bottomRight" state="frozen"/>
      <selection pane="topRight" activeCell="E1" sqref="E1"/>
      <selection pane="bottomLeft" activeCell="A11" sqref="A11"/>
      <selection pane="bottomRight" activeCell="K26" sqref="K26"/>
    </sheetView>
  </sheetViews>
  <sheetFormatPr defaultColWidth="9.109375" defaultRowHeight="14.4" x14ac:dyDescent="0.3"/>
  <cols>
    <col min="1" max="1" width="3.44140625" style="4" customWidth="1"/>
    <col min="2" max="2" width="12.6640625" style="1" customWidth="1"/>
    <col min="3" max="3" width="11.33203125" style="1" customWidth="1"/>
    <col min="4" max="4" width="12.5546875" style="4" customWidth="1"/>
    <col min="5" max="5" width="12.6640625" style="4" customWidth="1"/>
    <col min="6" max="6" width="10.109375" style="4" customWidth="1"/>
    <col min="7" max="7" width="13.33203125" style="4" customWidth="1"/>
    <col min="8" max="10" width="10.6640625" style="1" customWidth="1"/>
    <col min="11" max="11" width="13.33203125" style="1" customWidth="1"/>
    <col min="12" max="12" width="3.109375" style="1" customWidth="1"/>
    <col min="13" max="13" width="14.5546875" style="1" customWidth="1"/>
    <col min="14" max="14" width="3.109375" style="1" customWidth="1"/>
    <col min="15" max="20" width="8.6640625" style="1" customWidth="1"/>
    <col min="21" max="21" width="3.109375" style="1" customWidth="1"/>
    <col min="22" max="27" width="10.6640625" style="1" customWidth="1"/>
    <col min="28" max="28" width="11.109375" style="1" customWidth="1"/>
    <col min="29" max="16384" width="9.109375" style="1"/>
  </cols>
  <sheetData>
    <row r="1" spans="1:11" ht="15" thickBot="1" x14ac:dyDescent="0.35">
      <c r="A1" s="14" t="s">
        <v>0</v>
      </c>
      <c r="D1" s="39" t="s">
        <v>97</v>
      </c>
    </row>
    <row r="2" spans="1:11" x14ac:dyDescent="0.3">
      <c r="A2" s="14" t="s">
        <v>21</v>
      </c>
      <c r="D2" s="139" t="s">
        <v>98</v>
      </c>
    </row>
    <row r="3" spans="1:11" x14ac:dyDescent="0.3">
      <c r="A3" s="6"/>
      <c r="D3" s="1"/>
    </row>
    <row r="4" spans="1:11" x14ac:dyDescent="0.3">
      <c r="A4" s="14" t="s">
        <v>22</v>
      </c>
      <c r="D4" s="46" t="s">
        <v>42</v>
      </c>
      <c r="E4" s="29" t="s">
        <v>34</v>
      </c>
      <c r="J4" s="57" t="s">
        <v>76</v>
      </c>
      <c r="K4" s="57">
        <v>10.94204</v>
      </c>
    </row>
    <row r="5" spans="1:11" x14ac:dyDescent="0.3">
      <c r="A5" s="6"/>
      <c r="D5" s="2" t="s">
        <v>29</v>
      </c>
      <c r="E5" s="142">
        <v>47.84</v>
      </c>
    </row>
    <row r="6" spans="1:11" ht="16.2" x14ac:dyDescent="0.3">
      <c r="A6" s="6"/>
      <c r="D6" s="2" t="s">
        <v>124</v>
      </c>
      <c r="E6" s="143">
        <v>10.52</v>
      </c>
    </row>
    <row r="7" spans="1:11" x14ac:dyDescent="0.3">
      <c r="A7" s="6"/>
      <c r="D7" s="2" t="s">
        <v>2</v>
      </c>
      <c r="E7" s="144">
        <f>E5-E6</f>
        <v>37.320000000000007</v>
      </c>
    </row>
    <row r="8" spans="1:11" ht="5.0999999999999996" customHeight="1" thickBot="1" x14ac:dyDescent="0.35">
      <c r="A8" s="6"/>
      <c r="D8" s="1"/>
      <c r="E8" s="30"/>
    </row>
    <row r="9" spans="1:11" ht="15" thickBot="1" x14ac:dyDescent="0.35">
      <c r="A9" s="14" t="s">
        <v>23</v>
      </c>
      <c r="D9" s="40">
        <v>45992</v>
      </c>
      <c r="E9" s="145">
        <f>C30</f>
        <v>9.75</v>
      </c>
      <c r="F9" s="3" t="s">
        <v>47</v>
      </c>
      <c r="G9" s="32">
        <f>K30</f>
        <v>106.68489000000001</v>
      </c>
      <c r="H9" s="3" t="s">
        <v>115</v>
      </c>
    </row>
    <row r="10" spans="1:11" ht="5.0999999999999996" customHeight="1" x14ac:dyDescent="0.3">
      <c r="A10" s="14"/>
      <c r="D10" s="1"/>
      <c r="E10" s="111"/>
      <c r="F10" s="14"/>
    </row>
    <row r="11" spans="1:11" x14ac:dyDescent="0.3">
      <c r="A11" s="14" t="s">
        <v>32</v>
      </c>
      <c r="D11" s="2" t="s">
        <v>24</v>
      </c>
      <c r="E11" s="146">
        <f>O30</f>
        <v>0</v>
      </c>
      <c r="F11" s="47">
        <f>E11/$E$9</f>
        <v>0</v>
      </c>
      <c r="G11" s="30">
        <f>V30</f>
        <v>0</v>
      </c>
      <c r="H11" s="47">
        <f>G11/$G$9</f>
        <v>0</v>
      </c>
    </row>
    <row r="12" spans="1:11" x14ac:dyDescent="0.3">
      <c r="A12" s="5"/>
      <c r="D12" s="2" t="s">
        <v>25</v>
      </c>
      <c r="E12" s="146">
        <f>P30</f>
        <v>0</v>
      </c>
      <c r="F12" s="47">
        <f t="shared" ref="F12:F16" si="0">E12/$E$9</f>
        <v>0</v>
      </c>
      <c r="G12" s="30">
        <f>W30</f>
        <v>0</v>
      </c>
      <c r="H12" s="47">
        <f t="shared" ref="H12:H16" si="1">G12/$G$9</f>
        <v>0</v>
      </c>
    </row>
    <row r="13" spans="1:11" x14ac:dyDescent="0.3">
      <c r="A13" s="5"/>
      <c r="D13" s="2" t="s">
        <v>26</v>
      </c>
      <c r="E13" s="146">
        <f>Q30</f>
        <v>0</v>
      </c>
      <c r="F13" s="47">
        <f t="shared" si="0"/>
        <v>0</v>
      </c>
      <c r="G13" s="30">
        <f>X30</f>
        <v>0</v>
      </c>
      <c r="H13" s="47">
        <f t="shared" si="1"/>
        <v>0</v>
      </c>
    </row>
    <row r="14" spans="1:11" x14ac:dyDescent="0.3">
      <c r="A14" s="5"/>
      <c r="D14" s="2" t="s">
        <v>27</v>
      </c>
      <c r="E14" s="146">
        <f>R30</f>
        <v>0</v>
      </c>
      <c r="F14" s="47">
        <f t="shared" si="0"/>
        <v>0</v>
      </c>
      <c r="G14" s="30">
        <f>Y30</f>
        <v>0</v>
      </c>
      <c r="H14" s="47">
        <f t="shared" si="1"/>
        <v>0</v>
      </c>
    </row>
    <row r="15" spans="1:11" ht="16.2" x14ac:dyDescent="0.3">
      <c r="A15" s="5"/>
      <c r="D15" s="29" t="s">
        <v>28</v>
      </c>
      <c r="E15" s="147">
        <f>S30</f>
        <v>0</v>
      </c>
      <c r="F15" s="47">
        <f t="shared" si="0"/>
        <v>0</v>
      </c>
      <c r="G15" s="33">
        <f>Z30</f>
        <v>0</v>
      </c>
      <c r="H15" s="47">
        <f t="shared" si="1"/>
        <v>0</v>
      </c>
    </row>
    <row r="16" spans="1:11" x14ac:dyDescent="0.3">
      <c r="A16" s="5"/>
      <c r="D16" s="28" t="s">
        <v>29</v>
      </c>
      <c r="E16" s="32">
        <f>SUM(E11:E15)</f>
        <v>0</v>
      </c>
      <c r="F16" s="50">
        <f t="shared" si="0"/>
        <v>0</v>
      </c>
      <c r="G16" s="32">
        <f>SUM(G11:G15)</f>
        <v>0</v>
      </c>
      <c r="H16" s="50">
        <f t="shared" si="1"/>
        <v>0</v>
      </c>
      <c r="K16" s="111"/>
    </row>
    <row r="17" spans="1:28" x14ac:dyDescent="0.3">
      <c r="A17" s="5"/>
      <c r="D17" s="6"/>
      <c r="E17" s="6"/>
      <c r="F17" s="6"/>
    </row>
    <row r="18" spans="1:28" ht="22.5" customHeight="1" x14ac:dyDescent="0.3">
      <c r="A18" s="161" t="s">
        <v>4</v>
      </c>
      <c r="B18" s="161" t="s">
        <v>43</v>
      </c>
      <c r="C18" s="158" t="s">
        <v>48</v>
      </c>
      <c r="D18" s="158" t="s">
        <v>44</v>
      </c>
      <c r="E18" s="161" t="s">
        <v>8</v>
      </c>
      <c r="F18" s="176" t="s">
        <v>18</v>
      </c>
      <c r="G18" s="176"/>
      <c r="H18" s="176"/>
      <c r="I18" s="176"/>
      <c r="J18" s="176"/>
      <c r="K18" s="172" t="s">
        <v>19</v>
      </c>
      <c r="M18" s="158" t="s">
        <v>35</v>
      </c>
      <c r="O18" s="164" t="s">
        <v>31</v>
      </c>
      <c r="P18" s="165"/>
      <c r="Q18" s="165"/>
      <c r="R18" s="165"/>
      <c r="S18" s="165"/>
      <c r="T18" s="166"/>
      <c r="V18" s="164" t="s">
        <v>30</v>
      </c>
      <c r="W18" s="165"/>
      <c r="X18" s="165"/>
      <c r="Y18" s="165"/>
      <c r="Z18" s="165"/>
      <c r="AA18" s="166"/>
      <c r="AB18" s="167" t="s">
        <v>33</v>
      </c>
    </row>
    <row r="19" spans="1:28" ht="21" customHeight="1" x14ac:dyDescent="0.3">
      <c r="A19" s="162"/>
      <c r="B19" s="162"/>
      <c r="C19" s="159"/>
      <c r="D19" s="162"/>
      <c r="E19" s="162"/>
      <c r="F19" s="188" t="s">
        <v>41</v>
      </c>
      <c r="G19" s="186" t="s">
        <v>45</v>
      </c>
      <c r="H19" s="187"/>
      <c r="I19" s="186" t="s">
        <v>46</v>
      </c>
      <c r="J19" s="187"/>
      <c r="K19" s="172"/>
      <c r="M19" s="171"/>
      <c r="O19" s="169" t="s">
        <v>24</v>
      </c>
      <c r="P19" s="169" t="s">
        <v>25</v>
      </c>
      <c r="Q19" s="169" t="s">
        <v>26</v>
      </c>
      <c r="R19" s="169" t="s">
        <v>27</v>
      </c>
      <c r="S19" s="169" t="s">
        <v>28</v>
      </c>
      <c r="T19" s="44" t="s">
        <v>29</v>
      </c>
      <c r="V19" s="169" t="s">
        <v>24</v>
      </c>
      <c r="W19" s="169" t="s">
        <v>25</v>
      </c>
      <c r="X19" s="169" t="s">
        <v>26</v>
      </c>
      <c r="Y19" s="169" t="s">
        <v>27</v>
      </c>
      <c r="Z19" s="169" t="s">
        <v>28</v>
      </c>
      <c r="AA19" s="44" t="s">
        <v>29</v>
      </c>
      <c r="AB19" s="168"/>
    </row>
    <row r="20" spans="1:28" ht="15" thickBot="1" x14ac:dyDescent="0.35">
      <c r="A20" s="163"/>
      <c r="B20" s="163"/>
      <c r="C20" s="160"/>
      <c r="D20" s="163"/>
      <c r="E20" s="163"/>
      <c r="F20" s="194"/>
      <c r="G20" s="13" t="s">
        <v>10</v>
      </c>
      <c r="H20" s="13" t="s">
        <v>11</v>
      </c>
      <c r="I20" s="13" t="s">
        <v>10</v>
      </c>
      <c r="J20" s="13" t="s">
        <v>11</v>
      </c>
      <c r="K20" s="20" t="s">
        <v>20</v>
      </c>
      <c r="M20" s="19" t="s">
        <v>36</v>
      </c>
      <c r="O20" s="170"/>
      <c r="P20" s="170"/>
      <c r="Q20" s="170"/>
      <c r="R20" s="170"/>
      <c r="S20" s="170"/>
      <c r="T20" s="20"/>
      <c r="V20" s="170"/>
      <c r="W20" s="170"/>
      <c r="X20" s="170"/>
      <c r="Y20" s="170"/>
      <c r="Z20" s="170"/>
      <c r="AA20" s="20" t="s">
        <v>20</v>
      </c>
      <c r="AB20" s="45" t="s">
        <v>20</v>
      </c>
    </row>
    <row r="21" spans="1:28" ht="20.100000000000001" customHeight="1" x14ac:dyDescent="0.3">
      <c r="A21" s="9">
        <v>1</v>
      </c>
      <c r="B21" s="9" t="s">
        <v>111</v>
      </c>
      <c r="C21" s="122">
        <v>2.4260000000000002</v>
      </c>
      <c r="D21" s="8" t="s">
        <v>113</v>
      </c>
      <c r="E21" s="190" t="s">
        <v>114</v>
      </c>
      <c r="F21" s="87">
        <v>45994</v>
      </c>
      <c r="G21" s="87">
        <f t="shared" ref="G21:G26" si="2">F21+1</f>
        <v>45995</v>
      </c>
      <c r="H21" s="87">
        <f>G21+3</f>
        <v>45998</v>
      </c>
      <c r="I21" s="87">
        <f t="shared" ref="I21:J27" si="3">H21+1</f>
        <v>45999</v>
      </c>
      <c r="J21" s="87">
        <f t="shared" si="3"/>
        <v>46000</v>
      </c>
      <c r="K21" s="196">
        <f>C21*K4</f>
        <v>26.545389040000003</v>
      </c>
      <c r="M21" s="95"/>
      <c r="O21" s="141"/>
      <c r="P21" s="141"/>
      <c r="Q21" s="141"/>
      <c r="R21" s="141"/>
      <c r="S21" s="141"/>
      <c r="T21" s="141">
        <f>SUM(O21:S21)</f>
        <v>0</v>
      </c>
      <c r="V21" s="16">
        <f>K4*O21</f>
        <v>0</v>
      </c>
      <c r="W21" s="16">
        <f>$K$21*P21</f>
        <v>0</v>
      </c>
      <c r="X21" s="16">
        <f t="shared" ref="X21:Z21" si="4">$K$21*Q21</f>
        <v>0</v>
      </c>
      <c r="Y21" s="16">
        <f t="shared" si="4"/>
        <v>0</v>
      </c>
      <c r="Z21" s="16">
        <f t="shared" si="4"/>
        <v>0</v>
      </c>
      <c r="AA21" s="36">
        <f>SUM(V21:Z21)</f>
        <v>0</v>
      </c>
      <c r="AB21" s="21">
        <f>K21-AA21</f>
        <v>26.545389040000003</v>
      </c>
    </row>
    <row r="22" spans="1:28" ht="20.100000000000001" customHeight="1" x14ac:dyDescent="0.3">
      <c r="A22" s="8">
        <v>2</v>
      </c>
      <c r="B22" s="8" t="s">
        <v>125</v>
      </c>
      <c r="C22" s="118">
        <v>2.5369999999999999</v>
      </c>
      <c r="D22" s="8" t="s">
        <v>113</v>
      </c>
      <c r="E22" s="191"/>
      <c r="F22" s="87">
        <f>J21+1</f>
        <v>46001</v>
      </c>
      <c r="G22" s="87">
        <f t="shared" si="2"/>
        <v>46002</v>
      </c>
      <c r="H22" s="87">
        <f>G22+3</f>
        <v>46005</v>
      </c>
      <c r="I22" s="87">
        <f t="shared" si="3"/>
        <v>46006</v>
      </c>
      <c r="J22" s="87">
        <f t="shared" si="3"/>
        <v>46007</v>
      </c>
      <c r="K22" s="196">
        <f>K4*C22</f>
        <v>27.759955479999999</v>
      </c>
      <c r="M22" s="95"/>
      <c r="O22" s="148"/>
      <c r="P22" s="148"/>
      <c r="Q22" s="148"/>
      <c r="R22" s="148"/>
      <c r="S22" s="148"/>
      <c r="T22" s="141">
        <f t="shared" ref="T22:T29" si="5">SUM(O22:S22)</f>
        <v>0</v>
      </c>
      <c r="V22" s="16">
        <f>$K$22*O22</f>
        <v>0</v>
      </c>
      <c r="W22" s="16">
        <f t="shared" ref="W22:Z22" si="6">$K$22*P22</f>
        <v>0</v>
      </c>
      <c r="X22" s="16">
        <f>K4*Q22</f>
        <v>0</v>
      </c>
      <c r="Y22" s="16">
        <f t="shared" si="6"/>
        <v>0</v>
      </c>
      <c r="Z22" s="16">
        <f t="shared" si="6"/>
        <v>0</v>
      </c>
      <c r="AA22" s="37">
        <f t="shared" ref="AA22:AA29" si="7">SUM(V22:Z22)</f>
        <v>0</v>
      </c>
      <c r="AB22" s="21">
        <f t="shared" ref="AB22:AB27" si="8">K22-AA22</f>
        <v>27.759955479999999</v>
      </c>
    </row>
    <row r="23" spans="1:28" ht="20.100000000000001" customHeight="1" x14ac:dyDescent="0.3">
      <c r="A23" s="8">
        <v>3</v>
      </c>
      <c r="B23" s="8" t="s">
        <v>126</v>
      </c>
      <c r="C23" s="8">
        <v>2.0150000000000001</v>
      </c>
      <c r="D23" s="8" t="s">
        <v>113</v>
      </c>
      <c r="E23" s="191"/>
      <c r="F23" s="87">
        <f>J22+1</f>
        <v>46008</v>
      </c>
      <c r="G23" s="87">
        <f t="shared" si="2"/>
        <v>46009</v>
      </c>
      <c r="H23" s="87">
        <f>G23+3</f>
        <v>46012</v>
      </c>
      <c r="I23" s="87">
        <f t="shared" si="3"/>
        <v>46013</v>
      </c>
      <c r="J23" s="87">
        <f t="shared" si="3"/>
        <v>46014</v>
      </c>
      <c r="K23" s="196">
        <f>C23*K4</f>
        <v>22.048210600000001</v>
      </c>
      <c r="M23" s="7"/>
      <c r="O23" s="148"/>
      <c r="P23" s="148"/>
      <c r="Q23" s="148"/>
      <c r="R23" s="148"/>
      <c r="S23" s="148"/>
      <c r="T23" s="141">
        <f t="shared" si="5"/>
        <v>0</v>
      </c>
      <c r="V23" s="16">
        <f>$K$23*O23</f>
        <v>0</v>
      </c>
      <c r="W23" s="16">
        <f t="shared" ref="W23:Z23" si="9">$K$23*P23</f>
        <v>0</v>
      </c>
      <c r="X23" s="16">
        <f t="shared" si="9"/>
        <v>0</v>
      </c>
      <c r="Y23" s="16">
        <f t="shared" si="9"/>
        <v>0</v>
      </c>
      <c r="Z23" s="16">
        <f t="shared" si="9"/>
        <v>0</v>
      </c>
      <c r="AA23" s="36">
        <f t="shared" si="7"/>
        <v>0</v>
      </c>
      <c r="AB23" s="21">
        <f t="shared" si="8"/>
        <v>22.048210600000001</v>
      </c>
    </row>
    <row r="24" spans="1:28" ht="20.100000000000001" customHeight="1" x14ac:dyDescent="0.3">
      <c r="A24" s="8">
        <v>4</v>
      </c>
      <c r="B24" s="8" t="s">
        <v>127</v>
      </c>
      <c r="C24" s="8">
        <v>1.4450000000000001</v>
      </c>
      <c r="D24" s="8" t="s">
        <v>113</v>
      </c>
      <c r="E24" s="191"/>
      <c r="F24" s="87">
        <f>J23+1</f>
        <v>46015</v>
      </c>
      <c r="G24" s="87">
        <f t="shared" si="2"/>
        <v>46016</v>
      </c>
      <c r="H24" s="87">
        <f>G24+2</f>
        <v>46018</v>
      </c>
      <c r="I24" s="87">
        <f t="shared" si="3"/>
        <v>46019</v>
      </c>
      <c r="J24" s="87">
        <f t="shared" si="3"/>
        <v>46020</v>
      </c>
      <c r="K24" s="196">
        <f>C24*K4</f>
        <v>15.811247800000002</v>
      </c>
      <c r="M24" s="7"/>
      <c r="O24" s="148"/>
      <c r="P24" s="148"/>
      <c r="Q24" s="148"/>
      <c r="R24" s="148"/>
      <c r="S24" s="148"/>
      <c r="T24" s="141">
        <f t="shared" si="5"/>
        <v>0</v>
      </c>
      <c r="V24" s="16">
        <f>$K$24*O24</f>
        <v>0</v>
      </c>
      <c r="W24" s="16">
        <f t="shared" ref="W24:Z24" si="10">$K$24*P24</f>
        <v>0</v>
      </c>
      <c r="X24" s="16">
        <f t="shared" si="10"/>
        <v>0</v>
      </c>
      <c r="Y24" s="16">
        <f t="shared" si="10"/>
        <v>0</v>
      </c>
      <c r="Z24" s="16">
        <f t="shared" si="10"/>
        <v>0</v>
      </c>
      <c r="AA24" s="36">
        <f t="shared" si="7"/>
        <v>0</v>
      </c>
      <c r="AB24" s="21">
        <f t="shared" si="8"/>
        <v>15.811247800000002</v>
      </c>
    </row>
    <row r="25" spans="1:28" ht="20.100000000000001" customHeight="1" x14ac:dyDescent="0.3">
      <c r="A25" s="8">
        <v>5</v>
      </c>
      <c r="B25" s="8" t="s">
        <v>128</v>
      </c>
      <c r="C25" s="8">
        <v>0.69699999999999995</v>
      </c>
      <c r="D25" s="8" t="s">
        <v>113</v>
      </c>
      <c r="E25" s="192"/>
      <c r="F25" s="87">
        <f>J24</f>
        <v>46020</v>
      </c>
      <c r="G25" s="87">
        <f t="shared" si="2"/>
        <v>46021</v>
      </c>
      <c r="H25" s="87">
        <f>G25+2</f>
        <v>46023</v>
      </c>
      <c r="I25" s="87">
        <f t="shared" si="3"/>
        <v>46024</v>
      </c>
      <c r="J25" s="87">
        <f t="shared" si="3"/>
        <v>46025</v>
      </c>
      <c r="K25" s="196">
        <f>C25*K4</f>
        <v>7.6266018799999999</v>
      </c>
      <c r="M25" s="7"/>
      <c r="O25" s="148"/>
      <c r="P25" s="148"/>
      <c r="Q25" s="148"/>
      <c r="R25" s="148"/>
      <c r="S25" s="148"/>
      <c r="T25" s="141"/>
      <c r="V25" s="16"/>
      <c r="W25" s="16"/>
      <c r="X25" s="16"/>
      <c r="Y25" s="16"/>
      <c r="Z25" s="16"/>
      <c r="AA25" s="36"/>
      <c r="AB25" s="21">
        <f t="shared" si="8"/>
        <v>7.6266018799999999</v>
      </c>
    </row>
    <row r="26" spans="1:28" ht="20.100000000000001" customHeight="1" x14ac:dyDescent="0.3">
      <c r="A26" s="8">
        <v>6</v>
      </c>
      <c r="B26" s="8" t="s">
        <v>129</v>
      </c>
      <c r="C26" s="8">
        <v>0.38</v>
      </c>
      <c r="D26" s="8" t="s">
        <v>112</v>
      </c>
      <c r="E26" s="193" t="s">
        <v>114</v>
      </c>
      <c r="F26" s="87">
        <v>46003</v>
      </c>
      <c r="G26" s="87">
        <f t="shared" si="2"/>
        <v>46004</v>
      </c>
      <c r="H26" s="87">
        <f>G26+5</f>
        <v>46009</v>
      </c>
      <c r="I26" s="87">
        <f t="shared" si="3"/>
        <v>46010</v>
      </c>
      <c r="J26" s="87">
        <f t="shared" si="3"/>
        <v>46011</v>
      </c>
      <c r="K26" s="196">
        <f>C26*K4</f>
        <v>4.1579752000000001</v>
      </c>
      <c r="M26" s="7"/>
      <c r="O26" s="148"/>
      <c r="P26" s="148"/>
      <c r="Q26" s="148"/>
      <c r="R26" s="148"/>
      <c r="S26" s="148"/>
      <c r="T26" s="141"/>
      <c r="V26" s="16"/>
      <c r="W26" s="16"/>
      <c r="X26" s="16"/>
      <c r="Y26" s="16"/>
      <c r="Z26" s="16"/>
      <c r="AA26" s="36"/>
      <c r="AB26" s="21">
        <f t="shared" si="8"/>
        <v>4.1579752000000001</v>
      </c>
    </row>
    <row r="27" spans="1:28" ht="20.100000000000001" customHeight="1" x14ac:dyDescent="0.3">
      <c r="A27" s="8">
        <v>7</v>
      </c>
      <c r="B27" s="8" t="s">
        <v>133</v>
      </c>
      <c r="C27" s="8">
        <v>0.25</v>
      </c>
      <c r="D27" s="8" t="s">
        <v>112</v>
      </c>
      <c r="E27" s="192"/>
      <c r="F27" s="140">
        <f>J26+2</f>
        <v>46013</v>
      </c>
      <c r="G27" s="140">
        <f>F27+2</f>
        <v>46015</v>
      </c>
      <c r="H27" s="156">
        <f>G27+4</f>
        <v>46019</v>
      </c>
      <c r="I27" s="87">
        <f t="shared" si="3"/>
        <v>46020</v>
      </c>
      <c r="J27" s="87">
        <f t="shared" si="3"/>
        <v>46021</v>
      </c>
      <c r="K27" s="196">
        <f>C27*K4</f>
        <v>2.7355100000000001</v>
      </c>
      <c r="M27" s="7"/>
      <c r="O27" s="148"/>
      <c r="P27" s="148"/>
      <c r="Q27" s="148"/>
      <c r="R27" s="148"/>
      <c r="S27" s="148"/>
      <c r="T27" s="141">
        <f t="shared" si="5"/>
        <v>0</v>
      </c>
      <c r="V27" s="16">
        <f>$K$27*O27</f>
        <v>0</v>
      </c>
      <c r="W27" s="16">
        <f t="shared" ref="W27:Z27" si="11">$K$27*P27</f>
        <v>0</v>
      </c>
      <c r="X27" s="16">
        <f t="shared" si="11"/>
        <v>0</v>
      </c>
      <c r="Y27" s="16">
        <f t="shared" si="11"/>
        <v>0</v>
      </c>
      <c r="Z27" s="16">
        <f t="shared" si="11"/>
        <v>0</v>
      </c>
      <c r="AA27" s="36">
        <f t="shared" si="7"/>
        <v>0</v>
      </c>
      <c r="AB27" s="21">
        <f t="shared" si="8"/>
        <v>2.7355100000000001</v>
      </c>
    </row>
    <row r="28" spans="1:28" ht="20.100000000000001" hidden="1" customHeight="1" x14ac:dyDescent="0.3">
      <c r="A28" s="8">
        <v>6</v>
      </c>
      <c r="B28" s="7"/>
      <c r="C28" s="7"/>
      <c r="D28" s="8"/>
      <c r="E28" s="8"/>
      <c r="F28" s="8"/>
      <c r="G28" s="8"/>
      <c r="H28" s="7"/>
      <c r="I28" s="7"/>
      <c r="J28" s="7"/>
      <c r="K28" s="196">
        <v>0</v>
      </c>
      <c r="M28" s="7"/>
      <c r="O28" s="148"/>
      <c r="P28" s="148"/>
      <c r="Q28" s="148"/>
      <c r="R28" s="148"/>
      <c r="S28" s="148"/>
      <c r="T28" s="141">
        <f t="shared" si="5"/>
        <v>0</v>
      </c>
      <c r="V28" s="16">
        <f>$K$28*O28</f>
        <v>0</v>
      </c>
      <c r="W28" s="16">
        <f t="shared" ref="W28:Z28" si="12">$K$28*P28</f>
        <v>0</v>
      </c>
      <c r="X28" s="16">
        <f t="shared" si="12"/>
        <v>0</v>
      </c>
      <c r="Y28" s="16">
        <f t="shared" si="12"/>
        <v>0</v>
      </c>
      <c r="Z28" s="16">
        <f t="shared" si="12"/>
        <v>0</v>
      </c>
      <c r="AA28" s="36">
        <f t="shared" si="7"/>
        <v>0</v>
      </c>
      <c r="AB28" s="21">
        <f t="shared" ref="AB28:AB29" si="13">K28-AA28</f>
        <v>0</v>
      </c>
    </row>
    <row r="29" spans="1:28" ht="20.100000000000001" hidden="1" customHeight="1" thickBot="1" x14ac:dyDescent="0.35">
      <c r="A29" s="11">
        <v>7</v>
      </c>
      <c r="B29" s="12"/>
      <c r="C29" s="12"/>
      <c r="D29" s="11"/>
      <c r="E29" s="11"/>
      <c r="F29" s="11"/>
      <c r="G29" s="11"/>
      <c r="H29" s="12"/>
      <c r="I29" s="12"/>
      <c r="J29" s="12"/>
      <c r="K29" s="197">
        <v>0</v>
      </c>
      <c r="M29" s="12"/>
      <c r="O29" s="149"/>
      <c r="P29" s="149"/>
      <c r="Q29" s="149"/>
      <c r="R29" s="149"/>
      <c r="S29" s="149"/>
      <c r="T29" s="149">
        <f t="shared" si="5"/>
        <v>0</v>
      </c>
      <c r="V29" s="17">
        <f>$K$29*O29</f>
        <v>0</v>
      </c>
      <c r="W29" s="17">
        <f t="shared" ref="W29:Z29" si="14">$K$29*P29</f>
        <v>0</v>
      </c>
      <c r="X29" s="17">
        <f t="shared" si="14"/>
        <v>0</v>
      </c>
      <c r="Y29" s="17">
        <f t="shared" si="14"/>
        <v>0</v>
      </c>
      <c r="Z29" s="17">
        <f t="shared" si="14"/>
        <v>0</v>
      </c>
      <c r="AA29" s="38">
        <f t="shared" si="7"/>
        <v>0</v>
      </c>
      <c r="AB29" s="22">
        <f t="shared" si="13"/>
        <v>0</v>
      </c>
    </row>
    <row r="30" spans="1:28" ht="20.100000000000001" customHeight="1" x14ac:dyDescent="0.3">
      <c r="A30" s="9"/>
      <c r="B30" s="10"/>
      <c r="C30" s="121">
        <f>SUM(C21:C29)</f>
        <v>9.75</v>
      </c>
      <c r="D30" s="15"/>
      <c r="E30" s="15"/>
      <c r="F30" s="15"/>
      <c r="G30" s="9"/>
      <c r="H30" s="10"/>
      <c r="I30" s="10"/>
      <c r="J30" s="10"/>
      <c r="K30" s="150">
        <f>SUM(K21:K29)</f>
        <v>106.68489000000001</v>
      </c>
      <c r="M30" s="10"/>
      <c r="O30" s="150">
        <f t="shared" ref="O30:T30" si="15">SUM(O21:O29)</f>
        <v>0</v>
      </c>
      <c r="P30" s="150">
        <f t="shared" si="15"/>
        <v>0</v>
      </c>
      <c r="Q30" s="150">
        <f t="shared" si="15"/>
        <v>0</v>
      </c>
      <c r="R30" s="150">
        <f t="shared" si="15"/>
        <v>0</v>
      </c>
      <c r="S30" s="150">
        <f t="shared" si="15"/>
        <v>0</v>
      </c>
      <c r="T30" s="150">
        <f t="shared" si="15"/>
        <v>0</v>
      </c>
      <c r="V30" s="18">
        <f t="shared" ref="V30:AB30" si="16">SUM(V21:V29)</f>
        <v>0</v>
      </c>
      <c r="W30" s="18">
        <f t="shared" si="16"/>
        <v>0</v>
      </c>
      <c r="X30" s="18">
        <f t="shared" si="16"/>
        <v>0</v>
      </c>
      <c r="Y30" s="18">
        <f t="shared" si="16"/>
        <v>0</v>
      </c>
      <c r="Z30" s="18">
        <f t="shared" si="16"/>
        <v>0</v>
      </c>
      <c r="AA30" s="18">
        <f t="shared" si="16"/>
        <v>0</v>
      </c>
      <c r="AB30" s="18">
        <f t="shared" si="16"/>
        <v>106.68489000000001</v>
      </c>
    </row>
    <row r="41" spans="9:9" x14ac:dyDescent="0.3">
      <c r="I41" s="111"/>
    </row>
  </sheetData>
  <mergeCells count="26">
    <mergeCell ref="E26:E27"/>
    <mergeCell ref="AB18:AB19"/>
    <mergeCell ref="F19:F20"/>
    <mergeCell ref="G19:H19"/>
    <mergeCell ref="O19:O20"/>
    <mergeCell ref="F18:J18"/>
    <mergeCell ref="X19:X20"/>
    <mergeCell ref="Y19:Y20"/>
    <mergeCell ref="Z19:Z20"/>
    <mergeCell ref="I19:J19"/>
    <mergeCell ref="P19:P20"/>
    <mergeCell ref="Q19:Q20"/>
    <mergeCell ref="R19:R20"/>
    <mergeCell ref="S19:S20"/>
    <mergeCell ref="V19:V20"/>
    <mergeCell ref="W19:W20"/>
    <mergeCell ref="A18:A20"/>
    <mergeCell ref="B18:B20"/>
    <mergeCell ref="C18:C20"/>
    <mergeCell ref="D18:D20"/>
    <mergeCell ref="E18:E20"/>
    <mergeCell ref="K18:K19"/>
    <mergeCell ref="M18:M19"/>
    <mergeCell ref="O18:T18"/>
    <mergeCell ref="V18:AA18"/>
    <mergeCell ref="E21:E25"/>
  </mergeCells>
  <conditionalFormatting sqref="F21:J25 G23:J26 I27:J27">
    <cfRule type="containsText" dxfId="7" priority="4" operator="containsText" text="WIP">
      <formula>NOT(ISERROR(SEARCH("WIP",F21)))</formula>
    </cfRule>
    <cfRule type="containsText" dxfId="6" priority="5" operator="containsText" text="Complete">
      <formula>NOT(ISERROR(SEARCH("Complete",F21)))</formula>
    </cfRule>
    <cfRule type="containsText" dxfId="5" priority="6" operator="containsText" text="ROW">
      <formula>NOT(ISERROR(SEARCH("ROW",F21)))</formula>
    </cfRule>
  </conditionalFormatting>
  <conditionalFormatting sqref="G21:J26 I27:J27">
    <cfRule type="containsText" dxfId="4" priority="7" operator="containsText" text="Complete">
      <formula>NOT(ISERROR(SEARCH("Complete",G21)))</formula>
    </cfRule>
    <cfRule type="containsText" dxfId="3" priority="8" operator="containsText" text="ROW">
      <formula>NOT(ISERROR(SEARCH("ROW",G21)))</formula>
    </cfRule>
  </conditionalFormatting>
  <conditionalFormatting sqref="F26">
    <cfRule type="containsText" dxfId="2" priority="1" operator="containsText" text="WIP">
      <formula>NOT(ISERROR(SEARCH("WIP",F26)))</formula>
    </cfRule>
    <cfRule type="containsText" dxfId="1" priority="2" operator="containsText" text="Complete">
      <formula>NOT(ISERROR(SEARCH("Complete",F26)))</formula>
    </cfRule>
    <cfRule type="containsText" dxfId="0" priority="3" operator="containsText" text="ROW">
      <formula>NOT(ISERROR(SEARCH("ROW",F26)))</formula>
    </cfRule>
  </conditionalFormatting>
  <printOptions horizontalCentered="1"/>
  <pageMargins left="0.25" right="0.25" top="0.75" bottom="0.75" header="0.3" footer="0.3"/>
  <pageSetup paperSize="9" scale="53" orientation="landscape" r:id="rId1"/>
  <ignoredErrors>
    <ignoredError sqref="H21:H2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Foundation</vt:lpstr>
      <vt:lpstr>Stub dispatch</vt:lpstr>
      <vt:lpstr>Erection</vt:lpstr>
      <vt:lpstr>Stringing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Tarafdar</dc:creator>
  <cp:lastModifiedBy>User</cp:lastModifiedBy>
  <cp:lastPrinted>2024-05-23T07:04:00Z</cp:lastPrinted>
  <dcterms:created xsi:type="dcterms:W3CDTF">2015-06-05T18:17:20Z</dcterms:created>
  <dcterms:modified xsi:type="dcterms:W3CDTF">2025-12-02T07:51:53Z</dcterms:modified>
</cp:coreProperties>
</file>