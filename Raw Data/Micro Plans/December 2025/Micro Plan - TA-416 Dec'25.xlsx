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C0675FCC-4405-4B06-A0C3-5C89139DA3FF}" xr6:coauthVersionLast="47" xr6:coauthVersionMax="47" xr10:uidLastSave="{00000000-0000-0000-0000-000000000000}"/>
  <bookViews>
    <workbookView xWindow="-120" yWindow="-120" windowWidth="20730" windowHeight="1116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Dec25" sheetId="2" r:id="rId3"/>
    <sheet name="STG-Sep25" sheetId="3" state="hidden" r:id="rId4"/>
  </sheets>
  <definedNames>
    <definedName name="_xlnm._FilterDatabase" localSheetId="2" hidden="1">'Erection-Dec25'!$A$1:$P$15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D15" i="2"/>
  <c r="P15" i="2" l="1"/>
  <c r="K32" i="3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<sst xmlns="http://schemas.openxmlformats.org/spreadsheetml/2006/main" count="253" uniqueCount="157">
  <si>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</si>
  <si>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</si>
  <si>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</si>
  <si>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</si>
  <si>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</si>
  <si>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</si>
  <si>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</si>
  <si>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</si>
  <si>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</si>
  <si>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</si>
  <si>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</si>
  <si>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</si>
  <si>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</si>
  <si>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</si>
  <si>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</si>
  <si>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</si>
  <si>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</si>
  <si>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</si>
  <si>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</si>
  <si>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</si>
  <si>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</si>
  <si>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</si>
  <si>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</si>
  <si>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</si>
  <si>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</si>
  <si>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</si>
  <si>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</si>
  <si>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</si>
  <si>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</si>
  <si>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</si>
  <si>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</si>
  <si>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</si>
  <si>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</si>
  <si>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</si>
  <si>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</si>
  <si>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</si>
  <si>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</si>
  <si>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</si>
  <si>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</si>
  <si>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</si>
  <si>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</si>
  <si>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</si>
  <si>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</si>
  <si>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</si>
  <si>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</si>
  <si>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</si>
  <si>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</si>
  <si>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</si>
  <si>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</si>
  <si>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</si>
  <si>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DA+0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</si>
  <si>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</si>
  <si>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</si>
  <si>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</si>
  <si>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</si>
  <si>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</si>
  <si>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</si>
  <si>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</si>
  <si>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</si>
  <si>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</si>
  <si>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</si>
  <si>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</si>
  <si>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</si>
  <si>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</si>
  <si>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</si>
  <si>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</si>
  <si>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</si>
  <si>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</si>
  <si>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</si>
  <si>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</si>
  <si>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</si>
  <si>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</si>
  <si>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</si>
  <si>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</si>
  <si>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</si>
  <si>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</si>
  <si>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</si>
  <si>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DA-3</t>
  </si>
  <si>
    <t>Total Reve</t>
  </si>
  <si>
    <t>DD60+0</t>
  </si>
  <si>
    <t>FS</t>
  </si>
  <si>
    <t>AVI</t>
  </si>
  <si>
    <t>DA+6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</si>
  <si>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</si>
  <si>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</si>
  <si>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</si>
  <si>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</si>
  <si>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</si>
  <si>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</si>
  <si>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</si>
  <si>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22A/0</t>
  </si>
  <si>
    <t>DB+25</t>
  </si>
  <si>
    <t>DC+18</t>
  </si>
  <si>
    <t>Manual-1</t>
  </si>
  <si>
    <t>Manual-2</t>
  </si>
  <si>
    <t>52/7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</si>
  <si>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</si>
  <si>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</si>
  <si>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</si>
  <si>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</si>
  <si>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</si>
  <si>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</si>
  <si>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</si>
  <si>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</si>
  <si>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</si>
  <si>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</si>
  <si>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</si>
  <si>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</si>
  <si>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</si>
  <si>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</si>
  <si>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</si>
  <si>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</si>
  <si>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</si>
  <si>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</si>
  <si>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</si>
  <si>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Prabin Patra</t>
  </si>
  <si>
    <t>D N Prasad</t>
  </si>
  <si>
    <t>Churamani</t>
  </si>
  <si>
    <t>23/0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</si>
  <si>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</si>
  <si>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</si>
  <si>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</si>
  <si>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</si>
  <si>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</si>
  <si>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</si>
  <si>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</si>
  <si>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</si>
  <si>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DD60+30</t>
  </si>
  <si>
    <t>62/0</t>
  </si>
  <si>
    <t>DC+25</t>
  </si>
  <si>
    <t>Saidur</t>
  </si>
  <si>
    <t>NO</t>
  </si>
  <si>
    <t>66/0</t>
  </si>
  <si>
    <t>59/0</t>
  </si>
  <si>
    <t>DD60+6</t>
  </si>
  <si>
    <t>57/1</t>
  </si>
  <si>
    <t>64/2</t>
  </si>
  <si>
    <t>DA+3</t>
  </si>
  <si>
    <t>66/1</t>
  </si>
  <si>
    <t>YES</t>
  </si>
  <si>
    <t>Punam Kumari-3</t>
  </si>
  <si>
    <t>68/0</t>
  </si>
  <si>
    <t>58/0</t>
  </si>
  <si>
    <t>DD60+18</t>
  </si>
  <si>
    <t>Sahdev</t>
  </si>
  <si>
    <t>Somenath</t>
  </si>
  <si>
    <t>Pankaj Kumar</t>
  </si>
  <si>
    <t>Punam Kumari-2</t>
  </si>
  <si>
    <t>Pinki Dewi</t>
  </si>
  <si>
    <t>Mahon mahto</t>
  </si>
  <si>
    <t>Niranjan</t>
  </si>
  <si>
    <t>Amit Choudhury</t>
  </si>
  <si>
    <t>Aloriva global</t>
  </si>
  <si>
    <t>Madhusudan</t>
  </si>
  <si>
    <t>Aflaudin</t>
  </si>
  <si>
    <t>Sitaram</t>
  </si>
  <si>
    <t>Akhtarul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</si>
</sst>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#,##0.000"/>
    <numFmt numFmtId="170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</cellStyleXfs>
  <cellXfs count="20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43" fontId="0" fillId="0" borderId="1" xfId="0" applyNumberFormat="1" applyBorder="1" applyAlignment="1">
      <alignment vertical="center"/>
    </xf>
    <xf numFmtId="43" fontId="0" fillId="0" borderId="2" xfId="0" applyNumberForma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43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Alignment="1">
      <alignment horizontal="center" vertical="center"/>
    </xf>
    <xf numFmtId="164" fontId="10" fillId="4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6" fontId="17" fillId="6" borderId="14" xfId="3" applyNumberFormat="1" applyFont="1" applyFill="1" applyBorder="1" applyAlignment="1">
      <alignment horizontal="center" vertical="center" wrapText="1"/>
    </xf>
    <xf numFmtId="165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4" applyNumberFormat="1" applyFont="1" applyFill="1" applyBorder="1" applyAlignment="1">
      <alignment horizontal="center" vertical="center" wrapText="1"/>
    </xf>
    <xf numFmtId="167" fontId="18" fillId="0" borderId="1" xfId="5" applyFont="1" applyBorder="1" applyAlignment="1">
      <alignment horizontal="center" vertical="center" wrapText="1"/>
    </xf>
    <xf numFmtId="165" fontId="19" fillId="0" borderId="1" xfId="6" applyNumberFormat="1" applyFont="1" applyBorder="1" applyAlignment="1">
      <alignment horizontal="center" vertical="center" wrapText="1"/>
    </xf>
    <xf numFmtId="165" fontId="18" fillId="0" borderId="1" xfId="6" applyNumberFormat="1" applyFont="1" applyBorder="1" applyAlignment="1">
      <alignment horizontal="center" vertical="center" wrapText="1"/>
    </xf>
    <xf numFmtId="165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8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43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5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4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 wrapText="1"/>
    </xf>
    <xf numFmtId="164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14" fillId="0" borderId="1" xfId="3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70" fontId="23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0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inden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164" fontId="0" fillId="0" borderId="0" xfId="1" applyNumberFormat="1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43" fontId="12" fillId="0" borderId="0" xfId="1" applyFont="1" applyFill="1" applyBorder="1" applyAlignment="1">
      <alignment vertical="center"/>
    </xf>
    <xf numFmtId="4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1" fontId="0" fillId="0" borderId="1" xfId="0" applyNumberFormat="1" applyBorder="1"/>
    <xf numFmtId="1" fontId="0" fillId="0" borderId="1" xfId="0" applyNumberFormat="1" applyBorder="1" applyAlignment="1">
      <alignment vertical="center"/>
    </xf>
    <xf numFmtId="1" fontId="22" fillId="0" borderId="1" xfId="0" applyNumberFormat="1" applyFont="1" applyBorder="1" applyAlignment="1">
      <alignment vertical="center"/>
    </xf>
    <xf numFmtId="0" fontId="0" fillId="0" borderId="1" xfId="0" applyBorder="1"/>
    <xf numFmtId="0" fontId="14" fillId="2" borderId="1" xfId="3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170" fontId="11" fillId="0" borderId="11" xfId="0" applyNumberFormat="1" applyFont="1" applyBorder="1" applyAlignment="1">
      <alignment vertical="center" wrapText="1"/>
    </xf>
    <xf numFmtId="170" fontId="11" fillId="0" borderId="15" xfId="0" applyNumberFormat="1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170" fontId="11" fillId="0" borderId="1" xfId="0" applyNumberFormat="1" applyFont="1" applyBorder="1" applyAlignment="1">
      <alignment vertical="center" wrapText="1"/>
    </xf>
    <xf numFmtId="170" fontId="27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70" fontId="11" fillId="0" borderId="4" xfId="0" applyNumberFormat="1" applyFont="1" applyBorder="1" applyAlignment="1">
      <alignment horizontal="center" vertical="center" wrapText="1"/>
    </xf>
    <xf numFmtId="170" fontId="11" fillId="0" borderId="3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1" fillId="10" borderId="1" xfId="0" applyNumberFormat="1" applyFont="1" applyFill="1" applyBorder="1" applyAlignment="1">
      <alignment horizontal="center" vertical="center"/>
    </xf>
  </cellXfs>
  <cellStyles count="27">
    <cellStyle name="Comma" xfId="1" builtinId="3"/>
    <cellStyle name="Comma 2" xfId="8" xr:uid="{2E20F6CD-B1A5-4CBE-90C6-C0D98A914F04}"/>
    <cellStyle name="Excel Built-in Normal" xfId="26" xr:uid="{4B0B78A8-24BE-4DE7-B5BF-D3DFA24ECD02}"/>
    <cellStyle name="Normal" xfId="0" builtinId="0"/>
    <cellStyle name="Normal 103" xfId="24" xr:uid="{91A4F84A-61E0-4BF9-80BE-E89A220C73D0}"/>
    <cellStyle name="Normal 11" xfId="5" xr:uid="{8A939B8D-25B5-4FC2-BE9D-DDCA7038C58F}"/>
    <cellStyle name="Normal 120" xfId="21" xr:uid="{51933D66-E223-4713-A2CA-4B3163621514}"/>
    <cellStyle name="Normal 17" xfId="10" xr:uid="{FB728059-7B66-4FB9-A5E0-ADE18B5FFE38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3" xfId="25" xr:uid="{2DA1E557-7CA6-467D-8A70-659D8412FB6A}"/>
    <cellStyle name="Normal 5" xfId="23" xr:uid="{3FC12385-9363-45A8-94D8-55F9303BEA9B}"/>
    <cellStyle name="Normal_Rev_IPP_ BUB_ 10.04.09 2" xfId="4" xr:uid="{526D1CE4-A6A3-4EA2-BCF4-E0959F12CAFC}"/>
    <cellStyle name="Percent" xfId="2" builtinId="5"/>
    <cellStyle name="Percent 2" xfId="7" xr:uid="{36A5E538-A591-4B85-8561-9BC706E69FE8}"/>
  </cellStyles>
  <dxfs count="88"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40625" defaultRowHeight="15" x14ac:dyDescent="0.25"/>
  <cols>
    <col min="1" max="1" width="4.140625" style="4" customWidth="1"/>
    <col min="2" max="3" width="10" style="1" customWidth="1"/>
    <col min="4" max="4" width="12.5703125" style="4" customWidth="1"/>
    <col min="5" max="6" width="8.7109375" style="4" customWidth="1"/>
    <col min="7" max="7" width="22.28515625" style="4" customWidth="1"/>
    <col min="8" max="8" width="14.28515625" style="1" customWidth="1"/>
    <col min="9" max="9" width="11.5703125" style="1" customWidth="1"/>
    <col min="10" max="10" width="12.5703125" style="1" customWidth="1"/>
    <col min="11" max="11" width="16.140625" style="1" customWidth="1"/>
    <col min="12" max="12" width="12.140625" style="1" customWidth="1"/>
    <col min="13" max="13" width="14.85546875" style="1" customWidth="1"/>
    <col min="14" max="14" width="11.28515625" style="1" customWidth="1"/>
    <col min="15" max="15" width="12.140625" style="1" customWidth="1"/>
    <col min="16" max="16" width="17.7109375" style="1" customWidth="1"/>
    <col min="17" max="17" width="3.140625" style="1" customWidth="1"/>
    <col min="18" max="18" width="14.5703125" style="1" customWidth="1"/>
    <col min="19" max="19" width="3.140625" style="1" customWidth="1"/>
    <col min="20" max="25" width="8.7109375" style="1" customWidth="1"/>
    <col min="26" max="26" width="3.140625" style="1" customWidth="1"/>
    <col min="27" max="27" width="15" style="1" customWidth="1"/>
    <col min="28" max="28" width="15.5703125" style="1" customWidth="1"/>
    <col min="29" max="29" width="17.140625" style="1" customWidth="1"/>
    <col min="30" max="30" width="13.85546875" style="1" customWidth="1"/>
    <col min="31" max="31" width="10.7109375" style="1" customWidth="1"/>
    <col min="32" max="32" width="15.5703125" style="1" customWidth="1"/>
    <col min="33" max="33" width="17.140625" style="1" customWidth="1"/>
    <col min="34" max="16384" width="9.140625" style="1"/>
  </cols>
  <sheetData>
    <row r="1" spans="1:13" ht="15.75" thickBot="1" x14ac:dyDescent="0.3">
      <c r="A1" s="13" t="s">
        <v>0</v>
      </c>
      <c r="D1" s="38" t="s">
        <v>48</v>
      </c>
    </row>
    <row r="2" spans="1:13" x14ac:dyDescent="0.25">
      <c r="A2" s="13" t="s">
        <v>21</v>
      </c>
      <c r="D2" s="3" t="s">
        <v>49</v>
      </c>
    </row>
    <row r="3" spans="1:13" x14ac:dyDescent="0.25">
      <c r="A3" s="6"/>
      <c r="D3" s="1"/>
    </row>
    <row r="4" spans="1:13" ht="15.75" x14ac:dyDescent="0.25">
      <c r="A4" s="13" t="s">
        <v>22</v>
      </c>
      <c r="D4" s="45" t="s">
        <v>1</v>
      </c>
      <c r="E4" s="28" t="s">
        <v>35</v>
      </c>
      <c r="I4" s="80"/>
      <c r="J4" s="81"/>
      <c r="K4" s="95"/>
      <c r="L4" s="82"/>
      <c r="M4" s="83"/>
    </row>
    <row r="5" spans="1:13" x14ac:dyDescent="0.25">
      <c r="A5" s="6"/>
      <c r="D5" s="2" t="s">
        <v>29</v>
      </c>
      <c r="E5" s="53">
        <v>302</v>
      </c>
      <c r="J5" s="4"/>
      <c r="K5" s="4"/>
    </row>
    <row r="6" spans="1:13" ht="17.25" x14ac:dyDescent="0.25">
      <c r="A6" s="6"/>
      <c r="D6" s="2" t="s">
        <v>89</v>
      </c>
      <c r="E6" s="54">
        <v>301</v>
      </c>
      <c r="K6" s="3"/>
      <c r="M6" s="98"/>
    </row>
    <row r="7" spans="1:13" x14ac:dyDescent="0.25">
      <c r="A7" s="6"/>
      <c r="D7" s="2" t="s">
        <v>2</v>
      </c>
      <c r="E7" s="30">
        <f>E5-E6</f>
        <v>1</v>
      </c>
      <c r="K7" s="3"/>
      <c r="M7" s="98"/>
    </row>
    <row r="8" spans="1:13" ht="5.0999999999999996" customHeight="1" thickBot="1" x14ac:dyDescent="0.3">
      <c r="A8" s="6"/>
      <c r="D8" s="1"/>
    </row>
    <row r="9" spans="1:13" ht="15.75" thickBot="1" x14ac:dyDescent="0.3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0999999999999996" customHeight="1" x14ac:dyDescent="0.25">
      <c r="A10" s="13"/>
      <c r="D10" s="1"/>
      <c r="E10" s="1"/>
      <c r="F10" s="13"/>
    </row>
    <row r="11" spans="1:13" x14ac:dyDescent="0.2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2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2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2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7.25" x14ac:dyDescent="0.2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25">
      <c r="A16" s="5" t="s">
        <v>52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25">
      <c r="A17" s="5"/>
      <c r="D17" s="6"/>
      <c r="E17" s="6"/>
      <c r="F17" s="6"/>
    </row>
    <row r="18" spans="1:33" ht="22.5" customHeight="1" x14ac:dyDescent="0.25">
      <c r="A18" s="182" t="s">
        <v>4</v>
      </c>
      <c r="B18" s="182" t="s">
        <v>5</v>
      </c>
      <c r="C18" s="178" t="s">
        <v>6</v>
      </c>
      <c r="D18" s="182" t="s">
        <v>7</v>
      </c>
      <c r="E18" s="178" t="s">
        <v>16</v>
      </c>
      <c r="F18" s="178" t="s">
        <v>17</v>
      </c>
      <c r="G18" s="182" t="s">
        <v>8</v>
      </c>
      <c r="H18" s="169" t="s">
        <v>18</v>
      </c>
      <c r="I18" s="169"/>
      <c r="J18" s="169"/>
      <c r="K18" s="169"/>
      <c r="L18" s="169"/>
      <c r="M18" s="169"/>
      <c r="N18" s="169"/>
      <c r="O18" s="169"/>
      <c r="P18" s="172" t="s">
        <v>19</v>
      </c>
      <c r="R18" s="178" t="s">
        <v>36</v>
      </c>
      <c r="T18" s="173" t="s">
        <v>31</v>
      </c>
      <c r="U18" s="174"/>
      <c r="V18" s="174"/>
      <c r="W18" s="174"/>
      <c r="X18" s="174"/>
      <c r="Y18" s="175"/>
      <c r="AA18" s="173" t="s">
        <v>30</v>
      </c>
      <c r="AB18" s="174"/>
      <c r="AC18" s="174"/>
      <c r="AD18" s="174"/>
      <c r="AE18" s="174"/>
      <c r="AF18" s="175"/>
      <c r="AG18" s="176" t="s">
        <v>34</v>
      </c>
    </row>
    <row r="19" spans="1:33" ht="21" customHeight="1" x14ac:dyDescent="0.25">
      <c r="A19" s="183"/>
      <c r="B19" s="183"/>
      <c r="C19" s="180"/>
      <c r="D19" s="183"/>
      <c r="E19" s="180"/>
      <c r="F19" s="180"/>
      <c r="G19" s="183"/>
      <c r="H19" s="168" t="s">
        <v>9</v>
      </c>
      <c r="I19" s="168"/>
      <c r="J19" s="168" t="s">
        <v>12</v>
      </c>
      <c r="K19" s="168"/>
      <c r="L19" s="168" t="s">
        <v>13</v>
      </c>
      <c r="M19" s="168"/>
      <c r="N19" s="166" t="s">
        <v>15</v>
      </c>
      <c r="O19" s="166" t="s">
        <v>14</v>
      </c>
      <c r="P19" s="172"/>
      <c r="R19" s="179"/>
      <c r="T19" s="170" t="s">
        <v>24</v>
      </c>
      <c r="U19" s="170" t="s">
        <v>25</v>
      </c>
      <c r="V19" s="170" t="s">
        <v>26</v>
      </c>
      <c r="W19" s="170" t="s">
        <v>27</v>
      </c>
      <c r="X19" s="170" t="s">
        <v>28</v>
      </c>
      <c r="Y19" s="43" t="s">
        <v>29</v>
      </c>
      <c r="AA19" s="170" t="s">
        <v>24</v>
      </c>
      <c r="AB19" s="170" t="s">
        <v>25</v>
      </c>
      <c r="AC19" s="170" t="s">
        <v>26</v>
      </c>
      <c r="AD19" s="170" t="s">
        <v>27</v>
      </c>
      <c r="AE19" s="170" t="s">
        <v>28</v>
      </c>
      <c r="AF19" s="43" t="s">
        <v>29</v>
      </c>
      <c r="AG19" s="177"/>
    </row>
    <row r="20" spans="1:33" ht="15.75" thickBot="1" x14ac:dyDescent="0.3">
      <c r="A20" s="184"/>
      <c r="B20" s="183"/>
      <c r="C20" s="180"/>
      <c r="D20" s="183"/>
      <c r="E20" s="181"/>
      <c r="F20" s="181"/>
      <c r="G20" s="183"/>
      <c r="H20" s="94" t="s">
        <v>10</v>
      </c>
      <c r="I20" s="94" t="s">
        <v>11</v>
      </c>
      <c r="J20" s="94" t="s">
        <v>10</v>
      </c>
      <c r="K20" s="94" t="s">
        <v>11</v>
      </c>
      <c r="L20" s="94" t="s">
        <v>10</v>
      </c>
      <c r="M20" s="94" t="s">
        <v>11</v>
      </c>
      <c r="N20" s="167"/>
      <c r="O20" s="167"/>
      <c r="P20" s="44" t="s">
        <v>51</v>
      </c>
      <c r="R20" s="18" t="s">
        <v>37</v>
      </c>
      <c r="T20" s="171"/>
      <c r="U20" s="171"/>
      <c r="V20" s="171"/>
      <c r="W20" s="171"/>
      <c r="X20" s="171"/>
      <c r="Y20" s="19"/>
      <c r="AA20" s="171"/>
      <c r="AB20" s="171"/>
      <c r="AC20" s="171"/>
      <c r="AD20" s="171"/>
      <c r="AE20" s="171"/>
      <c r="AF20" s="19" t="s">
        <v>51</v>
      </c>
      <c r="AG20" s="44" t="s">
        <v>51</v>
      </c>
    </row>
    <row r="21" spans="1:33" ht="15" customHeight="1" x14ac:dyDescent="0.25">
      <c r="A21" s="97">
        <v>1</v>
      </c>
      <c r="B21" s="109" t="s">
        <v>85</v>
      </c>
      <c r="C21" s="104" t="s">
        <v>84</v>
      </c>
      <c r="D21" s="8" t="s">
        <v>80</v>
      </c>
      <c r="E21" s="103">
        <v>261.19600000000003</v>
      </c>
      <c r="F21" s="97">
        <v>15.029</v>
      </c>
      <c r="G21" s="108" t="s">
        <v>81</v>
      </c>
      <c r="H21" s="100">
        <v>45798</v>
      </c>
      <c r="I21" s="100">
        <v>45801</v>
      </c>
      <c r="J21" s="100">
        <v>45802</v>
      </c>
      <c r="K21" s="100">
        <v>45803</v>
      </c>
      <c r="L21" s="100">
        <v>45804</v>
      </c>
      <c r="M21" s="100">
        <v>45809</v>
      </c>
      <c r="N21" s="100">
        <v>45810</v>
      </c>
      <c r="O21" s="100">
        <v>45811</v>
      </c>
      <c r="P21" s="101">
        <v>4925228.8899999997</v>
      </c>
      <c r="R21" s="100">
        <v>45811</v>
      </c>
      <c r="T21" s="91">
        <v>1</v>
      </c>
      <c r="U21" s="91"/>
      <c r="V21" s="96"/>
      <c r="W21" s="96"/>
      <c r="X21" s="96"/>
      <c r="Y21" s="96">
        <f>SUM(T21:X21)</f>
        <v>1</v>
      </c>
      <c r="AA21" s="88">
        <f>$P$21*T21</f>
        <v>4925228.8899999997</v>
      </c>
      <c r="AB21" s="88">
        <f>$P$21*U21</f>
        <v>0</v>
      </c>
      <c r="AC21" s="88">
        <f t="shared" ref="AC21:AE21" si="2">$P$21*V21</f>
        <v>0</v>
      </c>
      <c r="AD21" s="88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25">
      <c r="A22" s="97">
        <v>2</v>
      </c>
      <c r="B22" s="111"/>
      <c r="C22" s="113"/>
      <c r="D22" s="114"/>
      <c r="E22" s="102"/>
      <c r="F22" s="8"/>
      <c r="G22" s="108"/>
      <c r="H22" s="100"/>
      <c r="I22" s="100"/>
      <c r="J22" s="100"/>
      <c r="K22" s="100"/>
      <c r="L22" s="100"/>
      <c r="M22" s="100"/>
      <c r="N22" s="100"/>
      <c r="O22" s="100"/>
      <c r="P22" s="101"/>
      <c r="R22" s="90"/>
      <c r="T22" s="91"/>
      <c r="U22" s="91"/>
      <c r="V22" s="96"/>
      <c r="W22" s="96"/>
      <c r="X22" s="96"/>
      <c r="Y22" s="96">
        <f t="shared" ref="Y22:Y23" si="3">SUM(T22:X22)</f>
        <v>0</v>
      </c>
      <c r="AA22" s="88"/>
      <c r="AB22" s="88"/>
      <c r="AC22" s="88"/>
      <c r="AD22" s="88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25">
      <c r="A23" s="97">
        <v>3</v>
      </c>
      <c r="B23" s="109"/>
      <c r="C23" s="104"/>
      <c r="D23" s="86"/>
      <c r="E23" s="103"/>
      <c r="F23" s="97"/>
      <c r="G23" s="112"/>
      <c r="H23" s="100"/>
      <c r="I23" s="100"/>
      <c r="J23" s="100"/>
      <c r="K23" s="100"/>
      <c r="L23" s="100"/>
      <c r="M23" s="100"/>
      <c r="N23" s="100"/>
      <c r="O23" s="100"/>
      <c r="P23" s="101"/>
      <c r="R23" s="90"/>
      <c r="T23" s="91"/>
      <c r="U23" s="91"/>
      <c r="V23" s="96"/>
      <c r="W23" s="96"/>
      <c r="X23" s="96"/>
      <c r="Y23" s="96">
        <f t="shared" si="3"/>
        <v>0</v>
      </c>
      <c r="AA23" s="88">
        <f t="shared" ref="AA23:AA25" si="4">$P$21*T23</f>
        <v>0</v>
      </c>
      <c r="AB23" s="88">
        <f t="shared" ref="AB23:AB26" si="5">$P$21*U23</f>
        <v>0</v>
      </c>
      <c r="AC23" s="88">
        <f t="shared" ref="AC23:AC26" si="6">$P$21*V23</f>
        <v>0</v>
      </c>
      <c r="AD23" s="88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25">
      <c r="A24" s="97">
        <v>4</v>
      </c>
      <c r="B24" s="117"/>
      <c r="C24" s="107"/>
      <c r="D24" s="86"/>
      <c r="E24" s="102"/>
      <c r="F24" s="8"/>
      <c r="G24" s="108"/>
      <c r="H24" s="100"/>
      <c r="I24" s="100"/>
      <c r="J24" s="100"/>
      <c r="K24" s="100"/>
      <c r="L24" s="100"/>
      <c r="M24" s="100"/>
      <c r="N24" s="100"/>
      <c r="O24" s="100"/>
      <c r="P24" s="101"/>
      <c r="R24" s="87"/>
      <c r="T24" s="89"/>
      <c r="U24" s="89"/>
      <c r="V24" s="89"/>
      <c r="W24" s="89"/>
      <c r="X24" s="89"/>
      <c r="Y24" s="89">
        <f t="shared" ref="Y24:Y29" si="9">SUM(T24:X24)</f>
        <v>0</v>
      </c>
      <c r="AA24" s="88">
        <f t="shared" si="4"/>
        <v>0</v>
      </c>
      <c r="AB24" s="88">
        <f t="shared" si="5"/>
        <v>0</v>
      </c>
      <c r="AC24" s="88">
        <f>$P$24*V24</f>
        <v>0</v>
      </c>
      <c r="AD24" s="88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25">
      <c r="A25" s="97">
        <v>5</v>
      </c>
      <c r="B25" s="109"/>
      <c r="C25" s="104"/>
      <c r="D25" s="86"/>
      <c r="E25" s="102"/>
      <c r="F25" s="8"/>
      <c r="G25" s="164"/>
      <c r="H25" s="100"/>
      <c r="I25" s="100"/>
      <c r="J25" s="100"/>
      <c r="K25" s="100"/>
      <c r="L25" s="100"/>
      <c r="M25" s="100"/>
      <c r="N25" s="100"/>
      <c r="O25" s="100"/>
      <c r="P25" s="101"/>
      <c r="R25" s="87"/>
      <c r="T25" s="89"/>
      <c r="U25" s="89"/>
      <c r="V25" s="89"/>
      <c r="W25" s="89"/>
      <c r="X25" s="89"/>
      <c r="Y25" s="89">
        <f t="shared" si="9"/>
        <v>0</v>
      </c>
      <c r="AA25" s="88">
        <f t="shared" si="4"/>
        <v>0</v>
      </c>
      <c r="AB25" s="88">
        <f>$P$25*U25</f>
        <v>0</v>
      </c>
      <c r="AC25" s="88">
        <f>$P$25*V25</f>
        <v>0</v>
      </c>
      <c r="AD25" s="88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25">
      <c r="A26" s="97">
        <v>6</v>
      </c>
      <c r="B26" s="109"/>
      <c r="C26" s="104"/>
      <c r="D26" s="8"/>
      <c r="E26" s="103"/>
      <c r="F26" s="97"/>
      <c r="G26" s="165"/>
      <c r="H26" s="100"/>
      <c r="I26" s="100"/>
      <c r="J26" s="100"/>
      <c r="K26" s="100"/>
      <c r="L26" s="100"/>
      <c r="M26" s="100"/>
      <c r="N26" s="100"/>
      <c r="O26" s="100"/>
      <c r="P26" s="101"/>
      <c r="R26" s="87"/>
      <c r="T26" s="89"/>
      <c r="U26" s="89"/>
      <c r="V26" s="89"/>
      <c r="W26" s="89"/>
      <c r="X26" s="89"/>
      <c r="Y26" s="89">
        <f t="shared" si="9"/>
        <v>0</v>
      </c>
      <c r="AA26" s="88">
        <f>$P$26*T26</f>
        <v>0</v>
      </c>
      <c r="AB26" s="88">
        <f t="shared" si="5"/>
        <v>0</v>
      </c>
      <c r="AC26" s="88">
        <f t="shared" si="6"/>
        <v>0</v>
      </c>
      <c r="AD26" s="88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25">
      <c r="A27" s="97">
        <v>7</v>
      </c>
      <c r="B27" s="110"/>
      <c r="C27" s="104"/>
      <c r="D27" s="8"/>
      <c r="E27" s="103"/>
      <c r="F27" s="97"/>
      <c r="G27" s="108"/>
      <c r="H27" s="100"/>
      <c r="I27" s="100"/>
      <c r="J27" s="100"/>
      <c r="K27" s="100"/>
      <c r="L27" s="100"/>
      <c r="M27" s="100"/>
      <c r="N27" s="100"/>
      <c r="O27" s="100"/>
      <c r="P27" s="101"/>
      <c r="R27" s="87"/>
      <c r="T27" s="89"/>
      <c r="U27" s="89"/>
      <c r="V27" s="89"/>
      <c r="W27" s="89"/>
      <c r="X27" s="89"/>
      <c r="Y27" s="89">
        <f t="shared" si="9"/>
        <v>0</v>
      </c>
      <c r="AA27" s="88">
        <f>$P$21*T27</f>
        <v>0</v>
      </c>
      <c r="AB27" s="88">
        <f>$P$27*U27</f>
        <v>0</v>
      </c>
      <c r="AC27" s="88">
        <f t="shared" ref="AC27:AE28" si="12">$P$21*V27</f>
        <v>0</v>
      </c>
      <c r="AD27" s="88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25">
      <c r="A28" s="97"/>
      <c r="B28" s="104"/>
      <c r="C28" s="104"/>
      <c r="D28" s="86"/>
      <c r="E28" s="102"/>
      <c r="F28" s="8"/>
      <c r="G28" s="105"/>
      <c r="H28" s="106"/>
      <c r="I28" s="100"/>
      <c r="J28" s="100"/>
      <c r="K28" s="100"/>
      <c r="L28" s="100"/>
      <c r="M28" s="106"/>
      <c r="N28" s="100"/>
      <c r="O28" s="100"/>
      <c r="P28" s="101"/>
      <c r="R28" s="90"/>
      <c r="T28" s="91"/>
      <c r="U28" s="91"/>
      <c r="V28" s="91"/>
      <c r="W28" s="91"/>
      <c r="X28" s="91"/>
      <c r="Y28" s="89">
        <f t="shared" si="9"/>
        <v>0</v>
      </c>
      <c r="AA28" s="88">
        <f>$P$21*T28</f>
        <v>0</v>
      </c>
      <c r="AB28" s="88">
        <f>$P$21*U28</f>
        <v>0</v>
      </c>
      <c r="AC28" s="88">
        <f t="shared" si="12"/>
        <v>0</v>
      </c>
      <c r="AD28" s="88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00000000000001" hidden="1" customHeight="1" thickBot="1" x14ac:dyDescent="0.3">
      <c r="A29" s="11"/>
      <c r="B29" s="92"/>
      <c r="C29" s="93"/>
      <c r="D29" s="93"/>
      <c r="E29" s="93"/>
      <c r="F29" s="93"/>
      <c r="G29" s="93"/>
      <c r="H29" s="84"/>
      <c r="I29" s="84"/>
      <c r="J29" s="84"/>
      <c r="K29" s="84"/>
      <c r="L29" s="84"/>
      <c r="M29" s="84"/>
      <c r="N29" s="84"/>
      <c r="O29" s="84"/>
      <c r="P29" s="116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00000000000001" customHeight="1" x14ac:dyDescent="0.2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25">
      <c r="N32" s="55" t="s">
        <v>87</v>
      </c>
      <c r="P32" s="3">
        <f>7224.33*1</f>
        <v>7224.33</v>
      </c>
    </row>
    <row r="33" spans="2:16" x14ac:dyDescent="0.2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88</v>
      </c>
      <c r="P33" s="3">
        <f>7782.57*1</f>
        <v>7782.57</v>
      </c>
    </row>
    <row r="34" spans="2:16" x14ac:dyDescent="0.25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78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F18:F20"/>
    <mergeCell ref="G18:G20"/>
    <mergeCell ref="A18:A20"/>
    <mergeCell ref="B18:B20"/>
    <mergeCell ref="C18:C20"/>
    <mergeCell ref="D18:D20"/>
    <mergeCell ref="E18:E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H18:O18"/>
    <mergeCell ref="N19:N20"/>
    <mergeCell ref="U19:U20"/>
    <mergeCell ref="V19:V20"/>
    <mergeCell ref="W19:W20"/>
    <mergeCell ref="G25:G26"/>
    <mergeCell ref="O19:O20"/>
    <mergeCell ref="H19:I19"/>
    <mergeCell ref="J19:K19"/>
    <mergeCell ref="L19:M19"/>
  </mergeCells>
  <phoneticPr fontId="8" type="noConversion"/>
  <conditionalFormatting sqref="B21">
    <cfRule type="duplicateValues" dxfId="87" priority="1"/>
    <cfRule type="duplicateValues" dxfId="86" priority="2"/>
    <cfRule type="duplicateValues" dxfId="85" priority="3"/>
    <cfRule type="duplicateValues" dxfId="84" priority="4"/>
    <cfRule type="expression" dxfId="83" priority="5" stopIfTrue="1">
      <formula>AND(COUNTIF($D$28:$D$37, B21)+COUNTIF($D$16:$D$16, B21)&gt;1,NOT(ISBLANK(B21)))</formula>
    </cfRule>
    <cfRule type="expression" dxfId="82" priority="6" stopIfTrue="1">
      <formula>AND(COUNTIF($D$28:$D$65380, B21)+COUNTIF($D$1:$D$16, B21)&gt;1,NOT(ISBLANK(B21)))</formula>
    </cfRule>
    <cfRule type="expression" dxfId="81" priority="7" stopIfTrue="1">
      <formula>AND(COUNTIF($D$17:$D$65380, B21)+COUNTIF($D$1:$D$16, B21)&gt;1,NOT(ISBLANK(B21)))</formula>
    </cfRule>
    <cfRule type="expression" dxfId="80" priority="8" stopIfTrue="1">
      <formula>AND(COUNTIF($D$1:$D$123, B21)+COUNTIF($D$142:$D$65380, B21)&gt;1,NOT(ISBLANK(B21)))</formula>
    </cfRule>
    <cfRule type="expression" dxfId="79" priority="9" stopIfTrue="1">
      <formula>AND(COUNTIF($D$1:$D$191, B21)+COUNTIF($D$214:$D$65380, B21)&gt;1,NOT(ISBLANK(B21)))</formula>
    </cfRule>
    <cfRule type="expression" dxfId="78" priority="10" stopIfTrue="1">
      <formula>AND(COUNTIF($D$1:$D$191, B21)+COUNTIF($D$214:$D$65380, B21)&gt;1,NOT(ISBLANK(B21)))</formula>
    </cfRule>
    <cfRule type="expression" dxfId="77" priority="11" stopIfTrue="1">
      <formula>AND(COUNTIF($D$1:$D$191, B21)+COUNTIF($D$214:$D$65380, B21)&gt;1,NOT(ISBLANK(B21)))</formula>
    </cfRule>
    <cfRule type="expression" dxfId="76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75" priority="18"/>
  </conditionalFormatting>
  <conditionalFormatting sqref="B22">
    <cfRule type="duplicateValues" dxfId="74" priority="14"/>
    <cfRule type="duplicateValues" dxfId="73" priority="15"/>
    <cfRule type="duplicateValues" dxfId="72" priority="16"/>
  </conditionalFormatting>
  <conditionalFormatting sqref="B23">
    <cfRule type="duplicateValues" dxfId="71" priority="19"/>
    <cfRule type="duplicateValues" dxfId="70" priority="20"/>
    <cfRule type="expression" dxfId="69" priority="1251" stopIfTrue="1">
      <formula>AND(COUNTIF($C$2:$C$65291, B23)+COUNTIF(#REF!, B23)&gt;1,NOT(ISBLANK(B23)))</formula>
    </cfRule>
    <cfRule type="expression" dxfId="68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67" priority="1248" stopIfTrue="1">
      <formula>AND(COUNTIF($C$1:$C$65282, B21)+COUNTIF(#REF!, B21)&gt;1,NOT(ISBLANK(B21)))</formula>
    </cfRule>
  </conditionalFormatting>
  <conditionalFormatting sqref="B26:B27 B23 B21">
    <cfRule type="expression" dxfId="66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65" priority="1239"/>
    <cfRule type="expression" dxfId="64" priority="1240" stopIfTrue="1">
      <formula>AND(COUNTIF($D$28:$D$37, B26)+COUNTIF($D$16:$D$16, B26)&gt;1,NOT(ISBLANK(B26)))</formula>
    </cfRule>
    <cfRule type="expression" dxfId="63" priority="1241" stopIfTrue="1">
      <formula>AND(COUNTIF($D$28:$D$65380, B26)+COUNTIF($D$1:$D$16, B26)&gt;1,NOT(ISBLANK(B26)))</formula>
    </cfRule>
    <cfRule type="expression" dxfId="62" priority="1242" stopIfTrue="1">
      <formula>AND(COUNTIF($D$17:$D$65380, B26)+COUNTIF($D$1:$D$16, B26)&gt;1,NOT(ISBLANK(B26)))</formula>
    </cfRule>
    <cfRule type="expression" dxfId="61" priority="1243" stopIfTrue="1">
      <formula>AND(COUNTIF($D$1:$D$123, B26)+COUNTIF($D$142:$D$65380, B26)&gt;1,NOT(ISBLANK(B26)))</formula>
    </cfRule>
    <cfRule type="expression" dxfId="60" priority="1245" stopIfTrue="1">
      <formula>AND(COUNTIF($D$1:$D$191, B26)+COUNTIF($D$214:$D$65380, B26)&gt;1,NOT(ISBLANK(B26)))</formula>
    </cfRule>
    <cfRule type="expression" dxfId="59" priority="1246" stopIfTrue="1">
      <formula>AND(COUNTIF($D$1:$D$191, B26)+COUNTIF($D$214:$D$65380, B26)&gt;1,NOT(ISBLANK(B26)))</formula>
    </cfRule>
    <cfRule type="expression" dxfId="58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57" priority="1244" stopIfTrue="1">
      <formula>AND(COUNTIF($D$1:$D$191, B26)+COUNTIF($D$214:$D$65380, B26)&gt;1,NOT(ISBLANK(B26)))</formula>
    </cfRule>
  </conditionalFormatting>
  <conditionalFormatting sqref="B27">
    <cfRule type="duplicateValues" dxfId="56" priority="22"/>
    <cfRule type="duplicateValues" dxfId="55" priority="23"/>
    <cfRule type="duplicateValues" dxfId="54" priority="24"/>
  </conditionalFormatting>
  <conditionalFormatting sqref="B28">
    <cfRule type="duplicateValues" dxfId="53" priority="1190"/>
    <cfRule type="duplicateValues" dxfId="52" priority="1191"/>
    <cfRule type="duplicateValues" dxfId="51" priority="1192"/>
  </conditionalFormatting>
  <conditionalFormatting sqref="B29:B1048576 B1:B20">
    <cfRule type="duplicateValues" dxfId="50" priority="347"/>
  </conditionalFormatting>
  <conditionalFormatting sqref="L4">
    <cfRule type="expression" dxfId="49" priority="1221" stopIfTrue="1">
      <formula>AND(COUNTIF($C$1:$C$65460, L4)+COUNTIF(#REF!, L4)&gt;1,NOT(ISBLANK(L4)))</formula>
    </cfRule>
    <cfRule type="expression" dxfId="48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47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6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5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4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43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42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41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40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9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8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7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36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35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34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5" x14ac:dyDescent="0.25"/>
  <cols>
    <col min="2" max="2" width="12.7109375" customWidth="1"/>
    <col min="5" max="5" width="13.28515625" customWidth="1"/>
    <col min="6" max="6" width="14.7109375" customWidth="1"/>
    <col min="7" max="7" width="13.5703125" customWidth="1"/>
    <col min="8" max="15" width="0" hidden="1" customWidth="1"/>
    <col min="16" max="16" width="16.140625" customWidth="1"/>
    <col min="17" max="17" width="0" hidden="1" customWidth="1"/>
    <col min="18" max="18" width="27" customWidth="1"/>
  </cols>
  <sheetData>
    <row r="2" spans="2:18" ht="15.75" thickBot="1" x14ac:dyDescent="0.3"/>
    <row r="3" spans="2:18" ht="57" thickBot="1" x14ac:dyDescent="0.3">
      <c r="B3" s="56" t="s">
        <v>53</v>
      </c>
      <c r="C3" s="56" t="s">
        <v>54</v>
      </c>
      <c r="D3" s="56" t="s">
        <v>6</v>
      </c>
      <c r="E3" s="56" t="s">
        <v>55</v>
      </c>
      <c r="F3" s="56" t="s">
        <v>56</v>
      </c>
      <c r="G3" s="57" t="s">
        <v>57</v>
      </c>
      <c r="H3" s="58" t="s">
        <v>58</v>
      </c>
      <c r="I3" s="58" t="s">
        <v>59</v>
      </c>
      <c r="J3" s="59" t="s">
        <v>60</v>
      </c>
      <c r="K3" s="58" t="s">
        <v>61</v>
      </c>
      <c r="L3" s="58" t="s">
        <v>62</v>
      </c>
      <c r="M3" s="58" t="s">
        <v>63</v>
      </c>
      <c r="N3" s="58" t="s">
        <v>64</v>
      </c>
      <c r="O3" s="58" t="s">
        <v>65</v>
      </c>
      <c r="P3" s="58" t="s">
        <v>75</v>
      </c>
      <c r="Q3" s="58" t="s">
        <v>66</v>
      </c>
      <c r="R3" s="58" t="s">
        <v>74</v>
      </c>
    </row>
    <row r="4" spans="2:18" ht="60" customHeight="1" x14ac:dyDescent="0.25">
      <c r="B4" s="60" t="s">
        <v>69</v>
      </c>
      <c r="C4" s="61" t="s">
        <v>67</v>
      </c>
      <c r="D4" s="62" t="s">
        <v>68</v>
      </c>
      <c r="E4" s="63" t="s">
        <v>70</v>
      </c>
      <c r="F4" s="64" t="s">
        <v>71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85" t="s">
        <v>76</v>
      </c>
    </row>
    <row r="5" spans="2:18" ht="30" x14ac:dyDescent="0.25">
      <c r="B5" s="60" t="s">
        <v>69</v>
      </c>
      <c r="C5" s="61" t="s">
        <v>67</v>
      </c>
      <c r="D5" s="62" t="s">
        <v>68</v>
      </c>
      <c r="E5" s="63" t="s">
        <v>72</v>
      </c>
      <c r="F5" s="64" t="s">
        <v>73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86"/>
    </row>
    <row r="6" spans="2:18" s="75" customFormat="1" x14ac:dyDescent="0.25">
      <c r="B6" s="187" t="s">
        <v>29</v>
      </c>
      <c r="C6" s="188"/>
      <c r="D6" s="189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33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I17"/>
  <sheetViews>
    <sheetView tabSelected="1" zoomScale="88" zoomScaleNormal="80" workbookViewId="0">
      <selection activeCell="M14" sqref="M14"/>
    </sheetView>
  </sheetViews>
  <sheetFormatPr defaultColWidth="9.140625" defaultRowHeight="15" x14ac:dyDescent="0.25"/>
  <cols>
    <col min="1" max="1" width="4.85546875" style="4" customWidth="1"/>
    <col min="2" max="2" width="12.140625" style="1" bestFit="1" customWidth="1"/>
    <col min="3" max="3" width="11.28515625" style="1" customWidth="1"/>
    <col min="4" max="4" width="12.5703125" style="4" customWidth="1"/>
    <col min="5" max="5" width="17.7109375" style="4" bestFit="1" customWidth="1"/>
    <col min="6" max="6" width="12.7109375" style="4" customWidth="1"/>
    <col min="7" max="7" width="14.140625" style="4" customWidth="1"/>
    <col min="8" max="8" width="14.85546875" style="4" customWidth="1"/>
    <col min="9" max="9" width="12.7109375" style="4" customWidth="1"/>
    <col min="10" max="10" width="11.85546875" style="4" customWidth="1"/>
    <col min="11" max="11" width="14.7109375" style="4" customWidth="1"/>
    <col min="12" max="12" width="16.140625" style="1" bestFit="1" customWidth="1"/>
    <col min="13" max="13" width="10.7109375" style="1" customWidth="1"/>
    <col min="14" max="14" width="13.140625" style="1" customWidth="1"/>
    <col min="15" max="15" width="15.5703125" style="1" customWidth="1"/>
    <col min="16" max="16" width="17.5703125" style="1" customWidth="1"/>
    <col min="17" max="18" width="15.5703125" style="1" customWidth="1"/>
    <col min="19" max="19" width="3.140625" style="1" customWidth="1"/>
    <col min="20" max="20" width="28.140625" style="1" customWidth="1"/>
    <col min="21" max="21" width="3.140625" style="1" customWidth="1"/>
    <col min="22" max="27" width="8.7109375" style="1" customWidth="1"/>
    <col min="28" max="28" width="3.140625" style="1" customWidth="1"/>
    <col min="29" max="29" width="14.28515625" style="1" customWidth="1"/>
    <col min="30" max="30" width="13.28515625" style="1" customWidth="1"/>
    <col min="31" max="32" width="10.7109375" style="1" customWidth="1"/>
    <col min="33" max="33" width="11.28515625" style="1" customWidth="1"/>
    <col min="34" max="34" width="8.140625" style="1" customWidth="1"/>
    <col min="35" max="35" width="38.140625" style="1" customWidth="1"/>
    <col min="36" max="16384" width="9.140625" style="1"/>
  </cols>
  <sheetData>
    <row r="1" spans="1:35" ht="45" x14ac:dyDescent="0.25">
      <c r="A1" s="130" t="s">
        <v>4</v>
      </c>
      <c r="B1" s="130" t="s">
        <v>124</v>
      </c>
      <c r="C1" s="131" t="s">
        <v>6</v>
      </c>
      <c r="D1" s="131" t="s">
        <v>119</v>
      </c>
      <c r="E1" s="130" t="s">
        <v>120</v>
      </c>
      <c r="F1" s="130" t="s">
        <v>111</v>
      </c>
      <c r="G1" s="131" t="s">
        <v>112</v>
      </c>
      <c r="H1" s="130" t="s">
        <v>113</v>
      </c>
      <c r="I1" s="131" t="s">
        <v>114</v>
      </c>
      <c r="J1" s="146" t="s">
        <v>125</v>
      </c>
      <c r="K1" s="147" t="s">
        <v>122</v>
      </c>
      <c r="L1" s="147" t="s">
        <v>123</v>
      </c>
      <c r="M1" s="146" t="s">
        <v>38</v>
      </c>
      <c r="N1" s="146" t="s">
        <v>39</v>
      </c>
      <c r="O1" s="132" t="s">
        <v>121</v>
      </c>
      <c r="P1" s="133" t="s">
        <v>126</v>
      </c>
    </row>
    <row r="2" spans="1:35" ht="15.75" x14ac:dyDescent="0.25">
      <c r="A2" s="8">
        <v>1</v>
      </c>
      <c r="B2" s="153" t="s">
        <v>118</v>
      </c>
      <c r="C2" s="99" t="s">
        <v>92</v>
      </c>
      <c r="D2" s="8">
        <v>110.696</v>
      </c>
      <c r="E2" s="190" t="s">
        <v>140</v>
      </c>
      <c r="F2" s="198">
        <v>38</v>
      </c>
      <c r="G2" s="120" t="s">
        <v>115</v>
      </c>
      <c r="H2" s="120" t="s">
        <v>144</v>
      </c>
      <c r="I2" s="120" t="s">
        <v>131</v>
      </c>
      <c r="J2" s="85">
        <v>45980</v>
      </c>
      <c r="K2" s="85">
        <v>45981</v>
      </c>
      <c r="L2" s="85">
        <v>46000</v>
      </c>
      <c r="M2" s="85">
        <v>46001</v>
      </c>
      <c r="N2" s="85">
        <v>46002</v>
      </c>
      <c r="O2" s="152">
        <v>1004656</v>
      </c>
      <c r="P2" s="101"/>
    </row>
    <row r="3" spans="1:35" ht="22.5" customHeight="1" x14ac:dyDescent="0.25">
      <c r="A3" s="8">
        <v>2</v>
      </c>
      <c r="B3" s="99" t="s">
        <v>90</v>
      </c>
      <c r="C3" s="99" t="s">
        <v>91</v>
      </c>
      <c r="D3" s="8">
        <v>110.575</v>
      </c>
      <c r="E3" s="191"/>
      <c r="F3" s="199"/>
      <c r="G3" s="120" t="s">
        <v>115</v>
      </c>
      <c r="H3" s="120" t="s">
        <v>117</v>
      </c>
      <c r="I3" s="120" t="s">
        <v>131</v>
      </c>
      <c r="J3" s="85">
        <v>46000</v>
      </c>
      <c r="K3" s="85">
        <v>46001</v>
      </c>
      <c r="L3" s="85">
        <v>46018</v>
      </c>
      <c r="M3" s="85">
        <v>46019</v>
      </c>
      <c r="N3" s="85">
        <v>46020</v>
      </c>
      <c r="O3" s="152">
        <v>974538</v>
      </c>
      <c r="P3" s="101"/>
      <c r="Q3" s="134"/>
      <c r="R3" s="134"/>
      <c r="T3" s="135"/>
      <c r="V3" s="134"/>
      <c r="W3" s="134"/>
      <c r="X3" s="134"/>
      <c r="Y3" s="134"/>
      <c r="Z3" s="134"/>
      <c r="AA3" s="134"/>
      <c r="AC3" s="134"/>
      <c r="AD3" s="134"/>
      <c r="AE3" s="134"/>
      <c r="AF3" s="134"/>
      <c r="AG3" s="134"/>
      <c r="AH3" s="134"/>
      <c r="AI3" s="136"/>
    </row>
    <row r="4" spans="1:35" ht="21" customHeight="1" x14ac:dyDescent="0.25">
      <c r="A4" s="8">
        <v>3</v>
      </c>
      <c r="B4" s="153" t="s">
        <v>128</v>
      </c>
      <c r="C4" s="99" t="s">
        <v>129</v>
      </c>
      <c r="D4" s="8">
        <v>124.03700000000001</v>
      </c>
      <c r="E4" s="160" t="s">
        <v>146</v>
      </c>
      <c r="F4" s="200">
        <v>27</v>
      </c>
      <c r="G4" s="120" t="s">
        <v>116</v>
      </c>
      <c r="H4" s="120" t="s">
        <v>130</v>
      </c>
      <c r="I4" s="120" t="s">
        <v>131</v>
      </c>
      <c r="J4" s="85">
        <v>45975</v>
      </c>
      <c r="K4" s="85">
        <v>45976</v>
      </c>
      <c r="L4" s="85">
        <v>45998</v>
      </c>
      <c r="M4" s="85">
        <v>45999</v>
      </c>
      <c r="N4" s="85">
        <v>46000</v>
      </c>
      <c r="O4" s="152">
        <v>1125399</v>
      </c>
      <c r="P4" s="101"/>
      <c r="Q4" s="137"/>
      <c r="R4" s="136"/>
      <c r="T4" s="135"/>
      <c r="V4" s="134"/>
      <c r="W4" s="134"/>
      <c r="X4" s="134"/>
      <c r="Y4" s="134"/>
      <c r="Z4" s="134"/>
      <c r="AA4" s="136"/>
      <c r="AC4" s="134"/>
      <c r="AD4" s="134"/>
      <c r="AE4" s="134"/>
      <c r="AF4" s="134"/>
      <c r="AG4" s="134"/>
      <c r="AH4" s="136"/>
      <c r="AI4" s="136"/>
    </row>
    <row r="5" spans="1:35" ht="15.75" x14ac:dyDescent="0.25">
      <c r="A5" s="8">
        <v>4</v>
      </c>
      <c r="B5" s="153" t="s">
        <v>138</v>
      </c>
      <c r="C5" s="99" t="s">
        <v>50</v>
      </c>
      <c r="D5" s="8">
        <v>43.776000000000003</v>
      </c>
      <c r="E5" s="155" t="s">
        <v>147</v>
      </c>
      <c r="F5" s="203">
        <v>32</v>
      </c>
      <c r="G5" s="120" t="s">
        <v>116</v>
      </c>
      <c r="H5" s="120" t="s">
        <v>153</v>
      </c>
      <c r="I5" s="120" t="s">
        <v>131</v>
      </c>
      <c r="J5" s="85">
        <v>45987</v>
      </c>
      <c r="K5" s="85">
        <v>45988</v>
      </c>
      <c r="L5" s="85">
        <v>45998</v>
      </c>
      <c r="M5" s="85">
        <v>45999</v>
      </c>
      <c r="N5" s="85">
        <v>46000</v>
      </c>
      <c r="O5" s="150">
        <v>371402</v>
      </c>
      <c r="P5" s="101"/>
      <c r="Q5" s="138"/>
      <c r="R5" s="138"/>
      <c r="T5" s="139"/>
      <c r="V5" s="134"/>
      <c r="W5" s="134"/>
      <c r="X5" s="134"/>
      <c r="Y5" s="134"/>
      <c r="Z5" s="134"/>
      <c r="AA5" s="138"/>
      <c r="AC5" s="134"/>
      <c r="AD5" s="134"/>
      <c r="AE5" s="134"/>
      <c r="AF5" s="134"/>
      <c r="AG5" s="134"/>
      <c r="AH5" s="138"/>
      <c r="AI5" s="138"/>
    </row>
    <row r="6" spans="1:35" ht="15.75" x14ac:dyDescent="0.25">
      <c r="A6" s="8">
        <v>5</v>
      </c>
      <c r="B6" s="153" t="s">
        <v>133</v>
      </c>
      <c r="C6" s="99" t="s">
        <v>134</v>
      </c>
      <c r="D6" s="8">
        <v>113.682</v>
      </c>
      <c r="E6" s="192" t="s">
        <v>148</v>
      </c>
      <c r="F6" s="201">
        <v>28</v>
      </c>
      <c r="G6" s="120" t="s">
        <v>116</v>
      </c>
      <c r="H6" s="120" t="s">
        <v>155</v>
      </c>
      <c r="I6" s="120" t="s">
        <v>131</v>
      </c>
      <c r="J6" s="85">
        <v>45980</v>
      </c>
      <c r="K6" s="85">
        <v>45981</v>
      </c>
      <c r="L6" s="85">
        <v>45998</v>
      </c>
      <c r="M6" s="85">
        <v>45999</v>
      </c>
      <c r="N6" s="85">
        <v>46000</v>
      </c>
      <c r="O6" s="152">
        <v>1005828</v>
      </c>
      <c r="P6" s="149"/>
      <c r="Q6" s="129"/>
      <c r="R6" s="129"/>
      <c r="T6" s="140"/>
      <c r="V6" s="141"/>
      <c r="W6" s="141"/>
      <c r="X6" s="141"/>
      <c r="Y6" s="141"/>
      <c r="Z6" s="141"/>
      <c r="AA6" s="141"/>
      <c r="AC6" s="142"/>
      <c r="AD6" s="142"/>
      <c r="AE6" s="142"/>
      <c r="AF6" s="142"/>
      <c r="AG6" s="142"/>
      <c r="AH6" s="143"/>
      <c r="AI6" s="144"/>
    </row>
    <row r="7" spans="1:35" ht="20.100000000000001" customHeight="1" x14ac:dyDescent="0.25">
      <c r="A7" s="8">
        <v>6</v>
      </c>
      <c r="B7" s="153" t="s">
        <v>132</v>
      </c>
      <c r="C7" s="99" t="s">
        <v>79</v>
      </c>
      <c r="D7" s="8">
        <v>97.228999999999999</v>
      </c>
      <c r="E7" s="193"/>
      <c r="F7" s="202"/>
      <c r="G7" s="120" t="s">
        <v>116</v>
      </c>
      <c r="H7" s="120"/>
      <c r="I7" s="120" t="s">
        <v>131</v>
      </c>
      <c r="J7" s="85">
        <v>45998</v>
      </c>
      <c r="K7" s="85">
        <v>45999</v>
      </c>
      <c r="L7" s="85">
        <v>46014</v>
      </c>
      <c r="M7" s="85">
        <v>46015</v>
      </c>
      <c r="N7" s="85">
        <v>46016</v>
      </c>
      <c r="O7" s="152">
        <v>837742</v>
      </c>
      <c r="P7" s="101"/>
      <c r="Q7" s="129"/>
      <c r="R7" s="129"/>
      <c r="T7" s="140"/>
      <c r="V7" s="141"/>
      <c r="W7" s="141"/>
      <c r="X7" s="141"/>
      <c r="Y7" s="141"/>
      <c r="Z7" s="141"/>
      <c r="AA7" s="141"/>
      <c r="AC7" s="142"/>
      <c r="AD7" s="142"/>
      <c r="AE7" s="142"/>
      <c r="AF7" s="142"/>
      <c r="AG7" s="142"/>
      <c r="AH7" s="143"/>
      <c r="AI7" s="144"/>
    </row>
    <row r="8" spans="1:35" ht="20.100000000000001" customHeight="1" x14ac:dyDescent="0.25">
      <c r="A8" s="8">
        <v>7</v>
      </c>
      <c r="B8" s="158" t="s">
        <v>141</v>
      </c>
      <c r="C8" s="8" t="s">
        <v>127</v>
      </c>
      <c r="D8" s="8">
        <v>188.37799999999999</v>
      </c>
      <c r="E8" s="154" t="s">
        <v>149</v>
      </c>
      <c r="F8" s="203">
        <v>40</v>
      </c>
      <c r="G8" s="120" t="s">
        <v>116</v>
      </c>
      <c r="H8" s="120" t="s">
        <v>145</v>
      </c>
      <c r="I8" s="163" t="s">
        <v>139</v>
      </c>
      <c r="J8" s="85">
        <v>45989</v>
      </c>
      <c r="K8" s="85">
        <v>45990</v>
      </c>
      <c r="L8" s="85">
        <v>46010</v>
      </c>
      <c r="M8" s="85">
        <v>46011</v>
      </c>
      <c r="N8" s="85">
        <v>46012</v>
      </c>
      <c r="O8" s="7">
        <v>1853580.61</v>
      </c>
      <c r="P8" s="101"/>
      <c r="Q8" s="129"/>
      <c r="R8" s="129"/>
      <c r="T8" s="140"/>
      <c r="V8" s="141"/>
      <c r="W8" s="141"/>
      <c r="X8" s="141"/>
      <c r="Y8" s="141"/>
      <c r="Z8" s="141"/>
      <c r="AA8" s="141"/>
      <c r="AC8" s="142"/>
      <c r="AD8" s="142"/>
      <c r="AE8" s="142"/>
      <c r="AF8" s="142"/>
      <c r="AG8" s="142"/>
      <c r="AH8" s="143"/>
      <c r="AI8" s="144"/>
    </row>
    <row r="9" spans="1:35" ht="20.100000000000001" customHeight="1" x14ac:dyDescent="0.25">
      <c r="A9" s="8">
        <v>8</v>
      </c>
      <c r="B9" s="153" t="s">
        <v>136</v>
      </c>
      <c r="C9" s="99" t="s">
        <v>137</v>
      </c>
      <c r="D9" s="8">
        <v>46.048999999999999</v>
      </c>
      <c r="E9" s="154" t="s">
        <v>150</v>
      </c>
      <c r="F9" s="203">
        <v>24</v>
      </c>
      <c r="G9" s="120" t="s">
        <v>116</v>
      </c>
      <c r="H9" s="120" t="s">
        <v>130</v>
      </c>
      <c r="I9" s="120" t="s">
        <v>131</v>
      </c>
      <c r="J9" s="85">
        <v>45992</v>
      </c>
      <c r="K9" s="85">
        <v>45993</v>
      </c>
      <c r="L9" s="85">
        <v>46003</v>
      </c>
      <c r="M9" s="85">
        <v>46004</v>
      </c>
      <c r="N9" s="85">
        <v>46005</v>
      </c>
      <c r="O9" s="152">
        <v>418848</v>
      </c>
      <c r="P9" s="101"/>
      <c r="Q9" s="129"/>
      <c r="R9" s="129"/>
      <c r="T9" s="140"/>
      <c r="V9" s="141"/>
      <c r="W9" s="141"/>
      <c r="X9" s="141"/>
      <c r="Y9" s="141"/>
      <c r="Z9" s="141"/>
      <c r="AA9" s="141"/>
      <c r="AC9" s="142"/>
      <c r="AD9" s="142"/>
      <c r="AE9" s="142"/>
      <c r="AF9" s="142"/>
      <c r="AG9" s="142"/>
      <c r="AH9" s="143"/>
      <c r="AI9" s="144"/>
    </row>
    <row r="10" spans="1:35" ht="20.100000000000001" customHeight="1" x14ac:dyDescent="0.25">
      <c r="A10" s="8">
        <v>9</v>
      </c>
      <c r="B10" s="158" t="s">
        <v>142</v>
      </c>
      <c r="C10" s="8" t="s">
        <v>143</v>
      </c>
      <c r="D10" s="8">
        <v>143.46199999999999</v>
      </c>
      <c r="E10" s="192" t="s">
        <v>151</v>
      </c>
      <c r="F10" s="201">
        <v>34</v>
      </c>
      <c r="G10" s="120" t="s">
        <v>116</v>
      </c>
      <c r="H10" s="120" t="s">
        <v>154</v>
      </c>
      <c r="I10" s="120" t="s">
        <v>131</v>
      </c>
      <c r="J10" s="85">
        <v>45992</v>
      </c>
      <c r="K10" s="85">
        <v>45993</v>
      </c>
      <c r="L10" s="85">
        <v>46013</v>
      </c>
      <c r="M10" s="85">
        <v>46014</v>
      </c>
      <c r="N10" s="85">
        <v>46015</v>
      </c>
      <c r="O10" s="152">
        <v>1492772</v>
      </c>
      <c r="P10" s="101"/>
      <c r="Q10" s="129"/>
      <c r="R10" s="129"/>
      <c r="T10" s="140"/>
      <c r="V10" s="141"/>
      <c r="W10" s="141"/>
      <c r="X10" s="141"/>
      <c r="Y10" s="141"/>
      <c r="Z10" s="141"/>
      <c r="AA10" s="141"/>
      <c r="AC10" s="142"/>
      <c r="AD10" s="142"/>
      <c r="AE10" s="142"/>
      <c r="AF10" s="142"/>
      <c r="AG10" s="142"/>
      <c r="AH10" s="143"/>
      <c r="AI10" s="144"/>
    </row>
    <row r="11" spans="1:35" ht="20.100000000000001" customHeight="1" x14ac:dyDescent="0.25">
      <c r="A11" s="8">
        <v>10</v>
      </c>
      <c r="B11" s="159" t="s">
        <v>135</v>
      </c>
      <c r="C11" s="159" t="s">
        <v>77</v>
      </c>
      <c r="D11" s="159">
        <v>42.374000000000002</v>
      </c>
      <c r="E11" s="193"/>
      <c r="F11" s="202"/>
      <c r="G11" s="120" t="s">
        <v>116</v>
      </c>
      <c r="H11" s="120"/>
      <c r="I11" s="120" t="s">
        <v>131</v>
      </c>
      <c r="J11" s="85">
        <v>46014</v>
      </c>
      <c r="K11" s="85">
        <v>46014</v>
      </c>
      <c r="L11" s="85">
        <v>46022</v>
      </c>
      <c r="M11" s="85">
        <v>46023</v>
      </c>
      <c r="N11" s="85">
        <v>46024</v>
      </c>
      <c r="O11" s="152">
        <v>359483</v>
      </c>
      <c r="P11" s="101"/>
      <c r="Q11" s="129"/>
      <c r="R11" s="129"/>
      <c r="T11" s="140"/>
      <c r="V11" s="141"/>
      <c r="W11" s="141"/>
      <c r="X11" s="141"/>
      <c r="Y11" s="141"/>
      <c r="Z11" s="141"/>
      <c r="AA11" s="141"/>
      <c r="AC11" s="142"/>
      <c r="AD11" s="142"/>
      <c r="AE11" s="142"/>
      <c r="AF11" s="142"/>
      <c r="AG11" s="142"/>
      <c r="AH11" s="143"/>
      <c r="AI11" s="144"/>
    </row>
    <row r="12" spans="1:35" ht="20.100000000000001" customHeight="1" x14ac:dyDescent="0.25">
      <c r="A12" s="8">
        <v>11</v>
      </c>
      <c r="B12" s="153" t="s">
        <v>95</v>
      </c>
      <c r="C12" s="99" t="s">
        <v>82</v>
      </c>
      <c r="D12" s="8">
        <v>53.323999999999998</v>
      </c>
      <c r="E12" s="161" t="s">
        <v>152</v>
      </c>
      <c r="F12" s="204">
        <v>25</v>
      </c>
      <c r="G12" s="120" t="s">
        <v>116</v>
      </c>
      <c r="H12" s="120" t="s">
        <v>156</v>
      </c>
      <c r="I12" s="120" t="s">
        <v>131</v>
      </c>
      <c r="J12" s="85">
        <v>45992</v>
      </c>
      <c r="K12" s="85">
        <v>45993</v>
      </c>
      <c r="L12" s="85">
        <v>46003</v>
      </c>
      <c r="M12" s="85">
        <v>46004</v>
      </c>
      <c r="N12" s="85">
        <v>46005</v>
      </c>
      <c r="O12" s="152">
        <v>450628</v>
      </c>
      <c r="P12" s="101"/>
      <c r="Q12" s="129"/>
      <c r="R12" s="129"/>
      <c r="T12" s="140"/>
      <c r="V12" s="141"/>
      <c r="W12" s="141"/>
      <c r="X12" s="141"/>
      <c r="Y12" s="141"/>
      <c r="Z12" s="141"/>
      <c r="AA12" s="141"/>
      <c r="AC12" s="142"/>
      <c r="AD12" s="142"/>
      <c r="AE12" s="142"/>
      <c r="AF12" s="142"/>
      <c r="AG12" s="142"/>
      <c r="AH12" s="143"/>
      <c r="AI12" s="144"/>
    </row>
    <row r="13" spans="1:35" ht="20.100000000000001" customHeight="1" x14ac:dyDescent="0.25">
      <c r="A13" s="8"/>
      <c r="B13" s="99"/>
      <c r="C13" s="99"/>
      <c r="D13" s="114"/>
      <c r="E13" s="162"/>
      <c r="F13" s="162"/>
      <c r="G13" s="120"/>
      <c r="H13" s="120"/>
      <c r="I13" s="120"/>
      <c r="J13" s="85"/>
      <c r="K13" s="85"/>
      <c r="L13" s="85"/>
      <c r="M13" s="85"/>
      <c r="N13" s="85"/>
      <c r="O13" s="152"/>
      <c r="P13" s="101"/>
      <c r="Q13" s="129"/>
      <c r="R13" s="129"/>
      <c r="T13" s="140"/>
      <c r="V13" s="141"/>
      <c r="W13" s="141"/>
      <c r="X13" s="141"/>
      <c r="Y13" s="141"/>
      <c r="Z13" s="141"/>
      <c r="AA13" s="141"/>
      <c r="AC13" s="142"/>
      <c r="AD13" s="142"/>
      <c r="AE13" s="142"/>
      <c r="AF13" s="142"/>
      <c r="AG13" s="142"/>
      <c r="AH13" s="143"/>
      <c r="AI13" s="144"/>
    </row>
    <row r="14" spans="1:35" ht="20.100000000000001" customHeight="1" x14ac:dyDescent="0.25">
      <c r="A14" s="8"/>
      <c r="B14" s="99"/>
      <c r="C14" s="99"/>
      <c r="D14" s="114"/>
      <c r="E14" s="156"/>
      <c r="F14" s="157"/>
      <c r="G14" s="120"/>
      <c r="H14" s="120"/>
      <c r="I14" s="120"/>
      <c r="J14" s="85"/>
      <c r="K14" s="85"/>
      <c r="L14" s="85"/>
      <c r="M14" s="85"/>
      <c r="N14" s="85"/>
      <c r="O14" s="152"/>
      <c r="P14" s="101"/>
      <c r="Q14" s="129"/>
      <c r="R14" s="129"/>
      <c r="T14" s="140"/>
      <c r="V14" s="141"/>
      <c r="W14" s="141"/>
      <c r="X14" s="141"/>
      <c r="Y14" s="141"/>
      <c r="Z14" s="141"/>
      <c r="AA14" s="141"/>
      <c r="AC14" s="142"/>
      <c r="AD14" s="142"/>
      <c r="AE14" s="142"/>
      <c r="AF14" s="142"/>
      <c r="AG14" s="142"/>
      <c r="AH14" s="143"/>
      <c r="AI14" s="144"/>
    </row>
    <row r="15" spans="1:35" ht="20.100000000000001" customHeight="1" x14ac:dyDescent="0.25">
      <c r="A15" s="7"/>
      <c r="B15" s="7"/>
      <c r="C15" s="7"/>
      <c r="D15" s="148">
        <f>SUM(D2:D14)</f>
        <v>1073.5820000000001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151">
        <f>SUM(O2:O14)</f>
        <v>9894876.6099999994</v>
      </c>
      <c r="P15" s="151">
        <f>SUM(P2:P14)</f>
        <v>0</v>
      </c>
      <c r="Q15" s="129"/>
      <c r="R15" s="129"/>
      <c r="T15" s="140"/>
      <c r="V15" s="141"/>
      <c r="W15" s="141"/>
      <c r="X15" s="141"/>
      <c r="Y15" s="141"/>
      <c r="Z15" s="141"/>
      <c r="AA15" s="141"/>
      <c r="AC15" s="142"/>
      <c r="AD15" s="142"/>
      <c r="AE15" s="142"/>
      <c r="AF15" s="142"/>
      <c r="AG15" s="142"/>
      <c r="AH15" s="143"/>
      <c r="AI15" s="144"/>
    </row>
    <row r="16" spans="1:35" ht="20.100000000000001" customHeight="1" x14ac:dyDescent="0.25">
      <c r="A16" s="1"/>
      <c r="D16" s="1"/>
      <c r="E16" s="1"/>
      <c r="F16" s="1"/>
      <c r="G16" s="1"/>
      <c r="H16" s="1"/>
      <c r="I16" s="1"/>
      <c r="J16" s="1"/>
      <c r="K16" s="1"/>
      <c r="Q16" s="129"/>
      <c r="R16" s="129"/>
      <c r="T16" s="140"/>
      <c r="V16" s="141"/>
      <c r="W16" s="141"/>
      <c r="X16" s="141"/>
      <c r="Y16" s="141"/>
      <c r="Z16" s="141"/>
      <c r="AA16" s="141"/>
      <c r="AC16" s="142"/>
      <c r="AD16" s="142"/>
      <c r="AE16" s="142"/>
      <c r="AF16" s="142"/>
      <c r="AG16" s="142"/>
      <c r="AH16" s="143"/>
      <c r="AI16" s="144"/>
    </row>
    <row r="17" spans="29:35" x14ac:dyDescent="0.25">
      <c r="AC17" s="145"/>
      <c r="AD17" s="145"/>
      <c r="AE17" s="145"/>
      <c r="AF17" s="145"/>
      <c r="AG17" s="145"/>
      <c r="AH17" s="145"/>
      <c r="AI17" s="145"/>
    </row>
  </sheetData>
  <autoFilter ref="A1:P15" xr:uid="{035547A7-D1B5-4A88-918A-3701F4B0E907}"/>
  <mergeCells count="6">
    <mergeCell ref="E2:E3"/>
    <mergeCell ref="E6:E7"/>
    <mergeCell ref="E10:E11"/>
    <mergeCell ref="F2:F3"/>
    <mergeCell ref="F6:F7"/>
    <mergeCell ref="F10:F11"/>
  </mergeCells>
  <phoneticPr fontId="8" type="noConversion"/>
  <conditionalFormatting sqref="B1 B13:B1048576">
    <cfRule type="duplicateValues" dxfId="32" priority="47"/>
  </conditionalFormatting>
  <conditionalFormatting sqref="B2">
    <cfRule type="duplicateValues" dxfId="31" priority="27"/>
    <cfRule type="duplicateValues" dxfId="30" priority="26"/>
  </conditionalFormatting>
  <conditionalFormatting sqref="B2:B12">
    <cfRule type="duplicateValues" dxfId="29" priority="30"/>
  </conditionalFormatting>
  <conditionalFormatting sqref="B3">
    <cfRule type="duplicateValues" dxfId="28" priority="28"/>
  </conditionalFormatting>
  <conditionalFormatting sqref="B9 B2:B7 B12">
    <cfRule type="duplicateValues" dxfId="27" priority="29"/>
  </conditionalFormatting>
  <conditionalFormatting sqref="J2:J7">
    <cfRule type="containsText" dxfId="26" priority="22" operator="containsText" text="Complete">
      <formula>NOT(ISERROR(SEARCH("Complete",J2)))</formula>
    </cfRule>
    <cfRule type="containsText" dxfId="25" priority="23" operator="containsText" text="ROW">
      <formula>NOT(ISERROR(SEARCH("ROW",J2)))</formula>
    </cfRule>
  </conditionalFormatting>
  <conditionalFormatting sqref="J7:J10">
    <cfRule type="containsText" dxfId="24" priority="20" operator="containsText" text="Complete">
      <formula>NOT(ISERROR(SEARCH("Complete",J7)))</formula>
    </cfRule>
    <cfRule type="containsText" dxfId="23" priority="21" operator="containsText" text="ROW">
      <formula>NOT(ISERROR(SEARCH("ROW",J7)))</formula>
    </cfRule>
  </conditionalFormatting>
  <conditionalFormatting sqref="J8">
    <cfRule type="containsText" dxfId="22" priority="19" operator="containsText" text="ROW">
      <formula>NOT(ISERROR(SEARCH("ROW",J8)))</formula>
    </cfRule>
    <cfRule type="containsText" dxfId="21" priority="18" operator="containsText" text="Complete">
      <formula>NOT(ISERROR(SEARCH("Complete",J8)))</formula>
    </cfRule>
  </conditionalFormatting>
  <conditionalFormatting sqref="J13:K14">
    <cfRule type="containsText" dxfId="20" priority="58" operator="containsText" text="WIP">
      <formula>NOT(ISERROR(SEARCH("WIP",J13)))</formula>
    </cfRule>
  </conditionalFormatting>
  <conditionalFormatting sqref="J2:N12">
    <cfRule type="containsText" dxfId="19" priority="1" operator="containsText" text="WIP">
      <formula>NOT(ISERROR(SEARCH("WIP",J2)))</formula>
    </cfRule>
  </conditionalFormatting>
  <conditionalFormatting sqref="J11:N12">
    <cfRule type="containsText" dxfId="18" priority="2" operator="containsText" text="Complete">
      <formula>NOT(ISERROR(SEARCH("Complete",J11)))</formula>
    </cfRule>
    <cfRule type="containsText" dxfId="17" priority="3" operator="containsText" text="ROW">
      <formula>NOT(ISERROR(SEARCH("ROW",J11)))</formula>
    </cfRule>
  </conditionalFormatting>
  <conditionalFormatting sqref="J13:N14">
    <cfRule type="containsText" dxfId="16" priority="75" operator="containsText" text="ROW">
      <formula>NOT(ISERROR(SEARCH("ROW",J13)))</formula>
    </cfRule>
    <cfRule type="containsText" dxfId="15" priority="74" operator="containsText" text="Complete">
      <formula>NOT(ISERROR(SEARCH("Complete",J13)))</formula>
    </cfRule>
  </conditionalFormatting>
  <conditionalFormatting sqref="K2:N10">
    <cfRule type="containsText" dxfId="14" priority="8" operator="containsText" text="Complete">
      <formula>NOT(ISERROR(SEARCH("Complete",K2)))</formula>
    </cfRule>
    <cfRule type="containsText" dxfId="13" priority="9" operator="containsText" text="ROW">
      <formula>NOT(ISERROR(SEARCH("ROW",K2)))</formula>
    </cfRule>
  </conditionalFormatting>
  <conditionalFormatting sqref="L13:N13">
    <cfRule type="containsText" dxfId="12" priority="79" operator="containsText" text="Complete">
      <formula>NOT(ISERROR(SEARCH("Complete",L13)))</formula>
    </cfRule>
    <cfRule type="containsText" dxfId="11" priority="78" operator="containsText" text="ROW">
      <formula>NOT(ISERROR(SEARCH("ROW",L13)))</formula>
    </cfRule>
    <cfRule type="containsText" dxfId="10" priority="77" operator="containsText" text="Complete">
      <formula>NOT(ISERROR(SEARCH("Complete",L13)))</formula>
    </cfRule>
    <cfRule type="containsText" dxfId="9" priority="80" operator="containsText" text="ROW">
      <formula>NOT(ISERROR(SEARCH("ROW",L13)))</formula>
    </cfRule>
  </conditionalFormatting>
  <conditionalFormatting sqref="L13:N14">
    <cfRule type="containsText" dxfId="8" priority="151" operator="containsText" text="ROW">
      <formula>NOT(ISERROR(SEARCH("ROW",L13)))</formula>
    </cfRule>
    <cfRule type="containsText" dxfId="7" priority="81" operator="containsText" text="Complete">
      <formula>NOT(ISERROR(SEARCH("Complete",L13)))</formula>
    </cfRule>
    <cfRule type="containsText" dxfId="6" priority="82" operator="containsText" text="ROW">
      <formula>NOT(ISERROR(SEARCH("ROW",L13)))</formula>
    </cfRule>
    <cfRule type="containsText" dxfId="5" priority="91" operator="containsText" text="WIP">
      <formula>NOT(ISERROR(SEARCH("WIP",L13)))</formula>
    </cfRule>
    <cfRule type="containsText" dxfId="4" priority="150" operator="containsText" text="Complete">
      <formula>NOT(ISERROR(SEARCH("Complete",L13)))</formula>
    </cfRule>
  </conditionalFormatting>
  <conditionalFormatting sqref="L14:N14">
    <cfRule type="containsText" dxfId="3" priority="76" operator="containsText" text="WIP">
      <formula>NOT(ISERROR(SEARCH("WIP",L14)))</formula>
    </cfRule>
    <cfRule type="containsText" dxfId="2" priority="90" operator="containsText" text="ROW">
      <formula>NOT(ISERROR(SEARCH("ROW",L14)))</formula>
    </cfRule>
    <cfRule type="containsText" dxfId="1" priority="89" operator="containsText" text="Complete">
      <formula>NOT(ISERROR(SEARCH("Complete",L14)))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40625" defaultRowHeight="15" x14ac:dyDescent="0.25"/>
  <cols>
    <col min="1" max="1" width="3.42578125" style="4" customWidth="1"/>
    <col min="2" max="2" width="15.28515625" style="1" customWidth="1"/>
    <col min="3" max="3" width="11.28515625" style="1" customWidth="1"/>
    <col min="4" max="4" width="12.5703125" style="4" customWidth="1"/>
    <col min="5" max="5" width="12.7109375" style="4" customWidth="1"/>
    <col min="6" max="6" width="10.140625" style="4" customWidth="1"/>
    <col min="7" max="7" width="12.5703125" style="4" customWidth="1"/>
    <col min="8" max="8" width="11.5703125" style="1" customWidth="1"/>
    <col min="9" max="10" width="10.7109375" style="1" customWidth="1"/>
    <col min="11" max="11" width="14.85546875" style="1" customWidth="1"/>
    <col min="12" max="12" width="3.140625" style="1" customWidth="1"/>
    <col min="13" max="13" width="14.5703125" style="1" customWidth="1"/>
    <col min="14" max="14" width="3.140625" style="1" customWidth="1"/>
    <col min="15" max="15" width="10.5703125" style="1" customWidth="1"/>
    <col min="16" max="20" width="8.7109375" style="1" customWidth="1"/>
    <col min="21" max="21" width="3.140625" style="1" customWidth="1"/>
    <col min="22" max="22" width="10.7109375" style="1" customWidth="1"/>
    <col min="23" max="23" width="12.5703125" style="1" customWidth="1"/>
    <col min="24" max="24" width="12.42578125" style="1" customWidth="1"/>
    <col min="25" max="26" width="10.7109375" style="1" customWidth="1"/>
    <col min="27" max="27" width="14.42578125" style="1" customWidth="1"/>
    <col min="28" max="28" width="17.28515625" style="1" customWidth="1"/>
    <col min="29" max="16384" width="9.140625" style="1"/>
  </cols>
  <sheetData>
    <row r="1" spans="1:15" ht="15.75" thickBot="1" x14ac:dyDescent="0.3">
      <c r="A1" s="13" t="s">
        <v>0</v>
      </c>
      <c r="D1" s="38"/>
    </row>
    <row r="2" spans="1:15" x14ac:dyDescent="0.25">
      <c r="A2" s="13" t="s">
        <v>21</v>
      </c>
      <c r="D2" s="1"/>
    </row>
    <row r="3" spans="1:15" x14ac:dyDescent="0.25">
      <c r="A3" s="6"/>
      <c r="D3" s="1"/>
    </row>
    <row r="4" spans="1:15" x14ac:dyDescent="0.25">
      <c r="A4" s="13" t="s">
        <v>22</v>
      </c>
      <c r="D4" s="45" t="s">
        <v>41</v>
      </c>
      <c r="E4" s="28" t="s">
        <v>35</v>
      </c>
      <c r="J4" s="55" t="s">
        <v>86</v>
      </c>
      <c r="K4" s="55">
        <v>905812</v>
      </c>
    </row>
    <row r="5" spans="1:15" x14ac:dyDescent="0.25">
      <c r="A5" s="6"/>
      <c r="D5" s="2" t="s">
        <v>29</v>
      </c>
      <c r="E5" s="40">
        <v>115</v>
      </c>
      <c r="O5" s="121"/>
    </row>
    <row r="6" spans="1:15" ht="17.25" x14ac:dyDescent="0.25">
      <c r="A6" s="6"/>
      <c r="D6" s="2" t="s">
        <v>96</v>
      </c>
      <c r="E6" s="41">
        <v>32.6</v>
      </c>
    </row>
    <row r="7" spans="1:15" x14ac:dyDescent="0.25">
      <c r="A7" s="6"/>
      <c r="D7" s="2" t="s">
        <v>2</v>
      </c>
      <c r="E7" s="30">
        <f>E5-E6</f>
        <v>82.4</v>
      </c>
    </row>
    <row r="8" spans="1:15" ht="5.0999999999999996" customHeight="1" thickBot="1" x14ac:dyDescent="0.3">
      <c r="A8" s="6"/>
      <c r="D8" s="1"/>
    </row>
    <row r="9" spans="1:15" ht="15.75" thickBot="1" x14ac:dyDescent="0.3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0999999999999996" customHeight="1" x14ac:dyDescent="0.25">
      <c r="A10" s="13"/>
      <c r="D10" s="1"/>
      <c r="E10" s="1"/>
      <c r="F10" s="13"/>
    </row>
    <row r="11" spans="1:15" x14ac:dyDescent="0.2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8">
        <f>V34</f>
        <v>0</v>
      </c>
      <c r="H11" s="46">
        <f>G11/$G$9</f>
        <v>0</v>
      </c>
    </row>
    <row r="12" spans="1:15" x14ac:dyDescent="0.2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8">
        <f>W34</f>
        <v>0</v>
      </c>
      <c r="H12" s="46">
        <f t="shared" ref="H12:H16" si="1">G12/$G$9</f>
        <v>0</v>
      </c>
    </row>
    <row r="13" spans="1:15" x14ac:dyDescent="0.25">
      <c r="A13" s="5"/>
      <c r="D13" s="2" t="s">
        <v>26</v>
      </c>
      <c r="E13" s="33">
        <f>Q34</f>
        <v>0</v>
      </c>
      <c r="F13" s="46">
        <f t="shared" si="0"/>
        <v>0</v>
      </c>
      <c r="G13" s="118">
        <f>X34</f>
        <v>0</v>
      </c>
      <c r="H13" s="46">
        <f t="shared" si="1"/>
        <v>0</v>
      </c>
    </row>
    <row r="14" spans="1:15" x14ac:dyDescent="0.25">
      <c r="A14" s="5"/>
      <c r="D14" s="2" t="s">
        <v>27</v>
      </c>
      <c r="E14" s="33">
        <f>R34</f>
        <v>0</v>
      </c>
      <c r="F14" s="46">
        <f t="shared" si="0"/>
        <v>0</v>
      </c>
      <c r="G14" s="118">
        <f>Y34</f>
        <v>0</v>
      </c>
      <c r="H14" s="46">
        <f t="shared" si="1"/>
        <v>0</v>
      </c>
    </row>
    <row r="15" spans="1:15" ht="17.25" x14ac:dyDescent="0.25">
      <c r="A15" s="5"/>
      <c r="D15" s="28" t="s">
        <v>28</v>
      </c>
      <c r="E15" s="34">
        <f>S34</f>
        <v>0</v>
      </c>
      <c r="F15" s="46">
        <f t="shared" si="0"/>
        <v>0</v>
      </c>
      <c r="G15" s="119">
        <f>Z34</f>
        <v>0</v>
      </c>
      <c r="H15" s="46">
        <f t="shared" si="1"/>
        <v>0</v>
      </c>
    </row>
    <row r="16" spans="1:15" x14ac:dyDescent="0.2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25">
      <c r="A17" s="5"/>
      <c r="D17" s="6"/>
      <c r="E17" s="6"/>
      <c r="F17" s="6"/>
    </row>
    <row r="18" spans="1:28" ht="22.5" customHeight="1" x14ac:dyDescent="0.25">
      <c r="A18" s="182" t="s">
        <v>4</v>
      </c>
      <c r="B18" s="182" t="s">
        <v>42</v>
      </c>
      <c r="C18" s="178" t="s">
        <v>47</v>
      </c>
      <c r="D18" s="178" t="s">
        <v>43</v>
      </c>
      <c r="E18" s="182" t="s">
        <v>8</v>
      </c>
      <c r="F18" s="169" t="s">
        <v>18</v>
      </c>
      <c r="G18" s="169"/>
      <c r="H18" s="169"/>
      <c r="I18" s="169"/>
      <c r="J18" s="169"/>
      <c r="K18" s="172" t="s">
        <v>19</v>
      </c>
      <c r="M18" s="178" t="s">
        <v>36</v>
      </c>
      <c r="O18" s="173" t="s">
        <v>31</v>
      </c>
      <c r="P18" s="174"/>
      <c r="Q18" s="174"/>
      <c r="R18" s="174"/>
      <c r="S18" s="174"/>
      <c r="T18" s="175"/>
      <c r="V18" s="173" t="s">
        <v>30</v>
      </c>
      <c r="W18" s="174"/>
      <c r="X18" s="174"/>
      <c r="Y18" s="174"/>
      <c r="Z18" s="174"/>
      <c r="AA18" s="175"/>
      <c r="AB18" s="176" t="s">
        <v>34</v>
      </c>
    </row>
    <row r="19" spans="1:28" ht="21" customHeight="1" x14ac:dyDescent="0.25">
      <c r="A19" s="183"/>
      <c r="B19" s="183"/>
      <c r="C19" s="180"/>
      <c r="D19" s="183"/>
      <c r="E19" s="183"/>
      <c r="F19" s="194" t="s">
        <v>40</v>
      </c>
      <c r="G19" s="195" t="s">
        <v>44</v>
      </c>
      <c r="H19" s="196"/>
      <c r="I19" s="195" t="s">
        <v>45</v>
      </c>
      <c r="J19" s="196"/>
      <c r="K19" s="172"/>
      <c r="M19" s="179"/>
      <c r="O19" s="170" t="s">
        <v>24</v>
      </c>
      <c r="P19" s="170" t="s">
        <v>25</v>
      </c>
      <c r="Q19" s="170" t="s">
        <v>26</v>
      </c>
      <c r="R19" s="170" t="s">
        <v>27</v>
      </c>
      <c r="S19" s="170" t="s">
        <v>28</v>
      </c>
      <c r="T19" s="43" t="s">
        <v>29</v>
      </c>
      <c r="V19" s="170" t="s">
        <v>24</v>
      </c>
      <c r="W19" s="170" t="s">
        <v>25</v>
      </c>
      <c r="X19" s="170" t="s">
        <v>26</v>
      </c>
      <c r="Y19" s="170" t="s">
        <v>27</v>
      </c>
      <c r="Z19" s="170" t="s">
        <v>28</v>
      </c>
      <c r="AA19" s="43" t="s">
        <v>29</v>
      </c>
      <c r="AB19" s="177"/>
    </row>
    <row r="20" spans="1:28" ht="36.75" customHeight="1" thickBot="1" x14ac:dyDescent="0.3">
      <c r="A20" s="183"/>
      <c r="B20" s="183"/>
      <c r="C20" s="180"/>
      <c r="D20" s="183"/>
      <c r="E20" s="183"/>
      <c r="F20" s="194"/>
      <c r="G20" s="94" t="s">
        <v>10</v>
      </c>
      <c r="H20" s="94" t="s">
        <v>11</v>
      </c>
      <c r="I20" s="94" t="s">
        <v>10</v>
      </c>
      <c r="J20" s="94" t="s">
        <v>11</v>
      </c>
      <c r="K20" s="44" t="s">
        <v>20</v>
      </c>
      <c r="M20" s="18" t="s">
        <v>37</v>
      </c>
      <c r="O20" s="171"/>
      <c r="P20" s="171"/>
      <c r="Q20" s="171"/>
      <c r="R20" s="171"/>
      <c r="S20" s="171"/>
      <c r="T20" s="19"/>
      <c r="V20" s="171"/>
      <c r="W20" s="171"/>
      <c r="X20" s="171"/>
      <c r="Y20" s="171"/>
      <c r="Z20" s="171"/>
      <c r="AA20" s="19" t="s">
        <v>20</v>
      </c>
      <c r="AB20" s="44" t="s">
        <v>20</v>
      </c>
    </row>
    <row r="21" spans="1:28" ht="20.100000000000001" customHeight="1" x14ac:dyDescent="0.25">
      <c r="A21" s="8">
        <v>1</v>
      </c>
      <c r="B21" s="125" t="s">
        <v>97</v>
      </c>
      <c r="C21" s="124">
        <v>3.6110000000000002</v>
      </c>
      <c r="D21" s="8" t="s">
        <v>83</v>
      </c>
      <c r="E21" s="197" t="s">
        <v>106</v>
      </c>
      <c r="F21" s="115">
        <v>45899</v>
      </c>
      <c r="G21" s="115">
        <v>45901</v>
      </c>
      <c r="H21" s="115">
        <v>45908</v>
      </c>
      <c r="I21" s="115">
        <v>45909</v>
      </c>
      <c r="J21" s="115">
        <v>45912</v>
      </c>
      <c r="K21" s="23">
        <f>K4*C21</f>
        <v>3270887.1320000002</v>
      </c>
      <c r="M21" s="87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00000000000001" customHeight="1" x14ac:dyDescent="0.25">
      <c r="A22" s="8">
        <v>2</v>
      </c>
      <c r="B22" s="122" t="s">
        <v>98</v>
      </c>
      <c r="C22" s="124">
        <v>3.92</v>
      </c>
      <c r="D22" s="8" t="s">
        <v>83</v>
      </c>
      <c r="E22" s="197"/>
      <c r="F22" s="115">
        <v>45913</v>
      </c>
      <c r="G22" s="115">
        <v>45914</v>
      </c>
      <c r="H22" s="115">
        <v>45919</v>
      </c>
      <c r="I22" s="115">
        <v>45920</v>
      </c>
      <c r="J22" s="115">
        <v>45922</v>
      </c>
      <c r="K22" s="23">
        <f>K4*C22</f>
        <v>3550783.04</v>
      </c>
      <c r="M22" s="87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00000000000001" customHeight="1" x14ac:dyDescent="0.25">
      <c r="A23" s="8">
        <v>3</v>
      </c>
      <c r="B23" s="122" t="s">
        <v>99</v>
      </c>
      <c r="C23" s="124">
        <v>0.28000000000000003</v>
      </c>
      <c r="D23" s="8" t="s">
        <v>93</v>
      </c>
      <c r="E23" s="197"/>
      <c r="F23" s="115">
        <v>45910</v>
      </c>
      <c r="G23" s="115">
        <v>45911</v>
      </c>
      <c r="H23" s="115">
        <v>45912</v>
      </c>
      <c r="I23" s="115">
        <v>45912</v>
      </c>
      <c r="J23" s="115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00000000000001" customHeight="1" x14ac:dyDescent="0.25">
      <c r="A24" s="8">
        <v>4</v>
      </c>
      <c r="B24" s="122" t="s">
        <v>100</v>
      </c>
      <c r="C24" s="124">
        <v>0.313</v>
      </c>
      <c r="D24" s="8" t="s">
        <v>93</v>
      </c>
      <c r="E24" s="197"/>
      <c r="F24" s="115">
        <v>45927</v>
      </c>
      <c r="G24" s="115">
        <v>45928</v>
      </c>
      <c r="H24" s="115">
        <v>45928</v>
      </c>
      <c r="I24" s="115">
        <v>45928</v>
      </c>
      <c r="J24" s="115">
        <v>45928</v>
      </c>
      <c r="K24" s="23">
        <f>C24*K4</f>
        <v>283519.15600000002</v>
      </c>
      <c r="M24" s="87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00000000000001" customHeight="1" x14ac:dyDescent="0.25">
      <c r="A25" s="8">
        <v>5</v>
      </c>
      <c r="B25" s="122" t="s">
        <v>101</v>
      </c>
      <c r="C25" s="124">
        <v>0.31900000000000001</v>
      </c>
      <c r="D25" s="8" t="s">
        <v>93</v>
      </c>
      <c r="E25" s="197"/>
      <c r="F25" s="115">
        <v>45915</v>
      </c>
      <c r="G25" s="115">
        <v>45916</v>
      </c>
      <c r="H25" s="115">
        <v>45916</v>
      </c>
      <c r="I25" s="115">
        <v>45916</v>
      </c>
      <c r="J25" s="115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00000000000001" customHeight="1" x14ac:dyDescent="0.25">
      <c r="A26" s="8">
        <v>6</v>
      </c>
      <c r="B26" s="125" t="s">
        <v>102</v>
      </c>
      <c r="C26" s="124">
        <v>4.9580000000000002</v>
      </c>
      <c r="D26" s="8" t="s">
        <v>83</v>
      </c>
      <c r="E26" s="7" t="s">
        <v>107</v>
      </c>
      <c r="F26" s="115">
        <v>45903</v>
      </c>
      <c r="G26" s="115">
        <v>45904</v>
      </c>
      <c r="H26" s="115">
        <v>45909</v>
      </c>
      <c r="I26" s="115">
        <v>45910</v>
      </c>
      <c r="J26" s="115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00000000000001" customHeight="1" x14ac:dyDescent="0.25">
      <c r="A27" s="8">
        <v>7</v>
      </c>
      <c r="B27" s="122" t="s">
        <v>103</v>
      </c>
      <c r="C27" s="124">
        <v>1.6060000000000001</v>
      </c>
      <c r="D27" s="8" t="s">
        <v>83</v>
      </c>
      <c r="E27" s="7"/>
      <c r="F27" s="115">
        <v>45914</v>
      </c>
      <c r="G27" s="115">
        <v>45915</v>
      </c>
      <c r="H27" s="115">
        <v>45917</v>
      </c>
      <c r="I27" s="115">
        <v>45918</v>
      </c>
      <c r="J27" s="115">
        <v>45919</v>
      </c>
      <c r="K27" s="23">
        <f>C27*K4</f>
        <v>1454734.0720000002</v>
      </c>
      <c r="M27" s="87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00000000000001" customHeight="1" x14ac:dyDescent="0.25">
      <c r="A28" s="8">
        <v>8</v>
      </c>
      <c r="B28" s="122" t="s">
        <v>104</v>
      </c>
      <c r="C28" s="124">
        <v>0.32300000000000001</v>
      </c>
      <c r="D28" s="8" t="s">
        <v>93</v>
      </c>
      <c r="E28" s="7"/>
      <c r="F28" s="115">
        <v>45920</v>
      </c>
      <c r="G28" s="115">
        <v>45921</v>
      </c>
      <c r="H28" s="115">
        <v>45926</v>
      </c>
      <c r="I28" s="115">
        <v>45927</v>
      </c>
      <c r="J28" s="115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00000000000001" customHeight="1" x14ac:dyDescent="0.25">
      <c r="A29" s="8">
        <v>9</v>
      </c>
      <c r="B29" s="125" t="s">
        <v>105</v>
      </c>
      <c r="C29" s="123">
        <v>4.9470000000000001</v>
      </c>
      <c r="D29" s="8" t="s">
        <v>83</v>
      </c>
      <c r="E29" s="128"/>
      <c r="F29" s="115">
        <v>45899</v>
      </c>
      <c r="G29" s="115">
        <v>45900</v>
      </c>
      <c r="H29" s="115">
        <v>45906</v>
      </c>
      <c r="I29" s="115">
        <v>45907</v>
      </c>
      <c r="J29" s="115">
        <v>45910</v>
      </c>
      <c r="K29" s="23">
        <f>C29*K4</f>
        <v>4481051.9639999997</v>
      </c>
      <c r="M29" s="87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00000000000001" customHeight="1" x14ac:dyDescent="0.25">
      <c r="A30" s="8">
        <v>10</v>
      </c>
      <c r="B30" s="122" t="s">
        <v>108</v>
      </c>
      <c r="C30" s="123">
        <v>2.75</v>
      </c>
      <c r="D30" s="8" t="s">
        <v>83</v>
      </c>
      <c r="E30" s="128"/>
      <c r="F30" s="115">
        <v>45911</v>
      </c>
      <c r="G30" s="115">
        <v>45912</v>
      </c>
      <c r="H30" s="115">
        <v>45917</v>
      </c>
      <c r="I30" s="115">
        <v>45918</v>
      </c>
      <c r="J30" s="115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00000000000001" customHeight="1" x14ac:dyDescent="0.25">
      <c r="A31" s="8">
        <v>11</v>
      </c>
      <c r="B31" s="122" t="s">
        <v>109</v>
      </c>
      <c r="C31" s="126">
        <v>0.27</v>
      </c>
      <c r="D31" s="8" t="s">
        <v>83</v>
      </c>
      <c r="E31" s="128"/>
      <c r="F31" s="115">
        <v>45920</v>
      </c>
      <c r="G31" s="115">
        <v>45920</v>
      </c>
      <c r="H31" s="115">
        <v>45920</v>
      </c>
      <c r="I31" s="115">
        <v>45922</v>
      </c>
      <c r="J31" s="115">
        <v>45922</v>
      </c>
      <c r="K31" s="23">
        <f>C31*K4</f>
        <v>244569.24000000002</v>
      </c>
      <c r="M31" s="87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00000000000001" customHeight="1" x14ac:dyDescent="0.25">
      <c r="A32" s="8">
        <v>12</v>
      </c>
      <c r="B32" s="122" t="s">
        <v>110</v>
      </c>
      <c r="C32" s="123">
        <v>0.68799999999999994</v>
      </c>
      <c r="D32" s="8" t="s">
        <v>94</v>
      </c>
      <c r="E32" s="10"/>
      <c r="F32" s="115">
        <v>45927</v>
      </c>
      <c r="G32" s="115">
        <v>45928</v>
      </c>
      <c r="H32" s="115">
        <v>45928</v>
      </c>
      <c r="I32" s="115">
        <v>45928</v>
      </c>
      <c r="J32" s="115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00000000000001" customHeight="1" thickBot="1" x14ac:dyDescent="0.3">
      <c r="A33" s="8">
        <v>13</v>
      </c>
      <c r="B33" s="122"/>
      <c r="C33" s="123"/>
      <c r="D33" s="8"/>
      <c r="E33" s="10"/>
      <c r="F33" s="115"/>
      <c r="G33" s="115"/>
      <c r="H33" s="115"/>
      <c r="I33" s="115"/>
      <c r="J33" s="115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00000000000001" customHeight="1" x14ac:dyDescent="0.25">
      <c r="A34" s="9"/>
      <c r="B34" s="10"/>
      <c r="C34" s="127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E21:E25"/>
    <mergeCell ref="W19:W20"/>
    <mergeCell ref="K18:K19"/>
    <mergeCell ref="M18:M19"/>
    <mergeCell ref="O18:T18"/>
    <mergeCell ref="V18:AA18"/>
    <mergeCell ref="V19:V20"/>
    <mergeCell ref="A18:A20"/>
    <mergeCell ref="B18:B20"/>
    <mergeCell ref="C18:C20"/>
    <mergeCell ref="D18:D20"/>
    <mergeCell ref="E18:E20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FDN-June25</vt:lpstr>
      <vt:lpstr>Stub dispatch</vt:lpstr>
      <vt:lpstr>Erection-Dec25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Sanjib Kumar Samantaray</cp:lastModifiedBy>
  <cp:lastPrinted>2024-05-23T07:04:00Z</cp:lastPrinted>
  <dcterms:created xsi:type="dcterms:W3CDTF">2015-06-05T18:17:20Z</dcterms:created>
  <dcterms:modified xsi:type="dcterms:W3CDTF">2025-12-02T12:36:08Z</dcterms:modified>
</cp:coreProperties>
</file>