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0464" windowHeight="8532" activeTab="2"/>
  </bookViews>
  <sheets>
    <sheet name="Foundation" sheetId="1" r:id="rId1"/>
    <sheet name="Stub dispatch" sheetId="4" state="hidden" r:id="rId2"/>
    <sheet name="Erection" sheetId="2" r:id="rId3"/>
    <sheet name="Stringing" sheetId="3" r:id="rId4"/>
  </sheets>
  <definedNames>
    <definedName name="_xlnm._FilterDatabase" localSheetId="2" hidden="1">Erection!$A$18:$D$45</definedName>
    <definedName name="_xlnm._FilterDatabase" localSheetId="0" hidden="1">Foundation!$A$18:$P$34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3" l="1"/>
  <c r="K24" i="3"/>
  <c r="K23" i="3"/>
  <c r="F23" i="3"/>
  <c r="H22" i="3"/>
  <c r="I22" i="3"/>
  <c r="J22" i="3" s="1"/>
  <c r="G23" i="3" s="1"/>
  <c r="H23" i="3" s="1"/>
  <c r="I23" i="3" s="1"/>
  <c r="J23" i="3" s="1"/>
  <c r="G24" i="3" s="1"/>
  <c r="H24" i="3" s="1"/>
  <c r="I24" i="3" s="1"/>
  <c r="J24" i="3" s="1"/>
  <c r="G22" i="3"/>
  <c r="J21" i="3"/>
  <c r="I21" i="3"/>
  <c r="H21" i="3"/>
  <c r="G32" i="2" l="1"/>
  <c r="G40" i="2"/>
  <c r="G39" i="2"/>
  <c r="G38" i="2"/>
  <c r="G37" i="2"/>
  <c r="G36" i="2"/>
  <c r="G35" i="2"/>
  <c r="G34" i="2"/>
  <c r="G33" i="2"/>
  <c r="G31" i="2"/>
  <c r="G30" i="2"/>
  <c r="G29" i="2"/>
  <c r="G28" i="2"/>
  <c r="G27" i="2"/>
  <c r="G26" i="2"/>
  <c r="G25" i="2"/>
  <c r="G24" i="2"/>
  <c r="G23" i="2"/>
  <c r="G22" i="2"/>
  <c r="G21" i="2"/>
  <c r="E9" i="1" l="1"/>
  <c r="O32" i="1"/>
  <c r="O31" i="1"/>
  <c r="O30" i="1"/>
  <c r="O29" i="1"/>
  <c r="O28" i="1"/>
  <c r="O27" i="1"/>
  <c r="O26" i="1"/>
  <c r="O25" i="1"/>
  <c r="O24" i="1"/>
  <c r="O23" i="1"/>
  <c r="O22" i="1"/>
  <c r="O21" i="1"/>
  <c r="N32" i="1"/>
  <c r="N31" i="1"/>
  <c r="N30" i="1"/>
  <c r="N29" i="1"/>
  <c r="N28" i="1"/>
  <c r="N27" i="1"/>
  <c r="N26" i="1"/>
  <c r="N25" i="1"/>
  <c r="N24" i="1"/>
  <c r="N23" i="1"/>
  <c r="N22" i="1"/>
  <c r="N21" i="1"/>
  <c r="H32" i="1"/>
  <c r="H31" i="1"/>
  <c r="H30" i="1"/>
  <c r="H29" i="1"/>
  <c r="H28" i="1"/>
  <c r="I28" i="1"/>
  <c r="M28" i="1"/>
  <c r="I29" i="1" s="1"/>
  <c r="J29" i="1" s="1"/>
  <c r="K29" i="1" s="1"/>
  <c r="L29" i="1" s="1"/>
  <c r="M29" i="1" s="1"/>
  <c r="I30" i="1" s="1"/>
  <c r="J30" i="1" s="1"/>
  <c r="K30" i="1" s="1"/>
  <c r="L30" i="1" s="1"/>
  <c r="M30" i="1" s="1"/>
  <c r="L26" i="1"/>
  <c r="L25" i="1"/>
  <c r="L24" i="1"/>
  <c r="L23" i="1"/>
  <c r="L22" i="1"/>
  <c r="L21" i="1"/>
  <c r="K26" i="1"/>
  <c r="K25" i="1"/>
  <c r="K24" i="1"/>
  <c r="K23" i="1"/>
  <c r="K22" i="1"/>
  <c r="K21" i="1"/>
  <c r="J26" i="1"/>
  <c r="J25" i="1"/>
  <c r="J24" i="1"/>
  <c r="J23" i="1"/>
  <c r="J22" i="1"/>
  <c r="J21" i="1"/>
  <c r="J28" i="1"/>
  <c r="K28" i="1" s="1"/>
  <c r="L28" i="1" s="1"/>
  <c r="I27" i="1"/>
  <c r="J27" i="1" s="1"/>
  <c r="K27" i="1" s="1"/>
  <c r="L27" i="1" s="1"/>
  <c r="I26" i="1"/>
  <c r="I25" i="1"/>
  <c r="I24" i="1"/>
  <c r="I23" i="1"/>
  <c r="I22" i="1"/>
  <c r="I21" i="1"/>
  <c r="I31" i="1" l="1"/>
  <c r="J31" i="1" s="1"/>
  <c r="K31" i="1" s="1"/>
  <c r="L31" i="1" s="1"/>
  <c r="M31" i="1" s="1"/>
  <c r="I32" i="1" s="1"/>
  <c r="J32" i="1" s="1"/>
  <c r="K32" i="1" s="1"/>
  <c r="L32" i="1" s="1"/>
  <c r="M32" i="1" s="1"/>
  <c r="K22" i="3"/>
  <c r="K21" i="3"/>
  <c r="AD31" i="1" l="1"/>
  <c r="Y38" i="2" l="1"/>
  <c r="X27" i="2" l="1"/>
  <c r="X37" i="2" l="1"/>
  <c r="W35" i="2" l="1"/>
  <c r="AB24" i="1" l="1"/>
  <c r="W36" i="2" l="1"/>
  <c r="AB28" i="1"/>
  <c r="V26" i="2" l="1"/>
  <c r="AA30" i="1" l="1"/>
  <c r="AA27" i="1" l="1"/>
  <c r="AA22" i="1" l="1"/>
  <c r="AB22" i="1"/>
  <c r="AC22" i="1"/>
  <c r="AD22" i="1"/>
  <c r="AE22" i="1"/>
  <c r="AA23" i="1"/>
  <c r="AB23" i="1"/>
  <c r="AC23" i="1"/>
  <c r="AD23" i="1"/>
  <c r="AE23" i="1"/>
  <c r="AA24" i="1"/>
  <c r="AC24" i="1"/>
  <c r="AD24" i="1"/>
  <c r="AE24" i="1"/>
  <c r="AA25" i="1"/>
  <c r="AB25" i="1"/>
  <c r="AC25" i="1"/>
  <c r="AD25" i="1"/>
  <c r="AE25" i="1"/>
  <c r="AA26" i="1"/>
  <c r="AB26" i="1"/>
  <c r="AC26" i="1"/>
  <c r="AD26" i="1"/>
  <c r="AE26" i="1"/>
  <c r="AB27" i="1"/>
  <c r="AC27" i="1"/>
  <c r="AD27" i="1"/>
  <c r="AE27" i="1"/>
  <c r="AA28" i="1"/>
  <c r="AC28" i="1"/>
  <c r="AD28" i="1"/>
  <c r="AE28" i="1"/>
  <c r="AA29" i="1"/>
  <c r="AB29" i="1"/>
  <c r="AC29" i="1"/>
  <c r="AD29" i="1"/>
  <c r="AE29" i="1"/>
  <c r="AB30" i="1"/>
  <c r="AC30" i="1"/>
  <c r="AD30" i="1"/>
  <c r="AE30" i="1"/>
  <c r="AA31" i="1"/>
  <c r="AB31" i="1"/>
  <c r="AC31" i="1"/>
  <c r="AE31" i="1"/>
  <c r="AA32" i="1"/>
  <c r="AB32" i="1"/>
  <c r="AC32" i="1"/>
  <c r="AD32" i="1"/>
  <c r="AE32" i="1"/>
  <c r="AA33" i="1"/>
  <c r="AB33" i="1"/>
  <c r="AC33" i="1"/>
  <c r="AD33" i="1"/>
  <c r="AE33" i="1"/>
  <c r="AF28" i="1" l="1"/>
  <c r="AF30" i="1"/>
  <c r="AF26" i="1"/>
  <c r="AG26" i="1" s="1"/>
  <c r="AF29" i="1"/>
  <c r="AF22" i="1"/>
  <c r="AG22" i="1" s="1"/>
  <c r="AF33" i="1"/>
  <c r="AF23" i="1"/>
  <c r="AF27" i="1"/>
  <c r="AG27" i="1" s="1"/>
  <c r="AF24" i="1"/>
  <c r="AF32" i="1"/>
  <c r="AF31" i="1"/>
  <c r="AF25" i="1"/>
  <c r="W34" i="2" l="1"/>
  <c r="W31" i="2"/>
  <c r="W38" i="2" l="1"/>
  <c r="V33" i="2" l="1"/>
  <c r="V29" i="2"/>
  <c r="Y34" i="1" l="1"/>
  <c r="AA34" i="1"/>
  <c r="AB34" i="1"/>
  <c r="AC34" i="1"/>
  <c r="AD34" i="1"/>
  <c r="AE34" i="1"/>
  <c r="AF34" i="1" l="1"/>
  <c r="AG34" i="1" s="1"/>
  <c r="X34" i="2" l="1"/>
  <c r="X30" i="2" l="1"/>
  <c r="W26" i="2" l="1"/>
  <c r="W29" i="2" l="1"/>
  <c r="V37" i="2" l="1"/>
  <c r="V32" i="2" l="1"/>
  <c r="Y29" i="1" l="1"/>
  <c r="Y30" i="1"/>
  <c r="Y31" i="1"/>
  <c r="Y32" i="1"/>
  <c r="Y33" i="1"/>
  <c r="AG32" i="1" l="1"/>
  <c r="AG31" i="1"/>
  <c r="AG33" i="1"/>
  <c r="V28" i="2" l="1"/>
  <c r="X36" i="1" l="1"/>
  <c r="E15" i="1" s="1"/>
  <c r="F15" i="1" s="1"/>
  <c r="W36" i="1"/>
  <c r="E14" i="1" s="1"/>
  <c r="F14" i="1" s="1"/>
  <c r="V36" i="1"/>
  <c r="E13" i="1" s="1"/>
  <c r="F13" i="1" s="1"/>
  <c r="U36" i="1"/>
  <c r="E12" i="1" s="1"/>
  <c r="F12" i="1" s="1"/>
  <c r="T36" i="1"/>
  <c r="E11" i="1" s="1"/>
  <c r="P36" i="1"/>
  <c r="F36" i="1"/>
  <c r="E36" i="1"/>
  <c r="AE35" i="1"/>
  <c r="AD35" i="1"/>
  <c r="AC35" i="1"/>
  <c r="AB35" i="1"/>
  <c r="AA35" i="1"/>
  <c r="Y35" i="1"/>
  <c r="Y28" i="1"/>
  <c r="Y27" i="1"/>
  <c r="Y26" i="1"/>
  <c r="Y25" i="1"/>
  <c r="Y24" i="1"/>
  <c r="Y23" i="1"/>
  <c r="AE21" i="1"/>
  <c r="AD21" i="1"/>
  <c r="AC21" i="1"/>
  <c r="AB21" i="1"/>
  <c r="AA21" i="1"/>
  <c r="Y21" i="1"/>
  <c r="E7" i="1"/>
  <c r="P40" i="1" l="1"/>
  <c r="AE36" i="1"/>
  <c r="G15" i="1" s="1"/>
  <c r="AF35" i="1"/>
  <c r="AG35" i="1" s="1"/>
  <c r="AG29" i="1"/>
  <c r="AG23" i="1"/>
  <c r="AA36" i="1"/>
  <c r="G11" i="1" s="1"/>
  <c r="AG28" i="1"/>
  <c r="AG30" i="1"/>
  <c r="AG24" i="1"/>
  <c r="G9" i="1"/>
  <c r="E16" i="1"/>
  <c r="F16" i="1" s="1"/>
  <c r="AC36" i="1"/>
  <c r="G13" i="1" s="1"/>
  <c r="AD36" i="1"/>
  <c r="G14" i="1" s="1"/>
  <c r="AG25" i="1"/>
  <c r="Y36" i="1"/>
  <c r="F11" i="1"/>
  <c r="AB36" i="1"/>
  <c r="G12" i="1" s="1"/>
  <c r="AF21" i="1"/>
  <c r="V34" i="2"/>
  <c r="Y34" i="2"/>
  <c r="Z34" i="2"/>
  <c r="V35" i="2"/>
  <c r="X35" i="2"/>
  <c r="Y35" i="2"/>
  <c r="Z35" i="2"/>
  <c r="V36" i="2"/>
  <c r="X36" i="2"/>
  <c r="Y36" i="2"/>
  <c r="Z36" i="2"/>
  <c r="W37" i="2"/>
  <c r="Y37" i="2"/>
  <c r="Z37" i="2"/>
  <c r="V38" i="2"/>
  <c r="X38" i="2"/>
  <c r="Z38" i="2"/>
  <c r="V39" i="2"/>
  <c r="W39" i="2"/>
  <c r="X39" i="2"/>
  <c r="Y39" i="2"/>
  <c r="Z39" i="2"/>
  <c r="V40" i="2"/>
  <c r="W40" i="2"/>
  <c r="X40" i="2"/>
  <c r="Y40" i="2"/>
  <c r="Z40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H15" i="1" l="1"/>
  <c r="H11" i="1"/>
  <c r="H12" i="1"/>
  <c r="H14" i="1"/>
  <c r="H13" i="1"/>
  <c r="AG21" i="1"/>
  <c r="AG36" i="1" s="1"/>
  <c r="AF36" i="1"/>
  <c r="G16" i="1"/>
  <c r="H16" i="1" s="1"/>
  <c r="AA40" i="2"/>
  <c r="AB40" i="2" s="1"/>
  <c r="AA39" i="2"/>
  <c r="AB39" i="2" s="1"/>
  <c r="AA36" i="2"/>
  <c r="AB36" i="2" s="1"/>
  <c r="AA34" i="2"/>
  <c r="AB34" i="2" s="1"/>
  <c r="AA38" i="2"/>
  <c r="AB38" i="2" s="1"/>
  <c r="AA37" i="2"/>
  <c r="AB37" i="2" s="1"/>
  <c r="AA35" i="2"/>
  <c r="AB35" i="2" s="1"/>
  <c r="V31" i="2"/>
  <c r="X29" i="2" l="1"/>
  <c r="Y29" i="2"/>
  <c r="Z29" i="2"/>
  <c r="V30" i="2"/>
  <c r="W30" i="2"/>
  <c r="Y30" i="2"/>
  <c r="Z30" i="2"/>
  <c r="X31" i="2"/>
  <c r="Y31" i="2"/>
  <c r="Z31" i="2"/>
  <c r="W32" i="2"/>
  <c r="X32" i="2"/>
  <c r="Y32" i="2"/>
  <c r="Z32" i="2"/>
  <c r="AA32" i="2" l="1"/>
  <c r="AB32" i="2" s="1"/>
  <c r="AA29" i="2"/>
  <c r="AB29" i="2" s="1"/>
  <c r="AA31" i="2"/>
  <c r="AB31" i="2" s="1"/>
  <c r="AA30" i="2"/>
  <c r="AB30" i="2" s="1"/>
  <c r="X26" i="2" l="1"/>
  <c r="Y26" i="2"/>
  <c r="Z26" i="2"/>
  <c r="V27" i="2"/>
  <c r="W27" i="2"/>
  <c r="Y27" i="2"/>
  <c r="Z27" i="2"/>
  <c r="W28" i="2"/>
  <c r="X28" i="2"/>
  <c r="Y28" i="2"/>
  <c r="Z28" i="2"/>
  <c r="W33" i="2"/>
  <c r="X33" i="2"/>
  <c r="Y33" i="2"/>
  <c r="Z33" i="2"/>
  <c r="AA26" i="2" l="1"/>
  <c r="AB26" i="2" s="1"/>
  <c r="AA28" i="2"/>
  <c r="AB28" i="2" s="1"/>
  <c r="AA27" i="2"/>
  <c r="AB27" i="2" s="1"/>
  <c r="AA33" i="2"/>
  <c r="AB33" i="2" s="1"/>
  <c r="P6" i="4" l="1"/>
  <c r="T27" i="3" l="1"/>
  <c r="T26" i="3"/>
  <c r="T25" i="3"/>
  <c r="T24" i="3"/>
  <c r="T23" i="3"/>
  <c r="T22" i="3"/>
  <c r="T21" i="3"/>
  <c r="T22" i="2"/>
  <c r="T21" i="2"/>
  <c r="C28" i="3"/>
  <c r="T28" i="3" l="1"/>
  <c r="S28" i="3"/>
  <c r="E15" i="3" s="1"/>
  <c r="F15" i="3" s="1"/>
  <c r="R28" i="3"/>
  <c r="Q28" i="3"/>
  <c r="P28" i="3"/>
  <c r="O28" i="3"/>
  <c r="E11" i="3" s="1"/>
  <c r="F11" i="3" s="1"/>
  <c r="K28" i="3"/>
  <c r="G9" i="3" s="1"/>
  <c r="Z27" i="3"/>
  <c r="Y27" i="3"/>
  <c r="X27" i="3"/>
  <c r="W27" i="3"/>
  <c r="V27" i="3"/>
  <c r="Z26" i="3"/>
  <c r="Y26" i="3"/>
  <c r="X26" i="3"/>
  <c r="AA26" i="3" s="1"/>
  <c r="AB26" i="3" s="1"/>
  <c r="W26" i="3"/>
  <c r="V26" i="3"/>
  <c r="Z25" i="3"/>
  <c r="AA25" i="3" s="1"/>
  <c r="AB25" i="3" s="1"/>
  <c r="Y25" i="3"/>
  <c r="X25" i="3"/>
  <c r="W25" i="3"/>
  <c r="V25" i="3"/>
  <c r="Z24" i="3"/>
  <c r="Y24" i="3"/>
  <c r="AA24" i="3" s="1"/>
  <c r="AB24" i="3" s="1"/>
  <c r="X24" i="3"/>
  <c r="W24" i="3"/>
  <c r="V24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W21" i="3"/>
  <c r="E14" i="3"/>
  <c r="F14" i="3" s="1"/>
  <c r="E13" i="3"/>
  <c r="F13" i="3" s="1"/>
  <c r="E12" i="3"/>
  <c r="F12" i="3" s="1"/>
  <c r="E7" i="3"/>
  <c r="D45" i="2"/>
  <c r="T45" i="2"/>
  <c r="S45" i="2"/>
  <c r="E15" i="2" s="1"/>
  <c r="F15" i="2" s="1"/>
  <c r="R45" i="2"/>
  <c r="E14" i="2" s="1"/>
  <c r="F14" i="2" s="1"/>
  <c r="Q45" i="2"/>
  <c r="E13" i="2" s="1"/>
  <c r="F13" i="2" s="1"/>
  <c r="P45" i="2"/>
  <c r="E12" i="2" s="1"/>
  <c r="F12" i="2" s="1"/>
  <c r="O45" i="2"/>
  <c r="E11" i="2" s="1"/>
  <c r="K45" i="2"/>
  <c r="G9" i="2" s="1"/>
  <c r="Z25" i="2"/>
  <c r="Y25" i="2"/>
  <c r="X25" i="2"/>
  <c r="W25" i="2"/>
  <c r="V25" i="2"/>
  <c r="Z24" i="2"/>
  <c r="Y24" i="2"/>
  <c r="X24" i="2"/>
  <c r="W24" i="2"/>
  <c r="V24" i="2"/>
  <c r="Z23" i="2"/>
  <c r="Y23" i="2"/>
  <c r="X23" i="2"/>
  <c r="W23" i="2"/>
  <c r="V23" i="2"/>
  <c r="Z22" i="2"/>
  <c r="Y22" i="2"/>
  <c r="X22" i="2"/>
  <c r="W22" i="2"/>
  <c r="V22" i="2"/>
  <c r="Z21" i="2"/>
  <c r="Y21" i="2"/>
  <c r="X21" i="2"/>
  <c r="W21" i="2"/>
  <c r="V21" i="2"/>
  <c r="E7" i="2"/>
  <c r="Y28" i="3" l="1"/>
  <c r="G14" i="3" s="1"/>
  <c r="AA22" i="3"/>
  <c r="AB22" i="3" s="1"/>
  <c r="AA27" i="3"/>
  <c r="AB27" i="3" s="1"/>
  <c r="H14" i="3"/>
  <c r="Z28" i="3"/>
  <c r="G15" i="3" s="1"/>
  <c r="H15" i="3" s="1"/>
  <c r="X28" i="3"/>
  <c r="G13" i="3" s="1"/>
  <c r="H13" i="3" s="1"/>
  <c r="AA21" i="2"/>
  <c r="AB21" i="2" s="1"/>
  <c r="E16" i="2"/>
  <c r="F16" i="2" s="1"/>
  <c r="AA22" i="2"/>
  <c r="AB22" i="2" s="1"/>
  <c r="AA24" i="2"/>
  <c r="AB24" i="2" s="1"/>
  <c r="F11" i="2"/>
  <c r="AA23" i="3"/>
  <c r="AB23" i="3" s="1"/>
  <c r="W28" i="3"/>
  <c r="G12" i="3" s="1"/>
  <c r="H12" i="3" s="1"/>
  <c r="AA21" i="3"/>
  <c r="AB21" i="3" s="1"/>
  <c r="V28" i="3"/>
  <c r="G11" i="3" s="1"/>
  <c r="E16" i="3"/>
  <c r="F16" i="3" s="1"/>
  <c r="AA23" i="2"/>
  <c r="AB23" i="2" s="1"/>
  <c r="X45" i="2"/>
  <c r="G13" i="2" s="1"/>
  <c r="H13" i="2" s="1"/>
  <c r="AA25" i="2"/>
  <c r="AB25" i="2" s="1"/>
  <c r="Y45" i="2"/>
  <c r="G14" i="2" s="1"/>
  <c r="H14" i="2" s="1"/>
  <c r="Z45" i="2"/>
  <c r="G15" i="2" s="1"/>
  <c r="H15" i="2" s="1"/>
  <c r="W45" i="2"/>
  <c r="G12" i="2" s="1"/>
  <c r="H12" i="2" s="1"/>
  <c r="V45" i="2"/>
  <c r="G11" i="2" s="1"/>
  <c r="AB28" i="3" l="1"/>
  <c r="AA28" i="3"/>
  <c r="H11" i="2"/>
  <c r="G16" i="3"/>
  <c r="H16" i="3" s="1"/>
  <c r="H11" i="3"/>
  <c r="AA45" i="2"/>
  <c r="G16" i="2"/>
  <c r="H16" i="2" s="1"/>
  <c r="AB45" i="2"/>
</calcChain>
</file>

<file path=xl/sharedStrings.xml><?xml version="1.0" encoding="utf-8"?>
<sst xmlns="http://schemas.openxmlformats.org/spreadsheetml/2006/main" count="304" uniqueCount="150">
  <si>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</si>
  <si>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</si>
  <si>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</si>
  <si>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</si>
  <si>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</si>
  <si>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</si>
  <si>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</si>
  <si>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</si>
  <si>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</si>
  <si>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</si>
  <si>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</si>
  <si>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</si>
  <si>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</si>
  <si>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</si>
  <si>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</si>
  <si>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</si>
  <si>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</si>
  <si>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</si>
  <si>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</si>
  <si>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</si>
  <si>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</si>
  <si>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</si>
  <si>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</si>
  <si>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</si>
  <si>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</si>
  <si>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</si>
  <si>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</si>
  <si>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</si>
  <si>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</si>
  <si>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</si>
  <si>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</si>
  <si>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</si>
  <si>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</si>
  <si>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</si>
  <si>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</si>
  <si>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</si>
  <si>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</si>
  <si>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</si>
  <si>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Erection</t>
  </si>
  <si>
    <t>Tonnage
(MT)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</si>
  <si>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</si>
  <si>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</si>
  <si>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</si>
  <si>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</si>
  <si>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</si>
  <si>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</si>
  <si>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</si>
  <si>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</si>
  <si>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</si>
  <si>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</si>
  <si>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</si>
  <si>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</si>
  <si>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</si>
  <si>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</si>
  <si>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</si>
  <si>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</si>
  <si>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</si>
  <si>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</si>
  <si>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</si>
  <si>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</si>
  <si>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</si>
  <si>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</si>
  <si>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</si>
  <si>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</si>
  <si>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</si>
  <si>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</si>
  <si>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</si>
  <si>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</si>
  <si>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</si>
  <si>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</si>
  <si>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</si>
  <si>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</si>
  <si>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</si>
  <si>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</si>
  <si>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</si>
  <si>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</si>
  <si>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Total Reve</t>
  </si>
  <si>
    <t>Rate</t>
  </si>
  <si>
    <t>STUB Setting-</t>
  </si>
  <si>
    <t>Earthing-</t>
  </si>
  <si>
    <t>55/6</t>
  </si>
  <si>
    <t>1DA-3</t>
  </si>
  <si>
    <t>AP57</t>
  </si>
  <si>
    <t>1DC1+6</t>
  </si>
  <si>
    <t>59/1</t>
  </si>
  <si>
    <t>60/3</t>
  </si>
  <si>
    <t>1DA+0</t>
  </si>
  <si>
    <t>63/0</t>
  </si>
  <si>
    <t>1DD60+0</t>
  </si>
  <si>
    <t>AP38</t>
  </si>
  <si>
    <t>1DD60+6</t>
  </si>
  <si>
    <t>55/5</t>
  </si>
  <si>
    <t>48A/1</t>
  </si>
  <si>
    <t>1DA+9</t>
  </si>
  <si>
    <t>48A/2</t>
  </si>
  <si>
    <t>1DA-1.5</t>
  </si>
  <si>
    <t>AP49</t>
  </si>
  <si>
    <t>1DC1+3</t>
  </si>
  <si>
    <t>AP50</t>
  </si>
  <si>
    <t>1DC1+0</t>
  </si>
  <si>
    <t>AP51</t>
  </si>
  <si>
    <t>1DB1-3</t>
  </si>
  <si>
    <t>DFR</t>
  </si>
  <si>
    <t>Gang- 01</t>
  </si>
  <si>
    <t>Gang-02</t>
  </si>
  <si>
    <t>Completed (Oct-25)</t>
  </si>
  <si>
    <t>TA-418</t>
  </si>
  <si>
    <t>765KV D/C  KOPPAL  II(PS) - RAICHUR TL  (Part-1)</t>
  </si>
  <si>
    <t>33/0</t>
  </si>
  <si>
    <t>DD45+18</t>
  </si>
  <si>
    <t>33/4</t>
  </si>
  <si>
    <t>DA+3</t>
  </si>
  <si>
    <t>43/2</t>
  </si>
  <si>
    <t>DA+0</t>
  </si>
  <si>
    <t>43/3</t>
  </si>
  <si>
    <t>DA-3</t>
  </si>
  <si>
    <t>44/1</t>
  </si>
  <si>
    <t>38/0</t>
  </si>
  <si>
    <t>DD60+6</t>
  </si>
  <si>
    <t>46/10</t>
  </si>
  <si>
    <t>46/6</t>
  </si>
  <si>
    <t>46/11</t>
  </si>
  <si>
    <t>DA-1.5</t>
  </si>
  <si>
    <t>46/1</t>
  </si>
  <si>
    <t>48/0</t>
  </si>
  <si>
    <t>DB2+0</t>
  </si>
  <si>
    <t>39/0</t>
  </si>
  <si>
    <t>47/0</t>
  </si>
  <si>
    <t>DC1+0</t>
  </si>
  <si>
    <t>47/1</t>
  </si>
  <si>
    <t>54/2</t>
  </si>
  <si>
    <t>52/1</t>
  </si>
  <si>
    <t>52/2</t>
  </si>
  <si>
    <t>56/1</t>
  </si>
  <si>
    <t>DA+6</t>
  </si>
  <si>
    <t>56/2</t>
  </si>
  <si>
    <t>56/3</t>
  </si>
  <si>
    <t>DB1+6</t>
  </si>
  <si>
    <t>Team-01</t>
  </si>
  <si>
    <t>Team-02</t>
  </si>
  <si>
    <t>Team- 03</t>
  </si>
  <si>
    <t>Team - 04</t>
  </si>
  <si>
    <t>36/0 - 36/1</t>
  </si>
  <si>
    <t>35/0 - 36/0</t>
  </si>
  <si>
    <t>34/0 - 35/0</t>
  </si>
  <si>
    <t>40/0 - 41/0</t>
  </si>
  <si>
    <t>MANUAL</t>
  </si>
  <si>
    <t>TSE</t>
  </si>
  <si>
    <t>GANG - 01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</si>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</sst>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 * #,##0.00_ ;_ * \-#,##0.00_ ;_ * &quot;-&quot;??_ ;_ @_ "/>
    <numFmt numFmtId="164" formatCode="_ * #,##0_ ;_ * \-#,##0_ ;_ * &quot;-&quot;??_ ;_ @_ "/>
    <numFmt numFmtId="165" formatCode="[$-409]d\-mmm\-yy;@"/>
    <numFmt numFmtId="166" formatCode="[$-F400]h:mm:ss\ AM/PM"/>
    <numFmt numFmtId="167" formatCode="[$-409]d/mmm/yy;@"/>
    <numFmt numFmtId="168" formatCode="0.0"/>
    <numFmt numFmtId="169" formatCode="#,##0.000"/>
    <numFmt numFmtId="170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7" fontId="1" fillId="0" borderId="0"/>
    <xf numFmtId="167" fontId="13" fillId="0" borderId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</cellStyleXfs>
  <cellXfs count="20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43" fontId="0" fillId="0" borderId="3" xfId="1" applyFont="1" applyBorder="1" applyAlignment="1">
      <alignment vertical="center"/>
    </xf>
    <xf numFmtId="43" fontId="0" fillId="0" borderId="2" xfId="1" applyFont="1" applyBorder="1" applyAlignment="1">
      <alignment vertical="center"/>
    </xf>
    <xf numFmtId="43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43" fontId="0" fillId="0" borderId="1" xfId="0" applyNumberFormat="1" applyBorder="1" applyAlignment="1">
      <alignment vertical="center"/>
    </xf>
    <xf numFmtId="43" fontId="0" fillId="0" borderId="2" xfId="0" applyNumberForma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2" xfId="1" applyNumberFormat="1" applyFont="1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43" fontId="0" fillId="0" borderId="0" xfId="0" applyNumberForma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10" fillId="0" borderId="0" xfId="1" applyNumberFormat="1" applyFont="1" applyAlignment="1">
      <alignment vertical="center"/>
    </xf>
    <xf numFmtId="43" fontId="3" fillId="0" borderId="3" xfId="1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4" fontId="0" fillId="4" borderId="0" xfId="1" applyNumberFormat="1" applyFont="1" applyFill="1" applyAlignment="1">
      <alignment horizontal="center" vertical="center"/>
    </xf>
    <xf numFmtId="164" fontId="10" fillId="4" borderId="0" xfId="1" applyNumberFormat="1" applyFont="1" applyFill="1" applyAlignment="1">
      <alignment horizontal="center" vertical="center"/>
    </xf>
    <xf numFmtId="164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0" fontId="0" fillId="0" borderId="4" xfId="0" applyBorder="1" applyAlignment="1">
      <alignment vertical="center"/>
    </xf>
    <xf numFmtId="164" fontId="0" fillId="0" borderId="4" xfId="1" applyNumberFormat="1" applyFont="1" applyBorder="1" applyAlignment="1">
      <alignment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4" fontId="3" fillId="5" borderId="0" xfId="1" applyNumberFormat="1" applyFont="1" applyFill="1" applyAlignment="1">
      <alignment vertical="center"/>
    </xf>
    <xf numFmtId="164" fontId="3" fillId="4" borderId="0" xfId="1" applyNumberFormat="1" applyFont="1" applyFill="1" applyAlignment="1">
      <alignment horizontal="center" vertical="center"/>
    </xf>
    <xf numFmtId="164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6" fontId="17" fillId="6" borderId="14" xfId="3" applyNumberFormat="1" applyFont="1" applyFill="1" applyBorder="1" applyAlignment="1">
      <alignment horizontal="center" vertical="center" wrapText="1"/>
    </xf>
    <xf numFmtId="165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4" applyNumberFormat="1" applyFont="1" applyFill="1" applyBorder="1" applyAlignment="1">
      <alignment horizontal="center" vertical="center" wrapText="1"/>
    </xf>
    <xf numFmtId="167" fontId="18" fillId="0" borderId="1" xfId="5" applyFont="1" applyBorder="1" applyAlignment="1">
      <alignment horizontal="center" vertical="center" wrapText="1"/>
    </xf>
    <xf numFmtId="165" fontId="19" fillId="0" borderId="1" xfId="6" applyNumberFormat="1" applyFont="1" applyBorder="1" applyAlignment="1">
      <alignment horizontal="center" vertical="center" wrapText="1"/>
    </xf>
    <xf numFmtId="165" fontId="18" fillId="0" borderId="1" xfId="6" applyNumberFormat="1" applyFont="1" applyBorder="1" applyAlignment="1">
      <alignment horizontal="center" vertical="center" wrapText="1"/>
    </xf>
    <xf numFmtId="165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8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43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165" fontId="11" fillId="0" borderId="1" xfId="0" applyNumberFormat="1" applyFont="1" applyBorder="1" applyAlignment="1">
      <alignment horizontal="center" vertical="center" wrapText="1"/>
    </xf>
    <xf numFmtId="43" fontId="11" fillId="0" borderId="3" xfId="1" applyFont="1" applyBorder="1" applyAlignment="1">
      <alignment vertical="center"/>
    </xf>
    <xf numFmtId="43" fontId="12" fillId="0" borderId="3" xfId="1" applyFont="1" applyBorder="1" applyAlignment="1">
      <alignment vertical="center"/>
    </xf>
    <xf numFmtId="43" fontId="12" fillId="0" borderId="1" xfId="1" applyFont="1" applyBorder="1" applyAlignment="1">
      <alignment vertical="center"/>
    </xf>
    <xf numFmtId="43" fontId="12" fillId="0" borderId="3" xfId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43" fontId="12" fillId="0" borderId="0" xfId="0" applyNumberFormat="1" applyFont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4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64" fontId="0" fillId="0" borderId="15" xfId="1" applyNumberFormat="1" applyFont="1" applyBorder="1" applyAlignment="1">
      <alignment vertical="center"/>
    </xf>
    <xf numFmtId="43" fontId="11" fillId="0" borderId="15" xfId="1" applyFont="1" applyBorder="1" applyAlignment="1">
      <alignment vertical="center"/>
    </xf>
    <xf numFmtId="43" fontId="12" fillId="0" borderId="15" xfId="1" applyFont="1" applyBorder="1" applyAlignment="1">
      <alignment vertical="center"/>
    </xf>
    <xf numFmtId="43" fontId="11" fillId="0" borderId="16" xfId="0" applyNumberFormat="1" applyFont="1" applyBorder="1" applyAlignment="1">
      <alignment vertical="center"/>
    </xf>
    <xf numFmtId="43" fontId="11" fillId="0" borderId="17" xfId="0" applyNumberFormat="1" applyFont="1" applyBorder="1" applyAlignment="1">
      <alignment vertical="center"/>
    </xf>
    <xf numFmtId="43" fontId="0" fillId="0" borderId="0" xfId="0" applyNumberFormat="1" applyAlignment="1">
      <alignment horizontal="center" vertical="center" wrapText="1"/>
    </xf>
    <xf numFmtId="164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14" fillId="0" borderId="1" xfId="3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" fontId="11" fillId="0" borderId="19" xfId="0" applyNumberFormat="1" applyFont="1" applyBorder="1" applyAlignment="1">
      <alignment vertical="center"/>
    </xf>
    <xf numFmtId="1" fontId="11" fillId="0" borderId="20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0" fontId="0" fillId="0" borderId="1" xfId="0" applyNumberForma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69" fontId="0" fillId="0" borderId="9" xfId="0" applyNumberFormat="1" applyFill="1" applyBorder="1" applyAlignment="1">
      <alignment horizontal="center" vertical="center"/>
    </xf>
    <xf numFmtId="14" fontId="13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4" fontId="0" fillId="0" borderId="4" xfId="0" applyNumberFormat="1" applyFill="1" applyBorder="1" applyAlignment="1">
      <alignment vertical="center"/>
    </xf>
    <xf numFmtId="43" fontId="3" fillId="0" borderId="3" xfId="1" applyFont="1" applyFill="1" applyBorder="1" applyAlignment="1">
      <alignment vertical="center"/>
    </xf>
    <xf numFmtId="43" fontId="0" fillId="0" borderId="1" xfId="0" applyNumberFormat="1" applyFill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70" fontId="23" fillId="0" borderId="1" xfId="0" applyNumberFormat="1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4" fontId="0" fillId="9" borderId="15" xfId="0" applyNumberForma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4" fontId="0" fillId="9" borderId="2" xfId="0" applyNumberFormat="1" applyFill="1" applyBorder="1" applyAlignment="1">
      <alignment horizontal="center" vertical="center" wrapText="1"/>
    </xf>
    <xf numFmtId="1" fontId="11" fillId="0" borderId="19" xfId="0" applyNumberFormat="1" applyFont="1" applyFill="1" applyBorder="1" applyAlignment="1">
      <alignment horizontal="center" vertical="center"/>
    </xf>
    <xf numFmtId="1" fontId="11" fillId="0" borderId="19" xfId="0" applyNumberFormat="1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0" fillId="9" borderId="15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14" fontId="0" fillId="9" borderId="3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3" fontId="0" fillId="0" borderId="3" xfId="1" applyNumberFormat="1" applyFont="1" applyBorder="1" applyAlignment="1">
      <alignment vertical="center"/>
    </xf>
    <xf numFmtId="43" fontId="0" fillId="4" borderId="0" xfId="1" applyNumberFormat="1" applyFont="1" applyFill="1" applyAlignment="1">
      <alignment horizontal="center" vertical="center"/>
    </xf>
    <xf numFmtId="43" fontId="10" fillId="4" borderId="0" xfId="1" applyNumberFormat="1" applyFont="1" applyFill="1" applyAlignment="1">
      <alignment horizontal="center" vertical="center"/>
    </xf>
    <xf numFmtId="43" fontId="3" fillId="0" borderId="0" xfId="1" applyNumberFormat="1" applyFont="1" applyAlignment="1">
      <alignment horizontal="center" vertical="center"/>
    </xf>
    <xf numFmtId="43" fontId="3" fillId="4" borderId="0" xfId="1" applyNumberFormat="1" applyFont="1" applyFill="1" applyAlignment="1">
      <alignment vertical="center"/>
    </xf>
    <xf numFmtId="43" fontId="0" fillId="0" borderId="0" xfId="1" applyNumberFormat="1" applyFont="1" applyAlignment="1">
      <alignment vertical="center"/>
    </xf>
    <xf numFmtId="43" fontId="10" fillId="0" borderId="0" xfId="1" applyNumberFormat="1" applyFont="1" applyAlignment="1">
      <alignment vertical="center"/>
    </xf>
    <xf numFmtId="43" fontId="0" fillId="0" borderId="1" xfId="1" applyNumberFormat="1" applyFont="1" applyBorder="1" applyAlignment="1">
      <alignment vertical="center"/>
    </xf>
    <xf numFmtId="43" fontId="0" fillId="0" borderId="2" xfId="1" applyNumberFormat="1" applyFont="1" applyBorder="1" applyAlignment="1">
      <alignment vertical="center"/>
    </xf>
    <xf numFmtId="43" fontId="3" fillId="0" borderId="3" xfId="1" applyNumberFormat="1" applyFont="1" applyBorder="1" applyAlignment="1">
      <alignment horizontal="center" vertical="center"/>
    </xf>
  </cellXfs>
  <cellStyles count="27">
    <cellStyle name="Comma" xfId="1" builtinId="3"/>
    <cellStyle name="Comma 2" xfId="8"/>
    <cellStyle name="Excel Built-in Normal" xfId="26"/>
    <cellStyle name="Normal" xfId="0" builtinId="0"/>
    <cellStyle name="Normal 103" xfId="24"/>
    <cellStyle name="Normal 11" xfId="5"/>
    <cellStyle name="Normal 120" xfId="21"/>
    <cellStyle name="Normal 17" xfId="10"/>
    <cellStyle name="Normal 188" xfId="12"/>
    <cellStyle name="Normal 191" xfId="22"/>
    <cellStyle name="Normal 192" xfId="11"/>
    <cellStyle name="Normal 195" xfId="20"/>
    <cellStyle name="Normal 196" xfId="15"/>
    <cellStyle name="Normal 2 10 2 5 2" xfId="6"/>
    <cellStyle name="Normal 2 10 2 6" xfId="3"/>
    <cellStyle name="Normal 2 2" xfId="9"/>
    <cellStyle name="Normal 201 2" xfId="19"/>
    <cellStyle name="Normal 207" xfId="14"/>
    <cellStyle name="Normal 211" xfId="13"/>
    <cellStyle name="Normal 218" xfId="17"/>
    <cellStyle name="Normal 219" xfId="18"/>
    <cellStyle name="Normal 222" xfId="16"/>
    <cellStyle name="Normal 3" xfId="25"/>
    <cellStyle name="Normal 5" xfId="23"/>
    <cellStyle name="Normal_Rev_IPP_ BUB_ 10.04.09 2" xfId="4"/>
    <cellStyle name="Percent" xfId="2" builtinId="5"/>
    <cellStyle name="Percent 2" xfId="7"/>
  </cellStyles>
  <dxfs count="14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0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K2" sqref="K2"/>
    </sheetView>
  </sheetViews>
  <sheetFormatPr defaultColWidth="9.109375" defaultRowHeight="14.4" x14ac:dyDescent="0.3"/>
  <cols>
    <col min="1" max="1" width="4.109375" style="4" customWidth="1"/>
    <col min="2" max="2" width="10" style="1" customWidth="1"/>
    <col min="3" max="3" width="12.33203125" style="1" customWidth="1"/>
    <col min="4" max="4" width="12.5546875" style="4" customWidth="1"/>
    <col min="5" max="6" width="8.6640625" style="4" customWidth="1"/>
    <col min="7" max="7" width="18.109375" style="4" customWidth="1"/>
    <col min="8" max="8" width="11" style="1" customWidth="1"/>
    <col min="9" max="9" width="11.5546875" style="1" customWidth="1"/>
    <col min="10" max="10" width="12.5546875" style="1" customWidth="1"/>
    <col min="11" max="11" width="16.109375" style="1" customWidth="1"/>
    <col min="12" max="12" width="12.109375" style="1" customWidth="1"/>
    <col min="13" max="13" width="14.88671875" style="1" customWidth="1"/>
    <col min="14" max="14" width="11.33203125" style="1" customWidth="1"/>
    <col min="15" max="15" width="12.109375" style="1" customWidth="1"/>
    <col min="16" max="16" width="17.6640625" style="1" customWidth="1"/>
    <col min="17" max="17" width="3.109375" style="1" customWidth="1"/>
    <col min="18" max="18" width="14.5546875" style="1" customWidth="1"/>
    <col min="19" max="19" width="3.109375" style="1" customWidth="1"/>
    <col min="20" max="25" width="8.6640625" style="1" customWidth="1"/>
    <col min="26" max="26" width="3.109375" style="1" customWidth="1"/>
    <col min="27" max="27" width="15" style="1" customWidth="1"/>
    <col min="28" max="28" width="15.5546875" style="1" customWidth="1"/>
    <col min="29" max="29" width="17.109375" style="1" customWidth="1"/>
    <col min="30" max="30" width="13.88671875" style="1" customWidth="1"/>
    <col min="31" max="31" width="10.6640625" style="1" customWidth="1"/>
    <col min="32" max="32" width="15.5546875" style="1" customWidth="1"/>
    <col min="33" max="33" width="17.109375" style="1" customWidth="1"/>
    <col min="34" max="16384" width="9.109375" style="1"/>
  </cols>
  <sheetData>
    <row r="1" spans="1:13" ht="15" thickBot="1" x14ac:dyDescent="0.35">
      <c r="A1" s="14" t="s">
        <v>0</v>
      </c>
      <c r="D1" s="39" t="s">
        <v>106</v>
      </c>
    </row>
    <row r="2" spans="1:13" x14ac:dyDescent="0.3">
      <c r="A2" s="14" t="s">
        <v>21</v>
      </c>
      <c r="D2" s="181" t="s">
        <v>107</v>
      </c>
    </row>
    <row r="3" spans="1:13" x14ac:dyDescent="0.3">
      <c r="A3" s="6"/>
      <c r="D3" s="1"/>
    </row>
    <row r="4" spans="1:13" ht="15.6" x14ac:dyDescent="0.3">
      <c r="A4" s="14" t="s">
        <v>22</v>
      </c>
      <c r="D4" s="46" t="s">
        <v>1</v>
      </c>
      <c r="E4" s="29" t="s">
        <v>35</v>
      </c>
      <c r="I4" s="83"/>
      <c r="J4" s="84"/>
      <c r="K4" s="111"/>
      <c r="L4" s="85"/>
      <c r="M4" s="86"/>
    </row>
    <row r="5" spans="1:13" x14ac:dyDescent="0.3">
      <c r="A5" s="6"/>
      <c r="D5" s="2" t="s">
        <v>29</v>
      </c>
      <c r="E5" s="56">
        <v>127</v>
      </c>
      <c r="J5" s="4"/>
      <c r="K5" s="4"/>
    </row>
    <row r="6" spans="1:13" ht="16.2" x14ac:dyDescent="0.3">
      <c r="A6" s="6"/>
      <c r="D6" s="2" t="s">
        <v>105</v>
      </c>
      <c r="E6" s="57">
        <v>115</v>
      </c>
      <c r="K6" s="3"/>
      <c r="M6" s="114"/>
    </row>
    <row r="7" spans="1:13" x14ac:dyDescent="0.3">
      <c r="A7" s="6"/>
      <c r="D7" s="2" t="s">
        <v>2</v>
      </c>
      <c r="E7" s="31">
        <f>E5-E6</f>
        <v>12</v>
      </c>
      <c r="K7" s="3"/>
      <c r="M7" s="114"/>
    </row>
    <row r="8" spans="1:13" ht="5.0999999999999996" customHeight="1" thickBot="1" x14ac:dyDescent="0.35">
      <c r="A8" s="6"/>
      <c r="D8" s="1"/>
    </row>
    <row r="9" spans="1:13" ht="15" thickBot="1" x14ac:dyDescent="0.35">
      <c r="A9" s="14" t="s">
        <v>23</v>
      </c>
      <c r="D9" s="40">
        <v>45962</v>
      </c>
      <c r="E9" s="43">
        <f>A32</f>
        <v>12</v>
      </c>
      <c r="F9" s="3" t="s">
        <v>3</v>
      </c>
      <c r="G9" s="32">
        <f>P36</f>
        <v>76.27000000000001</v>
      </c>
      <c r="H9" s="3" t="s">
        <v>20</v>
      </c>
    </row>
    <row r="10" spans="1:13" ht="5.0999999999999996" customHeight="1" x14ac:dyDescent="0.3">
      <c r="A10" s="14"/>
      <c r="D10" s="1"/>
      <c r="E10" s="1"/>
      <c r="F10" s="14"/>
    </row>
    <row r="11" spans="1:13" x14ac:dyDescent="0.3">
      <c r="A11" s="14" t="s">
        <v>33</v>
      </c>
      <c r="D11" s="2" t="s">
        <v>24</v>
      </c>
      <c r="E11" s="34">
        <f>T36</f>
        <v>0</v>
      </c>
      <c r="F11" s="49">
        <f>E11/$E$9</f>
        <v>0</v>
      </c>
      <c r="G11" s="30">
        <f>AA36</f>
        <v>0</v>
      </c>
      <c r="H11" s="49">
        <f>G11/$G$9</f>
        <v>0</v>
      </c>
    </row>
    <row r="12" spans="1:13" x14ac:dyDescent="0.3">
      <c r="A12" s="5"/>
      <c r="D12" s="2" t="s">
        <v>25</v>
      </c>
      <c r="E12" s="34">
        <f>U36</f>
        <v>0</v>
      </c>
      <c r="F12" s="49">
        <f t="shared" ref="F12:F15" si="0">E12/$E$9</f>
        <v>0</v>
      </c>
      <c r="G12" s="30">
        <f>AB36</f>
        <v>0</v>
      </c>
      <c r="H12" s="49">
        <f t="shared" ref="H12:H15" si="1">G12/$G$9</f>
        <v>0</v>
      </c>
    </row>
    <row r="13" spans="1:13" x14ac:dyDescent="0.3">
      <c r="A13" s="5"/>
      <c r="D13" s="2" t="s">
        <v>26</v>
      </c>
      <c r="E13" s="34">
        <f>V36</f>
        <v>0</v>
      </c>
      <c r="F13" s="49">
        <f t="shared" si="0"/>
        <v>0</v>
      </c>
      <c r="G13" s="30">
        <f>AC36</f>
        <v>0</v>
      </c>
      <c r="H13" s="49">
        <f t="shared" si="1"/>
        <v>0</v>
      </c>
    </row>
    <row r="14" spans="1:13" x14ac:dyDescent="0.3">
      <c r="A14" s="5"/>
      <c r="D14" s="2" t="s">
        <v>27</v>
      </c>
      <c r="E14" s="34">
        <f>W36</f>
        <v>0</v>
      </c>
      <c r="F14" s="49">
        <f t="shared" si="0"/>
        <v>0</v>
      </c>
      <c r="G14" s="30">
        <f>AD36</f>
        <v>0</v>
      </c>
      <c r="H14" s="49">
        <f t="shared" si="1"/>
        <v>0</v>
      </c>
    </row>
    <row r="15" spans="1:13" ht="16.2" x14ac:dyDescent="0.3">
      <c r="A15" s="5"/>
      <c r="D15" s="29" t="s">
        <v>28</v>
      </c>
      <c r="E15" s="35">
        <f>X36</f>
        <v>0</v>
      </c>
      <c r="F15" s="49">
        <f t="shared" si="0"/>
        <v>0</v>
      </c>
      <c r="G15" s="33">
        <f>AE36</f>
        <v>0</v>
      </c>
      <c r="H15" s="49">
        <f t="shared" si="1"/>
        <v>0</v>
      </c>
    </row>
    <row r="16" spans="1:13" x14ac:dyDescent="0.3">
      <c r="A16" s="5" t="s">
        <v>51</v>
      </c>
      <c r="D16" s="28" t="s">
        <v>29</v>
      </c>
      <c r="E16" s="55">
        <f>SUM(E11:E15)</f>
        <v>0</v>
      </c>
      <c r="F16" s="54">
        <f>E16/E9</f>
        <v>0</v>
      </c>
      <c r="G16" s="32">
        <f>SUM(G11:G15)</f>
        <v>0</v>
      </c>
      <c r="H16" s="53">
        <f>G16/G9</f>
        <v>0</v>
      </c>
    </row>
    <row r="17" spans="1:33" x14ac:dyDescent="0.3">
      <c r="A17" s="5"/>
      <c r="D17" s="6"/>
      <c r="E17" s="6"/>
      <c r="F17" s="6"/>
    </row>
    <row r="18" spans="1:33" ht="22.5" customHeight="1" x14ac:dyDescent="0.3">
      <c r="A18" s="161" t="s">
        <v>4</v>
      </c>
      <c r="B18" s="161" t="s">
        <v>5</v>
      </c>
      <c r="C18" s="157" t="s">
        <v>6</v>
      </c>
      <c r="D18" s="161" t="s">
        <v>7</v>
      </c>
      <c r="E18" s="157" t="s">
        <v>16</v>
      </c>
      <c r="F18" s="157" t="s">
        <v>17</v>
      </c>
      <c r="G18" s="161" t="s">
        <v>8</v>
      </c>
      <c r="H18" s="148" t="s">
        <v>18</v>
      </c>
      <c r="I18" s="148"/>
      <c r="J18" s="148"/>
      <c r="K18" s="148"/>
      <c r="L18" s="148"/>
      <c r="M18" s="148"/>
      <c r="N18" s="148"/>
      <c r="O18" s="148"/>
      <c r="P18" s="151" t="s">
        <v>19</v>
      </c>
      <c r="R18" s="157" t="s">
        <v>36</v>
      </c>
      <c r="T18" s="152" t="s">
        <v>31</v>
      </c>
      <c r="U18" s="153"/>
      <c r="V18" s="153"/>
      <c r="W18" s="153"/>
      <c r="X18" s="153"/>
      <c r="Y18" s="154"/>
      <c r="AA18" s="152" t="s">
        <v>30</v>
      </c>
      <c r="AB18" s="153"/>
      <c r="AC18" s="153"/>
      <c r="AD18" s="153"/>
      <c r="AE18" s="153"/>
      <c r="AF18" s="154"/>
      <c r="AG18" s="155" t="s">
        <v>34</v>
      </c>
    </row>
    <row r="19" spans="1:33" ht="21" customHeight="1" x14ac:dyDescent="0.3">
      <c r="A19" s="162"/>
      <c r="B19" s="162"/>
      <c r="C19" s="159"/>
      <c r="D19" s="162"/>
      <c r="E19" s="159"/>
      <c r="F19" s="159"/>
      <c r="G19" s="162"/>
      <c r="H19" s="147" t="s">
        <v>9</v>
      </c>
      <c r="I19" s="147"/>
      <c r="J19" s="147" t="s">
        <v>12</v>
      </c>
      <c r="K19" s="147"/>
      <c r="L19" s="147" t="s">
        <v>13</v>
      </c>
      <c r="M19" s="147"/>
      <c r="N19" s="145" t="s">
        <v>15</v>
      </c>
      <c r="O19" s="145" t="s">
        <v>14</v>
      </c>
      <c r="P19" s="151"/>
      <c r="R19" s="158"/>
      <c r="T19" s="149" t="s">
        <v>24</v>
      </c>
      <c r="U19" s="149" t="s">
        <v>25</v>
      </c>
      <c r="V19" s="149" t="s">
        <v>26</v>
      </c>
      <c r="W19" s="149" t="s">
        <v>27</v>
      </c>
      <c r="X19" s="149" t="s">
        <v>28</v>
      </c>
      <c r="Y19" s="44" t="s">
        <v>29</v>
      </c>
      <c r="AA19" s="149" t="s">
        <v>24</v>
      </c>
      <c r="AB19" s="149" t="s">
        <v>25</v>
      </c>
      <c r="AC19" s="149" t="s">
        <v>26</v>
      </c>
      <c r="AD19" s="149" t="s">
        <v>27</v>
      </c>
      <c r="AE19" s="149" t="s">
        <v>28</v>
      </c>
      <c r="AF19" s="44" t="s">
        <v>29</v>
      </c>
      <c r="AG19" s="156"/>
    </row>
    <row r="20" spans="1:33" ht="15" thickBot="1" x14ac:dyDescent="0.35">
      <c r="A20" s="163"/>
      <c r="B20" s="162"/>
      <c r="C20" s="159"/>
      <c r="D20" s="162"/>
      <c r="E20" s="160"/>
      <c r="F20" s="160"/>
      <c r="G20" s="162"/>
      <c r="H20" s="104" t="s">
        <v>10</v>
      </c>
      <c r="I20" s="104" t="s">
        <v>11</v>
      </c>
      <c r="J20" s="104" t="s">
        <v>10</v>
      </c>
      <c r="K20" s="104" t="s">
        <v>11</v>
      </c>
      <c r="L20" s="104" t="s">
        <v>10</v>
      </c>
      <c r="M20" s="104" t="s">
        <v>11</v>
      </c>
      <c r="N20" s="146"/>
      <c r="O20" s="146"/>
      <c r="P20" s="45" t="s">
        <v>50</v>
      </c>
      <c r="R20" s="19" t="s">
        <v>37</v>
      </c>
      <c r="T20" s="150"/>
      <c r="U20" s="150"/>
      <c r="V20" s="150"/>
      <c r="W20" s="150"/>
      <c r="X20" s="150"/>
      <c r="Y20" s="20"/>
      <c r="AA20" s="150"/>
      <c r="AB20" s="150"/>
      <c r="AC20" s="150"/>
      <c r="AD20" s="150"/>
      <c r="AE20" s="150"/>
      <c r="AF20" s="20" t="s">
        <v>50</v>
      </c>
      <c r="AG20" s="45" t="s">
        <v>50</v>
      </c>
    </row>
    <row r="21" spans="1:33" s="137" customFormat="1" ht="20.399999999999999" customHeight="1" x14ac:dyDescent="0.3">
      <c r="A21" s="132">
        <v>1</v>
      </c>
      <c r="B21" s="133" t="s">
        <v>80</v>
      </c>
      <c r="C21" s="133" t="s">
        <v>81</v>
      </c>
      <c r="D21" s="134" t="s">
        <v>102</v>
      </c>
      <c r="E21" s="135">
        <v>11.42</v>
      </c>
      <c r="F21" s="132">
        <v>0.62</v>
      </c>
      <c r="G21" s="175" t="s">
        <v>103</v>
      </c>
      <c r="H21" s="177">
        <v>45962</v>
      </c>
      <c r="I21" s="136">
        <f>H21+2</f>
        <v>45964</v>
      </c>
      <c r="J21" s="136">
        <f>I21</f>
        <v>45964</v>
      </c>
      <c r="K21" s="136">
        <f>J21</f>
        <v>45964</v>
      </c>
      <c r="L21" s="136">
        <f>K21+1</f>
        <v>45965</v>
      </c>
      <c r="M21" s="177">
        <v>45967</v>
      </c>
      <c r="N21" s="136">
        <f>M21+2</f>
        <v>45969</v>
      </c>
      <c r="O21" s="136">
        <f>M21+1</f>
        <v>45968</v>
      </c>
      <c r="P21" s="179">
        <v>2.86</v>
      </c>
      <c r="R21" s="138"/>
      <c r="T21" s="101"/>
      <c r="U21" s="101"/>
      <c r="V21" s="112"/>
      <c r="W21" s="112"/>
      <c r="X21" s="112"/>
      <c r="Y21" s="112">
        <f>SUM(T21:X21)</f>
        <v>0</v>
      </c>
      <c r="AA21" s="98">
        <f>$P$21*T21</f>
        <v>0</v>
      </c>
      <c r="AB21" s="98">
        <f>$P$21*U21</f>
        <v>0</v>
      </c>
      <c r="AC21" s="98">
        <f t="shared" ref="AC21:AE21" si="2">$P$21*V21</f>
        <v>0</v>
      </c>
      <c r="AD21" s="98">
        <f t="shared" si="2"/>
        <v>0</v>
      </c>
      <c r="AE21" s="98">
        <f t="shared" si="2"/>
        <v>0</v>
      </c>
      <c r="AF21" s="139">
        <f>SUM(AA21:AE21)</f>
        <v>0</v>
      </c>
      <c r="AG21" s="140">
        <f>P21-AF21</f>
        <v>2.86</v>
      </c>
    </row>
    <row r="22" spans="1:33" s="137" customFormat="1" ht="20.399999999999999" customHeight="1" x14ac:dyDescent="0.3">
      <c r="A22" s="132">
        <v>2</v>
      </c>
      <c r="B22" s="133" t="s">
        <v>82</v>
      </c>
      <c r="C22" s="133" t="s">
        <v>83</v>
      </c>
      <c r="D22" s="134" t="s">
        <v>102</v>
      </c>
      <c r="E22" s="135">
        <v>28.1</v>
      </c>
      <c r="F22" s="132">
        <v>1.46</v>
      </c>
      <c r="G22" s="175" t="s">
        <v>103</v>
      </c>
      <c r="H22" s="177">
        <v>45967</v>
      </c>
      <c r="I22" s="136">
        <f t="shared" ref="I22:I32" si="3">H22+2</f>
        <v>45969</v>
      </c>
      <c r="J22" s="136">
        <f t="shared" ref="J22:K32" si="4">I22</f>
        <v>45969</v>
      </c>
      <c r="K22" s="136">
        <f t="shared" si="4"/>
        <v>45969</v>
      </c>
      <c r="L22" s="136">
        <f t="shared" ref="L22:L32" si="5">K22+1</f>
        <v>45970</v>
      </c>
      <c r="M22" s="177">
        <v>45972</v>
      </c>
      <c r="N22" s="136">
        <f t="shared" ref="N22:N32" si="6">M22+2</f>
        <v>45974</v>
      </c>
      <c r="O22" s="136">
        <f t="shared" ref="O22:O32" si="7">M22+1</f>
        <v>45973</v>
      </c>
      <c r="P22" s="179">
        <v>8.33</v>
      </c>
      <c r="R22" s="138"/>
      <c r="T22" s="101"/>
      <c r="U22" s="101"/>
      <c r="V22" s="112"/>
      <c r="W22" s="112"/>
      <c r="X22" s="112"/>
      <c r="Y22" s="112"/>
      <c r="AA22" s="98">
        <f t="shared" ref="AA22:AA33" si="8">$P$21*T22</f>
        <v>0</v>
      </c>
      <c r="AB22" s="98">
        <f t="shared" ref="AB22:AB33" si="9">$P$21*U22</f>
        <v>0</v>
      </c>
      <c r="AC22" s="98">
        <f t="shared" ref="AC22:AC33" si="10">$P$21*V22</f>
        <v>0</v>
      </c>
      <c r="AD22" s="98">
        <f t="shared" ref="AD22:AD33" si="11">$P$21*W22</f>
        <v>0</v>
      </c>
      <c r="AE22" s="98">
        <f t="shared" ref="AE22:AE33" si="12">$P$21*X22</f>
        <v>0</v>
      </c>
      <c r="AF22" s="139">
        <f t="shared" ref="AF22:AF33" si="13">SUM(AA22:AE22)</f>
        <v>0</v>
      </c>
      <c r="AG22" s="140">
        <f>P22-AF22</f>
        <v>8.33</v>
      </c>
    </row>
    <row r="23" spans="1:33" s="137" customFormat="1" ht="20.399999999999999" customHeight="1" x14ac:dyDescent="0.3">
      <c r="A23" s="132">
        <v>3</v>
      </c>
      <c r="B23" s="133" t="s">
        <v>84</v>
      </c>
      <c r="C23" s="141" t="s">
        <v>81</v>
      </c>
      <c r="D23" s="134" t="s">
        <v>102</v>
      </c>
      <c r="E23" s="142">
        <v>11.42</v>
      </c>
      <c r="F23" s="143">
        <v>0.62</v>
      </c>
      <c r="G23" s="175" t="s">
        <v>103</v>
      </c>
      <c r="H23" s="177">
        <v>45972</v>
      </c>
      <c r="I23" s="136">
        <f t="shared" si="3"/>
        <v>45974</v>
      </c>
      <c r="J23" s="136">
        <f t="shared" si="4"/>
        <v>45974</v>
      </c>
      <c r="K23" s="136">
        <f t="shared" si="4"/>
        <v>45974</v>
      </c>
      <c r="L23" s="136">
        <f t="shared" si="5"/>
        <v>45975</v>
      </c>
      <c r="M23" s="177">
        <v>45976</v>
      </c>
      <c r="N23" s="136">
        <f t="shared" si="6"/>
        <v>45978</v>
      </c>
      <c r="O23" s="136">
        <f t="shared" si="7"/>
        <v>45977</v>
      </c>
      <c r="P23" s="179">
        <v>2.86</v>
      </c>
      <c r="R23" s="144"/>
      <c r="T23" s="99"/>
      <c r="U23" s="99"/>
      <c r="V23" s="99"/>
      <c r="W23" s="99"/>
      <c r="X23" s="99"/>
      <c r="Y23" s="99">
        <f t="shared" ref="Y23:Y35" si="14">SUM(T23:X23)</f>
        <v>0</v>
      </c>
      <c r="AA23" s="98">
        <f t="shared" si="8"/>
        <v>0</v>
      </c>
      <c r="AB23" s="98">
        <f t="shared" si="9"/>
        <v>0</v>
      </c>
      <c r="AC23" s="98">
        <f t="shared" si="10"/>
        <v>0</v>
      </c>
      <c r="AD23" s="98">
        <f t="shared" si="11"/>
        <v>0</v>
      </c>
      <c r="AE23" s="98">
        <f t="shared" si="12"/>
        <v>0</v>
      </c>
      <c r="AF23" s="139">
        <f t="shared" si="13"/>
        <v>0</v>
      </c>
      <c r="AG23" s="140">
        <f t="shared" ref="AG23:AG34" si="15">P23-AF23</f>
        <v>2.86</v>
      </c>
    </row>
    <row r="24" spans="1:33" s="137" customFormat="1" ht="20.399999999999999" customHeight="1" x14ac:dyDescent="0.3">
      <c r="A24" s="132">
        <v>4</v>
      </c>
      <c r="B24" s="133" t="s">
        <v>85</v>
      </c>
      <c r="C24" s="133" t="s">
        <v>86</v>
      </c>
      <c r="D24" s="134" t="s">
        <v>102</v>
      </c>
      <c r="E24" s="142">
        <v>11.42</v>
      </c>
      <c r="F24" s="143">
        <v>0.62</v>
      </c>
      <c r="G24" s="175" t="s">
        <v>103</v>
      </c>
      <c r="H24" s="177">
        <v>45976</v>
      </c>
      <c r="I24" s="136">
        <f t="shared" si="3"/>
        <v>45978</v>
      </c>
      <c r="J24" s="136">
        <f t="shared" si="4"/>
        <v>45978</v>
      </c>
      <c r="K24" s="136">
        <f t="shared" si="4"/>
        <v>45978</v>
      </c>
      <c r="L24" s="136">
        <f t="shared" si="5"/>
        <v>45979</v>
      </c>
      <c r="M24" s="177">
        <v>45980</v>
      </c>
      <c r="N24" s="136">
        <f t="shared" si="6"/>
        <v>45982</v>
      </c>
      <c r="O24" s="136">
        <f t="shared" si="7"/>
        <v>45981</v>
      </c>
      <c r="P24" s="179">
        <v>2.86</v>
      </c>
      <c r="R24" s="144"/>
      <c r="T24" s="99"/>
      <c r="U24" s="99"/>
      <c r="V24" s="99"/>
      <c r="W24" s="99"/>
      <c r="X24" s="99"/>
      <c r="Y24" s="99">
        <f t="shared" si="14"/>
        <v>0</v>
      </c>
      <c r="AA24" s="98">
        <f t="shared" si="8"/>
        <v>0</v>
      </c>
      <c r="AB24" s="98">
        <f>$P$24*U24</f>
        <v>0</v>
      </c>
      <c r="AC24" s="98">
        <f t="shared" si="10"/>
        <v>0</v>
      </c>
      <c r="AD24" s="98">
        <f t="shared" si="11"/>
        <v>0</v>
      </c>
      <c r="AE24" s="98">
        <f t="shared" si="12"/>
        <v>0</v>
      </c>
      <c r="AF24" s="139">
        <f t="shared" si="13"/>
        <v>0</v>
      </c>
      <c r="AG24" s="140">
        <f t="shared" si="15"/>
        <v>2.86</v>
      </c>
    </row>
    <row r="25" spans="1:33" s="137" customFormat="1" ht="20.399999999999999" customHeight="1" x14ac:dyDescent="0.3">
      <c r="A25" s="132">
        <v>5</v>
      </c>
      <c r="B25" s="133" t="s">
        <v>87</v>
      </c>
      <c r="C25" s="133" t="s">
        <v>88</v>
      </c>
      <c r="D25" s="134" t="s">
        <v>102</v>
      </c>
      <c r="E25" s="135">
        <v>72.19</v>
      </c>
      <c r="F25" s="132">
        <v>3.42</v>
      </c>
      <c r="G25" s="175" t="s">
        <v>103</v>
      </c>
      <c r="H25" s="177">
        <v>45980</v>
      </c>
      <c r="I25" s="136">
        <f t="shared" si="3"/>
        <v>45982</v>
      </c>
      <c r="J25" s="136">
        <f t="shared" si="4"/>
        <v>45982</v>
      </c>
      <c r="K25" s="136">
        <f t="shared" si="4"/>
        <v>45982</v>
      </c>
      <c r="L25" s="136">
        <f t="shared" si="5"/>
        <v>45983</v>
      </c>
      <c r="M25" s="177">
        <v>45986</v>
      </c>
      <c r="N25" s="136">
        <f t="shared" si="6"/>
        <v>45988</v>
      </c>
      <c r="O25" s="136">
        <f t="shared" si="7"/>
        <v>45987</v>
      </c>
      <c r="P25" s="179">
        <v>14.15</v>
      </c>
      <c r="R25" s="144"/>
      <c r="T25" s="99"/>
      <c r="U25" s="99"/>
      <c r="V25" s="99"/>
      <c r="W25" s="99"/>
      <c r="X25" s="99"/>
      <c r="Y25" s="99">
        <f t="shared" si="14"/>
        <v>0</v>
      </c>
      <c r="AA25" s="98">
        <f t="shared" si="8"/>
        <v>0</v>
      </c>
      <c r="AB25" s="98">
        <f t="shared" si="9"/>
        <v>0</v>
      </c>
      <c r="AC25" s="98">
        <f t="shared" si="10"/>
        <v>0</v>
      </c>
      <c r="AD25" s="98">
        <f t="shared" si="11"/>
        <v>0</v>
      </c>
      <c r="AE25" s="98">
        <f t="shared" si="12"/>
        <v>0</v>
      </c>
      <c r="AF25" s="139">
        <f t="shared" si="13"/>
        <v>0</v>
      </c>
      <c r="AG25" s="140">
        <f t="shared" si="15"/>
        <v>14.15</v>
      </c>
    </row>
    <row r="26" spans="1:33" s="137" customFormat="1" ht="20.399999999999999" customHeight="1" x14ac:dyDescent="0.3">
      <c r="A26" s="132">
        <v>6</v>
      </c>
      <c r="B26" s="133" t="s">
        <v>89</v>
      </c>
      <c r="C26" s="133" t="s">
        <v>90</v>
      </c>
      <c r="D26" s="134" t="s">
        <v>102</v>
      </c>
      <c r="E26" s="135">
        <v>72.19</v>
      </c>
      <c r="F26" s="143">
        <v>3.49</v>
      </c>
      <c r="G26" s="175" t="s">
        <v>103</v>
      </c>
      <c r="H26" s="177">
        <v>45986</v>
      </c>
      <c r="I26" s="136">
        <f t="shared" si="3"/>
        <v>45988</v>
      </c>
      <c r="J26" s="136">
        <f t="shared" si="4"/>
        <v>45988</v>
      </c>
      <c r="K26" s="136">
        <f t="shared" si="4"/>
        <v>45988</v>
      </c>
      <c r="L26" s="136">
        <f t="shared" si="5"/>
        <v>45989</v>
      </c>
      <c r="M26" s="177">
        <v>45992</v>
      </c>
      <c r="N26" s="136">
        <f t="shared" si="6"/>
        <v>45994</v>
      </c>
      <c r="O26" s="136">
        <f t="shared" si="7"/>
        <v>45993</v>
      </c>
      <c r="P26" s="179">
        <v>14.23</v>
      </c>
      <c r="R26" s="144"/>
      <c r="T26" s="99"/>
      <c r="U26" s="99"/>
      <c r="V26" s="99"/>
      <c r="W26" s="99"/>
      <c r="X26" s="99"/>
      <c r="Y26" s="99">
        <f t="shared" si="14"/>
        <v>0</v>
      </c>
      <c r="AA26" s="98">
        <f t="shared" si="8"/>
        <v>0</v>
      </c>
      <c r="AB26" s="98">
        <f t="shared" si="9"/>
        <v>0</v>
      </c>
      <c r="AC26" s="98">
        <f t="shared" si="10"/>
        <v>0</v>
      </c>
      <c r="AD26" s="98">
        <f t="shared" si="11"/>
        <v>0</v>
      </c>
      <c r="AE26" s="98">
        <f t="shared" si="12"/>
        <v>0</v>
      </c>
      <c r="AF26" s="139">
        <f t="shared" si="13"/>
        <v>0</v>
      </c>
      <c r="AG26" s="140">
        <f t="shared" si="15"/>
        <v>14.23</v>
      </c>
    </row>
    <row r="27" spans="1:33" s="137" customFormat="1" ht="20.399999999999999" customHeight="1" x14ac:dyDescent="0.3">
      <c r="A27" s="132">
        <v>7</v>
      </c>
      <c r="B27" s="133" t="s">
        <v>91</v>
      </c>
      <c r="C27" s="141" t="s">
        <v>86</v>
      </c>
      <c r="D27" s="134" t="s">
        <v>102</v>
      </c>
      <c r="E27" s="142">
        <v>11.42</v>
      </c>
      <c r="F27" s="143">
        <v>0.62</v>
      </c>
      <c r="G27" s="175" t="s">
        <v>104</v>
      </c>
      <c r="H27" s="177">
        <v>45965</v>
      </c>
      <c r="I27" s="136">
        <f t="shared" si="3"/>
        <v>45967</v>
      </c>
      <c r="J27" s="136">
        <f t="shared" si="4"/>
        <v>45967</v>
      </c>
      <c r="K27" s="136">
        <f t="shared" si="4"/>
        <v>45967</v>
      </c>
      <c r="L27" s="136">
        <f t="shared" si="5"/>
        <v>45968</v>
      </c>
      <c r="M27" s="177">
        <v>45970</v>
      </c>
      <c r="N27" s="136">
        <f t="shared" si="6"/>
        <v>45972</v>
      </c>
      <c r="O27" s="136">
        <f t="shared" si="7"/>
        <v>45971</v>
      </c>
      <c r="P27" s="179">
        <v>2.86</v>
      </c>
      <c r="R27" s="144"/>
      <c r="T27" s="99"/>
      <c r="U27" s="99"/>
      <c r="V27" s="99"/>
      <c r="W27" s="99"/>
      <c r="X27" s="99"/>
      <c r="Y27" s="99">
        <f t="shared" si="14"/>
        <v>0</v>
      </c>
      <c r="AA27" s="98">
        <f>$P$27*T27</f>
        <v>0</v>
      </c>
      <c r="AB27" s="98">
        <f t="shared" si="9"/>
        <v>0</v>
      </c>
      <c r="AC27" s="98">
        <f t="shared" si="10"/>
        <v>0</v>
      </c>
      <c r="AD27" s="98">
        <f t="shared" si="11"/>
        <v>0</v>
      </c>
      <c r="AE27" s="98">
        <f t="shared" si="12"/>
        <v>0</v>
      </c>
      <c r="AF27" s="139">
        <f t="shared" si="13"/>
        <v>0</v>
      </c>
      <c r="AG27" s="140">
        <f t="shared" si="15"/>
        <v>2.86</v>
      </c>
    </row>
    <row r="28" spans="1:33" ht="20.399999999999999" customHeight="1" x14ac:dyDescent="0.3">
      <c r="A28" s="113">
        <v>8</v>
      </c>
      <c r="B28" s="120" t="s">
        <v>92</v>
      </c>
      <c r="C28" s="121" t="s">
        <v>93</v>
      </c>
      <c r="D28" s="134" t="s">
        <v>102</v>
      </c>
      <c r="E28" s="118">
        <v>11.73</v>
      </c>
      <c r="F28" s="8">
        <v>0.63</v>
      </c>
      <c r="G28" s="175" t="s">
        <v>104</v>
      </c>
      <c r="H28" s="177">
        <f>M27</f>
        <v>45970</v>
      </c>
      <c r="I28" s="136">
        <f>H28+1</f>
        <v>45971</v>
      </c>
      <c r="J28" s="136">
        <f t="shared" si="4"/>
        <v>45971</v>
      </c>
      <c r="K28" s="136">
        <f t="shared" si="4"/>
        <v>45971</v>
      </c>
      <c r="L28" s="136">
        <f t="shared" si="5"/>
        <v>45972</v>
      </c>
      <c r="M28" s="177">
        <f>L28+2</f>
        <v>45974</v>
      </c>
      <c r="N28" s="136">
        <f t="shared" si="6"/>
        <v>45976</v>
      </c>
      <c r="O28" s="136">
        <f t="shared" si="7"/>
        <v>45975</v>
      </c>
      <c r="P28" s="180">
        <v>3.08</v>
      </c>
      <c r="R28" s="100"/>
      <c r="T28" s="101"/>
      <c r="U28" s="101"/>
      <c r="V28" s="101"/>
      <c r="W28" s="101"/>
      <c r="X28" s="101"/>
      <c r="Y28" s="99">
        <f t="shared" si="14"/>
        <v>0</v>
      </c>
      <c r="AA28" s="98">
        <f t="shared" si="8"/>
        <v>0</v>
      </c>
      <c r="AB28" s="98">
        <f>$P$28*U28</f>
        <v>0</v>
      </c>
      <c r="AC28" s="98">
        <f t="shared" si="10"/>
        <v>0</v>
      </c>
      <c r="AD28" s="98">
        <f t="shared" si="11"/>
        <v>0</v>
      </c>
      <c r="AE28" s="16">
        <f t="shared" si="12"/>
        <v>0</v>
      </c>
      <c r="AF28" s="36">
        <f t="shared" si="13"/>
        <v>0</v>
      </c>
      <c r="AG28" s="21">
        <f>P27-AF28</f>
        <v>2.86</v>
      </c>
    </row>
    <row r="29" spans="1:33" ht="20.399999999999999" customHeight="1" x14ac:dyDescent="0.3">
      <c r="A29" s="113">
        <v>9</v>
      </c>
      <c r="B29" s="120" t="s">
        <v>94</v>
      </c>
      <c r="C29" s="121" t="s">
        <v>95</v>
      </c>
      <c r="D29" s="134" t="s">
        <v>102</v>
      </c>
      <c r="E29" s="118">
        <v>11.42</v>
      </c>
      <c r="F29" s="8">
        <v>0.62</v>
      </c>
      <c r="G29" s="175" t="s">
        <v>104</v>
      </c>
      <c r="H29" s="177">
        <f>M28</f>
        <v>45974</v>
      </c>
      <c r="I29" s="136">
        <f>H29+1</f>
        <v>45975</v>
      </c>
      <c r="J29" s="136">
        <f t="shared" si="4"/>
        <v>45975</v>
      </c>
      <c r="K29" s="136">
        <f t="shared" si="4"/>
        <v>45975</v>
      </c>
      <c r="L29" s="136">
        <f t="shared" si="5"/>
        <v>45976</v>
      </c>
      <c r="M29" s="177">
        <f>L29+2</f>
        <v>45978</v>
      </c>
      <c r="N29" s="136">
        <f t="shared" si="6"/>
        <v>45980</v>
      </c>
      <c r="O29" s="136">
        <f t="shared" si="7"/>
        <v>45979</v>
      </c>
      <c r="P29" s="179">
        <v>2.86</v>
      </c>
      <c r="R29" s="100"/>
      <c r="T29" s="101"/>
      <c r="U29" s="101"/>
      <c r="V29" s="101"/>
      <c r="W29" s="101"/>
      <c r="X29" s="101"/>
      <c r="Y29" s="99">
        <f t="shared" si="14"/>
        <v>0</v>
      </c>
      <c r="AA29" s="98">
        <f t="shared" si="8"/>
        <v>0</v>
      </c>
      <c r="AB29" s="98">
        <f t="shared" si="9"/>
        <v>0</v>
      </c>
      <c r="AC29" s="98">
        <f t="shared" si="10"/>
        <v>0</v>
      </c>
      <c r="AD29" s="98">
        <f t="shared" si="11"/>
        <v>0</v>
      </c>
      <c r="AE29" s="16">
        <f t="shared" si="12"/>
        <v>0</v>
      </c>
      <c r="AF29" s="36">
        <f t="shared" si="13"/>
        <v>0</v>
      </c>
      <c r="AG29" s="21">
        <f t="shared" si="15"/>
        <v>2.86</v>
      </c>
    </row>
    <row r="30" spans="1:33" ht="20.399999999999999" customHeight="1" x14ac:dyDescent="0.3">
      <c r="A30" s="113">
        <v>10</v>
      </c>
      <c r="B30" s="120" t="s">
        <v>96</v>
      </c>
      <c r="C30" s="120" t="s">
        <v>97</v>
      </c>
      <c r="D30" s="134" t="s">
        <v>102</v>
      </c>
      <c r="E30" s="119">
        <v>28.1</v>
      </c>
      <c r="F30" s="113">
        <v>1.46</v>
      </c>
      <c r="G30" s="175" t="s">
        <v>104</v>
      </c>
      <c r="H30" s="177">
        <f>M29</f>
        <v>45978</v>
      </c>
      <c r="I30" s="136">
        <f t="shared" si="3"/>
        <v>45980</v>
      </c>
      <c r="J30" s="136">
        <f t="shared" si="4"/>
        <v>45980</v>
      </c>
      <c r="K30" s="136">
        <f t="shared" si="4"/>
        <v>45980</v>
      </c>
      <c r="L30" s="136">
        <f t="shared" si="5"/>
        <v>45981</v>
      </c>
      <c r="M30" s="177">
        <f>L30+2</f>
        <v>45983</v>
      </c>
      <c r="N30" s="136">
        <f t="shared" si="6"/>
        <v>45985</v>
      </c>
      <c r="O30" s="136">
        <f t="shared" si="7"/>
        <v>45984</v>
      </c>
      <c r="P30" s="180">
        <v>8.33</v>
      </c>
      <c r="R30" s="97"/>
      <c r="T30" s="101"/>
      <c r="U30" s="101"/>
      <c r="V30" s="101"/>
      <c r="W30" s="101"/>
      <c r="X30" s="101"/>
      <c r="Y30" s="99">
        <f t="shared" si="14"/>
        <v>0</v>
      </c>
      <c r="AA30" s="98">
        <f>$P$30*T30</f>
        <v>0</v>
      </c>
      <c r="AB30" s="98">
        <f t="shared" si="9"/>
        <v>0</v>
      </c>
      <c r="AC30" s="98">
        <f t="shared" si="10"/>
        <v>0</v>
      </c>
      <c r="AD30" s="98">
        <f t="shared" si="11"/>
        <v>0</v>
      </c>
      <c r="AE30" s="16">
        <f t="shared" si="12"/>
        <v>0</v>
      </c>
      <c r="AF30" s="36">
        <f t="shared" si="13"/>
        <v>0</v>
      </c>
      <c r="AG30" s="21">
        <f t="shared" si="15"/>
        <v>8.33</v>
      </c>
    </row>
    <row r="31" spans="1:33" ht="20.399999999999999" customHeight="1" x14ac:dyDescent="0.3">
      <c r="A31" s="113">
        <v>11</v>
      </c>
      <c r="B31" s="120" t="s">
        <v>98</v>
      </c>
      <c r="C31" s="120" t="s">
        <v>99</v>
      </c>
      <c r="D31" s="134" t="s">
        <v>102</v>
      </c>
      <c r="E31" s="119">
        <v>28.07</v>
      </c>
      <c r="F31" s="113">
        <v>1.44</v>
      </c>
      <c r="G31" s="175" t="s">
        <v>104</v>
      </c>
      <c r="H31" s="177">
        <f>M30</f>
        <v>45983</v>
      </c>
      <c r="I31" s="136">
        <f t="shared" si="3"/>
        <v>45985</v>
      </c>
      <c r="J31" s="136">
        <f t="shared" si="4"/>
        <v>45985</v>
      </c>
      <c r="K31" s="136">
        <f t="shared" si="4"/>
        <v>45985</v>
      </c>
      <c r="L31" s="136">
        <f t="shared" si="5"/>
        <v>45986</v>
      </c>
      <c r="M31" s="177">
        <f>L31+2</f>
        <v>45988</v>
      </c>
      <c r="N31" s="136">
        <f t="shared" si="6"/>
        <v>45990</v>
      </c>
      <c r="O31" s="136">
        <f t="shared" si="7"/>
        <v>45989</v>
      </c>
      <c r="P31" s="180">
        <v>8.2899999999999991</v>
      </c>
      <c r="R31" s="100"/>
      <c r="T31" s="101"/>
      <c r="U31" s="101"/>
      <c r="V31" s="101"/>
      <c r="W31" s="101"/>
      <c r="X31" s="101"/>
      <c r="Y31" s="99">
        <f t="shared" si="14"/>
        <v>0</v>
      </c>
      <c r="AA31" s="98">
        <f t="shared" si="8"/>
        <v>0</v>
      </c>
      <c r="AB31" s="98">
        <f t="shared" si="9"/>
        <v>0</v>
      </c>
      <c r="AC31" s="98">
        <f t="shared" si="10"/>
        <v>0</v>
      </c>
      <c r="AD31" s="98">
        <f>$P$31*W31</f>
        <v>0</v>
      </c>
      <c r="AE31" s="16">
        <f t="shared" si="12"/>
        <v>0</v>
      </c>
      <c r="AF31" s="36">
        <f t="shared" si="13"/>
        <v>0</v>
      </c>
      <c r="AG31" s="21">
        <f t="shared" si="15"/>
        <v>8.2899999999999991</v>
      </c>
    </row>
    <row r="32" spans="1:33" ht="20.399999999999999" customHeight="1" x14ac:dyDescent="0.3">
      <c r="A32" s="113">
        <v>12</v>
      </c>
      <c r="B32" s="120" t="s">
        <v>100</v>
      </c>
      <c r="C32" s="120" t="s">
        <v>101</v>
      </c>
      <c r="D32" s="134" t="s">
        <v>102</v>
      </c>
      <c r="E32" s="119">
        <v>32.22</v>
      </c>
      <c r="F32" s="113">
        <v>1.51</v>
      </c>
      <c r="G32" s="175" t="s">
        <v>104</v>
      </c>
      <c r="H32" s="177">
        <f>M31</f>
        <v>45988</v>
      </c>
      <c r="I32" s="136">
        <f t="shared" si="3"/>
        <v>45990</v>
      </c>
      <c r="J32" s="136">
        <f t="shared" si="4"/>
        <v>45990</v>
      </c>
      <c r="K32" s="136">
        <f t="shared" si="4"/>
        <v>45990</v>
      </c>
      <c r="L32" s="136">
        <f t="shared" si="5"/>
        <v>45991</v>
      </c>
      <c r="M32" s="177">
        <f>L32+2</f>
        <v>45993</v>
      </c>
      <c r="N32" s="136">
        <f t="shared" si="6"/>
        <v>45995</v>
      </c>
      <c r="O32" s="136">
        <f t="shared" si="7"/>
        <v>45994</v>
      </c>
      <c r="P32" s="180">
        <v>5.56</v>
      </c>
      <c r="R32" s="97"/>
      <c r="T32" s="101"/>
      <c r="U32" s="101"/>
      <c r="V32" s="101"/>
      <c r="W32" s="101"/>
      <c r="X32" s="101"/>
      <c r="Y32" s="99">
        <f t="shared" si="14"/>
        <v>0</v>
      </c>
      <c r="AA32" s="98">
        <f t="shared" si="8"/>
        <v>0</v>
      </c>
      <c r="AB32" s="98">
        <f t="shared" si="9"/>
        <v>0</v>
      </c>
      <c r="AC32" s="98">
        <f t="shared" si="10"/>
        <v>0</v>
      </c>
      <c r="AD32" s="98">
        <f t="shared" si="11"/>
        <v>0</v>
      </c>
      <c r="AE32" s="16">
        <f t="shared" si="12"/>
        <v>0</v>
      </c>
      <c r="AF32" s="36">
        <f t="shared" si="13"/>
        <v>0</v>
      </c>
      <c r="AG32" s="21">
        <f t="shared" si="15"/>
        <v>5.56</v>
      </c>
    </row>
    <row r="33" spans="1:33" ht="20.399999999999999" customHeight="1" x14ac:dyDescent="0.3">
      <c r="A33" s="113">
        <v>13</v>
      </c>
      <c r="B33" s="127"/>
      <c r="C33" s="127"/>
      <c r="D33" s="96"/>
      <c r="E33" s="119"/>
      <c r="F33" s="8"/>
      <c r="G33" s="124"/>
      <c r="H33" s="116"/>
      <c r="I33" s="116"/>
      <c r="J33" s="116"/>
      <c r="K33" s="116"/>
      <c r="L33" s="116"/>
      <c r="M33" s="116"/>
      <c r="N33" s="116"/>
      <c r="O33" s="116"/>
      <c r="P33" s="122"/>
      <c r="R33" s="100"/>
      <c r="T33" s="101"/>
      <c r="U33" s="101"/>
      <c r="V33" s="101"/>
      <c r="W33" s="101"/>
      <c r="X33" s="101"/>
      <c r="Y33" s="99">
        <f t="shared" si="14"/>
        <v>0</v>
      </c>
      <c r="AA33" s="98">
        <f t="shared" si="8"/>
        <v>0</v>
      </c>
      <c r="AB33" s="98">
        <f t="shared" si="9"/>
        <v>0</v>
      </c>
      <c r="AC33" s="98">
        <f t="shared" si="10"/>
        <v>0</v>
      </c>
      <c r="AD33" s="98">
        <f t="shared" si="11"/>
        <v>0</v>
      </c>
      <c r="AE33" s="16">
        <f t="shared" si="12"/>
        <v>0</v>
      </c>
      <c r="AF33" s="36">
        <f t="shared" si="13"/>
        <v>0</v>
      </c>
      <c r="AG33" s="21">
        <f t="shared" si="15"/>
        <v>0</v>
      </c>
    </row>
    <row r="34" spans="1:33" ht="15" customHeight="1" thickBot="1" x14ac:dyDescent="0.35">
      <c r="A34" s="113"/>
      <c r="B34" s="120"/>
      <c r="C34" s="120"/>
      <c r="D34" s="96"/>
      <c r="E34" s="118"/>
      <c r="F34" s="8"/>
      <c r="G34" s="124"/>
      <c r="H34" s="126"/>
      <c r="I34" s="116"/>
      <c r="J34" s="116"/>
      <c r="K34" s="116"/>
      <c r="L34" s="116"/>
      <c r="M34" s="126"/>
      <c r="N34" s="116"/>
      <c r="O34" s="116"/>
      <c r="P34" s="123"/>
      <c r="R34" s="100"/>
      <c r="T34" s="101"/>
      <c r="U34" s="101"/>
      <c r="V34" s="101"/>
      <c r="W34" s="101"/>
      <c r="X34" s="101"/>
      <c r="Y34" s="99">
        <f t="shared" si="14"/>
        <v>0</v>
      </c>
      <c r="AA34" s="98">
        <f t="shared" ref="AA34" si="16">$P$21*T34</f>
        <v>0</v>
      </c>
      <c r="AB34" s="98">
        <f t="shared" ref="AB34" si="17">$P$21*U34</f>
        <v>0</v>
      </c>
      <c r="AC34" s="98">
        <f t="shared" ref="AC34" si="18">$P$21*V34</f>
        <v>0</v>
      </c>
      <c r="AD34" s="98">
        <f t="shared" ref="AD34" si="19">$P$21*W34</f>
        <v>0</v>
      </c>
      <c r="AE34" s="16">
        <f t="shared" ref="AE34" si="20">$P$21*X34</f>
        <v>0</v>
      </c>
      <c r="AF34" s="36">
        <f t="shared" ref="AF34" si="21">SUM(AA34:AE34)</f>
        <v>0</v>
      </c>
      <c r="AG34" s="21">
        <f t="shared" si="15"/>
        <v>0</v>
      </c>
    </row>
    <row r="35" spans="1:33" ht="20.100000000000001" hidden="1" customHeight="1" thickBot="1" x14ac:dyDescent="0.35">
      <c r="A35" s="11"/>
      <c r="B35" s="102"/>
      <c r="C35" s="103"/>
      <c r="D35" s="103"/>
      <c r="E35" s="103"/>
      <c r="F35" s="103"/>
      <c r="G35" s="103"/>
      <c r="H35" s="87"/>
      <c r="I35" s="87"/>
      <c r="J35" s="87"/>
      <c r="K35" s="87"/>
      <c r="L35" s="87"/>
      <c r="M35" s="87"/>
      <c r="N35" s="87"/>
      <c r="O35" s="87"/>
      <c r="P35" s="17"/>
      <c r="R35" s="12"/>
      <c r="T35" s="25"/>
      <c r="U35" s="25"/>
      <c r="V35" s="25"/>
      <c r="W35" s="25"/>
      <c r="X35" s="25"/>
      <c r="Y35" s="26">
        <f t="shared" si="14"/>
        <v>0</v>
      </c>
      <c r="AA35" s="17">
        <f>$P$35*T35</f>
        <v>0</v>
      </c>
      <c r="AB35" s="17">
        <f t="shared" ref="AB35:AE35" si="22">$P$35*U35</f>
        <v>0</v>
      </c>
      <c r="AC35" s="17">
        <f t="shared" si="22"/>
        <v>0</v>
      </c>
      <c r="AD35" s="17">
        <f t="shared" si="22"/>
        <v>0</v>
      </c>
      <c r="AE35" s="17">
        <f t="shared" si="22"/>
        <v>0</v>
      </c>
      <c r="AF35" s="38">
        <f t="shared" ref="AF35" si="23">SUM(AA35:AE35)</f>
        <v>0</v>
      </c>
      <c r="AG35" s="22">
        <f t="shared" ref="AG35" si="24">P35-AF35</f>
        <v>0</v>
      </c>
    </row>
    <row r="36" spans="1:33" ht="20.100000000000001" customHeight="1" x14ac:dyDescent="0.3">
      <c r="A36" s="9"/>
      <c r="B36" s="10"/>
      <c r="C36" s="10"/>
      <c r="D36" s="9"/>
      <c r="E36" s="15">
        <f>SUM(E21:E35)</f>
        <v>329.69999999999993</v>
      </c>
      <c r="F36" s="15">
        <f>SUM(F21:F35)</f>
        <v>16.509999999999998</v>
      </c>
      <c r="G36" s="9"/>
      <c r="H36" s="10"/>
      <c r="I36" s="10"/>
      <c r="J36" s="10"/>
      <c r="K36" s="10"/>
      <c r="L36" s="10"/>
      <c r="M36" s="10"/>
      <c r="N36" s="10"/>
      <c r="O36" s="10"/>
      <c r="P36" s="18">
        <f>SUM(P21:P35)</f>
        <v>76.27000000000001</v>
      </c>
      <c r="R36" s="10"/>
      <c r="T36" s="27">
        <f>SUM(T21:T35)</f>
        <v>0</v>
      </c>
      <c r="U36" s="27">
        <f>SUM(U21:U35)</f>
        <v>0</v>
      </c>
      <c r="V36" s="27">
        <f>SUM(V21:V35)</f>
        <v>0</v>
      </c>
      <c r="W36" s="27">
        <f>SUM(W21:W35)</f>
        <v>0</v>
      </c>
      <c r="X36" s="27">
        <f>SUM(X21:X35)</f>
        <v>0</v>
      </c>
      <c r="Y36" s="27">
        <f>SUM(Y21:Y35)</f>
        <v>0</v>
      </c>
      <c r="AA36" s="18">
        <f t="shared" ref="AA36:AG36" si="25">SUM(AA21:AA35)</f>
        <v>0</v>
      </c>
      <c r="AB36" s="18">
        <f t="shared" si="25"/>
        <v>0</v>
      </c>
      <c r="AC36" s="18">
        <f t="shared" si="25"/>
        <v>0</v>
      </c>
      <c r="AD36" s="18">
        <f t="shared" si="25"/>
        <v>0</v>
      </c>
      <c r="AE36" s="18">
        <f t="shared" si="25"/>
        <v>0</v>
      </c>
      <c r="AF36" s="18">
        <f t="shared" si="25"/>
        <v>0</v>
      </c>
      <c r="AG36" s="18">
        <f t="shared" si="25"/>
        <v>76.050000000000011</v>
      </c>
    </row>
    <row r="38" spans="1:33" x14ac:dyDescent="0.3">
      <c r="N38" s="58" t="s">
        <v>78</v>
      </c>
      <c r="P38" s="3">
        <v>0.6</v>
      </c>
    </row>
    <row r="39" spans="1:33" x14ac:dyDescent="0.3">
      <c r="B39" s="79"/>
      <c r="C39" s="79"/>
      <c r="D39" s="80"/>
      <c r="E39" s="80"/>
      <c r="F39" s="80"/>
      <c r="G39" s="80"/>
      <c r="H39" s="79"/>
      <c r="I39" s="79"/>
      <c r="J39" s="79"/>
      <c r="N39" s="58" t="s">
        <v>79</v>
      </c>
      <c r="P39" s="3">
        <v>1.5</v>
      </c>
    </row>
    <row r="40" spans="1:33" x14ac:dyDescent="0.25">
      <c r="B40" s="81"/>
      <c r="C40" s="79"/>
      <c r="D40" s="80"/>
      <c r="E40" s="80"/>
      <c r="F40" s="80"/>
      <c r="G40" s="80"/>
      <c r="H40" s="79"/>
      <c r="I40" s="79"/>
      <c r="J40" s="79"/>
      <c r="N40" s="58" t="s">
        <v>76</v>
      </c>
      <c r="P40" s="82">
        <f>SUM(P36:P39)</f>
        <v>78.37</v>
      </c>
    </row>
  </sheetData>
  <autoFilter ref="A18:P34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8">
    <mergeCell ref="F18:F20"/>
    <mergeCell ref="G18:G20"/>
    <mergeCell ref="A18:A20"/>
    <mergeCell ref="B18:B20"/>
    <mergeCell ref="C18:C20"/>
    <mergeCell ref="D18:D20"/>
    <mergeCell ref="E18:E20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U19:U20"/>
    <mergeCell ref="V19:V20"/>
    <mergeCell ref="W19:W20"/>
    <mergeCell ref="X19:X20"/>
    <mergeCell ref="P18:P19"/>
    <mergeCell ref="O19:O20"/>
    <mergeCell ref="H19:I19"/>
    <mergeCell ref="J19:K19"/>
    <mergeCell ref="L19:M19"/>
    <mergeCell ref="H18:O18"/>
    <mergeCell ref="N19:N20"/>
  </mergeCells>
  <phoneticPr fontId="8" type="noConversion"/>
  <conditionalFormatting sqref="B21:B22">
    <cfRule type="duplicateValues" dxfId="141" priority="41"/>
    <cfRule type="duplicateValues" dxfId="140" priority="42"/>
    <cfRule type="duplicateValues" dxfId="139" priority="43"/>
    <cfRule type="duplicateValues" dxfId="138" priority="44"/>
  </conditionalFormatting>
  <conditionalFormatting sqref="B24">
    <cfRule type="duplicateValues" dxfId="137" priority="24"/>
    <cfRule type="duplicateValues" dxfId="136" priority="25"/>
    <cfRule type="duplicateValues" dxfId="135" priority="26"/>
    <cfRule type="duplicateValues" dxfId="134" priority="27"/>
    <cfRule type="duplicateValues" dxfId="133" priority="1049"/>
  </conditionalFormatting>
  <conditionalFormatting sqref="B25:B26 B21:B23">
    <cfRule type="duplicateValues" dxfId="132" priority="1056"/>
  </conditionalFormatting>
  <conditionalFormatting sqref="B27:B29">
    <cfRule type="duplicateValues" dxfId="131" priority="2"/>
    <cfRule type="duplicateValues" dxfId="130" priority="12"/>
  </conditionalFormatting>
  <conditionalFormatting sqref="B32">
    <cfRule type="duplicateValues" dxfId="129" priority="13"/>
  </conditionalFormatting>
  <conditionalFormatting sqref="B34 B21:B26">
    <cfRule type="duplicateValues" dxfId="128" priority="1150"/>
    <cfRule type="duplicateValues" dxfId="127" priority="1151"/>
    <cfRule type="duplicateValues" dxfId="126" priority="1152"/>
  </conditionalFormatting>
  <conditionalFormatting sqref="B35:B1048576 B1:B20">
    <cfRule type="duplicateValues" dxfId="125" priority="307"/>
  </conditionalFormatting>
  <conditionalFormatting sqref="B21:B22 B24">
    <cfRule type="expression" dxfId="124" priority="1179" stopIfTrue="1">
      <formula>AND(COUNTIF($E$242:$E$65344, B21)+COUNTIF($E$222:$E$223, B21)+COUNTIF($E$184:$E$185, B21)+COUNTIF($E$142:$E$145, B21)+COUNTIF($E$119:$E$120, B21)+COUNTIF($E$92:$E$93, B21)+COUNTIF($E$71:$E$71, B21)+COUNTIF($E$65:$E$65, B21)+COUNTIF(#REF!, B21)+COUNTIF($E$38:$E$39, B21)+COUNTIF(#REF!, B21)+COUNTIF($E$10:$E$67, B21)+COUNTIF(#REF!, B21)+COUNTIF($E$2:$E$23, B21)&gt;1,NOT(ISBLANK(B21)))</formula>
    </cfRule>
    <cfRule type="expression" dxfId="123" priority="1180" stopIfTrue="1">
      <formula>AND(COUNTIF($E$2:$E$65334, B21)+COUNTIF(#REF!, B21)&gt;1,NOT(ISBLANK(B21)))</formula>
    </cfRule>
    <cfRule type="expression" dxfId="122" priority="1181" stopIfTrue="1">
      <formula>AND(COUNTIF($E$232:$E$65334, B21)+COUNTIF($E$212:$E$213, B21)+COUNTIF($E$174:$E$175, B21)+COUNTIF($E$132:$E$135, B21)+COUNTIF($E$109:$E$110, B21)+COUNTIF($E$82:$E$83, B21)+COUNTIF(#REF!, B21)+COUNTIF($E$58:$E$58, B21)+COUNTIF($E$39:$E$39, B21)+COUNTIF($E$35:$E$35, B21)+COUNTIF(#REF!, B21)+COUNTIF($E$5:$E$23, B21)+COUNTIF(#REF!, B21)+COUNTIF($E$2:$E$4, B21)&gt;1,NOT(ISBLANK(B21)))</formula>
    </cfRule>
    <cfRule type="expression" dxfId="121" priority="1182" stopIfTrue="1">
      <formula>AND(COUNTIF($E$2:$E$65344, B21)+COUNTIF(#REF!, B21)&gt;1,NOT(ISBLANK(B21)))</formula>
    </cfRule>
    <cfRule type="expression" dxfId="120" priority="1183" stopIfTrue="1">
      <formula>AND(COUNTIF($E$2:$E$65332, B21)+COUNTIF(#REF!, B21)&gt;1,NOT(ISBLANK(B21)))</formula>
    </cfRule>
    <cfRule type="expression" dxfId="119" priority="1184" stopIfTrue="1">
      <formula>AND(COUNTIF($E$230:$E$65332, B21)+COUNTIF($E$210:$E$211, B21)+COUNTIF($E$172:$E$173, B21)+COUNTIF($E$130:$E$133, B21)+COUNTIF($E$107:$E$108, B21)+COUNTIF($E$80:$E$81, B21)+COUNTIF(#REF!, B21)+COUNTIF($E$56:$E$57, B21)+COUNTIF($E$37:$E$37, B21)+COUNTIF(#REF!, B21)+COUNTIF(#REF!, B21)+COUNTIF($E$5:$E$23, B21)+COUNTIF(#REF!, B21)+COUNTIF($E$2:$E$4, B21)&gt;1,NOT(ISBLANK(B21)))</formula>
    </cfRule>
    <cfRule type="expression" dxfId="118" priority="1185" stopIfTrue="1">
      <formula>AND(COUNTIF($C$2:$C$65338, B21)+COUNTIF(#REF!, B21)&gt;1,NOT(ISBLANK(B21)))</formula>
    </cfRule>
    <cfRule type="expression" dxfId="117" priority="1186" stopIfTrue="1">
      <formula>AND(COUNTIF($C$192:$C$65338, B21)+COUNTIF($C$172:$C$173, B21)+COUNTIF($C$134:$C$135, B21)+COUNTIF($C$92:$C$95, B21)+COUNTIF($C$69:$C$70, B21)+COUNTIF(#REF!, B21)+COUNTIF($C$39:$C$39, B21)+COUNTIF(#REF!, B21)+COUNTIF(#REF!, B21)+COUNTIF(#REF!, B21)+COUNTIF(#REF!, B21)+COUNTIF($C$5:$C$23, B21)+COUNTIF(#REF!, B21)+COUNTIF($C$2:$C$3, B21)&gt;1,NOT(ISBLANK(B21)))</formula>
    </cfRule>
  </conditionalFormatting>
  <conditionalFormatting sqref="B27:B32">
    <cfRule type="expression" dxfId="116" priority="1195" stopIfTrue="1">
      <formula>AND(COUNTIF($C$1:$C$65288, B27)+COUNTIF(#REF!, B27)&gt;1,NOT(ISBLANK(B27)))</formula>
    </cfRule>
    <cfRule type="expression" dxfId="115" priority="1196" stopIfTrue="1">
      <formula>AND(COUNTIF($C$142:$C$65288, B27)+COUNTIF($C$122:$C$123, B27)+COUNTIF($C$84:$C$85, B27)+COUNTIF($C$42:$C$45, B27)+COUNTIF(#REF!, B27)+COUNTIF(#REF!, B27)+COUNTIF(#REF!, B27)+COUNTIF(#REF!, B27)+COUNTIF(#REF!, B27)+COUNTIF(#REF!, B27)+COUNTIF(#REF!, B27)+COUNTIF($C$14:$C$14, B27)+COUNTIF(#REF!, B27)+COUNTIF($C$1:$C$5, B27)&gt;1,NOT(ISBLANK(B27)))</formula>
    </cfRule>
  </conditionalFormatting>
  <conditionalFormatting sqref="B27:B32">
    <cfRule type="expression" dxfId="114" priority="1197" stopIfTrue="1">
      <formula>AND(COUNTIF($C$2:$C$65297, B27)+COUNTIF(#REF!, B27)&gt;1,NOT(ISBLANK(B27)))</formula>
    </cfRule>
    <cfRule type="expression" dxfId="113" priority="1198" stopIfTrue="1">
      <formula>AND(COUNTIF($C$151:$C$65297, B27)+COUNTIF($C$131:$C$132, B27)+COUNTIF($C$93:$C$94, B27)+COUNTIF($C$51:$C$54, B27)+COUNTIF(#REF!, B27)+COUNTIF(#REF!, B27)+COUNTIF($C$28:$C$28, B27)+COUNTIF(#REF!, B27)+COUNTIF(#REF!, B27)+COUNTIF(#REF!, B27)+COUNTIF(#REF!, B27)+COUNTIF(#REF!, B27)+COUNTIF($B$9:$B$14, B27)+COUNTIF($C$2:$C$8, B27)&gt;1,NOT(ISBLANK(B27)))</formula>
    </cfRule>
  </conditionalFormatting>
  <conditionalFormatting sqref="B27:B33">
    <cfRule type="duplicateValues" dxfId="112" priority="1199"/>
  </conditionalFormatting>
  <conditionalFormatting sqref="B30:B31">
    <cfRule type="duplicateValues" dxfId="111" priority="1200"/>
  </conditionalFormatting>
  <conditionalFormatting sqref="B30:B31">
    <cfRule type="duplicateValues" dxfId="110" priority="1201"/>
  </conditionalFormatting>
  <conditionalFormatting sqref="L4">
    <cfRule type="expression" dxfId="109" priority="1206" stopIfTrue="1">
      <formula>AND(COUNTIF($C$320:$C$65466, L4)+COUNTIF($C$300:$C$301, L4)+COUNTIF($C$262:$C$263, L4)+COUNTIF($C$220:$C$223, L4)+COUNTIF($C$197:$C$198, L4)+COUNTIF($C$170:$C$171, L4)+COUNTIF($C$149:$C$149, L4)+COUNTIF($C$134:$C$135, L4)+COUNTIF($C$109:$C$109, L4)+COUNTIF($C$98:$C$99, L4)+COUNTIF($C$79:$C$80, L4)+COUNTIF($C$35:$C$62, L4)+COUNTIF($C$64:$C$66, L4)+COUNTIF($C$1:$C$33, L4)&gt;1,NOT(ISBLANK(L4)))</formula>
    </cfRule>
    <cfRule type="expression" dxfId="108" priority="1207" stopIfTrue="1">
      <formula>AND(COUNTIF($C$1:$C$65466, L4)+COUNTIF(#REF!, L4)&gt;1,NOT(ISBLANK(L4)))</formula>
    </cfRule>
  </conditionalFormatting>
  <conditionalFormatting sqref="M4">
    <cfRule type="expression" dxfId="107" priority="1208" stopIfTrue="1">
      <formula>AND(COUNTIF($D$337:$D$65466, M4)+COUNTIF($D$1:$D$33, M4)+COUNTIF(#REF!, M4)+COUNTIF($D$320:$D$321, M4)+COUNTIF($D$300:$D$301, M4)+COUNTIF($D$262:$D$263, M4)+COUNTIF($D$220:$D$223, M4)+COUNTIF($D$197:$D$198, M4)+COUNTIF($D$170:$D$171, M4)+COUNTIF($D$149:$D$149, M4)+COUNTIF($D$134:$D$135, M4)+COUNTIF($D$109:$D$109, M4)+COUNTIF($D$98:$D$99, M4)+COUNTIF($D$79:$D$80, M4)+COUNTIF($D$64:$D$66, M4)&gt;1,NOT(ISBLANK(M4)))</formula>
    </cfRule>
    <cfRule type="expression" dxfId="106" priority="1209" stopIfTrue="1">
      <formula>AND(COUNTIF($D$320:$D$65466, M4)+COUNTIF(#REF!, M4)+COUNTIF($D$1:$D$33, M4)+COUNTIF($D$300:$D$301, M4)+COUNTIF($D$262:$D$263, M4)+COUNTIF($D$220:$D$223, M4)+COUNTIF($D$197:$D$198, M4)+COUNTIF($D$170:$D$171, M4)+COUNTIF($D$149:$D$149, M4)+COUNTIF($D$134:$D$135, M4)+COUNTIF($D$109:$D$109, M4)+COUNTIF($D$98:$D$99, M4)+COUNTIF($D$79:$D$80, M4)+COUNTIF($D$64:$D$66, M4)&gt;1,NOT(ISBLANK(M4)))</formula>
    </cfRule>
    <cfRule type="expression" dxfId="105" priority="1210" stopIfTrue="1">
      <formula>AND(COUNTIF($D$300:$D$65466, M4)+COUNTIF($D$1:$D$33, M4)+COUNTIF($D$262:$D$263, M4)+COUNTIF(#REF!, M4)+COUNTIF($D$220:$D$223, M4)+COUNTIF($D$197:$D$198, M4)+COUNTIF($D$170:$D$171, M4)+COUNTIF($D$149:$D$149, M4)+COUNTIF($D$134:$D$135, M4)+COUNTIF($D$109:$D$109, M4)+COUNTIF($D$98:$D$99, M4)+COUNTIF($D$79:$D$80, M4)+COUNTIF($D$64:$D$66, M4)&gt;1,NOT(ISBLANK(M4)))</formula>
    </cfRule>
    <cfRule type="expression" dxfId="104" priority="1211" stopIfTrue="1">
      <formula>AND(COUNTIF($D$262:$D$65466, M4)+COUNTIF($D$1:$D$33, M4)+COUNTIF(#REF!, M4)+COUNTIF($D$220:$D$223, M4)+COUNTIF($D$197:$D$198, M4)+COUNTIF($D$170:$D$171, M4)+COUNTIF($D$149:$D$149, M4)+COUNTIF($D$134:$D$135, M4)+COUNTIF($D$109:$D$109, M4)+COUNTIF($D$98:$D$99, M4)+COUNTIF($D$79:$D$80, M4)+COUNTIF($D$64:$D$66, M4)&gt;1,NOT(ISBLANK(M4)))</formula>
    </cfRule>
    <cfRule type="expression" dxfId="103" priority="1212" stopIfTrue="1">
      <formula>AND(COUNTIF($D$220:$D$65466, M4)+COUNTIF(#REF!, M4)+COUNTIF($D$1:$D$33, M4)+COUNTIF($D$197:$D$198, M4)+COUNTIF($D$170:$D$171, M4)+COUNTIF($D$149:$D$149, M4)+COUNTIF($D$134:$D$135, M4)+COUNTIF($D$109:$D$109, M4)+COUNTIF($D$98:$D$99, M4)+COUNTIF($D$79:$D$80, M4)+COUNTIF($D$64:$D$66, M4)&gt;1,NOT(ISBLANK(M4)))</formula>
    </cfRule>
    <cfRule type="expression" dxfId="102" priority="1213" stopIfTrue="1">
      <formula>AND(COUNTIF($D$220:$D$65466, M4)+COUNTIF($D$197:$D$198, M4)+COUNTIF($D$170:$D$171, M4)+COUNTIF($D$149:$D$149, M4)+COUNTIF($D$134:$D$135, M4)+COUNTIF($D$1:$D$33, M4)+COUNTIF(#REF!, M4)+COUNTIF($D$109:$D$109, M4)+COUNTIF($D$98:$D$99, M4)+COUNTIF(#REF!, M4)+COUNTIF($D$79:$D$80, M4)+COUNTIF($D$57:$D$57, M4)+COUNTIF($D$59:$D$66, M4)+COUNTIF(#REF!, M4)&gt;1,NOT(ISBLANK(M4)))</formula>
    </cfRule>
    <cfRule type="expression" dxfId="101" priority="1214" stopIfTrue="1">
      <formula>AND(COUNTIF($D$197:$D$65466, M4)+COUNTIF($D$170:$D$171, M4)+COUNTIF($D$149:$D$149, M4)+COUNTIF($D$134:$D$135, M4)+COUNTIF($D$1:$D$33, M4)+COUNTIF(#REF!, M4)+COUNTIF($D$109:$D$109, M4)+COUNTIF($D$98:$D$99, M4)+COUNTIF(#REF!, M4)+COUNTIF($D$79:$D$80, M4)+COUNTIF($D$57:$D$57, M4)+COUNTIF($D$59:$D$66, M4)+COUNTIF(#REF!, M4)&gt;1,NOT(ISBLANK(M4)))</formula>
    </cfRule>
    <cfRule type="expression" dxfId="100" priority="1215" stopIfTrue="1">
      <formula>AND(COUNTIF($F$375:$F$65460, M4)+COUNTIF($F$1:$F$33, M4)+COUNTIF(#REF!, M4)+COUNTIF($F$358:$F$359, M4)+COUNTIF($F$338:$F$339, M4)+COUNTIF($F$300:$F$301, M4)+COUNTIF($F$258:$F$261, M4)+COUNTIF($F$235:$F$236, M4)+COUNTIF($F$208:$F$209, M4)+COUNTIF($F$187:$F$187, M4)+COUNTIF($F$172:$F$173, M4)+COUNTIF($F$147:$F$147, M4)+COUNTIF($F$136:$F$137, M4)+COUNTIF($F$117:$F$118, M4)+COUNTIF($F$102:$F$104, M4)&gt;1,NOT(ISBLANK(M4)))</formula>
    </cfRule>
    <cfRule type="expression" dxfId="99" priority="1216" stopIfTrue="1">
      <formula>AND(COUNTIF($F$358:$F$65460, M4)+COUNTIF(#REF!, M4)+COUNTIF($F$1:$F$33, M4)+COUNTIF($F$338:$F$339, M4)+COUNTIF($F$300:$F$301, M4)+COUNTIF($F$258:$F$261, M4)+COUNTIF($F$235:$F$236, M4)+COUNTIF($F$208:$F$209, M4)+COUNTIF($F$187:$F$187, M4)+COUNTIF($F$172:$F$173, M4)+COUNTIF($F$147:$F$147, M4)+COUNTIF($F$136:$F$137, M4)+COUNTIF($F$117:$F$118, M4)+COUNTIF($F$102:$F$104, M4)&gt;1,NOT(ISBLANK(M4)))</formula>
    </cfRule>
    <cfRule type="expression" dxfId="98" priority="1217" stopIfTrue="1">
      <formula>AND(COUNTIF($F$338:$F$65460, M4)+COUNTIF($F$1:$F$33, M4)+COUNTIF($F$300:$F$301, M4)+COUNTIF(#REF!, M4)+COUNTIF($F$258:$F$261, M4)+COUNTIF($F$235:$F$236, M4)+COUNTIF($F$208:$F$209, M4)+COUNTIF($F$187:$F$187, M4)+COUNTIF($F$172:$F$173, M4)+COUNTIF($F$147:$F$147, M4)+COUNTIF($F$136:$F$137, M4)+COUNTIF($F$117:$F$118, M4)+COUNTIF($F$102:$F$104, M4)&gt;1,NOT(ISBLANK(M4)))</formula>
    </cfRule>
    <cfRule type="expression" dxfId="97" priority="1218" stopIfTrue="1">
      <formula>AND(COUNTIF($F$300:$F$65460, M4)+COUNTIF($F$1:$F$33, M4)+COUNTIF(#REF!, M4)+COUNTIF($F$258:$F$261, M4)+COUNTIF($F$235:$F$236, M4)+COUNTIF($F$208:$F$209, M4)+COUNTIF($F$187:$F$187, M4)+COUNTIF($F$172:$F$173, M4)+COUNTIF($F$147:$F$147, M4)+COUNTIF($F$136:$F$137, M4)+COUNTIF($F$117:$F$118, M4)+COUNTIF($F$102:$F$104, M4)&gt;1,NOT(ISBLANK(M4)))</formula>
    </cfRule>
    <cfRule type="expression" dxfId="96" priority="1219" stopIfTrue="1">
      <formula>AND(COUNTIF($F$258:$F$65460, M4)+COUNTIF(#REF!, M4)+COUNTIF($F$1:$F$33, M4)+COUNTIF($F$235:$F$236, M4)+COUNTIF($F$208:$F$209, M4)+COUNTIF($F$187:$F$187, M4)+COUNTIF($F$172:$F$173, M4)+COUNTIF($F$147:$F$147, M4)+COUNTIF($F$136:$F$137, M4)+COUNTIF($F$117:$F$118, M4)+COUNTIF($F$102:$F$104, M4)&gt;1,NOT(ISBLANK(M4)))</formula>
    </cfRule>
    <cfRule type="expression" dxfId="95" priority="1220" stopIfTrue="1">
      <formula>AND(COUNTIF($F$258:$F$65460, M4)+COUNTIF($F$235:$F$236, M4)+COUNTIF($F$208:$F$209, M4)+COUNTIF($F$187:$F$187, M4)+COUNTIF($F$172:$F$173, M4)+COUNTIF($F$1:$F$33, M4)+COUNTIF(#REF!, M4)+COUNTIF($F$147:$F$147, M4)+COUNTIF($F$136:$F$137, M4)+COUNTIF(#REF!, M4)+COUNTIF($F$117:$F$118, M4)+COUNTIF($F$95:$F$95, M4)+COUNTIF($F$97:$F$104, M4)+COUNTIF(#REF!, M4)&gt;1,NOT(ISBLANK(M4)))</formula>
    </cfRule>
    <cfRule type="expression" dxfId="94" priority="1221" stopIfTrue="1">
      <formula>AND(COUNTIF($F$235:$F$65460, M4)+COUNTIF($F$208:$F$209, M4)+COUNTIF($F$187:$F$187, M4)+COUNTIF($F$172:$F$173, M4)+COUNTIF($F$1:$F$33, M4)+COUNTIF(#REF!, M4)+COUNTIF($F$147:$F$147, M4)+COUNTIF($F$136:$F$137, M4)+COUNTIF(#REF!, M4)+COUNTIF($F$117:$F$118, M4)+COUNTIF($F$95:$F$95, M4)+COUNTIF($F$97:$F$104, M4)+COUNTIF(#REF!,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6"/>
  <sheetViews>
    <sheetView workbookViewId="0">
      <selection activeCell="U5" sqref="U5"/>
    </sheetView>
  </sheetViews>
  <sheetFormatPr defaultRowHeight="14.4" x14ac:dyDescent="0.3"/>
  <cols>
    <col min="2" max="2" width="12.6640625" customWidth="1"/>
    <col min="5" max="5" width="13.33203125" customWidth="1"/>
    <col min="6" max="6" width="14.6640625" customWidth="1"/>
    <col min="7" max="7" width="13.5546875" customWidth="1"/>
    <col min="8" max="15" width="0" hidden="1" customWidth="1"/>
    <col min="16" max="16" width="16.109375" customWidth="1"/>
    <col min="17" max="17" width="0" hidden="1" customWidth="1"/>
    <col min="18" max="18" width="27" customWidth="1"/>
  </cols>
  <sheetData>
    <row r="2" spans="2:18" ht="15" thickBot="1" x14ac:dyDescent="0.35"/>
    <row r="3" spans="2:18" ht="54.6" thickBot="1" x14ac:dyDescent="0.35">
      <c r="B3" s="59" t="s">
        <v>52</v>
      </c>
      <c r="C3" s="59" t="s">
        <v>53</v>
      </c>
      <c r="D3" s="59" t="s">
        <v>6</v>
      </c>
      <c r="E3" s="59" t="s">
        <v>54</v>
      </c>
      <c r="F3" s="59" t="s">
        <v>55</v>
      </c>
      <c r="G3" s="60" t="s">
        <v>56</v>
      </c>
      <c r="H3" s="61" t="s">
        <v>57</v>
      </c>
      <c r="I3" s="61" t="s">
        <v>58</v>
      </c>
      <c r="J3" s="62" t="s">
        <v>59</v>
      </c>
      <c r="K3" s="61" t="s">
        <v>60</v>
      </c>
      <c r="L3" s="61" t="s">
        <v>61</v>
      </c>
      <c r="M3" s="61" t="s">
        <v>62</v>
      </c>
      <c r="N3" s="61" t="s">
        <v>63</v>
      </c>
      <c r="O3" s="61" t="s">
        <v>64</v>
      </c>
      <c r="P3" s="61" t="s">
        <v>74</v>
      </c>
      <c r="Q3" s="61" t="s">
        <v>65</v>
      </c>
      <c r="R3" s="61" t="s">
        <v>73</v>
      </c>
    </row>
    <row r="4" spans="2:18" ht="60" customHeight="1" x14ac:dyDescent="0.3">
      <c r="B4" s="63" t="s">
        <v>68</v>
      </c>
      <c r="C4" s="64" t="s">
        <v>66</v>
      </c>
      <c r="D4" s="65" t="s">
        <v>67</v>
      </c>
      <c r="E4" s="66" t="s">
        <v>69</v>
      </c>
      <c r="F4" s="67" t="s">
        <v>70</v>
      </c>
      <c r="G4" s="65">
        <v>45393</v>
      </c>
      <c r="H4" s="68">
        <v>26.861743999999998</v>
      </c>
      <c r="I4" s="69">
        <v>0.46323200000000003</v>
      </c>
      <c r="J4" s="70">
        <v>26.861743999999998</v>
      </c>
      <c r="K4" s="71">
        <v>0</v>
      </c>
      <c r="L4" s="72"/>
      <c r="M4" s="72"/>
      <c r="N4" s="72"/>
      <c r="O4" s="72">
        <v>0</v>
      </c>
      <c r="P4" s="75">
        <v>26.861743999999998</v>
      </c>
      <c r="Q4" s="73">
        <v>0</v>
      </c>
      <c r="R4" s="164" t="s">
        <v>75</v>
      </c>
    </row>
    <row r="5" spans="2:18" ht="15.6" x14ac:dyDescent="0.3">
      <c r="B5" s="63" t="s">
        <v>68</v>
      </c>
      <c r="C5" s="64" t="s">
        <v>66</v>
      </c>
      <c r="D5" s="65" t="s">
        <v>67</v>
      </c>
      <c r="E5" s="66" t="s">
        <v>71</v>
      </c>
      <c r="F5" s="67" t="s">
        <v>72</v>
      </c>
      <c r="G5" s="65">
        <v>45397</v>
      </c>
      <c r="H5" s="74">
        <v>126.634</v>
      </c>
      <c r="I5" s="69">
        <v>2.1840000000000002</v>
      </c>
      <c r="J5" s="70">
        <v>126.634</v>
      </c>
      <c r="K5" s="71"/>
      <c r="L5" s="72"/>
      <c r="M5" s="72"/>
      <c r="N5" s="72"/>
      <c r="O5" s="72"/>
      <c r="P5" s="75">
        <v>126.634</v>
      </c>
      <c r="Q5" s="73">
        <v>0</v>
      </c>
      <c r="R5" s="165"/>
    </row>
    <row r="6" spans="2:18" s="78" customFormat="1" x14ac:dyDescent="0.3">
      <c r="B6" s="166" t="s">
        <v>29</v>
      </c>
      <c r="C6" s="167"/>
      <c r="D6" s="168"/>
      <c r="E6" s="76">
        <v>160</v>
      </c>
      <c r="F6" s="76"/>
      <c r="G6" s="76"/>
      <c r="H6" s="76"/>
      <c r="I6" s="76"/>
      <c r="J6" s="76"/>
      <c r="K6" s="76"/>
      <c r="L6" s="76"/>
      <c r="M6" s="76"/>
      <c r="N6" s="76"/>
      <c r="O6" s="76"/>
      <c r="P6" s="77">
        <f>SUM(P4:P5)</f>
        <v>153.495744</v>
      </c>
      <c r="Q6" s="76"/>
      <c r="R6" s="76"/>
    </row>
  </sheetData>
  <mergeCells count="2">
    <mergeCell ref="R4:R5"/>
    <mergeCell ref="B6:D6"/>
  </mergeCells>
  <conditionalFormatting sqref="E4:E5">
    <cfRule type="containsText" dxfId="93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6"/>
  <sheetViews>
    <sheetView tabSelected="1" zoomScale="90" zoomScaleNormal="90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F38" sqref="F38"/>
    </sheetView>
  </sheetViews>
  <sheetFormatPr defaultColWidth="9.109375" defaultRowHeight="14.4" x14ac:dyDescent="0.3"/>
  <cols>
    <col min="1" max="1" width="3.44140625" style="4" customWidth="1"/>
    <col min="2" max="2" width="10" style="1" customWidth="1"/>
    <col min="3" max="3" width="11.33203125" style="1" customWidth="1"/>
    <col min="4" max="4" width="12.5546875" style="4" customWidth="1"/>
    <col min="5" max="5" width="12.6640625" style="4" customWidth="1"/>
    <col min="6" max="6" width="11.88671875" style="4" customWidth="1"/>
    <col min="7" max="7" width="14.6640625" style="4" customWidth="1"/>
    <col min="8" max="10" width="10.6640625" style="1" customWidth="1"/>
    <col min="11" max="11" width="15.5546875" style="1" customWidth="1"/>
    <col min="12" max="12" width="3.109375" style="1" customWidth="1"/>
    <col min="13" max="13" width="14.5546875" style="1" customWidth="1"/>
    <col min="14" max="14" width="3.109375" style="1" customWidth="1"/>
    <col min="15" max="20" width="8.6640625" style="1" customWidth="1"/>
    <col min="21" max="21" width="3.109375" style="1" customWidth="1"/>
    <col min="22" max="22" width="14.33203125" style="1" customWidth="1"/>
    <col min="23" max="26" width="10.6640625" style="1" customWidth="1"/>
    <col min="27" max="27" width="11.6640625" style="1" customWidth="1"/>
    <col min="28" max="28" width="14.88671875" style="1" customWidth="1"/>
    <col min="29" max="16384" width="9.109375" style="1"/>
  </cols>
  <sheetData>
    <row r="1" spans="1:11" ht="15" thickBot="1" x14ac:dyDescent="0.35">
      <c r="A1" s="14" t="s">
        <v>0</v>
      </c>
      <c r="D1" s="39" t="s">
        <v>106</v>
      </c>
    </row>
    <row r="2" spans="1:11" x14ac:dyDescent="0.3">
      <c r="A2" s="14" t="s">
        <v>21</v>
      </c>
      <c r="D2" s="181" t="s">
        <v>107</v>
      </c>
    </row>
    <row r="3" spans="1:11" x14ac:dyDescent="0.3">
      <c r="A3" s="6"/>
      <c r="D3" s="1"/>
    </row>
    <row r="4" spans="1:11" x14ac:dyDescent="0.3">
      <c r="A4" s="14" t="s">
        <v>22</v>
      </c>
      <c r="D4" s="46" t="s">
        <v>38</v>
      </c>
      <c r="E4" s="29" t="s">
        <v>35</v>
      </c>
    </row>
    <row r="5" spans="1:11" x14ac:dyDescent="0.3">
      <c r="A5" s="6"/>
      <c r="D5" s="2" t="s">
        <v>29</v>
      </c>
      <c r="E5" s="41">
        <v>127</v>
      </c>
      <c r="F5" s="56"/>
    </row>
    <row r="6" spans="1:11" ht="16.2" x14ac:dyDescent="0.3">
      <c r="A6" s="6"/>
      <c r="D6" s="2" t="s">
        <v>105</v>
      </c>
      <c r="E6" s="42">
        <v>89</v>
      </c>
      <c r="K6" s="114"/>
    </row>
    <row r="7" spans="1:11" x14ac:dyDescent="0.3">
      <c r="A7" s="6"/>
      <c r="D7" s="2" t="s">
        <v>2</v>
      </c>
      <c r="E7" s="31">
        <f>E5-E6</f>
        <v>38</v>
      </c>
    </row>
    <row r="8" spans="1:11" ht="5.0999999999999996" customHeight="1" thickBot="1" x14ac:dyDescent="0.35">
      <c r="A8" s="6"/>
      <c r="D8" s="1"/>
    </row>
    <row r="9" spans="1:11" ht="15" thickBot="1" x14ac:dyDescent="0.35">
      <c r="A9" s="14" t="s">
        <v>23</v>
      </c>
      <c r="D9" s="40">
        <v>45962</v>
      </c>
      <c r="E9" s="43">
        <v>20</v>
      </c>
      <c r="F9" s="3" t="s">
        <v>3</v>
      </c>
      <c r="G9" s="94">
        <f>K45</f>
        <v>91.415000000000006</v>
      </c>
      <c r="H9" s="3" t="s">
        <v>32</v>
      </c>
    </row>
    <row r="10" spans="1:11" ht="5.0999999999999996" customHeight="1" x14ac:dyDescent="0.3">
      <c r="A10" s="14"/>
      <c r="D10" s="1"/>
      <c r="E10" s="1"/>
      <c r="F10" s="14"/>
    </row>
    <row r="11" spans="1:11" x14ac:dyDescent="0.3">
      <c r="A11" s="14" t="s">
        <v>33</v>
      </c>
      <c r="D11" s="2" t="s">
        <v>24</v>
      </c>
      <c r="E11" s="34">
        <f>O45</f>
        <v>0</v>
      </c>
      <c r="F11" s="47">
        <f>E11/$E$9</f>
        <v>0</v>
      </c>
      <c r="G11" s="30">
        <f>V45</f>
        <v>0</v>
      </c>
      <c r="H11" s="47">
        <f>G11/$G$9</f>
        <v>0</v>
      </c>
    </row>
    <row r="12" spans="1:11" x14ac:dyDescent="0.3">
      <c r="A12" s="5"/>
      <c r="D12" s="2" t="s">
        <v>25</v>
      </c>
      <c r="E12" s="34">
        <f>P45</f>
        <v>0</v>
      </c>
      <c r="F12" s="47">
        <f t="shared" ref="F12:F16" si="0">E12/$E$9</f>
        <v>0</v>
      </c>
      <c r="G12" s="30">
        <f>W45</f>
        <v>0</v>
      </c>
      <c r="H12" s="47">
        <f t="shared" ref="H12:H16" si="1">G12/$G$9</f>
        <v>0</v>
      </c>
    </row>
    <row r="13" spans="1:11" x14ac:dyDescent="0.3">
      <c r="A13" s="5"/>
      <c r="D13" s="2" t="s">
        <v>26</v>
      </c>
      <c r="E13" s="34">
        <f>Q45</f>
        <v>0</v>
      </c>
      <c r="F13" s="47">
        <f t="shared" si="0"/>
        <v>0</v>
      </c>
      <c r="G13" s="30">
        <f>X45</f>
        <v>0</v>
      </c>
      <c r="H13" s="47">
        <f t="shared" si="1"/>
        <v>0</v>
      </c>
    </row>
    <row r="14" spans="1:11" x14ac:dyDescent="0.3">
      <c r="A14" s="5"/>
      <c r="D14" s="2" t="s">
        <v>27</v>
      </c>
      <c r="E14" s="34">
        <f>R45</f>
        <v>0</v>
      </c>
      <c r="F14" s="47">
        <f t="shared" si="0"/>
        <v>0</v>
      </c>
      <c r="G14" s="30">
        <f>Y45</f>
        <v>0</v>
      </c>
      <c r="H14" s="47">
        <f t="shared" si="1"/>
        <v>0</v>
      </c>
    </row>
    <row r="15" spans="1:11" ht="16.2" x14ac:dyDescent="0.3">
      <c r="A15" s="5"/>
      <c r="D15" s="29" t="s">
        <v>28</v>
      </c>
      <c r="E15" s="35">
        <f>S45</f>
        <v>0</v>
      </c>
      <c r="F15" s="47">
        <f t="shared" si="0"/>
        <v>0</v>
      </c>
      <c r="G15" s="33">
        <f>Z45</f>
        <v>0</v>
      </c>
      <c r="H15" s="47">
        <f t="shared" si="1"/>
        <v>0</v>
      </c>
    </row>
    <row r="16" spans="1:11" x14ac:dyDescent="0.3">
      <c r="A16" s="5"/>
      <c r="D16" s="28" t="s">
        <v>29</v>
      </c>
      <c r="E16" s="48">
        <f>SUM(E11:E15)</f>
        <v>0</v>
      </c>
      <c r="F16" s="50">
        <f t="shared" si="0"/>
        <v>0</v>
      </c>
      <c r="G16" s="32">
        <f>SUM(G11:G15)</f>
        <v>0</v>
      </c>
      <c r="H16" s="50">
        <f t="shared" si="1"/>
        <v>0</v>
      </c>
    </row>
    <row r="17" spans="1:28" x14ac:dyDescent="0.3">
      <c r="A17" s="5"/>
      <c r="D17" s="6"/>
      <c r="E17" s="6"/>
      <c r="F17" s="6"/>
    </row>
    <row r="18" spans="1:28" ht="22.5" customHeight="1" x14ac:dyDescent="0.3">
      <c r="A18" s="161" t="s">
        <v>4</v>
      </c>
      <c r="B18" s="161" t="s">
        <v>5</v>
      </c>
      <c r="C18" s="157" t="s">
        <v>6</v>
      </c>
      <c r="D18" s="157" t="s">
        <v>39</v>
      </c>
      <c r="E18" s="161" t="s">
        <v>8</v>
      </c>
      <c r="F18" s="148" t="s">
        <v>18</v>
      </c>
      <c r="G18" s="148"/>
      <c r="H18" s="148"/>
      <c r="I18" s="148"/>
      <c r="J18" s="148"/>
      <c r="K18" s="151" t="s">
        <v>19</v>
      </c>
      <c r="M18" s="157" t="s">
        <v>36</v>
      </c>
      <c r="O18" s="152" t="s">
        <v>31</v>
      </c>
      <c r="P18" s="153"/>
      <c r="Q18" s="153"/>
      <c r="R18" s="153"/>
      <c r="S18" s="153"/>
      <c r="T18" s="154"/>
      <c r="V18" s="152" t="s">
        <v>30</v>
      </c>
      <c r="W18" s="153"/>
      <c r="X18" s="153"/>
      <c r="Y18" s="153"/>
      <c r="Z18" s="153"/>
      <c r="AA18" s="154"/>
      <c r="AB18" s="155" t="s">
        <v>34</v>
      </c>
    </row>
    <row r="19" spans="1:28" ht="21" customHeight="1" x14ac:dyDescent="0.3">
      <c r="A19" s="162"/>
      <c r="B19" s="162"/>
      <c r="C19" s="159"/>
      <c r="D19" s="162"/>
      <c r="E19" s="162"/>
      <c r="F19" s="173" t="s">
        <v>42</v>
      </c>
      <c r="G19" s="171" t="s">
        <v>38</v>
      </c>
      <c r="H19" s="172"/>
      <c r="I19" s="173" t="s">
        <v>40</v>
      </c>
      <c r="J19" s="173" t="s">
        <v>41</v>
      </c>
      <c r="K19" s="151"/>
      <c r="M19" s="158"/>
      <c r="O19" s="149" t="s">
        <v>24</v>
      </c>
      <c r="P19" s="149" t="s">
        <v>25</v>
      </c>
      <c r="Q19" s="149" t="s">
        <v>26</v>
      </c>
      <c r="R19" s="149" t="s">
        <v>27</v>
      </c>
      <c r="S19" s="149" t="s">
        <v>28</v>
      </c>
      <c r="T19" s="44" t="s">
        <v>29</v>
      </c>
      <c r="V19" s="149" t="s">
        <v>24</v>
      </c>
      <c r="W19" s="149" t="s">
        <v>25</v>
      </c>
      <c r="X19" s="149" t="s">
        <v>26</v>
      </c>
      <c r="Y19" s="149" t="s">
        <v>27</v>
      </c>
      <c r="Z19" s="149" t="s">
        <v>28</v>
      </c>
      <c r="AA19" s="44" t="s">
        <v>29</v>
      </c>
      <c r="AB19" s="156"/>
    </row>
    <row r="20" spans="1:28" ht="15" thickBot="1" x14ac:dyDescent="0.35">
      <c r="A20" s="162"/>
      <c r="B20" s="162"/>
      <c r="C20" s="159"/>
      <c r="D20" s="162"/>
      <c r="E20" s="162"/>
      <c r="F20" s="173"/>
      <c r="G20" s="104" t="s">
        <v>10</v>
      </c>
      <c r="H20" s="104" t="s">
        <v>11</v>
      </c>
      <c r="I20" s="173"/>
      <c r="J20" s="173"/>
      <c r="K20" s="45" t="s">
        <v>50</v>
      </c>
      <c r="M20" s="95" t="s">
        <v>37</v>
      </c>
      <c r="O20" s="170"/>
      <c r="P20" s="170"/>
      <c r="Q20" s="170"/>
      <c r="R20" s="170"/>
      <c r="S20" s="170"/>
      <c r="T20" s="45"/>
      <c r="V20" s="170"/>
      <c r="W20" s="170"/>
      <c r="X20" s="170"/>
      <c r="Y20" s="170"/>
      <c r="Z20" s="170"/>
      <c r="AA20" s="45" t="s">
        <v>20</v>
      </c>
      <c r="AB20" s="45" t="s">
        <v>20</v>
      </c>
    </row>
    <row r="21" spans="1:28" ht="20.100000000000001" customHeight="1" x14ac:dyDescent="0.3">
      <c r="A21" s="113">
        <v>1</v>
      </c>
      <c r="B21" s="128" t="s">
        <v>108</v>
      </c>
      <c r="C21" s="8" t="s">
        <v>109</v>
      </c>
      <c r="D21" s="8">
        <v>89.028999999999996</v>
      </c>
      <c r="E21" s="182" t="s">
        <v>138</v>
      </c>
      <c r="F21" s="176">
        <v>45946</v>
      </c>
      <c r="G21" s="88">
        <f>F21+3</f>
        <v>45949</v>
      </c>
      <c r="H21" s="88">
        <v>45967</v>
      </c>
      <c r="I21" s="88"/>
      <c r="J21" s="88"/>
      <c r="K21" s="117">
        <v>11.505000000000001</v>
      </c>
      <c r="L21" s="105"/>
      <c r="M21" s="97"/>
      <c r="N21" s="105"/>
      <c r="O21" s="106"/>
      <c r="P21" s="106"/>
      <c r="Q21" s="106"/>
      <c r="R21" s="106"/>
      <c r="S21" s="106"/>
      <c r="T21" s="106">
        <f>SUM(O21:S21)</f>
        <v>0</v>
      </c>
      <c r="U21" s="105"/>
      <c r="V21" s="107">
        <f>$K$21*O21</f>
        <v>0</v>
      </c>
      <c r="W21" s="107">
        <f>$K$21*P21</f>
        <v>0</v>
      </c>
      <c r="X21" s="107">
        <f t="shared" ref="X21:Z21" si="2">$K$21*Q21</f>
        <v>0</v>
      </c>
      <c r="Y21" s="107">
        <f t="shared" si="2"/>
        <v>0</v>
      </c>
      <c r="Z21" s="107">
        <f t="shared" si="2"/>
        <v>0</v>
      </c>
      <c r="AA21" s="108">
        <f>SUM(V21:Z21)</f>
        <v>0</v>
      </c>
      <c r="AB21" s="109">
        <f>K21-AA21</f>
        <v>11.505000000000001</v>
      </c>
    </row>
    <row r="22" spans="1:28" ht="20.100000000000001" customHeight="1" x14ac:dyDescent="0.3">
      <c r="A22" s="113">
        <v>2</v>
      </c>
      <c r="B22" s="129" t="s">
        <v>110</v>
      </c>
      <c r="C22" s="8" t="s">
        <v>111</v>
      </c>
      <c r="D22" s="8">
        <v>29.122</v>
      </c>
      <c r="E22" s="183"/>
      <c r="F22" s="177">
        <v>45966</v>
      </c>
      <c r="G22" s="88">
        <f>F22+1</f>
        <v>45967</v>
      </c>
      <c r="H22" s="88">
        <v>45971</v>
      </c>
      <c r="I22" s="88"/>
      <c r="J22" s="88"/>
      <c r="K22" s="117">
        <v>3.6</v>
      </c>
      <c r="M22" s="97"/>
      <c r="O22" s="24"/>
      <c r="P22" s="24"/>
      <c r="Q22" s="24"/>
      <c r="R22" s="24"/>
      <c r="S22" s="24"/>
      <c r="T22" s="23">
        <f t="shared" ref="T22:T44" si="3">SUM(O22:S22)</f>
        <v>0</v>
      </c>
      <c r="V22" s="89">
        <f>$K$22*O22</f>
        <v>0</v>
      </c>
      <c r="W22" s="89">
        <f t="shared" ref="W22:Z22" si="4">$K$22*P22</f>
        <v>0</v>
      </c>
      <c r="X22" s="89">
        <f t="shared" si="4"/>
        <v>0</v>
      </c>
      <c r="Y22" s="89">
        <f t="shared" si="4"/>
        <v>0</v>
      </c>
      <c r="Z22" s="89">
        <f t="shared" si="4"/>
        <v>0</v>
      </c>
      <c r="AA22" s="91">
        <f t="shared" ref="AA22:AA25" si="5">SUM(V22:Z22)</f>
        <v>0</v>
      </c>
      <c r="AB22" s="110">
        <f t="shared" ref="AB22:AB25" si="6">K22-AA22</f>
        <v>3.6</v>
      </c>
    </row>
    <row r="23" spans="1:28" ht="20.100000000000001" customHeight="1" x14ac:dyDescent="0.3">
      <c r="A23" s="113">
        <v>3</v>
      </c>
      <c r="B23" s="129" t="s">
        <v>112</v>
      </c>
      <c r="C23" s="8" t="s">
        <v>113</v>
      </c>
      <c r="D23" s="8">
        <v>27.963000000000001</v>
      </c>
      <c r="E23" s="183"/>
      <c r="F23" s="177">
        <v>45971</v>
      </c>
      <c r="G23" s="88">
        <f t="shared" ref="G23:G40" si="7">F23+1</f>
        <v>45972</v>
      </c>
      <c r="H23" s="88">
        <v>45975</v>
      </c>
      <c r="I23" s="88"/>
      <c r="J23" s="88"/>
      <c r="K23" s="117">
        <v>3.08</v>
      </c>
      <c r="M23" s="97"/>
      <c r="O23" s="24"/>
      <c r="P23" s="24"/>
      <c r="Q23" s="24"/>
      <c r="R23" s="24"/>
      <c r="S23" s="24"/>
      <c r="T23" s="23">
        <f t="shared" si="3"/>
        <v>0</v>
      </c>
      <c r="V23" s="89">
        <f>$K$23*O23</f>
        <v>0</v>
      </c>
      <c r="W23" s="89">
        <f t="shared" ref="W23:Z23" si="8">$K$23*P23</f>
        <v>0</v>
      </c>
      <c r="X23" s="89">
        <f t="shared" si="8"/>
        <v>0</v>
      </c>
      <c r="Y23" s="89">
        <f t="shared" si="8"/>
        <v>0</v>
      </c>
      <c r="Z23" s="89">
        <f t="shared" si="8"/>
        <v>0</v>
      </c>
      <c r="AA23" s="90">
        <f t="shared" si="5"/>
        <v>0</v>
      </c>
      <c r="AB23" s="110">
        <f t="shared" si="6"/>
        <v>3.08</v>
      </c>
    </row>
    <row r="24" spans="1:28" ht="20.100000000000001" customHeight="1" thickBot="1" x14ac:dyDescent="0.35">
      <c r="A24" s="113">
        <v>4</v>
      </c>
      <c r="B24" s="129" t="s">
        <v>114</v>
      </c>
      <c r="C24" s="8" t="s">
        <v>115</v>
      </c>
      <c r="D24" s="8">
        <v>26.846</v>
      </c>
      <c r="E24" s="183"/>
      <c r="F24" s="177">
        <v>45975</v>
      </c>
      <c r="G24" s="88">
        <f t="shared" si="7"/>
        <v>45976</v>
      </c>
      <c r="H24" s="88">
        <v>45979</v>
      </c>
      <c r="I24" s="88"/>
      <c r="J24" s="88"/>
      <c r="K24" s="117">
        <v>2.95</v>
      </c>
      <c r="M24" s="7"/>
      <c r="O24" s="24"/>
      <c r="P24" s="24"/>
      <c r="Q24" s="24"/>
      <c r="R24" s="24"/>
      <c r="S24" s="24"/>
      <c r="T24" s="23">
        <f t="shared" si="3"/>
        <v>0</v>
      </c>
      <c r="V24" s="89">
        <f>$K$24*O24</f>
        <v>0</v>
      </c>
      <c r="W24" s="89">
        <f t="shared" ref="W24:Z24" si="9">$K$24*P24</f>
        <v>0</v>
      </c>
      <c r="X24" s="89">
        <f t="shared" si="9"/>
        <v>0</v>
      </c>
      <c r="Y24" s="89">
        <f t="shared" si="9"/>
        <v>0</v>
      </c>
      <c r="Z24" s="89">
        <f t="shared" si="9"/>
        <v>0</v>
      </c>
      <c r="AA24" s="90">
        <f t="shared" si="5"/>
        <v>0</v>
      </c>
      <c r="AB24" s="110">
        <f t="shared" si="6"/>
        <v>2.95</v>
      </c>
    </row>
    <row r="25" spans="1:28" ht="20.100000000000001" customHeight="1" thickBot="1" x14ac:dyDescent="0.35">
      <c r="A25" s="113">
        <v>5</v>
      </c>
      <c r="B25" s="129" t="s">
        <v>116</v>
      </c>
      <c r="C25" s="8" t="s">
        <v>113</v>
      </c>
      <c r="D25" s="8">
        <v>27.963000000000001</v>
      </c>
      <c r="E25" s="183"/>
      <c r="F25" s="177">
        <v>45979</v>
      </c>
      <c r="G25" s="88">
        <f t="shared" si="7"/>
        <v>45980</v>
      </c>
      <c r="H25" s="88">
        <v>45984</v>
      </c>
      <c r="I25" s="88"/>
      <c r="J25" s="88"/>
      <c r="K25" s="117">
        <v>3.08</v>
      </c>
      <c r="M25" s="97"/>
      <c r="N25" s="105"/>
      <c r="O25" s="23"/>
      <c r="P25" s="24"/>
      <c r="Q25" s="24"/>
      <c r="R25" s="24"/>
      <c r="S25" s="24"/>
      <c r="T25" s="23">
        <f t="shared" si="3"/>
        <v>0</v>
      </c>
      <c r="V25" s="89">
        <f>$K$25*O25</f>
        <v>0</v>
      </c>
      <c r="W25" s="89">
        <f t="shared" ref="W25:Z25" si="10">$K$25*P25</f>
        <v>0</v>
      </c>
      <c r="X25" s="89">
        <f t="shared" si="10"/>
        <v>0</v>
      </c>
      <c r="Y25" s="89">
        <f t="shared" si="10"/>
        <v>0</v>
      </c>
      <c r="Z25" s="89">
        <f t="shared" si="10"/>
        <v>0</v>
      </c>
      <c r="AA25" s="90">
        <f t="shared" si="5"/>
        <v>0</v>
      </c>
      <c r="AB25" s="110">
        <f t="shared" si="6"/>
        <v>3.08</v>
      </c>
    </row>
    <row r="26" spans="1:28" ht="20.100000000000001" customHeight="1" thickBot="1" x14ac:dyDescent="0.35">
      <c r="A26" s="113">
        <v>6</v>
      </c>
      <c r="B26" s="129" t="s">
        <v>117</v>
      </c>
      <c r="C26" s="8" t="s">
        <v>118</v>
      </c>
      <c r="D26" s="8">
        <v>73.176000000000002</v>
      </c>
      <c r="E26" s="184"/>
      <c r="F26" s="178">
        <v>45984</v>
      </c>
      <c r="G26" s="88">
        <f t="shared" si="7"/>
        <v>45985</v>
      </c>
      <c r="H26" s="88">
        <v>45991</v>
      </c>
      <c r="I26" s="88"/>
      <c r="J26" s="88"/>
      <c r="K26" s="117">
        <v>8.09</v>
      </c>
      <c r="M26" s="97"/>
      <c r="N26" s="105"/>
      <c r="O26" s="106"/>
      <c r="P26" s="52"/>
      <c r="Q26" s="52"/>
      <c r="R26" s="52"/>
      <c r="S26" s="52"/>
      <c r="T26" s="23">
        <f t="shared" si="3"/>
        <v>0</v>
      </c>
      <c r="V26" s="89">
        <f>$K$26*O26</f>
        <v>0</v>
      </c>
      <c r="W26" s="89">
        <f>$K$26*P26</f>
        <v>0</v>
      </c>
      <c r="X26" s="89">
        <f t="shared" ref="X26:X33" si="11">$K$25*Q26</f>
        <v>0</v>
      </c>
      <c r="Y26" s="89">
        <f t="shared" ref="Y26:Y33" si="12">$K$25*R26</f>
        <v>0</v>
      </c>
      <c r="Z26" s="89">
        <f t="shared" ref="Z26:Z33" si="13">$K$25*S26</f>
        <v>0</v>
      </c>
      <c r="AA26" s="90">
        <f t="shared" ref="AA26:AA33" si="14">SUM(V26:Z26)</f>
        <v>0</v>
      </c>
      <c r="AB26" s="110">
        <f t="shared" ref="AB26:AB44" si="15">K26-AA26</f>
        <v>8.09</v>
      </c>
    </row>
    <row r="27" spans="1:28" ht="20.100000000000001" customHeight="1" x14ac:dyDescent="0.3">
      <c r="A27" s="113">
        <v>7</v>
      </c>
      <c r="B27" s="129" t="s">
        <v>119</v>
      </c>
      <c r="C27" s="8" t="s">
        <v>115</v>
      </c>
      <c r="D27" s="8">
        <v>26.846</v>
      </c>
      <c r="E27" s="182" t="s">
        <v>139</v>
      </c>
      <c r="F27" s="176">
        <v>45959</v>
      </c>
      <c r="G27" s="88">
        <f t="shared" si="7"/>
        <v>45960</v>
      </c>
      <c r="H27" s="88">
        <v>45966</v>
      </c>
      <c r="I27" s="88"/>
      <c r="J27" s="88"/>
      <c r="K27" s="117">
        <v>2.95</v>
      </c>
      <c r="M27" s="97"/>
      <c r="O27" s="52"/>
      <c r="P27" s="52"/>
      <c r="Q27" s="52"/>
      <c r="R27" s="52"/>
      <c r="S27" s="52"/>
      <c r="T27" s="23">
        <f t="shared" si="3"/>
        <v>0</v>
      </c>
      <c r="V27" s="89">
        <f t="shared" ref="V27" si="16">$K$25*O27</f>
        <v>0</v>
      </c>
      <c r="W27" s="89">
        <f t="shared" ref="W27:W33" si="17">$K$25*P27</f>
        <v>0</v>
      </c>
      <c r="X27" s="89">
        <f>$K$27*Q27</f>
        <v>0</v>
      </c>
      <c r="Y27" s="89">
        <f t="shared" si="12"/>
        <v>0</v>
      </c>
      <c r="Z27" s="89">
        <f t="shared" si="13"/>
        <v>0</v>
      </c>
      <c r="AA27" s="90">
        <f t="shared" si="14"/>
        <v>0</v>
      </c>
      <c r="AB27" s="110">
        <f t="shared" si="15"/>
        <v>2.95</v>
      </c>
    </row>
    <row r="28" spans="1:28" ht="20.100000000000001" customHeight="1" x14ac:dyDescent="0.3">
      <c r="A28" s="113">
        <v>8</v>
      </c>
      <c r="B28" s="129" t="s">
        <v>120</v>
      </c>
      <c r="C28" s="8" t="s">
        <v>113</v>
      </c>
      <c r="D28" s="8">
        <v>27.963000000000001</v>
      </c>
      <c r="E28" s="183"/>
      <c r="F28" s="177">
        <v>45966</v>
      </c>
      <c r="G28" s="88">
        <f t="shared" si="7"/>
        <v>45967</v>
      </c>
      <c r="H28" s="88">
        <v>45971</v>
      </c>
      <c r="I28" s="88"/>
      <c r="J28" s="88"/>
      <c r="K28" s="117">
        <v>3.08</v>
      </c>
      <c r="M28" s="97"/>
      <c r="O28" s="52"/>
      <c r="P28" s="52"/>
      <c r="Q28" s="52"/>
      <c r="R28" s="52"/>
      <c r="S28" s="52"/>
      <c r="T28" s="23">
        <f t="shared" si="3"/>
        <v>0</v>
      </c>
      <c r="V28" s="89">
        <f>$K$28*O28</f>
        <v>0</v>
      </c>
      <c r="W28" s="89">
        <f t="shared" si="17"/>
        <v>0</v>
      </c>
      <c r="X28" s="89">
        <f t="shared" si="11"/>
        <v>0</v>
      </c>
      <c r="Y28" s="89">
        <f t="shared" si="12"/>
        <v>0</v>
      </c>
      <c r="Z28" s="89">
        <f t="shared" si="13"/>
        <v>0</v>
      </c>
      <c r="AA28" s="90">
        <f t="shared" si="14"/>
        <v>0</v>
      </c>
      <c r="AB28" s="110">
        <f t="shared" si="15"/>
        <v>3.08</v>
      </c>
    </row>
    <row r="29" spans="1:28" ht="20.100000000000001" customHeight="1" x14ac:dyDescent="0.3">
      <c r="A29" s="113">
        <v>9</v>
      </c>
      <c r="B29" s="129" t="s">
        <v>121</v>
      </c>
      <c r="C29" s="8" t="s">
        <v>122</v>
      </c>
      <c r="D29" s="8">
        <v>27.600999999999999</v>
      </c>
      <c r="E29" s="183"/>
      <c r="F29" s="177">
        <v>45972</v>
      </c>
      <c r="G29" s="88">
        <f t="shared" si="7"/>
        <v>45973</v>
      </c>
      <c r="H29" s="88">
        <v>45977</v>
      </c>
      <c r="I29" s="88"/>
      <c r="J29" s="88"/>
      <c r="K29" s="117">
        <v>3.04</v>
      </c>
      <c r="M29" s="97"/>
      <c r="O29" s="52"/>
      <c r="P29" s="52"/>
      <c r="Q29" s="52"/>
      <c r="R29" s="52"/>
      <c r="S29" s="52"/>
      <c r="T29" s="23">
        <f t="shared" si="3"/>
        <v>0</v>
      </c>
      <c r="V29" s="89">
        <f>$K$29*O29</f>
        <v>0</v>
      </c>
      <c r="W29" s="89">
        <f>$K$29*P29</f>
        <v>0</v>
      </c>
      <c r="X29" s="89">
        <f t="shared" ref="X29:X32" si="18">$K$25*Q29</f>
        <v>0</v>
      </c>
      <c r="Y29" s="89">
        <f t="shared" ref="Y29:Y32" si="19">$K$25*R29</f>
        <v>0</v>
      </c>
      <c r="Z29" s="89">
        <f t="shared" ref="Z29:Z32" si="20">$K$25*S29</f>
        <v>0</v>
      </c>
      <c r="AA29" s="90">
        <f t="shared" ref="AA29:AA32" si="21">SUM(V29:Z29)</f>
        <v>0</v>
      </c>
      <c r="AB29" s="110">
        <f t="shared" si="15"/>
        <v>3.04</v>
      </c>
    </row>
    <row r="30" spans="1:28" ht="20.100000000000001" customHeight="1" x14ac:dyDescent="0.3">
      <c r="A30" s="113">
        <v>10</v>
      </c>
      <c r="B30" s="129" t="s">
        <v>123</v>
      </c>
      <c r="C30" s="8" t="s">
        <v>115</v>
      </c>
      <c r="D30" s="8">
        <v>26.846</v>
      </c>
      <c r="E30" s="183"/>
      <c r="F30" s="177">
        <v>45977</v>
      </c>
      <c r="G30" s="88">
        <f t="shared" si="7"/>
        <v>45978</v>
      </c>
      <c r="H30" s="88">
        <v>45982</v>
      </c>
      <c r="I30" s="88"/>
      <c r="J30" s="88"/>
      <c r="K30" s="117">
        <v>2.95</v>
      </c>
      <c r="M30" s="97"/>
      <c r="O30" s="52"/>
      <c r="P30" s="52"/>
      <c r="Q30" s="52"/>
      <c r="R30" s="52"/>
      <c r="S30" s="52"/>
      <c r="T30" s="23">
        <f t="shared" si="3"/>
        <v>0</v>
      </c>
      <c r="V30" s="89">
        <f t="shared" ref="V30" si="22">$K$25*O30</f>
        <v>0</v>
      </c>
      <c r="W30" s="89">
        <f t="shared" ref="W30:W32" si="23">$K$25*P30</f>
        <v>0</v>
      </c>
      <c r="X30" s="89">
        <f>$K$30*Q30</f>
        <v>0</v>
      </c>
      <c r="Y30" s="89">
        <f t="shared" si="19"/>
        <v>0</v>
      </c>
      <c r="Z30" s="89">
        <f t="shared" si="20"/>
        <v>0</v>
      </c>
      <c r="AA30" s="90">
        <f t="shared" si="21"/>
        <v>0</v>
      </c>
      <c r="AB30" s="110">
        <f t="shared" si="15"/>
        <v>2.95</v>
      </c>
    </row>
    <row r="31" spans="1:28" ht="20.100000000000001" customHeight="1" thickBot="1" x14ac:dyDescent="0.35">
      <c r="A31" s="113">
        <v>11</v>
      </c>
      <c r="B31" s="129" t="s">
        <v>124</v>
      </c>
      <c r="C31" s="8" t="s">
        <v>125</v>
      </c>
      <c r="D31" s="8">
        <v>45.136000000000003</v>
      </c>
      <c r="E31" s="184"/>
      <c r="F31" s="178">
        <v>45983</v>
      </c>
      <c r="G31" s="88">
        <f t="shared" si="7"/>
        <v>45984</v>
      </c>
      <c r="H31" s="88">
        <v>45990</v>
      </c>
      <c r="I31" s="88"/>
      <c r="J31" s="88"/>
      <c r="K31" s="117">
        <v>4.88</v>
      </c>
      <c r="M31" s="97"/>
      <c r="O31" s="52"/>
      <c r="P31" s="52"/>
      <c r="Q31" s="52"/>
      <c r="R31" s="52"/>
      <c r="S31" s="52"/>
      <c r="T31" s="23">
        <f t="shared" si="3"/>
        <v>0</v>
      </c>
      <c r="V31" s="89">
        <f>$K$31*O31</f>
        <v>0</v>
      </c>
      <c r="W31" s="89">
        <f>$K$31*P31</f>
        <v>0</v>
      </c>
      <c r="X31" s="89">
        <f t="shared" si="18"/>
        <v>0</v>
      </c>
      <c r="Y31" s="89">
        <f t="shared" si="19"/>
        <v>0</v>
      </c>
      <c r="Z31" s="89">
        <f t="shared" si="20"/>
        <v>0</v>
      </c>
      <c r="AA31" s="90">
        <f t="shared" si="21"/>
        <v>0</v>
      </c>
      <c r="AB31" s="110">
        <f t="shared" si="15"/>
        <v>4.88</v>
      </c>
    </row>
    <row r="32" spans="1:28" ht="20.100000000000001" customHeight="1" x14ac:dyDescent="0.3">
      <c r="A32" s="113">
        <v>12</v>
      </c>
      <c r="B32" s="129" t="s">
        <v>126</v>
      </c>
      <c r="C32" s="8" t="s">
        <v>109</v>
      </c>
      <c r="D32" s="8">
        <v>89.028999999999996</v>
      </c>
      <c r="E32" s="185" t="s">
        <v>140</v>
      </c>
      <c r="F32" s="176">
        <v>45946</v>
      </c>
      <c r="G32" s="88">
        <f>F32+3</f>
        <v>45949</v>
      </c>
      <c r="H32" s="88">
        <v>45968</v>
      </c>
      <c r="I32" s="88"/>
      <c r="J32" s="88"/>
      <c r="K32" s="117">
        <v>11.51</v>
      </c>
      <c r="M32" s="97"/>
      <c r="N32" s="105"/>
      <c r="O32" s="106"/>
      <c r="P32" s="52"/>
      <c r="Q32" s="52"/>
      <c r="R32" s="52"/>
      <c r="S32" s="52"/>
      <c r="T32" s="23">
        <f t="shared" si="3"/>
        <v>0</v>
      </c>
      <c r="V32" s="89">
        <f>$K$32*O32</f>
        <v>0</v>
      </c>
      <c r="W32" s="89">
        <f t="shared" si="23"/>
        <v>0</v>
      </c>
      <c r="X32" s="89">
        <f t="shared" si="18"/>
        <v>0</v>
      </c>
      <c r="Y32" s="89">
        <f t="shared" si="19"/>
        <v>0</v>
      </c>
      <c r="Z32" s="89">
        <f t="shared" si="20"/>
        <v>0</v>
      </c>
      <c r="AA32" s="90">
        <f t="shared" si="21"/>
        <v>0</v>
      </c>
      <c r="AB32" s="110">
        <f t="shared" si="15"/>
        <v>11.51</v>
      </c>
    </row>
    <row r="33" spans="1:28" ht="20.100000000000001" customHeight="1" x14ac:dyDescent="0.3">
      <c r="A33" s="113">
        <v>13</v>
      </c>
      <c r="B33" s="129" t="s">
        <v>127</v>
      </c>
      <c r="C33" s="8" t="s">
        <v>128</v>
      </c>
      <c r="D33" s="8">
        <v>51.673000000000002</v>
      </c>
      <c r="E33" s="186"/>
      <c r="F33" s="177">
        <v>45968</v>
      </c>
      <c r="G33" s="88">
        <f t="shared" si="7"/>
        <v>45969</v>
      </c>
      <c r="H33" s="88">
        <v>45975</v>
      </c>
      <c r="I33" s="88"/>
      <c r="J33" s="88"/>
      <c r="K33" s="117">
        <v>5.62</v>
      </c>
      <c r="M33" s="97"/>
      <c r="O33" s="52"/>
      <c r="P33" s="52"/>
      <c r="Q33" s="52"/>
      <c r="R33" s="52"/>
      <c r="S33" s="52"/>
      <c r="T33" s="23">
        <f t="shared" si="3"/>
        <v>0</v>
      </c>
      <c r="V33" s="89">
        <f>$K$33*O33</f>
        <v>0</v>
      </c>
      <c r="W33" s="89">
        <f t="shared" si="17"/>
        <v>0</v>
      </c>
      <c r="X33" s="89">
        <f t="shared" si="11"/>
        <v>0</v>
      </c>
      <c r="Y33" s="89">
        <f t="shared" si="12"/>
        <v>0</v>
      </c>
      <c r="Z33" s="89">
        <f t="shared" si="13"/>
        <v>0</v>
      </c>
      <c r="AA33" s="90">
        <f t="shared" si="14"/>
        <v>0</v>
      </c>
      <c r="AB33" s="110">
        <f t="shared" si="15"/>
        <v>5.62</v>
      </c>
    </row>
    <row r="34" spans="1:28" ht="20.100000000000001" customHeight="1" x14ac:dyDescent="0.3">
      <c r="A34" s="113">
        <v>14</v>
      </c>
      <c r="B34" s="129" t="s">
        <v>129</v>
      </c>
      <c r="C34" s="8" t="s">
        <v>111</v>
      </c>
      <c r="D34" s="8">
        <v>29.122</v>
      </c>
      <c r="E34" s="186"/>
      <c r="F34" s="177">
        <v>45975</v>
      </c>
      <c r="G34" s="88">
        <f t="shared" si="7"/>
        <v>45976</v>
      </c>
      <c r="H34" s="88">
        <v>45980</v>
      </c>
      <c r="I34" s="88"/>
      <c r="J34" s="88"/>
      <c r="K34" s="117">
        <v>3.6</v>
      </c>
      <c r="M34" s="97"/>
      <c r="O34" s="52"/>
      <c r="P34" s="52"/>
      <c r="Q34" s="52"/>
      <c r="R34" s="52"/>
      <c r="S34" s="52"/>
      <c r="T34" s="23">
        <f t="shared" si="3"/>
        <v>0</v>
      </c>
      <c r="V34" s="89">
        <f t="shared" ref="V34:V40" si="24">$K$25*O34</f>
        <v>0</v>
      </c>
      <c r="W34" s="89">
        <f>$K$34*P34</f>
        <v>0</v>
      </c>
      <c r="X34" s="89">
        <f>$K$34*Q34</f>
        <v>0</v>
      </c>
      <c r="Y34" s="89">
        <f t="shared" ref="Y34:Y40" si="25">$K$25*R34</f>
        <v>0</v>
      </c>
      <c r="Z34" s="89">
        <f t="shared" ref="Z34:Z40" si="26">$K$25*S34</f>
        <v>0</v>
      </c>
      <c r="AA34" s="90">
        <f t="shared" ref="AA34:AA40" si="27">SUM(V34:Z34)</f>
        <v>0</v>
      </c>
      <c r="AB34" s="110">
        <f t="shared" si="15"/>
        <v>3.6</v>
      </c>
    </row>
    <row r="35" spans="1:28" ht="20.100000000000001" customHeight="1" x14ac:dyDescent="0.3">
      <c r="A35" s="113">
        <v>15</v>
      </c>
      <c r="B35" s="129" t="s">
        <v>130</v>
      </c>
      <c r="C35" s="8" t="s">
        <v>115</v>
      </c>
      <c r="D35" s="8">
        <v>26.846</v>
      </c>
      <c r="E35" s="186"/>
      <c r="F35" s="177">
        <v>45980</v>
      </c>
      <c r="G35" s="88">
        <f t="shared" si="7"/>
        <v>45981</v>
      </c>
      <c r="H35" s="88">
        <v>45985</v>
      </c>
      <c r="I35" s="88"/>
      <c r="J35" s="88"/>
      <c r="K35" s="117">
        <v>2.95</v>
      </c>
      <c r="M35" s="97"/>
      <c r="O35" s="52"/>
      <c r="P35" s="52"/>
      <c r="Q35" s="52"/>
      <c r="R35" s="52"/>
      <c r="S35" s="52"/>
      <c r="T35" s="23">
        <f t="shared" si="3"/>
        <v>0</v>
      </c>
      <c r="V35" s="89">
        <f t="shared" si="24"/>
        <v>0</v>
      </c>
      <c r="W35" s="89">
        <f>$K$35*P35</f>
        <v>0</v>
      </c>
      <c r="X35" s="89">
        <f t="shared" ref="X35:X40" si="28">$K$25*Q35</f>
        <v>0</v>
      </c>
      <c r="Y35" s="89">
        <f t="shared" si="25"/>
        <v>0</v>
      </c>
      <c r="Z35" s="89">
        <f t="shared" si="26"/>
        <v>0</v>
      </c>
      <c r="AA35" s="90">
        <f t="shared" si="27"/>
        <v>0</v>
      </c>
      <c r="AB35" s="110">
        <f t="shared" si="15"/>
        <v>2.95</v>
      </c>
    </row>
    <row r="36" spans="1:28" ht="20.100000000000001" customHeight="1" thickBot="1" x14ac:dyDescent="0.35">
      <c r="A36" s="113">
        <v>16</v>
      </c>
      <c r="B36" s="128" t="s">
        <v>131</v>
      </c>
      <c r="C36" s="8" t="s">
        <v>115</v>
      </c>
      <c r="D36" s="8">
        <v>26.846</v>
      </c>
      <c r="E36" s="187"/>
      <c r="F36" s="178">
        <v>45985</v>
      </c>
      <c r="G36" s="88">
        <f t="shared" si="7"/>
        <v>45986</v>
      </c>
      <c r="H36" s="88">
        <v>45990</v>
      </c>
      <c r="I36" s="88"/>
      <c r="J36" s="88"/>
      <c r="K36" s="117">
        <v>2.95</v>
      </c>
      <c r="M36" s="97"/>
      <c r="O36" s="52"/>
      <c r="P36" s="52"/>
      <c r="Q36" s="52"/>
      <c r="R36" s="52"/>
      <c r="S36" s="52"/>
      <c r="T36" s="23">
        <f t="shared" si="3"/>
        <v>0</v>
      </c>
      <c r="V36" s="89">
        <f t="shared" si="24"/>
        <v>0</v>
      </c>
      <c r="W36" s="89">
        <f>$K$36*P36</f>
        <v>0</v>
      </c>
      <c r="X36" s="89">
        <f t="shared" si="28"/>
        <v>0</v>
      </c>
      <c r="Y36" s="89">
        <f t="shared" si="25"/>
        <v>0</v>
      </c>
      <c r="Z36" s="89">
        <f t="shared" si="26"/>
        <v>0</v>
      </c>
      <c r="AA36" s="90">
        <f t="shared" si="27"/>
        <v>0</v>
      </c>
      <c r="AB36" s="110">
        <f t="shared" si="15"/>
        <v>2.95</v>
      </c>
    </row>
    <row r="37" spans="1:28" ht="20.100000000000001" customHeight="1" x14ac:dyDescent="0.3">
      <c r="A37" s="113">
        <v>17</v>
      </c>
      <c r="B37" s="128" t="s">
        <v>132</v>
      </c>
      <c r="C37" s="8" t="s">
        <v>115</v>
      </c>
      <c r="D37" s="8">
        <v>26.846</v>
      </c>
      <c r="E37" s="186" t="s">
        <v>141</v>
      </c>
      <c r="F37" s="188">
        <v>45969</v>
      </c>
      <c r="G37" s="88">
        <f t="shared" si="7"/>
        <v>45970</v>
      </c>
      <c r="H37" s="88">
        <v>45974</v>
      </c>
      <c r="I37" s="88"/>
      <c r="J37" s="88"/>
      <c r="K37" s="117">
        <v>2.95</v>
      </c>
      <c r="M37" s="97"/>
      <c r="O37" s="52"/>
      <c r="P37" s="52"/>
      <c r="Q37" s="52"/>
      <c r="R37" s="52"/>
      <c r="S37" s="52"/>
      <c r="T37" s="23">
        <f t="shared" si="3"/>
        <v>0</v>
      </c>
      <c r="V37" s="89">
        <f>$K$37*O37</f>
        <v>0</v>
      </c>
      <c r="W37" s="89">
        <f t="shared" ref="W37:W40" si="29">$K$25*P37</f>
        <v>0</v>
      </c>
      <c r="X37" s="89">
        <f>$K$37*Q37</f>
        <v>0</v>
      </c>
      <c r="Y37" s="89">
        <f t="shared" si="25"/>
        <v>0</v>
      </c>
      <c r="Z37" s="89">
        <f t="shared" si="26"/>
        <v>0</v>
      </c>
      <c r="AA37" s="90">
        <f t="shared" si="27"/>
        <v>0</v>
      </c>
      <c r="AB37" s="110">
        <f t="shared" si="15"/>
        <v>2.95</v>
      </c>
    </row>
    <row r="38" spans="1:28" ht="20.100000000000001" customHeight="1" x14ac:dyDescent="0.3">
      <c r="A38" s="113">
        <v>18</v>
      </c>
      <c r="B38" s="128" t="s">
        <v>133</v>
      </c>
      <c r="C38" s="8" t="s">
        <v>134</v>
      </c>
      <c r="D38" s="8">
        <v>33.304000000000002</v>
      </c>
      <c r="E38" s="186"/>
      <c r="F38" s="189">
        <v>45974</v>
      </c>
      <c r="G38" s="88">
        <f t="shared" si="7"/>
        <v>45975</v>
      </c>
      <c r="H38" s="88">
        <v>45979</v>
      </c>
      <c r="I38" s="88"/>
      <c r="J38" s="88"/>
      <c r="K38" s="117">
        <v>3.74</v>
      </c>
      <c r="M38" s="97"/>
      <c r="O38" s="52"/>
      <c r="P38" s="52"/>
      <c r="Q38" s="52"/>
      <c r="R38" s="52"/>
      <c r="S38" s="52"/>
      <c r="T38" s="23">
        <f t="shared" si="3"/>
        <v>0</v>
      </c>
      <c r="V38" s="89">
        <f t="shared" si="24"/>
        <v>0</v>
      </c>
      <c r="W38" s="89">
        <f>$K$38*P38</f>
        <v>0</v>
      </c>
      <c r="X38" s="89">
        <f t="shared" si="28"/>
        <v>0</v>
      </c>
      <c r="Y38" s="89">
        <f>$K$38*R38</f>
        <v>0</v>
      </c>
      <c r="Z38" s="89">
        <f t="shared" si="26"/>
        <v>0</v>
      </c>
      <c r="AA38" s="90">
        <f t="shared" si="27"/>
        <v>0</v>
      </c>
      <c r="AB38" s="110">
        <f t="shared" si="15"/>
        <v>3.74</v>
      </c>
    </row>
    <row r="39" spans="1:28" ht="20.100000000000001" customHeight="1" x14ac:dyDescent="0.3">
      <c r="A39" s="113">
        <v>19</v>
      </c>
      <c r="B39" s="128" t="s">
        <v>135</v>
      </c>
      <c r="C39" s="8" t="s">
        <v>115</v>
      </c>
      <c r="D39" s="8">
        <v>26.846</v>
      </c>
      <c r="E39" s="186"/>
      <c r="F39" s="189">
        <v>45979</v>
      </c>
      <c r="G39" s="88">
        <f t="shared" si="7"/>
        <v>45980</v>
      </c>
      <c r="H39" s="88">
        <v>45984</v>
      </c>
      <c r="I39" s="88"/>
      <c r="J39" s="88"/>
      <c r="K39" s="117">
        <v>2.95</v>
      </c>
      <c r="M39" s="7"/>
      <c r="O39" s="52"/>
      <c r="P39" s="52"/>
      <c r="Q39" s="52"/>
      <c r="R39" s="52"/>
      <c r="S39" s="52"/>
      <c r="T39" s="23">
        <f t="shared" si="3"/>
        <v>0</v>
      </c>
      <c r="V39" s="89">
        <f t="shared" si="24"/>
        <v>0</v>
      </c>
      <c r="W39" s="89">
        <f t="shared" si="29"/>
        <v>0</v>
      </c>
      <c r="X39" s="89">
        <f t="shared" si="28"/>
        <v>0</v>
      </c>
      <c r="Y39" s="89">
        <f t="shared" si="25"/>
        <v>0</v>
      </c>
      <c r="Z39" s="89">
        <f t="shared" si="26"/>
        <v>0</v>
      </c>
      <c r="AA39" s="90">
        <f t="shared" si="27"/>
        <v>0</v>
      </c>
      <c r="AB39" s="110">
        <f t="shared" si="15"/>
        <v>2.95</v>
      </c>
    </row>
    <row r="40" spans="1:28" ht="20.100000000000001" customHeight="1" thickBot="1" x14ac:dyDescent="0.35">
      <c r="A40" s="113">
        <v>20</v>
      </c>
      <c r="B40" s="128" t="s">
        <v>136</v>
      </c>
      <c r="C40" s="8" t="s">
        <v>137</v>
      </c>
      <c r="D40" s="8">
        <v>52.140999999999998</v>
      </c>
      <c r="E40" s="187"/>
      <c r="F40" s="190">
        <v>45984</v>
      </c>
      <c r="G40" s="88">
        <f t="shared" si="7"/>
        <v>45985</v>
      </c>
      <c r="H40" s="88">
        <v>45991</v>
      </c>
      <c r="I40" s="88"/>
      <c r="J40" s="88"/>
      <c r="K40" s="117">
        <v>5.94</v>
      </c>
      <c r="M40" s="7"/>
      <c r="O40" s="52"/>
      <c r="P40" s="52"/>
      <c r="Q40" s="52"/>
      <c r="R40" s="52"/>
      <c r="S40" s="52"/>
      <c r="T40" s="23">
        <f t="shared" si="3"/>
        <v>0</v>
      </c>
      <c r="V40" s="89">
        <f t="shared" si="24"/>
        <v>0</v>
      </c>
      <c r="W40" s="89">
        <f t="shared" si="29"/>
        <v>0</v>
      </c>
      <c r="X40" s="89">
        <f t="shared" si="28"/>
        <v>0</v>
      </c>
      <c r="Y40" s="89">
        <f t="shared" si="25"/>
        <v>0</v>
      </c>
      <c r="Z40" s="89">
        <f t="shared" si="26"/>
        <v>0</v>
      </c>
      <c r="AA40" s="90">
        <f t="shared" si="27"/>
        <v>0</v>
      </c>
      <c r="AB40" s="110">
        <f t="shared" si="15"/>
        <v>5.94</v>
      </c>
    </row>
    <row r="41" spans="1:28" ht="20.100000000000001" customHeight="1" x14ac:dyDescent="0.3">
      <c r="A41" s="113"/>
      <c r="B41" s="128"/>
      <c r="C41" s="8"/>
      <c r="D41" s="8"/>
      <c r="E41" s="169"/>
      <c r="F41" s="88"/>
      <c r="G41" s="88"/>
      <c r="H41" s="88"/>
      <c r="I41" s="88"/>
      <c r="J41" s="88"/>
      <c r="K41" s="117"/>
      <c r="M41" s="100"/>
      <c r="O41" s="52"/>
      <c r="P41" s="52"/>
      <c r="Q41" s="52"/>
      <c r="R41" s="52"/>
      <c r="S41" s="52"/>
      <c r="T41" s="23"/>
      <c r="V41" s="89"/>
      <c r="W41" s="89"/>
      <c r="X41" s="89"/>
      <c r="Y41" s="89"/>
      <c r="Z41" s="89"/>
      <c r="AA41" s="90"/>
      <c r="AB41" s="110"/>
    </row>
    <row r="42" spans="1:28" ht="20.100000000000001" customHeight="1" x14ac:dyDescent="0.3">
      <c r="A42" s="113"/>
      <c r="B42" s="128"/>
      <c r="C42" s="8"/>
      <c r="D42" s="8"/>
      <c r="E42" s="169"/>
      <c r="F42" s="88"/>
      <c r="G42" s="88"/>
      <c r="H42" s="88"/>
      <c r="I42" s="88"/>
      <c r="J42" s="88"/>
      <c r="K42" s="117"/>
      <c r="M42" s="51"/>
      <c r="O42" s="52"/>
      <c r="P42" s="52"/>
      <c r="Q42" s="52"/>
      <c r="R42" s="52"/>
      <c r="S42" s="52"/>
      <c r="T42" s="23"/>
      <c r="V42" s="89"/>
      <c r="W42" s="89"/>
      <c r="X42" s="89"/>
      <c r="Y42" s="89"/>
      <c r="Z42" s="89"/>
      <c r="AA42" s="90"/>
      <c r="AB42" s="110"/>
    </row>
    <row r="43" spans="1:28" ht="20.100000000000001" customHeight="1" x14ac:dyDescent="0.3">
      <c r="A43" s="113"/>
      <c r="B43" s="115"/>
      <c r="C43" s="115"/>
      <c r="D43" s="8"/>
      <c r="E43" s="169"/>
      <c r="F43" s="88"/>
      <c r="G43" s="88"/>
      <c r="H43" s="88"/>
      <c r="I43" s="88"/>
      <c r="J43" s="88"/>
      <c r="K43" s="117"/>
      <c r="M43" s="100"/>
      <c r="O43" s="52"/>
      <c r="P43" s="52"/>
      <c r="Q43" s="52"/>
      <c r="R43" s="52"/>
      <c r="S43" s="52"/>
      <c r="T43" s="23"/>
      <c r="V43" s="89"/>
      <c r="W43" s="89"/>
      <c r="X43" s="89"/>
      <c r="Y43" s="89"/>
      <c r="Z43" s="89"/>
      <c r="AA43" s="90"/>
      <c r="AB43" s="110"/>
    </row>
    <row r="44" spans="1:28" ht="20.100000000000001" customHeight="1" x14ac:dyDescent="0.3">
      <c r="A44" s="113"/>
      <c r="B44" s="115"/>
      <c r="C44" s="115"/>
      <c r="D44" s="125"/>
      <c r="E44" s="169"/>
      <c r="F44" s="88"/>
      <c r="G44" s="88"/>
      <c r="H44" s="88"/>
      <c r="I44" s="88"/>
      <c r="J44" s="88"/>
      <c r="K44" s="117"/>
      <c r="M44" s="100"/>
      <c r="O44" s="52"/>
      <c r="P44" s="52"/>
      <c r="Q44" s="52"/>
      <c r="R44" s="52"/>
      <c r="S44" s="52"/>
      <c r="T44" s="23"/>
      <c r="V44" s="89"/>
      <c r="W44" s="89"/>
      <c r="X44" s="89"/>
      <c r="Y44" s="89"/>
      <c r="Z44" s="89"/>
      <c r="AA44" s="90"/>
      <c r="AB44" s="110"/>
    </row>
    <row r="45" spans="1:28" ht="20.100000000000001" customHeight="1" x14ac:dyDescent="0.3">
      <c r="A45" s="9"/>
      <c r="B45" s="10"/>
      <c r="C45" s="10"/>
      <c r="D45" s="15">
        <f>SUM(D21:D44)</f>
        <v>791.14399999999989</v>
      </c>
      <c r="E45" s="15"/>
      <c r="F45" s="15"/>
      <c r="G45" s="9"/>
      <c r="H45" s="10"/>
      <c r="I45" s="10"/>
      <c r="J45" s="10"/>
      <c r="K45" s="18">
        <f>SUM(K21:K44)</f>
        <v>91.415000000000006</v>
      </c>
      <c r="M45" s="10"/>
      <c r="O45" s="27">
        <f>SUM(O21:O44)</f>
        <v>0</v>
      </c>
      <c r="P45" s="27">
        <f>SUM(P21:P44)</f>
        <v>0</v>
      </c>
      <c r="Q45" s="27">
        <f>SUM(Q21:Q44)</f>
        <v>0</v>
      </c>
      <c r="R45" s="27">
        <f>SUM(R21:R44)</f>
        <v>0</v>
      </c>
      <c r="S45" s="27">
        <f>SUM(S21:S44)</f>
        <v>0</v>
      </c>
      <c r="T45" s="27">
        <f>SUM(T21:T44)</f>
        <v>0</v>
      </c>
      <c r="V45" s="92">
        <f>SUM(V21:V44)</f>
        <v>0</v>
      </c>
      <c r="W45" s="92">
        <f>SUM(W21:W44)</f>
        <v>0</v>
      </c>
      <c r="X45" s="92">
        <f>SUM(X21:X44)</f>
        <v>0</v>
      </c>
      <c r="Y45" s="92">
        <f>SUM(Y21:Y44)</f>
        <v>0</v>
      </c>
      <c r="Z45" s="92">
        <f>SUM(Z21:Z44)</f>
        <v>0</v>
      </c>
      <c r="AA45" s="92">
        <f>SUM(AA21:AA44)</f>
        <v>0</v>
      </c>
      <c r="AB45" s="92">
        <f>SUM(AB21:AB44)</f>
        <v>91.415000000000006</v>
      </c>
    </row>
    <row r="46" spans="1:28" x14ac:dyDescent="0.3">
      <c r="V46" s="93"/>
      <c r="W46" s="93"/>
      <c r="X46" s="93"/>
      <c r="Y46" s="93"/>
      <c r="Z46" s="93"/>
      <c r="AA46" s="93"/>
      <c r="AB46" s="93"/>
    </row>
  </sheetData>
  <autoFilter ref="A18:D45"/>
  <mergeCells count="30">
    <mergeCell ref="M18:M19"/>
    <mergeCell ref="G19:H19"/>
    <mergeCell ref="I19:I20"/>
    <mergeCell ref="F18:J18"/>
    <mergeCell ref="J19:J20"/>
    <mergeCell ref="F19:F20"/>
    <mergeCell ref="K18:K19"/>
    <mergeCell ref="AB18:AB19"/>
    <mergeCell ref="O19:O20"/>
    <mergeCell ref="P19:P20"/>
    <mergeCell ref="Q19:Q20"/>
    <mergeCell ref="R19:R20"/>
    <mergeCell ref="O18:T18"/>
    <mergeCell ref="V18:AA18"/>
    <mergeCell ref="S19:S20"/>
    <mergeCell ref="V19:V20"/>
    <mergeCell ref="W19:W20"/>
    <mergeCell ref="X19:X20"/>
    <mergeCell ref="Y19:Y20"/>
    <mergeCell ref="Z19:Z20"/>
    <mergeCell ref="E41:E44"/>
    <mergeCell ref="E21:E26"/>
    <mergeCell ref="E27:E31"/>
    <mergeCell ref="E32:E36"/>
    <mergeCell ref="E37:E40"/>
    <mergeCell ref="A18:A20"/>
    <mergeCell ref="B18:B20"/>
    <mergeCell ref="C18:C20"/>
    <mergeCell ref="D18:D20"/>
    <mergeCell ref="E18:E20"/>
  </mergeCells>
  <phoneticPr fontId="8" type="noConversion"/>
  <conditionalFormatting sqref="B21:B25">
    <cfRule type="duplicateValues" dxfId="92" priority="126"/>
  </conditionalFormatting>
  <conditionalFormatting sqref="B21:B30">
    <cfRule type="duplicateValues" dxfId="91" priority="127"/>
  </conditionalFormatting>
  <conditionalFormatting sqref="B21:B42">
    <cfRule type="duplicateValues" dxfId="90" priority="966"/>
  </conditionalFormatting>
  <conditionalFormatting sqref="B22:B30">
    <cfRule type="duplicateValues" dxfId="89" priority="128"/>
  </conditionalFormatting>
  <conditionalFormatting sqref="B34">
    <cfRule type="duplicateValues" dxfId="88" priority="25"/>
    <cfRule type="duplicateValues" dxfId="87" priority="26"/>
  </conditionalFormatting>
  <conditionalFormatting sqref="B35">
    <cfRule type="duplicateValues" dxfId="86" priority="27"/>
    <cfRule type="duplicateValues" dxfId="85" priority="28"/>
  </conditionalFormatting>
  <conditionalFormatting sqref="F41:G42 G21:G40">
    <cfRule type="containsText" dxfId="84" priority="69" operator="containsText" text="Complete">
      <formula>NOT(ISERROR(SEARCH("Complete",F21)))</formula>
    </cfRule>
    <cfRule type="containsText" dxfId="83" priority="70" operator="containsText" text="ROW">
      <formula>NOT(ISERROR(SEARCH("ROW",F21)))</formula>
    </cfRule>
  </conditionalFormatting>
  <conditionalFormatting sqref="F43:G44">
    <cfRule type="containsText" dxfId="82" priority="87" operator="containsText" text="Complete">
      <formula>NOT(ISERROR(SEARCH("Complete",F43)))</formula>
    </cfRule>
    <cfRule type="containsText" dxfId="81" priority="88" operator="containsText" text="ROW">
      <formula>NOT(ISERROR(SEARCH("ROW",F43)))</formula>
    </cfRule>
  </conditionalFormatting>
  <conditionalFormatting sqref="F41:J42 G21:J40">
    <cfRule type="containsText" dxfId="80" priority="19" operator="containsText" text="WIP">
      <formula>NOT(ISERROR(SEARCH("WIP",F21)))</formula>
    </cfRule>
  </conditionalFormatting>
  <conditionalFormatting sqref="G23:J24">
    <cfRule type="containsText" dxfId="79" priority="17" operator="containsText" text="Complete">
      <formula>NOT(ISERROR(SEARCH("Complete",G23)))</formula>
    </cfRule>
    <cfRule type="containsText" dxfId="78" priority="18" operator="containsText" text="ROW">
      <formula>NOT(ISERROR(SEARCH("ROW",G23)))</formula>
    </cfRule>
  </conditionalFormatting>
  <conditionalFormatting sqref="G28:J29">
    <cfRule type="containsText" dxfId="77" priority="15" operator="containsText" text="Complete">
      <formula>NOT(ISERROR(SEARCH("Complete",G28)))</formula>
    </cfRule>
    <cfRule type="containsText" dxfId="76" priority="16" operator="containsText" text="ROW">
      <formula>NOT(ISERROR(SEARCH("ROW",G28)))</formula>
    </cfRule>
  </conditionalFormatting>
  <conditionalFormatting sqref="G33:J34">
    <cfRule type="containsText" dxfId="75" priority="11" operator="containsText" text="Complete">
      <formula>NOT(ISERROR(SEARCH("Complete",G33)))</formula>
    </cfRule>
    <cfRule type="containsText" dxfId="74" priority="12" operator="containsText" text="ROW">
      <formula>NOT(ISERROR(SEARCH("ROW",G33)))</formula>
    </cfRule>
  </conditionalFormatting>
  <conditionalFormatting sqref="G38:J39">
    <cfRule type="containsText" dxfId="73" priority="13" operator="containsText" text="Complete">
      <formula>NOT(ISERROR(SEARCH("Complete",G38)))</formula>
    </cfRule>
    <cfRule type="containsText" dxfId="72" priority="14" operator="containsText" text="ROW">
      <formula>NOT(ISERROR(SEARCH("ROW",G38)))</formula>
    </cfRule>
  </conditionalFormatting>
  <conditionalFormatting sqref="F43:J44">
    <cfRule type="containsText" dxfId="71" priority="22" operator="containsText" text="WIP">
      <formula>NOT(ISERROR(SEARCH("WIP",F43)))</formula>
    </cfRule>
  </conditionalFormatting>
  <conditionalFormatting sqref="G21:G44">
    <cfRule type="containsText" dxfId="70" priority="105" operator="containsText" text="Complete">
      <formula>NOT(ISERROR(SEARCH("Complete",G21)))</formula>
    </cfRule>
    <cfRule type="containsText" dxfId="69" priority="106" operator="containsText" text="ROW">
      <formula>NOT(ISERROR(SEARCH("ROW",G21)))</formula>
    </cfRule>
  </conditionalFormatting>
  <conditionalFormatting sqref="H21:J44">
    <cfRule type="containsText" dxfId="68" priority="23" operator="containsText" text="Complete">
      <formula>NOT(ISERROR(SEARCH("Complete",H21)))</formula>
    </cfRule>
    <cfRule type="containsText" dxfId="67" priority="24" operator="containsText" text="ROW">
      <formula>NOT(ISERROR(SEARCH("ROW",H21)))</formula>
    </cfRule>
  </conditionalFormatting>
  <conditionalFormatting sqref="B43:B44">
    <cfRule type="duplicateValues" dxfId="61" priority="1223"/>
  </conditionalFormatting>
  <printOptions horizontalCentered="1"/>
  <pageMargins left="0.25" right="0.25" top="0.75" bottom="0.75" header="0.3" footer="0.3"/>
  <pageSetup paperSize="9" scale="49" orientation="landscape" r:id="rId1"/>
  <ignoredErrors>
    <ignoredError sqref="G3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8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K10" sqref="K10"/>
    </sheetView>
  </sheetViews>
  <sheetFormatPr defaultColWidth="9.109375" defaultRowHeight="14.4" x14ac:dyDescent="0.3"/>
  <cols>
    <col min="1" max="1" width="3.44140625" style="4" customWidth="1"/>
    <col min="2" max="2" width="12.6640625" style="1" customWidth="1"/>
    <col min="3" max="3" width="11.33203125" style="1" customWidth="1"/>
    <col min="4" max="4" width="12.5546875" style="4" customWidth="1"/>
    <col min="5" max="5" width="12.6640625" style="4" customWidth="1"/>
    <col min="6" max="6" width="10.109375" style="4" customWidth="1"/>
    <col min="7" max="7" width="13.33203125" style="4" customWidth="1"/>
    <col min="8" max="10" width="10.6640625" style="1" customWidth="1"/>
    <col min="11" max="11" width="13.33203125" style="1" customWidth="1"/>
    <col min="12" max="12" width="3.109375" style="1" customWidth="1"/>
    <col min="13" max="13" width="14.5546875" style="1" customWidth="1"/>
    <col min="14" max="14" width="3.109375" style="1" customWidth="1"/>
    <col min="15" max="20" width="8.6640625" style="1" customWidth="1"/>
    <col min="21" max="21" width="3.109375" style="1" customWidth="1"/>
    <col min="22" max="27" width="10.6640625" style="1" customWidth="1"/>
    <col min="28" max="28" width="11.109375" style="1" customWidth="1"/>
    <col min="29" max="16384" width="9.109375" style="1"/>
  </cols>
  <sheetData>
    <row r="1" spans="1:11" ht="15" thickBot="1" x14ac:dyDescent="0.35">
      <c r="A1" s="14" t="s">
        <v>0</v>
      </c>
      <c r="D1" s="39" t="s">
        <v>106</v>
      </c>
    </row>
    <row r="2" spans="1:11" x14ac:dyDescent="0.3">
      <c r="A2" s="14" t="s">
        <v>21</v>
      </c>
      <c r="D2" s="181" t="s">
        <v>107</v>
      </c>
    </row>
    <row r="3" spans="1:11" x14ac:dyDescent="0.3">
      <c r="A3" s="6"/>
      <c r="D3" s="1"/>
    </row>
    <row r="4" spans="1:11" x14ac:dyDescent="0.3">
      <c r="A4" s="14" t="s">
        <v>22</v>
      </c>
      <c r="D4" s="46" t="s">
        <v>43</v>
      </c>
      <c r="E4" s="29" t="s">
        <v>35</v>
      </c>
      <c r="J4" s="58" t="s">
        <v>77</v>
      </c>
      <c r="K4" s="58">
        <v>11.505470000000001</v>
      </c>
    </row>
    <row r="5" spans="1:11" x14ac:dyDescent="0.3">
      <c r="A5" s="6"/>
      <c r="D5" s="2" t="s">
        <v>29</v>
      </c>
      <c r="E5" s="196">
        <v>47.84</v>
      </c>
    </row>
    <row r="6" spans="1:11" ht="16.2" x14ac:dyDescent="0.3">
      <c r="A6" s="6"/>
      <c r="D6" s="2" t="s">
        <v>105</v>
      </c>
      <c r="E6" s="197">
        <v>3.5790000000000002</v>
      </c>
    </row>
    <row r="7" spans="1:11" x14ac:dyDescent="0.3">
      <c r="A7" s="6"/>
      <c r="D7" s="2" t="s">
        <v>2</v>
      </c>
      <c r="E7" s="198">
        <f>E5-E6</f>
        <v>44.261000000000003</v>
      </c>
    </row>
    <row r="8" spans="1:11" ht="5.0999999999999996" customHeight="1" thickBot="1" x14ac:dyDescent="0.35">
      <c r="A8" s="6"/>
      <c r="D8" s="1"/>
      <c r="E8" s="30"/>
    </row>
    <row r="9" spans="1:11" ht="15" thickBot="1" x14ac:dyDescent="0.35">
      <c r="A9" s="14" t="s">
        <v>23</v>
      </c>
      <c r="D9" s="40">
        <v>45962</v>
      </c>
      <c r="E9" s="199">
        <v>9.4</v>
      </c>
      <c r="F9" s="3" t="s">
        <v>48</v>
      </c>
      <c r="G9" s="32">
        <f>K28</f>
        <v>108.15141800000001</v>
      </c>
      <c r="H9" s="3" t="s">
        <v>32</v>
      </c>
    </row>
    <row r="10" spans="1:11" ht="5.0999999999999996" customHeight="1" x14ac:dyDescent="0.3">
      <c r="A10" s="14"/>
      <c r="D10" s="1"/>
      <c r="E10" s="114"/>
      <c r="F10" s="14"/>
    </row>
    <row r="11" spans="1:11" x14ac:dyDescent="0.3">
      <c r="A11" s="14" t="s">
        <v>33</v>
      </c>
      <c r="D11" s="2" t="s">
        <v>24</v>
      </c>
      <c r="E11" s="200">
        <f>O28</f>
        <v>0.48</v>
      </c>
      <c r="F11" s="47">
        <f>E11/$E$9</f>
        <v>5.106382978723404E-2</v>
      </c>
      <c r="G11" s="30">
        <f>V28</f>
        <v>5.5226256000000005</v>
      </c>
      <c r="H11" s="47">
        <f>G11/$G$9</f>
        <v>5.1063829787234047E-2</v>
      </c>
    </row>
    <row r="12" spans="1:11" x14ac:dyDescent="0.3">
      <c r="A12" s="5"/>
      <c r="D12" s="2" t="s">
        <v>25</v>
      </c>
      <c r="E12" s="200">
        <f>P28</f>
        <v>0</v>
      </c>
      <c r="F12" s="47">
        <f t="shared" ref="F12:F16" si="0">E12/$E$9</f>
        <v>0</v>
      </c>
      <c r="G12" s="30">
        <f>W28</f>
        <v>0</v>
      </c>
      <c r="H12" s="47">
        <f t="shared" ref="H12:H16" si="1">G12/$G$9</f>
        <v>0</v>
      </c>
    </row>
    <row r="13" spans="1:11" x14ac:dyDescent="0.3">
      <c r="A13" s="5"/>
      <c r="D13" s="2" t="s">
        <v>26</v>
      </c>
      <c r="E13" s="200">
        <f>Q28</f>
        <v>0</v>
      </c>
      <c r="F13" s="47">
        <f t="shared" si="0"/>
        <v>0</v>
      </c>
      <c r="G13" s="30">
        <f>X28</f>
        <v>0</v>
      </c>
      <c r="H13" s="47">
        <f t="shared" si="1"/>
        <v>0</v>
      </c>
    </row>
    <row r="14" spans="1:11" x14ac:dyDescent="0.3">
      <c r="A14" s="5"/>
      <c r="D14" s="2" t="s">
        <v>27</v>
      </c>
      <c r="E14" s="200">
        <f>R28</f>
        <v>0</v>
      </c>
      <c r="F14" s="47">
        <f t="shared" si="0"/>
        <v>0</v>
      </c>
      <c r="G14" s="30">
        <f>Y28</f>
        <v>0</v>
      </c>
      <c r="H14" s="47">
        <f t="shared" si="1"/>
        <v>0</v>
      </c>
    </row>
    <row r="15" spans="1:11" ht="16.2" x14ac:dyDescent="0.3">
      <c r="A15" s="5"/>
      <c r="D15" s="29" t="s">
        <v>28</v>
      </c>
      <c r="E15" s="201">
        <f>S28</f>
        <v>0</v>
      </c>
      <c r="F15" s="47">
        <f t="shared" si="0"/>
        <v>0</v>
      </c>
      <c r="G15" s="33">
        <f>Z28</f>
        <v>0</v>
      </c>
      <c r="H15" s="47">
        <f t="shared" si="1"/>
        <v>0</v>
      </c>
    </row>
    <row r="16" spans="1:11" x14ac:dyDescent="0.3">
      <c r="A16" s="5"/>
      <c r="D16" s="28" t="s">
        <v>29</v>
      </c>
      <c r="E16" s="32">
        <f>SUM(E11:E15)</f>
        <v>0.48</v>
      </c>
      <c r="F16" s="50">
        <f t="shared" si="0"/>
        <v>5.106382978723404E-2</v>
      </c>
      <c r="G16" s="32">
        <f>SUM(G11:G15)</f>
        <v>5.5226256000000005</v>
      </c>
      <c r="H16" s="50">
        <f t="shared" si="1"/>
        <v>5.1063829787234047E-2</v>
      </c>
    </row>
    <row r="17" spans="1:28" x14ac:dyDescent="0.3">
      <c r="A17" s="5"/>
      <c r="D17" s="6"/>
      <c r="E17" s="6"/>
      <c r="F17" s="6"/>
    </row>
    <row r="18" spans="1:28" ht="22.5" customHeight="1" x14ac:dyDescent="0.3">
      <c r="A18" s="161" t="s">
        <v>4</v>
      </c>
      <c r="B18" s="161" t="s">
        <v>44</v>
      </c>
      <c r="C18" s="157" t="s">
        <v>49</v>
      </c>
      <c r="D18" s="157" t="s">
        <v>45</v>
      </c>
      <c r="E18" s="161" t="s">
        <v>8</v>
      </c>
      <c r="F18" s="148" t="s">
        <v>18</v>
      </c>
      <c r="G18" s="148"/>
      <c r="H18" s="148"/>
      <c r="I18" s="148"/>
      <c r="J18" s="148"/>
      <c r="K18" s="151" t="s">
        <v>19</v>
      </c>
      <c r="M18" s="157" t="s">
        <v>36</v>
      </c>
      <c r="O18" s="152" t="s">
        <v>31</v>
      </c>
      <c r="P18" s="153"/>
      <c r="Q18" s="153"/>
      <c r="R18" s="153"/>
      <c r="S18" s="153"/>
      <c r="T18" s="154"/>
      <c r="V18" s="152" t="s">
        <v>30</v>
      </c>
      <c r="W18" s="153"/>
      <c r="X18" s="153"/>
      <c r="Y18" s="153"/>
      <c r="Z18" s="153"/>
      <c r="AA18" s="154"/>
      <c r="AB18" s="155" t="s">
        <v>34</v>
      </c>
    </row>
    <row r="19" spans="1:28" ht="21" customHeight="1" x14ac:dyDescent="0.3">
      <c r="A19" s="162"/>
      <c r="B19" s="162"/>
      <c r="C19" s="159"/>
      <c r="D19" s="162"/>
      <c r="E19" s="162"/>
      <c r="F19" s="173" t="s">
        <v>42</v>
      </c>
      <c r="G19" s="171" t="s">
        <v>46</v>
      </c>
      <c r="H19" s="172"/>
      <c r="I19" s="171" t="s">
        <v>47</v>
      </c>
      <c r="J19" s="172"/>
      <c r="K19" s="151"/>
      <c r="M19" s="158"/>
      <c r="O19" s="149" t="s">
        <v>24</v>
      </c>
      <c r="P19" s="149" t="s">
        <v>25</v>
      </c>
      <c r="Q19" s="149" t="s">
        <v>26</v>
      </c>
      <c r="R19" s="149" t="s">
        <v>27</v>
      </c>
      <c r="S19" s="149" t="s">
        <v>28</v>
      </c>
      <c r="T19" s="44" t="s">
        <v>29</v>
      </c>
      <c r="V19" s="149" t="s">
        <v>24</v>
      </c>
      <c r="W19" s="149" t="s">
        <v>25</v>
      </c>
      <c r="X19" s="149" t="s">
        <v>26</v>
      </c>
      <c r="Y19" s="149" t="s">
        <v>27</v>
      </c>
      <c r="Z19" s="149" t="s">
        <v>28</v>
      </c>
      <c r="AA19" s="44" t="s">
        <v>29</v>
      </c>
      <c r="AB19" s="156"/>
    </row>
    <row r="20" spans="1:28" ht="15" thickBot="1" x14ac:dyDescent="0.35">
      <c r="A20" s="163"/>
      <c r="B20" s="163"/>
      <c r="C20" s="160"/>
      <c r="D20" s="163"/>
      <c r="E20" s="163"/>
      <c r="F20" s="174"/>
      <c r="G20" s="13" t="s">
        <v>10</v>
      </c>
      <c r="H20" s="13" t="s">
        <v>11</v>
      </c>
      <c r="I20" s="13" t="s">
        <v>10</v>
      </c>
      <c r="J20" s="13" t="s">
        <v>11</v>
      </c>
      <c r="K20" s="20" t="s">
        <v>20</v>
      </c>
      <c r="M20" s="19" t="s">
        <v>37</v>
      </c>
      <c r="O20" s="150"/>
      <c r="P20" s="150"/>
      <c r="Q20" s="150"/>
      <c r="R20" s="150"/>
      <c r="S20" s="150"/>
      <c r="T20" s="20"/>
      <c r="V20" s="150"/>
      <c r="W20" s="150"/>
      <c r="X20" s="150"/>
      <c r="Y20" s="150"/>
      <c r="Z20" s="150"/>
      <c r="AA20" s="20" t="s">
        <v>20</v>
      </c>
      <c r="AB20" s="45" t="s">
        <v>20</v>
      </c>
    </row>
    <row r="21" spans="1:28" ht="20.100000000000001" customHeight="1" x14ac:dyDescent="0.3">
      <c r="A21" s="9">
        <v>1</v>
      </c>
      <c r="B21" s="9" t="s">
        <v>142</v>
      </c>
      <c r="C21" s="131">
        <v>0.48</v>
      </c>
      <c r="D21" s="8" t="s">
        <v>146</v>
      </c>
      <c r="E21" s="192" t="s">
        <v>148</v>
      </c>
      <c r="F21" s="88">
        <v>45961</v>
      </c>
      <c r="G21" s="88">
        <v>45962</v>
      </c>
      <c r="H21" s="88">
        <f>G21+2</f>
        <v>45964</v>
      </c>
      <c r="I21" s="88">
        <f>H21+1</f>
        <v>45965</v>
      </c>
      <c r="J21" s="88">
        <f>I21+1</f>
        <v>45966</v>
      </c>
      <c r="K21" s="195">
        <f>K4*C21</f>
        <v>5.5226256000000005</v>
      </c>
      <c r="M21" s="97">
        <v>45964</v>
      </c>
      <c r="O21" s="195">
        <v>0.48</v>
      </c>
      <c r="P21" s="195"/>
      <c r="Q21" s="195"/>
      <c r="R21" s="195"/>
      <c r="S21" s="195"/>
      <c r="T21" s="195">
        <f>SUM(O21:S21)</f>
        <v>0.48</v>
      </c>
      <c r="V21" s="16">
        <f>K4*O21</f>
        <v>5.5226256000000005</v>
      </c>
      <c r="W21" s="16">
        <f>$K$21*P21</f>
        <v>0</v>
      </c>
      <c r="X21" s="16">
        <f t="shared" ref="X21:Z21" si="2">$K$21*Q21</f>
        <v>0</v>
      </c>
      <c r="Y21" s="16">
        <f t="shared" si="2"/>
        <v>0</v>
      </c>
      <c r="Z21" s="16">
        <f t="shared" si="2"/>
        <v>0</v>
      </c>
      <c r="AA21" s="36">
        <f>SUM(V21:Z21)</f>
        <v>5.5226256000000005</v>
      </c>
      <c r="AB21" s="21">
        <f>K21-AA21</f>
        <v>0</v>
      </c>
    </row>
    <row r="22" spans="1:28" ht="20.100000000000001" customHeight="1" x14ac:dyDescent="0.3">
      <c r="A22" s="8">
        <v>2</v>
      </c>
      <c r="B22" s="8" t="s">
        <v>143</v>
      </c>
      <c r="C22" s="125">
        <v>4.4800000000000004</v>
      </c>
      <c r="D22" s="8" t="s">
        <v>147</v>
      </c>
      <c r="E22" s="193"/>
      <c r="F22" s="88" t="s">
        <v>149</v>
      </c>
      <c r="G22" s="88">
        <f>J21</f>
        <v>45966</v>
      </c>
      <c r="H22" s="88">
        <f>G22+8</f>
        <v>45974</v>
      </c>
      <c r="I22" s="88">
        <f>H22+1</f>
        <v>45975</v>
      </c>
      <c r="J22" s="88">
        <f>I22+1</f>
        <v>45976</v>
      </c>
      <c r="K22" s="195">
        <f>K4*C22</f>
        <v>51.544505600000008</v>
      </c>
      <c r="M22" s="7"/>
      <c r="O22" s="202"/>
      <c r="P22" s="202"/>
      <c r="Q22" s="202"/>
      <c r="R22" s="202"/>
      <c r="S22" s="202"/>
      <c r="T22" s="195">
        <f t="shared" ref="T22:T27" si="3">SUM(O22:S22)</f>
        <v>0</v>
      </c>
      <c r="V22" s="16">
        <f>$K$22*O22</f>
        <v>0</v>
      </c>
      <c r="W22" s="16">
        <f t="shared" ref="W22:Z22" si="4">$K$22*P22</f>
        <v>0</v>
      </c>
      <c r="X22" s="16">
        <f t="shared" si="4"/>
        <v>0</v>
      </c>
      <c r="Y22" s="16">
        <f t="shared" si="4"/>
        <v>0</v>
      </c>
      <c r="Z22" s="16">
        <f t="shared" si="4"/>
        <v>0</v>
      </c>
      <c r="AA22" s="37">
        <f t="shared" ref="AA22:AA27" si="5">SUM(V22:Z22)</f>
        <v>0</v>
      </c>
      <c r="AB22" s="21">
        <f t="shared" ref="AB22:AB27" si="6">K22-AA22</f>
        <v>51.544505600000008</v>
      </c>
    </row>
    <row r="23" spans="1:28" ht="20.100000000000001" customHeight="1" x14ac:dyDescent="0.3">
      <c r="A23" s="8">
        <v>3</v>
      </c>
      <c r="B23" s="8" t="s">
        <v>144</v>
      </c>
      <c r="C23" s="8">
        <v>1.98</v>
      </c>
      <c r="D23" s="8" t="s">
        <v>147</v>
      </c>
      <c r="E23" s="193"/>
      <c r="F23" s="194">
        <f>G23-2</f>
        <v>45974</v>
      </c>
      <c r="G23" s="88">
        <f>J22</f>
        <v>45976</v>
      </c>
      <c r="H23" s="88">
        <f>G23+6</f>
        <v>45982</v>
      </c>
      <c r="I23" s="88">
        <f>H23+1</f>
        <v>45983</v>
      </c>
      <c r="J23" s="88">
        <f>I23+1</f>
        <v>45984</v>
      </c>
      <c r="K23" s="195">
        <f>C23*K4</f>
        <v>22.780830600000002</v>
      </c>
      <c r="M23" s="7"/>
      <c r="O23" s="202"/>
      <c r="P23" s="202"/>
      <c r="Q23" s="202"/>
      <c r="R23" s="202"/>
      <c r="S23" s="202"/>
      <c r="T23" s="195">
        <f t="shared" si="3"/>
        <v>0</v>
      </c>
      <c r="V23" s="16">
        <f>$K$23*O23</f>
        <v>0</v>
      </c>
      <c r="W23" s="16">
        <f t="shared" ref="W23:Z23" si="7">$K$23*P23</f>
        <v>0</v>
      </c>
      <c r="X23" s="16">
        <f t="shared" si="7"/>
        <v>0</v>
      </c>
      <c r="Y23" s="16">
        <f t="shared" si="7"/>
        <v>0</v>
      </c>
      <c r="Z23" s="16">
        <f t="shared" si="7"/>
        <v>0</v>
      </c>
      <c r="AA23" s="36">
        <f t="shared" si="5"/>
        <v>0</v>
      </c>
      <c r="AB23" s="21">
        <f t="shared" si="6"/>
        <v>22.780830600000002</v>
      </c>
    </row>
    <row r="24" spans="1:28" ht="20.100000000000001" customHeight="1" x14ac:dyDescent="0.3">
      <c r="A24" s="8">
        <v>4</v>
      </c>
      <c r="B24" s="8" t="s">
        <v>145</v>
      </c>
      <c r="C24" s="8">
        <v>2.46</v>
      </c>
      <c r="D24" s="8" t="s">
        <v>147</v>
      </c>
      <c r="E24" s="191"/>
      <c r="F24" s="88" t="s">
        <v>149</v>
      </c>
      <c r="G24" s="88">
        <f>J23</f>
        <v>45984</v>
      </c>
      <c r="H24" s="88">
        <f>G24+7</f>
        <v>45991</v>
      </c>
      <c r="I24" s="88">
        <f>H24+1</f>
        <v>45992</v>
      </c>
      <c r="J24" s="88">
        <f>I24+1</f>
        <v>45993</v>
      </c>
      <c r="K24" s="195">
        <f>C24*K4</f>
        <v>28.303456200000003</v>
      </c>
      <c r="M24" s="7"/>
      <c r="O24" s="202"/>
      <c r="P24" s="202"/>
      <c r="Q24" s="202"/>
      <c r="R24" s="202"/>
      <c r="S24" s="202"/>
      <c r="T24" s="195">
        <f t="shared" si="3"/>
        <v>0</v>
      </c>
      <c r="V24" s="16">
        <f>$K$24*O24</f>
        <v>0</v>
      </c>
      <c r="W24" s="16">
        <f t="shared" ref="W24:Z24" si="8">$K$24*P24</f>
        <v>0</v>
      </c>
      <c r="X24" s="16">
        <f t="shared" si="8"/>
        <v>0</v>
      </c>
      <c r="Y24" s="16">
        <f t="shared" si="8"/>
        <v>0</v>
      </c>
      <c r="Z24" s="16">
        <f t="shared" si="8"/>
        <v>0</v>
      </c>
      <c r="AA24" s="36">
        <f t="shared" si="5"/>
        <v>0</v>
      </c>
      <c r="AB24" s="21">
        <f t="shared" si="6"/>
        <v>28.303456200000003</v>
      </c>
    </row>
    <row r="25" spans="1:28" ht="20.100000000000001" customHeight="1" x14ac:dyDescent="0.3">
      <c r="A25" s="8">
        <v>5</v>
      </c>
      <c r="B25" s="7"/>
      <c r="C25" s="7"/>
      <c r="D25" s="8"/>
      <c r="E25" s="8"/>
      <c r="F25" s="8"/>
      <c r="G25" s="8"/>
      <c r="H25" s="7"/>
      <c r="I25" s="7"/>
      <c r="J25" s="7"/>
      <c r="K25" s="195">
        <v>0</v>
      </c>
      <c r="M25" s="7"/>
      <c r="O25" s="202"/>
      <c r="P25" s="202"/>
      <c r="Q25" s="202"/>
      <c r="R25" s="202"/>
      <c r="S25" s="202"/>
      <c r="T25" s="195">
        <f t="shared" si="3"/>
        <v>0</v>
      </c>
      <c r="V25" s="16">
        <f>$K$25*O25</f>
        <v>0</v>
      </c>
      <c r="W25" s="16">
        <f t="shared" ref="W25:Z25" si="9">$K$25*P25</f>
        <v>0</v>
      </c>
      <c r="X25" s="16">
        <f t="shared" si="9"/>
        <v>0</v>
      </c>
      <c r="Y25" s="16">
        <f t="shared" si="9"/>
        <v>0</v>
      </c>
      <c r="Z25" s="16">
        <f t="shared" si="9"/>
        <v>0</v>
      </c>
      <c r="AA25" s="36">
        <f t="shared" si="5"/>
        <v>0</v>
      </c>
      <c r="AB25" s="21">
        <f t="shared" si="6"/>
        <v>0</v>
      </c>
    </row>
    <row r="26" spans="1:28" ht="20.100000000000001" hidden="1" customHeight="1" x14ac:dyDescent="0.3">
      <c r="A26" s="8">
        <v>6</v>
      </c>
      <c r="B26" s="7"/>
      <c r="C26" s="7"/>
      <c r="D26" s="8"/>
      <c r="E26" s="8"/>
      <c r="F26" s="8"/>
      <c r="G26" s="8"/>
      <c r="H26" s="7"/>
      <c r="I26" s="7"/>
      <c r="J26" s="7"/>
      <c r="K26" s="195">
        <v>0</v>
      </c>
      <c r="M26" s="7"/>
      <c r="O26" s="202"/>
      <c r="P26" s="202"/>
      <c r="Q26" s="202"/>
      <c r="R26" s="202"/>
      <c r="S26" s="202"/>
      <c r="T26" s="195">
        <f t="shared" si="3"/>
        <v>0</v>
      </c>
      <c r="V26" s="16">
        <f>$K$26*O26</f>
        <v>0</v>
      </c>
      <c r="W26" s="16">
        <f t="shared" ref="W26:Z26" si="10">$K$26*P26</f>
        <v>0</v>
      </c>
      <c r="X26" s="16">
        <f t="shared" si="10"/>
        <v>0</v>
      </c>
      <c r="Y26" s="16">
        <f t="shared" si="10"/>
        <v>0</v>
      </c>
      <c r="Z26" s="16">
        <f t="shared" si="10"/>
        <v>0</v>
      </c>
      <c r="AA26" s="36">
        <f t="shared" si="5"/>
        <v>0</v>
      </c>
      <c r="AB26" s="21">
        <f t="shared" si="6"/>
        <v>0</v>
      </c>
    </row>
    <row r="27" spans="1:28" ht="20.100000000000001" hidden="1" customHeight="1" thickBot="1" x14ac:dyDescent="0.35">
      <c r="A27" s="11">
        <v>7</v>
      </c>
      <c r="B27" s="12"/>
      <c r="C27" s="12"/>
      <c r="D27" s="11"/>
      <c r="E27" s="11"/>
      <c r="F27" s="11"/>
      <c r="G27" s="11"/>
      <c r="H27" s="12"/>
      <c r="I27" s="12"/>
      <c r="J27" s="12"/>
      <c r="K27" s="203">
        <v>0</v>
      </c>
      <c r="M27" s="12"/>
      <c r="O27" s="203"/>
      <c r="P27" s="203"/>
      <c r="Q27" s="203"/>
      <c r="R27" s="203"/>
      <c r="S27" s="203"/>
      <c r="T27" s="203">
        <f t="shared" si="3"/>
        <v>0</v>
      </c>
      <c r="V27" s="17">
        <f>$K$27*O27</f>
        <v>0</v>
      </c>
      <c r="W27" s="17">
        <f t="shared" ref="W27:Z27" si="11">$K$27*P27</f>
        <v>0</v>
      </c>
      <c r="X27" s="17">
        <f t="shared" si="11"/>
        <v>0</v>
      </c>
      <c r="Y27" s="17">
        <f t="shared" si="11"/>
        <v>0</v>
      </c>
      <c r="Z27" s="17">
        <f t="shared" si="11"/>
        <v>0</v>
      </c>
      <c r="AA27" s="38">
        <f t="shared" si="5"/>
        <v>0</v>
      </c>
      <c r="AB27" s="22">
        <f t="shared" si="6"/>
        <v>0</v>
      </c>
    </row>
    <row r="28" spans="1:28" ht="20.100000000000001" customHeight="1" x14ac:dyDescent="0.3">
      <c r="A28" s="9"/>
      <c r="B28" s="10"/>
      <c r="C28" s="130">
        <f>SUM(C21:C27)</f>
        <v>9.4000000000000021</v>
      </c>
      <c r="D28" s="15"/>
      <c r="E28" s="15"/>
      <c r="F28" s="15"/>
      <c r="G28" s="9"/>
      <c r="H28" s="10"/>
      <c r="I28" s="10"/>
      <c r="J28" s="10"/>
      <c r="K28" s="204">
        <f>SUM(K21:K27)</f>
        <v>108.15141800000001</v>
      </c>
      <c r="M28" s="10"/>
      <c r="O28" s="204">
        <f t="shared" ref="O28:T28" si="12">SUM(O21:O27)</f>
        <v>0.48</v>
      </c>
      <c r="P28" s="204">
        <f t="shared" si="12"/>
        <v>0</v>
      </c>
      <c r="Q28" s="204">
        <f t="shared" si="12"/>
        <v>0</v>
      </c>
      <c r="R28" s="204">
        <f t="shared" si="12"/>
        <v>0</v>
      </c>
      <c r="S28" s="204">
        <f t="shared" si="12"/>
        <v>0</v>
      </c>
      <c r="T28" s="204">
        <f t="shared" si="12"/>
        <v>0.48</v>
      </c>
      <c r="V28" s="18">
        <f t="shared" ref="V28:AB28" si="13">SUM(V21:V27)</f>
        <v>5.5226256000000005</v>
      </c>
      <c r="W28" s="18">
        <f t="shared" si="13"/>
        <v>0</v>
      </c>
      <c r="X28" s="18">
        <f t="shared" si="13"/>
        <v>0</v>
      </c>
      <c r="Y28" s="18">
        <f t="shared" si="13"/>
        <v>0</v>
      </c>
      <c r="Z28" s="18">
        <f t="shared" si="13"/>
        <v>0</v>
      </c>
      <c r="AA28" s="18">
        <f t="shared" si="13"/>
        <v>5.5226256000000005</v>
      </c>
      <c r="AB28" s="18">
        <f t="shared" si="13"/>
        <v>102.62879240000001</v>
      </c>
    </row>
  </sheetData>
  <mergeCells count="25">
    <mergeCell ref="E21:E24"/>
    <mergeCell ref="R19:R20"/>
    <mergeCell ref="S19:S20"/>
    <mergeCell ref="V19:V20"/>
    <mergeCell ref="W19:W20"/>
    <mergeCell ref="K18:K19"/>
    <mergeCell ref="M18:M19"/>
    <mergeCell ref="O18:T18"/>
    <mergeCell ref="V18:AA18"/>
    <mergeCell ref="AB18:AB19"/>
    <mergeCell ref="F19:F20"/>
    <mergeCell ref="G19:H19"/>
    <mergeCell ref="O19:O20"/>
    <mergeCell ref="A18:A20"/>
    <mergeCell ref="B18:B20"/>
    <mergeCell ref="C18:C20"/>
    <mergeCell ref="D18:D20"/>
    <mergeCell ref="E18:E20"/>
    <mergeCell ref="F18:J18"/>
    <mergeCell ref="X19:X20"/>
    <mergeCell ref="Y19:Y20"/>
    <mergeCell ref="Z19:Z20"/>
    <mergeCell ref="I19:J19"/>
    <mergeCell ref="P19:P20"/>
    <mergeCell ref="Q19:Q20"/>
  </mergeCells>
  <conditionalFormatting sqref="F21:J22 G23:J24">
    <cfRule type="containsText" dxfId="66" priority="4" operator="containsText" text="WIP">
      <formula>NOT(ISERROR(SEARCH("WIP",F21)))</formula>
    </cfRule>
    <cfRule type="containsText" dxfId="65" priority="5" operator="containsText" text="Complete">
      <formula>NOT(ISERROR(SEARCH("Complete",F21)))</formula>
    </cfRule>
    <cfRule type="containsText" dxfId="64" priority="6" operator="containsText" text="ROW">
      <formula>NOT(ISERROR(SEARCH("ROW",F21)))</formula>
    </cfRule>
  </conditionalFormatting>
  <conditionalFormatting sqref="G21:J24">
    <cfRule type="containsText" dxfId="63" priority="7" operator="containsText" text="Complete">
      <formula>NOT(ISERROR(SEARCH("Complete",G21)))</formula>
    </cfRule>
    <cfRule type="containsText" dxfId="62" priority="8" operator="containsText" text="ROW">
      <formula>NOT(ISERROR(SEARCH("ROW",G21)))</formula>
    </cfRule>
  </conditionalFormatting>
  <conditionalFormatting sqref="F24">
    <cfRule type="containsText" dxfId="5" priority="1" operator="containsText" text="WIP">
      <formula>NOT(ISERROR(SEARCH("WIP",F24)))</formula>
    </cfRule>
    <cfRule type="containsText" dxfId="4" priority="2" operator="containsText" text="Complete">
      <formula>NOT(ISERROR(SEARCH("Complete",F24)))</formula>
    </cfRule>
    <cfRule type="containsText" dxfId="3" priority="3" operator="containsText" text="ROW">
      <formula>NOT(ISERROR(SEARCH("ROW",F24)))</formula>
    </cfRule>
  </conditionalFormatting>
  <printOptions horizontalCentered="1"/>
  <pageMargins left="0.25" right="0.25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Foundation</vt:lpstr>
      <vt:lpstr>Stub dispatch</vt:lpstr>
      <vt:lpstr>Erection</vt:lpstr>
      <vt:lpstr>Stringing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User</cp:lastModifiedBy>
  <cp:lastPrinted>2024-05-23T07:04:00Z</cp:lastPrinted>
  <dcterms:created xsi:type="dcterms:W3CDTF">2015-06-05T18:17:20Z</dcterms:created>
  <dcterms:modified xsi:type="dcterms:W3CDTF">2025-11-04T05:57:55Z</dcterms:modified>
</cp:coreProperties>
</file>