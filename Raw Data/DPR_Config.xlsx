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"/>
    </mc:Choice>
  </mc:AlternateContent>
  <xr:revisionPtr revIDLastSave="0" documentId="13_ncr:1_{3742A297-9DD6-461F-BF71-EB403A6381F9}" xr6:coauthVersionLast="47" xr6:coauthVersionMax="47" xr10:uidLastSave="{00000000-0000-0000-0000-000000000000}"/>
  <bookViews>
    <workbookView xWindow="-110" yWindow="-110" windowWidth="19420" windowHeight="10300" tabRatio="962" activeTab="4" xr2:uid="{2458F121-AB3E-4F80-952F-EEA9DC2A69DA}"/>
  </bookViews>
  <sheets>
    <sheet name="Sheet Names Check" sheetId="1" r:id="rId1"/>
    <sheet name="TB 501 132kV Stringing" sheetId="11" r:id="rId2"/>
    <sheet name="TB 501 220kV Stringing" sheetId="10" r:id="rId3"/>
    <sheet name="TB 501 220kV Erection" sheetId="9" r:id="rId4"/>
    <sheet name="TB 501 132kV Erection" sheetId="8" r:id="rId5"/>
    <sheet name="TB 401 Stringing" sheetId="6" r:id="rId6"/>
    <sheet name="TB 408 Stringing" sheetId="2" r:id="rId7"/>
    <sheet name="TA 509 Erection" sheetId="3" r:id="rId8"/>
    <sheet name="TA 601 Erection" sheetId="7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3" i="8"/>
  <c r="Y5" i="10"/>
  <c r="X5" i="10"/>
  <c r="V5" i="10"/>
  <c r="U5" i="10"/>
  <c r="L5" i="10"/>
  <c r="K5" i="10"/>
  <c r="I5" i="10"/>
  <c r="H5" i="10"/>
  <c r="E5" i="10"/>
  <c r="D5" i="10"/>
  <c r="A4" i="10"/>
  <c r="A3" i="10"/>
  <c r="Y5" i="11"/>
  <c r="X5" i="11"/>
  <c r="V5" i="11"/>
  <c r="U5" i="11"/>
  <c r="L5" i="11"/>
  <c r="K5" i="11"/>
  <c r="I5" i="11"/>
  <c r="H5" i="11"/>
  <c r="E5" i="11"/>
  <c r="D5" i="11"/>
  <c r="A4" i="11"/>
  <c r="A3" i="11"/>
</calcChain>
</file>

<file path=xl/sharedStrings.xml><?xml version="1.0" encoding="utf-8"?>
<sst xmlns="http://schemas.openxmlformats.org/spreadsheetml/2006/main" count="433" uniqueCount="179">
  <si>
    <t>Project Code</t>
  </si>
  <si>
    <t>TB 605</t>
  </si>
  <si>
    <t>Erection</t>
  </si>
  <si>
    <t>Erection -Jammu, Erection-Punjab</t>
  </si>
  <si>
    <t>Erection Sheet Names</t>
  </si>
  <si>
    <t>Stringing Sheet Names</t>
  </si>
  <si>
    <t>Erection Compiled</t>
  </si>
  <si>
    <t>Stringing Stretch Readiness</t>
  </si>
  <si>
    <t>TA 414</t>
  </si>
  <si>
    <t>Stringing Compiled</t>
  </si>
  <si>
    <t>TA 504</t>
  </si>
  <si>
    <t>Stringing</t>
  </si>
  <si>
    <t>TA 506</t>
  </si>
  <si>
    <t>TB 507</t>
  </si>
  <si>
    <t>TA 512</t>
  </si>
  <si>
    <t>TA 413</t>
  </si>
  <si>
    <t>TA 419</t>
  </si>
  <si>
    <t>TA 418</t>
  </si>
  <si>
    <t>TA 421</t>
  </si>
  <si>
    <t>Stringing compliled</t>
  </si>
  <si>
    <t xml:space="preserve">Erection Compiled </t>
  </si>
  <si>
    <t>TA 416</t>
  </si>
  <si>
    <t>TA 505</t>
  </si>
  <si>
    <t>TB 408</t>
  </si>
  <si>
    <t>TB 401</t>
  </si>
  <si>
    <t>TA 325</t>
  </si>
  <si>
    <t>Erection-Compiled</t>
  </si>
  <si>
    <t>TA 509</t>
  </si>
  <si>
    <t>TA 601</t>
  </si>
  <si>
    <t>TB 501</t>
  </si>
  <si>
    <t>TA 310</t>
  </si>
  <si>
    <t>TA 513</t>
  </si>
  <si>
    <t>SL. No.</t>
  </si>
  <si>
    <t>Section</t>
  </si>
  <si>
    <t>Type of Sections</t>
  </si>
  <si>
    <t>Gang Name</t>
  </si>
  <si>
    <t>Section Length</t>
  </si>
  <si>
    <t>Paying Out/R-Sag</t>
  </si>
  <si>
    <t>Final Sag</t>
  </si>
  <si>
    <t>From</t>
  </si>
  <si>
    <t>To</t>
  </si>
  <si>
    <t>Start Date</t>
  </si>
  <si>
    <t>End Date</t>
  </si>
  <si>
    <t>Remarks</t>
  </si>
  <si>
    <t>Completion Month</t>
  </si>
  <si>
    <t>S.no</t>
  </si>
  <si>
    <t>From AP</t>
  </si>
  <si>
    <t>To AP</t>
  </si>
  <si>
    <t>Span (M)</t>
  </si>
  <si>
    <t>P/O Starting Date</t>
  </si>
  <si>
    <t>P/O Completion Date</t>
  </si>
  <si>
    <t>P/O</t>
  </si>
  <si>
    <t>F/S Starting Date</t>
  </si>
  <si>
    <t>F/S/ Completion Date</t>
  </si>
  <si>
    <t>Length</t>
  </si>
  <si>
    <t>Status</t>
  </si>
  <si>
    <t>SL NO.</t>
  </si>
  <si>
    <t xml:space="preserve">LOC No. </t>
  </si>
  <si>
    <t xml:space="preserve">STATUS </t>
  </si>
  <si>
    <t>STARTING DATE</t>
  </si>
  <si>
    <t xml:space="preserve">ENDING DATE </t>
  </si>
  <si>
    <t xml:space="preserve">CONTRACTOR </t>
  </si>
  <si>
    <t>JMC</t>
  </si>
  <si>
    <t>SL No.</t>
  </si>
  <si>
    <t>Location No.</t>
  </si>
  <si>
    <t>Starting Date</t>
  </si>
  <si>
    <t>Completion Date</t>
  </si>
  <si>
    <t>Yes</t>
  </si>
  <si>
    <t>Actual</t>
  </si>
  <si>
    <t>To Map</t>
  </si>
  <si>
    <t>Erection Template Check</t>
  </si>
  <si>
    <t>Stringing Template Check</t>
  </si>
  <si>
    <t>Stringing - PKG-G</t>
  </si>
  <si>
    <t>S. No</t>
  </si>
  <si>
    <t>Paying Out</t>
  </si>
  <si>
    <t xml:space="preserve">Name of Gang </t>
  </si>
  <si>
    <t>Finish Date</t>
  </si>
  <si>
    <t>Month</t>
  </si>
  <si>
    <t>Tower Type</t>
  </si>
  <si>
    <t>Classification</t>
  </si>
  <si>
    <t>MT</t>
  </si>
  <si>
    <t>Gang Strength</t>
  </si>
  <si>
    <t>Tower Weight</t>
  </si>
  <si>
    <t>Erection Line Names</t>
  </si>
  <si>
    <t>TA 605 - Jammu; TA 605 - Punjab</t>
  </si>
  <si>
    <t>Progress-132kV, Progress-220kV</t>
  </si>
  <si>
    <t>Stringing Line Names</t>
  </si>
  <si>
    <t>Erection 132kV; Erection 220 kV</t>
  </si>
  <si>
    <t>Stringing 132kV; Stringing 220kV</t>
  </si>
  <si>
    <t>Stringing-132KV; Stringing-220kV</t>
  </si>
  <si>
    <t>Stringing Progress (Conductor &amp; Earthwire)</t>
  </si>
  <si>
    <t>OPGW Progress</t>
  </si>
  <si>
    <t>Stringing Section</t>
  </si>
  <si>
    <t>Sl. No.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</si>
  <si>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</si>
  <si>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</si>
  <si>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</si>
  <si>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</si>
  <si>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</si>
  <si>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</si>
  <si>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</si>
  <si>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Sub-Contractor Name</t>
  </si>
  <si>
    <t>MP</t>
  </si>
  <si>
    <t>OPGW Paying Out</t>
  </si>
  <si>
    <t>OPGW Final Sag</t>
  </si>
  <si>
    <t>DOS</t>
  </si>
  <si>
    <t>DOC</t>
  </si>
  <si>
    <t>Sec</t>
  </si>
  <si>
    <t>Method</t>
  </si>
  <si>
    <t>Section Readiness</t>
  </si>
  <si>
    <t>Jumpering</t>
  </si>
  <si>
    <t xml:space="preserve">Spacering </t>
  </si>
  <si>
    <t>Number of Fitters</t>
  </si>
  <si>
    <t>Hindrance</t>
  </si>
  <si>
    <t>220 KV D/C Neemuch - TS</t>
  </si>
  <si>
    <t>Foundation</t>
  </si>
  <si>
    <t>Earthing</t>
  </si>
  <si>
    <t>Tower Checking-1</t>
  </si>
  <si>
    <t>Tack-Welding</t>
  </si>
  <si>
    <t>Tower Checking-2</t>
  </si>
  <si>
    <t>LOC NO</t>
  </si>
  <si>
    <t>Stub Weight</t>
  </si>
  <si>
    <t>Chimney Extension</t>
  </si>
  <si>
    <t>Span Length(m)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</si>
  <si>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</si>
  <si>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</si>
  <si>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</si>
  <si>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</si>
  <si>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</si>
  <si>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</si>
  <si>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</si>
  <si>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</si>
  <si>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</si>
  <si>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</si>
  <si>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</si>
  <si>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</si>
  <si>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Status
C/WIP</t>
  </si>
  <si>
    <t>Type</t>
  </si>
  <si>
    <t>Painting</t>
  </si>
  <si>
    <t>HT</t>
  </si>
  <si>
    <t>MS</t>
  </si>
  <si>
    <t>BnA</t>
  </si>
  <si>
    <t>Total</t>
  </si>
  <si>
    <t>A</t>
  </si>
  <si>
    <t>B</t>
  </si>
  <si>
    <t>C</t>
  </si>
  <si>
    <t>D</t>
  </si>
  <si>
    <t>m</t>
  </si>
  <si>
    <t>M10
(1:3:6) (m3)</t>
  </si>
  <si>
    <t>M20 (1:1.5:3) (m3)</t>
  </si>
  <si>
    <t>pack Washar</t>
  </si>
  <si>
    <t>Total Tower Weight</t>
  </si>
  <si>
    <t>Total Stub Weight</t>
  </si>
  <si>
    <t>Deviation of Angle</t>
  </si>
  <si>
    <t>State</t>
  </si>
  <si>
    <t>Cement Required</t>
  </si>
  <si>
    <t>Total Steel (Kgs) per Tower</t>
  </si>
  <si>
    <t>Fnd Status
(C/WIP)</t>
  </si>
  <si>
    <t>Manual Checklist</t>
  </si>
  <si>
    <t>Earthing Status
C/WIP</t>
  </si>
  <si>
    <t>Earthing Type</t>
  </si>
  <si>
    <t>S/C</t>
  </si>
  <si>
    <t>Erection Status
C/WIP</t>
  </si>
  <si>
    <t>NB qty</t>
  </si>
  <si>
    <t xml:space="preserve"> </t>
  </si>
  <si>
    <t>B2B</t>
  </si>
  <si>
    <t>B2B x 4</t>
  </si>
  <si>
    <t>Barbed Wire</t>
  </si>
  <si>
    <t>RC Portion</t>
  </si>
  <si>
    <t>DMS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</si>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</sst>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d/m/yyyy"/>
    <numFmt numFmtId="166" formatCode="[$-4009]0.00"/>
    <numFmt numFmtId="167" formatCode="#,##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4E515E"/>
      <name val="Aptos Display"/>
      <family val="1"/>
      <scheme val="major"/>
    </font>
    <font>
      <b/>
      <sz val="11"/>
      <color rgb="FF4E515E"/>
      <name val="Aptos Display"/>
      <family val="1"/>
      <scheme val="major"/>
    </font>
    <font>
      <sz val="10"/>
      <color rgb="FF000000"/>
      <name val="Aptos Narrow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</cellStyleXfs>
  <cellXfs count="9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vertical="center" wrapText="1"/>
    </xf>
    <xf numFmtId="0" fontId="3" fillId="2" borderId="16" xfId="1" applyFont="1" applyFill="1" applyBorder="1" applyAlignment="1">
      <alignment vertical="center" wrapText="1"/>
    </xf>
    <xf numFmtId="0" fontId="3" fillId="2" borderId="18" xfId="1" applyFont="1" applyFill="1" applyBorder="1" applyAlignment="1">
      <alignment vertical="center" wrapText="1"/>
    </xf>
    <xf numFmtId="0" fontId="3" fillId="2" borderId="17" xfId="1" applyFont="1" applyFill="1" applyBorder="1" applyAlignment="1">
      <alignment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9" fillId="7" borderId="1" xfId="7" applyFont="1" applyFill="1" applyBorder="1" applyAlignment="1">
      <alignment horizontal="center" vertical="center" wrapText="1"/>
    </xf>
    <xf numFmtId="0" fontId="9" fillId="7" borderId="1" xfId="7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165" fontId="10" fillId="9" borderId="10" xfId="0" applyNumberFormat="1" applyFont="1" applyFill="1" applyBorder="1"/>
    <xf numFmtId="2" fontId="10" fillId="7" borderId="10" xfId="0" applyNumberFormat="1" applyFont="1" applyFill="1" applyBorder="1" applyAlignment="1">
      <alignment horizontal="center" vertical="center"/>
    </xf>
    <xf numFmtId="0" fontId="10" fillId="0" borderId="10" xfId="0" applyFont="1" applyBorder="1"/>
    <xf numFmtId="2" fontId="10" fillId="0" borderId="10" xfId="0" applyNumberFormat="1" applyFont="1" applyBorder="1" applyAlignment="1">
      <alignment horizontal="center" vertical="center"/>
    </xf>
    <xf numFmtId="0" fontId="10" fillId="8" borderId="10" xfId="0" applyFont="1" applyFill="1" applyBorder="1"/>
    <xf numFmtId="0" fontId="10" fillId="10" borderId="10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8" borderId="2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2" applyFont="1" applyFill="1" applyBorder="1" applyAlignment="1">
      <alignment horizontal="center" vertical="center" wrapText="1"/>
    </xf>
    <xf numFmtId="0" fontId="2" fillId="3" borderId="24" xfId="2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166" fontId="10" fillId="0" borderId="10" xfId="0" applyNumberFormat="1" applyFont="1" applyBorder="1" applyAlignment="1">
      <alignment horizontal="center" vertical="center" wrapText="1"/>
    </xf>
    <xf numFmtId="166" fontId="10" fillId="0" borderId="9" xfId="0" applyNumberFormat="1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167" fontId="10" fillId="0" borderId="10" xfId="0" applyNumberFormat="1" applyFont="1" applyBorder="1" applyAlignment="1">
      <alignment horizontal="center" vertical="center"/>
    </xf>
    <xf numFmtId="166" fontId="10" fillId="0" borderId="14" xfId="0" applyNumberFormat="1" applyFont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8" fillId="0" borderId="13" xfId="0" applyFont="1" applyBorder="1"/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6" fontId="10" fillId="0" borderId="11" xfId="0" applyNumberFormat="1" applyFont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8" fillId="0" borderId="14" xfId="0" applyFont="1" applyBorder="1"/>
    <xf numFmtId="0" fontId="7" fillId="6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8">
    <cellStyle name="Comma 2" xfId="5" xr:uid="{1517F127-7F55-42AF-952C-D923BD4ECBE3}"/>
    <cellStyle name="Normal" xfId="0" builtinId="0"/>
    <cellStyle name="Normal 15" xfId="1" xr:uid="{34FE60CE-A1DA-4616-AA23-0BBDDF9DD7D6}"/>
    <cellStyle name="Normal 2" xfId="4" xr:uid="{E561867F-C8CF-4869-A143-7DB56F2EE69B}"/>
    <cellStyle name="Normal 3" xfId="6" xr:uid="{02E4DB69-C37B-458C-97B6-3E554FA1E55A}"/>
    <cellStyle name="Normal 4" xfId="7" xr:uid="{91588BA5-8ED7-4728-AC43-559C5A5DAACB}"/>
    <cellStyle name="Normal 5" xfId="3" xr:uid="{72642DE1-8DD2-444D-8A81-E2A5D7BD22B8}"/>
    <cellStyle name="Normal 8 2" xfId="2" xr:uid="{E356B690-246D-43B2-86AF-A6FE97B16461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ushikb\AppData\Local\Microsoft\Windows\INetCache\Content.Outlook\P2I1UK28\220kV%20and%20132kV%20Neemuch%20TL%20DPR-%2003-03-2026.xlsx" TargetMode="External"/><Relationship Id="rId1" Type="http://schemas.openxmlformats.org/officeDocument/2006/relationships/externalLinkPath" Target="/Users/kaushikb/AppData/Local/Microsoft/Windows/INetCache/Content.Outlook/P2I1UK28/220kV%20and%20132kV%20Neemuch%20TL%20DPR-%2003-03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ushikb\Documents\Work\Git\Office-work-\Raw%20Data\DPRs\TB%20501%20-%20DPR%20-%202026-03-31.xlsx" TargetMode="External"/><Relationship Id="rId1" Type="http://schemas.openxmlformats.org/officeDocument/2006/relationships/externalLinkPath" Target="DPRs/TB%20501%20-%20DPR%20-%202026-03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 Survey-220kV"/>
      <sheetName val="Check Survey-220kV"/>
      <sheetName val="Detail Survey-132kV"/>
      <sheetName val="Check Survey-132kV"/>
      <sheetName val="Summary"/>
      <sheetName val="Statutory"/>
      <sheetName val="Progress-132kV"/>
      <sheetName val="Progress-220kV"/>
      <sheetName val="Stringing-220kV"/>
      <sheetName val="Stringing-132KV"/>
      <sheetName val="VC-220kV"/>
      <sheetName val="VC-132kV"/>
      <sheetName val="Supply"/>
      <sheetName val="Mail Bod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Name of the Line: 220KV DC AL59 line from Neemuch - Chanderiya + 132KV DC ACSS Line from Chanderiya to Hindustan Zinc</v>
          </cell>
        </row>
        <row r="4">
          <cell r="A4" t="str">
            <v>Office:  Neemuch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 Survey-220kV"/>
      <sheetName val="Check Survey-220kV"/>
      <sheetName val="Detail Survey-132kV"/>
      <sheetName val="Check Survey-132kV"/>
      <sheetName val="Summary"/>
      <sheetName val="Statutory"/>
      <sheetName val="Progress-132kV"/>
      <sheetName val="Progress-220kV"/>
      <sheetName val="Stringing-220kV"/>
      <sheetName val="Stringing-132KV"/>
      <sheetName val="VC-220kV"/>
      <sheetName val="VC-132kV"/>
      <sheetName val="Supply"/>
      <sheetName val="Mail Body"/>
    </sheetNames>
    <sheetDataSet>
      <sheetData sheetId="0"/>
      <sheetData sheetId="1"/>
      <sheetData sheetId="2"/>
      <sheetData sheetId="3"/>
      <sheetData sheetId="4">
        <row r="4">
          <cell r="A4" t="str">
            <v>Office:  Neemuch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F0E1F-C881-4514-9437-5BEB0B253989}" name="Table1" displayName="Table1" ref="A1:G22" totalsRowShown="0">
  <autoFilter ref="A1:G22" xr:uid="{DBDF0E1F-C881-4514-9437-5BEB0B253989}"/>
  <tableColumns count="7">
    <tableColumn id="1" xr3:uid="{1C0814EE-AA83-4802-806C-8F58A35BCB7F}" name="Project Code"/>
    <tableColumn id="2" xr3:uid="{648AD748-C4AF-4406-94C1-AD47F69D9A33}" name="Erection Sheet Names"/>
    <tableColumn id="3" xr3:uid="{21E38DD6-7CC4-48AB-83F3-B20FE2132DBD}" name="Stringing Sheet Names"/>
    <tableColumn id="4" xr3:uid="{5D52F2DE-F5A4-4050-A631-7A7FCEDEEF0F}" name="Erection Template Check"/>
    <tableColumn id="5" xr3:uid="{9023B235-6439-4C22-8371-541AC872F757}" name="Stringing Template Check"/>
    <tableColumn id="6" xr3:uid="{626EFD59-910E-4A23-B6DD-324D4B001C75}" name="Erection Line Names"/>
    <tableColumn id="7" xr3:uid="{6BB72CD2-5BEC-461E-851B-37A24191EC2F}" name="Stringing Line 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0114-109C-4365-898D-B35AA94B9EEF}">
  <dimension ref="A1:G21"/>
  <sheetViews>
    <sheetView topLeftCell="A7" workbookViewId="0">
      <selection activeCell="A22" sqref="A22"/>
    </sheetView>
  </sheetViews>
  <sheetFormatPr defaultRowHeight="14.5" x14ac:dyDescent="0.35"/>
  <cols>
    <col min="1" max="1" width="10.453125" customWidth="1"/>
    <col min="2" max="2" width="28.453125" bestFit="1" customWidth="1"/>
    <col min="3" max="3" width="23.08984375" bestFit="1" customWidth="1"/>
    <col min="4" max="4" width="24.1796875" bestFit="1" customWidth="1"/>
    <col min="5" max="5" width="24.7265625" bestFit="1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70</v>
      </c>
      <c r="E1" t="s">
        <v>71</v>
      </c>
      <c r="F1" t="s">
        <v>83</v>
      </c>
      <c r="G1" t="s">
        <v>86</v>
      </c>
    </row>
    <row r="2" spans="1:7" x14ac:dyDescent="0.35">
      <c r="A2" t="s">
        <v>1</v>
      </c>
      <c r="B2" t="s">
        <v>3</v>
      </c>
      <c r="F2" t="s">
        <v>84</v>
      </c>
    </row>
    <row r="3" spans="1:7" x14ac:dyDescent="0.35">
      <c r="A3" t="s">
        <v>8</v>
      </c>
      <c r="B3" t="s">
        <v>6</v>
      </c>
      <c r="C3" t="s">
        <v>9</v>
      </c>
    </row>
    <row r="4" spans="1:7" x14ac:dyDescent="0.35">
      <c r="A4" t="s">
        <v>10</v>
      </c>
      <c r="B4" t="s">
        <v>6</v>
      </c>
      <c r="C4" t="s">
        <v>11</v>
      </c>
    </row>
    <row r="5" spans="1:7" x14ac:dyDescent="0.35">
      <c r="A5" t="s">
        <v>12</v>
      </c>
      <c r="B5" t="s">
        <v>6</v>
      </c>
      <c r="C5" t="s">
        <v>11</v>
      </c>
    </row>
    <row r="6" spans="1:7" x14ac:dyDescent="0.35">
      <c r="A6" t="s">
        <v>13</v>
      </c>
      <c r="B6" t="s">
        <v>6</v>
      </c>
      <c r="C6" t="s">
        <v>9</v>
      </c>
    </row>
    <row r="7" spans="1:7" x14ac:dyDescent="0.35">
      <c r="A7" t="s">
        <v>14</v>
      </c>
      <c r="B7" t="s">
        <v>6</v>
      </c>
    </row>
    <row r="8" spans="1:7" x14ac:dyDescent="0.35">
      <c r="A8" t="s">
        <v>15</v>
      </c>
      <c r="B8" t="s">
        <v>6</v>
      </c>
      <c r="C8" t="s">
        <v>9</v>
      </c>
    </row>
    <row r="9" spans="1:7" x14ac:dyDescent="0.35">
      <c r="A9" t="s">
        <v>16</v>
      </c>
      <c r="B9" t="s">
        <v>6</v>
      </c>
      <c r="C9" t="s">
        <v>7</v>
      </c>
    </row>
    <row r="10" spans="1:7" x14ac:dyDescent="0.35">
      <c r="A10" t="s">
        <v>17</v>
      </c>
      <c r="B10" t="s">
        <v>6</v>
      </c>
      <c r="C10" t="s">
        <v>9</v>
      </c>
    </row>
    <row r="11" spans="1:7" x14ac:dyDescent="0.35">
      <c r="A11" t="s">
        <v>18</v>
      </c>
      <c r="B11" t="s">
        <v>6</v>
      </c>
      <c r="C11" t="s">
        <v>9</v>
      </c>
    </row>
    <row r="12" spans="1:7" x14ac:dyDescent="0.35">
      <c r="A12" t="s">
        <v>21</v>
      </c>
      <c r="B12" t="s">
        <v>20</v>
      </c>
      <c r="C12" t="s">
        <v>19</v>
      </c>
    </row>
    <row r="13" spans="1:7" x14ac:dyDescent="0.35">
      <c r="A13" t="s">
        <v>22</v>
      </c>
      <c r="B13" t="s">
        <v>6</v>
      </c>
      <c r="C13" t="s">
        <v>9</v>
      </c>
    </row>
    <row r="14" spans="1:7" x14ac:dyDescent="0.35">
      <c r="A14" t="s">
        <v>23</v>
      </c>
      <c r="B14" t="s">
        <v>6</v>
      </c>
      <c r="C14" t="s">
        <v>11</v>
      </c>
      <c r="E14" t="s">
        <v>67</v>
      </c>
    </row>
    <row r="15" spans="1:7" x14ac:dyDescent="0.35">
      <c r="A15" t="s">
        <v>24</v>
      </c>
      <c r="B15" t="s">
        <v>6</v>
      </c>
      <c r="C15" t="s">
        <v>72</v>
      </c>
    </row>
    <row r="16" spans="1:7" x14ac:dyDescent="0.35">
      <c r="A16" t="s">
        <v>25</v>
      </c>
      <c r="B16" t="s">
        <v>26</v>
      </c>
      <c r="C16" t="s">
        <v>9</v>
      </c>
    </row>
    <row r="17" spans="1:7" x14ac:dyDescent="0.35">
      <c r="A17" t="s">
        <v>27</v>
      </c>
      <c r="B17" t="s">
        <v>2</v>
      </c>
      <c r="D17" t="s">
        <v>67</v>
      </c>
    </row>
    <row r="18" spans="1:7" x14ac:dyDescent="0.35">
      <c r="A18" t="s">
        <v>28</v>
      </c>
      <c r="B18" t="s">
        <v>6</v>
      </c>
      <c r="C18" t="s">
        <v>9</v>
      </c>
      <c r="D18" t="s">
        <v>67</v>
      </c>
      <c r="E18" t="s">
        <v>67</v>
      </c>
    </row>
    <row r="19" spans="1:7" x14ac:dyDescent="0.35">
      <c r="A19" t="s">
        <v>29</v>
      </c>
      <c r="B19" t="s">
        <v>85</v>
      </c>
      <c r="C19" t="s">
        <v>89</v>
      </c>
      <c r="D19" t="s">
        <v>67</v>
      </c>
      <c r="E19" t="s">
        <v>67</v>
      </c>
      <c r="F19" t="s">
        <v>87</v>
      </c>
      <c r="G19" t="s">
        <v>88</v>
      </c>
    </row>
    <row r="20" spans="1:7" x14ac:dyDescent="0.35">
      <c r="A20" t="s">
        <v>30</v>
      </c>
    </row>
    <row r="21" spans="1:7" x14ac:dyDescent="0.35">
      <c r="A21" t="s">
        <v>31</v>
      </c>
      <c r="B2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05BD-52B1-49ED-A017-76486C00039F}">
  <dimension ref="A2:Z16"/>
  <sheetViews>
    <sheetView workbookViewId="0">
      <selection activeCell="A4" sqref="A4:D4"/>
    </sheetView>
  </sheetViews>
  <sheetFormatPr defaultRowHeight="14.5" x14ac:dyDescent="0.35"/>
  <sheetData>
    <row r="2" spans="1:26" x14ac:dyDescent="0.35">
      <c r="A2" t="s">
        <v>68</v>
      </c>
    </row>
    <row r="3" spans="1:26" x14ac:dyDescent="0.35">
      <c r="A3" s="70" t="str">
        <f>+[1]Summary!A4</f>
        <v>Office:  Neemuch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71"/>
    </row>
    <row r="4" spans="1:26" x14ac:dyDescent="0.35">
      <c r="A4" s="70">
        <f>+[1]Summary!A7</f>
        <v>0</v>
      </c>
      <c r="B4" s="68"/>
      <c r="C4" s="68"/>
      <c r="D4" s="71"/>
      <c r="E4" s="18"/>
      <c r="F4" s="70" t="s">
        <v>90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71"/>
      <c r="S4" s="19"/>
      <c r="T4" s="70" t="s">
        <v>91</v>
      </c>
      <c r="U4" s="68"/>
      <c r="V4" s="68"/>
      <c r="W4" s="68"/>
      <c r="X4" s="68"/>
      <c r="Y4" s="68"/>
      <c r="Z4" s="71"/>
    </row>
    <row r="5" spans="1:26" x14ac:dyDescent="0.35">
      <c r="A5" s="70" t="s">
        <v>92</v>
      </c>
      <c r="B5" s="68"/>
      <c r="C5" s="71"/>
      <c r="D5" s="20">
        <f>[1]Summary!R7</f>
        <v>0</v>
      </c>
      <c r="E5" s="21">
        <f>SUMIF(E8:E215,"C",$D$6:$D$213)/1000</f>
        <v>0</v>
      </c>
      <c r="F5" s="22"/>
      <c r="G5" s="22"/>
      <c r="H5" s="23">
        <f>SUMIF(G9:G215,"WIP",$D$7:$D$213)/1000</f>
        <v>0</v>
      </c>
      <c r="I5" s="21">
        <f>SUMIF(G8:G215,"C",$D$6:$D$213)/1000</f>
        <v>0</v>
      </c>
      <c r="J5" s="22"/>
      <c r="K5" s="23">
        <f>SUMIF(J9:J215,"WIP",$D$7:$D$213)/1000</f>
        <v>0</v>
      </c>
      <c r="L5" s="21">
        <f>SUMIF(J8:J215,"C",$D$6:$D$213)/1000</f>
        <v>0</v>
      </c>
      <c r="M5" s="22"/>
      <c r="N5" s="22"/>
      <c r="O5" s="22"/>
      <c r="P5" s="22"/>
      <c r="Q5" s="22"/>
      <c r="R5" s="22"/>
      <c r="S5" s="24"/>
      <c r="T5" s="22"/>
      <c r="U5" s="23">
        <f>SUMIF(T9:T215,"WIP",$D$7:$D$213)/1000</f>
        <v>0</v>
      </c>
      <c r="V5" s="23">
        <f>SUMIF(T9:T215,"C",$D$7:$D$213)/1000</f>
        <v>0</v>
      </c>
      <c r="W5" s="23"/>
      <c r="X5" s="23">
        <f>SUMIF(W9:W215,"WIP",$D$7:$D$213)/1000</f>
        <v>0</v>
      </c>
      <c r="Y5" s="23">
        <f>SUMIF(W9:W215,"C",$D$7:$D$213)/1000</f>
        <v>0</v>
      </c>
      <c r="Z5" s="22"/>
    </row>
    <row r="6" spans="1:26" ht="43.5" x14ac:dyDescent="0.35">
      <c r="A6" s="25" t="s">
        <v>93</v>
      </c>
      <c r="B6" s="72" t="s">
        <v>33</v>
      </c>
      <c r="C6" s="71"/>
      <c r="D6" s="25" t="s">
        <v>94</v>
      </c>
      <c r="E6" s="26" t="s">
        <v>95</v>
      </c>
      <c r="F6" s="27" t="s">
        <v>96</v>
      </c>
      <c r="G6" s="73" t="s">
        <v>97</v>
      </c>
      <c r="H6" s="68"/>
      <c r="I6" s="71"/>
      <c r="J6" s="73" t="s">
        <v>38</v>
      </c>
      <c r="K6" s="68"/>
      <c r="L6" s="71"/>
      <c r="M6" s="28" t="s">
        <v>98</v>
      </c>
      <c r="N6" s="29" t="s">
        <v>99</v>
      </c>
      <c r="O6" s="30" t="s">
        <v>100</v>
      </c>
      <c r="P6" s="31" t="s">
        <v>101</v>
      </c>
      <c r="Q6" s="32" t="s">
        <v>102</v>
      </c>
      <c r="R6" s="27" t="s">
        <v>43</v>
      </c>
      <c r="S6" s="33"/>
      <c r="T6" s="66" t="s">
        <v>103</v>
      </c>
      <c r="U6" s="68"/>
      <c r="V6" s="71"/>
      <c r="W6" s="66" t="s">
        <v>104</v>
      </c>
      <c r="X6" s="68"/>
      <c r="Y6" s="71"/>
      <c r="Z6" s="31" t="s">
        <v>101</v>
      </c>
    </row>
    <row r="7" spans="1:26" x14ac:dyDescent="0.35">
      <c r="A7" s="25"/>
      <c r="B7" s="34" t="s">
        <v>39</v>
      </c>
      <c r="C7" s="34" t="s">
        <v>40</v>
      </c>
      <c r="D7" s="25"/>
      <c r="E7" s="35"/>
      <c r="F7" s="36"/>
      <c r="G7" s="30" t="s">
        <v>55</v>
      </c>
      <c r="H7" s="37" t="s">
        <v>105</v>
      </c>
      <c r="I7" s="30" t="s">
        <v>106</v>
      </c>
      <c r="J7" s="30" t="s">
        <v>55</v>
      </c>
      <c r="K7" s="30" t="s">
        <v>105</v>
      </c>
      <c r="L7" s="30" t="s">
        <v>106</v>
      </c>
      <c r="M7" s="30" t="s">
        <v>55</v>
      </c>
      <c r="N7" s="30" t="s">
        <v>55</v>
      </c>
      <c r="O7" s="30" t="s">
        <v>55</v>
      </c>
      <c r="P7" s="31"/>
      <c r="Q7" s="38"/>
      <c r="R7" s="36"/>
      <c r="S7" s="39"/>
      <c r="T7" s="30" t="s">
        <v>55</v>
      </c>
      <c r="U7" s="30" t="s">
        <v>105</v>
      </c>
      <c r="V7" s="30" t="s">
        <v>106</v>
      </c>
      <c r="W7" s="30" t="s">
        <v>55</v>
      </c>
      <c r="X7" s="30" t="s">
        <v>105</v>
      </c>
      <c r="Y7" s="30" t="s">
        <v>106</v>
      </c>
      <c r="Z7" s="31"/>
    </row>
    <row r="10" spans="1:26" ht="15" thickBot="1" x14ac:dyDescent="0.4">
      <c r="A10" t="s">
        <v>69</v>
      </c>
    </row>
    <row r="11" spans="1:26" ht="44" thickBot="1" x14ac:dyDescent="0.4">
      <c r="A11" s="40" t="s">
        <v>45</v>
      </c>
      <c r="B11" s="41" t="s">
        <v>46</v>
      </c>
      <c r="C11" s="41" t="s">
        <v>47</v>
      </c>
      <c r="D11" s="41" t="s">
        <v>48</v>
      </c>
      <c r="E11" s="43" t="s">
        <v>109</v>
      </c>
      <c r="F11" s="44" t="s">
        <v>96</v>
      </c>
      <c r="H11" s="45" t="s">
        <v>49</v>
      </c>
      <c r="I11" s="42" t="s">
        <v>50</v>
      </c>
      <c r="K11" s="42" t="s">
        <v>52</v>
      </c>
      <c r="L11" s="46" t="s">
        <v>53</v>
      </c>
      <c r="M11" s="48" t="s">
        <v>98</v>
      </c>
      <c r="N11" s="47" t="s">
        <v>111</v>
      </c>
      <c r="O11" s="40" t="s">
        <v>110</v>
      </c>
      <c r="P11" s="41" t="s">
        <v>35</v>
      </c>
      <c r="R11" s="48" t="s">
        <v>43</v>
      </c>
    </row>
    <row r="15" spans="1:26" ht="15" thickBot="1" x14ac:dyDescent="0.4"/>
    <row r="16" spans="1:26" ht="15" thickBot="1" x14ac:dyDescent="0.4">
      <c r="B16" s="41" t="s">
        <v>107</v>
      </c>
      <c r="F16" s="42" t="s">
        <v>108</v>
      </c>
      <c r="K16" s="41" t="s">
        <v>51</v>
      </c>
      <c r="Q16" s="49" t="s">
        <v>54</v>
      </c>
      <c r="R16" s="41" t="s">
        <v>55</v>
      </c>
      <c r="T16" s="41" t="s">
        <v>81</v>
      </c>
      <c r="U16" s="41" t="s">
        <v>112</v>
      </c>
      <c r="V16" s="41" t="s">
        <v>113</v>
      </c>
    </row>
  </sheetData>
  <mergeCells count="10">
    <mergeCell ref="B6:C6"/>
    <mergeCell ref="G6:I6"/>
    <mergeCell ref="J6:L6"/>
    <mergeCell ref="T6:V6"/>
    <mergeCell ref="W6:Y6"/>
    <mergeCell ref="A3:Z3"/>
    <mergeCell ref="A4:D4"/>
    <mergeCell ref="F4:R4"/>
    <mergeCell ref="T4:Z4"/>
    <mergeCell ref="A5:C5"/>
  </mergeCells>
  <conditionalFormatting sqref="B11">
    <cfRule type="duplicateValues" dxfId="7" priority="2"/>
  </conditionalFormatting>
  <conditionalFormatting sqref="C1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C2D9-B641-4509-82EB-A6381EB78A1E}">
  <dimension ref="A2:Z11"/>
  <sheetViews>
    <sheetView workbookViewId="0">
      <selection activeCell="H11" sqref="H11"/>
    </sheetView>
  </sheetViews>
  <sheetFormatPr defaultRowHeight="14.5" x14ac:dyDescent="0.35"/>
  <sheetData>
    <row r="2" spans="1:26" x14ac:dyDescent="0.35">
      <c r="A2" t="s">
        <v>68</v>
      </c>
    </row>
    <row r="3" spans="1:26" x14ac:dyDescent="0.35">
      <c r="A3" s="70" t="str">
        <f>+[1]Summary!A4</f>
        <v>Office:  Neemuch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71"/>
    </row>
    <row r="4" spans="1:26" x14ac:dyDescent="0.35">
      <c r="A4" s="70">
        <f>+[1]Summary!A7</f>
        <v>0</v>
      </c>
      <c r="B4" s="68"/>
      <c r="C4" s="68"/>
      <c r="D4" s="71"/>
      <c r="E4" s="18"/>
      <c r="F4" s="70" t="s">
        <v>90</v>
      </c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71"/>
      <c r="S4" s="19"/>
      <c r="T4" s="70" t="s">
        <v>91</v>
      </c>
      <c r="U4" s="68"/>
      <c r="V4" s="68"/>
      <c r="W4" s="68"/>
      <c r="X4" s="68"/>
      <c r="Y4" s="68"/>
      <c r="Z4" s="71"/>
    </row>
    <row r="5" spans="1:26" x14ac:dyDescent="0.35">
      <c r="A5" s="70" t="s">
        <v>92</v>
      </c>
      <c r="B5" s="68"/>
      <c r="C5" s="71"/>
      <c r="D5" s="20">
        <f>[1]Summary!R7</f>
        <v>0</v>
      </c>
      <c r="E5" s="21">
        <f>SUMIF(E8:E215,"C",$D$6:$D$213)/1000</f>
        <v>0</v>
      </c>
      <c r="F5" s="22"/>
      <c r="G5" s="22"/>
      <c r="H5" s="23">
        <f>SUMIF(G9:G215,"WIP",$D$7:$D$213)/1000</f>
        <v>0</v>
      </c>
      <c r="I5" s="21">
        <f>SUMIF(G8:G215,"C",$D$6:$D$213)/1000</f>
        <v>0</v>
      </c>
      <c r="J5" s="22"/>
      <c r="K5" s="23">
        <f>SUMIF(J9:J215,"WIP",$D$7:$D$213)/1000</f>
        <v>0</v>
      </c>
      <c r="L5" s="21">
        <f>SUMIF(J8:J215,"C",$D$6:$D$213)/1000</f>
        <v>0</v>
      </c>
      <c r="M5" s="22"/>
      <c r="N5" s="22"/>
      <c r="O5" s="22"/>
      <c r="P5" s="22"/>
      <c r="Q5" s="22"/>
      <c r="R5" s="22"/>
      <c r="S5" s="24"/>
      <c r="T5" s="22"/>
      <c r="U5" s="23">
        <f>SUMIF(T9:T215,"WIP",$D$7:$D$213)/1000</f>
        <v>0</v>
      </c>
      <c r="V5" s="23">
        <f>SUMIF(T9:T215,"C",$D$7:$D$213)/1000</f>
        <v>0</v>
      </c>
      <c r="W5" s="23"/>
      <c r="X5" s="23">
        <f>SUMIF(W9:W215,"WIP",$D$7:$D$213)/1000</f>
        <v>0</v>
      </c>
      <c r="Y5" s="23">
        <f>SUMIF(W9:W215,"C",$D$7:$D$213)/1000</f>
        <v>0</v>
      </c>
      <c r="Z5" s="22"/>
    </row>
    <row r="6" spans="1:26" ht="43.5" x14ac:dyDescent="0.35">
      <c r="A6" s="25" t="s">
        <v>93</v>
      </c>
      <c r="B6" s="72" t="s">
        <v>33</v>
      </c>
      <c r="C6" s="71"/>
      <c r="D6" s="25" t="s">
        <v>94</v>
      </c>
      <c r="E6" s="26" t="s">
        <v>95</v>
      </c>
      <c r="F6" s="27" t="s">
        <v>96</v>
      </c>
      <c r="G6" s="73" t="s">
        <v>97</v>
      </c>
      <c r="H6" s="68"/>
      <c r="I6" s="71"/>
      <c r="J6" s="73" t="s">
        <v>38</v>
      </c>
      <c r="K6" s="68"/>
      <c r="L6" s="71"/>
      <c r="M6" s="28" t="s">
        <v>98</v>
      </c>
      <c r="N6" s="29" t="s">
        <v>99</v>
      </c>
      <c r="O6" s="30" t="s">
        <v>100</v>
      </c>
      <c r="P6" s="31" t="s">
        <v>101</v>
      </c>
      <c r="Q6" s="32" t="s">
        <v>102</v>
      </c>
      <c r="R6" s="27" t="s">
        <v>43</v>
      </c>
      <c r="S6" s="33"/>
      <c r="T6" s="66" t="s">
        <v>103</v>
      </c>
      <c r="U6" s="68"/>
      <c r="V6" s="71"/>
      <c r="W6" s="66" t="s">
        <v>104</v>
      </c>
      <c r="X6" s="68"/>
      <c r="Y6" s="71"/>
      <c r="Z6" s="31" t="s">
        <v>101</v>
      </c>
    </row>
    <row r="7" spans="1:26" x14ac:dyDescent="0.35">
      <c r="A7" s="25"/>
      <c r="B7" s="34" t="s">
        <v>39</v>
      </c>
      <c r="C7" s="34" t="s">
        <v>40</v>
      </c>
      <c r="D7" s="25"/>
      <c r="E7" s="35"/>
      <c r="F7" s="36"/>
      <c r="G7" s="30" t="s">
        <v>55</v>
      </c>
      <c r="H7" s="37" t="s">
        <v>105</v>
      </c>
      <c r="I7" s="30" t="s">
        <v>106</v>
      </c>
      <c r="J7" s="30" t="s">
        <v>55</v>
      </c>
      <c r="K7" s="30" t="s">
        <v>105</v>
      </c>
      <c r="L7" s="30" t="s">
        <v>106</v>
      </c>
      <c r="M7" s="30" t="s">
        <v>55</v>
      </c>
      <c r="N7" s="30" t="s">
        <v>55</v>
      </c>
      <c r="O7" s="30" t="s">
        <v>55</v>
      </c>
      <c r="P7" s="31"/>
      <c r="Q7" s="38"/>
      <c r="R7" s="36"/>
      <c r="S7" s="39"/>
      <c r="T7" s="30" t="s">
        <v>55</v>
      </c>
      <c r="U7" s="30" t="s">
        <v>105</v>
      </c>
      <c r="V7" s="30" t="s">
        <v>106</v>
      </c>
      <c r="W7" s="30" t="s">
        <v>55</v>
      </c>
      <c r="X7" s="30" t="s">
        <v>105</v>
      </c>
      <c r="Y7" s="30" t="s">
        <v>106</v>
      </c>
      <c r="Z7" s="31"/>
    </row>
    <row r="10" spans="1:26" ht="15" thickBot="1" x14ac:dyDescent="0.4">
      <c r="A10" t="s">
        <v>69</v>
      </c>
    </row>
    <row r="11" spans="1:26" ht="44" thickBot="1" x14ac:dyDescent="0.4">
      <c r="A11" s="40" t="s">
        <v>45</v>
      </c>
      <c r="B11" s="41" t="s">
        <v>46</v>
      </c>
      <c r="C11" s="41" t="s">
        <v>47</v>
      </c>
      <c r="D11" s="41" t="s">
        <v>48</v>
      </c>
      <c r="E11" s="43" t="s">
        <v>109</v>
      </c>
      <c r="F11" s="44" t="s">
        <v>96</v>
      </c>
      <c r="H11" s="45" t="s">
        <v>49</v>
      </c>
      <c r="I11" s="42" t="s">
        <v>50</v>
      </c>
      <c r="K11" s="42" t="s">
        <v>52</v>
      </c>
      <c r="L11" s="46" t="s">
        <v>53</v>
      </c>
      <c r="M11" s="48" t="s">
        <v>98</v>
      </c>
      <c r="N11" s="47" t="s">
        <v>111</v>
      </c>
      <c r="O11" s="40" t="s">
        <v>110</v>
      </c>
      <c r="P11" s="41" t="s">
        <v>35</v>
      </c>
      <c r="R11" s="48" t="s">
        <v>43</v>
      </c>
    </row>
  </sheetData>
  <mergeCells count="10">
    <mergeCell ref="B6:C6"/>
    <mergeCell ref="G6:I6"/>
    <mergeCell ref="J6:L6"/>
    <mergeCell ref="T6:V6"/>
    <mergeCell ref="W6:Y6"/>
    <mergeCell ref="A3:Z3"/>
    <mergeCell ref="A4:D4"/>
    <mergeCell ref="F4:R4"/>
    <mergeCell ref="T4:Z4"/>
    <mergeCell ref="A5:C5"/>
  </mergeCells>
  <conditionalFormatting sqref="B11">
    <cfRule type="duplicateValues" dxfId="5" priority="2"/>
  </conditionalFormatting>
  <conditionalFormatting sqref="C1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B5B8-47AF-4D49-A01B-A8E1BEE40158}">
  <dimension ref="A1:BM10"/>
  <sheetViews>
    <sheetView workbookViewId="0">
      <selection activeCell="A10" sqref="A10"/>
    </sheetView>
  </sheetViews>
  <sheetFormatPr defaultRowHeight="14.5" x14ac:dyDescent="0.35"/>
  <sheetData>
    <row r="1" spans="1:65" x14ac:dyDescent="0.35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8"/>
      <c r="AM1" s="68"/>
      <c r="AN1" s="68"/>
      <c r="AO1" s="68"/>
      <c r="AP1" s="68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9"/>
    </row>
    <row r="2" spans="1:65" x14ac:dyDescent="0.35">
      <c r="A2" t="s">
        <v>68</v>
      </c>
    </row>
    <row r="3" spans="1:65" x14ac:dyDescent="0.35">
      <c r="A3" s="64" t="s">
        <v>93</v>
      </c>
      <c r="B3" s="63" t="s">
        <v>120</v>
      </c>
      <c r="C3" s="63" t="s">
        <v>78</v>
      </c>
      <c r="D3" s="63"/>
      <c r="E3" s="63"/>
      <c r="F3" s="63"/>
      <c r="G3" s="63"/>
      <c r="H3" s="63" t="s">
        <v>143</v>
      </c>
      <c r="I3" s="63" t="s">
        <v>144</v>
      </c>
      <c r="J3" s="63" t="s">
        <v>145</v>
      </c>
      <c r="K3" s="63" t="s">
        <v>146</v>
      </c>
      <c r="L3" s="63" t="s">
        <v>139</v>
      </c>
      <c r="M3" s="63" t="s">
        <v>140</v>
      </c>
      <c r="N3" s="63" t="s">
        <v>150</v>
      </c>
      <c r="O3" s="63" t="s">
        <v>141</v>
      </c>
      <c r="P3" s="63" t="s">
        <v>151</v>
      </c>
      <c r="Q3" s="63" t="s">
        <v>139</v>
      </c>
      <c r="R3" s="63" t="s">
        <v>141</v>
      </c>
      <c r="S3" s="63" t="s">
        <v>152</v>
      </c>
      <c r="T3" s="63" t="s">
        <v>153</v>
      </c>
      <c r="U3" s="63" t="s">
        <v>154</v>
      </c>
      <c r="V3" s="63" t="s">
        <v>123</v>
      </c>
      <c r="W3" s="63" t="s">
        <v>79</v>
      </c>
      <c r="X3" s="63" t="s">
        <v>124</v>
      </c>
      <c r="Y3" s="63" t="s">
        <v>125</v>
      </c>
      <c r="Z3" s="63"/>
      <c r="AA3" s="63"/>
      <c r="AB3" s="63" t="s">
        <v>155</v>
      </c>
      <c r="AC3" s="63"/>
      <c r="AD3" s="63" t="s">
        <v>156</v>
      </c>
      <c r="AE3" s="63"/>
      <c r="AF3" s="63"/>
      <c r="AG3" s="63"/>
      <c r="AH3" s="63"/>
      <c r="AI3" s="63"/>
      <c r="AJ3" s="63"/>
      <c r="AK3" s="63"/>
      <c r="AL3" s="63"/>
      <c r="AM3" s="63" t="s">
        <v>157</v>
      </c>
      <c r="AN3" s="63" t="s">
        <v>158</v>
      </c>
      <c r="AO3" s="63" t="s">
        <v>62</v>
      </c>
      <c r="AP3" s="63" t="s">
        <v>134</v>
      </c>
      <c r="AQ3" s="63"/>
      <c r="AR3" s="63" t="s">
        <v>135</v>
      </c>
      <c r="AS3" s="63"/>
      <c r="AT3" s="63" t="s">
        <v>101</v>
      </c>
      <c r="AU3" s="63"/>
      <c r="AV3" s="63" t="s">
        <v>159</v>
      </c>
      <c r="AW3" s="63" t="s">
        <v>160</v>
      </c>
      <c r="AX3" s="63" t="s">
        <v>105</v>
      </c>
      <c r="AY3" s="63" t="s">
        <v>106</v>
      </c>
      <c r="AZ3" s="63" t="s">
        <v>161</v>
      </c>
      <c r="BA3" s="65"/>
      <c r="BB3" t="s">
        <v>162</v>
      </c>
      <c r="BC3" t="s">
        <v>158</v>
      </c>
      <c r="BD3" t="s">
        <v>62</v>
      </c>
      <c r="BE3" t="s">
        <v>105</v>
      </c>
      <c r="BF3" t="s">
        <v>106</v>
      </c>
      <c r="BG3" t="s">
        <v>161</v>
      </c>
      <c r="BI3" t="s">
        <v>136</v>
      </c>
      <c r="BJ3" t="s">
        <v>105</v>
      </c>
      <c r="BK3" t="s">
        <v>106</v>
      </c>
      <c r="BL3" t="s">
        <v>163</v>
      </c>
      <c r="BM3" t="s">
        <v>101</v>
      </c>
    </row>
    <row r="4" spans="1:65" x14ac:dyDescent="0.35">
      <c r="A4" s="64" t="s">
        <v>164</v>
      </c>
      <c r="B4" s="63"/>
      <c r="C4" s="63"/>
      <c r="D4" s="63" t="s">
        <v>165</v>
      </c>
      <c r="E4" s="63" t="s">
        <v>166</v>
      </c>
      <c r="F4" s="63" t="s">
        <v>167</v>
      </c>
      <c r="G4" s="63" t="s">
        <v>168</v>
      </c>
      <c r="H4" s="63"/>
      <c r="I4" s="63"/>
      <c r="J4" s="63"/>
      <c r="K4" s="63"/>
      <c r="L4" s="63" t="s">
        <v>80</v>
      </c>
      <c r="M4" s="63" t="s">
        <v>80</v>
      </c>
      <c r="N4" s="63" t="s">
        <v>80</v>
      </c>
      <c r="O4" s="63" t="s">
        <v>80</v>
      </c>
      <c r="P4" s="63" t="s">
        <v>80</v>
      </c>
      <c r="Q4" s="63" t="s">
        <v>80</v>
      </c>
      <c r="R4" s="63" t="s">
        <v>80</v>
      </c>
      <c r="S4" s="63" t="s">
        <v>80</v>
      </c>
      <c r="T4" s="63" t="s">
        <v>169</v>
      </c>
      <c r="U4" s="63"/>
      <c r="V4" s="63" t="s">
        <v>147</v>
      </c>
      <c r="W4" s="63"/>
      <c r="X4" s="63"/>
      <c r="Y4" s="63" t="s">
        <v>148</v>
      </c>
      <c r="Z4" s="63" t="s">
        <v>149</v>
      </c>
      <c r="AA4" s="63" t="s">
        <v>142</v>
      </c>
      <c r="AB4" s="63" t="s">
        <v>170</v>
      </c>
      <c r="AC4" s="63" t="s">
        <v>171</v>
      </c>
      <c r="AD4" s="63" t="s">
        <v>172</v>
      </c>
      <c r="AE4" s="63" t="s">
        <v>173</v>
      </c>
      <c r="AF4" s="63" t="s">
        <v>174</v>
      </c>
      <c r="AG4" s="63" t="s">
        <v>175</v>
      </c>
      <c r="AH4" s="63" t="s">
        <v>176</v>
      </c>
      <c r="AI4" s="63" t="s">
        <v>177</v>
      </c>
      <c r="AJ4" s="63" t="s">
        <v>178</v>
      </c>
      <c r="AK4" s="63" t="s">
        <v>132</v>
      </c>
      <c r="AL4" s="63"/>
      <c r="AM4" s="63"/>
      <c r="AN4" s="63"/>
      <c r="AO4" s="63"/>
      <c r="AP4" s="63" t="s">
        <v>105</v>
      </c>
      <c r="AQ4" s="63" t="s">
        <v>106</v>
      </c>
      <c r="AR4" s="63" t="s">
        <v>105</v>
      </c>
      <c r="AS4" s="63">
        <v>9</v>
      </c>
      <c r="AT4" s="63"/>
      <c r="AU4" s="63"/>
      <c r="AV4" s="63"/>
      <c r="AW4" s="63"/>
      <c r="AX4" s="63"/>
      <c r="AY4" s="63"/>
      <c r="AZ4" s="63"/>
      <c r="BA4" s="65"/>
    </row>
    <row r="6" spans="1:65" x14ac:dyDescent="0.35">
      <c r="A6" s="64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5"/>
    </row>
    <row r="9" spans="1:65" x14ac:dyDescent="0.35">
      <c r="A9" t="s">
        <v>69</v>
      </c>
    </row>
    <row r="10" spans="1:65" ht="29.5" thickBot="1" x14ac:dyDescent="0.4">
      <c r="A10" s="6" t="s">
        <v>63</v>
      </c>
      <c r="B10" s="6" t="s">
        <v>64</v>
      </c>
      <c r="C10" s="7" t="s">
        <v>78</v>
      </c>
      <c r="D10" s="6"/>
      <c r="H10" s="61"/>
      <c r="I10" s="61"/>
      <c r="M10" s="6"/>
      <c r="N10" s="17"/>
      <c r="O10" s="60"/>
      <c r="P10" s="6" t="s">
        <v>82</v>
      </c>
      <c r="Q10" s="62"/>
      <c r="BB10" s="60" t="s">
        <v>55</v>
      </c>
      <c r="BE10" s="6" t="s">
        <v>65</v>
      </c>
      <c r="BF10" s="6" t="s">
        <v>66</v>
      </c>
      <c r="BG10" s="6" t="s">
        <v>35</v>
      </c>
    </row>
  </sheetData>
  <mergeCells count="1">
    <mergeCell ref="A1:B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8AFA-BF49-47F5-B095-34C6A355FE30}">
  <dimension ref="A2:BA10"/>
  <sheetViews>
    <sheetView tabSelected="1" topLeftCell="AJ5" workbookViewId="0">
      <selection activeCell="AZ10" sqref="AZ10"/>
    </sheetView>
  </sheetViews>
  <sheetFormatPr defaultRowHeight="14.5" x14ac:dyDescent="0.35"/>
  <cols>
    <col min="6" max="6" width="11.6328125" customWidth="1"/>
  </cols>
  <sheetData>
    <row r="2" spans="1:53" x14ac:dyDescent="0.35">
      <c r="A2" t="s">
        <v>68</v>
      </c>
    </row>
    <row r="3" spans="1:53" x14ac:dyDescent="0.35">
      <c r="A3" s="66" t="str">
        <f>+[2]Summary!A4</f>
        <v>Office:  Neemuch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8"/>
      <c r="AM3" s="68"/>
      <c r="AN3" s="68"/>
      <c r="AO3" s="68"/>
      <c r="AP3" s="68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9"/>
    </row>
    <row r="4" spans="1:53" x14ac:dyDescent="0.35">
      <c r="A4" s="66">
        <f>+[2]Summary!A7</f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8"/>
      <c r="AM4" s="68"/>
      <c r="AN4" s="68"/>
      <c r="AO4" s="68"/>
      <c r="AP4" s="68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9"/>
    </row>
    <row r="5" spans="1:53" ht="44" thickBot="1" x14ac:dyDescent="0.4">
      <c r="A5" s="66" t="s">
        <v>114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9"/>
      <c r="T5" s="66" t="s">
        <v>115</v>
      </c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9"/>
      <c r="AL5" s="66" t="s">
        <v>116</v>
      </c>
      <c r="AM5" s="68"/>
      <c r="AN5" s="68"/>
      <c r="AO5" s="68"/>
      <c r="AP5" s="71"/>
      <c r="AQ5" s="66" t="s">
        <v>2</v>
      </c>
      <c r="AR5" s="67"/>
      <c r="AS5" s="67"/>
      <c r="AT5" s="69"/>
      <c r="AU5" s="27" t="s">
        <v>117</v>
      </c>
      <c r="AV5" s="66" t="s">
        <v>118</v>
      </c>
      <c r="AW5" s="67"/>
      <c r="AX5" s="67"/>
      <c r="AY5" s="67"/>
      <c r="AZ5" s="69"/>
      <c r="BA5" s="27" t="s">
        <v>119</v>
      </c>
    </row>
    <row r="6" spans="1:53" ht="58.5" thickTop="1" x14ac:dyDescent="0.35">
      <c r="A6" s="31" t="s">
        <v>93</v>
      </c>
      <c r="B6" s="31" t="s">
        <v>120</v>
      </c>
      <c r="C6" s="31" t="s">
        <v>78</v>
      </c>
      <c r="D6" s="50"/>
      <c r="E6" s="50"/>
      <c r="F6" s="50"/>
      <c r="G6" s="74" t="s">
        <v>82</v>
      </c>
      <c r="H6" s="75"/>
      <c r="I6" s="75"/>
      <c r="J6" s="76"/>
      <c r="K6" s="74" t="s">
        <v>121</v>
      </c>
      <c r="L6" s="75"/>
      <c r="M6" s="75"/>
      <c r="N6" s="76"/>
      <c r="O6" s="77" t="s">
        <v>122</v>
      </c>
      <c r="P6" s="67"/>
      <c r="Q6" s="67"/>
      <c r="R6" s="69"/>
      <c r="S6" s="51" t="s">
        <v>123</v>
      </c>
      <c r="T6" s="27" t="s">
        <v>79</v>
      </c>
      <c r="U6" s="31" t="s">
        <v>124</v>
      </c>
      <c r="V6" s="66" t="s">
        <v>125</v>
      </c>
      <c r="W6" s="67"/>
      <c r="X6" s="69"/>
      <c r="Y6" s="52" t="s">
        <v>126</v>
      </c>
      <c r="Z6" s="52" t="s">
        <v>127</v>
      </c>
      <c r="AA6" s="52" t="s">
        <v>128</v>
      </c>
      <c r="AB6" s="52" t="s">
        <v>129</v>
      </c>
      <c r="AC6" s="52" t="s">
        <v>130</v>
      </c>
      <c r="AD6" s="52" t="s">
        <v>131</v>
      </c>
      <c r="AE6" s="53" t="s">
        <v>132</v>
      </c>
      <c r="AF6" s="27" t="s">
        <v>133</v>
      </c>
      <c r="AG6" s="78" t="s">
        <v>134</v>
      </c>
      <c r="AH6" s="69"/>
      <c r="AI6" s="66" t="s">
        <v>135</v>
      </c>
      <c r="AJ6" s="69"/>
      <c r="AK6" s="27" t="s">
        <v>101</v>
      </c>
      <c r="AL6" s="27" t="s">
        <v>136</v>
      </c>
      <c r="AM6" s="27" t="s">
        <v>137</v>
      </c>
      <c r="AN6" s="54" t="s">
        <v>105</v>
      </c>
      <c r="AO6" s="54" t="s">
        <v>106</v>
      </c>
      <c r="AP6" s="27" t="s">
        <v>101</v>
      </c>
      <c r="AQ6" s="27" t="s">
        <v>136</v>
      </c>
      <c r="AR6" s="54" t="s">
        <v>105</v>
      </c>
      <c r="AS6" s="54" t="s">
        <v>106</v>
      </c>
      <c r="AT6" s="27" t="s">
        <v>101</v>
      </c>
      <c r="AU6" s="53"/>
      <c r="AV6" s="27" t="s">
        <v>136</v>
      </c>
      <c r="AW6" s="54" t="s">
        <v>105</v>
      </c>
      <c r="AX6" s="54" t="s">
        <v>106</v>
      </c>
      <c r="AY6" s="55" t="s">
        <v>138</v>
      </c>
      <c r="AZ6" s="27" t="s">
        <v>101</v>
      </c>
      <c r="BA6" s="53"/>
    </row>
    <row r="7" spans="1:53" ht="43.5" x14ac:dyDescent="0.35">
      <c r="A7" s="31"/>
      <c r="B7" s="31"/>
      <c r="C7" s="31"/>
      <c r="D7" s="29"/>
      <c r="E7" s="29"/>
      <c r="F7" s="29"/>
      <c r="G7" s="56" t="s">
        <v>139</v>
      </c>
      <c r="H7" s="31" t="s">
        <v>140</v>
      </c>
      <c r="I7" s="31" t="s">
        <v>141</v>
      </c>
      <c r="J7" s="57" t="s">
        <v>142</v>
      </c>
      <c r="K7" s="56" t="s">
        <v>139</v>
      </c>
      <c r="L7" s="29" t="s">
        <v>140</v>
      </c>
      <c r="M7" s="31" t="s">
        <v>141</v>
      </c>
      <c r="N7" s="57" t="s">
        <v>142</v>
      </c>
      <c r="O7" s="54" t="s">
        <v>143</v>
      </c>
      <c r="P7" s="54" t="s">
        <v>144</v>
      </c>
      <c r="Q7" s="54" t="s">
        <v>145</v>
      </c>
      <c r="R7" s="54" t="s">
        <v>146</v>
      </c>
      <c r="S7" s="58" t="s">
        <v>147</v>
      </c>
      <c r="T7" s="36"/>
      <c r="U7" s="27"/>
      <c r="V7" s="27" t="s">
        <v>148</v>
      </c>
      <c r="W7" s="27" t="s">
        <v>149</v>
      </c>
      <c r="X7" s="27" t="s">
        <v>142</v>
      </c>
      <c r="Y7" s="53"/>
      <c r="Z7" s="53"/>
      <c r="AA7" s="53"/>
      <c r="AB7" s="53"/>
      <c r="AC7" s="53"/>
      <c r="AD7" s="53"/>
      <c r="AE7" s="36"/>
      <c r="AF7" s="36"/>
      <c r="AG7" s="54" t="s">
        <v>105</v>
      </c>
      <c r="AH7" s="54" t="s">
        <v>106</v>
      </c>
      <c r="AI7" s="54" t="s">
        <v>105</v>
      </c>
      <c r="AJ7" s="54" t="s">
        <v>106</v>
      </c>
      <c r="AK7" s="36"/>
      <c r="AL7" s="36"/>
      <c r="AM7" s="36"/>
      <c r="AN7" s="54"/>
      <c r="AO7" s="54"/>
      <c r="AP7" s="36"/>
      <c r="AQ7" s="36"/>
      <c r="AR7" s="54"/>
      <c r="AS7" s="54"/>
      <c r="AT7" s="36"/>
      <c r="AU7" s="36"/>
      <c r="AV7" s="36"/>
      <c r="AW7" s="54"/>
      <c r="AX7" s="54"/>
      <c r="AY7" s="59"/>
      <c r="AZ7" s="36"/>
      <c r="BA7" s="36"/>
    </row>
    <row r="9" spans="1:53" x14ac:dyDescent="0.35">
      <c r="A9" t="s">
        <v>69</v>
      </c>
    </row>
    <row r="10" spans="1:53" ht="29.5" thickBot="1" x14ac:dyDescent="0.4">
      <c r="A10" s="6" t="s">
        <v>63</v>
      </c>
      <c r="B10" s="6" t="s">
        <v>64</v>
      </c>
      <c r="C10" s="7" t="s">
        <v>78</v>
      </c>
      <c r="D10" s="6"/>
      <c r="H10" s="61"/>
      <c r="I10" s="61"/>
      <c r="J10" s="6" t="s">
        <v>82</v>
      </c>
      <c r="M10" s="6"/>
      <c r="N10" s="17"/>
      <c r="O10" s="60"/>
      <c r="P10" s="61"/>
      <c r="Q10" s="62"/>
      <c r="AQ10" s="60" t="s">
        <v>55</v>
      </c>
      <c r="AR10" s="6" t="s">
        <v>65</v>
      </c>
      <c r="AS10" s="6" t="s">
        <v>66</v>
      </c>
      <c r="AT10" s="6" t="s">
        <v>35</v>
      </c>
    </row>
  </sheetData>
  <mergeCells count="13">
    <mergeCell ref="AL5:AP5"/>
    <mergeCell ref="AQ5:AT5"/>
    <mergeCell ref="AV5:AZ5"/>
    <mergeCell ref="G6:J6"/>
    <mergeCell ref="K6:N6"/>
    <mergeCell ref="O6:R6"/>
    <mergeCell ref="V6:X6"/>
    <mergeCell ref="AG6:AH6"/>
    <mergeCell ref="AI6:AJ6"/>
    <mergeCell ref="A3:BA3"/>
    <mergeCell ref="A4:BA4"/>
    <mergeCell ref="A5:S5"/>
    <mergeCell ref="T5:A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A689-52FE-4282-BFA7-7FA3F37BB8D4}">
  <dimension ref="A2:W7"/>
  <sheetViews>
    <sheetView workbookViewId="0">
      <selection activeCell="N7" sqref="N7"/>
    </sheetView>
  </sheetViews>
  <sheetFormatPr defaultRowHeight="14.5" x14ac:dyDescent="0.35"/>
  <sheetData>
    <row r="2" spans="1:23" x14ac:dyDescent="0.35">
      <c r="A2" t="s">
        <v>68</v>
      </c>
    </row>
    <row r="3" spans="1:23" ht="15.5" x14ac:dyDescent="0.35">
      <c r="A3" s="81" t="s">
        <v>73</v>
      </c>
      <c r="B3" s="82" t="s">
        <v>33</v>
      </c>
      <c r="C3" s="68"/>
      <c r="D3" s="71"/>
      <c r="E3" s="82" t="s">
        <v>74</v>
      </c>
      <c r="F3" s="68"/>
      <c r="G3" s="71"/>
      <c r="H3" s="82" t="s">
        <v>38</v>
      </c>
      <c r="I3" s="68"/>
      <c r="J3" s="71"/>
      <c r="K3" s="81" t="s">
        <v>75</v>
      </c>
      <c r="L3" s="79" t="s">
        <v>43</v>
      </c>
      <c r="M3" s="8"/>
      <c r="N3" s="9"/>
    </row>
    <row r="4" spans="1:23" ht="31" x14ac:dyDescent="0.35">
      <c r="A4" s="80"/>
      <c r="B4" s="12" t="s">
        <v>39</v>
      </c>
      <c r="C4" s="12" t="s">
        <v>40</v>
      </c>
      <c r="D4" s="13" t="s">
        <v>54</v>
      </c>
      <c r="E4" s="12" t="s">
        <v>41</v>
      </c>
      <c r="F4" s="12" t="s">
        <v>76</v>
      </c>
      <c r="G4" s="12" t="s">
        <v>77</v>
      </c>
      <c r="H4" s="12" t="s">
        <v>41</v>
      </c>
      <c r="I4" s="12" t="s">
        <v>76</v>
      </c>
      <c r="J4" s="12" t="s">
        <v>77</v>
      </c>
      <c r="K4" s="80"/>
      <c r="L4" s="80"/>
      <c r="M4" s="10"/>
      <c r="N4" s="11"/>
    </row>
    <row r="6" spans="1:23" x14ac:dyDescent="0.35">
      <c r="A6" t="s">
        <v>69</v>
      </c>
    </row>
    <row r="7" spans="1:23" ht="43.5" x14ac:dyDescent="0.35">
      <c r="A7" s="3" t="s">
        <v>45</v>
      </c>
      <c r="B7" s="3" t="s">
        <v>46</v>
      </c>
      <c r="C7" s="3" t="s">
        <v>47</v>
      </c>
      <c r="D7" s="3" t="s">
        <v>48</v>
      </c>
      <c r="E7" s="4" t="s">
        <v>49</v>
      </c>
      <c r="F7" s="4" t="s">
        <v>50</v>
      </c>
      <c r="G7" s="3"/>
      <c r="H7" s="4" t="s">
        <v>52</v>
      </c>
      <c r="I7" s="4" t="s">
        <v>53</v>
      </c>
      <c r="J7" s="3"/>
      <c r="K7" s="3" t="s">
        <v>35</v>
      </c>
      <c r="L7" s="4"/>
      <c r="N7" s="3"/>
      <c r="O7" s="3"/>
      <c r="P7" s="4"/>
      <c r="R7" s="3"/>
      <c r="T7" s="3"/>
      <c r="U7" s="3"/>
      <c r="V7" s="3"/>
      <c r="W7" s="4"/>
    </row>
  </sheetData>
  <mergeCells count="6">
    <mergeCell ref="L3:L4"/>
    <mergeCell ref="A3:A4"/>
    <mergeCell ref="B3:D3"/>
    <mergeCell ref="E3:G3"/>
    <mergeCell ref="H3:J3"/>
    <mergeCell ref="K3:K4"/>
  </mergeCells>
  <conditionalFormatting sqref="B7">
    <cfRule type="duplicateValues" dxfId="3" priority="2"/>
  </conditionalFormatting>
  <conditionalFormatting sqref="C7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5AA6-68BC-47EB-9948-84B6B216E727}">
  <dimension ref="A2:W7"/>
  <sheetViews>
    <sheetView workbookViewId="0">
      <selection activeCell="A2" sqref="A2"/>
    </sheetView>
  </sheetViews>
  <sheetFormatPr defaultRowHeight="14.5" x14ac:dyDescent="0.35"/>
  <sheetData>
    <row r="2" spans="1:23" x14ac:dyDescent="0.35">
      <c r="A2" t="s">
        <v>68</v>
      </c>
    </row>
    <row r="3" spans="1:23" x14ac:dyDescent="0.35">
      <c r="A3" s="86" t="s">
        <v>32</v>
      </c>
      <c r="B3" s="86" t="s">
        <v>33</v>
      </c>
      <c r="C3" s="86"/>
      <c r="D3" s="86" t="s">
        <v>34</v>
      </c>
      <c r="E3" s="86" t="s">
        <v>35</v>
      </c>
      <c r="F3" s="86" t="s">
        <v>36</v>
      </c>
      <c r="G3" s="87" t="s">
        <v>37</v>
      </c>
      <c r="H3" s="87"/>
      <c r="I3" s="87"/>
      <c r="J3" s="83" t="s">
        <v>38</v>
      </c>
      <c r="K3" s="84"/>
      <c r="L3" s="84"/>
      <c r="M3" s="84"/>
      <c r="N3" s="85"/>
    </row>
    <row r="4" spans="1:23" ht="26" x14ac:dyDescent="0.35">
      <c r="A4" s="86"/>
      <c r="B4" s="2" t="s">
        <v>39</v>
      </c>
      <c r="C4" s="1" t="s">
        <v>40</v>
      </c>
      <c r="D4" s="86"/>
      <c r="E4" s="86"/>
      <c r="F4" s="86"/>
      <c r="G4" s="1" t="s">
        <v>36</v>
      </c>
      <c r="H4" s="1" t="s">
        <v>41</v>
      </c>
      <c r="I4" s="1" t="s">
        <v>42</v>
      </c>
      <c r="J4" s="1" t="s">
        <v>36</v>
      </c>
      <c r="K4" s="1" t="s">
        <v>41</v>
      </c>
      <c r="L4" s="1" t="s">
        <v>42</v>
      </c>
      <c r="M4" s="1" t="s">
        <v>43</v>
      </c>
      <c r="N4" s="1" t="s">
        <v>44</v>
      </c>
    </row>
    <row r="6" spans="1:23" x14ac:dyDescent="0.35">
      <c r="A6" t="s">
        <v>69</v>
      </c>
    </row>
    <row r="7" spans="1:23" ht="43.5" x14ac:dyDescent="0.35">
      <c r="A7" s="3" t="s">
        <v>45</v>
      </c>
      <c r="B7" s="3" t="s">
        <v>46</v>
      </c>
      <c r="C7" s="3" t="s">
        <v>47</v>
      </c>
      <c r="E7" s="3" t="s">
        <v>35</v>
      </c>
      <c r="F7" s="3" t="s">
        <v>48</v>
      </c>
      <c r="G7" s="3" t="s">
        <v>51</v>
      </c>
      <c r="H7" s="4" t="s">
        <v>49</v>
      </c>
      <c r="I7" s="4" t="s">
        <v>50</v>
      </c>
      <c r="J7" s="3" t="s">
        <v>54</v>
      </c>
      <c r="K7" s="4" t="s">
        <v>52</v>
      </c>
      <c r="L7" s="4" t="s">
        <v>53</v>
      </c>
      <c r="N7" s="3"/>
      <c r="O7" s="3"/>
      <c r="P7" s="4"/>
      <c r="R7" s="3"/>
      <c r="T7" s="3"/>
      <c r="U7" s="3"/>
      <c r="V7" s="3"/>
      <c r="W7" s="4"/>
    </row>
  </sheetData>
  <mergeCells count="7">
    <mergeCell ref="J3:N3"/>
    <mergeCell ref="A3:A4"/>
    <mergeCell ref="B3:C3"/>
    <mergeCell ref="D3:D4"/>
    <mergeCell ref="E3:E4"/>
    <mergeCell ref="F3:F4"/>
    <mergeCell ref="G3:I3"/>
  </mergeCells>
  <conditionalFormatting sqref="B7">
    <cfRule type="duplicateValues" dxfId="1" priority="2"/>
  </conditionalFormatting>
  <conditionalFormatting sqref="C7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976A-1B92-4632-9799-0237B459A61D}">
  <dimension ref="A1:P5"/>
  <sheetViews>
    <sheetView workbookViewId="0">
      <selection activeCell="K11" sqref="K11"/>
    </sheetView>
  </sheetViews>
  <sheetFormatPr defaultRowHeight="14.5" x14ac:dyDescent="0.35"/>
  <sheetData>
    <row r="1" spans="1:16" x14ac:dyDescent="0.35">
      <c r="A1" t="s">
        <v>68</v>
      </c>
    </row>
    <row r="2" spans="1:16" x14ac:dyDescent="0.35">
      <c r="A2" s="5" t="s">
        <v>56</v>
      </c>
      <c r="B2" s="5" t="s">
        <v>57</v>
      </c>
      <c r="C2" s="5" t="s">
        <v>58</v>
      </c>
      <c r="D2" s="5" t="s">
        <v>59</v>
      </c>
      <c r="E2" s="5" t="s">
        <v>60</v>
      </c>
      <c r="F2" s="5" t="s">
        <v>61</v>
      </c>
      <c r="G2" s="5" t="s">
        <v>62</v>
      </c>
    </row>
    <row r="3" spans="1:16" ht="15" thickBot="1" x14ac:dyDescent="0.4">
      <c r="C3" s="7"/>
      <c r="D3" s="6"/>
      <c r="F3" s="6"/>
      <c r="G3" s="88"/>
      <c r="H3" s="89"/>
      <c r="I3" s="89"/>
      <c r="J3" s="90"/>
      <c r="M3" s="6"/>
      <c r="N3" s="88"/>
      <c r="O3" s="89"/>
      <c r="P3" s="90"/>
    </row>
    <row r="4" spans="1:16" x14ac:dyDescent="0.35">
      <c r="A4" t="s">
        <v>69</v>
      </c>
    </row>
    <row r="5" spans="1:16" ht="26.5" thickBot="1" x14ac:dyDescent="0.4">
      <c r="A5" s="6" t="s">
        <v>63</v>
      </c>
      <c r="B5" s="6" t="s">
        <v>64</v>
      </c>
      <c r="C5" s="7" t="s">
        <v>55</v>
      </c>
      <c r="D5" s="6" t="s">
        <v>65</v>
      </c>
      <c r="E5" s="6" t="s">
        <v>66</v>
      </c>
      <c r="F5" s="6" t="s">
        <v>35</v>
      </c>
    </row>
  </sheetData>
  <mergeCells count="2">
    <mergeCell ref="G3:J3"/>
    <mergeCell ref="N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22E7-0431-4564-825A-DCAC81041178}">
  <dimension ref="A1:P5"/>
  <sheetViews>
    <sheetView workbookViewId="0">
      <selection activeCell="J5" sqref="J5"/>
    </sheetView>
  </sheetViews>
  <sheetFormatPr defaultRowHeight="14.5" x14ac:dyDescent="0.35"/>
  <sheetData>
    <row r="1" spans="1:16" x14ac:dyDescent="0.35">
      <c r="A1" t="s">
        <v>68</v>
      </c>
    </row>
    <row r="2" spans="1:16" ht="26" x14ac:dyDescent="0.35">
      <c r="A2" s="15" t="s">
        <v>63</v>
      </c>
      <c r="B2" s="15" t="s">
        <v>64</v>
      </c>
      <c r="C2" s="15" t="s">
        <v>78</v>
      </c>
      <c r="D2" s="15" t="s">
        <v>79</v>
      </c>
      <c r="E2" s="15" t="s">
        <v>41</v>
      </c>
      <c r="F2" s="15" t="s">
        <v>80</v>
      </c>
      <c r="G2" s="16" t="s">
        <v>55</v>
      </c>
      <c r="H2" s="15" t="s">
        <v>42</v>
      </c>
      <c r="I2" s="15" t="s">
        <v>35</v>
      </c>
      <c r="J2" s="15" t="s">
        <v>81</v>
      </c>
    </row>
    <row r="3" spans="1:16" ht="15" thickBot="1" x14ac:dyDescent="0.4">
      <c r="C3" s="7"/>
      <c r="D3" s="6"/>
      <c r="F3" s="6"/>
      <c r="G3" s="88"/>
      <c r="H3" s="89"/>
      <c r="I3" s="89"/>
      <c r="J3" s="90"/>
      <c r="M3" s="6"/>
      <c r="N3" s="88"/>
      <c r="O3" s="89"/>
      <c r="P3" s="90"/>
    </row>
    <row r="4" spans="1:16" x14ac:dyDescent="0.35">
      <c r="A4" t="s">
        <v>69</v>
      </c>
    </row>
    <row r="5" spans="1:16" ht="29.5" thickBot="1" x14ac:dyDescent="0.4">
      <c r="A5" s="6" t="s">
        <v>63</v>
      </c>
      <c r="B5" s="6" t="s">
        <v>64</v>
      </c>
      <c r="C5" s="7" t="s">
        <v>78</v>
      </c>
      <c r="E5" s="6" t="s">
        <v>65</v>
      </c>
      <c r="F5" s="14" t="s">
        <v>82</v>
      </c>
      <c r="G5" s="14" t="s">
        <v>55</v>
      </c>
      <c r="H5" s="6" t="s">
        <v>66</v>
      </c>
      <c r="I5" s="6" t="s">
        <v>35</v>
      </c>
    </row>
  </sheetData>
  <mergeCells count="2">
    <mergeCell ref="G3:J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Names Check</vt:lpstr>
      <vt:lpstr>TB 501 132kV Stringing</vt:lpstr>
      <vt:lpstr>TB 501 220kV Stringing</vt:lpstr>
      <vt:lpstr>TB 501 220kV Erection</vt:lpstr>
      <vt:lpstr>TB 501 132kV Erection</vt:lpstr>
      <vt:lpstr>TB 401 Stringing</vt:lpstr>
      <vt:lpstr>TB 408 Stringing</vt:lpstr>
      <vt:lpstr>TA 509 Erection</vt:lpstr>
      <vt:lpstr>TA 601 Erection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2026-02-23T08:54:02Z</dcterms:created>
  <dcterms:modified xsi:type="dcterms:W3CDTF">2026-04-02T06:24:23Z</dcterms:modified>
</cp:coreProperties>
</file>