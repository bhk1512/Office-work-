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98B0AED9-FDCE-4416-B073-2FDFD1082E41}" xr6:coauthVersionLast="47" xr6:coauthVersionMax="47" xr10:uidLastSave="{00000000-0000-0000-0000-000000000000}"/>
  <bookViews>
    <workbookView xWindow="-110" yWindow="-110" windowWidth="19420" windowHeight="10300" tabRatio="899" firstSheet="61" activeTab="66" xr2:uid="{00000000-000D-0000-FFFF-FFFF00000000}"/>
  </bookViews>
  <sheets>
    <sheet name="Sheet Names Check" sheetId="1" r:id="rId1"/>
    <sheet name="TB 608 Erection" sheetId="2" r:id="rId2"/>
    <sheet name="TA 602 Erection" sheetId="3" r:id="rId3"/>
    <sheet name="TA 513 Ere S-P Erection" sheetId="4" r:id="rId4"/>
    <sheet name="TA 513 Ere S-F Erection" sheetId="5" r:id="rId5"/>
    <sheet name="TA 413 Erection" sheetId="6" r:id="rId6"/>
    <sheet name="TA 413 Stringing" sheetId="7" r:id="rId7"/>
    <sheet name="TA 601 Stringing" sheetId="8" r:id="rId8"/>
    <sheet name="TB 501 220kV Stringing" sheetId="9" r:id="rId9"/>
    <sheet name="TB 501 132kV Stringing" sheetId="10" r:id="rId10"/>
    <sheet name="TB 501 220kV Erection" sheetId="11" r:id="rId11"/>
    <sheet name="TB 501 132kV Erection" sheetId="12" r:id="rId12"/>
    <sheet name="TB 401 Stringing" sheetId="13" r:id="rId13"/>
    <sheet name="TB 408 Stringing" sheetId="14" r:id="rId14"/>
    <sheet name="TA 509 Erection" sheetId="15" r:id="rId15"/>
    <sheet name="TA 601 Erection" sheetId="16" r:id="rId16"/>
    <sheet name="TB 408 Status" sheetId="17" r:id="rId17"/>
    <sheet name="TA 413 Status" sheetId="18" r:id="rId18"/>
    <sheet name="TA 414 Status" sheetId="19" r:id="rId19"/>
    <sheet name="TA 416 Status" sheetId="20" r:id="rId20"/>
    <sheet name="TA 418 Status" sheetId="21" r:id="rId21"/>
    <sheet name="TA 421 Status" sheetId="22" r:id="rId22"/>
    <sheet name="TA 419 Status" sheetId="23" r:id="rId23"/>
    <sheet name="TA 504 Status" sheetId="24" r:id="rId24"/>
    <sheet name="TA 505 Status" sheetId="25" r:id="rId25"/>
    <sheet name="TA 506 Status" sheetId="26" r:id="rId26"/>
    <sheet name="TB 507 400kV Status" sheetId="27" r:id="rId27"/>
    <sheet name="TB 507 765kV Status" sheetId="28" r:id="rId28"/>
    <sheet name="TB 501 Status" sheetId="29" r:id="rId29"/>
    <sheet name="TA 413 Stretch" sheetId="30" r:id="rId30"/>
    <sheet name="TA 418 Stretch" sheetId="31" r:id="rId31"/>
    <sheet name="TA 419 Stretch" sheetId="32" r:id="rId32"/>
    <sheet name="TA 421 Stretch" sheetId="33" r:id="rId33"/>
    <sheet name="TA 504 Stretch" sheetId="34" r:id="rId34"/>
    <sheet name="TA 505 Stretch" sheetId="35" r:id="rId35"/>
    <sheet name="TA 506 Stretch" sheetId="36" r:id="rId36"/>
    <sheet name="TB 507 Stretch" sheetId="37" r:id="rId37"/>
    <sheet name="TB 605 Status" sheetId="38" r:id="rId38"/>
    <sheet name="TA 512 Status" sheetId="39" r:id="rId39"/>
    <sheet name="TA 601 Status" sheetId="40" r:id="rId40"/>
    <sheet name="TB 401 Status" sheetId="41" r:id="rId41"/>
    <sheet name="TA 325 Status" sheetId="42" r:id="rId42"/>
    <sheet name="TA 509 Status" sheetId="43" r:id="rId43"/>
    <sheet name="TA 310 Status" sheetId="44" r:id="rId44"/>
    <sheet name="TA 513 Status" sheetId="45" r:id="rId45"/>
    <sheet name="TA 601 Stretch" sheetId="46" r:id="rId46"/>
    <sheet name="TA 512 Stretch" sheetId="47" r:id="rId47"/>
    <sheet name="TB 401 Stretch" sheetId="48" r:id="rId48"/>
    <sheet name="TB 408 Stretch" sheetId="49" r:id="rId49"/>
    <sheet name="TA 421 Tack Welding Stretch" sheetId="50" r:id="rId50"/>
    <sheet name="TA 602 Status" sheetId="51" r:id="rId51"/>
    <sheet name="TB 608 Status" sheetId="52" r:id="rId52"/>
    <sheet name="TA 510 Status" sheetId="53" r:id="rId53"/>
    <sheet name="TA 413 Foundation" sheetId="54" r:id="rId54"/>
    <sheet name="TA 509 Foundation" sheetId="55" r:id="rId55"/>
    <sheet name="TB 501 132kV Foundation" sheetId="56" r:id="rId56"/>
    <sheet name="TB 501 220kV Foundation" sheetId="57" r:id="rId57"/>
    <sheet name="TA 601 Foundation" sheetId="58" r:id="rId58"/>
    <sheet name="TB 605 Jammu Foundation" sheetId="59" r:id="rId59"/>
    <sheet name="TB 605 LILO Foundation" sheetId="60" r:id="rId60"/>
    <sheet name="TB 605 Punjab Foundation" sheetId="61" r:id="rId61"/>
    <sheet name="TA 505 Foundation" sheetId="62" r:id="rId62"/>
    <sheet name="TA 512 Foundation" sheetId="63" r:id="rId63"/>
    <sheet name="TA 602 Foundation" sheetId="64" r:id="rId64"/>
    <sheet name="TB 608 Foundation" sheetId="65" r:id="rId65"/>
    <sheet name="TB 507 MAIN Foundation" sheetId="66" r:id="rId66"/>
    <sheet name="TB 507 765kV Foundation" sheetId="67" r:id="rId67"/>
  </sheets>
  <externalReferences>
    <externalReference r:id="rId6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A3" i="12"/>
  <c r="R3" i="7"/>
</calcChain>
</file>

<file path=xl/sharedStrings.xml><?xml version="1.0" encoding="utf-8"?>
<sst xmlns="http://schemas.openxmlformats.org/spreadsheetml/2006/main" count="1537" uniqueCount="371">
  <si>
    <t>Project Code</t>
  </si>
  <si>
    <t>Erection Sheet Names</t>
  </si>
  <si>
    <t>Stringing Sheet Names</t>
  </si>
  <si>
    <t>Erection Template Check</t>
  </si>
  <si>
    <t>Stringing Template Check</t>
  </si>
  <si>
    <t>Erection Line Names</t>
  </si>
  <si>
    <t>Stringing Line Names</t>
  </si>
  <si>
    <t>Status Sheet Names</t>
  </si>
  <si>
    <t>Status Template Check</t>
  </si>
  <si>
    <t>Status Line Names</t>
  </si>
  <si>
    <t>Stretch Readiness Sheet Names</t>
  </si>
  <si>
    <t>Stretch Daily Stringing Sheet Names</t>
  </si>
  <si>
    <t>Stretch Template Check</t>
  </si>
  <si>
    <t>Stretch Line Names</t>
  </si>
  <si>
    <t>Stretch Manpower Expected</t>
  </si>
  <si>
    <t>Foundation Sheet Names</t>
  </si>
  <si>
    <t>Foundation Template Check</t>
  </si>
  <si>
    <t>Foundation Line Names</t>
  </si>
  <si>
    <t>Consolidation Rule</t>
  </si>
  <si>
    <t>Status File Identifier</t>
  </si>
  <si>
    <t>TB 605</t>
  </si>
  <si>
    <t>Erection -Jammu; Erection -SK; Erection-Punjab</t>
  </si>
  <si>
    <t>Jammu; SK; Punjab</t>
  </si>
  <si>
    <t>TB-605</t>
  </si>
  <si>
    <t>Yes</t>
  </si>
  <si>
    <t>Unknown</t>
  </si>
  <si>
    <t>Foundation JS-Line -Jammu; LILO; Foundation -JS Line- Punjab</t>
  </si>
  <si>
    <t>Jammu; LILO; Punjab</t>
  </si>
  <si>
    <t>TA 414</t>
  </si>
  <si>
    <t>Erection Compiled</t>
  </si>
  <si>
    <t>Stringing Compiled</t>
  </si>
  <si>
    <t>VNTL - KEC</t>
  </si>
  <si>
    <t>FDN</t>
  </si>
  <si>
    <t>TA 504</t>
  </si>
  <si>
    <t>Erection compiled</t>
  </si>
  <si>
    <t>DPR_TA-504</t>
  </si>
  <si>
    <t>Stringing</t>
  </si>
  <si>
    <t>TA 506</t>
  </si>
  <si>
    <t>DPR_TA-506</t>
  </si>
  <si>
    <t>TB 507</t>
  </si>
  <si>
    <t>400kV Summery; 765kV Summery</t>
  </si>
  <si>
    <t>MAIN; 765kV</t>
  </si>
  <si>
    <t>Final Check In And Tack Welding</t>
  </si>
  <si>
    <t>MAIN</t>
  </si>
  <si>
    <t>No</t>
  </si>
  <si>
    <t>Foundation; Foundation</t>
  </si>
  <si>
    <t>split</t>
  </si>
  <si>
    <t>[MAIN] - DPR -; TB 507 - DPR -</t>
  </si>
  <si>
    <t>TA 512</t>
  </si>
  <si>
    <t>Summary E</t>
  </si>
  <si>
    <t>Tack Welding</t>
  </si>
  <si>
    <t>Foundation</t>
  </si>
  <si>
    <t>TA 413</t>
  </si>
  <si>
    <t>Erection</t>
  </si>
  <si>
    <t>TA413_PBNTL</t>
  </si>
  <si>
    <t>Stretch readiness</t>
  </si>
  <si>
    <t>TA 419</t>
  </si>
  <si>
    <t>ERECTION COMPILED</t>
  </si>
  <si>
    <t>DPR_TA419</t>
  </si>
  <si>
    <t>Stringing Stretch Readiness</t>
  </si>
  <si>
    <t>TA 418</t>
  </si>
  <si>
    <t>MASTER SHEET</t>
  </si>
  <si>
    <t>Progress</t>
  </si>
  <si>
    <t>TA 421</t>
  </si>
  <si>
    <t>Master Sheet</t>
  </si>
  <si>
    <t>ProGress Sheet</t>
  </si>
  <si>
    <t>TA 416</t>
  </si>
  <si>
    <t>Stringing compiled</t>
  </si>
  <si>
    <t>Progress.</t>
  </si>
  <si>
    <t>TA 505</t>
  </si>
  <si>
    <t>DPR-Summary</t>
  </si>
  <si>
    <t>TB 408</t>
  </si>
  <si>
    <t>Progress Summary</t>
  </si>
  <si>
    <t>Tackwelding</t>
  </si>
  <si>
    <t>TB 401</t>
  </si>
  <si>
    <t>Stringing - PKG-G</t>
  </si>
  <si>
    <t>PKG-G</t>
  </si>
  <si>
    <t>Tack Welding - PKG-G</t>
  </si>
  <si>
    <t>Foundation (Pkg-G)</t>
  </si>
  <si>
    <t>TA 325</t>
  </si>
  <si>
    <t>Erection-Compiled</t>
  </si>
  <si>
    <t>765KV TA 325 ANTL</t>
  </si>
  <si>
    <t>Foundation-Compliled</t>
  </si>
  <si>
    <t>TA 509</t>
  </si>
  <si>
    <t>ERECTION</t>
  </si>
  <si>
    <t>SUMMARY</t>
  </si>
  <si>
    <t>FOUNDATION</t>
  </si>
  <si>
    <t>TA 601</t>
  </si>
  <si>
    <t>STRG Stretch</t>
  </si>
  <si>
    <t>Progress Sheet</t>
  </si>
  <si>
    <t>TB 501</t>
  </si>
  <si>
    <t>Progress-132kV; Progress-220kV</t>
  </si>
  <si>
    <t>Stringing-132KV; Stringing-220kV</t>
  </si>
  <si>
    <t>132kV; 220kV</t>
  </si>
  <si>
    <t>Summary</t>
  </si>
  <si>
    <t>TA 310</t>
  </si>
  <si>
    <t>NKTL DPR</t>
  </si>
  <si>
    <t>TA 513</t>
  </si>
  <si>
    <t xml:space="preserve">Ere S-P  ; Ere S-F </t>
  </si>
  <si>
    <t>FDN S-P; FDN S-F</t>
  </si>
  <si>
    <t>S-P; S-F</t>
  </si>
  <si>
    <t>TA 602</t>
  </si>
  <si>
    <t>DPR-KEC</t>
  </si>
  <si>
    <t>WIP-ERC</t>
  </si>
  <si>
    <t>DPR Sum.</t>
  </si>
  <si>
    <t>WIP-FDN</t>
  </si>
  <si>
    <t>TA 510</t>
  </si>
  <si>
    <t>AOTL - KEC</t>
  </si>
  <si>
    <t>FDN; Pile Foundation</t>
  </si>
  <si>
    <t>FDN; Pile</t>
  </si>
  <si>
    <t>TA 515</t>
  </si>
  <si>
    <t>DPR</t>
  </si>
  <si>
    <t>Actual</t>
  </si>
  <si>
    <t>S.NO.</t>
  </si>
  <si>
    <t>LOC. NO.</t>
  </si>
  <si>
    <t>Tower Type</t>
  </si>
  <si>
    <t>Type of FDN</t>
  </si>
  <si>
    <t>GANG NAME</t>
  </si>
  <si>
    <t>Man power</t>
  </si>
  <si>
    <t>Start Date</t>
  </si>
  <si>
    <t>Completion Date</t>
  </si>
  <si>
    <t xml:space="preserve">Section Incharge </t>
  </si>
  <si>
    <t xml:space="preserve">Engineer/Supervisor </t>
  </si>
  <si>
    <t>REMARKS</t>
  </si>
  <si>
    <t>Tower Weight</t>
  </si>
  <si>
    <t>To Map</t>
  </si>
  <si>
    <t>SL No.</t>
  </si>
  <si>
    <t>Location No.</t>
  </si>
  <si>
    <t>Gang Name</t>
  </si>
  <si>
    <t>Starting Date</t>
  </si>
  <si>
    <t>CUMM. SR.NO</t>
  </si>
  <si>
    <t>MONTH SR.NO.</t>
  </si>
  <si>
    <t>Loc. No.</t>
  </si>
  <si>
    <t>Type of Tower</t>
  </si>
  <si>
    <t>Start</t>
  </si>
  <si>
    <t>Complete</t>
  </si>
  <si>
    <t>Name of the Gang</t>
  </si>
  <si>
    <t xml:space="preserve">Name of Supervisor/Engineer </t>
  </si>
  <si>
    <t>STATUS</t>
  </si>
  <si>
    <t>Tack welding Status</t>
  </si>
  <si>
    <t>Zinc Paint status</t>
  </si>
  <si>
    <t>Tower Weight(MT)</t>
  </si>
  <si>
    <t>Completion Month</t>
  </si>
  <si>
    <t>Revenue</t>
  </si>
  <si>
    <t xml:space="preserve">Complete </t>
  </si>
  <si>
    <t>Remarks</t>
  </si>
  <si>
    <t>Gang name</t>
  </si>
  <si>
    <t>Weight</t>
  </si>
  <si>
    <t xml:space="preserve">Name of Supervisor </t>
  </si>
  <si>
    <t xml:space="preserve">JMC Status </t>
  </si>
  <si>
    <t>Status</t>
  </si>
  <si>
    <t>Section</t>
  </si>
  <si>
    <t>From</t>
  </si>
  <si>
    <t>To</t>
  </si>
  <si>
    <t>Length in Km's</t>
  </si>
  <si>
    <t>Cum. Length in Km's</t>
  </si>
  <si>
    <t>TSE/Manual</t>
  </si>
  <si>
    <t xml:space="preserve">Insulator hoisting Start </t>
  </si>
  <si>
    <t xml:space="preserve">Insulator Hoisting Complete </t>
  </si>
  <si>
    <t>Paying Out Start</t>
  </si>
  <si>
    <t>Paying Out Completed</t>
  </si>
  <si>
    <t>Final sag start</t>
  </si>
  <si>
    <t>Final sag complete</t>
  </si>
  <si>
    <t xml:space="preserve">Earthwire Final Sag </t>
  </si>
  <si>
    <t xml:space="preserve">Jumpuring </t>
  </si>
  <si>
    <t xml:space="preserve">Spacering </t>
  </si>
  <si>
    <t xml:space="preserve">Clipping </t>
  </si>
  <si>
    <t>S.no</t>
  </si>
  <si>
    <t>Sec</t>
  </si>
  <si>
    <t>From AP</t>
  </si>
  <si>
    <t>To AP</t>
  </si>
  <si>
    <t>Span (M)</t>
  </si>
  <si>
    <t>Method</t>
  </si>
  <si>
    <t>Insulator Hoisting</t>
  </si>
  <si>
    <t>P/O Starting Date</t>
  </si>
  <si>
    <t>P/O Completion Date</t>
  </si>
  <si>
    <t>F/S Starting Date</t>
  </si>
  <si>
    <t>F/S/ Completion Date</t>
  </si>
  <si>
    <t>Jumpering</t>
  </si>
  <si>
    <t>Clipping</t>
  </si>
  <si>
    <t>Section Readiness</t>
  </si>
  <si>
    <t>P/O</t>
  </si>
  <si>
    <t>Length</t>
  </si>
  <si>
    <t>Gang Strength</t>
  </si>
  <si>
    <t>Number of Fitters</t>
  </si>
  <si>
    <t>Hindrance</t>
  </si>
  <si>
    <t>Sl. No.</t>
  </si>
  <si>
    <t>Section Length (m)</t>
  </si>
  <si>
    <t>Stretch Readiness</t>
  </si>
  <si>
    <t>Conductor Paying Out</t>
  </si>
  <si>
    <t>Final Sag</t>
  </si>
  <si>
    <t>Jumper</t>
  </si>
  <si>
    <t>Sub-Contractor Name</t>
  </si>
  <si>
    <t>MP</t>
  </si>
  <si>
    <t>OPGW Paying Out</t>
  </si>
  <si>
    <t>OPGW Final Sag</t>
  </si>
  <si>
    <t>DOS</t>
  </si>
  <si>
    <t>DOC</t>
  </si>
  <si>
    <t>Spacer</t>
  </si>
  <si>
    <t>LOC NO</t>
  </si>
  <si>
    <t>A</t>
  </si>
  <si>
    <t>B</t>
  </si>
  <si>
    <t>C</t>
  </si>
  <si>
    <t>D</t>
  </si>
  <si>
    <t>HT</t>
  </si>
  <si>
    <t>MS</t>
  </si>
  <si>
    <t>pack Washar</t>
  </si>
  <si>
    <t>BnA</t>
  </si>
  <si>
    <t>Total Tower Weight</t>
  </si>
  <si>
    <t>Total Stub Weight</t>
  </si>
  <si>
    <t>Deviation of Angle</t>
  </si>
  <si>
    <t>State</t>
  </si>
  <si>
    <t>Span Length(m)</t>
  </si>
  <si>
    <t>Classification</t>
  </si>
  <si>
    <t>Excavation Volume (m3)</t>
  </si>
  <si>
    <t>Concreting Volume</t>
  </si>
  <si>
    <t>Cement Required</t>
  </si>
  <si>
    <t>Total Steel (Kgs) per Tower</t>
  </si>
  <si>
    <t>Fnd Status
(C/WIP)</t>
  </si>
  <si>
    <t>Manual Checklist</t>
  </si>
  <si>
    <t>JMC</t>
  </si>
  <si>
    <t>Excavation</t>
  </si>
  <si>
    <t>Concreting</t>
  </si>
  <si>
    <t>Earthing Status
C/WIP</t>
  </si>
  <si>
    <t>Earthing Type</t>
  </si>
  <si>
    <t>S/C</t>
  </si>
  <si>
    <t>Erection Status
C/WIP</t>
  </si>
  <si>
    <t>Status
C/WIP</t>
  </si>
  <si>
    <t>NB qty</t>
  </si>
  <si>
    <t>B2B</t>
  </si>
  <si>
    <t>B2B x 4</t>
  </si>
  <si>
    <t>Barbed Wire</t>
  </si>
  <si>
    <t>RC Portion</t>
  </si>
  <si>
    <t>MT</t>
  </si>
  <si>
    <t>DMS</t>
  </si>
  <si>
    <t>m</t>
  </si>
  <si>
    <t>M10
(1:3:6) (m3)</t>
  </si>
  <si>
    <t>M20 (1:1.5:3) (m3)</t>
  </si>
  <si>
    <t>Total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</si>
  <si>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</si>
  <si>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</si>
  <si>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</si>
  <si>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</si>
  <si>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</si>
  <si>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</si>
  <si>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</si>
  <si>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</si>
  <si>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</si>
  <si>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Total Steel (MT)</t>
  </si>
  <si>
    <t>220 KV D/C Neemuch - TS</t>
  </si>
  <si>
    <t>Earthing</t>
  </si>
  <si>
    <t>Tower Checking-1</t>
  </si>
  <si>
    <t>Tack-Welding</t>
  </si>
  <si>
    <t>Tower Checking-2</t>
  </si>
  <si>
    <t>Stub Weight</t>
  </si>
  <si>
    <t>Chimney Extension</t>
  </si>
  <si>
    <t>8mm Steel</t>
  </si>
  <si>
    <t>10mm Steel</t>
  </si>
  <si>
    <t>12mm Steel</t>
  </si>
  <si>
    <t>16mm Steel</t>
  </si>
  <si>
    <t>20mm Steel</t>
  </si>
  <si>
    <t>25mmSteel</t>
  </si>
  <si>
    <t>Status
(C/WIP)</t>
  </si>
  <si>
    <t>Type</t>
  </si>
  <si>
    <t>Painting</t>
  </si>
  <si>
    <t>S. No</t>
  </si>
  <si>
    <t>Paying Out</t>
  </si>
  <si>
    <t xml:space="preserve">Name of Gang </t>
  </si>
  <si>
    <t>Finish Date</t>
  </si>
  <si>
    <t>Month</t>
  </si>
  <si>
    <t>SL. No.</t>
  </si>
  <si>
    <t>Type of Sections</t>
  </si>
  <si>
    <t>Section Length</t>
  </si>
  <si>
    <t>Paying Out/R-Sag</t>
  </si>
  <si>
    <t>End Date</t>
  </si>
  <si>
    <t>SL NO.</t>
  </si>
  <si>
    <t xml:space="preserve">LOC No. </t>
  </si>
  <si>
    <t>District wise section</t>
  </si>
  <si>
    <t xml:space="preserve">STATUS </t>
  </si>
  <si>
    <t>STARTING DATE</t>
  </si>
  <si>
    <t xml:space="preserve">ENDING DATE </t>
  </si>
  <si>
    <t>Work starting month</t>
  </si>
  <si>
    <t>Work completion Month</t>
  </si>
  <si>
    <t>Sub-Contractor</t>
  </si>
  <si>
    <t>Guardrails</t>
  </si>
  <si>
    <t>required_tokens</t>
  </si>
  <si>
    <t>activity; progress; cumulative</t>
  </si>
  <si>
    <t>activity_allowlist</t>
  </si>
  <si>
    <t>route alignment; detail survey; detailed survey; check survey; soil investigation; excavation; foundation; earthing; tower erection; erection; tower tightening; tack welding; tackwelding; stringing; paying out; final sag; opgw; nh crossing; power line crossing</t>
  </si>
  <si>
    <t>header_rows</t>
  </si>
  <si>
    <t>1</t>
  </si>
  <si>
    <t>stop_tokens</t>
  </si>
  <si>
    <t>a. foundation; c. stringing; support required; hindrance register</t>
  </si>
  <si>
    <t>activity_raw</t>
  </si>
  <si>
    <t>quantity_estimated_or_total</t>
  </si>
  <si>
    <t>cumulative_last_month</t>
  </si>
  <si>
    <t>plan_for_month</t>
  </si>
  <si>
    <t>today_progress</t>
  </si>
  <si>
    <t>progress_for_month</t>
  </si>
  <si>
    <t>cumulative_progress</t>
  </si>
  <si>
    <t>balance_progress</t>
  </si>
  <si>
    <t>gangs_working</t>
  </si>
  <si>
    <t>remarks</t>
  </si>
  <si>
    <t>resource deployment; hindrance; critical issues</t>
  </si>
  <si>
    <t>quantity_loa</t>
  </si>
  <si>
    <t>activity; progress; balance; cumm</t>
  </si>
  <si>
    <t>support required; critical issues</t>
  </si>
  <si>
    <t>block_anchor</t>
  </si>
  <si>
    <t>Progress Status</t>
  </si>
  <si>
    <t>supply status; stringing activity; sl.no | nature of work; support required</t>
  </si>
  <si>
    <t>stringing_resolution</t>
  </si>
  <si>
    <t>prefer_final_else_stringing</t>
  </si>
  <si>
    <t>2</t>
  </si>
  <si>
    <t>supply status; stringing activity; support required</t>
  </si>
  <si>
    <t>particulars; comp; balance; cumulative</t>
  </si>
  <si>
    <t>PARTICULARS</t>
  </si>
  <si>
    <t>3</t>
  </si>
  <si>
    <t>activity_exclude</t>
  </si>
  <si>
    <t>stub supply; tower supply; insulator supply; hardware fittings supply; no of gangs; tse gangs; manual gangs; gang; al59; al-59; earthwire; conductor; supply value; service value; f&amp;i value; tse - section; manual - section</t>
  </si>
  <si>
    <t>support required; stringing activity</t>
  </si>
  <si>
    <t>activity; cumm; progress; balance</t>
  </si>
  <si>
    <t>section_start_contains</t>
  </si>
  <si>
    <t>section_label_regex</t>
  </si>
  <si>
    <t>Progress of\s*([^|]+Line)</t>
  </si>
  <si>
    <t>section_split_regex</t>
  </si>
  <si>
    <t>^\s*Progress of\s+.*Line\b</t>
  </si>
  <si>
    <t>section; erection; balance</t>
  </si>
  <si>
    <t>length_unit</t>
  </si>
  <si>
    <t>row_exclude_regex</t>
  </si>
  <si>
    <t>^(total|summary)$</t>
  </si>
  <si>
    <t>stretch_identifier</t>
  </si>
  <si>
    <t>length_m</t>
  </si>
  <si>
    <t>balance_towers</t>
  </si>
  <si>
    <t>from ap; to ap; section readiness</t>
  </si>
  <si>
    <t>^(total)$</t>
  </si>
  <si>
    <t>from_ap</t>
  </si>
  <si>
    <t>to_ap</t>
  </si>
  <si>
    <t>readiness_raw</t>
  </si>
  <si>
    <t>loc; erection; stringing; section length</t>
  </si>
  <si>
    <t>Activity</t>
  </si>
  <si>
    <t>section_name</t>
  </si>
  <si>
    <t>loc; final checking; tack welding</t>
  </si>
  <si>
    <t>readiness_rule</t>
  </si>
  <si>
    <t>both_required</t>
  </si>
  <si>
    <t>final_check_raw</t>
  </si>
  <si>
    <t>tack_welding_raw</t>
  </si>
  <si>
    <t>activity; plan; balance</t>
  </si>
  <si>
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</si>
  <si>
    <t>line wise progress; supply status; support required</t>
  </si>
  <si>
    <t>activity; scope quantity; plan for the month</t>
  </si>
  <si>
    <t>Foundation Status</t>
  </si>
  <si>
    <t>supply status; support required</t>
  </si>
  <si>
    <t>section from; section to; length</t>
  </si>
  <si>
    <t>km</t>
  </si>
  <si>
    <t>loc; start; complete</t>
  </si>
  <si>
    <t>loc; tack; status</t>
  </si>
  <si>
    <t>1,2</t>
  </si>
  <si>
    <t>loc. no; tackwelding</t>
  </si>
  <si>
    <t>location; date of tackwelding</t>
  </si>
  <si>
    <t>activity; progress; cum</t>
  </si>
  <si>
    <t>status of wip location</t>
  </si>
  <si>
    <t>activity</t>
  </si>
  <si>
    <t>description; balance</t>
  </si>
  <si>
    <t>activity; cumm; progress</t>
  </si>
  <si>
    <t>Location No</t>
  </si>
  <si>
    <t>Foundation Completion Date</t>
  </si>
  <si>
    <t>Foundation Completion Date Backup</t>
  </si>
  <si>
    <t>Foundation Starting Date</t>
  </si>
  <si>
    <t>Completed</t>
  </si>
  <si>
    <t>Location Number</t>
  </si>
  <si>
    <t>TB 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</si>
</sst>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5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3" fillId="2" borderId="13" xfId="1" applyFont="1" applyFill="1" applyBorder="1" applyAlignment="1">
      <alignment vertical="center" wrapText="1"/>
    </xf>
    <xf numFmtId="0" fontId="3" fillId="2" borderId="14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5" xfId="1" applyFont="1" applyFill="1" applyBorder="1" applyAlignment="1">
      <alignment vertical="center" wrapText="1"/>
    </xf>
    <xf numFmtId="0" fontId="6" fillId="6" borderId="9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8" fillId="7" borderId="1" xfId="7" applyFont="1" applyFill="1" applyBorder="1" applyAlignment="1">
      <alignment horizontal="center" vertical="center" wrapText="1"/>
    </xf>
    <xf numFmtId="0" fontId="8" fillId="7" borderId="1" xfId="7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0" fontId="9" fillId="8" borderId="1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2" applyFont="1" applyFill="1" applyBorder="1" applyAlignment="1">
      <alignment horizontal="center" vertical="center" wrapText="1"/>
    </xf>
    <xf numFmtId="0" fontId="2" fillId="3" borderId="22" xfId="2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/>
    </xf>
    <xf numFmtId="0" fontId="9" fillId="0" borderId="26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164" fontId="9" fillId="0" borderId="9" xfId="0" applyNumberFormat="1" applyFont="1" applyBorder="1" applyAlignment="1">
      <alignment horizontal="center" vertical="center" wrapText="1"/>
    </xf>
    <xf numFmtId="164" fontId="9" fillId="0" borderId="8" xfId="0" applyNumberFormat="1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165" fontId="9" fillId="0" borderId="9" xfId="0" applyNumberFormat="1" applyFont="1" applyBorder="1" applyAlignment="1">
      <alignment horizontal="center" vertical="center"/>
    </xf>
    <xf numFmtId="164" fontId="9" fillId="0" borderId="12" xfId="0" applyNumberFormat="1" applyFont="1" applyBorder="1" applyAlignment="1">
      <alignment horizontal="center" vertical="center" wrapText="1"/>
    </xf>
    <xf numFmtId="0" fontId="4" fillId="5" borderId="5" xfId="0" applyFont="1" applyFill="1" applyBorder="1" applyAlignment="1">
      <alignment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33" xfId="0" applyFont="1" applyBorder="1" applyAlignment="1">
      <alignment vertical="center"/>
    </xf>
    <xf numFmtId="0" fontId="9" fillId="0" borderId="29" xfId="0" applyFont="1" applyBorder="1" applyAlignment="1">
      <alignment vertical="center"/>
    </xf>
    <xf numFmtId="0" fontId="9" fillId="0" borderId="0" xfId="0" applyFont="1" applyAlignment="1">
      <alignment horizontal="center"/>
    </xf>
    <xf numFmtId="166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0" xfId="0" applyFont="1"/>
    <xf numFmtId="0" fontId="9" fillId="0" borderId="0" xfId="0" applyFont="1" applyAlignment="1">
      <alignment vertical="center" wrapText="1"/>
    </xf>
    <xf numFmtId="0" fontId="2" fillId="3" borderId="19" xfId="7" applyFont="1" applyFill="1" applyBorder="1" applyAlignment="1">
      <alignment horizontal="center" vertical="center"/>
    </xf>
    <xf numFmtId="0" fontId="2" fillId="3" borderId="20" xfId="7" applyFont="1" applyFill="1" applyBorder="1" applyAlignment="1">
      <alignment horizontal="center" vertical="center"/>
    </xf>
    <xf numFmtId="0" fontId="2" fillId="3" borderId="20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1" xfId="7" applyFont="1" applyFill="1" applyBorder="1" applyAlignment="1">
      <alignment horizontal="center" vertical="center" wrapText="1"/>
    </xf>
    <xf numFmtId="0" fontId="2" fillId="3" borderId="24" xfId="7" applyFont="1" applyFill="1" applyBorder="1" applyAlignment="1">
      <alignment horizontal="center" vertical="center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34" xfId="0" applyFont="1" applyBorder="1" applyAlignment="1">
      <alignment horizontal="center" vertical="center" wrapText="1"/>
    </xf>
    <xf numFmtId="167" fontId="2" fillId="10" borderId="34" xfId="0" applyNumberFormat="1" applyFont="1" applyFill="1" applyBorder="1" applyAlignment="1">
      <alignment horizontal="center" vertical="center" wrapText="1"/>
    </xf>
    <xf numFmtId="167" fontId="2" fillId="0" borderId="34" xfId="0" applyNumberFormat="1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167" fontId="2" fillId="0" borderId="35" xfId="0" applyNumberFormat="1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49" fontId="9" fillId="11" borderId="9" xfId="0" applyNumberFormat="1" applyFont="1" applyFill="1" applyBorder="1" applyAlignment="1">
      <alignment horizontal="center" vertical="center" wrapText="1"/>
    </xf>
    <xf numFmtId="168" fontId="9" fillId="11" borderId="9" xfId="0" applyNumberFormat="1" applyFont="1" applyFill="1" applyBorder="1" applyAlignment="1">
      <alignment horizontal="center" vertical="center"/>
    </xf>
    <xf numFmtId="0" fontId="2" fillId="12" borderId="39" xfId="0" applyFont="1" applyFill="1" applyBorder="1" applyAlignment="1">
      <alignment horizontal="center" vertical="center" wrapText="1"/>
    </xf>
    <xf numFmtId="0" fontId="2" fillId="12" borderId="40" xfId="0" applyFont="1" applyFill="1" applyBorder="1" applyAlignment="1">
      <alignment horizontal="center" vertical="center" wrapText="1"/>
    </xf>
    <xf numFmtId="0" fontId="2" fillId="12" borderId="41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 wrapText="1"/>
    </xf>
    <xf numFmtId="167" fontId="2" fillId="12" borderId="42" xfId="0" applyNumberFormat="1" applyFont="1" applyFill="1" applyBorder="1" applyAlignment="1">
      <alignment horizontal="center" vertical="center"/>
    </xf>
    <xf numFmtId="167" fontId="2" fillId="12" borderId="40" xfId="0" applyNumberFormat="1" applyFont="1" applyFill="1" applyBorder="1" applyAlignment="1">
      <alignment horizontal="center" vertical="center"/>
    </xf>
    <xf numFmtId="167" fontId="2" fillId="12" borderId="40" xfId="0" applyNumberFormat="1" applyFont="1" applyFill="1" applyBorder="1" applyAlignment="1">
      <alignment horizontal="center" vertical="center" wrapText="1"/>
    </xf>
    <xf numFmtId="0" fontId="2" fillId="12" borderId="41" xfId="0" applyFont="1" applyFill="1" applyBorder="1" applyAlignment="1">
      <alignment horizontal="center" vertical="center" wrapText="1"/>
    </xf>
    <xf numFmtId="0" fontId="2" fillId="12" borderId="42" xfId="0" applyFont="1" applyFill="1" applyBorder="1" applyAlignment="1">
      <alignment horizontal="center" vertical="center" wrapText="1"/>
    </xf>
    <xf numFmtId="0" fontId="2" fillId="12" borderId="4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10" borderId="1" xfId="4" applyFont="1" applyFill="1" applyBorder="1" applyAlignment="1">
      <alignment horizontal="center" vertical="center" wrapText="1"/>
    </xf>
    <xf numFmtId="0" fontId="2" fillId="10" borderId="1" xfId="4" applyFont="1" applyFill="1" applyBorder="1" applyAlignment="1">
      <alignment horizontal="center" vertical="center"/>
    </xf>
    <xf numFmtId="0" fontId="2" fillId="10" borderId="44" xfId="4" applyFont="1" applyFill="1" applyBorder="1" applyAlignment="1">
      <alignment horizontal="center" vertical="center"/>
    </xf>
    <xf numFmtId="0" fontId="12" fillId="0" borderId="1" xfId="4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4" borderId="1" xfId="0" applyFill="1" applyBorder="1"/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/>
    </xf>
    <xf numFmtId="169" fontId="13" fillId="0" borderId="45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0" fillId="0" borderId="46" xfId="0" applyBorder="1"/>
    <xf numFmtId="0" fontId="13" fillId="0" borderId="45" xfId="0" applyFont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2" fillId="0" borderId="45" xfId="0" applyFont="1" applyBorder="1" applyAlignment="1">
      <alignment horizontal="center" vertical="center" wrapText="1"/>
    </xf>
    <xf numFmtId="0" fontId="0" fillId="0" borderId="38" xfId="0" applyBorder="1"/>
    <xf numFmtId="0" fontId="9" fillId="9" borderId="9" xfId="0" applyFont="1" applyFill="1" applyBorder="1" applyAlignment="1">
      <alignment horizontal="center" vertical="center"/>
    </xf>
    <xf numFmtId="0" fontId="0" fillId="0" borderId="11" xfId="0" applyBorder="1"/>
    <xf numFmtId="0" fontId="9" fillId="0" borderId="9" xfId="0" applyFont="1" applyBorder="1" applyAlignment="1">
      <alignment horizontal="center" vertical="center"/>
    </xf>
    <xf numFmtId="0" fontId="0" fillId="0" borderId="10" xfId="0" applyBorder="1"/>
    <xf numFmtId="0" fontId="9" fillId="0" borderId="9" xfId="0" applyFont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0" fillId="0" borderId="3" xfId="0" applyBorder="1"/>
    <xf numFmtId="0" fontId="9" fillId="0" borderId="1" xfId="0" applyFont="1" applyBorder="1" applyAlignment="1">
      <alignment horizontal="center" vertical="center"/>
    </xf>
    <xf numFmtId="0" fontId="0" fillId="0" borderId="2" xfId="0" applyBorder="1"/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164" fontId="9" fillId="0" borderId="9" xfId="0" applyNumberFormat="1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 vertical="center" wrapText="1"/>
    </xf>
    <xf numFmtId="0" fontId="0" fillId="0" borderId="12" xfId="0" applyBorder="1"/>
    <xf numFmtId="0" fontId="6" fillId="6" borderId="9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</cellXfs>
  <cellStyles count="9">
    <cellStyle name="Comma 2" xfId="5" xr:uid="{00000000-0005-0000-0000-000005000000}"/>
    <cellStyle name="Normal" xfId="0" builtinId="0"/>
    <cellStyle name="Normal 15" xfId="1" xr:uid="{00000000-0005-0000-0000-000001000000}"/>
    <cellStyle name="Normal 2" xfId="4" xr:uid="{00000000-0005-0000-0000-000004000000}"/>
    <cellStyle name="Normal 3" xfId="6" xr:uid="{00000000-0005-0000-0000-000006000000}"/>
    <cellStyle name="Normal 4" xfId="7" xr:uid="{00000000-0005-0000-0000-000007000000}"/>
    <cellStyle name="Normal 5" xfId="3" xr:uid="{00000000-0005-0000-0000-000003000000}"/>
    <cellStyle name="Normal 6" xfId="8" xr:uid="{00000000-0005-0000-0000-000008000000}"/>
    <cellStyle name="Normal 8 2" xfId="2" xr:uid="{00000000-0005-0000-0000-000002000000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5" totalsRowShown="0">
  <tableColumns count="7">
    <tableColumn id="1" xr3:uid="{00000000-0010-0000-0000-000001000000}" name="Project Code"/>
    <tableColumn id="2" xr3:uid="{00000000-0010-0000-0000-000002000000}" name="Erection Sheet Names"/>
    <tableColumn id="3" xr3:uid="{00000000-0010-0000-0000-000003000000}" name="Stringing Sheet Names"/>
    <tableColumn id="4" xr3:uid="{00000000-0010-0000-0000-000004000000}" name="Erection Template Check"/>
    <tableColumn id="5" xr3:uid="{00000000-0010-0000-0000-000005000000}" name="Stringing Template Check"/>
    <tableColumn id="6" xr3:uid="{00000000-0010-0000-0000-000006000000}" name="Erection Line Names"/>
    <tableColumn id="7" xr3:uid="{00000000-0010-0000-0000-000007000000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opLeftCell="A7" workbookViewId="0">
      <selection activeCell="A23" sqref="A23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  <col min="6" max="6" width="26.81640625" bestFit="1" customWidth="1"/>
    <col min="7" max="7" width="22.7265625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5">
      <c r="A2" t="s">
        <v>20</v>
      </c>
      <c r="B2" t="s">
        <v>21</v>
      </c>
      <c r="F2" t="s">
        <v>22</v>
      </c>
      <c r="H2" t="s">
        <v>23</v>
      </c>
      <c r="I2" t="s">
        <v>24</v>
      </c>
      <c r="O2" t="s">
        <v>25</v>
      </c>
      <c r="P2" t="s">
        <v>26</v>
      </c>
      <c r="Q2" t="s">
        <v>24</v>
      </c>
      <c r="R2" t="s">
        <v>27</v>
      </c>
    </row>
    <row r="3" spans="1:20" x14ac:dyDescent="0.35">
      <c r="A3" t="s">
        <v>28</v>
      </c>
      <c r="B3" t="s">
        <v>29</v>
      </c>
      <c r="C3" t="s">
        <v>30</v>
      </c>
      <c r="H3" t="s">
        <v>31</v>
      </c>
      <c r="I3" t="s">
        <v>24</v>
      </c>
      <c r="L3" t="s">
        <v>30</v>
      </c>
      <c r="O3" t="s">
        <v>25</v>
      </c>
      <c r="P3" t="s">
        <v>32</v>
      </c>
    </row>
    <row r="4" spans="1:20" x14ac:dyDescent="0.35">
      <c r="A4" t="s">
        <v>33</v>
      </c>
      <c r="B4" t="s">
        <v>34</v>
      </c>
      <c r="C4" t="s">
        <v>30</v>
      </c>
      <c r="H4" t="s">
        <v>35</v>
      </c>
      <c r="I4" t="s">
        <v>24</v>
      </c>
      <c r="K4" t="s">
        <v>36</v>
      </c>
      <c r="L4" t="s">
        <v>36</v>
      </c>
      <c r="M4" t="s">
        <v>24</v>
      </c>
      <c r="O4" t="s">
        <v>24</v>
      </c>
    </row>
    <row r="5" spans="1:20" x14ac:dyDescent="0.35">
      <c r="A5" t="s">
        <v>37</v>
      </c>
      <c r="B5" t="s">
        <v>34</v>
      </c>
      <c r="C5" t="s">
        <v>30</v>
      </c>
      <c r="H5" t="s">
        <v>38</v>
      </c>
      <c r="I5" t="s">
        <v>24</v>
      </c>
      <c r="K5" t="s">
        <v>36</v>
      </c>
      <c r="L5" t="s">
        <v>36</v>
      </c>
      <c r="M5" t="s">
        <v>24</v>
      </c>
      <c r="O5" t="s">
        <v>24</v>
      </c>
    </row>
    <row r="6" spans="1:20" x14ac:dyDescent="0.35">
      <c r="A6" t="s">
        <v>39</v>
      </c>
      <c r="B6" t="s">
        <v>29</v>
      </c>
      <c r="C6" t="s">
        <v>30</v>
      </c>
      <c r="H6" t="s">
        <v>40</v>
      </c>
      <c r="I6" t="s">
        <v>24</v>
      </c>
      <c r="J6" t="s">
        <v>41</v>
      </c>
      <c r="K6" t="s">
        <v>42</v>
      </c>
      <c r="L6" t="s">
        <v>30</v>
      </c>
      <c r="M6" t="s">
        <v>24</v>
      </c>
      <c r="N6" t="s">
        <v>43</v>
      </c>
      <c r="O6" t="s">
        <v>44</v>
      </c>
      <c r="P6" t="s">
        <v>45</v>
      </c>
      <c r="Q6" t="s">
        <v>24</v>
      </c>
      <c r="R6" t="s">
        <v>41</v>
      </c>
      <c r="S6" t="s">
        <v>46</v>
      </c>
      <c r="T6" t="s">
        <v>47</v>
      </c>
    </row>
    <row r="7" spans="1:20" x14ac:dyDescent="0.35">
      <c r="A7" t="s">
        <v>48</v>
      </c>
      <c r="B7" t="s">
        <v>29</v>
      </c>
      <c r="H7" t="s">
        <v>49</v>
      </c>
      <c r="I7" t="s">
        <v>24</v>
      </c>
      <c r="K7" t="s">
        <v>50</v>
      </c>
      <c r="M7" t="s">
        <v>24</v>
      </c>
      <c r="O7" t="s">
        <v>25</v>
      </c>
      <c r="P7" t="s">
        <v>51</v>
      </c>
      <c r="Q7" t="s">
        <v>24</v>
      </c>
    </row>
    <row r="8" spans="1:20" x14ac:dyDescent="0.35">
      <c r="A8" t="s">
        <v>52</v>
      </c>
      <c r="B8" t="s">
        <v>53</v>
      </c>
      <c r="C8" t="s">
        <v>36</v>
      </c>
      <c r="D8" t="s">
        <v>24</v>
      </c>
      <c r="E8" t="s">
        <v>24</v>
      </c>
      <c r="H8" t="s">
        <v>54</v>
      </c>
      <c r="I8" t="s">
        <v>24</v>
      </c>
      <c r="K8" t="s">
        <v>55</v>
      </c>
      <c r="L8" t="s">
        <v>36</v>
      </c>
      <c r="M8" t="s">
        <v>24</v>
      </c>
      <c r="O8" t="s">
        <v>44</v>
      </c>
      <c r="P8" t="s">
        <v>51</v>
      </c>
      <c r="Q8" t="s">
        <v>24</v>
      </c>
    </row>
    <row r="9" spans="1:20" x14ac:dyDescent="0.35">
      <c r="A9" t="s">
        <v>56</v>
      </c>
      <c r="B9" t="s">
        <v>57</v>
      </c>
      <c r="H9" t="s">
        <v>58</v>
      </c>
      <c r="I9" t="s">
        <v>24</v>
      </c>
      <c r="K9" t="s">
        <v>59</v>
      </c>
      <c r="M9" t="s">
        <v>24</v>
      </c>
      <c r="O9" t="s">
        <v>25</v>
      </c>
      <c r="P9" t="s">
        <v>32</v>
      </c>
    </row>
    <row r="10" spans="1:20" x14ac:dyDescent="0.35">
      <c r="A10" t="s">
        <v>60</v>
      </c>
      <c r="B10" t="s">
        <v>29</v>
      </c>
      <c r="C10" t="s">
        <v>30</v>
      </c>
      <c r="H10" t="s">
        <v>61</v>
      </c>
      <c r="I10" t="s">
        <v>24</v>
      </c>
      <c r="K10" t="s">
        <v>30</v>
      </c>
      <c r="L10" t="s">
        <v>30</v>
      </c>
      <c r="M10" t="s">
        <v>24</v>
      </c>
      <c r="O10" t="s">
        <v>24</v>
      </c>
      <c r="P10" t="s">
        <v>62</v>
      </c>
    </row>
    <row r="11" spans="1:20" x14ac:dyDescent="0.35">
      <c r="A11" t="s">
        <v>63</v>
      </c>
      <c r="B11" t="s">
        <v>29</v>
      </c>
      <c r="C11" t="s">
        <v>30</v>
      </c>
      <c r="H11" t="s">
        <v>64</v>
      </c>
      <c r="I11" t="s">
        <v>24</v>
      </c>
      <c r="K11" t="s">
        <v>50</v>
      </c>
      <c r="L11" t="s">
        <v>30</v>
      </c>
      <c r="M11" t="s">
        <v>24</v>
      </c>
      <c r="O11" t="s">
        <v>24</v>
      </c>
      <c r="P11" t="s">
        <v>65</v>
      </c>
    </row>
    <row r="12" spans="1:20" x14ac:dyDescent="0.35">
      <c r="A12" t="s">
        <v>66</v>
      </c>
      <c r="B12" t="s">
        <v>29</v>
      </c>
      <c r="C12" t="s">
        <v>67</v>
      </c>
      <c r="H12" t="s">
        <v>61</v>
      </c>
      <c r="I12" t="s">
        <v>24</v>
      </c>
      <c r="L12" t="s">
        <v>67</v>
      </c>
      <c r="O12" t="s">
        <v>44</v>
      </c>
      <c r="P12" t="s">
        <v>68</v>
      </c>
    </row>
    <row r="13" spans="1:20" x14ac:dyDescent="0.35">
      <c r="A13" t="s">
        <v>69</v>
      </c>
      <c r="B13" t="s">
        <v>29</v>
      </c>
      <c r="C13" t="s">
        <v>30</v>
      </c>
      <c r="H13" t="s">
        <v>70</v>
      </c>
      <c r="I13" t="s">
        <v>24</v>
      </c>
      <c r="K13" t="s">
        <v>30</v>
      </c>
      <c r="L13" t="s">
        <v>30</v>
      </c>
      <c r="M13" t="s">
        <v>24</v>
      </c>
      <c r="O13" t="s">
        <v>24</v>
      </c>
      <c r="P13" t="s">
        <v>51</v>
      </c>
      <c r="Q13" t="s">
        <v>24</v>
      </c>
    </row>
    <row r="14" spans="1:20" x14ac:dyDescent="0.35">
      <c r="A14" t="s">
        <v>71</v>
      </c>
      <c r="B14" t="s">
        <v>29</v>
      </c>
      <c r="C14" t="s">
        <v>36</v>
      </c>
      <c r="E14" t="s">
        <v>24</v>
      </c>
      <c r="H14" t="s">
        <v>72</v>
      </c>
      <c r="I14" t="s">
        <v>24</v>
      </c>
      <c r="K14" t="s">
        <v>73</v>
      </c>
      <c r="L14" t="s">
        <v>36</v>
      </c>
      <c r="M14" t="s">
        <v>24</v>
      </c>
      <c r="O14" t="s">
        <v>44</v>
      </c>
      <c r="P14" t="s">
        <v>51</v>
      </c>
    </row>
    <row r="15" spans="1:20" x14ac:dyDescent="0.35">
      <c r="A15" t="s">
        <v>74</v>
      </c>
      <c r="B15" t="s">
        <v>29</v>
      </c>
      <c r="C15" t="s">
        <v>75</v>
      </c>
      <c r="E15" t="s">
        <v>24</v>
      </c>
      <c r="G15" t="s">
        <v>76</v>
      </c>
      <c r="H15" t="s">
        <v>62</v>
      </c>
      <c r="I15" t="s">
        <v>24</v>
      </c>
      <c r="K15" t="s">
        <v>77</v>
      </c>
      <c r="L15" t="s">
        <v>75</v>
      </c>
      <c r="M15" t="s">
        <v>24</v>
      </c>
      <c r="N15" t="s">
        <v>76</v>
      </c>
      <c r="O15" t="s">
        <v>25</v>
      </c>
      <c r="P15" t="s">
        <v>78</v>
      </c>
    </row>
    <row r="16" spans="1:20" x14ac:dyDescent="0.35">
      <c r="A16" t="s">
        <v>79</v>
      </c>
      <c r="B16" t="s">
        <v>80</v>
      </c>
      <c r="C16" t="s">
        <v>30</v>
      </c>
      <c r="H16" t="s">
        <v>81</v>
      </c>
      <c r="I16" t="s">
        <v>24</v>
      </c>
      <c r="L16" t="s">
        <v>30</v>
      </c>
      <c r="O16" t="s">
        <v>25</v>
      </c>
      <c r="P16" t="s">
        <v>82</v>
      </c>
    </row>
    <row r="17" spans="1:19" x14ac:dyDescent="0.35">
      <c r="A17" t="s">
        <v>83</v>
      </c>
      <c r="B17" t="s">
        <v>84</v>
      </c>
      <c r="D17" t="s">
        <v>24</v>
      </c>
      <c r="H17" t="s">
        <v>85</v>
      </c>
      <c r="I17" t="s">
        <v>24</v>
      </c>
      <c r="O17" t="s">
        <v>25</v>
      </c>
      <c r="P17" t="s">
        <v>86</v>
      </c>
      <c r="Q17" t="s">
        <v>24</v>
      </c>
    </row>
    <row r="18" spans="1:19" x14ac:dyDescent="0.35">
      <c r="A18" t="s">
        <v>87</v>
      </c>
      <c r="B18" t="s">
        <v>29</v>
      </c>
      <c r="C18" t="s">
        <v>30</v>
      </c>
      <c r="D18" t="s">
        <v>24</v>
      </c>
      <c r="E18" t="s">
        <v>24</v>
      </c>
      <c r="H18" t="s">
        <v>64</v>
      </c>
      <c r="I18" t="s">
        <v>24</v>
      </c>
      <c r="K18" t="s">
        <v>88</v>
      </c>
      <c r="L18" t="s">
        <v>30</v>
      </c>
      <c r="M18" t="s">
        <v>24</v>
      </c>
      <c r="O18" t="s">
        <v>25</v>
      </c>
      <c r="P18" t="s">
        <v>89</v>
      </c>
      <c r="Q18" t="s">
        <v>24</v>
      </c>
    </row>
    <row r="19" spans="1:19" x14ac:dyDescent="0.35">
      <c r="A19" t="s">
        <v>90</v>
      </c>
      <c r="B19" t="s">
        <v>91</v>
      </c>
      <c r="C19" t="s">
        <v>92</v>
      </c>
      <c r="D19" t="s">
        <v>24</v>
      </c>
      <c r="E19" t="s">
        <v>24</v>
      </c>
      <c r="F19" t="s">
        <v>93</v>
      </c>
      <c r="G19" t="s">
        <v>93</v>
      </c>
      <c r="H19" t="s">
        <v>94</v>
      </c>
      <c r="I19" t="s">
        <v>24</v>
      </c>
      <c r="L19" t="s">
        <v>92</v>
      </c>
      <c r="N19" t="s">
        <v>93</v>
      </c>
      <c r="O19" t="s">
        <v>44</v>
      </c>
      <c r="P19" t="s">
        <v>91</v>
      </c>
      <c r="Q19" t="s">
        <v>24</v>
      </c>
      <c r="R19" t="s">
        <v>93</v>
      </c>
      <c r="S19" t="s">
        <v>46</v>
      </c>
    </row>
    <row r="20" spans="1:19" x14ac:dyDescent="0.35">
      <c r="A20" t="s">
        <v>95</v>
      </c>
      <c r="H20" t="s">
        <v>96</v>
      </c>
      <c r="I20" t="s">
        <v>24</v>
      </c>
      <c r="O20" t="s">
        <v>25</v>
      </c>
      <c r="P20" t="s">
        <v>96</v>
      </c>
    </row>
    <row r="21" spans="1:19" x14ac:dyDescent="0.35">
      <c r="A21" t="s">
        <v>97</v>
      </c>
      <c r="B21" t="s">
        <v>98</v>
      </c>
      <c r="D21" t="s">
        <v>24</v>
      </c>
      <c r="H21" t="s">
        <v>94</v>
      </c>
      <c r="I21" t="s">
        <v>24</v>
      </c>
      <c r="O21" t="s">
        <v>25</v>
      </c>
      <c r="P21" t="s">
        <v>99</v>
      </c>
      <c r="R21" t="s">
        <v>100</v>
      </c>
    </row>
    <row r="22" spans="1:19" x14ac:dyDescent="0.35">
      <c r="A22" t="s">
        <v>101</v>
      </c>
      <c r="B22" t="s">
        <v>53</v>
      </c>
      <c r="D22" t="s">
        <v>24</v>
      </c>
      <c r="H22" t="s">
        <v>102</v>
      </c>
      <c r="I22" t="s">
        <v>24</v>
      </c>
      <c r="P22" t="s">
        <v>32</v>
      </c>
      <c r="Q22" t="s">
        <v>24</v>
      </c>
    </row>
    <row r="23" spans="1:19" x14ac:dyDescent="0.35">
      <c r="A23" t="s">
        <v>370</v>
      </c>
      <c r="B23" t="s">
        <v>103</v>
      </c>
      <c r="D23" t="s">
        <v>24</v>
      </c>
      <c r="H23" t="s">
        <v>104</v>
      </c>
      <c r="I23" t="s">
        <v>24</v>
      </c>
      <c r="P23" t="s">
        <v>105</v>
      </c>
      <c r="Q23" t="s">
        <v>24</v>
      </c>
    </row>
    <row r="24" spans="1:19" x14ac:dyDescent="0.35">
      <c r="A24" t="s">
        <v>106</v>
      </c>
      <c r="B24" t="s">
        <v>29</v>
      </c>
      <c r="H24" t="s">
        <v>107</v>
      </c>
      <c r="I24" t="s">
        <v>24</v>
      </c>
      <c r="P24" t="s">
        <v>108</v>
      </c>
      <c r="R24" t="s">
        <v>109</v>
      </c>
    </row>
    <row r="25" spans="1:19" x14ac:dyDescent="0.35">
      <c r="A25" t="s">
        <v>110</v>
      </c>
      <c r="B25" t="s">
        <v>29</v>
      </c>
      <c r="H25" t="s">
        <v>111</v>
      </c>
      <c r="I25" t="s">
        <v>24</v>
      </c>
      <c r="P25" t="s">
        <v>111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"/>
  <sheetViews>
    <sheetView workbookViewId="0">
      <selection activeCell="L5" sqref="L5"/>
    </sheetView>
  </sheetViews>
  <sheetFormatPr defaultRowHeight="14.5" x14ac:dyDescent="0.35"/>
  <sheetData>
    <row r="1" spans="1:16" ht="15" customHeight="1" thickBot="1" x14ac:dyDescent="0.4">
      <c r="A1" t="s">
        <v>112</v>
      </c>
    </row>
    <row r="2" spans="1:16" ht="43.5" customHeight="1" thickBot="1" x14ac:dyDescent="0.4">
      <c r="A2" s="108" t="s">
        <v>113</v>
      </c>
      <c r="B2" s="108" t="s">
        <v>114</v>
      </c>
      <c r="C2" s="108" t="s">
        <v>115</v>
      </c>
      <c r="D2" s="109" t="s">
        <v>116</v>
      </c>
      <c r="E2" s="109" t="s">
        <v>117</v>
      </c>
      <c r="F2" s="109" t="s">
        <v>118</v>
      </c>
      <c r="G2" s="109" t="s">
        <v>119</v>
      </c>
      <c r="H2" s="109" t="s">
        <v>120</v>
      </c>
      <c r="I2" s="110" t="s">
        <v>121</v>
      </c>
      <c r="J2" s="110" t="s">
        <v>122</v>
      </c>
      <c r="K2" s="108" t="s">
        <v>123</v>
      </c>
      <c r="L2" s="111" t="s">
        <v>124</v>
      </c>
      <c r="M2" s="100"/>
      <c r="N2" s="107"/>
      <c r="O2" s="88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125</v>
      </c>
    </row>
    <row r="5" spans="1:16" ht="26.5" customHeight="1" thickBot="1" x14ac:dyDescent="0.4">
      <c r="A5" s="6" t="s">
        <v>126</v>
      </c>
      <c r="B5" s="6" t="s">
        <v>127</v>
      </c>
      <c r="E5" t="s">
        <v>128</v>
      </c>
      <c r="G5" s="6" t="s">
        <v>129</v>
      </c>
      <c r="H5" s="6" t="s">
        <v>120</v>
      </c>
      <c r="K5" s="7"/>
      <c r="L5" t="s">
        <v>124</v>
      </c>
    </row>
  </sheetData>
  <conditionalFormatting sqref="B2">
    <cfRule type="duplicateValues" dxfId="28" priority="1"/>
  </conditionalFormatting>
  <conditionalFormatting sqref="M2">
    <cfRule type="containsText" dxfId="27" priority="2" operator="containsText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"/>
  <sheetViews>
    <sheetView workbookViewId="0">
      <selection activeCell="I4" sqref="I4"/>
    </sheetView>
  </sheetViews>
  <sheetFormatPr defaultRowHeight="14.5" x14ac:dyDescent="0.35"/>
  <sheetData>
    <row r="1" spans="1:16" ht="15" customHeight="1" thickBot="1" x14ac:dyDescent="0.4">
      <c r="A1" t="s">
        <v>112</v>
      </c>
    </row>
    <row r="2" spans="1:16" ht="43.5" customHeight="1" thickBot="1" x14ac:dyDescent="0.4">
      <c r="A2" s="97" t="s">
        <v>130</v>
      </c>
      <c r="B2" s="98" t="s">
        <v>131</v>
      </c>
      <c r="C2" s="99" t="s">
        <v>132</v>
      </c>
      <c r="D2" s="100" t="s">
        <v>133</v>
      </c>
      <c r="E2" s="101" t="s">
        <v>134</v>
      </c>
      <c r="F2" s="102" t="s">
        <v>135</v>
      </c>
      <c r="G2" s="103" t="s">
        <v>136</v>
      </c>
      <c r="H2" s="104" t="s">
        <v>137</v>
      </c>
      <c r="I2" s="100" t="s">
        <v>138</v>
      </c>
      <c r="J2" s="105" t="s">
        <v>139</v>
      </c>
      <c r="K2" s="106" t="s">
        <v>140</v>
      </c>
      <c r="L2" s="104" t="s">
        <v>141</v>
      </c>
      <c r="M2" s="100" t="s">
        <v>142</v>
      </c>
      <c r="N2" s="107" t="s">
        <v>143</v>
      </c>
      <c r="O2" s="88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125</v>
      </c>
    </row>
    <row r="5" spans="1:16" ht="26.5" customHeight="1" thickBot="1" x14ac:dyDescent="0.4">
      <c r="A5" s="6" t="s">
        <v>126</v>
      </c>
      <c r="C5" s="6" t="s">
        <v>127</v>
      </c>
      <c r="E5" s="6" t="s">
        <v>129</v>
      </c>
      <c r="F5" s="6" t="s">
        <v>120</v>
      </c>
      <c r="G5" s="6" t="s">
        <v>128</v>
      </c>
      <c r="H5" s="14"/>
      <c r="K5" s="7"/>
      <c r="O5" t="s">
        <v>124</v>
      </c>
    </row>
  </sheetData>
  <conditionalFormatting sqref="C2">
    <cfRule type="duplicateValues" dxfId="26" priority="5"/>
    <cfRule type="duplicateValues" dxfId="25" priority="6"/>
    <cfRule type="duplicateValues" dxfId="24" priority="7"/>
    <cfRule type="duplicateValues" dxfId="23" priority="8"/>
    <cfRule type="duplicateValues" dxfId="22" priority="9"/>
    <cfRule type="duplicateValues" dxfId="21" priority="10"/>
  </conditionalFormatting>
  <conditionalFormatting sqref="I2">
    <cfRule type="containsText" dxfId="20" priority="3" operator="containsText" text="WIP">
      <formula>NOT(ISERROR(SEARCH("WIP",I2)))</formula>
    </cfRule>
  </conditionalFormatting>
  <conditionalFormatting sqref="M2">
    <cfRule type="containsText" dxfId="19" priority="1" operator="containsText" text="WIP">
      <formula>NOT(ISERROR(SEARCH("WIP",M2)))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"/>
  <sheetViews>
    <sheetView workbookViewId="0">
      <selection activeCell="K10" sqref="K10"/>
    </sheetView>
  </sheetViews>
  <sheetFormatPr defaultRowHeight="14.5" x14ac:dyDescent="0.35"/>
  <sheetData>
    <row r="1" spans="1:16" x14ac:dyDescent="0.35">
      <c r="A1" t="s">
        <v>112</v>
      </c>
    </row>
    <row r="2" spans="1:16" ht="43.5" customHeight="1" x14ac:dyDescent="0.35">
      <c r="A2" s="94" t="s">
        <v>130</v>
      </c>
      <c r="B2" s="94" t="s">
        <v>131</v>
      </c>
      <c r="C2" s="95" t="s">
        <v>132</v>
      </c>
      <c r="D2" s="94" t="s">
        <v>133</v>
      </c>
      <c r="E2" s="96" t="s">
        <v>134</v>
      </c>
      <c r="F2" s="96" t="s">
        <v>144</v>
      </c>
      <c r="G2" s="96" t="s">
        <v>145</v>
      </c>
      <c r="H2" s="81"/>
      <c r="I2" s="82"/>
      <c r="J2" s="80"/>
      <c r="K2" s="80"/>
      <c r="L2" s="80"/>
      <c r="M2" s="83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125</v>
      </c>
    </row>
    <row r="5" spans="1:16" ht="26.5" customHeight="1" thickBot="1" x14ac:dyDescent="0.4">
      <c r="A5" s="6" t="s">
        <v>126</v>
      </c>
      <c r="C5" s="6" t="s">
        <v>127</v>
      </c>
      <c r="E5" s="6" t="s">
        <v>129</v>
      </c>
      <c r="F5" s="6" t="s">
        <v>120</v>
      </c>
      <c r="G5" s="6"/>
      <c r="H5" s="14"/>
      <c r="K5" s="7"/>
    </row>
  </sheetData>
  <conditionalFormatting sqref="C2">
    <cfRule type="expression" dxfId="18" priority="1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dxfId="17" priority="2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"/>
  <sheetViews>
    <sheetView workbookViewId="0">
      <selection activeCell="K10" sqref="K10"/>
    </sheetView>
  </sheetViews>
  <sheetFormatPr defaultRowHeight="14.5" x14ac:dyDescent="0.35"/>
  <sheetData>
    <row r="1" spans="1:16" x14ac:dyDescent="0.35">
      <c r="A1" t="s">
        <v>112</v>
      </c>
    </row>
    <row r="2" spans="1:16" ht="43.5" customHeight="1" x14ac:dyDescent="0.35">
      <c r="A2" s="94" t="s">
        <v>130</v>
      </c>
      <c r="B2" s="94" t="s">
        <v>131</v>
      </c>
      <c r="C2" s="95" t="s">
        <v>132</v>
      </c>
      <c r="D2" s="94" t="s">
        <v>133</v>
      </c>
      <c r="E2" s="96" t="s">
        <v>134</v>
      </c>
      <c r="F2" s="96" t="s">
        <v>144</v>
      </c>
      <c r="G2" s="96" t="s">
        <v>145</v>
      </c>
      <c r="H2" s="81"/>
      <c r="I2" s="82"/>
      <c r="J2" s="80"/>
      <c r="K2" s="80"/>
      <c r="L2" s="80"/>
      <c r="M2" s="83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125</v>
      </c>
    </row>
    <row r="5" spans="1:16" ht="26.5" customHeight="1" thickBot="1" x14ac:dyDescent="0.4">
      <c r="A5" s="6" t="s">
        <v>126</v>
      </c>
      <c r="C5" s="6" t="s">
        <v>127</v>
      </c>
      <c r="E5" s="6" t="s">
        <v>129</v>
      </c>
      <c r="F5" s="6" t="s">
        <v>120</v>
      </c>
      <c r="G5" s="6"/>
      <c r="H5" s="14"/>
      <c r="K5" s="7"/>
    </row>
  </sheetData>
  <conditionalFormatting sqref="C2">
    <cfRule type="expression" dxfId="16" priority="1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dxfId="15" priority="2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5"/>
  <sheetViews>
    <sheetView workbookViewId="0">
      <selection activeCell="A2" sqref="A2"/>
    </sheetView>
  </sheetViews>
  <sheetFormatPr defaultRowHeight="14.5" x14ac:dyDescent="0.35"/>
  <sheetData>
    <row r="1" spans="1:16" x14ac:dyDescent="0.35">
      <c r="A1" t="s">
        <v>112</v>
      </c>
    </row>
    <row r="2" spans="1:16" ht="43.5" customHeight="1" x14ac:dyDescent="0.35">
      <c r="A2" s="117" t="s">
        <v>130</v>
      </c>
      <c r="B2" s="117" t="s">
        <v>131</v>
      </c>
      <c r="C2" s="118" t="s">
        <v>132</v>
      </c>
      <c r="D2" s="118" t="s">
        <v>133</v>
      </c>
      <c r="E2" s="119" t="s">
        <v>134</v>
      </c>
      <c r="F2" s="120" t="s">
        <v>135</v>
      </c>
      <c r="G2" s="121" t="s">
        <v>146</v>
      </c>
      <c r="H2" s="121" t="s">
        <v>147</v>
      </c>
      <c r="I2" s="83" t="s">
        <v>143</v>
      </c>
      <c r="J2" s="117" t="s">
        <v>148</v>
      </c>
      <c r="K2" s="117" t="s">
        <v>145</v>
      </c>
      <c r="L2" s="117" t="s">
        <v>149</v>
      </c>
      <c r="M2" s="83"/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125</v>
      </c>
    </row>
    <row r="5" spans="1:16" ht="26.5" customHeight="1" thickBot="1" x14ac:dyDescent="0.4">
      <c r="A5" s="6" t="s">
        <v>126</v>
      </c>
      <c r="C5" s="6" t="s">
        <v>127</v>
      </c>
      <c r="E5" s="6" t="s">
        <v>129</v>
      </c>
      <c r="F5" s="6" t="s">
        <v>120</v>
      </c>
      <c r="G5" s="6" t="s">
        <v>128</v>
      </c>
      <c r="H5" s="14" t="s">
        <v>124</v>
      </c>
      <c r="K5" s="7" t="s">
        <v>150</v>
      </c>
    </row>
  </sheetData>
  <conditionalFormatting sqref="C2">
    <cfRule type="duplicateValues" dxfId="14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Z11"/>
  <sheetViews>
    <sheetView topLeftCell="E4" workbookViewId="0">
      <selection activeCell="R11" sqref="R11"/>
    </sheetView>
  </sheetViews>
  <sheetFormatPr defaultRowHeight="14.5" x14ac:dyDescent="0.35"/>
  <sheetData>
    <row r="2" spans="1:26" ht="15" customHeight="1" thickBot="1" x14ac:dyDescent="0.4">
      <c r="A2" t="s">
        <v>112</v>
      </c>
    </row>
    <row r="3" spans="1:26" s="88" customFormat="1" ht="53.25" customHeight="1" thickBot="1" x14ac:dyDescent="0.4">
      <c r="A3" s="124" t="s">
        <v>130</v>
      </c>
      <c r="B3" s="129" t="s">
        <v>131</v>
      </c>
      <c r="C3" s="126" t="s">
        <v>151</v>
      </c>
      <c r="D3" s="127"/>
      <c r="E3" s="128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3">
        <f>SUM(R5:R30)/10^7</f>
        <v>0</v>
      </c>
      <c r="S3" s="84"/>
      <c r="T3" s="86"/>
      <c r="U3" s="87"/>
    </row>
    <row r="4" spans="1:26" ht="58.5" customHeight="1" thickBot="1" x14ac:dyDescent="0.4">
      <c r="A4" s="125"/>
      <c r="B4" s="130"/>
      <c r="C4" s="84" t="s">
        <v>152</v>
      </c>
      <c r="D4" s="85" t="s">
        <v>153</v>
      </c>
      <c r="E4" s="84" t="s">
        <v>154</v>
      </c>
      <c r="F4" s="84" t="s">
        <v>155</v>
      </c>
      <c r="G4" s="84" t="s">
        <v>156</v>
      </c>
      <c r="H4" s="84" t="s">
        <v>157</v>
      </c>
      <c r="I4" s="84" t="s">
        <v>158</v>
      </c>
      <c r="J4" s="84" t="s">
        <v>159</v>
      </c>
      <c r="K4" s="84" t="s">
        <v>160</v>
      </c>
      <c r="L4" s="84" t="s">
        <v>161</v>
      </c>
      <c r="M4" s="84" t="s">
        <v>162</v>
      </c>
      <c r="N4" s="84" t="s">
        <v>163</v>
      </c>
      <c r="O4" s="84" t="s">
        <v>164</v>
      </c>
      <c r="P4" s="84" t="s">
        <v>165</v>
      </c>
      <c r="Q4" s="84" t="s">
        <v>166</v>
      </c>
      <c r="R4" s="84" t="s">
        <v>143</v>
      </c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customHeight="1" thickBot="1" x14ac:dyDescent="0.4"/>
    <row r="10" spans="1:26" ht="15" customHeight="1" thickBot="1" x14ac:dyDescent="0.4">
      <c r="A10" t="s">
        <v>125</v>
      </c>
      <c r="N10" s="33"/>
    </row>
    <row r="11" spans="1:26" ht="44" customHeight="1" thickBot="1" x14ac:dyDescent="0.4">
      <c r="A11" s="69" t="s">
        <v>167</v>
      </c>
      <c r="B11" s="70" t="s">
        <v>168</v>
      </c>
      <c r="C11" s="70" t="s">
        <v>169</v>
      </c>
      <c r="D11" s="70" t="s">
        <v>170</v>
      </c>
      <c r="E11" s="70" t="s">
        <v>171</v>
      </c>
      <c r="G11" s="71" t="s">
        <v>172</v>
      </c>
      <c r="I11" s="37" t="s">
        <v>173</v>
      </c>
      <c r="J11" s="72" t="s">
        <v>174</v>
      </c>
      <c r="K11" s="71" t="s">
        <v>175</v>
      </c>
      <c r="L11" s="71" t="s">
        <v>176</v>
      </c>
      <c r="M11" s="73" t="s">
        <v>177</v>
      </c>
      <c r="O11" s="69" t="s">
        <v>178</v>
      </c>
      <c r="P11" s="74" t="s">
        <v>165</v>
      </c>
      <c r="Q11" s="75" t="s">
        <v>179</v>
      </c>
      <c r="R11" s="76"/>
      <c r="S11" s="70"/>
      <c r="T11" s="70"/>
      <c r="U11" s="75"/>
      <c r="V11" s="70"/>
      <c r="W11" s="70"/>
      <c r="X11" s="75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11"/>
  <sheetViews>
    <sheetView workbookViewId="0">
      <selection activeCell="A11" sqref="A11"/>
    </sheetView>
  </sheetViews>
  <sheetFormatPr defaultRowHeight="14.5" x14ac:dyDescent="0.35"/>
  <sheetData>
    <row r="2" spans="1:26" ht="15" customHeight="1" thickBot="1" x14ac:dyDescent="0.4">
      <c r="A2" t="s">
        <v>112</v>
      </c>
    </row>
    <row r="3" spans="1:26" ht="44" customHeight="1" thickBot="1" x14ac:dyDescent="0.4">
      <c r="A3" s="69" t="s">
        <v>167</v>
      </c>
      <c r="B3" s="70" t="s">
        <v>168</v>
      </c>
      <c r="C3" s="70" t="s">
        <v>169</v>
      </c>
      <c r="D3" s="70" t="s">
        <v>170</v>
      </c>
      <c r="E3" s="70" t="s">
        <v>171</v>
      </c>
      <c r="F3" s="71" t="s">
        <v>172</v>
      </c>
      <c r="G3" s="36" t="s">
        <v>180</v>
      </c>
      <c r="H3" s="37" t="s">
        <v>173</v>
      </c>
      <c r="I3" s="72" t="s">
        <v>174</v>
      </c>
      <c r="J3" s="71" t="s">
        <v>175</v>
      </c>
      <c r="K3" s="70" t="s">
        <v>181</v>
      </c>
      <c r="L3" s="71" t="s">
        <v>176</v>
      </c>
      <c r="M3" s="73" t="s">
        <v>177</v>
      </c>
      <c r="N3" s="69" t="s">
        <v>178</v>
      </c>
      <c r="O3" s="74" t="s">
        <v>165</v>
      </c>
      <c r="P3" s="75" t="s">
        <v>179</v>
      </c>
      <c r="Q3" s="76" t="s">
        <v>182</v>
      </c>
      <c r="R3" s="70" t="s">
        <v>150</v>
      </c>
      <c r="S3" s="70" t="s">
        <v>128</v>
      </c>
      <c r="T3" s="70" t="s">
        <v>183</v>
      </c>
      <c r="U3" s="70" t="s">
        <v>184</v>
      </c>
      <c r="V3" s="70" t="s">
        <v>185</v>
      </c>
      <c r="W3" s="75" t="s">
        <v>145</v>
      </c>
      <c r="X3" s="67"/>
      <c r="Y3" s="67"/>
      <c r="Z3" s="67"/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customHeight="1" thickBot="1" x14ac:dyDescent="0.4"/>
    <row r="10" spans="1:26" ht="15" customHeight="1" thickBot="1" x14ac:dyDescent="0.4">
      <c r="A10" t="s">
        <v>125</v>
      </c>
      <c r="N10" s="33"/>
    </row>
    <row r="11" spans="1:26" ht="44" customHeight="1" thickBot="1" x14ac:dyDescent="0.4">
      <c r="A11" s="69" t="s">
        <v>167</v>
      </c>
      <c r="B11" s="70" t="s">
        <v>168</v>
      </c>
      <c r="C11" s="70" t="s">
        <v>169</v>
      </c>
      <c r="D11" s="70" t="s">
        <v>170</v>
      </c>
      <c r="E11" s="70" t="s">
        <v>171</v>
      </c>
      <c r="F11" s="71" t="s">
        <v>172</v>
      </c>
      <c r="G11" s="36" t="s">
        <v>180</v>
      </c>
      <c r="H11" s="37" t="s">
        <v>173</v>
      </c>
      <c r="I11" s="72" t="s">
        <v>174</v>
      </c>
      <c r="J11" s="71" t="s">
        <v>175</v>
      </c>
      <c r="K11" s="70" t="s">
        <v>181</v>
      </c>
      <c r="L11" s="71" t="s">
        <v>176</v>
      </c>
      <c r="M11" s="73" t="s">
        <v>177</v>
      </c>
      <c r="N11" s="69" t="s">
        <v>178</v>
      </c>
      <c r="O11" s="74" t="s">
        <v>165</v>
      </c>
      <c r="P11" s="75" t="s">
        <v>179</v>
      </c>
      <c r="Q11" s="76" t="s">
        <v>182</v>
      </c>
      <c r="R11" s="70" t="s">
        <v>150</v>
      </c>
      <c r="S11" s="70" t="s">
        <v>128</v>
      </c>
      <c r="T11" s="70" t="s">
        <v>183</v>
      </c>
      <c r="U11" s="70" t="s">
        <v>184</v>
      </c>
      <c r="V11" s="70" t="s">
        <v>185</v>
      </c>
      <c r="W11" s="75" t="s">
        <v>145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Z7"/>
  <sheetViews>
    <sheetView workbookViewId="0">
      <selection activeCell="P3" sqref="P3"/>
    </sheetView>
  </sheetViews>
  <sheetFormatPr defaultRowHeight="14.5" x14ac:dyDescent="0.35"/>
  <sheetData>
    <row r="2" spans="1:26" x14ac:dyDescent="0.35">
      <c r="A2" t="s">
        <v>112</v>
      </c>
    </row>
    <row r="3" spans="1:26" ht="43.5" customHeight="1" x14ac:dyDescent="0.35">
      <c r="A3" s="18" t="s">
        <v>186</v>
      </c>
      <c r="B3" s="131" t="s">
        <v>151</v>
      </c>
      <c r="C3" s="132"/>
      <c r="D3" s="18" t="s">
        <v>187</v>
      </c>
      <c r="E3" s="19" t="s">
        <v>188</v>
      </c>
      <c r="F3" s="20" t="s">
        <v>173</v>
      </c>
      <c r="G3" s="135" t="s">
        <v>189</v>
      </c>
      <c r="H3" s="134"/>
      <c r="I3" s="132"/>
      <c r="J3" s="135" t="s">
        <v>190</v>
      </c>
      <c r="K3" s="134"/>
      <c r="L3" s="132"/>
      <c r="M3" s="21" t="s">
        <v>179</v>
      </c>
      <c r="N3" s="23" t="s">
        <v>191</v>
      </c>
      <c r="O3" s="24" t="s">
        <v>192</v>
      </c>
      <c r="P3" s="25" t="s">
        <v>193</v>
      </c>
      <c r="Q3" s="20" t="s">
        <v>145</v>
      </c>
      <c r="R3" s="26"/>
      <c r="S3" s="133" t="s">
        <v>194</v>
      </c>
      <c r="T3" s="134"/>
      <c r="U3" s="132"/>
      <c r="V3" s="133" t="s">
        <v>195</v>
      </c>
      <c r="W3" s="134"/>
      <c r="X3" s="132"/>
      <c r="Y3" s="24" t="s">
        <v>192</v>
      </c>
      <c r="Z3" s="67"/>
    </row>
    <row r="4" spans="1:26" x14ac:dyDescent="0.35">
      <c r="A4" s="18"/>
      <c r="B4" s="27" t="s">
        <v>152</v>
      </c>
      <c r="C4" s="27" t="s">
        <v>153</v>
      </c>
      <c r="D4" s="18"/>
      <c r="E4" s="28"/>
      <c r="F4" s="29"/>
      <c r="G4" s="23" t="s">
        <v>150</v>
      </c>
      <c r="H4" s="30" t="s">
        <v>196</v>
      </c>
      <c r="I4" s="23" t="s">
        <v>197</v>
      </c>
      <c r="J4" s="23" t="s">
        <v>150</v>
      </c>
      <c r="K4" s="23" t="s">
        <v>196</v>
      </c>
      <c r="L4" s="23" t="s">
        <v>197</v>
      </c>
      <c r="M4" s="23" t="s">
        <v>150</v>
      </c>
      <c r="N4" s="23" t="s">
        <v>150</v>
      </c>
      <c r="O4" s="24"/>
      <c r="P4" s="31"/>
      <c r="Q4" s="29"/>
      <c r="R4" s="32"/>
      <c r="S4" s="23" t="s">
        <v>150</v>
      </c>
      <c r="T4" s="23" t="s">
        <v>196</v>
      </c>
      <c r="U4" s="23" t="s">
        <v>197</v>
      </c>
      <c r="V4" s="23" t="s">
        <v>150</v>
      </c>
      <c r="W4" s="23" t="s">
        <v>196</v>
      </c>
      <c r="X4" s="23" t="s">
        <v>197</v>
      </c>
      <c r="Y4" s="24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ht="15" customHeight="1" thickBot="1" x14ac:dyDescent="0.4">
      <c r="A6" t="s">
        <v>125</v>
      </c>
    </row>
    <row r="7" spans="1:26" ht="44" customHeight="1" thickBot="1" x14ac:dyDescent="0.4">
      <c r="A7" s="33" t="s">
        <v>167</v>
      </c>
      <c r="B7" s="34" t="s">
        <v>169</v>
      </c>
      <c r="C7" s="34" t="s">
        <v>170</v>
      </c>
      <c r="D7" s="34" t="s">
        <v>171</v>
      </c>
      <c r="E7" s="36" t="s">
        <v>180</v>
      </c>
      <c r="F7" s="37" t="s">
        <v>173</v>
      </c>
      <c r="H7" s="38" t="s">
        <v>174</v>
      </c>
      <c r="I7" s="35" t="s">
        <v>175</v>
      </c>
      <c r="K7" s="35" t="s">
        <v>176</v>
      </c>
      <c r="L7" s="39" t="s">
        <v>177</v>
      </c>
      <c r="M7" s="41" t="s">
        <v>179</v>
      </c>
      <c r="N7" s="33" t="s">
        <v>178</v>
      </c>
      <c r="O7" s="34" t="s">
        <v>128</v>
      </c>
      <c r="R7" s="41" t="s">
        <v>145</v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dxfId="13" priority="2"/>
  </conditionalFormatting>
  <conditionalFormatting sqref="C7">
    <cfRule type="duplicateValues" dxfId="1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Z13"/>
  <sheetViews>
    <sheetView workbookViewId="0">
      <selection activeCell="J6" sqref="J6"/>
    </sheetView>
  </sheetViews>
  <sheetFormatPr defaultRowHeight="14.5" x14ac:dyDescent="0.35"/>
  <sheetData>
    <row r="2" spans="1:26" x14ac:dyDescent="0.35">
      <c r="A2" t="s">
        <v>112</v>
      </c>
    </row>
    <row r="3" spans="1:26" ht="43.5" customHeight="1" x14ac:dyDescent="0.35">
      <c r="A3" s="89" t="s">
        <v>186</v>
      </c>
      <c r="B3" s="136" t="s">
        <v>151</v>
      </c>
      <c r="C3" s="137"/>
      <c r="D3" s="89" t="s">
        <v>187</v>
      </c>
      <c r="E3" s="89" t="s">
        <v>188</v>
      </c>
      <c r="F3" s="91" t="s">
        <v>173</v>
      </c>
      <c r="G3" s="140" t="s">
        <v>189</v>
      </c>
      <c r="H3" s="139"/>
      <c r="I3" s="137"/>
      <c r="J3" s="140" t="s">
        <v>190</v>
      </c>
      <c r="K3" s="139"/>
      <c r="L3" s="137"/>
      <c r="M3" s="91" t="s">
        <v>179</v>
      </c>
      <c r="N3" s="91" t="s">
        <v>198</v>
      </c>
      <c r="O3" s="92" t="s">
        <v>191</v>
      </c>
      <c r="P3" s="91" t="s">
        <v>192</v>
      </c>
      <c r="Q3" s="91" t="s">
        <v>193</v>
      </c>
      <c r="R3" s="91" t="s">
        <v>145</v>
      </c>
      <c r="S3" s="93"/>
      <c r="T3" s="138" t="s">
        <v>194</v>
      </c>
      <c r="U3" s="139"/>
      <c r="V3" s="137"/>
      <c r="W3" s="138" t="s">
        <v>195</v>
      </c>
      <c r="X3" s="139"/>
      <c r="Y3" s="137"/>
      <c r="Z3" s="91" t="s">
        <v>192</v>
      </c>
    </row>
    <row r="4" spans="1:26" x14ac:dyDescent="0.35">
      <c r="A4" s="89"/>
      <c r="B4" s="90" t="s">
        <v>152</v>
      </c>
      <c r="C4" s="90" t="s">
        <v>153</v>
      </c>
      <c r="D4" s="89"/>
      <c r="E4" s="89"/>
      <c r="F4" s="91"/>
      <c r="G4" s="92" t="s">
        <v>150</v>
      </c>
      <c r="H4" s="92" t="s">
        <v>196</v>
      </c>
      <c r="I4" s="92" t="s">
        <v>197</v>
      </c>
      <c r="J4" s="92" t="s">
        <v>150</v>
      </c>
      <c r="K4" s="92" t="s">
        <v>196</v>
      </c>
      <c r="L4" s="92" t="s">
        <v>197</v>
      </c>
      <c r="M4" s="92" t="s">
        <v>150</v>
      </c>
      <c r="N4" s="92" t="s">
        <v>150</v>
      </c>
      <c r="O4" s="92" t="s">
        <v>150</v>
      </c>
      <c r="P4" s="91"/>
      <c r="Q4" s="91"/>
      <c r="R4" s="91"/>
      <c r="S4" s="93"/>
      <c r="T4" s="92" t="s">
        <v>150</v>
      </c>
      <c r="U4" s="92" t="s">
        <v>196</v>
      </c>
      <c r="V4" s="92" t="s">
        <v>197</v>
      </c>
      <c r="W4" s="92" t="s">
        <v>150</v>
      </c>
      <c r="X4" s="92" t="s">
        <v>196</v>
      </c>
      <c r="Y4" s="92" t="s">
        <v>197</v>
      </c>
      <c r="Z4" s="91"/>
    </row>
    <row r="7" spans="1:26" ht="15" customHeight="1" thickBot="1" x14ac:dyDescent="0.4">
      <c r="A7" t="s">
        <v>125</v>
      </c>
    </row>
    <row r="8" spans="1:26" ht="44" customHeight="1" thickBot="1" x14ac:dyDescent="0.4">
      <c r="A8" s="33" t="s">
        <v>167</v>
      </c>
      <c r="B8" s="34" t="s">
        <v>169</v>
      </c>
      <c r="C8" s="34" t="s">
        <v>170</v>
      </c>
      <c r="D8" s="34" t="s">
        <v>171</v>
      </c>
      <c r="E8" s="36" t="s">
        <v>180</v>
      </c>
      <c r="F8" s="37" t="s">
        <v>173</v>
      </c>
      <c r="H8" s="38" t="s">
        <v>174</v>
      </c>
      <c r="I8" s="35" t="s">
        <v>175</v>
      </c>
      <c r="K8" s="35" t="s">
        <v>176</v>
      </c>
      <c r="L8" s="39" t="s">
        <v>177</v>
      </c>
      <c r="M8" s="41" t="s">
        <v>179</v>
      </c>
      <c r="N8" s="40" t="s">
        <v>165</v>
      </c>
      <c r="O8" s="33" t="s">
        <v>178</v>
      </c>
      <c r="P8" s="34" t="s">
        <v>128</v>
      </c>
      <c r="R8" s="41" t="s">
        <v>145</v>
      </c>
    </row>
    <row r="12" spans="1:26" ht="15" customHeight="1" thickBot="1" x14ac:dyDescent="0.4"/>
    <row r="13" spans="1:26" ht="15" customHeight="1" thickBot="1" x14ac:dyDescent="0.4">
      <c r="B13" s="34"/>
      <c r="F13" s="35"/>
      <c r="K13" s="34"/>
      <c r="Q13" s="42"/>
      <c r="R13" s="34"/>
      <c r="T13" s="34"/>
      <c r="U13" s="34"/>
      <c r="V13" s="34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dxfId="11" priority="2"/>
  </conditionalFormatting>
  <conditionalFormatting sqref="C8">
    <cfRule type="duplicateValues" dxfId="1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133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2"/>
    </row>
    <row r="2" spans="1:65" x14ac:dyDescent="0.35">
      <c r="A2" t="s">
        <v>112</v>
      </c>
    </row>
    <row r="3" spans="1:65" x14ac:dyDescent="0.35">
      <c r="A3" s="57" t="s">
        <v>186</v>
      </c>
      <c r="B3" s="56" t="s">
        <v>199</v>
      </c>
      <c r="C3" s="56" t="s">
        <v>115</v>
      </c>
      <c r="D3" s="56"/>
      <c r="E3" s="56"/>
      <c r="F3" s="56"/>
      <c r="G3" s="56"/>
      <c r="H3" s="56" t="s">
        <v>200</v>
      </c>
      <c r="I3" s="56" t="s">
        <v>201</v>
      </c>
      <c r="J3" s="56" t="s">
        <v>202</v>
      </c>
      <c r="K3" s="56" t="s">
        <v>203</v>
      </c>
      <c r="L3" s="56" t="s">
        <v>204</v>
      </c>
      <c r="M3" s="56" t="s">
        <v>205</v>
      </c>
      <c r="N3" s="56" t="s">
        <v>206</v>
      </c>
      <c r="O3" s="56" t="s">
        <v>207</v>
      </c>
      <c r="P3" s="56" t="s">
        <v>208</v>
      </c>
      <c r="Q3" s="56" t="s">
        <v>204</v>
      </c>
      <c r="R3" s="56" t="s">
        <v>207</v>
      </c>
      <c r="S3" s="56" t="s">
        <v>209</v>
      </c>
      <c r="T3" s="56" t="s">
        <v>210</v>
      </c>
      <c r="U3" s="56" t="s">
        <v>211</v>
      </c>
      <c r="V3" s="56" t="s">
        <v>212</v>
      </c>
      <c r="W3" s="56" t="s">
        <v>213</v>
      </c>
      <c r="X3" s="56" t="s">
        <v>214</v>
      </c>
      <c r="Y3" s="56" t="s">
        <v>215</v>
      </c>
      <c r="Z3" s="56"/>
      <c r="AA3" s="56"/>
      <c r="AB3" s="56" t="s">
        <v>216</v>
      </c>
      <c r="AC3" s="56"/>
      <c r="AD3" s="56" t="s">
        <v>217</v>
      </c>
      <c r="AE3" s="56"/>
      <c r="AF3" s="56"/>
      <c r="AG3" s="56"/>
      <c r="AH3" s="56"/>
      <c r="AI3" s="56"/>
      <c r="AJ3" s="56"/>
      <c r="AK3" s="56"/>
      <c r="AL3" s="56"/>
      <c r="AM3" s="56" t="s">
        <v>218</v>
      </c>
      <c r="AN3" s="56" t="s">
        <v>219</v>
      </c>
      <c r="AO3" s="56" t="s">
        <v>220</v>
      </c>
      <c r="AP3" s="56" t="s">
        <v>221</v>
      </c>
      <c r="AQ3" s="56"/>
      <c r="AR3" s="56" t="s">
        <v>222</v>
      </c>
      <c r="AS3" s="56"/>
      <c r="AT3" s="56" t="s">
        <v>192</v>
      </c>
      <c r="AU3" s="56"/>
      <c r="AV3" s="56" t="s">
        <v>223</v>
      </c>
      <c r="AW3" s="56" t="s">
        <v>224</v>
      </c>
      <c r="AX3" s="56" t="s">
        <v>196</v>
      </c>
      <c r="AY3" s="56" t="s">
        <v>197</v>
      </c>
      <c r="AZ3" s="56" t="s">
        <v>225</v>
      </c>
      <c r="BA3" s="58"/>
      <c r="BB3" t="s">
        <v>226</v>
      </c>
      <c r="BC3" t="s">
        <v>219</v>
      </c>
      <c r="BD3" t="s">
        <v>220</v>
      </c>
      <c r="BE3" t="s">
        <v>196</v>
      </c>
      <c r="BF3" t="s">
        <v>197</v>
      </c>
      <c r="BG3" t="s">
        <v>225</v>
      </c>
      <c r="BI3" t="s">
        <v>227</v>
      </c>
      <c r="BJ3" t="s">
        <v>196</v>
      </c>
      <c r="BK3" t="s">
        <v>197</v>
      </c>
      <c r="BL3" t="s">
        <v>228</v>
      </c>
      <c r="BM3" t="s">
        <v>192</v>
      </c>
    </row>
    <row r="4" spans="1:65" x14ac:dyDescent="0.35">
      <c r="A4" s="57"/>
      <c r="B4" s="56"/>
      <c r="C4" s="56"/>
      <c r="D4" s="56" t="s">
        <v>229</v>
      </c>
      <c r="E4" s="56" t="s">
        <v>230</v>
      </c>
      <c r="F4" s="56" t="s">
        <v>231</v>
      </c>
      <c r="G4" s="56" t="s">
        <v>232</v>
      </c>
      <c r="H4" s="56"/>
      <c r="I4" s="56"/>
      <c r="J4" s="56"/>
      <c r="K4" s="56"/>
      <c r="L4" s="56" t="s">
        <v>233</v>
      </c>
      <c r="M4" s="56" t="s">
        <v>233</v>
      </c>
      <c r="N4" s="56" t="s">
        <v>233</v>
      </c>
      <c r="O4" s="56" t="s">
        <v>233</v>
      </c>
      <c r="P4" s="56" t="s">
        <v>233</v>
      </c>
      <c r="Q4" s="56" t="s">
        <v>233</v>
      </c>
      <c r="R4" s="56" t="s">
        <v>233</v>
      </c>
      <c r="S4" s="56" t="s">
        <v>233</v>
      </c>
      <c r="T4" s="56" t="s">
        <v>234</v>
      </c>
      <c r="U4" s="56"/>
      <c r="V4" s="56" t="s">
        <v>235</v>
      </c>
      <c r="W4" s="56"/>
      <c r="X4" s="56"/>
      <c r="Y4" s="56" t="s">
        <v>236</v>
      </c>
      <c r="Z4" s="56" t="s">
        <v>237</v>
      </c>
      <c r="AA4" s="56" t="s">
        <v>238</v>
      </c>
      <c r="AB4" s="56" t="s">
        <v>239</v>
      </c>
      <c r="AC4" s="56" t="s">
        <v>240</v>
      </c>
      <c r="AD4" s="56" t="s">
        <v>241</v>
      </c>
      <c r="AE4" s="56" t="s">
        <v>242</v>
      </c>
      <c r="AF4" s="56" t="s">
        <v>243</v>
      </c>
      <c r="AG4" s="56" t="s">
        <v>244</v>
      </c>
      <c r="AH4" s="56" t="s">
        <v>245</v>
      </c>
      <c r="AI4" s="56" t="s">
        <v>246</v>
      </c>
      <c r="AJ4" s="56" t="s">
        <v>247</v>
      </c>
      <c r="AK4" s="56" t="s">
        <v>248</v>
      </c>
      <c r="AL4" s="56"/>
      <c r="AM4" s="56"/>
      <c r="AN4" s="56"/>
      <c r="AO4" s="56"/>
      <c r="AP4" s="56" t="s">
        <v>196</v>
      </c>
      <c r="AQ4" s="56" t="s">
        <v>197</v>
      </c>
      <c r="AR4" s="56" t="s">
        <v>196</v>
      </c>
      <c r="AS4" s="56">
        <v>9</v>
      </c>
      <c r="AT4" s="56"/>
      <c r="AU4" s="56"/>
      <c r="AV4" s="56"/>
      <c r="AW4" s="56"/>
      <c r="AX4" s="56"/>
      <c r="AY4" s="56"/>
      <c r="AZ4" s="56"/>
      <c r="BA4" s="58"/>
    </row>
    <row r="6" spans="1:65" x14ac:dyDescent="0.35">
      <c r="A6" s="57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8"/>
    </row>
    <row r="9" spans="1:65" x14ac:dyDescent="0.35">
      <c r="A9" t="s">
        <v>125</v>
      </c>
    </row>
    <row r="10" spans="1:65" ht="29.5" customHeight="1" thickBot="1" x14ac:dyDescent="0.4">
      <c r="A10" s="6" t="s">
        <v>126</v>
      </c>
      <c r="B10" s="6" t="s">
        <v>127</v>
      </c>
      <c r="C10" s="7" t="s">
        <v>115</v>
      </c>
      <c r="D10" s="6"/>
      <c r="H10" s="54"/>
      <c r="I10" s="54"/>
      <c r="M10" s="6"/>
      <c r="N10" s="17"/>
      <c r="O10" s="53"/>
      <c r="P10" s="6" t="s">
        <v>124</v>
      </c>
      <c r="Q10" s="55"/>
      <c r="BB10" s="53" t="s">
        <v>150</v>
      </c>
      <c r="BE10" s="6" t="s">
        <v>129</v>
      </c>
      <c r="BF10" s="6" t="s">
        <v>120</v>
      </c>
      <c r="BG10" s="6" t="s">
        <v>128</v>
      </c>
    </row>
  </sheetData>
  <mergeCells count="1">
    <mergeCell ref="A1:BA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112</v>
      </c>
    </row>
    <row r="3" spans="1:53" x14ac:dyDescent="0.35">
      <c r="A3" s="133" t="str">
        <f>+[1]Summary!A4</f>
        <v>Office:  Neemuch</v>
      </c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2"/>
    </row>
    <row r="4" spans="1:53" x14ac:dyDescent="0.35">
      <c r="A4" s="133">
        <f>+[1]Summary!A7</f>
        <v>0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4"/>
      <c r="AL4" s="134"/>
      <c r="AM4" s="134"/>
      <c r="AN4" s="134"/>
      <c r="AO4" s="134"/>
      <c r="AP4" s="134"/>
      <c r="AQ4" s="134"/>
      <c r="AR4" s="134"/>
      <c r="AS4" s="134"/>
      <c r="AT4" s="134"/>
      <c r="AU4" s="134"/>
      <c r="AV4" s="134"/>
      <c r="AW4" s="134"/>
      <c r="AX4" s="134"/>
      <c r="AY4" s="134"/>
      <c r="AZ4" s="134"/>
      <c r="BA4" s="132"/>
    </row>
    <row r="5" spans="1:53" ht="44" customHeight="1" thickBot="1" x14ac:dyDescent="0.4">
      <c r="A5" s="133" t="s">
        <v>249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2"/>
      <c r="T5" s="133" t="s">
        <v>51</v>
      </c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2"/>
      <c r="AL5" s="133" t="s">
        <v>250</v>
      </c>
      <c r="AM5" s="134"/>
      <c r="AN5" s="134"/>
      <c r="AO5" s="134"/>
      <c r="AP5" s="132"/>
      <c r="AQ5" s="133" t="s">
        <v>53</v>
      </c>
      <c r="AR5" s="134"/>
      <c r="AS5" s="134"/>
      <c r="AT5" s="132"/>
      <c r="AU5" s="20" t="s">
        <v>251</v>
      </c>
      <c r="AV5" s="133" t="s">
        <v>252</v>
      </c>
      <c r="AW5" s="134"/>
      <c r="AX5" s="134"/>
      <c r="AY5" s="134"/>
      <c r="AZ5" s="132"/>
      <c r="BA5" s="20" t="s">
        <v>253</v>
      </c>
    </row>
    <row r="6" spans="1:53" ht="58.5" customHeight="1" thickTop="1" x14ac:dyDescent="0.35">
      <c r="A6" s="24" t="s">
        <v>186</v>
      </c>
      <c r="B6" s="24" t="s">
        <v>199</v>
      </c>
      <c r="C6" s="24" t="s">
        <v>115</v>
      </c>
      <c r="D6" s="43"/>
      <c r="E6" s="43"/>
      <c r="F6" s="43"/>
      <c r="G6" s="141" t="s">
        <v>124</v>
      </c>
      <c r="H6" s="142"/>
      <c r="I6" s="142"/>
      <c r="J6" s="143"/>
      <c r="K6" s="141" t="s">
        <v>254</v>
      </c>
      <c r="L6" s="142"/>
      <c r="M6" s="142"/>
      <c r="N6" s="143"/>
      <c r="O6" s="145" t="s">
        <v>255</v>
      </c>
      <c r="P6" s="134"/>
      <c r="Q6" s="134"/>
      <c r="R6" s="132"/>
      <c r="S6" s="44" t="s">
        <v>212</v>
      </c>
      <c r="T6" s="20" t="s">
        <v>213</v>
      </c>
      <c r="U6" s="24" t="s">
        <v>214</v>
      </c>
      <c r="V6" s="133" t="s">
        <v>215</v>
      </c>
      <c r="W6" s="134"/>
      <c r="X6" s="132"/>
      <c r="Y6" s="45" t="s">
        <v>256</v>
      </c>
      <c r="Z6" s="45" t="s">
        <v>257</v>
      </c>
      <c r="AA6" s="45" t="s">
        <v>258</v>
      </c>
      <c r="AB6" s="45" t="s">
        <v>259</v>
      </c>
      <c r="AC6" s="45" t="s">
        <v>260</v>
      </c>
      <c r="AD6" s="45" t="s">
        <v>261</v>
      </c>
      <c r="AE6" s="46" t="s">
        <v>248</v>
      </c>
      <c r="AF6" s="20" t="s">
        <v>262</v>
      </c>
      <c r="AG6" s="144" t="s">
        <v>221</v>
      </c>
      <c r="AH6" s="132"/>
      <c r="AI6" s="133" t="s">
        <v>222</v>
      </c>
      <c r="AJ6" s="132"/>
      <c r="AK6" s="20" t="s">
        <v>192</v>
      </c>
      <c r="AL6" s="20" t="s">
        <v>227</v>
      </c>
      <c r="AM6" s="20" t="s">
        <v>263</v>
      </c>
      <c r="AN6" s="47" t="s">
        <v>196</v>
      </c>
      <c r="AO6" s="47" t="s">
        <v>197</v>
      </c>
      <c r="AP6" s="20" t="s">
        <v>192</v>
      </c>
      <c r="AQ6" s="20" t="s">
        <v>227</v>
      </c>
      <c r="AR6" s="47" t="s">
        <v>196</v>
      </c>
      <c r="AS6" s="47" t="s">
        <v>197</v>
      </c>
      <c r="AT6" s="20" t="s">
        <v>192</v>
      </c>
      <c r="AU6" s="46"/>
      <c r="AV6" s="20" t="s">
        <v>227</v>
      </c>
      <c r="AW6" s="47" t="s">
        <v>196</v>
      </c>
      <c r="AX6" s="47" t="s">
        <v>197</v>
      </c>
      <c r="AY6" s="48" t="s">
        <v>264</v>
      </c>
      <c r="AZ6" s="20" t="s">
        <v>192</v>
      </c>
      <c r="BA6" s="46"/>
    </row>
    <row r="7" spans="1:53" ht="43.5" customHeight="1" x14ac:dyDescent="0.35">
      <c r="A7" s="24"/>
      <c r="B7" s="24"/>
      <c r="C7" s="24"/>
      <c r="D7" s="22"/>
      <c r="E7" s="22"/>
      <c r="F7" s="22"/>
      <c r="G7" s="49" t="s">
        <v>204</v>
      </c>
      <c r="H7" s="24" t="s">
        <v>205</v>
      </c>
      <c r="I7" s="24" t="s">
        <v>207</v>
      </c>
      <c r="J7" s="50" t="s">
        <v>238</v>
      </c>
      <c r="K7" s="49" t="s">
        <v>204</v>
      </c>
      <c r="L7" s="22" t="s">
        <v>205</v>
      </c>
      <c r="M7" s="24" t="s">
        <v>207</v>
      </c>
      <c r="N7" s="50" t="s">
        <v>238</v>
      </c>
      <c r="O7" s="47" t="s">
        <v>200</v>
      </c>
      <c r="P7" s="47" t="s">
        <v>201</v>
      </c>
      <c r="Q7" s="47" t="s">
        <v>202</v>
      </c>
      <c r="R7" s="47" t="s">
        <v>203</v>
      </c>
      <c r="S7" s="51" t="s">
        <v>235</v>
      </c>
      <c r="T7" s="29"/>
      <c r="U7" s="20"/>
      <c r="V7" s="20" t="s">
        <v>236</v>
      </c>
      <c r="W7" s="20" t="s">
        <v>237</v>
      </c>
      <c r="X7" s="20" t="s">
        <v>238</v>
      </c>
      <c r="Y7" s="46"/>
      <c r="Z7" s="46"/>
      <c r="AA7" s="46"/>
      <c r="AB7" s="46"/>
      <c r="AC7" s="46"/>
      <c r="AD7" s="46"/>
      <c r="AE7" s="29"/>
      <c r="AF7" s="29"/>
      <c r="AG7" s="47" t="s">
        <v>196</v>
      </c>
      <c r="AH7" s="47" t="s">
        <v>197</v>
      </c>
      <c r="AI7" s="47" t="s">
        <v>196</v>
      </c>
      <c r="AJ7" s="47" t="s">
        <v>197</v>
      </c>
      <c r="AK7" s="29"/>
      <c r="AL7" s="29"/>
      <c r="AM7" s="29"/>
      <c r="AN7" s="47"/>
      <c r="AO7" s="47"/>
      <c r="AP7" s="29"/>
      <c r="AQ7" s="29"/>
      <c r="AR7" s="47"/>
      <c r="AS7" s="47"/>
      <c r="AT7" s="29"/>
      <c r="AU7" s="29"/>
      <c r="AV7" s="29"/>
      <c r="AW7" s="47"/>
      <c r="AX7" s="47"/>
      <c r="AY7" s="52"/>
      <c r="AZ7" s="29"/>
      <c r="BA7" s="29"/>
    </row>
    <row r="9" spans="1:53" x14ac:dyDescent="0.35">
      <c r="A9" t="s">
        <v>125</v>
      </c>
    </row>
    <row r="10" spans="1:53" ht="29.5" customHeight="1" thickBot="1" x14ac:dyDescent="0.4">
      <c r="A10" s="6" t="s">
        <v>126</v>
      </c>
      <c r="B10" s="6" t="s">
        <v>127</v>
      </c>
      <c r="C10" s="7" t="s">
        <v>115</v>
      </c>
      <c r="D10" s="6"/>
      <c r="H10" s="54"/>
      <c r="I10" s="54"/>
      <c r="J10" s="6" t="s">
        <v>124</v>
      </c>
      <c r="M10" s="6"/>
      <c r="N10" s="17"/>
      <c r="O10" s="53"/>
      <c r="P10" s="54"/>
      <c r="Q10" s="55"/>
      <c r="AQ10" s="53" t="s">
        <v>150</v>
      </c>
      <c r="AR10" s="6" t="s">
        <v>129</v>
      </c>
      <c r="AS10" s="6" t="s">
        <v>120</v>
      </c>
      <c r="AT10" s="6" t="s">
        <v>128</v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112</v>
      </c>
    </row>
    <row r="3" spans="1:23" ht="15.5" customHeight="1" x14ac:dyDescent="0.35">
      <c r="A3" s="147" t="s">
        <v>265</v>
      </c>
      <c r="B3" s="146" t="s">
        <v>151</v>
      </c>
      <c r="C3" s="134"/>
      <c r="D3" s="132"/>
      <c r="E3" s="146" t="s">
        <v>266</v>
      </c>
      <c r="F3" s="134"/>
      <c r="G3" s="132"/>
      <c r="H3" s="146" t="s">
        <v>190</v>
      </c>
      <c r="I3" s="134"/>
      <c r="J3" s="132"/>
      <c r="K3" s="147" t="s">
        <v>267</v>
      </c>
      <c r="L3" s="149" t="s">
        <v>145</v>
      </c>
      <c r="M3" s="8"/>
      <c r="N3" s="9"/>
    </row>
    <row r="4" spans="1:23" ht="31" customHeight="1" x14ac:dyDescent="0.35">
      <c r="A4" s="148"/>
      <c r="B4" s="12" t="s">
        <v>152</v>
      </c>
      <c r="C4" s="12" t="s">
        <v>153</v>
      </c>
      <c r="D4" s="13" t="s">
        <v>182</v>
      </c>
      <c r="E4" s="12" t="s">
        <v>119</v>
      </c>
      <c r="F4" s="12" t="s">
        <v>268</v>
      </c>
      <c r="G4" s="12" t="s">
        <v>269</v>
      </c>
      <c r="H4" s="12" t="s">
        <v>119</v>
      </c>
      <c r="I4" s="12" t="s">
        <v>268</v>
      </c>
      <c r="J4" s="12" t="s">
        <v>269</v>
      </c>
      <c r="K4" s="148"/>
      <c r="L4" s="148"/>
      <c r="M4" s="10"/>
      <c r="N4" s="11"/>
    </row>
    <row r="6" spans="1:23" x14ac:dyDescent="0.35">
      <c r="A6" t="s">
        <v>125</v>
      </c>
    </row>
    <row r="7" spans="1:23" ht="43.5" customHeight="1" x14ac:dyDescent="0.35">
      <c r="A7" s="3" t="s">
        <v>167</v>
      </c>
      <c r="B7" s="3" t="s">
        <v>169</v>
      </c>
      <c r="C7" s="3" t="s">
        <v>170</v>
      </c>
      <c r="D7" s="3" t="s">
        <v>171</v>
      </c>
      <c r="E7" s="4" t="s">
        <v>174</v>
      </c>
      <c r="F7" s="4" t="s">
        <v>175</v>
      </c>
      <c r="G7" s="3"/>
      <c r="H7" s="4" t="s">
        <v>176</v>
      </c>
      <c r="I7" s="4" t="s">
        <v>177</v>
      </c>
      <c r="J7" s="3"/>
      <c r="K7" s="3" t="s">
        <v>128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dxfId="9" priority="2"/>
  </conditionalFormatting>
  <conditionalFormatting sqref="C7">
    <cfRule type="duplicateValues" dxfId="8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112</v>
      </c>
    </row>
    <row r="3" spans="1:23" x14ac:dyDescent="0.35">
      <c r="A3" s="150" t="s">
        <v>270</v>
      </c>
      <c r="B3" s="150" t="s">
        <v>151</v>
      </c>
      <c r="C3" s="137"/>
      <c r="D3" s="150" t="s">
        <v>271</v>
      </c>
      <c r="E3" s="150" t="s">
        <v>128</v>
      </c>
      <c r="F3" s="150" t="s">
        <v>272</v>
      </c>
      <c r="G3" s="151" t="s">
        <v>273</v>
      </c>
      <c r="H3" s="139"/>
      <c r="I3" s="137"/>
      <c r="J3" s="150" t="s">
        <v>190</v>
      </c>
      <c r="K3" s="139"/>
      <c r="L3" s="139"/>
      <c r="M3" s="139"/>
      <c r="N3" s="137"/>
    </row>
    <row r="4" spans="1:23" ht="26" customHeight="1" x14ac:dyDescent="0.35">
      <c r="A4" s="130"/>
      <c r="B4" s="2" t="s">
        <v>152</v>
      </c>
      <c r="C4" s="1" t="s">
        <v>153</v>
      </c>
      <c r="D4" s="130"/>
      <c r="E4" s="130"/>
      <c r="F4" s="130"/>
      <c r="G4" s="1" t="s">
        <v>272</v>
      </c>
      <c r="H4" s="1" t="s">
        <v>119</v>
      </c>
      <c r="I4" s="1" t="s">
        <v>274</v>
      </c>
      <c r="J4" s="1" t="s">
        <v>272</v>
      </c>
      <c r="K4" s="1" t="s">
        <v>119</v>
      </c>
      <c r="L4" s="1" t="s">
        <v>274</v>
      </c>
      <c r="M4" s="1" t="s">
        <v>145</v>
      </c>
      <c r="N4" s="1" t="s">
        <v>142</v>
      </c>
    </row>
    <row r="6" spans="1:23" x14ac:dyDescent="0.35">
      <c r="A6" t="s">
        <v>125</v>
      </c>
    </row>
    <row r="7" spans="1:23" ht="43.5" customHeight="1" x14ac:dyDescent="0.35">
      <c r="A7" s="3" t="s">
        <v>167</v>
      </c>
      <c r="B7" s="3" t="s">
        <v>169</v>
      </c>
      <c r="C7" s="3" t="s">
        <v>170</v>
      </c>
      <c r="D7" t="s">
        <v>172</v>
      </c>
      <c r="E7" s="3" t="s">
        <v>128</v>
      </c>
      <c r="F7" s="3" t="s">
        <v>171</v>
      </c>
      <c r="G7" s="3" t="s">
        <v>181</v>
      </c>
      <c r="H7" s="4" t="s">
        <v>174</v>
      </c>
      <c r="I7" s="4" t="s">
        <v>175</v>
      </c>
      <c r="J7" s="3" t="s">
        <v>182</v>
      </c>
      <c r="K7" s="4" t="s">
        <v>176</v>
      </c>
      <c r="L7" s="4" t="s">
        <v>177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dxfId="7" priority="2"/>
  </conditionalFormatting>
  <conditionalFormatting sqref="C7">
    <cfRule type="duplicateValues" dxfId="6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"/>
  <sheetViews>
    <sheetView workbookViewId="0">
      <selection activeCell="H5" sqref="H5"/>
    </sheetView>
  </sheetViews>
  <sheetFormatPr defaultRowHeight="14.5" x14ac:dyDescent="0.35"/>
  <sheetData>
    <row r="1" spans="1:16" x14ac:dyDescent="0.35">
      <c r="A1" t="s">
        <v>112</v>
      </c>
    </row>
    <row r="2" spans="1:16" x14ac:dyDescent="0.35">
      <c r="A2" s="5" t="s">
        <v>275</v>
      </c>
      <c r="B2" s="112" t="s">
        <v>276</v>
      </c>
      <c r="C2" s="112" t="s">
        <v>115</v>
      </c>
      <c r="D2" s="113" t="s">
        <v>277</v>
      </c>
      <c r="E2" s="114" t="s">
        <v>278</v>
      </c>
      <c r="F2" s="115" t="s">
        <v>279</v>
      </c>
      <c r="G2" s="5" t="s">
        <v>280</v>
      </c>
      <c r="H2" s="116" t="s">
        <v>281</v>
      </c>
      <c r="I2" s="116" t="s">
        <v>282</v>
      </c>
      <c r="J2" s="5" t="s">
        <v>283</v>
      </c>
    </row>
    <row r="3" spans="1:16" ht="15" customHeight="1" thickBot="1" x14ac:dyDescent="0.4">
      <c r="C3" s="7"/>
      <c r="D3" s="6"/>
      <c r="F3" s="6"/>
      <c r="G3" s="152"/>
      <c r="H3" s="153"/>
      <c r="I3" s="153"/>
      <c r="J3" s="154"/>
      <c r="M3" s="6"/>
      <c r="N3" s="152"/>
      <c r="O3" s="153"/>
      <c r="P3" s="154"/>
    </row>
    <row r="4" spans="1:16" x14ac:dyDescent="0.35">
      <c r="A4" t="s">
        <v>125</v>
      </c>
    </row>
    <row r="5" spans="1:16" ht="26.5" customHeight="1" thickBot="1" x14ac:dyDescent="0.4">
      <c r="A5" s="6" t="s">
        <v>126</v>
      </c>
      <c r="B5" s="6" t="s">
        <v>127</v>
      </c>
      <c r="E5" s="7" t="s">
        <v>150</v>
      </c>
      <c r="F5" s="6" t="s">
        <v>129</v>
      </c>
      <c r="G5" s="6" t="s">
        <v>120</v>
      </c>
      <c r="H5" s="6" t="s">
        <v>128</v>
      </c>
    </row>
  </sheetData>
  <mergeCells count="2">
    <mergeCell ref="N3:P3"/>
    <mergeCell ref="G3:J3"/>
  </mergeCells>
  <conditionalFormatting sqref="B2:C2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B2:D2">
    <cfRule type="duplicateValues" dxfId="1" priority="5"/>
    <cfRule type="duplicateValues" dxfId="0" priority="6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5"/>
  <sheetViews>
    <sheetView topLeftCell="A14" workbookViewId="0">
      <selection activeCell="J2" sqref="G2:J14"/>
    </sheetView>
  </sheetViews>
  <sheetFormatPr defaultRowHeight="14.5" x14ac:dyDescent="0.35"/>
  <sheetData>
    <row r="1" spans="1:16" x14ac:dyDescent="0.35">
      <c r="A1" t="s">
        <v>112</v>
      </c>
    </row>
    <row r="2" spans="1:16" ht="26" customHeight="1" x14ac:dyDescent="0.35">
      <c r="A2" s="15" t="s">
        <v>126</v>
      </c>
      <c r="B2" s="15" t="s">
        <v>127</v>
      </c>
      <c r="C2" s="15" t="s">
        <v>115</v>
      </c>
      <c r="D2" s="15" t="s">
        <v>213</v>
      </c>
      <c r="E2" s="15" t="s">
        <v>119</v>
      </c>
      <c r="F2" s="15" t="s">
        <v>233</v>
      </c>
      <c r="G2" s="16" t="s">
        <v>150</v>
      </c>
      <c r="H2" s="15" t="s">
        <v>274</v>
      </c>
      <c r="I2" s="15" t="s">
        <v>128</v>
      </c>
      <c r="J2" s="15" t="s">
        <v>183</v>
      </c>
    </row>
    <row r="3" spans="1:16" ht="15" customHeight="1" thickBot="1" x14ac:dyDescent="0.4">
      <c r="C3" s="7"/>
      <c r="D3" s="6"/>
      <c r="F3" s="6"/>
      <c r="G3" s="152"/>
      <c r="H3" s="153"/>
      <c r="I3" s="153"/>
      <c r="J3" s="154"/>
      <c r="M3" s="6"/>
      <c r="N3" s="152"/>
      <c r="O3" s="153"/>
      <c r="P3" s="154"/>
    </row>
    <row r="4" spans="1:16" x14ac:dyDescent="0.35">
      <c r="A4" t="s">
        <v>125</v>
      </c>
    </row>
    <row r="5" spans="1:16" ht="29.5" customHeight="1" thickBot="1" x14ac:dyDescent="0.4">
      <c r="A5" s="6" t="s">
        <v>126</v>
      </c>
      <c r="B5" s="6" t="s">
        <v>127</v>
      </c>
      <c r="C5" s="7" t="s">
        <v>115</v>
      </c>
      <c r="E5" s="6" t="s">
        <v>129</v>
      </c>
      <c r="F5" s="14" t="s">
        <v>124</v>
      </c>
      <c r="G5" s="14" t="s">
        <v>150</v>
      </c>
      <c r="H5" s="6" t="s">
        <v>120</v>
      </c>
      <c r="I5" s="6" t="s">
        <v>128</v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286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292</v>
      </c>
    </row>
    <row r="12" spans="1:13" x14ac:dyDescent="0.35">
      <c r="A12" t="s">
        <v>125</v>
      </c>
    </row>
    <row r="13" spans="1:13" x14ac:dyDescent="0.35">
      <c r="B13" t="s">
        <v>293</v>
      </c>
      <c r="C13" t="s">
        <v>294</v>
      </c>
      <c r="D13" t="s">
        <v>295</v>
      </c>
      <c r="F13" t="s">
        <v>296</v>
      </c>
      <c r="G13" t="s">
        <v>297</v>
      </c>
      <c r="H13" t="s">
        <v>298</v>
      </c>
      <c r="J13" t="s">
        <v>299</v>
      </c>
      <c r="K13" t="s">
        <v>300</v>
      </c>
      <c r="L13" t="s">
        <v>301</v>
      </c>
      <c r="M13" t="s">
        <v>302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13"/>
  <sheetViews>
    <sheetView workbookViewId="0"/>
  </sheetViews>
  <sheetFormatPr defaultRowHeight="14.5" x14ac:dyDescent="0.35"/>
  <cols>
    <col min="1" max="1" width="14.1796875" bestFit="1" customWidth="1"/>
    <col min="2" max="2" width="205.6328125" bestFit="1" customWidth="1"/>
  </cols>
  <sheetData>
    <row r="1" spans="1:13" x14ac:dyDescent="0.35">
      <c r="A1" t="s">
        <v>284</v>
      </c>
    </row>
    <row r="2" spans="1:13" x14ac:dyDescent="0.35">
      <c r="A2" t="s">
        <v>285</v>
      </c>
      <c r="B2" t="s">
        <v>286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303</v>
      </c>
    </row>
    <row r="12" spans="1:13" x14ac:dyDescent="0.35">
      <c r="A12" t="s">
        <v>125</v>
      </c>
    </row>
    <row r="13" spans="1:13" x14ac:dyDescent="0.35">
      <c r="B13" t="s">
        <v>293</v>
      </c>
      <c r="C13" t="s">
        <v>304</v>
      </c>
      <c r="D13" t="s">
        <v>294</v>
      </c>
      <c r="E13" t="s">
        <v>295</v>
      </c>
      <c r="G13" t="s">
        <v>296</v>
      </c>
      <c r="H13" t="s">
        <v>298</v>
      </c>
      <c r="I13" t="s">
        <v>297</v>
      </c>
      <c r="J13" t="s">
        <v>299</v>
      </c>
      <c r="K13" t="s">
        <v>300</v>
      </c>
      <c r="L13" t="s">
        <v>301</v>
      </c>
      <c r="M13" t="s">
        <v>302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305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306</v>
      </c>
    </row>
    <row r="12" spans="1:13" x14ac:dyDescent="0.35">
      <c r="A12" t="s">
        <v>125</v>
      </c>
    </row>
    <row r="13" spans="1:13" x14ac:dyDescent="0.35">
      <c r="B13" t="s">
        <v>293</v>
      </c>
      <c r="C13" t="s">
        <v>294</v>
      </c>
      <c r="D13" t="s">
        <v>295</v>
      </c>
      <c r="F13" t="s">
        <v>296</v>
      </c>
      <c r="G13" t="s">
        <v>297</v>
      </c>
      <c r="H13" t="s">
        <v>298</v>
      </c>
      <c r="I13" t="s">
        <v>299</v>
      </c>
      <c r="J13" t="s">
        <v>300</v>
      </c>
      <c r="L13" t="s">
        <v>301</v>
      </c>
      <c r="M13" t="s">
        <v>302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284</v>
      </c>
    </row>
    <row r="2" spans="1:15" x14ac:dyDescent="0.35">
      <c r="A2" t="s">
        <v>285</v>
      </c>
      <c r="B2" t="s">
        <v>286</v>
      </c>
    </row>
    <row r="3" spans="1:15" x14ac:dyDescent="0.35">
      <c r="A3" t="s">
        <v>287</v>
      </c>
      <c r="B3" t="s">
        <v>288</v>
      </c>
    </row>
    <row r="4" spans="1:15" x14ac:dyDescent="0.35">
      <c r="A4" t="s">
        <v>307</v>
      </c>
      <c r="B4" t="s">
        <v>308</v>
      </c>
    </row>
    <row r="5" spans="1:15" x14ac:dyDescent="0.35">
      <c r="A5" t="s">
        <v>289</v>
      </c>
      <c r="B5" t="s">
        <v>290</v>
      </c>
    </row>
    <row r="6" spans="1:15" x14ac:dyDescent="0.35">
      <c r="A6" t="s">
        <v>291</v>
      </c>
      <c r="B6" t="s">
        <v>309</v>
      </c>
    </row>
    <row r="12" spans="1:15" x14ac:dyDescent="0.35">
      <c r="A12" t="s">
        <v>125</v>
      </c>
    </row>
    <row r="13" spans="1:15" x14ac:dyDescent="0.35">
      <c r="A13" t="s">
        <v>293</v>
      </c>
      <c r="C13" t="s">
        <v>294</v>
      </c>
      <c r="E13" t="s">
        <v>295</v>
      </c>
      <c r="G13" t="s">
        <v>296</v>
      </c>
      <c r="H13" t="s">
        <v>297</v>
      </c>
      <c r="I13" t="s">
        <v>298</v>
      </c>
      <c r="K13" t="s">
        <v>299</v>
      </c>
      <c r="L13" t="s">
        <v>300</v>
      </c>
      <c r="N13" t="s">
        <v>301</v>
      </c>
      <c r="O13" t="s">
        <v>302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284</v>
      </c>
    </row>
    <row r="2" spans="1:15" x14ac:dyDescent="0.35">
      <c r="A2" t="s">
        <v>285</v>
      </c>
      <c r="B2" t="s">
        <v>286</v>
      </c>
    </row>
    <row r="3" spans="1:15" x14ac:dyDescent="0.35">
      <c r="A3" t="s">
        <v>287</v>
      </c>
      <c r="B3" t="s">
        <v>288</v>
      </c>
    </row>
    <row r="4" spans="1:15" x14ac:dyDescent="0.35">
      <c r="A4" t="s">
        <v>307</v>
      </c>
      <c r="B4" t="s">
        <v>308</v>
      </c>
    </row>
    <row r="5" spans="1:15" x14ac:dyDescent="0.35">
      <c r="A5" t="s">
        <v>289</v>
      </c>
      <c r="B5" t="s">
        <v>290</v>
      </c>
    </row>
    <row r="6" spans="1:15" x14ac:dyDescent="0.35">
      <c r="A6" t="s">
        <v>291</v>
      </c>
      <c r="B6" t="s">
        <v>309</v>
      </c>
    </row>
    <row r="12" spans="1:15" x14ac:dyDescent="0.35">
      <c r="A12" t="s">
        <v>125</v>
      </c>
    </row>
    <row r="13" spans="1:15" x14ac:dyDescent="0.35">
      <c r="A13" t="s">
        <v>293</v>
      </c>
      <c r="C13" t="s">
        <v>294</v>
      </c>
      <c r="E13" t="s">
        <v>295</v>
      </c>
      <c r="G13" t="s">
        <v>296</v>
      </c>
      <c r="H13" t="s">
        <v>297</v>
      </c>
      <c r="I13" t="s">
        <v>298</v>
      </c>
      <c r="K13" t="s">
        <v>299</v>
      </c>
      <c r="L13" t="s">
        <v>300</v>
      </c>
      <c r="N13" t="s">
        <v>301</v>
      </c>
      <c r="O13" t="s">
        <v>302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14"/>
  <sheetViews>
    <sheetView workbookViewId="0"/>
  </sheetViews>
  <sheetFormatPr defaultRowHeight="14.5" x14ac:dyDescent="0.35"/>
  <sheetData>
    <row r="1" spans="1:16" x14ac:dyDescent="0.35">
      <c r="A1" t="s">
        <v>284</v>
      </c>
    </row>
    <row r="2" spans="1:16" x14ac:dyDescent="0.35">
      <c r="A2" t="s">
        <v>285</v>
      </c>
      <c r="B2" t="s">
        <v>286</v>
      </c>
    </row>
    <row r="3" spans="1:16" x14ac:dyDescent="0.35">
      <c r="A3" t="s">
        <v>287</v>
      </c>
      <c r="B3" t="s">
        <v>288</v>
      </c>
    </row>
    <row r="4" spans="1:16" x14ac:dyDescent="0.35">
      <c r="A4" t="s">
        <v>307</v>
      </c>
      <c r="B4" t="s">
        <v>308</v>
      </c>
    </row>
    <row r="5" spans="1:16" x14ac:dyDescent="0.35">
      <c r="A5" t="s">
        <v>289</v>
      </c>
      <c r="B5" t="s">
        <v>290</v>
      </c>
    </row>
    <row r="6" spans="1:16" x14ac:dyDescent="0.35">
      <c r="A6" t="s">
        <v>291</v>
      </c>
      <c r="B6" t="s">
        <v>309</v>
      </c>
    </row>
    <row r="12" spans="1:16" x14ac:dyDescent="0.35">
      <c r="A12" t="s">
        <v>310</v>
      </c>
      <c r="B12" t="s">
        <v>311</v>
      </c>
    </row>
    <row r="13" spans="1:16" x14ac:dyDescent="0.35">
      <c r="A13" t="s">
        <v>125</v>
      </c>
    </row>
    <row r="14" spans="1:16" x14ac:dyDescent="0.35">
      <c r="C14" t="s">
        <v>293</v>
      </c>
      <c r="D14" t="s">
        <v>294</v>
      </c>
      <c r="F14" t="s">
        <v>295</v>
      </c>
      <c r="H14" t="s">
        <v>296</v>
      </c>
      <c r="I14" t="s">
        <v>297</v>
      </c>
      <c r="J14" t="s">
        <v>298</v>
      </c>
      <c r="L14" t="s">
        <v>299</v>
      </c>
      <c r="M14" t="s">
        <v>300</v>
      </c>
      <c r="O14" t="s">
        <v>301</v>
      </c>
      <c r="P14" t="s">
        <v>302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284</v>
      </c>
    </row>
    <row r="2" spans="1:15" x14ac:dyDescent="0.35">
      <c r="A2" t="s">
        <v>285</v>
      </c>
      <c r="B2" t="s">
        <v>286</v>
      </c>
    </row>
    <row r="3" spans="1:15" x14ac:dyDescent="0.35">
      <c r="A3" t="s">
        <v>287</v>
      </c>
      <c r="B3" t="s">
        <v>288</v>
      </c>
    </row>
    <row r="4" spans="1:15" x14ac:dyDescent="0.35">
      <c r="A4" t="s">
        <v>289</v>
      </c>
      <c r="B4" t="s">
        <v>312</v>
      </c>
    </row>
    <row r="5" spans="1:15" x14ac:dyDescent="0.35">
      <c r="A5" t="s">
        <v>291</v>
      </c>
      <c r="B5" t="s">
        <v>313</v>
      </c>
    </row>
    <row r="12" spans="1:15" x14ac:dyDescent="0.35">
      <c r="A12" t="s">
        <v>125</v>
      </c>
    </row>
    <row r="13" spans="1:15" x14ac:dyDescent="0.35">
      <c r="C13" t="s">
        <v>293</v>
      </c>
      <c r="D13" t="s">
        <v>304</v>
      </c>
      <c r="E13" t="s">
        <v>294</v>
      </c>
      <c r="G13" t="s">
        <v>295</v>
      </c>
      <c r="I13" t="s">
        <v>296</v>
      </c>
      <c r="J13" t="s">
        <v>298</v>
      </c>
      <c r="K13" t="s">
        <v>297</v>
      </c>
      <c r="L13" t="s">
        <v>299</v>
      </c>
      <c r="M13" t="s">
        <v>300</v>
      </c>
      <c r="N13" t="s">
        <v>301</v>
      </c>
      <c r="O13" t="s">
        <v>302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314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307</v>
      </c>
      <c r="B4" t="s">
        <v>315</v>
      </c>
    </row>
    <row r="5" spans="1:13" x14ac:dyDescent="0.35">
      <c r="A5" t="s">
        <v>289</v>
      </c>
      <c r="B5" t="s">
        <v>316</v>
      </c>
    </row>
    <row r="6" spans="1:13" x14ac:dyDescent="0.35">
      <c r="A6" t="s">
        <v>291</v>
      </c>
    </row>
    <row r="7" spans="1:13" x14ac:dyDescent="0.35">
      <c r="A7" t="s">
        <v>317</v>
      </c>
      <c r="B7" t="s">
        <v>318</v>
      </c>
    </row>
    <row r="12" spans="1:13" x14ac:dyDescent="0.35">
      <c r="A12" t="s">
        <v>125</v>
      </c>
    </row>
    <row r="13" spans="1:13" x14ac:dyDescent="0.35">
      <c r="B13" t="s">
        <v>293</v>
      </c>
      <c r="D13" t="s">
        <v>294</v>
      </c>
      <c r="E13" t="s">
        <v>295</v>
      </c>
      <c r="F13" t="s">
        <v>300</v>
      </c>
      <c r="G13" t="s">
        <v>296</v>
      </c>
      <c r="H13" t="s">
        <v>298</v>
      </c>
      <c r="J13" t="s">
        <v>299</v>
      </c>
      <c r="M13" t="s">
        <v>302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14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314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307</v>
      </c>
      <c r="B4" t="s">
        <v>315</v>
      </c>
    </row>
    <row r="5" spans="1:13" x14ac:dyDescent="0.35">
      <c r="A5" t="s">
        <v>289</v>
      </c>
      <c r="B5" t="s">
        <v>316</v>
      </c>
    </row>
    <row r="6" spans="1:13" x14ac:dyDescent="0.35">
      <c r="A6" t="s">
        <v>291</v>
      </c>
    </row>
    <row r="7" spans="1:13" x14ac:dyDescent="0.35">
      <c r="A7" t="s">
        <v>317</v>
      </c>
      <c r="B7" t="s">
        <v>318</v>
      </c>
    </row>
    <row r="12" spans="1:13" x14ac:dyDescent="0.35">
      <c r="A12" t="s">
        <v>310</v>
      </c>
      <c r="B12" t="s">
        <v>311</v>
      </c>
    </row>
    <row r="13" spans="1:13" x14ac:dyDescent="0.35">
      <c r="A13" t="s">
        <v>125</v>
      </c>
    </row>
    <row r="14" spans="1:13" x14ac:dyDescent="0.35">
      <c r="B14" t="s">
        <v>293</v>
      </c>
      <c r="D14" t="s">
        <v>294</v>
      </c>
      <c r="E14" t="s">
        <v>295</v>
      </c>
      <c r="F14" t="s">
        <v>300</v>
      </c>
      <c r="G14" t="s">
        <v>296</v>
      </c>
      <c r="H14" t="s">
        <v>298</v>
      </c>
      <c r="J14" t="s">
        <v>299</v>
      </c>
      <c r="M14" t="s">
        <v>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314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307</v>
      </c>
      <c r="B4" t="s">
        <v>315</v>
      </c>
    </row>
    <row r="5" spans="1:13" x14ac:dyDescent="0.35">
      <c r="A5" t="s">
        <v>289</v>
      </c>
      <c r="B5" t="s">
        <v>316</v>
      </c>
    </row>
    <row r="6" spans="1:13" x14ac:dyDescent="0.35">
      <c r="A6" t="s">
        <v>291</v>
      </c>
    </row>
    <row r="7" spans="1:13" x14ac:dyDescent="0.35">
      <c r="A7" t="s">
        <v>317</v>
      </c>
      <c r="B7" t="s">
        <v>318</v>
      </c>
    </row>
    <row r="12" spans="1:13" x14ac:dyDescent="0.35">
      <c r="A12" t="s">
        <v>125</v>
      </c>
    </row>
    <row r="13" spans="1:13" x14ac:dyDescent="0.35">
      <c r="B13" t="s">
        <v>293</v>
      </c>
      <c r="D13" t="s">
        <v>294</v>
      </c>
      <c r="E13" t="s">
        <v>295</v>
      </c>
      <c r="F13" t="s">
        <v>300</v>
      </c>
      <c r="G13" t="s">
        <v>296</v>
      </c>
      <c r="H13" t="s">
        <v>298</v>
      </c>
      <c r="J13" t="s">
        <v>299</v>
      </c>
      <c r="M13" t="s">
        <v>302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286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319</v>
      </c>
    </row>
    <row r="12" spans="1:13" x14ac:dyDescent="0.35">
      <c r="A12" t="s">
        <v>125</v>
      </c>
    </row>
    <row r="13" spans="1:13" x14ac:dyDescent="0.35">
      <c r="B13" t="s">
        <v>293</v>
      </c>
      <c r="C13" t="s">
        <v>304</v>
      </c>
      <c r="D13" t="s">
        <v>294</v>
      </c>
      <c r="E13" t="s">
        <v>295</v>
      </c>
      <c r="F13" t="s">
        <v>296</v>
      </c>
      <c r="G13" t="s">
        <v>298</v>
      </c>
      <c r="I13" t="s">
        <v>297</v>
      </c>
      <c r="J13" t="s">
        <v>299</v>
      </c>
      <c r="K13" t="s">
        <v>300</v>
      </c>
      <c r="L13" t="s">
        <v>301</v>
      </c>
      <c r="M13" t="s">
        <v>302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286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319</v>
      </c>
    </row>
    <row r="12" spans="1:13" x14ac:dyDescent="0.35">
      <c r="A12" t="s">
        <v>125</v>
      </c>
    </row>
    <row r="13" spans="1:13" x14ac:dyDescent="0.35">
      <c r="B13" t="s">
        <v>293</v>
      </c>
      <c r="C13" t="s">
        <v>304</v>
      </c>
      <c r="D13" t="s">
        <v>294</v>
      </c>
      <c r="E13" t="s">
        <v>295</v>
      </c>
      <c r="F13" t="s">
        <v>296</v>
      </c>
      <c r="G13" t="s">
        <v>298</v>
      </c>
      <c r="I13" t="s">
        <v>297</v>
      </c>
      <c r="J13" t="s">
        <v>299</v>
      </c>
      <c r="K13" t="s">
        <v>300</v>
      </c>
      <c r="L13" t="s">
        <v>301</v>
      </c>
      <c r="M13" t="s">
        <v>302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R15"/>
  <sheetViews>
    <sheetView workbookViewId="0"/>
  </sheetViews>
  <sheetFormatPr defaultRowHeight="14.5" x14ac:dyDescent="0.35"/>
  <sheetData>
    <row r="1" spans="1:18" x14ac:dyDescent="0.35">
      <c r="A1" t="s">
        <v>284</v>
      </c>
    </row>
    <row r="2" spans="1:18" x14ac:dyDescent="0.35">
      <c r="A2" t="s">
        <v>285</v>
      </c>
      <c r="B2" t="s">
        <v>320</v>
      </c>
    </row>
    <row r="3" spans="1:18" x14ac:dyDescent="0.35">
      <c r="A3" t="s">
        <v>287</v>
      </c>
      <c r="B3" t="s">
        <v>288</v>
      </c>
    </row>
    <row r="4" spans="1:18" x14ac:dyDescent="0.35">
      <c r="A4" t="s">
        <v>321</v>
      </c>
    </row>
    <row r="5" spans="1:18" x14ac:dyDescent="0.35">
      <c r="A5" t="s">
        <v>322</v>
      </c>
      <c r="B5" t="s">
        <v>323</v>
      </c>
    </row>
    <row r="6" spans="1:18" x14ac:dyDescent="0.35">
      <c r="A6" t="s">
        <v>289</v>
      </c>
      <c r="B6" t="s">
        <v>312</v>
      </c>
    </row>
    <row r="7" spans="1:18" x14ac:dyDescent="0.35">
      <c r="A7" t="s">
        <v>291</v>
      </c>
    </row>
    <row r="12" spans="1:18" x14ac:dyDescent="0.35">
      <c r="A12" t="s">
        <v>324</v>
      </c>
      <c r="B12" t="s">
        <v>325</v>
      </c>
    </row>
    <row r="13" spans="1:18" x14ac:dyDescent="0.35">
      <c r="A13" t="s">
        <v>310</v>
      </c>
      <c r="B13" t="s">
        <v>311</v>
      </c>
    </row>
    <row r="14" spans="1:18" x14ac:dyDescent="0.35">
      <c r="A14" t="s">
        <v>125</v>
      </c>
    </row>
    <row r="15" spans="1:18" x14ac:dyDescent="0.35">
      <c r="B15" t="s">
        <v>293</v>
      </c>
      <c r="D15" t="s">
        <v>294</v>
      </c>
      <c r="H15" t="s">
        <v>295</v>
      </c>
      <c r="I15" t="s">
        <v>296</v>
      </c>
      <c r="J15" t="s">
        <v>297</v>
      </c>
      <c r="K15" t="s">
        <v>298</v>
      </c>
      <c r="M15" t="s">
        <v>299</v>
      </c>
      <c r="N15" t="s">
        <v>300</v>
      </c>
      <c r="P15" t="s">
        <v>301</v>
      </c>
      <c r="R15" t="s">
        <v>302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13"/>
  <sheetViews>
    <sheetView workbookViewId="0"/>
  </sheetViews>
  <sheetFormatPr defaultRowHeight="14.5" x14ac:dyDescent="0.35"/>
  <sheetData>
    <row r="1" spans="1:12" x14ac:dyDescent="0.35">
      <c r="A1" t="s">
        <v>284</v>
      </c>
    </row>
    <row r="2" spans="1:12" x14ac:dyDescent="0.35">
      <c r="A2" t="s">
        <v>285</v>
      </c>
      <c r="B2" t="s">
        <v>326</v>
      </c>
    </row>
    <row r="3" spans="1:12" x14ac:dyDescent="0.35">
      <c r="A3" t="s">
        <v>289</v>
      </c>
      <c r="B3" t="s">
        <v>312</v>
      </c>
    </row>
    <row r="4" spans="1:12" x14ac:dyDescent="0.35">
      <c r="A4" t="s">
        <v>327</v>
      </c>
      <c r="B4" t="s">
        <v>235</v>
      </c>
    </row>
    <row r="5" spans="1:12" x14ac:dyDescent="0.35">
      <c r="A5" t="s">
        <v>328</v>
      </c>
      <c r="B5" t="s">
        <v>329</v>
      </c>
    </row>
    <row r="12" spans="1:12" x14ac:dyDescent="0.35">
      <c r="A12" t="s">
        <v>125</v>
      </c>
    </row>
    <row r="13" spans="1:12" x14ac:dyDescent="0.35">
      <c r="B13" t="s">
        <v>330</v>
      </c>
      <c r="C13" t="s">
        <v>331</v>
      </c>
      <c r="J13" t="s">
        <v>332</v>
      </c>
      <c r="L13" t="s">
        <v>302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284</v>
      </c>
    </row>
    <row r="2" spans="1:23" x14ac:dyDescent="0.35">
      <c r="A2" t="s">
        <v>285</v>
      </c>
      <c r="B2" t="s">
        <v>333</v>
      </c>
    </row>
    <row r="3" spans="1:23" x14ac:dyDescent="0.35">
      <c r="A3" t="s">
        <v>289</v>
      </c>
      <c r="B3" t="s">
        <v>290</v>
      </c>
    </row>
    <row r="4" spans="1:23" x14ac:dyDescent="0.35">
      <c r="A4" t="s">
        <v>327</v>
      </c>
      <c r="B4" t="s">
        <v>235</v>
      </c>
    </row>
    <row r="5" spans="1:23" x14ac:dyDescent="0.35">
      <c r="A5" t="s">
        <v>328</v>
      </c>
      <c r="B5" t="s">
        <v>334</v>
      </c>
    </row>
    <row r="12" spans="1:23" x14ac:dyDescent="0.35">
      <c r="A12" t="s">
        <v>125</v>
      </c>
    </row>
    <row r="13" spans="1:23" x14ac:dyDescent="0.35">
      <c r="B13" t="s">
        <v>330</v>
      </c>
      <c r="C13" t="s">
        <v>335</v>
      </c>
      <c r="D13" t="s">
        <v>336</v>
      </c>
      <c r="E13" t="s">
        <v>331</v>
      </c>
      <c r="G13" t="s">
        <v>337</v>
      </c>
      <c r="W13" t="s">
        <v>302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284</v>
      </c>
    </row>
    <row r="2" spans="1:16" x14ac:dyDescent="0.35">
      <c r="A2" t="s">
        <v>285</v>
      </c>
      <c r="B2" t="s">
        <v>338</v>
      </c>
    </row>
    <row r="3" spans="1:16" x14ac:dyDescent="0.35">
      <c r="A3" t="s">
        <v>289</v>
      </c>
      <c r="B3" t="s">
        <v>312</v>
      </c>
    </row>
    <row r="4" spans="1:16" x14ac:dyDescent="0.35">
      <c r="A4" t="s">
        <v>307</v>
      </c>
      <c r="B4" t="s">
        <v>339</v>
      </c>
    </row>
    <row r="5" spans="1:16" x14ac:dyDescent="0.35">
      <c r="A5" t="s">
        <v>327</v>
      </c>
      <c r="B5" t="s">
        <v>235</v>
      </c>
    </row>
    <row r="6" spans="1:16" x14ac:dyDescent="0.35">
      <c r="A6" t="s">
        <v>328</v>
      </c>
      <c r="B6" t="s">
        <v>329</v>
      </c>
    </row>
    <row r="12" spans="1:16" x14ac:dyDescent="0.35">
      <c r="A12" t="s">
        <v>125</v>
      </c>
    </row>
    <row r="13" spans="1:16" x14ac:dyDescent="0.35">
      <c r="B13" t="s">
        <v>330</v>
      </c>
      <c r="D13" t="s">
        <v>331</v>
      </c>
      <c r="I13" t="s">
        <v>337</v>
      </c>
      <c r="K13" t="s">
        <v>340</v>
      </c>
      <c r="M13" t="s">
        <v>302</v>
      </c>
      <c r="P13" t="s">
        <v>332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V13"/>
  <sheetViews>
    <sheetView workbookViewId="0"/>
  </sheetViews>
  <sheetFormatPr defaultRowHeight="14.5" x14ac:dyDescent="0.35"/>
  <sheetData>
    <row r="1" spans="1:22" x14ac:dyDescent="0.35">
      <c r="A1" t="s">
        <v>284</v>
      </c>
    </row>
    <row r="2" spans="1:22" x14ac:dyDescent="0.35">
      <c r="A2" t="s">
        <v>285</v>
      </c>
      <c r="B2" t="s">
        <v>333</v>
      </c>
    </row>
    <row r="3" spans="1:22" x14ac:dyDescent="0.35">
      <c r="A3" t="s">
        <v>289</v>
      </c>
      <c r="B3" t="s">
        <v>290</v>
      </c>
    </row>
    <row r="4" spans="1:22" x14ac:dyDescent="0.35">
      <c r="A4" t="s">
        <v>327</v>
      </c>
      <c r="B4" t="s">
        <v>235</v>
      </c>
    </row>
    <row r="5" spans="1:22" x14ac:dyDescent="0.35">
      <c r="A5" t="s">
        <v>328</v>
      </c>
      <c r="B5" t="s">
        <v>334</v>
      </c>
    </row>
    <row r="12" spans="1:22" x14ac:dyDescent="0.35">
      <c r="A12" t="s">
        <v>125</v>
      </c>
    </row>
    <row r="13" spans="1:22" x14ac:dyDescent="0.35">
      <c r="B13" t="s">
        <v>330</v>
      </c>
      <c r="C13" t="s">
        <v>335</v>
      </c>
      <c r="D13" t="s">
        <v>336</v>
      </c>
      <c r="E13" t="s">
        <v>331</v>
      </c>
      <c r="G13" t="s">
        <v>337</v>
      </c>
      <c r="V13" t="s">
        <v>302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284</v>
      </c>
    </row>
    <row r="2" spans="1:23" x14ac:dyDescent="0.35">
      <c r="A2" t="s">
        <v>285</v>
      </c>
      <c r="B2" t="s">
        <v>333</v>
      </c>
    </row>
    <row r="3" spans="1:23" x14ac:dyDescent="0.35">
      <c r="A3" t="s">
        <v>289</v>
      </c>
      <c r="B3" t="s">
        <v>290</v>
      </c>
    </row>
    <row r="4" spans="1:23" x14ac:dyDescent="0.35">
      <c r="A4" t="s">
        <v>327</v>
      </c>
      <c r="B4" t="s">
        <v>235</v>
      </c>
    </row>
    <row r="5" spans="1:23" x14ac:dyDescent="0.35">
      <c r="A5" t="s">
        <v>328</v>
      </c>
      <c r="B5" t="s">
        <v>334</v>
      </c>
    </row>
    <row r="12" spans="1:23" x14ac:dyDescent="0.35">
      <c r="A12" t="s">
        <v>125</v>
      </c>
    </row>
    <row r="13" spans="1:23" x14ac:dyDescent="0.35">
      <c r="B13" t="s">
        <v>330</v>
      </c>
      <c r="C13" t="s">
        <v>335</v>
      </c>
      <c r="D13" t="s">
        <v>336</v>
      </c>
      <c r="E13" t="s">
        <v>331</v>
      </c>
      <c r="G13" t="s">
        <v>337</v>
      </c>
      <c r="W13" t="s">
        <v>302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284</v>
      </c>
    </row>
    <row r="2" spans="1:23" x14ac:dyDescent="0.35">
      <c r="A2" t="s">
        <v>285</v>
      </c>
      <c r="B2" t="s">
        <v>333</v>
      </c>
    </row>
    <row r="3" spans="1:23" x14ac:dyDescent="0.35">
      <c r="A3" t="s">
        <v>289</v>
      </c>
      <c r="B3" t="s">
        <v>290</v>
      </c>
    </row>
    <row r="4" spans="1:23" x14ac:dyDescent="0.35">
      <c r="A4" t="s">
        <v>327</v>
      </c>
      <c r="B4" t="s">
        <v>235</v>
      </c>
    </row>
    <row r="5" spans="1:23" x14ac:dyDescent="0.35">
      <c r="A5" t="s">
        <v>328</v>
      </c>
      <c r="B5" t="s">
        <v>334</v>
      </c>
    </row>
    <row r="12" spans="1:23" x14ac:dyDescent="0.35">
      <c r="A12" t="s">
        <v>125</v>
      </c>
    </row>
    <row r="13" spans="1:23" x14ac:dyDescent="0.35">
      <c r="B13" t="s">
        <v>330</v>
      </c>
      <c r="C13" t="s">
        <v>335</v>
      </c>
      <c r="D13" t="s">
        <v>336</v>
      </c>
      <c r="E13" t="s">
        <v>331</v>
      </c>
      <c r="G13" t="s">
        <v>337</v>
      </c>
      <c r="W13" t="s">
        <v>302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284</v>
      </c>
    </row>
    <row r="2" spans="1:23" x14ac:dyDescent="0.35">
      <c r="A2" t="s">
        <v>285</v>
      </c>
      <c r="B2" t="s">
        <v>333</v>
      </c>
    </row>
    <row r="3" spans="1:23" x14ac:dyDescent="0.35">
      <c r="A3" t="s">
        <v>289</v>
      </c>
      <c r="B3" t="s">
        <v>290</v>
      </c>
    </row>
    <row r="4" spans="1:23" x14ac:dyDescent="0.35">
      <c r="A4" t="s">
        <v>327</v>
      </c>
      <c r="B4" t="s">
        <v>235</v>
      </c>
    </row>
    <row r="5" spans="1:23" x14ac:dyDescent="0.35">
      <c r="A5" t="s">
        <v>328</v>
      </c>
      <c r="B5" t="s">
        <v>334</v>
      </c>
    </row>
    <row r="12" spans="1:23" x14ac:dyDescent="0.35">
      <c r="A12" t="s">
        <v>125</v>
      </c>
    </row>
    <row r="13" spans="1:23" x14ac:dyDescent="0.35">
      <c r="B13" t="s">
        <v>330</v>
      </c>
      <c r="C13" t="s">
        <v>335</v>
      </c>
      <c r="D13" t="s">
        <v>336</v>
      </c>
      <c r="E13" t="s">
        <v>331</v>
      </c>
      <c r="G13" t="s">
        <v>337</v>
      </c>
      <c r="W13" t="s">
        <v>302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E13"/>
  <sheetViews>
    <sheetView workbookViewId="0"/>
  </sheetViews>
  <sheetFormatPr defaultRowHeight="14.5" x14ac:dyDescent="0.35"/>
  <sheetData>
    <row r="1" spans="1:5" x14ac:dyDescent="0.35">
      <c r="A1" t="s">
        <v>284</v>
      </c>
    </row>
    <row r="2" spans="1:5" x14ac:dyDescent="0.35">
      <c r="A2" t="s">
        <v>285</v>
      </c>
      <c r="B2" t="s">
        <v>341</v>
      </c>
    </row>
    <row r="3" spans="1:5" x14ac:dyDescent="0.35">
      <c r="A3" t="s">
        <v>289</v>
      </c>
      <c r="B3" t="s">
        <v>290</v>
      </c>
    </row>
    <row r="4" spans="1:5" x14ac:dyDescent="0.35">
      <c r="A4" t="s">
        <v>342</v>
      </c>
      <c r="B4" t="s">
        <v>343</v>
      </c>
    </row>
    <row r="5" spans="1:5" x14ac:dyDescent="0.35">
      <c r="A5" t="s">
        <v>328</v>
      </c>
      <c r="B5" t="s">
        <v>334</v>
      </c>
    </row>
    <row r="12" spans="1:5" x14ac:dyDescent="0.35">
      <c r="A12" t="s">
        <v>125</v>
      </c>
    </row>
    <row r="13" spans="1:5" x14ac:dyDescent="0.35">
      <c r="C13" t="s">
        <v>330</v>
      </c>
      <c r="D13" t="s">
        <v>344</v>
      </c>
      <c r="E13" t="s">
        <v>345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N13"/>
  <sheetViews>
    <sheetView workbookViewId="0"/>
  </sheetViews>
  <sheetFormatPr defaultRowHeight="14.5" x14ac:dyDescent="0.35"/>
  <sheetData>
    <row r="1" spans="1:14" x14ac:dyDescent="0.35">
      <c r="A1" t="s">
        <v>284</v>
      </c>
    </row>
    <row r="2" spans="1:14" x14ac:dyDescent="0.35">
      <c r="A2" t="s">
        <v>285</v>
      </c>
      <c r="B2" t="s">
        <v>346</v>
      </c>
    </row>
    <row r="3" spans="1:14" x14ac:dyDescent="0.35">
      <c r="A3" t="s">
        <v>287</v>
      </c>
      <c r="B3" t="s">
        <v>347</v>
      </c>
    </row>
    <row r="4" spans="1:14" x14ac:dyDescent="0.35">
      <c r="A4" t="s">
        <v>289</v>
      </c>
      <c r="B4" t="s">
        <v>290</v>
      </c>
    </row>
    <row r="5" spans="1:14" x14ac:dyDescent="0.35">
      <c r="A5" t="s">
        <v>291</v>
      </c>
      <c r="B5" t="s">
        <v>348</v>
      </c>
    </row>
    <row r="12" spans="1:14" x14ac:dyDescent="0.35">
      <c r="A12" t="s">
        <v>125</v>
      </c>
    </row>
    <row r="13" spans="1:14" x14ac:dyDescent="0.35">
      <c r="A13" t="s">
        <v>293</v>
      </c>
      <c r="B13" t="s">
        <v>294</v>
      </c>
      <c r="D13" t="s">
        <v>295</v>
      </c>
      <c r="F13" t="s">
        <v>296</v>
      </c>
      <c r="G13" t="s">
        <v>297</v>
      </c>
      <c r="H13" t="s">
        <v>298</v>
      </c>
      <c r="J13" t="s">
        <v>299</v>
      </c>
      <c r="K13" t="s">
        <v>300</v>
      </c>
      <c r="M13" t="s">
        <v>301</v>
      </c>
      <c r="N13" t="s">
        <v>302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M14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305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306</v>
      </c>
    </row>
    <row r="12" spans="1:13" x14ac:dyDescent="0.35">
      <c r="A12" t="s">
        <v>310</v>
      </c>
      <c r="B12" t="s">
        <v>311</v>
      </c>
    </row>
    <row r="13" spans="1:13" x14ac:dyDescent="0.35">
      <c r="A13" t="s">
        <v>125</v>
      </c>
    </row>
    <row r="14" spans="1:13" x14ac:dyDescent="0.35">
      <c r="B14" t="s">
        <v>293</v>
      </c>
      <c r="C14" t="s">
        <v>294</v>
      </c>
      <c r="D14" t="s">
        <v>295</v>
      </c>
      <c r="F14" t="s">
        <v>296</v>
      </c>
      <c r="G14" t="s">
        <v>297</v>
      </c>
      <c r="H14" t="s">
        <v>298</v>
      </c>
      <c r="I14" t="s">
        <v>299</v>
      </c>
      <c r="J14" t="s">
        <v>300</v>
      </c>
      <c r="L14" t="s">
        <v>301</v>
      </c>
      <c r="M14" t="s">
        <v>302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O13"/>
  <sheetViews>
    <sheetView workbookViewId="0"/>
  </sheetViews>
  <sheetFormatPr defaultRowHeight="14.5" x14ac:dyDescent="0.35"/>
  <sheetData>
    <row r="1" spans="1:15" x14ac:dyDescent="0.35">
      <c r="A1" t="s">
        <v>284</v>
      </c>
    </row>
    <row r="2" spans="1:15" x14ac:dyDescent="0.35">
      <c r="A2" t="s">
        <v>285</v>
      </c>
      <c r="B2" t="s">
        <v>349</v>
      </c>
    </row>
    <row r="3" spans="1:15" x14ac:dyDescent="0.35">
      <c r="A3" t="s">
        <v>287</v>
      </c>
      <c r="B3" t="s">
        <v>347</v>
      </c>
    </row>
    <row r="4" spans="1:15" x14ac:dyDescent="0.35">
      <c r="A4" t="s">
        <v>307</v>
      </c>
      <c r="B4" t="s">
        <v>350</v>
      </c>
    </row>
    <row r="5" spans="1:15" x14ac:dyDescent="0.35">
      <c r="A5" t="s">
        <v>289</v>
      </c>
      <c r="B5" t="s">
        <v>290</v>
      </c>
    </row>
    <row r="6" spans="1:15" x14ac:dyDescent="0.35">
      <c r="A6" t="s">
        <v>291</v>
      </c>
      <c r="B6" t="s">
        <v>351</v>
      </c>
    </row>
    <row r="12" spans="1:15" x14ac:dyDescent="0.35">
      <c r="A12" t="s">
        <v>125</v>
      </c>
    </row>
    <row r="13" spans="1:15" x14ac:dyDescent="0.35">
      <c r="B13" t="s">
        <v>293</v>
      </c>
      <c r="C13" t="s">
        <v>294</v>
      </c>
      <c r="E13" t="s">
        <v>295</v>
      </c>
      <c r="G13" t="s">
        <v>296</v>
      </c>
      <c r="H13" t="s">
        <v>297</v>
      </c>
      <c r="I13" t="s">
        <v>298</v>
      </c>
      <c r="K13" t="s">
        <v>299</v>
      </c>
      <c r="L13" t="s">
        <v>300</v>
      </c>
      <c r="N13" t="s">
        <v>301</v>
      </c>
      <c r="O13" t="s">
        <v>302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13"/>
  <sheetViews>
    <sheetView workbookViewId="0"/>
  </sheetViews>
  <sheetFormatPr defaultRowHeight="14.5" x14ac:dyDescent="0.35"/>
  <sheetData>
    <row r="1" spans="1:14" x14ac:dyDescent="0.35">
      <c r="A1" t="s">
        <v>284</v>
      </c>
    </row>
    <row r="2" spans="1:14" x14ac:dyDescent="0.35">
      <c r="A2" t="s">
        <v>285</v>
      </c>
      <c r="B2" t="s">
        <v>346</v>
      </c>
    </row>
    <row r="3" spans="1:14" x14ac:dyDescent="0.35">
      <c r="A3" t="s">
        <v>287</v>
      </c>
      <c r="B3" t="s">
        <v>347</v>
      </c>
    </row>
    <row r="4" spans="1:14" x14ac:dyDescent="0.35">
      <c r="A4" t="s">
        <v>289</v>
      </c>
      <c r="B4" t="s">
        <v>290</v>
      </c>
    </row>
    <row r="5" spans="1:14" x14ac:dyDescent="0.35">
      <c r="A5" t="s">
        <v>291</v>
      </c>
      <c r="B5" t="s">
        <v>351</v>
      </c>
    </row>
    <row r="12" spans="1:14" x14ac:dyDescent="0.35">
      <c r="A12" t="s">
        <v>125</v>
      </c>
    </row>
    <row r="13" spans="1:14" x14ac:dyDescent="0.35">
      <c r="A13" t="s">
        <v>293</v>
      </c>
      <c r="B13" t="s">
        <v>294</v>
      </c>
      <c r="D13" t="s">
        <v>295</v>
      </c>
      <c r="F13" t="s">
        <v>296</v>
      </c>
      <c r="G13" t="s">
        <v>297</v>
      </c>
      <c r="H13" t="s">
        <v>298</v>
      </c>
      <c r="J13" t="s">
        <v>299</v>
      </c>
      <c r="K13" t="s">
        <v>300</v>
      </c>
      <c r="M13" t="s">
        <v>301</v>
      </c>
      <c r="N13" t="s">
        <v>302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N13"/>
  <sheetViews>
    <sheetView workbookViewId="0"/>
  </sheetViews>
  <sheetFormatPr defaultRowHeight="14.5" x14ac:dyDescent="0.35"/>
  <sheetData>
    <row r="1" spans="1:14" x14ac:dyDescent="0.35">
      <c r="A1" t="s">
        <v>284</v>
      </c>
    </row>
    <row r="2" spans="1:14" x14ac:dyDescent="0.35">
      <c r="A2" t="s">
        <v>285</v>
      </c>
      <c r="B2" t="s">
        <v>346</v>
      </c>
    </row>
    <row r="3" spans="1:14" x14ac:dyDescent="0.35">
      <c r="A3" t="s">
        <v>287</v>
      </c>
      <c r="B3" t="s">
        <v>347</v>
      </c>
    </row>
    <row r="4" spans="1:14" x14ac:dyDescent="0.35">
      <c r="A4" t="s">
        <v>307</v>
      </c>
      <c r="B4" t="s">
        <v>308</v>
      </c>
    </row>
    <row r="5" spans="1:14" x14ac:dyDescent="0.35">
      <c r="A5" t="s">
        <v>289</v>
      </c>
      <c r="B5" t="s">
        <v>290</v>
      </c>
    </row>
    <row r="6" spans="1:14" x14ac:dyDescent="0.35">
      <c r="A6" t="s">
        <v>291</v>
      </c>
      <c r="B6" t="s">
        <v>351</v>
      </c>
    </row>
    <row r="12" spans="1:14" x14ac:dyDescent="0.35">
      <c r="A12" t="s">
        <v>125</v>
      </c>
    </row>
    <row r="13" spans="1:14" x14ac:dyDescent="0.35">
      <c r="A13" t="s">
        <v>293</v>
      </c>
      <c r="B13" t="s">
        <v>294</v>
      </c>
      <c r="D13" t="s">
        <v>295</v>
      </c>
      <c r="F13" t="s">
        <v>296</v>
      </c>
      <c r="G13" t="s">
        <v>297</v>
      </c>
      <c r="H13" t="s">
        <v>298</v>
      </c>
      <c r="J13" t="s">
        <v>299</v>
      </c>
      <c r="K13" t="s">
        <v>300</v>
      </c>
      <c r="M13" t="s">
        <v>301</v>
      </c>
      <c r="N13" t="s">
        <v>302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284</v>
      </c>
    </row>
    <row r="2" spans="1:16" x14ac:dyDescent="0.35">
      <c r="A2" t="s">
        <v>285</v>
      </c>
      <c r="B2" t="s">
        <v>346</v>
      </c>
    </row>
    <row r="3" spans="1:16" x14ac:dyDescent="0.35">
      <c r="A3" t="s">
        <v>287</v>
      </c>
      <c r="B3" t="s">
        <v>347</v>
      </c>
    </row>
    <row r="4" spans="1:16" x14ac:dyDescent="0.35">
      <c r="A4" t="s">
        <v>289</v>
      </c>
      <c r="B4" t="s">
        <v>290</v>
      </c>
    </row>
    <row r="5" spans="1:16" x14ac:dyDescent="0.35">
      <c r="A5" t="s">
        <v>291</v>
      </c>
      <c r="B5" t="s">
        <v>351</v>
      </c>
    </row>
    <row r="12" spans="1:16" x14ac:dyDescent="0.35">
      <c r="A12" t="s">
        <v>125</v>
      </c>
    </row>
    <row r="13" spans="1:16" x14ac:dyDescent="0.35">
      <c r="A13" t="s">
        <v>293</v>
      </c>
      <c r="D13" t="s">
        <v>304</v>
      </c>
      <c r="E13" t="s">
        <v>294</v>
      </c>
      <c r="G13" t="s">
        <v>295</v>
      </c>
      <c r="I13" t="s">
        <v>296</v>
      </c>
      <c r="J13" t="s">
        <v>297</v>
      </c>
      <c r="K13" t="s">
        <v>298</v>
      </c>
      <c r="M13" t="s">
        <v>299</v>
      </c>
      <c r="N13" t="s">
        <v>300</v>
      </c>
      <c r="P13" t="s">
        <v>301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P13"/>
  <sheetViews>
    <sheetView workbookViewId="0"/>
  </sheetViews>
  <sheetFormatPr defaultRowHeight="14.5" x14ac:dyDescent="0.35"/>
  <sheetData>
    <row r="1" spans="1:16" x14ac:dyDescent="0.35">
      <c r="A1" t="s">
        <v>284</v>
      </c>
    </row>
    <row r="2" spans="1:16" x14ac:dyDescent="0.35">
      <c r="A2" t="s">
        <v>285</v>
      </c>
      <c r="B2" t="s">
        <v>346</v>
      </c>
    </row>
    <row r="3" spans="1:16" x14ac:dyDescent="0.35">
      <c r="A3" t="s">
        <v>287</v>
      </c>
      <c r="B3" t="s">
        <v>347</v>
      </c>
    </row>
    <row r="4" spans="1:16" x14ac:dyDescent="0.35">
      <c r="A4" t="s">
        <v>307</v>
      </c>
      <c r="B4" t="s">
        <v>308</v>
      </c>
    </row>
    <row r="5" spans="1:16" x14ac:dyDescent="0.35">
      <c r="A5" t="s">
        <v>289</v>
      </c>
      <c r="B5" t="s">
        <v>290</v>
      </c>
    </row>
    <row r="6" spans="1:16" x14ac:dyDescent="0.35">
      <c r="A6" t="s">
        <v>291</v>
      </c>
      <c r="B6" t="s">
        <v>351</v>
      </c>
    </row>
    <row r="12" spans="1:16" x14ac:dyDescent="0.35">
      <c r="A12" t="s">
        <v>125</v>
      </c>
    </row>
    <row r="13" spans="1:16" x14ac:dyDescent="0.35">
      <c r="A13" t="s">
        <v>293</v>
      </c>
      <c r="C13" t="s">
        <v>304</v>
      </c>
      <c r="D13" t="s">
        <v>294</v>
      </c>
      <c r="F13" t="s">
        <v>295</v>
      </c>
      <c r="I13" t="s">
        <v>296</v>
      </c>
      <c r="J13" t="s">
        <v>297</v>
      </c>
      <c r="K13" t="s">
        <v>298</v>
      </c>
      <c r="M13" t="s">
        <v>301</v>
      </c>
      <c r="N13" t="s">
        <v>299</v>
      </c>
      <c r="O13" t="s">
        <v>300</v>
      </c>
      <c r="P13" t="s">
        <v>302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M13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305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306</v>
      </c>
    </row>
    <row r="12" spans="1:13" x14ac:dyDescent="0.35">
      <c r="A12" t="s">
        <v>125</v>
      </c>
    </row>
    <row r="13" spans="1:13" x14ac:dyDescent="0.35">
      <c r="B13" t="s">
        <v>293</v>
      </c>
      <c r="D13" t="s">
        <v>304</v>
      </c>
      <c r="E13" t="s">
        <v>294</v>
      </c>
      <c r="F13" t="s">
        <v>295</v>
      </c>
      <c r="G13" t="s">
        <v>298</v>
      </c>
      <c r="H13" t="s">
        <v>297</v>
      </c>
      <c r="I13" t="s">
        <v>299</v>
      </c>
      <c r="J13" t="s">
        <v>296</v>
      </c>
      <c r="K13" t="s">
        <v>300</v>
      </c>
      <c r="L13" t="s">
        <v>301</v>
      </c>
      <c r="M13" t="s">
        <v>302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W13"/>
  <sheetViews>
    <sheetView workbookViewId="0"/>
  </sheetViews>
  <sheetFormatPr defaultRowHeight="14.5" x14ac:dyDescent="0.35"/>
  <sheetData>
    <row r="1" spans="1:23" x14ac:dyDescent="0.35">
      <c r="A1" t="s">
        <v>284</v>
      </c>
    </row>
    <row r="2" spans="1:23" x14ac:dyDescent="0.35">
      <c r="A2" t="s">
        <v>285</v>
      </c>
      <c r="B2" t="s">
        <v>352</v>
      </c>
    </row>
    <row r="3" spans="1:23" x14ac:dyDescent="0.35">
      <c r="A3" t="s">
        <v>289</v>
      </c>
      <c r="B3" t="s">
        <v>290</v>
      </c>
    </row>
    <row r="4" spans="1:23" x14ac:dyDescent="0.35">
      <c r="A4" t="s">
        <v>327</v>
      </c>
      <c r="B4" t="s">
        <v>353</v>
      </c>
    </row>
    <row r="5" spans="1:23" x14ac:dyDescent="0.35">
      <c r="A5" t="s">
        <v>328</v>
      </c>
      <c r="B5" t="s">
        <v>334</v>
      </c>
    </row>
    <row r="12" spans="1:23" x14ac:dyDescent="0.35">
      <c r="A12" t="s">
        <v>125</v>
      </c>
    </row>
    <row r="13" spans="1:23" x14ac:dyDescent="0.35">
      <c r="B13" t="s">
        <v>330</v>
      </c>
      <c r="C13" t="s">
        <v>336</v>
      </c>
      <c r="D13" t="s">
        <v>331</v>
      </c>
      <c r="N13" t="s">
        <v>302</v>
      </c>
      <c r="O13" t="s">
        <v>337</v>
      </c>
      <c r="W13" t="s">
        <v>302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I13"/>
  <sheetViews>
    <sheetView workbookViewId="0"/>
  </sheetViews>
  <sheetFormatPr defaultRowHeight="14.5" x14ac:dyDescent="0.35"/>
  <sheetData>
    <row r="1" spans="1:9" x14ac:dyDescent="0.35">
      <c r="A1" t="s">
        <v>284</v>
      </c>
    </row>
    <row r="2" spans="1:9" x14ac:dyDescent="0.35">
      <c r="A2" t="s">
        <v>285</v>
      </c>
      <c r="B2" t="s">
        <v>354</v>
      </c>
    </row>
    <row r="3" spans="1:9" x14ac:dyDescent="0.35">
      <c r="A3" t="s">
        <v>289</v>
      </c>
      <c r="B3" t="s">
        <v>290</v>
      </c>
    </row>
    <row r="4" spans="1:9" x14ac:dyDescent="0.35">
      <c r="A4" t="s">
        <v>328</v>
      </c>
      <c r="B4" t="s">
        <v>329</v>
      </c>
    </row>
    <row r="12" spans="1:9" x14ac:dyDescent="0.35">
      <c r="A12" t="s">
        <v>125</v>
      </c>
    </row>
    <row r="13" spans="1:9" x14ac:dyDescent="0.35">
      <c r="C13" t="s">
        <v>330</v>
      </c>
      <c r="E13" t="s">
        <v>344</v>
      </c>
      <c r="F13" t="s">
        <v>345</v>
      </c>
      <c r="I13" t="s">
        <v>302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L13"/>
  <sheetViews>
    <sheetView workbookViewId="0"/>
  </sheetViews>
  <sheetFormatPr defaultRowHeight="14.5" x14ac:dyDescent="0.35"/>
  <sheetData>
    <row r="1" spans="1:12" x14ac:dyDescent="0.35">
      <c r="A1" t="s">
        <v>284</v>
      </c>
    </row>
    <row r="2" spans="1:12" x14ac:dyDescent="0.35">
      <c r="A2" t="s">
        <v>285</v>
      </c>
      <c r="B2" t="s">
        <v>355</v>
      </c>
    </row>
    <row r="3" spans="1:12" x14ac:dyDescent="0.35">
      <c r="A3" t="s">
        <v>289</v>
      </c>
      <c r="B3" t="s">
        <v>356</v>
      </c>
    </row>
    <row r="4" spans="1:12" x14ac:dyDescent="0.35">
      <c r="A4" t="s">
        <v>328</v>
      </c>
      <c r="B4" t="s">
        <v>329</v>
      </c>
    </row>
    <row r="12" spans="1:12" x14ac:dyDescent="0.35">
      <c r="A12" t="s">
        <v>125</v>
      </c>
    </row>
    <row r="13" spans="1:12" x14ac:dyDescent="0.35">
      <c r="B13" t="s">
        <v>330</v>
      </c>
      <c r="C13" t="s">
        <v>337</v>
      </c>
      <c r="D13" t="s">
        <v>344</v>
      </c>
      <c r="E13" t="s">
        <v>345</v>
      </c>
      <c r="J13" t="s">
        <v>332</v>
      </c>
      <c r="L13" t="s">
        <v>302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13"/>
  <sheetViews>
    <sheetView workbookViewId="0"/>
  </sheetViews>
  <sheetFormatPr defaultRowHeight="14.5" x14ac:dyDescent="0.35"/>
  <sheetData>
    <row r="1" spans="1:7" x14ac:dyDescent="0.35">
      <c r="A1" t="s">
        <v>284</v>
      </c>
    </row>
    <row r="2" spans="1:7" x14ac:dyDescent="0.35">
      <c r="A2" t="s">
        <v>285</v>
      </c>
      <c r="B2" t="s">
        <v>357</v>
      </c>
    </row>
    <row r="3" spans="1:7" x14ac:dyDescent="0.35">
      <c r="A3" t="s">
        <v>289</v>
      </c>
      <c r="B3" t="s">
        <v>290</v>
      </c>
    </row>
    <row r="4" spans="1:7" x14ac:dyDescent="0.35">
      <c r="A4" t="s">
        <v>328</v>
      </c>
      <c r="B4" t="s">
        <v>329</v>
      </c>
    </row>
    <row r="12" spans="1:7" x14ac:dyDescent="0.35">
      <c r="A12" t="s">
        <v>125</v>
      </c>
    </row>
    <row r="13" spans="1:7" x14ac:dyDescent="0.35">
      <c r="B13" t="s">
        <v>330</v>
      </c>
      <c r="E13" t="s">
        <v>344</v>
      </c>
      <c r="F13" t="s">
        <v>302</v>
      </c>
      <c r="G13" t="s">
        <v>345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13"/>
  <sheetViews>
    <sheetView workbookViewId="0"/>
  </sheetViews>
  <sheetFormatPr defaultRowHeight="14.5" x14ac:dyDescent="0.35"/>
  <sheetData>
    <row r="1" spans="1:5" x14ac:dyDescent="0.35">
      <c r="A1" t="s">
        <v>284</v>
      </c>
    </row>
    <row r="2" spans="1:5" x14ac:dyDescent="0.35">
      <c r="A2" t="s">
        <v>285</v>
      </c>
      <c r="B2" t="s">
        <v>358</v>
      </c>
    </row>
    <row r="3" spans="1:5" x14ac:dyDescent="0.35">
      <c r="A3" t="s">
        <v>289</v>
      </c>
      <c r="B3" t="s">
        <v>290</v>
      </c>
    </row>
    <row r="4" spans="1:5" x14ac:dyDescent="0.35">
      <c r="A4" t="s">
        <v>328</v>
      </c>
      <c r="B4" t="s">
        <v>329</v>
      </c>
    </row>
    <row r="12" spans="1:5" x14ac:dyDescent="0.35">
      <c r="A12" t="s">
        <v>125</v>
      </c>
    </row>
    <row r="13" spans="1:5" x14ac:dyDescent="0.35">
      <c r="B13" t="s">
        <v>330</v>
      </c>
      <c r="D13" t="s">
        <v>345</v>
      </c>
      <c r="E13" t="s">
        <v>302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R61"/>
  <sheetViews>
    <sheetView workbookViewId="0"/>
  </sheetViews>
  <sheetFormatPr defaultRowHeight="14.5" x14ac:dyDescent="0.35"/>
  <sheetData>
    <row r="1" spans="1:18" x14ac:dyDescent="0.35">
      <c r="A1" t="s">
        <v>284</v>
      </c>
    </row>
    <row r="2" spans="1:18" x14ac:dyDescent="0.35">
      <c r="A2" t="s">
        <v>285</v>
      </c>
      <c r="B2" t="s">
        <v>359</v>
      </c>
    </row>
    <row r="3" spans="1:18" x14ac:dyDescent="0.35">
      <c r="A3" t="s">
        <v>287</v>
      </c>
      <c r="B3" t="s">
        <v>288</v>
      </c>
    </row>
    <row r="4" spans="1:18" x14ac:dyDescent="0.35">
      <c r="A4" t="s">
        <v>289</v>
      </c>
      <c r="B4" t="s">
        <v>290</v>
      </c>
    </row>
    <row r="5" spans="1:18" x14ac:dyDescent="0.35">
      <c r="A5" t="s">
        <v>291</v>
      </c>
      <c r="B5" t="s">
        <v>360</v>
      </c>
    </row>
    <row r="12" spans="1:18" x14ac:dyDescent="0.35">
      <c r="A12" t="s">
        <v>310</v>
      </c>
      <c r="B12" t="s">
        <v>311</v>
      </c>
    </row>
    <row r="13" spans="1:18" x14ac:dyDescent="0.35">
      <c r="A13" t="s">
        <v>125</v>
      </c>
    </row>
    <row r="14" spans="1:18" x14ac:dyDescent="0.35">
      <c r="B14" t="s">
        <v>293</v>
      </c>
      <c r="E14" t="s">
        <v>304</v>
      </c>
      <c r="F14" t="s">
        <v>294</v>
      </c>
      <c r="H14" t="s">
        <v>295</v>
      </c>
      <c r="K14" t="s">
        <v>296</v>
      </c>
      <c r="L14" t="s">
        <v>297</v>
      </c>
      <c r="M14" t="s">
        <v>298</v>
      </c>
      <c r="O14" t="s">
        <v>299</v>
      </c>
      <c r="P14" t="s">
        <v>300</v>
      </c>
      <c r="R14" t="s">
        <v>301</v>
      </c>
    </row>
    <row r="61" spans="1:2" x14ac:dyDescent="0.35">
      <c r="A61" t="s">
        <v>307</v>
      </c>
      <c r="B61" t="s">
        <v>361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Y14"/>
  <sheetViews>
    <sheetView workbookViewId="0"/>
  </sheetViews>
  <sheetFormatPr defaultRowHeight="14.5" x14ac:dyDescent="0.35"/>
  <sheetData>
    <row r="1" spans="1:25" x14ac:dyDescent="0.35">
      <c r="A1" t="s">
        <v>284</v>
      </c>
    </row>
    <row r="2" spans="1:25" x14ac:dyDescent="0.35">
      <c r="A2" t="s">
        <v>285</v>
      </c>
      <c r="B2" t="s">
        <v>362</v>
      </c>
    </row>
    <row r="3" spans="1:25" x14ac:dyDescent="0.35">
      <c r="A3" t="s">
        <v>287</v>
      </c>
      <c r="B3" t="s">
        <v>288</v>
      </c>
    </row>
    <row r="4" spans="1:25" x14ac:dyDescent="0.35">
      <c r="A4" t="s">
        <v>289</v>
      </c>
      <c r="B4" t="s">
        <v>312</v>
      </c>
    </row>
    <row r="5" spans="1:25" x14ac:dyDescent="0.35">
      <c r="A5" t="s">
        <v>291</v>
      </c>
    </row>
    <row r="12" spans="1:25" x14ac:dyDescent="0.35">
      <c r="A12" t="s">
        <v>310</v>
      </c>
      <c r="B12" t="s">
        <v>311</v>
      </c>
    </row>
    <row r="13" spans="1:25" x14ac:dyDescent="0.35">
      <c r="A13" t="s">
        <v>125</v>
      </c>
    </row>
    <row r="14" spans="1:25" x14ac:dyDescent="0.35">
      <c r="B14" t="s">
        <v>293</v>
      </c>
      <c r="D14" t="s">
        <v>304</v>
      </c>
      <c r="E14" t="s">
        <v>294</v>
      </c>
      <c r="I14" t="s">
        <v>295</v>
      </c>
      <c r="J14" t="s">
        <v>298</v>
      </c>
      <c r="K14" t="s">
        <v>299</v>
      </c>
      <c r="L14" t="s">
        <v>300</v>
      </c>
      <c r="M14" t="s">
        <v>296</v>
      </c>
      <c r="V14" t="s">
        <v>297</v>
      </c>
      <c r="W14" t="s">
        <v>301</v>
      </c>
      <c r="Y14" t="s">
        <v>302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M14"/>
  <sheetViews>
    <sheetView workbookViewId="0"/>
  </sheetViews>
  <sheetFormatPr defaultRowHeight="14.5" x14ac:dyDescent="0.35"/>
  <sheetData>
    <row r="1" spans="1:13" x14ac:dyDescent="0.35">
      <c r="A1" t="s">
        <v>284</v>
      </c>
    </row>
    <row r="2" spans="1:13" x14ac:dyDescent="0.35">
      <c r="A2" t="s">
        <v>285</v>
      </c>
      <c r="B2" t="s">
        <v>363</v>
      </c>
    </row>
    <row r="3" spans="1:13" x14ac:dyDescent="0.35">
      <c r="A3" t="s">
        <v>287</v>
      </c>
      <c r="B3" t="s">
        <v>288</v>
      </c>
    </row>
    <row r="4" spans="1:13" x14ac:dyDescent="0.35">
      <c r="A4" t="s">
        <v>289</v>
      </c>
      <c r="B4" t="s">
        <v>290</v>
      </c>
    </row>
    <row r="5" spans="1:13" x14ac:dyDescent="0.35">
      <c r="A5" t="s">
        <v>291</v>
      </c>
      <c r="B5" t="s">
        <v>306</v>
      </c>
    </row>
    <row r="12" spans="1:13" x14ac:dyDescent="0.35">
      <c r="A12" t="s">
        <v>310</v>
      </c>
      <c r="B12" t="s">
        <v>311</v>
      </c>
    </row>
    <row r="13" spans="1:13" x14ac:dyDescent="0.35">
      <c r="A13" t="s">
        <v>125</v>
      </c>
    </row>
    <row r="14" spans="1:13" x14ac:dyDescent="0.35">
      <c r="B14" t="s">
        <v>293</v>
      </c>
      <c r="C14" t="s">
        <v>294</v>
      </c>
      <c r="D14" t="s">
        <v>295</v>
      </c>
      <c r="F14" t="s">
        <v>296</v>
      </c>
      <c r="G14" t="s">
        <v>297</v>
      </c>
      <c r="H14" t="s">
        <v>298</v>
      </c>
      <c r="I14" t="s">
        <v>299</v>
      </c>
      <c r="J14" t="s">
        <v>300</v>
      </c>
      <c r="L14" t="s">
        <v>301</v>
      </c>
      <c r="M14" t="s">
        <v>302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Q2"/>
  <sheetViews>
    <sheetView workbookViewId="0"/>
  </sheetViews>
  <sheetFormatPr defaultRowHeight="14.5" x14ac:dyDescent="0.35"/>
  <sheetData>
    <row r="1" spans="1:17" x14ac:dyDescent="0.35">
      <c r="A1" t="s">
        <v>125</v>
      </c>
    </row>
    <row r="2" spans="1:17" x14ac:dyDescent="0.35">
      <c r="C2" t="s">
        <v>364</v>
      </c>
      <c r="G2" t="s">
        <v>365</v>
      </c>
      <c r="Q2" t="s">
        <v>350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I2"/>
  <sheetViews>
    <sheetView workbookViewId="0"/>
  </sheetViews>
  <sheetFormatPr defaultRowHeight="14.5" x14ac:dyDescent="0.35"/>
  <sheetData>
    <row r="1" spans="1:9" x14ac:dyDescent="0.35">
      <c r="A1" t="s">
        <v>125</v>
      </c>
    </row>
    <row r="2" spans="1:9" x14ac:dyDescent="0.35">
      <c r="B2" t="s">
        <v>364</v>
      </c>
      <c r="F2" t="s">
        <v>350</v>
      </c>
      <c r="I2" t="s">
        <v>365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S2"/>
  <sheetViews>
    <sheetView workbookViewId="0"/>
  </sheetViews>
  <sheetFormatPr defaultRowHeight="14.5" x14ac:dyDescent="0.35"/>
  <sheetData>
    <row r="1" spans="1:45" x14ac:dyDescent="0.35">
      <c r="A1" t="s">
        <v>125</v>
      </c>
    </row>
    <row r="2" spans="1:45" x14ac:dyDescent="0.35">
      <c r="B2" t="s">
        <v>364</v>
      </c>
      <c r="AF2" t="s">
        <v>350</v>
      </c>
      <c r="AJ2" t="s">
        <v>365</v>
      </c>
      <c r="AS2" t="s">
        <v>366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BF2"/>
  <sheetViews>
    <sheetView workbookViewId="0"/>
  </sheetViews>
  <sheetFormatPr defaultRowHeight="14.5" x14ac:dyDescent="0.35"/>
  <sheetData>
    <row r="1" spans="1:58" x14ac:dyDescent="0.35">
      <c r="A1" t="s">
        <v>125</v>
      </c>
    </row>
    <row r="2" spans="1:58" x14ac:dyDescent="0.35">
      <c r="B2" t="s">
        <v>364</v>
      </c>
      <c r="AM2" t="s">
        <v>350</v>
      </c>
      <c r="AS2" t="s">
        <v>365</v>
      </c>
      <c r="BF2" t="s">
        <v>366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M2"/>
  <sheetViews>
    <sheetView workbookViewId="0"/>
  </sheetViews>
  <sheetFormatPr defaultRowHeight="14.5" x14ac:dyDescent="0.35"/>
  <sheetData>
    <row r="1" spans="1:13" x14ac:dyDescent="0.35">
      <c r="A1" t="s">
        <v>125</v>
      </c>
    </row>
    <row r="2" spans="1:13" x14ac:dyDescent="0.35">
      <c r="C2" t="s">
        <v>364</v>
      </c>
      <c r="I2" t="s">
        <v>350</v>
      </c>
      <c r="M2" t="s">
        <v>365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N2"/>
  <sheetViews>
    <sheetView workbookViewId="0"/>
  </sheetViews>
  <sheetFormatPr defaultRowHeight="14.5" x14ac:dyDescent="0.35"/>
  <sheetData>
    <row r="1" spans="1:14" x14ac:dyDescent="0.35">
      <c r="A1" t="s">
        <v>125</v>
      </c>
    </row>
    <row r="2" spans="1:14" x14ac:dyDescent="0.35">
      <c r="B2" t="s">
        <v>364</v>
      </c>
      <c r="L2" t="s">
        <v>365</v>
      </c>
      <c r="N2" t="s">
        <v>350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M2"/>
  <sheetViews>
    <sheetView workbookViewId="0"/>
  </sheetViews>
  <sheetFormatPr defaultRowHeight="14.5" x14ac:dyDescent="0.35"/>
  <sheetData>
    <row r="1" spans="1:13" x14ac:dyDescent="0.35">
      <c r="A1" t="s">
        <v>125</v>
      </c>
    </row>
    <row r="2" spans="1:13" x14ac:dyDescent="0.35">
      <c r="B2" t="s">
        <v>364</v>
      </c>
      <c r="L2" t="s">
        <v>365</v>
      </c>
      <c r="M2" t="s">
        <v>350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M2"/>
  <sheetViews>
    <sheetView workbookViewId="0"/>
  </sheetViews>
  <sheetFormatPr defaultRowHeight="14.5" x14ac:dyDescent="0.35"/>
  <sheetData>
    <row r="1" spans="1:13" x14ac:dyDescent="0.35">
      <c r="A1" t="s">
        <v>125</v>
      </c>
    </row>
    <row r="2" spans="1:13" x14ac:dyDescent="0.35">
      <c r="B2" t="s">
        <v>364</v>
      </c>
      <c r="L2" t="s">
        <v>365</v>
      </c>
      <c r="M2" t="s">
        <v>350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W2"/>
  <sheetViews>
    <sheetView workbookViewId="0"/>
  </sheetViews>
  <sheetFormatPr defaultRowHeight="14.5" x14ac:dyDescent="0.35"/>
  <sheetData>
    <row r="1" spans="1:23" x14ac:dyDescent="0.35">
      <c r="A1" t="s">
        <v>125</v>
      </c>
    </row>
    <row r="2" spans="1:23" x14ac:dyDescent="0.35">
      <c r="C2" t="s">
        <v>364</v>
      </c>
      <c r="V2" t="s">
        <v>367</v>
      </c>
      <c r="W2" t="s">
        <v>365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H2"/>
  <sheetViews>
    <sheetView workbookViewId="0"/>
  </sheetViews>
  <sheetFormatPr defaultRowHeight="14.5" x14ac:dyDescent="0.35"/>
  <sheetData>
    <row r="1" spans="1:8" x14ac:dyDescent="0.35">
      <c r="A1" t="s">
        <v>125</v>
      </c>
    </row>
    <row r="2" spans="1:8" x14ac:dyDescent="0.35">
      <c r="D2" t="s">
        <v>132</v>
      </c>
      <c r="G2" t="s">
        <v>134</v>
      </c>
      <c r="H2" t="s">
        <v>368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2"/>
  <sheetViews>
    <sheetView workbookViewId="0"/>
  </sheetViews>
  <sheetFormatPr defaultRowHeight="14.5" x14ac:dyDescent="0.35"/>
  <sheetData>
    <row r="1" spans="1:7" x14ac:dyDescent="0.35">
      <c r="A1" t="s">
        <v>125</v>
      </c>
    </row>
    <row r="2" spans="1:7" x14ac:dyDescent="0.35">
      <c r="C2" t="s">
        <v>132</v>
      </c>
      <c r="F2" t="s">
        <v>134</v>
      </c>
      <c r="G2" t="s">
        <v>135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H2"/>
  <sheetViews>
    <sheetView workbookViewId="0"/>
  </sheetViews>
  <sheetFormatPr defaultRowHeight="14.5" x14ac:dyDescent="0.35"/>
  <sheetData>
    <row r="1" spans="1:8" x14ac:dyDescent="0.35">
      <c r="A1" t="s">
        <v>125</v>
      </c>
    </row>
    <row r="2" spans="1:8" x14ac:dyDescent="0.35">
      <c r="B2" t="s">
        <v>114</v>
      </c>
      <c r="G2" t="s">
        <v>119</v>
      </c>
      <c r="H2" t="s">
        <v>120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M2"/>
  <sheetViews>
    <sheetView workbookViewId="0"/>
  </sheetViews>
  <sheetFormatPr defaultRowHeight="14.5" x14ac:dyDescent="0.35"/>
  <sheetData>
    <row r="1" spans="1:13" x14ac:dyDescent="0.35">
      <c r="A1" t="s">
        <v>125</v>
      </c>
    </row>
    <row r="2" spans="1:13" x14ac:dyDescent="0.35">
      <c r="B2" t="s">
        <v>369</v>
      </c>
      <c r="L2" t="s">
        <v>367</v>
      </c>
      <c r="M2" t="s">
        <v>365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N2"/>
  <sheetViews>
    <sheetView tabSelected="1" workbookViewId="0"/>
  </sheetViews>
  <sheetFormatPr defaultRowHeight="14.5" x14ac:dyDescent="0.35"/>
  <sheetData>
    <row r="1" spans="1:14" x14ac:dyDescent="0.35">
      <c r="A1" t="s">
        <v>125</v>
      </c>
    </row>
    <row r="2" spans="1:14" x14ac:dyDescent="0.35">
      <c r="B2" t="s">
        <v>369</v>
      </c>
      <c r="M2" t="s">
        <v>367</v>
      </c>
      <c r="N2" t="s">
        <v>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Sheet Names Check</vt:lpstr>
      <vt:lpstr>TB 608 Erection</vt:lpstr>
      <vt:lpstr>TA 602 Erection</vt:lpstr>
      <vt:lpstr>TA 513 Ere S-P Erection</vt:lpstr>
      <vt:lpstr>TA 513 Ere S-F Erection</vt:lpstr>
      <vt:lpstr>TA 413 Erection</vt:lpstr>
      <vt:lpstr>TA 413 Stringing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  <vt:lpstr>TB 408 Status</vt:lpstr>
      <vt:lpstr>TA 413 Status</vt:lpstr>
      <vt:lpstr>TA 414 Status</vt:lpstr>
      <vt:lpstr>TA 416 Status</vt:lpstr>
      <vt:lpstr>TA 418 Status</vt:lpstr>
      <vt:lpstr>TA 421 Status</vt:lpstr>
      <vt:lpstr>TA 419 Status</vt:lpstr>
      <vt:lpstr>TA 504 Status</vt:lpstr>
      <vt:lpstr>TA 505 Status</vt:lpstr>
      <vt:lpstr>TA 506 Status</vt:lpstr>
      <vt:lpstr>TB 507 400kV Status</vt:lpstr>
      <vt:lpstr>TB 507 765kV Status</vt:lpstr>
      <vt:lpstr>TB 501 Status</vt:lpstr>
      <vt:lpstr>TA 413 Stretch</vt:lpstr>
      <vt:lpstr>TA 418 Stretch</vt:lpstr>
      <vt:lpstr>TA 419 Stretch</vt:lpstr>
      <vt:lpstr>TA 421 Stretch</vt:lpstr>
      <vt:lpstr>TA 504 Stretch</vt:lpstr>
      <vt:lpstr>TA 505 Stretch</vt:lpstr>
      <vt:lpstr>TA 506 Stretch</vt:lpstr>
      <vt:lpstr>TB 507 Stretch</vt:lpstr>
      <vt:lpstr>TB 605 Status</vt:lpstr>
      <vt:lpstr>TA 512 Status</vt:lpstr>
      <vt:lpstr>TA 601 Status</vt:lpstr>
      <vt:lpstr>TB 401 Status</vt:lpstr>
      <vt:lpstr>TA 325 Status</vt:lpstr>
      <vt:lpstr>TA 509 Status</vt:lpstr>
      <vt:lpstr>TA 310 Status</vt:lpstr>
      <vt:lpstr>TA 513 Status</vt:lpstr>
      <vt:lpstr>TA 601 Stretch</vt:lpstr>
      <vt:lpstr>TA 512 Stretch</vt:lpstr>
      <vt:lpstr>TB 401 Stretch</vt:lpstr>
      <vt:lpstr>TB 408 Stretch</vt:lpstr>
      <vt:lpstr>TA 421 Tack Welding Stretch</vt:lpstr>
      <vt:lpstr>TA 602 Status</vt:lpstr>
      <vt:lpstr>TB 608 Status</vt:lpstr>
      <vt:lpstr>TA 510 Status</vt:lpstr>
      <vt:lpstr>TA 413 Foundation</vt:lpstr>
      <vt:lpstr>TA 509 Foundation</vt:lpstr>
      <vt:lpstr>TB 501 132kV Foundation</vt:lpstr>
      <vt:lpstr>TB 501 220kV Foundation</vt:lpstr>
      <vt:lpstr>TA 601 Foundation</vt:lpstr>
      <vt:lpstr>TB 605 Jammu Foundation</vt:lpstr>
      <vt:lpstr>TB 605 LILO Foundation</vt:lpstr>
      <vt:lpstr>TB 605 Punjab Foundation</vt:lpstr>
      <vt:lpstr>TA 505 Foundation</vt:lpstr>
      <vt:lpstr>TA 512 Foundation</vt:lpstr>
      <vt:lpstr>TA 602 Foundation</vt:lpstr>
      <vt:lpstr>TB 608 Foundation</vt:lpstr>
      <vt:lpstr>TB 507 MAIN Foundation</vt:lpstr>
      <vt:lpstr>TB 507 765kV Foundation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2026-05-20T10:37:58Z</dcterms:modified>
</cp:coreProperties>
</file>